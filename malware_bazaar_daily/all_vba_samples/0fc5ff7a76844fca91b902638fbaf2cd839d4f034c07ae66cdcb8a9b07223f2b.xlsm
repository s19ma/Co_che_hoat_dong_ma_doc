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FSS048-01BR.group.pirelli.com\CAMPCUSTOS\Painel 2025\Acompanhamentos\"/>
    </mc:Choice>
  </mc:AlternateContent>
  <xr:revisionPtr revIDLastSave="0" documentId="13_ncr:1_{E445F20A-1FC5-466C-98E8-2B73699A05F3}" xr6:coauthVersionLast="47" xr6:coauthVersionMax="47" xr10:uidLastSave="{00000000-0000-0000-0000-000000000000}"/>
  <bookViews>
    <workbookView xWindow="-28920" yWindow="-120" windowWidth="29040" windowHeight="15840" tabRatio="586" activeTab="1" xr2:uid="{00000000-000D-0000-FFFF-FFFF00000000}"/>
  </bookViews>
  <sheets>
    <sheet name="Base" sheetId="7" r:id="rId1"/>
    <sheet name="Confirmação Serviço" sheetId="2" r:id="rId2"/>
    <sheet name="Aprovação Pagamento" sheetId="4" r:id="rId3"/>
    <sheet name="Endereços de E_mail" sheetId="9" r:id="rId4"/>
    <sheet name="Sheet2" sheetId="8" r:id="rId5"/>
    <sheet name="Sheet1" sheetId="5" r:id="rId6"/>
  </sheets>
  <externalReferences>
    <externalReference r:id="rId7"/>
  </externalReferences>
  <definedNames>
    <definedName name="ExternalData_1" localSheetId="0" hidden="1">Base!$D$1:$AO$238</definedName>
  </definedNames>
  <calcPr calcId="191029"/>
  <pivotCaches>
    <pivotCache cacheId="4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<sst xmlns="http://schemas.openxmlformats.org/spreadsheetml/2006/main" count="4970" uniqueCount="325">
  <si>
    <t>J102</t>
  </si>
  <si>
    <t/>
  </si>
  <si>
    <t>Falta confirmação servico</t>
  </si>
  <si>
    <t>Requisitante</t>
  </si>
  <si>
    <t>Status</t>
  </si>
  <si>
    <t>Depto Responsável</t>
  </si>
  <si>
    <t>Pedido</t>
  </si>
  <si>
    <t>Planta</t>
  </si>
  <si>
    <t>Upload</t>
  </si>
  <si>
    <t>Nº documento</t>
  </si>
  <si>
    <t>Fornecedor</t>
  </si>
  <si>
    <t>Nome fornecedor</t>
  </si>
  <si>
    <t>Nota fiscal</t>
  </si>
  <si>
    <t>Data do documento</t>
  </si>
  <si>
    <t>Vencimento</t>
  </si>
  <si>
    <t>Total Nota</t>
  </si>
  <si>
    <t>Docto 103</t>
  </si>
  <si>
    <t>Ano doc.material</t>
  </si>
  <si>
    <t>Planejador</t>
  </si>
  <si>
    <t>Reg.Serviço</t>
  </si>
  <si>
    <t>Aceite em</t>
  </si>
  <si>
    <t>Aceite por</t>
  </si>
  <si>
    <t>Recusa em</t>
  </si>
  <si>
    <t>Rec. definitiva em</t>
  </si>
  <si>
    <t>Reativação em</t>
  </si>
  <si>
    <t>Docto 105</t>
  </si>
  <si>
    <t>Ano 105</t>
  </si>
  <si>
    <t>Revisão Faturas</t>
  </si>
  <si>
    <t>Ano Revisão</t>
  </si>
  <si>
    <t>Docto NF</t>
  </si>
  <si>
    <t>Delegado</t>
  </si>
  <si>
    <t>Total Calculado</t>
  </si>
  <si>
    <t>Justificativa Recusa</t>
  </si>
  <si>
    <t>Motivo Atraso</t>
  </si>
  <si>
    <t>Cd Reinf</t>
  </si>
  <si>
    <t>Erro ocorrido</t>
  </si>
  <si>
    <t>Aprovador Zapl</t>
  </si>
  <si>
    <t>Centro de custo</t>
  </si>
  <si>
    <t>Conta Razão</t>
  </si>
  <si>
    <t>E8</t>
  </si>
  <si>
    <t>Abertura</t>
  </si>
  <si>
    <t>Sum of Total Nota</t>
  </si>
  <si>
    <t>Mês</t>
  </si>
  <si>
    <t>@5B@</t>
  </si>
  <si>
    <t>BHB</t>
  </si>
  <si>
    <t>Grand Total</t>
  </si>
  <si>
    <t>@06@</t>
  </si>
  <si>
    <t>Falta aprovação pagamento</t>
  </si>
  <si>
    <t>Gerencia Requisitante</t>
  </si>
  <si>
    <t>RP8</t>
  </si>
  <si>
    <t>N14702M002</t>
  </si>
  <si>
    <t>saul ferreira</t>
  </si>
  <si>
    <t>FERRESA001</t>
  </si>
  <si>
    <t>N14219M000</t>
  </si>
  <si>
    <t>N14311M002</t>
  </si>
  <si>
    <t>Total Outras Despesas Fixas</t>
  </si>
  <si>
    <t>Total Manutenção Variável</t>
  </si>
  <si>
    <t>BAC</t>
  </si>
  <si>
    <t>BPC</t>
  </si>
  <si>
    <t>HONORMA001</t>
  </si>
  <si>
    <t>Guilherme Silva Brites</t>
  </si>
  <si>
    <t>BRITEGU001</t>
  </si>
  <si>
    <t>IN-HAUS INDUSTRIAL E SERVICOS DE LO</t>
  </si>
  <si>
    <t>(Multiple Items)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</si>
  <si>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</si>
  <si>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</si>
  <si>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</si>
  <si>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</si>
  <si>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</si>
  <si>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</si>
  <si>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</si>
  <si>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</si>
  <si>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</si>
  <si>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</si>
  <si>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</si>
  <si>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</si>
  <si>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CAPEX</t>
  </si>
  <si>
    <t>STAFF</t>
  </si>
  <si>
    <t>STOCK</t>
  </si>
  <si>
    <t>Desconsiderar</t>
  </si>
  <si>
    <t>Manutenção Terceiros</t>
  </si>
  <si>
    <t>alinej uliomagdaleno dias</t>
  </si>
  <si>
    <t>Column1</t>
  </si>
  <si>
    <t>Aceite por_1</t>
  </si>
  <si>
    <t>LUX ELEVADORES ENGENHARIA E COMERCI</t>
  </si>
  <si>
    <t>caetano.Jose@pirelli.com</t>
  </si>
  <si>
    <t>E-mail obrigatório</t>
  </si>
  <si>
    <t>Jose Ailton Figueiredo</t>
  </si>
  <si>
    <t>BJD</t>
  </si>
  <si>
    <t>LEANDRO DE VIETRO</t>
  </si>
  <si>
    <t>VIETRLE001</t>
  </si>
  <si>
    <t>MOICL001</t>
  </si>
  <si>
    <t>CHIMEJO001</t>
  </si>
  <si>
    <t>BGA</t>
  </si>
  <si>
    <t>FALKERO001</t>
  </si>
  <si>
    <t>MULTI DRIVE COMERCIO ELETROELETRONI</t>
  </si>
  <si>
    <t>CAIROJO001</t>
  </si>
  <si>
    <t>CMV</t>
  </si>
  <si>
    <t>VAPOR TOTAL ENERGIA SERVICOS LTDA M</t>
  </si>
  <si>
    <t>LUBRIN LUBRIFICACAO INDUSTRIAL LTDA</t>
  </si>
  <si>
    <t>N14702M277</t>
  </si>
  <si>
    <t>ana dionisio</t>
  </si>
  <si>
    <t>DIONIAN001</t>
  </si>
  <si>
    <t>MOISES COTA</t>
  </si>
  <si>
    <t>COTAMO001</t>
  </si>
  <si>
    <t>Total Manutenção Fixa</t>
  </si>
  <si>
    <t>Marcelo Jonathan De Amorim</t>
  </si>
  <si>
    <t>NORTEL SUPRIMENTOS INDLS. S/A.</t>
  </si>
  <si>
    <t>BGB</t>
  </si>
  <si>
    <t>BM BOX MONTAGEM, MANUTENCAO E LOCAC</t>
  </si>
  <si>
    <t>Adriana De Oliveira</t>
  </si>
  <si>
    <t>OLIVEAD005</t>
  </si>
  <si>
    <t>HENRITA001</t>
  </si>
  <si>
    <t>KLABECA001</t>
  </si>
  <si>
    <t>Caio Klabenhoff</t>
  </si>
  <si>
    <t>RFJ EQUIPAMENTOS LTDA</t>
  </si>
  <si>
    <t>Fabio Silva Castro</t>
  </si>
  <si>
    <t>CASTRFA002</t>
  </si>
  <si>
    <t>Serv.Prof.Prestados - Serviços</t>
  </si>
  <si>
    <t>N14202M177</t>
  </si>
  <si>
    <t>Outros</t>
  </si>
  <si>
    <t>B230100000</t>
  </si>
  <si>
    <t>N14201M077</t>
  </si>
  <si>
    <t>Limpeza Por Terceiros</t>
  </si>
  <si>
    <t>UNIFACILITIES SERVICOS EMPRESARIAIS</t>
  </si>
  <si>
    <t>INTERENG AUTOMAÇÃO INDUSTRIAL LTDA</t>
  </si>
  <si>
    <t>RICOHLOR COMERCIO E SISTEMAS</t>
  </si>
  <si>
    <t>METALURGICA FERRI LTDA</t>
  </si>
  <si>
    <t>Victor Eduardo Rodrigues De Carvalh</t>
  </si>
  <si>
    <t>N13090H000</t>
  </si>
  <si>
    <t>N D BOMBAS COMERCIO E SERVICOS LTDA</t>
  </si>
  <si>
    <t>vhanderson zarpelao</t>
  </si>
  <si>
    <t>ZARPEVH001</t>
  </si>
  <si>
    <t>N14312H002</t>
  </si>
  <si>
    <t>VALLAVI001</t>
  </si>
  <si>
    <t>Viviane Valladares</t>
  </si>
  <si>
    <t>TRACTIAN TECNOLOGIA LTDA</t>
  </si>
  <si>
    <t>JETSERVICE INDUSTRIA E COMERCIO DE</t>
  </si>
  <si>
    <t>A.L.C. AUTOMACAO LTDA</t>
  </si>
  <si>
    <t>PANDORA GREEN DO BRASIL LTDA</t>
  </si>
  <si>
    <t>Aluguéis</t>
  </si>
  <si>
    <t>ABL SOLUCOES INDUSTRIAIS LTDA</t>
  </si>
  <si>
    <t>ABIX TECNOLOGIA LTDA</t>
  </si>
  <si>
    <t>PRIMAX TRANSPORTES PESADOS LTDA</t>
  </si>
  <si>
    <t>Guilherme Martins Rodrigues</t>
  </si>
  <si>
    <t>RODRIGU001</t>
  </si>
  <si>
    <t>N14306M002</t>
  </si>
  <si>
    <t>N142010000</t>
  </si>
  <si>
    <t>Total Outras Despesas Variáveis</t>
  </si>
  <si>
    <t>Outras Despesas</t>
  </si>
  <si>
    <t>TOPICOS LOCAÇÕES DE GALPÕES E EQUIP</t>
  </si>
  <si>
    <t>AVERT-FIRE MANUTENÇÃO DE EQUIP. DE</t>
  </si>
  <si>
    <t>helio.matui@pirelli.com</t>
  </si>
  <si>
    <t>MULTPEX COMERCIO E TECNOLOGIA LTDA</t>
  </si>
  <si>
    <t>Alan De Lucena Perluize</t>
  </si>
  <si>
    <t>PERLUAL001</t>
  </si>
  <si>
    <t>LEME REBOBINAMENTO DE MOTORES ELETR</t>
  </si>
  <si>
    <t>LIQUITEC TRANSFORMADORES LTDA</t>
  </si>
  <si>
    <t>TOYOTA MATERIAL HANDLING MERCOSUR I</t>
  </si>
  <si>
    <t>BGC</t>
  </si>
  <si>
    <t>UMANA BRASIL ASSESSORIA E CONSULTOR</t>
  </si>
  <si>
    <t>SILVAKA003</t>
  </si>
  <si>
    <t>Karina Siqueira Silva</t>
  </si>
  <si>
    <t>CREMOVA001</t>
  </si>
  <si>
    <t>N14207M001</t>
  </si>
  <si>
    <t>IPCO BRASIL SISTEMAS DE PROCESSAMEN</t>
  </si>
  <si>
    <t>Lucas Franz Vieira Dick</t>
  </si>
  <si>
    <t>COLORSISTHEM DO BRASIL COM E SISTEM</t>
  </si>
  <si>
    <t>N14911M001</t>
  </si>
  <si>
    <t>Mats. Escritório/Xerox</t>
  </si>
  <si>
    <t>OSMAR machadojunior</t>
  </si>
  <si>
    <t>MACHAOS001</t>
  </si>
  <si>
    <t>Thuane Ril Souza</t>
  </si>
  <si>
    <t>ET1SOUZATH</t>
  </si>
  <si>
    <t>ST1VIEIRMA</t>
  </si>
  <si>
    <t>GSO - VEDACOES INDUSTRIAIS LTDA-ME</t>
  </si>
  <si>
    <t>BPT</t>
  </si>
  <si>
    <t>ANTONED001</t>
  </si>
  <si>
    <t>MARIANA HONORIO DE SOUZA</t>
  </si>
  <si>
    <t>SILVANA005</t>
  </si>
  <si>
    <t>AFIAÇÃO CAMPINAS SERVIÇOS E COMÉRCI</t>
  </si>
  <si>
    <t>Vinicius Gomes De Souza</t>
  </si>
  <si>
    <t>SOUZAVI002</t>
  </si>
  <si>
    <t>HIDRACOMP COMPONENTES HIDRAULICOS L</t>
  </si>
  <si>
    <t>Davi Torres Gaiotti</t>
  </si>
  <si>
    <t>ATITUDE Q TREINAMENTO LTDA.</t>
  </si>
  <si>
    <t>fabiana murador</t>
  </si>
  <si>
    <t>N14502H000</t>
  </si>
  <si>
    <t>ERHARDT &amp; LEIMER DO BRASIL LTDA.</t>
  </si>
  <si>
    <t>MESSER GASES LTDA</t>
  </si>
  <si>
    <t>WIKA DO BRASIL INDUSTRIA E COMERCIO</t>
  </si>
  <si>
    <t>SANTOFA004</t>
  </si>
  <si>
    <t>AMORIMA001</t>
  </si>
  <si>
    <t>HB INTEGRAL SERVICE</t>
  </si>
  <si>
    <t>B220400000</t>
  </si>
  <si>
    <t>T.A.M. MIRANDA EPP</t>
  </si>
  <si>
    <t>A.B FERREIRA - SERVICOS</t>
  </si>
  <si>
    <t>C170204973</t>
  </si>
  <si>
    <t>ASTRO DIESEL BOMBAS E BICOS INJETOR</t>
  </si>
  <si>
    <t>CASCADE BRASIL COMERCIO DE EQUIPAME</t>
  </si>
  <si>
    <t>VERZANI &amp; SANDRINI SA</t>
  </si>
  <si>
    <t>Mariana Lima Vieira</t>
  </si>
  <si>
    <t>UNITEC FABRICAÇÃO DE MATERIAIS  FRI</t>
  </si>
  <si>
    <t>TEREZINHA DE JESUS MARCATTO PEREIRA</t>
  </si>
  <si>
    <t>TOP TEAM SOLUCAO EM ENERGIA LTDA</t>
  </si>
  <si>
    <t>AUTMAX AUTOMACAO E SERVICOS LTDA</t>
  </si>
  <si>
    <t>AZTECH AUTOMACAO E TELECOMUNICACOES</t>
  </si>
  <si>
    <t>N14311H000</t>
  </si>
  <si>
    <t>SAMPRED SERVICOS DE MANUTENCAO LTDA</t>
  </si>
  <si>
    <t>GRABER SISTEMAS DE SEGURANCA LTDA</t>
  </si>
  <si>
    <t>SOUZAJO003</t>
  </si>
  <si>
    <t>Richard Oswaldo Flores Espinoza</t>
  </si>
  <si>
    <t>Joao Carlos Ribeiro De Souza</t>
  </si>
  <si>
    <t>CHIGNJU001</t>
  </si>
  <si>
    <t>N14208M000</t>
  </si>
  <si>
    <t>PMS CONSULTORIA EM ENGENHARIA DE SE</t>
  </si>
  <si>
    <t>Emilly Jordao Cordeiro Silva</t>
  </si>
  <si>
    <t>SILVAEM004</t>
  </si>
  <si>
    <t>N14205M000</t>
  </si>
  <si>
    <t>DIRCE MARCHIONI SOLUCOES EM SEGURAN</t>
  </si>
  <si>
    <t>GPI</t>
  </si>
  <si>
    <t>PAULAJE001</t>
  </si>
  <si>
    <t>Jeanderson Teixeira De Paula</t>
  </si>
  <si>
    <t>ASSOCIAÇÃO DE EDUCAÇÃO  DO HOMEM DE</t>
  </si>
  <si>
    <t>JOSE MOYSES DE LIMA FILLHO ME</t>
  </si>
  <si>
    <t>Faturamento após o encerramento do mês.</t>
  </si>
  <si>
    <t>Treinamento</t>
  </si>
  <si>
    <t>marco.honorato@pirelli.com</t>
  </si>
  <si>
    <t>ADZ INDUSTRIA E COMERCIO LTDA</t>
  </si>
  <si>
    <t>Marcelo Filho Quaiotti</t>
  </si>
  <si>
    <t>CAMARJO001</t>
  </si>
  <si>
    <t>N14219H000</t>
  </si>
  <si>
    <t>EX2JUNIOMA</t>
  </si>
  <si>
    <t>ST2OLIVEJO</t>
  </si>
  <si>
    <t>Joao Victor De Oliveira</t>
  </si>
  <si>
    <t>ELETROMOTORES BADAN LTDA</t>
  </si>
  <si>
    <t>NOVIX CONSULTORIA LTDA</t>
  </si>
  <si>
    <t>QUATTRO TECH TECNOLOGIA E AUTOMOCAO</t>
  </si>
  <si>
    <t>ALKANSE EQUIPAMENTOS ELETRONICOS LT</t>
  </si>
  <si>
    <t>Dificuldade na inserção da Nota Fiscal.</t>
  </si>
  <si>
    <t>MK2 SISTEMAS E TECNOLOGIA LTDA</t>
  </si>
  <si>
    <t>MARCATO ENGENHARIA E COMERCIO LTDA</t>
  </si>
  <si>
    <t>B220100000</t>
  </si>
  <si>
    <t>N14306S000</t>
  </si>
  <si>
    <t>B240100000</t>
  </si>
  <si>
    <t>Igor Galvao Ferreira</t>
  </si>
  <si>
    <t>PEKSEN PESAGEM, INSTRUMENTACAO E</t>
  </si>
  <si>
    <t>N14219S000</t>
  </si>
  <si>
    <t>Nathalia Pimentel Da Silva</t>
  </si>
  <si>
    <t>RENOVA BENEFICIAMENTO DE RESIDUOS</t>
  </si>
  <si>
    <t>Flavio Matui</t>
  </si>
  <si>
    <t>MATUIFL001</t>
  </si>
  <si>
    <t>CARLOS ALBERTO GROCHOSKI</t>
  </si>
  <si>
    <t>Juliana Curtolo Chignolli</t>
  </si>
  <si>
    <t>N14206M002</t>
  </si>
  <si>
    <t>JP PRESTAÇÃO DE SERVIÇOS EM TRATAME</t>
  </si>
  <si>
    <t>N13050M000</t>
  </si>
  <si>
    <t>abidiel santos</t>
  </si>
  <si>
    <t>SANTOAB001</t>
  </si>
  <si>
    <t>EX1FERREIG</t>
  </si>
  <si>
    <t>RL1ZAMBOCA</t>
  </si>
  <si>
    <t>Carina Augusto Zambon</t>
  </si>
  <si>
    <t>B250100000</t>
  </si>
  <si>
    <t>RF CONTROLE PROFISSIONAL DE PRAGAS</t>
  </si>
  <si>
    <t>DJ TREINAMENTOS EMPRESARIAIS LTDA</t>
  </si>
  <si>
    <t>N14215M001</t>
  </si>
  <si>
    <t>Despesas Sociais</t>
  </si>
  <si>
    <t>Mão de Obra Temporária</t>
  </si>
  <si>
    <t>Materials</t>
  </si>
  <si>
    <t>GAETANO GOMES E SOUSA DI MAURO</t>
  </si>
  <si>
    <t>Joao Gabriel De Faria Francisco</t>
  </si>
  <si>
    <t>BGD</t>
  </si>
  <si>
    <t>DARDO CONSULTORIA E TECNOLOGIA LTDA</t>
  </si>
  <si>
    <t>SANTAIN001</t>
  </si>
  <si>
    <t>Indylene Macedo Santana</t>
  </si>
  <si>
    <t>NAKEDGU001</t>
  </si>
  <si>
    <t>ROBERTO FALKENSTEIN LTDA</t>
  </si>
  <si>
    <t>BEG</t>
  </si>
  <si>
    <t>DURBAMA001</t>
  </si>
  <si>
    <t>N14403H000</t>
  </si>
  <si>
    <t>COHEP TREINAMENTO LTDA</t>
  </si>
  <si>
    <t>TECVENT TECNOLOGIA EM VENTILACAO IN</t>
  </si>
  <si>
    <t>BARBOJO002</t>
  </si>
  <si>
    <t>jocimar barbosa</t>
  </si>
  <si>
    <t>TROPOLE LOCAÇÃO, COMERCIO E SERVIÇO</t>
  </si>
  <si>
    <t>Danilo Souza Silva</t>
  </si>
  <si>
    <t>SILVADA016</t>
  </si>
  <si>
    <t>HELPSEG ASSESSORIA EM SEGURANCA DO</t>
  </si>
  <si>
    <t>Moraes Rivelino</t>
  </si>
  <si>
    <t>MORAERI001</t>
  </si>
  <si>
    <t>N14258M030</t>
  </si>
  <si>
    <t>SAPORE  S.A</t>
  </si>
  <si>
    <t>SSI HYDRAULICS</t>
  </si>
  <si>
    <t>ALSCO BRASIL LTDA</t>
  </si>
  <si>
    <t>HELP ELETRICA COMERCIO E SERVICOS L</t>
  </si>
  <si>
    <t>TITAN IND. E COM. DE FERRAMENTAS E</t>
  </si>
  <si>
    <t>FORMEL D DO BRASIL LTDA</t>
  </si>
  <si>
    <t>LIMARO004</t>
  </si>
  <si>
    <t>Rodrigo Leite De Paula Lima</t>
  </si>
  <si>
    <t>N63010M001</t>
  </si>
  <si>
    <t>Giovanna Guedes Pereira</t>
  </si>
  <si>
    <t>PEREIGI004</t>
  </si>
  <si>
    <t>57.102.091 THAIS SANT ANA KOEPP DO</t>
  </si>
  <si>
    <t>AGUAJATO TRANSPORTES LTDA</t>
  </si>
  <si>
    <t>N17009M000</t>
  </si>
  <si>
    <t>RENOVA TRATAMENTO DE RESIDUOS LTDA</t>
  </si>
  <si>
    <t>MVC TRANSPORTE E LOGISTICA S.A.</t>
  </si>
  <si>
    <t>VIET-LEANDRO</t>
  </si>
  <si>
    <t>N14218S001</t>
  </si>
  <si>
    <t>N14218S000</t>
  </si>
  <si>
    <t>Raquel Tonelotti Carvalho Noguti</t>
  </si>
  <si>
    <t>NOGUTRA001</t>
  </si>
  <si>
    <t>N14705H000</t>
  </si>
  <si>
    <t>HONEYWELL</t>
  </si>
  <si>
    <t>jose teles</t>
  </si>
  <si>
    <t>TELESJO001</t>
  </si>
  <si>
    <t>CEEMEESSE PLANEJAMENTO E GERENCIAME</t>
  </si>
  <si>
    <t>BPR</t>
  </si>
  <si>
    <t>RED FOX SOLUCOES INDUSTRIAIS LTDA</t>
  </si>
  <si>
    <t>RODRILI001</t>
  </si>
  <si>
    <t>LIGIA SCHIAVON RODRIGUES</t>
  </si>
  <si>
    <t>CARLOS ALBERTO FLORIANO</t>
  </si>
  <si>
    <t>Total Energéticos Variáveis</t>
  </si>
  <si>
    <t>Água e Esgoto</t>
  </si>
  <si>
    <t>Bombeiros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</si>
</sst>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 applyAlignment="1">
      <alignment vertical="top"/>
    </xf>
    <xf numFmtId="0" fontId="0" fillId="0" borderId="0" xfId="0" pivotButton="1" applyAlignment="1">
      <alignment vertical="top"/>
    </xf>
    <xf numFmtId="1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vertical="top"/>
    </xf>
    <xf numFmtId="0" fontId="2" fillId="0" borderId="0" xfId="2" applyAlignment="1">
      <alignment vertical="top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31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152400</xdr:rowOff>
    </xdr:from>
    <xdr:to>
      <xdr:col>0</xdr:col>
      <xdr:colOff>1504950</xdr:colOff>
      <xdr:row>7</xdr:row>
      <xdr:rowOff>9525</xdr:rowOff>
    </xdr:to>
    <xdr:sp macro="[0]!enviar_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7014C0-C03B-17D1-9E38-2136883449B1}"/>
            </a:ext>
          </a:extLst>
        </xdr:cNvPr>
        <xdr:cNvSpPr/>
      </xdr:nvSpPr>
      <xdr:spPr>
        <a:xfrm>
          <a:off x="85725" y="800100"/>
          <a:ext cx="14192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Escrever e-mail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SS048-01BR.group.pirelli.com\CAMPCUSTOS\BASES_DE_CUSTO\Base_Materiais_Contas.xlsx" TargetMode="External"/><Relationship Id="rId1" Type="http://schemas.openxmlformats.org/officeDocument/2006/relationships/externalLinkPath" Target="/BASES_DE_CUSTO/Base_Materiais_Co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hia&amp;Campinas"/>
      <sheetName val="Familia_Pyplan"/>
      <sheetName val="Detalhes materiais"/>
      <sheetName val="Responsaveis_WR"/>
      <sheetName val="Fornecedores"/>
      <sheetName val="AS IS PROD (email dani 31.10)"/>
      <sheetName val="AS IS PROD (email dani 23.10)"/>
      <sheetName val="AS IS PROD (email dani 1810 (2)"/>
      <sheetName val="ContasNovasJA_JV"/>
      <sheetName val="Centros_Campinas"/>
      <sheetName val="COD_FEIRA"/>
      <sheetName val="COD_CP_FS_AR"/>
      <sheetName val="CC Detalhe"/>
      <sheetName val="Base de Contas"/>
      <sheetName val="GESTORIAIS"/>
      <sheetName val="Descrição Gestorial"/>
      <sheetName val="Cadastro Contas"/>
      <sheetName val="Cadastro Fornec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illa Karolinne Aparecida, BR" refreshedDate="46006.324431828703" createdVersion="8" refreshedVersion="8" minRefreshableVersion="3" recordCount="237" xr:uid="{00000000-000A-0000-FFFF-FFFF52000000}">
  <cacheSource type="worksheet">
    <worksheetSource name="Sheet1"/>
  </cacheSource>
  <cacheFields count="41">
    <cacheField name="Mês" numFmtId="0">
      <sharedItems count="12">
        <s v="Mai"/>
        <s v="Ago"/>
        <s v="Set"/>
        <s v="Jul"/>
        <s v="Out"/>
        <s v="Nov"/>
        <s v="Dez"/>
        <s v="Jun" u="1"/>
        <s v="Abr" u="1"/>
        <s v="Mar" u="1"/>
        <s v="Fev" u="1"/>
        <s v="Jan" u="1"/>
      </sharedItems>
    </cacheField>
    <cacheField name="E8" numFmtId="0">
      <sharedItems count="29">
        <s v="Aluguéis"/>
        <s v="Manutenção Terceiros"/>
        <s v="STAFF"/>
        <s v="Limpeza Por Terceiros"/>
        <s v="CAPEX"/>
        <s v="Serv.Prof.Prestados - Serviços"/>
        <s v="Vigilância"/>
        <s v="Outras Despesas"/>
        <s v="Mats. Escritório/Xerox"/>
        <s v="Transporte de Funcionários"/>
        <s v="Treinamento"/>
        <s v="STOCK"/>
        <s v="Bombeiros"/>
        <s v="Despesas Sociais"/>
        <s v="Água e Esgoto"/>
        <s v="Materiais Indiretos"/>
        <s v="Mão de Obra Temporária"/>
        <s v="Manutenção Materiais" u="1"/>
        <s v="Informática: Desp.c/Hardware" u="1"/>
        <s v="Comunicações" u="1"/>
        <s v="Desenvolvimento de Sistemas" u="1"/>
        <s v="Consultoria Técnica e Admin." u="1"/>
        <e v="#REF!" u="1"/>
        <s v="Equiptos.Segur.e Uniformes" u="1"/>
        <s v="Transporte De Mats. Vários" u="1"/>
        <s v="Óleo Combustível e Gás" u="1"/>
        <s v="Energia Elétrica" u="1"/>
        <s v="Veículos e Combustíveis" u="1"/>
        <s v="alimentação" u="1"/>
      </sharedItems>
    </cacheField>
    <cacheField name="Abertura" numFmtId="0">
      <sharedItems count="10">
        <s v="Total Outras Despesas Fixas"/>
        <s v="Total Manutenção Fixa"/>
        <s v="Total Manutenção Variável"/>
        <s v="STAFF"/>
        <s v="CAPEX"/>
        <s v="Total Outras Despesas Variáveis"/>
        <s v="STOCK"/>
        <s v="Total Energéticos Variáveis"/>
        <s v="Materials"/>
        <e v="#REF!" u="1"/>
      </sharedItems>
    </cacheField>
    <cacheField name="Column1" numFmtId="0">
      <sharedItems/>
    </cacheField>
    <cacheField name="Status" numFmtId="0">
      <sharedItems count="2">
        <s v="Falta aprovação pagamento"/>
        <s v="Falta confirmação servico"/>
      </sharedItems>
    </cacheField>
    <cacheField name="Depto Responsável" numFmtId="0">
      <sharedItems/>
    </cacheField>
    <cacheField name="Nota fiscal" numFmtId="0">
      <sharedItems containsSemiMixedTypes="0" containsString="0" containsNumber="1" containsInteger="1" minValue="1" maxValue="947326" count="3026">
        <n v="15904"/>
        <n v="134707"/>
        <n v="1103"/>
        <n v="15933"/>
        <n v="27035"/>
        <n v="11350"/>
        <n v="13574"/>
        <n v="13573"/>
        <n v="2356"/>
        <n v="636"/>
        <n v="11505"/>
        <n v="799"/>
        <n v="138901"/>
        <n v="15170"/>
        <n v="130563"/>
        <n v="102549"/>
        <n v="14019"/>
        <n v="1293"/>
        <n v="1294"/>
        <n v="139973"/>
        <n v="139975"/>
        <n v="139976"/>
        <n v="14764"/>
        <n v="139489"/>
        <n v="21649"/>
        <n v="640"/>
        <n v="139978"/>
        <n v="24626"/>
        <n v="812"/>
        <n v="138905"/>
        <n v="650"/>
        <n v="11689"/>
        <n v="2348"/>
        <n v="29320"/>
        <n v="700276"/>
        <n v="147144"/>
        <n v="14357"/>
        <n v="30589"/>
        <n v="774"/>
        <n v="14843"/>
        <n v="14845"/>
        <n v="97490"/>
        <n v="1645"/>
        <n v="3"/>
        <n v="69"/>
        <n v="54879"/>
        <n v="143172"/>
        <n v="24813"/>
        <n v="27232"/>
        <n v="54878"/>
        <n v="220000"/>
        <n v="54888"/>
        <n v="195"/>
        <n v="210"/>
        <n v="9384"/>
        <n v="21957"/>
        <n v="229"/>
        <n v="147158"/>
        <n v="202524"/>
        <n v="1866"/>
        <n v="18922"/>
        <n v="2425"/>
        <n v="147145"/>
        <n v="920"/>
        <n v="4085"/>
        <n v="1436"/>
        <n v="1438"/>
        <n v="83949"/>
        <n v="602"/>
        <n v="27231"/>
        <n v="732949"/>
        <n v="9382"/>
        <n v="3244"/>
        <n v="645"/>
        <n v="4861"/>
        <n v="644073"/>
        <n v="4766"/>
        <n v="9172"/>
        <n v="9173"/>
        <n v="89294"/>
        <n v="14835"/>
        <n v="58"/>
        <n v="147130"/>
        <n v="14355"/>
        <n v="77072"/>
        <n v="606"/>
        <n v="2120"/>
        <n v="687"/>
        <n v="700268"/>
        <n v="30590"/>
        <n v="11561"/>
        <n v="1228"/>
        <n v="2364"/>
        <n v="143853"/>
        <n v="33018"/>
        <n v="659"/>
        <n v="207"/>
        <n v="700269"/>
        <n v="14844"/>
        <n v="21842"/>
        <n v="69940"/>
        <n v="143180"/>
        <n v="644"/>
        <n v="28108"/>
        <n v="653"/>
        <n v="2057"/>
        <n v="2647"/>
        <n v="2398"/>
        <n v="569"/>
        <n v="227"/>
        <n v="3315"/>
        <n v="570"/>
        <n v="35"/>
        <n v="78631"/>
        <n v="63"/>
        <n v="15273"/>
        <n v="35374"/>
        <n v="134698"/>
        <n v="144975"/>
        <n v="2614"/>
        <n v="29642"/>
        <n v="14351"/>
        <n v="143177"/>
        <n v="14356"/>
        <n v="14348"/>
        <n v="746569"/>
        <n v="441"/>
        <n v="143179"/>
        <n v="202523"/>
        <n v="2371"/>
        <n v="9175"/>
        <n v="313"/>
        <n v="1219"/>
        <n v="141124"/>
        <n v="4765"/>
        <n v="28107"/>
        <n v="11593"/>
        <n v="147147"/>
        <n v="665"/>
        <n v="1765"/>
        <n v="77073"/>
        <n v="15125"/>
        <n v="70442"/>
        <n v="1117"/>
        <n v="139522"/>
        <n v="147161"/>
        <n v="147128"/>
        <n v="193"/>
        <n v="1537"/>
        <n v="700275"/>
        <n v="1536"/>
        <n v="15045"/>
        <n v="14834"/>
        <n v="644071"/>
        <n v="644072"/>
        <n v="732"/>
        <n v="14352"/>
        <n v="35376"/>
        <n v="21936"/>
        <n v="22131"/>
        <n v="15119"/>
        <n v="10663"/>
        <n v="646"/>
        <n v="1038"/>
        <n v="225633"/>
        <n v="14354"/>
        <n v="14346"/>
        <n v="62"/>
        <n v="8637"/>
        <n v="14836"/>
        <n v="9174"/>
        <n v="94"/>
        <n v="15090"/>
        <n v="54620"/>
        <n v="59"/>
        <n v="1469"/>
        <n v="15427"/>
        <n v="1303"/>
        <n v="649"/>
        <n v="147149"/>
        <n v="2395"/>
        <n v="901119"/>
        <n v="14353"/>
        <n v="3243"/>
        <n v="644074"/>
        <n v="589"/>
        <n v="30155"/>
        <n v="30213"/>
        <n v="30214"/>
        <n v="1279"/>
        <n v="1122"/>
        <n v="2618"/>
        <n v="4834"/>
        <n v="30251"/>
        <n v="144973"/>
        <n v="2358"/>
        <n v="9967"/>
        <n v="311"/>
        <n v="746572"/>
        <n v="2357"/>
        <n v="9378"/>
        <n v="14841"/>
        <n v="234"/>
        <n v="9383"/>
        <n v="746570"/>
        <n v="9576"/>
        <n v="4312"/>
        <n v="901118"/>
        <n v="15120"/>
        <n v="11728"/>
        <n v="21725"/>
        <n v="102"/>
        <n v="103"/>
        <n v="987"/>
        <n v="4355"/>
        <n v="648"/>
        <n v="14842"/>
        <n v="144980"/>
        <n v="95"/>
        <n v="9379"/>
        <n v="101"/>
        <n v="14840"/>
        <n v="14846"/>
        <n v="4396"/>
        <n v="93"/>
        <n v="30158"/>
        <n v="9966"/>
        <n v="746571"/>
        <n v="30193"/>
        <n v="4333"/>
        <n v="9380"/>
        <n v="14129"/>
        <n v="1343"/>
        <n v="4833"/>
        <n v="10"/>
        <n v="9381"/>
        <n v="67"/>
        <n v="2651" u="1"/>
        <n v="130562" u="1"/>
        <n v="3958" u="1"/>
        <n v="15121" u="1"/>
        <n v="817" u="1"/>
        <n v="635" u="1"/>
        <n v="2109" u="1"/>
        <n v="15176" u="1"/>
        <n v="32400" u="1"/>
        <n v="2873" u="1"/>
        <n v="2396" u="1"/>
        <n v="28020" u="1"/>
        <n v="76987" u="1"/>
        <n v="1983" u="1"/>
        <n v="447" u="1"/>
        <n v="2683" u="1"/>
        <n v="133306" u="1"/>
        <n v="607198" u="1"/>
        <n v="54739" u="1"/>
        <n v="15274" u="1"/>
        <n v="2390" u="1"/>
        <n v="28019" u="1"/>
        <n v="133129" u="1"/>
        <n v="2382" u="1"/>
        <n v="15276" u="1"/>
        <n v="32591" u="1"/>
        <n v="2393" u="1"/>
        <n v="90" u="1"/>
        <n v="51610" u="1"/>
        <n v="15275" u="1"/>
        <n v="2387" u="1"/>
        <n v="2389" u="1"/>
        <n v="4640" u="1"/>
        <n v="2385" u="1"/>
        <n v="661" u="1"/>
        <n v="2399" u="1"/>
        <n v="1740" u="1"/>
        <n v="31652" u="1"/>
        <n v="2405" u="1"/>
        <n v="935" u="1"/>
        <n v="2403" u="1"/>
        <n v="323" u="1"/>
        <n v="2344" u="1"/>
        <n v="11" u="1"/>
        <n v="2397" u="1"/>
        <n v="2400" u="1"/>
        <n v="27991" u="1"/>
        <n v="27988" u="1"/>
        <n v="48" u="1"/>
        <n v="6380" u="1"/>
        <n v="6770" u="1"/>
        <n v="6771" u="1"/>
        <n v="133305" u="1"/>
        <n v="2388" u="1"/>
        <n v="76988" u="1"/>
        <n v="1982" u="1"/>
        <n v="133309" u="1"/>
        <n v="133307" u="1"/>
        <n v="2383" u="1"/>
        <n v="2384" u="1"/>
        <n v="16489" u="1"/>
        <n v="32401" u="1"/>
        <n v="133304" u="1"/>
        <n v="133308" u="1"/>
        <n v="1192" u="1"/>
        <n v="324" u="1"/>
        <n v="2394" u="1"/>
        <n v="2391" u="1"/>
        <n v="1194" u="1"/>
        <n v="76899" u="1"/>
        <n v="65" u="1"/>
        <n v="19209" u="1"/>
        <n v="64" u="1"/>
        <n v="1278" u="1"/>
        <n v="1502" u="1"/>
        <n v="13252" u="1"/>
        <n v="1134" u="1"/>
        <n v="4283" u="1"/>
        <n v="11147" u="1"/>
        <n v="13661" u="1"/>
        <n v="136721" u="1"/>
        <n v="1054" u="1"/>
        <n v="3965" u="1"/>
        <n v="1025" u="1"/>
        <n v="4001" u="1"/>
        <n v="138654" u="1"/>
        <n v="14507" u="1"/>
        <n v="138617" u="1"/>
        <n v="138651" u="1"/>
        <n v="138653" u="1"/>
        <n v="138645" u="1"/>
        <n v="138655" u="1"/>
        <n v="970" u="1"/>
        <n v="971" u="1"/>
        <n v="2033" u="1"/>
        <n v="4021" u="1"/>
        <n v="136718" u="1"/>
        <n v="13663" u="1"/>
        <n v="14349" u="1"/>
        <n v="15369" u="1"/>
        <n v="147123" u="1"/>
        <n v="752" u="1"/>
        <n v="15418" u="1"/>
        <n v="1266" u="1"/>
        <n v="15368" u="1"/>
        <n v="560" u="1"/>
        <n v="15370" u="1"/>
        <n v="21865" u="1"/>
        <n v="30071" u="1"/>
        <n v="15371" u="1"/>
        <n v="30030" u="1"/>
        <n v="30122" u="1"/>
        <n v="94429" u="1"/>
        <n v="21834" u="1"/>
        <n v="21830" u="1"/>
        <n v="14807" u="1"/>
        <n v="19" u="1"/>
        <n v="9021" u="1"/>
        <n v="9020" u="1"/>
        <n v="210000" u="1"/>
        <n v="143170" u="1"/>
        <n v="9019" u="1"/>
        <n v="143862" u="1"/>
        <n v="12982" u="1"/>
        <n v="15043" u="1"/>
        <n v="26695" u="1"/>
        <n v="36013" u="1"/>
        <n v="21801" u="1"/>
        <n v="25613" u="1"/>
        <n v="51524" u="1"/>
        <n v="35241" u="1"/>
        <n v="60" u="1"/>
        <n v="9022" u="1"/>
        <n v="2017" u="1"/>
        <n v="1269" u="1"/>
        <n v="10896" u="1"/>
        <n v="9163" u="1"/>
        <n v="88432" u="1"/>
        <n v="409" u="1"/>
        <n v="32286" u="1"/>
        <n v="4698" u="1"/>
        <n v="14" u="1"/>
        <n v="18622" u="1"/>
        <n v="14808" u="1"/>
        <n v="2373" u="1"/>
        <n v="9164" u="1"/>
        <n v="1391" u="1"/>
        <n v="4697" u="1"/>
        <n v="54387" u="1"/>
        <n v="27140" u="1"/>
        <n v="682" u="1"/>
        <n v="143161" u="1"/>
        <n v="32285" u="1"/>
        <n v="35179" u="1"/>
        <n v="9162" u="1"/>
        <n v="634" u="1"/>
        <n v="2" u="1"/>
        <n v="35098" u="1"/>
        <n v="12984" u="1"/>
        <n v="1625" u="1"/>
        <n v="12983" u="1"/>
        <n v="16441" u="1"/>
        <n v="2659" u="1"/>
        <n v="99464" u="1"/>
        <n v="9920" u="1"/>
        <n v="14054" u="1"/>
        <n v="7541" u="1"/>
        <n v="12981" u="1"/>
        <n v="9921" u="1"/>
        <n v="740" u="1"/>
        <n v="12980" u="1"/>
        <n v="36015" u="1"/>
        <n v="9977" u="1"/>
        <n v="8795" u="1"/>
        <n v="48054" u="1"/>
        <n v="2660" u="1"/>
        <n v="348000" u="1"/>
        <n v="54644" u="1"/>
        <n v="1191" u="1"/>
        <n v="48055" u="1"/>
        <n v="349000" u="1"/>
        <n v="1975" u="1"/>
        <n v="35177" u="1"/>
        <n v="18820" u="1"/>
        <n v="27809" u="1"/>
        <n v="1070" u="1"/>
        <n v="35174" u="1"/>
        <n v="1071" u="1"/>
        <n v="7799" u="1"/>
        <n v="27810" u="1"/>
        <n v="224525" u="1"/>
        <n v="7800" u="1"/>
        <n v="615" u="1"/>
        <n v="26832" u="1"/>
        <n v="130499" u="1"/>
        <n v="128168" u="1"/>
        <n v="127623" u="1"/>
        <n v="128162" u="1"/>
        <n v="10909" u="1"/>
        <n v="315583" u="1"/>
        <n v="128115" u="1"/>
        <n v="44582" u="1"/>
        <n v="536" u="1"/>
        <n v="2575" u="1"/>
        <n v="520" u="1"/>
        <n v="21264" u="1"/>
        <n v="92724" u="1"/>
        <n v="807" u="1"/>
        <n v="27059" u="1"/>
        <n v="537" u="1"/>
        <n v="88" u="1"/>
        <n v="171" u="1"/>
        <n v="643751" u="1"/>
        <n v="2866" u="1"/>
        <n v="4158" u="1"/>
        <n v="8718" u="1"/>
        <n v="643747" u="1"/>
        <n v="543" u="1"/>
        <n v="344000" u="1"/>
        <n v="1265" u="1"/>
        <n v="27710" u="1"/>
        <n v="87" u="1"/>
        <n v="243275" u="1"/>
        <n v="577" u="1"/>
        <n v="10124" u="1"/>
        <n v="928" u="1"/>
        <n v="15128" u="1"/>
        <n v="233" u="1"/>
        <n v="28143" u="1"/>
        <n v="56" u="1"/>
        <n v="144976" u="1"/>
        <n v="13120" u="1"/>
        <n v="21802" u="1"/>
        <n v="27730" u="1"/>
        <n v="243276" u="1"/>
        <n v="412388" u="1"/>
        <n v="600925" u="1"/>
        <n v="149" u="1"/>
        <n v="643742" u="1"/>
        <n v="54621" u="1"/>
        <n v="21800" u="1"/>
        <n v="21814" u="1"/>
        <n v="21816" u="1"/>
        <n v="21817" u="1"/>
        <n v="21819" u="1"/>
        <n v="413614" u="1"/>
        <n v="9" u="1"/>
        <n v="27708" u="1"/>
        <n v="2685" u="1"/>
        <n v="68889" u="1"/>
        <n v="26705" u="1"/>
        <n v="122" u="1"/>
        <n v="346000" u="1"/>
        <n v="4157" u="1"/>
        <n v="57" u="1"/>
        <n v="475" u="1"/>
        <n v="243278" u="1"/>
        <n v="15044" u="1"/>
        <n v="1113" u="1"/>
        <n v="2684" u="1"/>
        <n v="243277" u="1"/>
        <n v="643743" u="1"/>
        <n v="341941" u="1"/>
        <n v="643744" u="1"/>
        <n v="1107" u="1"/>
        <n v="1413" u="1"/>
        <n v="724" u="1"/>
        <n v="4759" u="1"/>
        <n v="4807" u="1"/>
        <n v="576" u="1"/>
        <n v="643803" u="1"/>
        <n v="4758" u="1"/>
        <n v="678" u="1"/>
        <n v="4481" u="1"/>
        <n v="333108" u="1"/>
        <n v="133109" u="1"/>
        <n v="134711" u="1"/>
        <n v="548" u="1"/>
        <n v="89" u="1"/>
        <n v="144981" u="1"/>
        <n v="134712" u="1"/>
        <n v="547" u="1"/>
        <n v="2899" u="1"/>
        <n v="10974" u="1"/>
        <n v="643738" u="1"/>
        <n v="39795" u="1"/>
        <n v="1185" u="1"/>
        <n v="1053" u="1"/>
        <n v="121" u="1"/>
        <n v="641" u="1"/>
        <n v="250" u="1"/>
        <n v="93566" u="1"/>
        <n v="21815" u="1"/>
        <n v="31279" u="1"/>
        <n v="134708" u="1"/>
        <n v="134709" u="1"/>
        <n v="38112" u="1"/>
        <n v="4159" u="1"/>
        <n v="2319" u="1"/>
        <n v="202510" u="1"/>
        <n v="202516" u="1"/>
        <n v="7539" u="1"/>
        <n v="26430" u="1"/>
        <n v="1450" u="1"/>
        <n v="1952" u="1"/>
        <n v="26101" u="1"/>
        <n v="1951" u="1"/>
        <n v="785904" u="1"/>
        <n v="785899" u="1"/>
        <n v="1957" u="1"/>
        <n v="1471" u="1"/>
        <n v="10053" u="1"/>
        <n v="9763" u="1"/>
        <n v="31964" u="1"/>
        <n v="234542" u="1"/>
        <n v="9764" u="1"/>
        <n v="27041" u="1"/>
        <n v="14000" u="1"/>
        <n v="751" u="1"/>
        <n v="2368" u="1"/>
        <n v="143860" u="1"/>
        <n v="34879" u="1"/>
        <n v="18866" u="1"/>
        <n v="143859" u="1"/>
        <n v="143863" u="1"/>
        <n v="76199" u="1"/>
        <n v="12975" u="1"/>
        <n v="639740" u="1"/>
        <n v="187" u="1"/>
        <n v="1262" u="1"/>
        <n v="143857" u="1"/>
        <n v="964" u="1"/>
        <n v="137" u="1"/>
        <n v="34793" u="1"/>
        <n v="76198" u="1"/>
        <n v="34877" u="1"/>
        <n v="2365" u="1"/>
        <n v="18679" u="1"/>
        <n v="97" u="1"/>
        <n v="18865" u="1"/>
        <n v="12974" u="1"/>
        <n v="2366" u="1"/>
        <n v="14861" u="1"/>
        <n v="1260" u="1"/>
        <n v="730705" u="1"/>
        <n v="105236" u="1"/>
        <n v="138" u="1"/>
        <n v="54391" u="1"/>
        <n v="21689" u="1"/>
        <n v="963" u="1"/>
        <n v="14806" u="1"/>
        <n v="35636" u="1"/>
        <n v="21688" u="1"/>
        <n v="98" u="1"/>
        <n v="14805" u="1"/>
        <n v="1182" u="1"/>
        <n v="28144" u="1"/>
        <n v="238" u="1"/>
        <n v="21736" u="1"/>
        <n v="4666" u="1"/>
        <n v="137447" u="1"/>
        <n v="34903" u="1"/>
        <n v="595308" u="1"/>
        <n v="12976" u="1"/>
        <n v="91796" u="1"/>
        <n v="639944" u="1"/>
        <n v="76650" u="1"/>
        <n v="936" u="1"/>
        <n v="99161" u="1"/>
        <n v="21759" u="1"/>
        <n v="933" u="1"/>
        <n v="750" u="1"/>
        <n v="54404" u="1"/>
        <n v="31971" u="1"/>
        <n v="639945" u="1"/>
        <n v="691117" u="1"/>
        <n v="200000" u="1"/>
        <n v="3678" u="1"/>
        <n v="2602" u="1"/>
        <n v="3679" u="1"/>
        <n v="47908" u="1"/>
        <n v="2601" u="1"/>
        <n v="47907" u="1"/>
        <n v="631694" u="1"/>
        <n v="631704" u="1"/>
        <n v="395" u="1"/>
        <n v="454789" u="1"/>
        <n v="749" u="1"/>
        <n v="651" u="1"/>
        <n v="652" u="1"/>
        <n v="671" u="1"/>
        <n v="470611" u="1"/>
        <n v="55" u="1"/>
        <n v="1611" u="1"/>
        <n v="13" u="1"/>
        <n v="670" u="1"/>
        <n v="18420" u="1"/>
        <n v="1383" u="1"/>
        <n v="591" u="1"/>
        <n v="399" u="1"/>
        <n v="639246" u="1"/>
        <n v="2287" u="1"/>
        <n v="27442" u="1"/>
        <n v="12945" u="1"/>
        <n v="37740" u="1"/>
        <n v="14093" u="1"/>
        <n v="7606" u="1"/>
        <n v="788" u="1"/>
        <n v="31896" u="1"/>
        <n v="31897" u="1"/>
        <n v="31898" u="1"/>
        <n v="31899" u="1"/>
        <n v="31900" u="1"/>
        <n v="141128" u="1"/>
        <n v="15024" u="1"/>
        <n v="10751" u="1"/>
        <n v="9016" u="1"/>
        <n v="9017" u="1"/>
        <n v="9018" u="1"/>
        <n v="130561" u="1"/>
        <n v="4257" u="1"/>
        <n v="620" u="1"/>
        <n v="14804" u="1"/>
        <n v="14803" u="1"/>
        <n v="138626" u="1"/>
        <n v="4295" u="1"/>
        <n v="230" u="1"/>
        <n v="8781" u="1"/>
        <n v="8782" u="1"/>
        <n v="8783" u="1"/>
        <n v="8785" u="1"/>
        <n v="4794" u="1"/>
        <n v="92" u="1"/>
        <n v="104119" u="1"/>
        <n v="339087" u="1"/>
        <n v="339088" u="1"/>
        <n v="339081" u="1"/>
        <n v="47768" u="1"/>
        <n v="2544" u="1"/>
        <n v="47769" u="1"/>
        <n v="2545" u="1"/>
        <n v="243086" u="1"/>
        <n v="243087" u="1"/>
        <n v="243088" u="1"/>
        <n v="243089" u="1"/>
        <n v="34736" u="1"/>
        <n v="34737" u="1"/>
        <n v="637" u="1"/>
        <n v="7754" u="1"/>
        <n v="14863" u="1"/>
        <n v="88600" u="1"/>
        <n v="231" u="1"/>
        <n v="14908" u="1"/>
        <n v="2861" u="1"/>
        <n v="557305" u="1"/>
        <n v="3725" u="1"/>
        <n v="88807" u="1"/>
        <n v="21976" u="1"/>
        <n v="98171" u="1"/>
        <n v="340" u="1"/>
        <n v="10818" u="1"/>
        <n v="838" u="1"/>
        <n v="10910" u="1"/>
        <n v="130525" u="1"/>
        <n v="130526" u="1"/>
        <n v="130527" u="1"/>
        <n v="130534" u="1"/>
        <n v="913" u="1"/>
        <n v="3663" u="1"/>
        <n v="3664" u="1"/>
        <n v="2520" u="1"/>
        <n v="1551" u="1"/>
        <n v="26321" u="1"/>
        <n v="2007" u="1"/>
        <n v="2008" u="1"/>
        <n v="2009" u="1"/>
        <n v="2011" u="1"/>
        <n v="200" u="1"/>
        <n v="627" u="1"/>
        <n v="18572" u="1"/>
        <n v="513" u="1"/>
        <n v="514" u="1"/>
        <n v="515" u="1"/>
        <n v="14675" u="1"/>
        <n v="54" u="1"/>
        <n v="53" u="1"/>
        <n v="631" u="1"/>
        <n v="518" u="1"/>
        <n v="138628" u="1"/>
        <n v="54119" u="1"/>
        <n v="90962" u="1"/>
        <n v="2821" u="1"/>
        <n v="1528" u="1"/>
        <n v="1254" u="1"/>
        <n v="101599" u="1"/>
        <n v="1382" u="1"/>
        <n v="335000" u="1"/>
        <n v="21298" u="1"/>
        <n v="21299" u="1"/>
        <n v="21712" u="1"/>
        <n v="39488" u="1"/>
        <n v="27439" u="1"/>
        <n v="27443" u="1"/>
        <n v="636646" u="1"/>
        <n v="636647" u="1"/>
        <n v="636653" u="1"/>
        <n v="636655" u="1"/>
        <n v="636657" u="1"/>
        <n v="15343" u="1"/>
        <n v="636661" u="1"/>
        <n v="2191" u="1"/>
        <n v="2644" u="1"/>
        <n v="2643" u="1"/>
        <n v="337000" u="1"/>
        <n v="31620" u="1"/>
        <n v="31621" u="1"/>
        <n v="27496" u="1"/>
        <n v="1670" u="1"/>
        <n v="13903" u="1"/>
        <n v="13904" u="1"/>
        <n v="14880" u="1"/>
        <n v="462954" u="1"/>
        <n v="352329" u="1"/>
        <n v="1774" u="1"/>
        <n v="735" u="1"/>
        <n v="30857" u="1"/>
        <n v="27440" u="1"/>
        <n v="27441" u="1"/>
        <n v="636663" u="1"/>
        <n v="14862" u="1"/>
        <n v="973" u="1"/>
        <n v="974" u="1"/>
        <n v="989" u="1"/>
        <n v="990" u="1"/>
        <n v="991" u="1"/>
        <n v="2331" u="1"/>
        <n v="3997" u="1"/>
        <n v="7290" u="1"/>
        <n v="351692" u="1"/>
        <n v="5543" u="1"/>
        <n v="88198" u="1"/>
        <n v="8529" u="1"/>
        <n v="88733" u="1"/>
        <n v="90068" u="1"/>
        <n v="2096" u="1"/>
        <n v="958" u="1"/>
        <n v="1664" u="1"/>
        <n v="948" u="1"/>
        <n v="947" u="1"/>
        <n v="946" u="1"/>
        <n v="945" u="1"/>
        <n v="969" u="1"/>
        <n v="953" u="1"/>
        <n v="514282" u="1"/>
        <n v="628" u="1"/>
        <n v="2355" u="1"/>
        <n v="662" u="1"/>
        <n v="664" u="1"/>
        <n v="1416" u="1"/>
        <n v="13602" u="1"/>
        <n v="466487" u="1"/>
        <n v="100626" u="1"/>
        <n v="3660" u="1"/>
        <n v="5462" u="1"/>
        <n v="13665" u="1"/>
        <n v="3692" u="1"/>
        <n v="3693" u="1"/>
        <n v="13548" u="1"/>
        <n v="27200" u="1"/>
        <n v="27201" u="1"/>
        <n v="16313" u="1"/>
        <n v="3070" u="1"/>
        <n v="19551" u="1"/>
        <n v="85" u="1"/>
        <n v="592349" u="1"/>
        <n v="592350" u="1"/>
        <n v="592351" u="1"/>
        <n v="592352" u="1"/>
        <n v="13963" u="1"/>
        <n v="180" u="1"/>
        <n v="8499" u="1"/>
        <n v="29827" u="1"/>
        <n v="29920" u="1"/>
        <n v="34529" u="1"/>
        <n v="9194" u="1"/>
        <n v="34530" u="1"/>
        <n v="497324" u="1"/>
        <n v="860" u="1"/>
        <n v="859" u="1"/>
        <n v="4649" u="1"/>
        <n v="4650" u="1"/>
        <n v="91" u="1"/>
        <n v="138903" u="1"/>
        <n v="138902" u="1"/>
        <n v="186" u="1"/>
        <n v="136" u="1"/>
        <n v="26" u="1"/>
        <n v="30023" u="1"/>
        <n v="18213" u="1"/>
        <n v="1462" u="1"/>
        <n v="96952" u="1"/>
        <n v="7727" u="1"/>
        <n v="5352" u="1"/>
        <n v="135" u="1"/>
        <n v="29950" u="1"/>
        <n v="29771" u="1"/>
        <n v="139977" u="1"/>
        <n v="139979" u="1"/>
        <n v="139984" u="1"/>
        <n v="1374" u="1"/>
        <n v="21692" u="1"/>
        <n v="660" u="1"/>
        <n v="943" u="1"/>
        <n v="944" u="1"/>
        <n v="1255" u="1"/>
        <n v="21696" u="1"/>
        <n v="334000" u="1"/>
        <n v="968" u="1"/>
        <n v="967" u="1"/>
        <n v="966" u="1"/>
        <n v="965" u="1"/>
        <n v="952" u="1"/>
        <n v="959" u="1"/>
        <n v="951" u="1"/>
        <n v="950" u="1"/>
        <n v="960" u="1"/>
        <n v="949" u="1"/>
        <n v="961" u="1"/>
        <n v="962" u="1"/>
        <n v="954" u="1"/>
        <n v="955" u="1"/>
        <n v="956" u="1"/>
        <n v="957" u="1"/>
        <n v="339086" u="1"/>
        <n v="339083" u="1"/>
        <n v="339084" u="1"/>
        <n v="2324" u="1"/>
        <n v="13686" u="1"/>
        <n v="174" u="1"/>
        <n v="1800" u="1"/>
        <n v="16290" u="1"/>
        <n v="6236" u="1"/>
        <n v="2985" u="1"/>
        <n v="2268" u="1"/>
        <n v="26303" u="1"/>
        <n v="550242" u="1"/>
        <n v="12" u="1"/>
        <n v="1939" u="1"/>
        <n v="1569" u="1"/>
        <n v="6286" u="1"/>
        <n v="658" u="1"/>
        <n v="736" u="1"/>
        <n v="1170" u="1"/>
        <n v="26671" u="1"/>
        <n v="26672" u="1"/>
        <n v="891" u="1"/>
        <n v="1938" u="1"/>
        <n v="1937" u="1"/>
        <n v="75676" u="1"/>
        <n v="75677" u="1"/>
        <n v="90069" u="1"/>
        <n v="27370" u="1"/>
        <n v="1252" u="1"/>
        <n v="1253" u="1"/>
        <n v="13971" u="1"/>
        <n v="135718" u="1"/>
        <n v="21908" u="1"/>
        <n v="1127" u="1"/>
        <n v="3669" u="1"/>
        <n v="3670" u="1"/>
        <n v="3671" u="1"/>
        <n v="3672" u="1"/>
        <n v="3673" u="1"/>
        <n v="3674" u="1"/>
        <n v="3675" u="1"/>
        <n v="3677" u="1"/>
        <n v="3676" u="1"/>
        <n v="459723" u="1"/>
        <n v="2271" u="1"/>
        <n v="14906" u="1"/>
        <n v="9884" u="1"/>
        <n v="242845" u="1"/>
        <n v="242846" u="1"/>
        <n v="242847" u="1"/>
        <n v="242848" u="1"/>
        <n v="7229" u="1"/>
        <n v="2594" u="1"/>
        <n v="2595" u="1"/>
        <n v="319926" u="1"/>
        <n v="2853" u="1"/>
        <n v="54120" u="1"/>
        <n v="54124" u="1"/>
        <n v="101557" u="1"/>
        <n v="624" u="1"/>
        <n v="29226" u="1"/>
        <n v="3695" u="1"/>
        <n v="32310" u="1"/>
        <n v="32311" u="1"/>
        <n v="3273" u="1"/>
        <n v="934" u="1"/>
        <n v="932" u="1"/>
        <n v="931" u="1"/>
        <n v="930" u="1"/>
        <n v="929" u="1"/>
        <n v="927" u="1"/>
        <n v="926" u="1"/>
        <n v="925" u="1"/>
        <n v="30468" u="1"/>
        <n v="2259" u="1"/>
        <n v="31376" u="1"/>
        <n v="31377" u="1"/>
        <n v="37382" u="1"/>
        <n v="27258" u="1"/>
        <n v="630343" u="1"/>
        <n v="14676" u="1"/>
        <n v="12831" u="1"/>
        <n v="31511" u="1"/>
        <n v="31512" u="1"/>
        <n v="31513" u="1"/>
        <n v="12842" u="1"/>
        <n v="3187" u="1"/>
        <n v="937" u="1"/>
        <n v="7717" u="1"/>
        <n v="138643" u="1"/>
        <n v="13964" u="1"/>
        <n v="13965" u="1"/>
        <n v="8784" u="1"/>
        <n v="8786" u="1"/>
        <n v="8787" u="1"/>
        <n v="737" u="1"/>
        <n v="795" u="1"/>
        <n v="2778" u="1"/>
        <n v="8341" u="1"/>
        <n v="8342" u="1"/>
        <n v="8419" u="1"/>
        <n v="308" u="1"/>
        <n v="309" u="1"/>
        <n v="16320" u="1"/>
        <n v="730" u="1"/>
        <n v="656" u="1"/>
        <n v="631706" u="1"/>
        <n v="4534" u="1"/>
        <n v="328000" u="1"/>
        <n v="9846" u="1"/>
        <n v="98726" u="1"/>
        <n v="351137" u="1"/>
        <n v="7715" u="1"/>
        <n v="7729" u="1"/>
        <n v="7716" u="1"/>
        <n v="44461" u="1"/>
        <n v="31528" u="1"/>
        <n v="27320" u="1"/>
        <n v="17016" u="1"/>
        <n v="319000" u="1"/>
        <n v="27202" u="1"/>
        <n v="31313" u="1"/>
        <n v="1032" u="1"/>
        <n v="34531" u="1"/>
        <n v="26353" u="1"/>
        <n v="26352" u="1"/>
        <n v="26354" u="1"/>
        <n v="14677" u="1"/>
        <n v="14492" u="1"/>
        <n v="7474" u="1"/>
        <n v="16308" u="1"/>
        <n v="1565" u="1"/>
        <n v="1" u="1"/>
        <n v="235" u="1"/>
        <n v="655" u="1"/>
        <n v="156" u="1"/>
        <n v="630444" u="1"/>
        <n v="630448" u="1"/>
        <n v="630452" u="1"/>
        <n v="630453" u="1"/>
        <n v="630455" u="1"/>
        <n v="630458" u="1"/>
        <n v="52" u="1"/>
        <n v="1241" u="1"/>
        <n v="76151" u="1"/>
        <n v="630462" u="1"/>
        <n v="1186" u="1"/>
        <n v="18613" u="1"/>
        <n v="75734" u="1"/>
        <n v="2967" u="1"/>
        <n v="21613" u="1"/>
        <n v="21614" u="1"/>
        <n v="21615" u="1"/>
        <n v="21616" u="1"/>
        <n v="21617" u="1"/>
        <n v="21618" u="1"/>
        <n v="21619" u="1"/>
        <n v="21620" u="1"/>
        <n v="21621" u="1"/>
        <n v="2334" u="1"/>
        <n v="2335" u="1"/>
        <n v="2336" u="1"/>
        <n v="629656" u="1"/>
        <n v="826" u="1"/>
        <n v="76056" u="1"/>
        <n v="84" u="1"/>
        <n v="585264" u="1"/>
        <n v="1543" u="1"/>
        <n v="232000" u="1"/>
        <n v="324000" u="1"/>
        <n v="39115" u="1"/>
        <n v="633" u="1"/>
        <n v="632" u="1"/>
        <n v="34435" u="1"/>
        <n v="34436" u="1"/>
        <n v="20918" u="1"/>
        <n v="318243" u="1"/>
        <n v="1366" u="1"/>
        <n v="1417" u="1"/>
        <n v="1420" u="1"/>
        <n v="26905" u="1"/>
        <n v="1429" u="1"/>
        <n v="44793" u="1"/>
        <n v="21268" u="1"/>
        <n v="10651" u="1"/>
        <n v="10650" u="1"/>
        <n v="10561" u="1"/>
        <n v="128111" u="1"/>
        <n v="128109" u="1"/>
        <n v="128113" u="1"/>
        <n v="128218" u="1"/>
        <n v="128219" u="1"/>
        <n v="129616" u="1"/>
        <n v="129617" u="1"/>
        <n v="129618" u="1"/>
        <n v="129619" u="1"/>
        <n v="129620" u="1"/>
        <n v="129621" u="1"/>
        <n v="129622" u="1"/>
        <n v="129627" u="1"/>
        <n v="129638" u="1"/>
        <n v="129660" u="1"/>
        <n v="21428" u="1"/>
        <n v="4246" u="1"/>
        <n v="100732" u="1"/>
        <n v="3941" u="1"/>
        <n v="11507" u="1"/>
        <n v="12548" u="1"/>
        <n v="32648" u="1"/>
        <n v="880" u="1"/>
        <n v="1979" u="1"/>
        <n v="1173" u="1"/>
        <n v="481" u="1"/>
        <n v="237" u="1"/>
        <n v="4787" u="1"/>
        <n v="643" u="1"/>
        <n v="1004" u="1"/>
        <n v="196" u="1"/>
        <n v="14490" u="1"/>
        <n v="18454" u="1"/>
        <n v="4091" u="1"/>
        <n v="198" u="1"/>
        <n v="493" u="1"/>
        <n v="492" u="1"/>
        <n v="494" u="1"/>
        <n v="5488" u="1"/>
        <n v="14802" u="1"/>
        <n v="14801" u="1"/>
        <n v="584" u="1"/>
        <n v="647" u="1"/>
        <n v="49" u="1"/>
        <n v="50" u="1"/>
        <n v="18011" u="1"/>
        <n v="3085" u="1"/>
        <n v="12962" u="1"/>
        <n v="12963" u="1"/>
        <n v="586" u="1"/>
        <n v="711" u="1"/>
        <n v="1647" u="1"/>
        <n v="302000" u="1"/>
        <n v="303000" u="1"/>
        <n v="304000" u="1"/>
        <n v="172" u="1"/>
        <n v="601" u="1"/>
        <n v="13666" u="1"/>
        <n v="541575" u="1"/>
        <n v="541576" u="1"/>
        <n v="541577" u="1"/>
        <n v="541578" u="1"/>
        <n v="327" u="1"/>
        <n v="350" u="1"/>
        <n v="351" u="1"/>
        <n v="352" u="1"/>
        <n v="4563" u="1"/>
        <n v="4564" u="1"/>
        <n v="53846" u="1"/>
        <n v="922" u="1"/>
        <n v="8640" u="1"/>
        <n v="26316" u="1"/>
        <n v="314000" u="1"/>
        <n v="316000" u="1"/>
        <n v="136723" u="1"/>
        <n v="134705" u="1"/>
        <n v="134706" u="1"/>
        <n v="134710" u="1"/>
        <n v="8638" u="1"/>
        <n v="8639" u="1"/>
        <n v="29871" u="1"/>
        <n v="29872" u="1"/>
        <n v="335173" u="1"/>
        <n v="134713" u="1"/>
        <n v="713" u="1"/>
        <n v="47686" u="1"/>
        <n v="2532" u="1"/>
        <n v="47687" u="1"/>
        <n v="2533" u="1"/>
        <n v="759" u="1"/>
        <n v="758" u="1"/>
        <n v="133" u="1"/>
        <n v="134" u="1"/>
        <n v="185" u="1"/>
        <n v="712" u="1"/>
        <n v="3637" u="1"/>
        <n v="3638" u="1"/>
        <n v="3639" u="1"/>
        <n v="3640" u="1"/>
        <n v="3641" u="1"/>
        <n v="3642" u="1"/>
        <n v="3643" u="1"/>
        <n v="3645" u="1"/>
        <n v="1069" u="1"/>
        <n v="3647" u="1"/>
        <n v="24431" u="1"/>
        <n v="1158" u="1"/>
        <n v="75258" u="1"/>
        <n v="75259" u="1"/>
        <n v="26283" u="1"/>
        <n v="26284" u="1"/>
        <n v="544220" u="1"/>
        <n v="67987" u="1"/>
        <n v="26282" u="1"/>
        <n v="26285" u="1"/>
        <n v="361" u="1"/>
        <n v="21187" u="1"/>
        <n v="21269" u="1"/>
        <n v="21273" u="1"/>
        <n v="13652" u="1"/>
        <n v="2323" u="1"/>
        <n v="34235" u="1"/>
        <n v="34237" u="1"/>
        <n v="2328" u="1"/>
        <n v="2805" u="1"/>
        <n v="19441" u="1"/>
        <n v="18529" u="1"/>
        <n v="313922" u="1"/>
        <n v="9850" u="1"/>
        <n v="8314" u="1"/>
        <n v="1235" u="1"/>
        <n v="1236" u="1"/>
        <n v="6111" u="1"/>
        <n v="7460" u="1"/>
        <n v="3690" u="1"/>
        <n v="32238" u="1"/>
        <n v="32237" u="1"/>
        <n v="315000" u="1"/>
        <n v="95966" u="1"/>
        <n v="3809" u="1"/>
        <n v="10469" u="1"/>
        <n v="277" u="1"/>
        <n v="3815" u="1"/>
        <n v="459533" u="1"/>
        <n v="208366" u="1"/>
        <n v="2217" u="1"/>
        <n v="703" u="1"/>
        <n v="3174" u="1"/>
        <n v="26949" u="1"/>
        <n v="623490" u="1"/>
        <n v="3175" u="1"/>
        <n v="34150" u="1"/>
        <n v="37019" u="1"/>
        <n v="14491" u="1"/>
        <n v="12660" u="1"/>
        <n v="12617" u="1"/>
        <n v="578561" u="1"/>
        <n v="30166" u="1"/>
        <n v="14690" u="1"/>
        <n v="8568" u="1"/>
        <n v="8635" u="1"/>
        <n v="8636" u="1"/>
        <n v="31206" u="1"/>
        <n v="31207" u="1"/>
        <n v="2841" u="1"/>
        <n v="53844" u="1"/>
        <n v="53845" u="1"/>
        <n v="53851" u="1"/>
        <n v="4460" u="1"/>
        <n v="31208" u="1"/>
        <n v="387036" u="1"/>
        <n v="387035" u="1"/>
        <n v="387037" u="1"/>
        <n v="387034" u="1"/>
        <n v="438712" u="1"/>
        <n v="438713" u="1"/>
        <n v="7271" u="1"/>
        <n v="7273" u="1"/>
        <n v="438711" u="1"/>
        <n v="438714" u="1"/>
        <n v="1098" u="1"/>
        <n v="488475" u="1"/>
        <n v="488476" u="1"/>
        <n v="488474" u="1"/>
        <n v="488477" u="1"/>
        <n v="623482" u="1"/>
        <n v="623481" u="1"/>
        <n v="2175" u="1"/>
        <n v="176" u="1"/>
        <n v="247" u="1"/>
        <n v="31212" u="1"/>
        <n v="31213" u="1"/>
        <n v="10142" u="1"/>
        <n v="1314" u="1"/>
        <n v="1345" u="1"/>
        <n v="1922" u="1"/>
        <n v="1926" u="1"/>
        <n v="542447" u="1"/>
        <n v="29814" u="1"/>
        <n v="9839" u="1"/>
        <n v="21563" u="1"/>
        <n v="67592" u="1"/>
        <n v="12955" u="1"/>
        <n v="9801" u="1"/>
        <n v="453211" u="1"/>
        <n v="29756" u="1"/>
        <n v="29532" u="1"/>
        <n v="25763" u="1"/>
        <n v="228" u="1"/>
        <n v="44565" u="1"/>
        <n v="728432" u="1"/>
        <n v="728433" u="1"/>
        <n v="101777" u="1"/>
        <n v="101767" u="1"/>
        <n v="332936" u="1"/>
        <n v="1896" u="1"/>
        <n v="624215" u="1"/>
        <n v="12565" u="1"/>
        <n v="182" u="1"/>
        <n v="1232" u="1"/>
        <n v="921" u="1"/>
        <n v="47391" u="1"/>
        <n v="170000" u="1"/>
        <n v="44487" u="1"/>
        <n v="180000" u="1"/>
        <n v="98349" u="1"/>
        <n v="38815" u="1"/>
        <n v="87169" u="1"/>
        <n v="75733" u="1"/>
        <n v="30897" u="1"/>
        <n v="330553" u="1"/>
        <n v="330554" u="1"/>
        <n v="21509" u="1"/>
        <n v="17816" u="1"/>
        <n v="561" u="1"/>
        <n v="1627" u="1"/>
        <n v="133100" u="1"/>
        <n v="133069" u="1"/>
        <n v="133072" u="1"/>
        <n v="133105" u="1"/>
        <n v="376" u="1"/>
        <n v="26903" u="1"/>
        <n v="701" u="1"/>
        <n v="1508" u="1"/>
        <n v="623465" u="1"/>
        <n v="623471" u="1"/>
        <n v="623472" u="1"/>
        <n v="623474" u="1"/>
        <n v="623475" u="1"/>
        <n v="623463" u="1"/>
        <n v="623462" u="1"/>
        <n v="622976" u="1"/>
        <n v="622975" u="1"/>
        <n v="623050" u="1"/>
        <n v="622978" u="1"/>
        <n v="622979" u="1"/>
        <n v="623029" u="1"/>
        <n v="127077" u="1"/>
        <n v="127081" u="1"/>
        <n v="599" u="1"/>
        <n v="1042" u="1"/>
        <n v="2975" u="1"/>
        <n v="127624" u="1"/>
        <n v="127625" u="1"/>
        <n v="3922" u="1"/>
        <n v="14936" u="1"/>
        <n v="45" u="1"/>
        <n v="997" u="1"/>
        <n v="1782" u="1"/>
        <n v="5447" u="1"/>
        <n v="15030" u="1"/>
        <n v="15031" u="1"/>
        <n v="15032" u="1"/>
        <n v="15601" u="1"/>
        <n v="15600" u="1"/>
        <n v="434" u="1"/>
        <n v="2049" u="1"/>
        <n v="2050" u="1"/>
        <n v="20938" u="1"/>
        <n v="1973" u="1"/>
        <n v="2531" u="1"/>
        <n v="20961" u="1"/>
        <n v="477" u="1"/>
        <n v="1977" u="1"/>
        <n v="33391" u="1"/>
        <n v="33805" u="1"/>
        <n v="242622" u="1"/>
        <n v="242623" u="1"/>
        <n v="242624" u="1"/>
        <n v="34136" u="1"/>
        <n v="18443" u="1"/>
        <n v="580" u="1"/>
        <n v="310000" u="1"/>
        <n v="47246" u="1"/>
        <n v="2552" u="1"/>
        <n v="2553" u="1"/>
        <n v="332428" u="1"/>
        <n v="610" u="1"/>
        <n v="26115" u="1"/>
        <n v="335" u="1"/>
        <n v="336" u="1"/>
        <n v="337" u="1"/>
        <n v="338" u="1"/>
        <n v="484" u="1"/>
        <n v="4303" u="1"/>
        <n v="4304" u="1"/>
        <n v="16259" u="1"/>
        <n v="3558" u="1"/>
        <n v="881" u="1"/>
        <n v="882" u="1"/>
        <n v="883" u="1"/>
        <n v="884" u="1"/>
        <n v="885" u="1"/>
        <n v="886" u="1"/>
        <n v="887" u="1"/>
        <n v="888" u="1"/>
        <n v="900" u="1"/>
        <n v="901" u="1"/>
        <n v="906" u="1"/>
        <n v="902" u="1"/>
        <n v="903" u="1"/>
        <n v="907" u="1"/>
        <n v="908" u="1"/>
        <n v="909" u="1"/>
        <n v="910" u="1"/>
        <n v="911" u="1"/>
        <n v="904" u="1"/>
        <n v="905" u="1"/>
        <n v="912" u="1"/>
        <n v="914" u="1"/>
        <n v="25983" u="1"/>
        <n v="1919" u="1"/>
        <n v="31074" u="1"/>
        <n v="10513" u="1"/>
        <n v="2953" u="1"/>
        <n v="4221" u="1"/>
        <n v="12436" u="1"/>
        <n v="828" u="1"/>
        <n v="821" u="1"/>
        <n v="44" u="1"/>
        <n v="522" u="1"/>
        <n v="24859" u="1"/>
        <n v="24288" u="1"/>
        <n v="451" u="1"/>
        <n v="463" u="1"/>
        <n v="464" u="1"/>
        <n v="4599" u="1"/>
        <n v="469" u="1"/>
        <n v="3589" u="1"/>
        <n v="3590" u="1"/>
        <n v="3591" u="1"/>
        <n v="3592" u="1"/>
        <n v="1046" u="1"/>
        <n v="10376" u="1"/>
        <n v="26904" u="1"/>
        <n v="3899" u="1"/>
        <n v="44474" u="1"/>
        <n v="29729" u="1"/>
        <n v="582" u="1"/>
        <n v="29486" u="1"/>
        <n v="2027" u="1"/>
        <n v="446828" u="1"/>
        <n v="323287" u="1"/>
        <n v="725369" u="1"/>
        <n v="14284" u="1"/>
        <n v="42025" u="1"/>
        <n v="123398" u="1"/>
        <n v="3503" u="1"/>
        <n v="19212" u="1"/>
        <n v="20189" u="1"/>
        <n v="49904" u="1"/>
        <n v="14221" u="1"/>
        <n v="28194" u="1"/>
        <n v="1507" u="1"/>
        <n v="289000" u="1"/>
        <n v="21040" u="1"/>
        <n v="53623" u="1"/>
        <n v="93648" u="1"/>
        <n v="13575" u="1"/>
        <n v="123399" u="1"/>
        <n v="843" u="1"/>
        <n v="323292" u="1"/>
        <n v="22679" u="1"/>
        <n v="2920" u="1"/>
        <n v="25547" u="1"/>
        <n v="116214" u="1"/>
        <n v="4218" u="1"/>
        <n v="38244" u="1"/>
        <n v="21324" u="1"/>
        <n v="1834" u="1"/>
        <n v="123400" u="1"/>
        <n v="3377" u="1"/>
        <n v="4155" u="1"/>
        <n v="385" u="1"/>
        <n v="2987" u="1"/>
        <n v="23" u="1"/>
        <n v="86" u="1"/>
        <n v="312708" u="1"/>
        <n v="408516" u="1"/>
        <n v="1119" u="1"/>
        <n v="408517" u="1"/>
        <n v="7346" u="1"/>
        <n v="723376" u="1"/>
        <n v="10014" u="1"/>
        <n v="223" u="1"/>
        <n v="36984" u="1"/>
        <n v="123401" u="1"/>
        <n v="844" u="1"/>
        <n v="46943" u="1"/>
        <n v="312711" u="1"/>
        <n v="348010" u="1"/>
        <n v="205992" u="1"/>
        <n v="691110" u="1"/>
        <n v="189604" u="1"/>
        <n v="483" u="1"/>
        <n v="1901" u="1"/>
        <n v="1836" u="1"/>
        <n v="691112" u="1"/>
        <n v="3511" u="1"/>
        <n v="691113" u="1"/>
        <n v="3121" u="1"/>
        <n v="205993" u="1"/>
        <n v="691114" u="1"/>
        <n v="189605" u="1"/>
        <n v="33707" u="1"/>
        <n v="1381" u="1"/>
        <n v="5400" u="1"/>
        <n v="23058" u="1"/>
        <n v="14127" u="1"/>
        <n v="205994" u="1"/>
        <n v="35283" u="1"/>
        <n v="189606" u="1"/>
        <n v="845" u="1"/>
        <n v="36985" u="1"/>
        <n v="8470" u="1"/>
        <n v="46944" u="1"/>
        <n v="205995" u="1"/>
        <n v="189607" u="1"/>
        <n v="308181" u="1"/>
        <n v="5274" u="1"/>
        <n v="2538" u="1"/>
        <n v="577164" u="1"/>
        <n v="4494" u="1"/>
        <n v="12898" u="1"/>
        <n v="21451" u="1"/>
        <n v="120000" u="1"/>
        <n v="609438" u="1"/>
        <n v="1903" u="1"/>
        <n v="21325" u="1"/>
        <n v="14789" u="1"/>
        <n v="386" u="1"/>
        <n v="26210" u="1"/>
        <n v="349029" u="1"/>
        <n v="14726" u="1"/>
        <n v="609443" u="1"/>
        <n v="1188" u="1"/>
        <n v="29078" u="1"/>
        <n v="70" u="1"/>
        <n v="1058" u="1"/>
        <n v="14143" u="1"/>
        <n v="976" u="1"/>
        <n v="7622" u="1"/>
        <n v="577174" u="1"/>
        <n v="286000" u="1"/>
        <n v="7102" u="1"/>
        <n v="3452" u="1"/>
        <n v="846" u="1"/>
        <n v="36986" u="1"/>
        <n v="318273" u="1"/>
        <n v="3062" u="1"/>
        <n v="8079" u="1"/>
        <n v="46945" u="1"/>
        <n v="166668" u="1"/>
        <n v="127" u="1"/>
        <n v="16409" u="1"/>
        <n v="1905" u="1"/>
        <n v="52429" u="1"/>
        <n v="617522" u="1"/>
        <n v="32482" u="1"/>
        <n v="11811" u="1"/>
        <n v="400469" u="1"/>
        <n v="617523" u="1"/>
        <n v="617524" u="1"/>
        <n v="617525" u="1"/>
        <n v="2869" u="1"/>
        <n v="354" u="1"/>
        <n v="617526" u="1"/>
        <n v="1320" u="1"/>
        <n v="2479" u="1"/>
        <n v="29173" u="1"/>
        <n v="1190" u="1"/>
        <n v="86218" u="1"/>
        <n v="617528" u="1"/>
        <n v="556010" u="1"/>
        <n v="617529" u="1"/>
        <n v="617530" u="1"/>
        <n v="3456" u="1"/>
        <n v="847" u="1"/>
        <n v="14553" u="1"/>
        <n v="617532" u="1"/>
        <n v="9999" u="1"/>
        <n v="36987" u="1"/>
        <n v="617533" u="1"/>
        <n v="46946" u="1"/>
        <n v="175" u="1"/>
        <n v="587" u="1"/>
        <n v="20538" u="1"/>
        <n v="3523" u="1"/>
        <n v="21326" u="1"/>
        <n v="312738" u="1"/>
        <n v="387" u="1"/>
        <n v="14758" u="1"/>
        <n v="2093" u="1"/>
        <n v="235000" u="1"/>
        <n v="13655" u="1"/>
        <n v="65924" u="1"/>
        <n v="29016" u="1"/>
        <n v="311228" u="1"/>
        <n v="224" u="1"/>
        <n v="947326" u="1"/>
        <n v="311229" u="1"/>
        <n v="10015" u="1"/>
        <n v="2940" u="1"/>
        <n v="46947" u="1"/>
        <n v="311230" u="1"/>
        <n v="4778" u="1"/>
        <n v="2290" u="1"/>
        <n v="29678" u="1"/>
        <n v="20507" u="1"/>
        <n v="1909" u="1"/>
        <n v="3657" u="1"/>
        <n v="4195" u="1"/>
        <n v="355" u="1"/>
        <n v="2747" u="1"/>
        <n v="9700" u="1"/>
        <n v="409563" u="1"/>
        <n v="29174" u="1"/>
        <n v="43670" u="1"/>
        <n v="7906" u="1"/>
        <n v="14128" u="1"/>
        <n v="849" u="1"/>
        <n v="33144" u="1"/>
        <n v="719" u="1"/>
        <n v="654" u="1"/>
        <n v="46948" u="1"/>
        <n v="9448" u="1"/>
        <n v="2294" u="1"/>
        <n v="524" u="1"/>
        <n v="2041" u="1"/>
        <n v="1911" u="1"/>
        <n v="12899" u="1"/>
        <n v="3661" u="1"/>
        <n v="453" u="1"/>
        <n v="297626" u="1"/>
        <n v="14790" u="1"/>
        <n v="21201" u="1"/>
        <n v="1196" u="1"/>
        <n v="2361" u="1"/>
        <n v="1066" u="1"/>
        <n v="29143" u="1"/>
        <n v="318303" u="1"/>
        <n v="14144" u="1"/>
        <n v="9590" u="1"/>
        <n v="850" u="1"/>
        <n v="33271" u="1"/>
        <n v="33145" u="1"/>
        <n v="5314" u="1"/>
        <n v="24794" u="1"/>
        <n v="2428" u="1"/>
        <n v="46949" u="1"/>
        <n v="590" u="1"/>
        <n v="10441" u="1"/>
        <n v="7788" u="1"/>
        <n v="21422" u="1"/>
        <n v="404535" u="1"/>
        <n v="115598" u="1"/>
        <n v="23313" u="1"/>
        <n v="14743" u="1"/>
        <n v="318310" u="1"/>
        <n v="29175" u="1"/>
        <n v="43672" u="1"/>
        <n v="7402" u="1"/>
        <n v="916" u="1"/>
        <n v="851" u="1"/>
        <n v="122154" u="1"/>
        <n v="33272" u="1"/>
        <n v="786" u="1"/>
        <n v="47" u="1"/>
        <n v="115599" u="1"/>
        <n v="14554" u="1"/>
        <n v="10000" u="1"/>
        <n v="18712" u="1"/>
        <n v="2302" u="1"/>
        <n v="46950" u="1"/>
        <n v="24700" u="1"/>
        <n v="526" u="1"/>
        <n v="4059" u="1"/>
        <n v="74503" u="1"/>
        <n v="3799" u="1"/>
        <n v="318315" u="1"/>
        <n v="122155" u="1"/>
        <n v="9291" u="1"/>
        <n v="21328" u="1"/>
        <n v="52119" u="1"/>
        <n v="2369" u="1"/>
        <n v="497326" u="1"/>
        <n v="14759" u="1"/>
        <n v="17168" u="1"/>
        <n v="10205" u="1"/>
        <n v="5393" u="1"/>
        <n v="29144" u="1"/>
        <n v="917" u="1"/>
        <n v="225" u="1"/>
        <n v="13656" u="1"/>
        <n v="18996" u="1"/>
        <n v="852" u="1"/>
        <n v="445391" u="1"/>
        <n v="43" u="1"/>
        <n v="657" u="1"/>
        <n v="160" u="1"/>
        <n v="592" u="1"/>
        <n v="53065" u="1"/>
        <n v="72866" u="1"/>
        <n v="527" u="1"/>
        <n v="487" u="1"/>
        <n v="7544" u="1"/>
        <n v="404549" u="1"/>
        <n v="5267" u="1"/>
        <n v="605514" u="1"/>
        <n v="280000" u="1"/>
        <n v="422" u="1"/>
        <n v="605516" u="1"/>
        <n v="1397" u="1"/>
        <n v="1202" u="1"/>
        <n v="9244" u="1"/>
        <n v="72867" u="1"/>
        <n v="1072" u="1"/>
        <n v="21045" u="1"/>
        <n v="853" u="1"/>
        <n v="3220" u="1"/>
        <n v="593421" u="1"/>
        <n v="24890" u="1"/>
        <n v="2310" u="1"/>
        <n v="53066" u="1"/>
        <n v="528" u="1"/>
        <n v="303202" u="1"/>
        <n v="1854" u="1"/>
        <n v="3287" u="1"/>
        <n v="88122" u="1"/>
        <n v="3027" u="1"/>
        <n v="122159" u="1"/>
        <n v="87744" u="1"/>
        <n v="341023" u="1"/>
        <n v="12837" u="1"/>
        <n v="14854" u="1"/>
        <n v="262000" u="1"/>
        <n v="21329" u="1"/>
        <n v="1204" u="1"/>
        <n v="14791" u="1"/>
        <n v="529897" u="1"/>
        <n v="71" u="1"/>
        <n v="29208" u="1"/>
        <n v="29145" u="1"/>
        <n v="854" u="1"/>
        <n v="312788" u="1"/>
        <n v="14145" u="1"/>
        <n v="47520" u="1"/>
        <n v="7623" u="1"/>
        <n v="65558" u="1"/>
        <n v="10048" u="1"/>
        <n v="128" u="1"/>
        <n v="11482" u="1"/>
        <n v="289091" u="1"/>
        <n v="488" u="1"/>
        <n v="1921" u="1"/>
        <n v="21676" u="1"/>
        <n v="3681" u="1"/>
        <n v="423" u="1"/>
        <n v="3291" u="1"/>
        <n v="12916" u="1"/>
        <n v="3031" u="1"/>
        <n v="10836" u="1"/>
        <n v="21424" u="1"/>
        <n v="291615" u="1"/>
        <n v="2381" u="1"/>
        <n v="293" u="1"/>
        <n v="25332" u="1"/>
        <n v="20258" u="1"/>
        <n v="29303" u="1"/>
        <n v="855" u="1"/>
        <n v="21046" u="1"/>
        <n v="47521" u="1"/>
        <n v="7631" u="1"/>
        <n v="177" u="1"/>
        <n v="7111" u="1"/>
        <n v="14098" u="1"/>
        <n v="2448" u="1"/>
        <n v="2318" u="1"/>
        <n v="33087" u="1"/>
        <n v="47206" u="1"/>
        <n v="31856" u="1"/>
        <n v="120" u="1"/>
        <n v="3685" u="1"/>
        <n v="498363" u="1"/>
        <n v="34726" u="1"/>
        <n v="14949" u="1"/>
        <n v="1468" u="1"/>
        <n v="17422" u="1"/>
        <n v="73755" u="1"/>
        <n v="1338" u="1"/>
        <n v="93673" u="1"/>
        <n v="8252" u="1"/>
        <n v="5685" u="1"/>
        <n v="7182" u="1"/>
        <n v="127080" u="1"/>
        <n v="226" u="1"/>
        <n v="3492" u="1"/>
        <n v="856" u="1"/>
        <n v="23095" u="1"/>
        <n v="791" u="1"/>
        <n v="3102" u="1"/>
        <n v="2712" u="1"/>
        <n v="5362" u="1"/>
        <n v="73756" u="1"/>
        <n v="205786" u="1"/>
        <n v="33088" u="1"/>
        <n v="47207" u="1"/>
        <n v="40904" u="1"/>
        <n v="4779" u="1"/>
        <n v="424" u="1"/>
        <n v="3299" u="1"/>
        <n v="231000" u="1"/>
        <n v="69849" u="1"/>
        <n v="1275" u="1"/>
        <n v="21425" u="1"/>
        <n v="1210" u="1"/>
        <n v="46325" u="1"/>
        <n v="1145" u="1"/>
        <n v="4196" u="1"/>
        <n v="25333" u="1"/>
        <n v="405592" u="1"/>
        <n v="5433" u="1"/>
        <n v="29304" u="1"/>
        <n v="26184" u="1"/>
        <n v="792" u="1"/>
        <n v="7907" u="1"/>
        <n v="19030" u="1"/>
        <n v="21047" u="1"/>
        <n v="727" u="1"/>
        <n v="17990" u="1"/>
        <n v="69850" u="1"/>
        <n v="4330" u="1"/>
        <n v="23852" u="1"/>
        <n v="28863" u="1"/>
        <n v="30880" u="1"/>
        <n v="31857" u="1"/>
        <n v="3303" u="1"/>
        <n v="38762" u="1"/>
        <n v="1602" u="1"/>
        <n v="52755" u="1"/>
        <n v="20543" u="1"/>
        <n v="12901" u="1"/>
        <n v="69851" u="1"/>
        <n v="1212" u="1"/>
        <n v="20417" u="1"/>
        <n v="2263" u="1"/>
        <n v="12838" u="1"/>
        <n v="1082" u="1"/>
        <n v="52251" u="1"/>
        <n v="3890" u="1"/>
        <n v="14792" u="1"/>
        <n v="522082" u="1"/>
        <n v="275000" u="1"/>
        <n v="11215" u="1"/>
        <n v="522083" u="1"/>
        <n v="793" u="1"/>
        <n v="14146" u="1"/>
        <n v="69852" u="1"/>
        <n v="39393" u="1"/>
        <n v="89770" u="1"/>
        <n v="129" u="1"/>
        <n v="99477" u="1"/>
        <n v="7592" u="1"/>
        <n v="3437" u="1"/>
        <n v="26752" u="1"/>
        <n v="425" u="1"/>
        <n v="20638" u="1"/>
        <n v="2917" u="1"/>
        <n v="7789" u="1"/>
        <n v="69853" u="1"/>
        <n v="1149" u="1"/>
        <n v="21426" u="1"/>
        <n v="230000" u="1"/>
        <n v="309296" u="1"/>
        <n v="243" u="1"/>
        <n v="31385" u="1"/>
        <n v="3504" u="1"/>
        <n v="9734" u="1"/>
        <n v="29305" u="1"/>
        <n v="309297" u="1"/>
        <n v="794" u="1"/>
        <n v="26185" u="1"/>
        <n v="274000" u="1"/>
        <n v="241095" u="1"/>
        <n v="544100" u="1"/>
        <n v="69854" u="1"/>
        <n v="534" u="1"/>
        <n v="10065" u="1"/>
        <n v="901111" u="1"/>
        <n v="609655" u="1"/>
        <n v="28864" u="1"/>
        <n v="241096" u="1"/>
        <n v="25744" u="1"/>
        <n v="16636" u="1"/>
        <n v="901115" u="1"/>
        <n v="14950" u="1"/>
        <n v="21584" u="1"/>
        <n v="52757" u="1"/>
        <n v="901116" u="1"/>
        <n v="241097" u="1"/>
        <n v="69855" u="1"/>
        <n v="1086" u="1"/>
        <n v="18338" u="1"/>
        <n v="44248" u="1"/>
        <n v="30377" u="1"/>
        <n v="348636" u="1"/>
        <n v="3378" u="1"/>
        <n v="22246" u="1"/>
        <n v="27131" u="1"/>
        <n v="11641" u="1"/>
        <n v="407131" u="1"/>
        <n v="2338" u="1"/>
        <n v="69856" u="1"/>
        <n v="535" u="1"/>
        <n v="1998" u="1"/>
        <n v="1933" u="1"/>
        <n v="3835" u="1"/>
        <n v="31953" u="1"/>
        <n v="426" u="1"/>
        <n v="21742" u="1"/>
        <n v="131678" u="1"/>
        <n v="52758" u="1"/>
        <n v="80" u="1"/>
        <n v="296" u="1"/>
        <n v="131679" u="1"/>
        <n v="1088" u="1"/>
        <n v="8332" u="1"/>
        <n v="21427" u="1"/>
        <n v="3512" u="1"/>
        <n v="31386" u="1"/>
        <n v="140000" u="1"/>
        <n v="29306" u="1"/>
        <n v="131680" u="1"/>
        <n v="796" u="1"/>
        <n v="26186" u="1"/>
        <n v="666" u="1"/>
        <n v="131681" u="1"/>
        <n v="3839" u="1"/>
        <n v="1870" u="1"/>
        <n v="28865" u="1"/>
        <n v="8474" u="1"/>
        <n v="131682" u="1"/>
        <n v="394" u="1"/>
        <n v="3059" u="1"/>
        <n v="10948" u="1"/>
        <n v="52759" u="1"/>
        <n v="14919" u="1"/>
        <n v="72" u="1"/>
        <n v="131683" u="1"/>
        <n v="12839" u="1"/>
        <n v="14336" u="1"/>
        <n v="3516" u="1"/>
        <n v="9782" u="1"/>
        <n v="9262" u="1"/>
        <n v="30378" u="1"/>
        <n v="14793" u="1"/>
        <n v="21270" u="1"/>
        <n v="14147" u="1"/>
        <n v="98098" u="1"/>
        <n v="130" u="1"/>
        <n v="65492" u="1"/>
        <n v="31954" u="1"/>
        <n v="37191" u="1"/>
        <n v="3453" u="1"/>
        <n v="427" u="1"/>
        <n v="450010" u="1"/>
        <n v="1612" u="1"/>
        <n v="115243" u="1"/>
        <n v="26754" u="1"/>
        <n v="2803" u="1"/>
        <n v="617774" u="1"/>
        <n v="12461" u="1"/>
        <n v="297" u="1"/>
        <n v="30599" u="1"/>
        <n v="9861" u="1"/>
        <n v="400596" u="1"/>
        <n v="44125" u="1"/>
        <n v="56227" u="1"/>
        <n v="798" u="1"/>
        <n v="119404" u="1"/>
        <n v="29307" u="1"/>
        <n v="115244" u="1"/>
        <n v="9672" u="1"/>
        <n v="617783" u="1"/>
        <n v="538" u="1"/>
        <n v="346645" u="1"/>
        <n v="7632" u="1"/>
        <n v="25998" u="1"/>
        <n v="7112" u="1"/>
        <n v="65493" u="1"/>
        <n v="28866" u="1"/>
        <n v="30883" u="1"/>
        <n v="115245" u="1"/>
        <n v="20672" u="1"/>
        <n v="2417" u="1"/>
        <n v="14951" u="1"/>
        <n v="15928" u="1"/>
        <n v="864" u="1"/>
        <n v="115624" u="1"/>
        <n v="4189" u="1"/>
        <n v="30379" u="1"/>
        <n v="7963" u="1"/>
        <n v="119406" u="1"/>
        <n v="510533" u="1"/>
        <n v="30190" u="1"/>
        <n v="539" u="1"/>
        <n v="6143" u="1"/>
        <n v="21019" u="1"/>
        <n v="130500" u="1"/>
        <n v="1941" u="1"/>
        <n v="53581" u="1"/>
        <n v="31041" u="1"/>
        <n v="65494" u="1"/>
        <n v="428" u="1"/>
        <n v="115625" u="1"/>
        <n v="2941" u="1"/>
        <n v="119407" u="1"/>
        <n v="257000" u="1"/>
        <n v="1226" u="1"/>
        <n v="298" u="1"/>
        <n v="2291" u="1"/>
        <n v="1031" u="1"/>
        <n v="995" u="1"/>
        <n v="21429" u="1"/>
        <n v="865" u="1"/>
        <n v="212" u="1"/>
        <n v="52258" u="1"/>
        <n v="115626" u="1"/>
        <n v="5434" u="1"/>
        <n v="21177" u="1"/>
        <n v="147" u="1"/>
        <n v="26125" u="1"/>
        <n v="32176" u="1"/>
        <n v="120669" u="1"/>
        <n v="578484" u="1"/>
        <n v="7908" u="1"/>
        <n v="35492" u="1"/>
        <n v="461" u="1"/>
        <n v="3595" u="1"/>
        <n v="25999" u="1"/>
        <n v="4331" u="1"/>
        <n v="28867" u="1"/>
        <n v="119409" u="1"/>
        <n v="5308" u="1"/>
        <n v="14526" u="1"/>
        <n v="21713" u="1"/>
        <n v="2295" u="1"/>
        <n v="10949" u="1"/>
        <n v="1033" u="1"/>
        <n v="29655" u="1"/>
        <n v="407175" u="1"/>
        <n v="866" u="1"/>
        <n v="13360" u="1"/>
        <n v="801" u="1"/>
        <n v="12320" u="1"/>
        <n v="26409" u="1"/>
        <n v="9783" u="1"/>
        <n v="30380" u="1"/>
        <n v="14794" u="1"/>
        <n v="119410" u="1"/>
        <n v="13754" u="1"/>
        <n v="92937" u="1"/>
        <n v="1945" u="1"/>
        <n v="5379" u="1"/>
        <n v="202548" u="1"/>
        <n v="31042" u="1"/>
        <n v="130000" u="1"/>
        <n v="7593" u="1"/>
        <n v="53079" u="1"/>
        <n v="9468" u="1"/>
        <n v="20705" u="1"/>
        <n v="26756" u="1"/>
        <n v="299" u="1"/>
        <n v="2169" u="1"/>
        <n v="7790" u="1"/>
        <n v="867" u="1"/>
        <n v="21430" u="1"/>
        <n v="36250" u="1"/>
        <n v="87392" u="1"/>
        <n v="7467" u="1"/>
        <n v="672" u="1"/>
        <n v="115252" u="1"/>
        <n v="33855" u="1"/>
        <n v="18121" u="1"/>
        <n v="1882" u="1"/>
        <n v="462" u="1"/>
        <n v="26000" u="1"/>
        <n v="32051" u="1"/>
        <n v="1622" u="1"/>
        <n v="28868" u="1"/>
        <n v="115253" u="1"/>
        <n v="2303" u="1"/>
        <n v="1102" u="1"/>
        <n v="998" u="1"/>
        <n v="3930" u="1"/>
        <n v="14952" u="1"/>
        <n v="21525" u="1"/>
        <n v="21462" u="1"/>
        <n v="40411" u="1"/>
        <n v="30507" u="1"/>
        <n v="312393" u="1"/>
        <n v="26410" u="1"/>
        <n v="14826" u="1"/>
        <n v="14306" u="1"/>
        <n v="30381" u="1"/>
        <n v="38016" u="1"/>
        <n v="226759" u="1"/>
        <n v="312394" u="1"/>
        <n v="2370" u="1"/>
        <n v="4418" u="1"/>
        <n v="10209" u="1"/>
        <n v="2014" u="1"/>
        <n v="312395" u="1"/>
        <n v="30192" u="1"/>
        <n v="430" u="1"/>
        <n v="8129" u="1"/>
        <n v="1494" u="1"/>
        <n v="2827" u="1"/>
        <n v="39151" u="1"/>
        <n v="2177" u="1"/>
        <n v="20706" u="1"/>
        <n v="7546" u="1"/>
        <n v="869" u="1"/>
        <n v="255000" u="1"/>
        <n v="429386" u="1"/>
        <n v="14905" u="1"/>
        <n v="3154" u="1"/>
        <n v="4229" u="1"/>
        <n v="87900" u="1"/>
        <n v="21431" u="1"/>
        <n v="5206" u="1"/>
        <n v="570476" u="1"/>
        <n v="40" u="1"/>
        <n v="330555" u="1"/>
        <n v="148" u="1"/>
        <n v="25276" u="1"/>
        <n v="29310" u="1"/>
        <n v="87018" u="1"/>
        <n v="4166" u="1"/>
        <n v="1886" u="1"/>
        <n v="3481" u="1"/>
        <n v="26001" u="1"/>
        <n v="32052" u="1"/>
        <n v="1496" u="1"/>
        <n v="109836" u="1"/>
        <n v="22881" u="1"/>
        <n v="550314" u="1"/>
        <n v="28869" u="1"/>
        <n v="1171" u="1"/>
        <n v="73" u="1"/>
        <n v="14527" u="1"/>
        <n v="17618" u="1"/>
        <n v="25686" u="1"/>
        <n v="870" u="1"/>
        <n v="3288" u="1"/>
        <n v="3028" u="1"/>
        <n v="29531" u="1"/>
        <n v="13361" u="1"/>
        <n v="30508" u="1"/>
        <n v="330562" u="1"/>
        <n v="26411" u="1"/>
        <n v="29405" u="1"/>
        <n v="30382" u="1"/>
        <n v="14795" u="1"/>
        <n v="545" u="1"/>
        <n v="242399" u="1"/>
        <n v="1888" u="1"/>
        <n v="1823" u="1"/>
        <n v="1758" u="1"/>
        <n v="239374" u="1"/>
        <n v="242400" u="1"/>
        <n v="239375" u="1"/>
        <n v="301" u="1"/>
        <n v="9469" u="1"/>
        <n v="16673" u="1"/>
        <n v="20707" u="1"/>
        <n v="65122" u="1"/>
        <n v="242401" u="1"/>
        <n v="871" u="1"/>
        <n v="239376" u="1"/>
        <n v="3292" u="1"/>
        <n v="12920" u="1"/>
        <n v="181" u="1"/>
        <n v="12857" u="1"/>
        <n v="109839" u="1"/>
        <n v="239377" u="1"/>
        <n v="2122" u="1"/>
        <n v="1825" u="1"/>
        <n v="15205" u="1"/>
        <n v="20077" u="1"/>
        <n v="3099" u="1"/>
        <n v="6136" u="1"/>
        <n v="404698" u="1"/>
        <n v="7633" u="1"/>
        <n v="334" u="1"/>
        <n v="22882" u="1"/>
        <n v="127615" u="1"/>
        <n v="17745" u="1"/>
        <n v="537238" u="1"/>
        <n v="872" u="1"/>
        <n v="14953" u="1"/>
        <n v="118413" u="1"/>
        <n v="30572" u="1"/>
        <n v="24458" u="1"/>
        <n v="30509" u="1"/>
        <n v="27452" u="1"/>
        <n v="14827" u="1"/>
        <n v="17304" u="1"/>
        <n v="40163" u="1"/>
        <n v="10273" u="1"/>
        <n v="30383" u="1"/>
        <n v="601788" u="1"/>
        <n v="2022" u="1"/>
        <n v="5427" u="1"/>
        <n v="7444" u="1"/>
        <n v="1762" u="1"/>
        <n v="112867" u="1"/>
        <n v="432" u="1"/>
        <n v="30194" u="1"/>
        <n v="33608" u="1"/>
        <n v="241399" u="1"/>
        <n v="3103" u="1"/>
        <n v="4127" u="1"/>
        <n v="1242" u="1"/>
        <n v="28965" u="1"/>
        <n v="241400" u="1"/>
        <n v="2063" u="1"/>
        <n v="5821" u="1"/>
        <n v="586669" u="1"/>
        <n v="873" u="1"/>
        <n v="3300" u="1"/>
        <n v="36697" u="1"/>
        <n v="4261" u="1"/>
        <n v="241401" u="1"/>
        <n v="86143" u="1"/>
        <n v="586673" u="1"/>
        <n v="42370" u="1"/>
        <n v="613" u="1"/>
        <n v="586675" u="1"/>
        <n v="2024" u="1"/>
        <n v="87026" u="1"/>
        <n v="586678" u="1"/>
        <n v="1764" u="1"/>
        <n v="28" u="1"/>
        <n v="4135" u="1"/>
        <n v="586680" u="1"/>
        <n v="7909" u="1"/>
        <n v="586681" u="1"/>
        <n v="1244" u="1"/>
        <n v="33294" u="1"/>
        <n v="1179" u="1"/>
        <n v="1114" u="1"/>
        <n v="18849" u="1"/>
        <n v="1049" u="1"/>
        <n v="17746" u="1"/>
        <n v="34996" u="1"/>
        <n v="3434" u="1"/>
        <n v="3304" u="1"/>
        <n v="112870" u="1"/>
        <n v="809" u="1"/>
        <n v="74295" u="1"/>
        <n v="2784" u="1"/>
        <n v="30573" u="1"/>
        <n v="13362" u="1"/>
        <n v="30510" u="1"/>
        <n v="549" u="1"/>
        <n v="8288" u="1"/>
        <n v="2026" u="1"/>
        <n v="30384" u="1"/>
        <n v="314963" u="1"/>
        <n v="14796" u="1"/>
        <n v="433" u="1"/>
        <n v="30195" u="1"/>
        <n v="74296" u="1"/>
        <n v="28966" u="1"/>
        <n v="9533" u="1"/>
        <n v="30920" u="1"/>
        <n v="5317" u="1"/>
        <n v="23766" u="1"/>
        <n v="875" u="1"/>
        <n v="3438" u="1"/>
        <n v="810" u="1"/>
        <n v="112872" u="1"/>
        <n v="745" u="1"/>
        <n v="7791" u="1"/>
        <n v="313456" u="1"/>
        <n v="12921" u="1"/>
        <n v="601832" u="1"/>
        <n v="680" u="1"/>
        <n v="550" u="1"/>
        <n v="2028" u="1"/>
        <n v="7468" u="1"/>
        <n v="26319" u="1"/>
        <n v="3505" u="1"/>
        <n v="12212" u="1"/>
        <n v="94468" u="1"/>
        <n v="29061" u="1"/>
        <n v="271" u="1"/>
        <n v="2075" u="1"/>
        <n v="233848" u="1"/>
        <n v="9549" u="1"/>
        <n v="7602" u="1"/>
        <n v="23861" u="1"/>
        <n v="17747" u="1"/>
        <n v="876" u="1"/>
        <n v="6822" u="1"/>
        <n v="36889" u="1"/>
        <n v="811" u="1"/>
        <n v="349265" u="1"/>
        <n v="23672" u="1"/>
        <n v="233849" u="1"/>
        <n v="403220" u="1"/>
        <n v="746" u="1"/>
        <n v="27643" u="1"/>
        <n v="586720" u="1"/>
        <n v="5262" u="1"/>
        <n v="166" u="1"/>
        <n v="616" u="1"/>
        <n v="30574" u="1"/>
        <n v="586722" u="1"/>
        <n v="30511" u="1"/>
        <n v="242170" u="1"/>
        <n v="241918" u="1"/>
        <n v="1835" u="1"/>
        <n v="3379" u="1"/>
        <n v="4419" u="1"/>
        <n v="64119" u="1"/>
        <n v="242171" u="1"/>
        <n v="241919" u="1"/>
        <n v="30196" u="1"/>
        <n v="1380" u="1"/>
        <n v="82" u="1"/>
        <n v="9628" u="1"/>
        <n v="20962" u="1"/>
        <n v="33360" u="1"/>
        <n v="242172" u="1"/>
        <n v="28967" u="1"/>
        <n v="241920" u="1"/>
        <n v="3836" u="1"/>
        <n v="87537" u="1"/>
        <n v="33045" u="1"/>
        <n v="877" u="1"/>
        <n v="53089" u="1"/>
        <n v="87033" u="1"/>
        <n v="327086" u="1"/>
        <n v="747" u="1"/>
        <n v="7547" u="1"/>
        <n v="617" u="1"/>
        <n v="2406" u="1"/>
        <n v="150" u="1"/>
        <n v="100144" u="1"/>
        <n v="311960" u="1"/>
        <n v="552" u="1"/>
        <n v="1902" u="1"/>
        <n v="38214" u="1"/>
        <n v="87412" u="1"/>
        <n v="127626" u="1"/>
        <n v="402" u="1"/>
        <n v="1577" u="1"/>
        <n v="30291" u="1"/>
        <n v="1512" u="1"/>
        <n v="11661" u="1"/>
        <n v="241167" u="1"/>
        <n v="327091" u="1"/>
        <n v="1187" u="1"/>
        <n v="74" u="1"/>
        <n v="4104" u="1"/>
        <n v="3840" u="1"/>
        <n v="3450" u="1"/>
        <n v="33046" u="1"/>
        <n v="241168" u="1"/>
        <n v="813" u="1"/>
        <n v="3060" u="1"/>
        <n v="8075" u="1"/>
        <n v="2800" u="1"/>
        <n v="112878" u="1"/>
        <n v="2540" u="1"/>
        <n v="27644" u="1"/>
        <n v="313480" u="1"/>
        <n v="315497" u="1"/>
        <n v="618" u="1"/>
        <n v="241169" u="1"/>
        <n v="30575" u="1"/>
        <n v="13363" u="1"/>
        <n v="30512" u="1"/>
        <n v="1904" u="1"/>
        <n v="12843" u="1"/>
        <n v="8289" u="1"/>
        <n v="3517" u="1"/>
        <n v="435" u="1"/>
        <n v="241170" u="1"/>
        <n v="14797" u="1"/>
        <n v="37963" u="1"/>
        <n v="30197" u="1"/>
        <n v="15711" u="1"/>
        <n v="1189" u="1"/>
        <n v="32088" u="1"/>
        <n v="66" u="1"/>
        <n v="248" u="1"/>
        <n v="28968" u="1"/>
        <n v="99643" u="1"/>
        <n v="3454" u="1"/>
        <n v="33047" u="1"/>
        <n v="814" u="1"/>
        <n v="535332" u="1"/>
        <n v="72540" u="1"/>
        <n v="619" u="1"/>
        <n v="12922" u="1"/>
        <n v="123" u="1"/>
        <n v="13836" u="1"/>
        <n v="23390" u="1"/>
        <n v="12276" u="1"/>
        <n v="13253" u="1"/>
        <n v="30292" u="1"/>
        <n v="315508" u="1"/>
        <n v="20144" u="1"/>
        <n v="30229" u="1"/>
        <n v="72541" u="1"/>
        <n v="14687" u="1"/>
        <n v="4120" u="1"/>
        <n v="7634" u="1"/>
        <n v="232" u="1"/>
        <n v="3458" u="1"/>
        <n v="9550" u="1"/>
        <n v="28874" u="1"/>
        <n v="315512" u="1"/>
        <n v="2288" u="1"/>
        <n v="23548" u="1"/>
        <n v="65987" u="1"/>
        <n v="30576" u="1"/>
        <n v="12875" u="1"/>
        <n v="315514" u="1"/>
        <n v="20428" u="1"/>
        <n v="14829" u="1"/>
        <n v="327113" u="1"/>
        <n v="13789" u="1"/>
        <n v="2875" u="1"/>
        <n v="5688" u="1"/>
        <n v="306" u="1"/>
        <n v="2225" u="1"/>
        <n v="21027" u="1"/>
        <n v="25061" u="1"/>
        <n v="32089" u="1"/>
        <n v="33364" u="1"/>
        <n v="53345" u="1"/>
        <n v="816" u="1"/>
        <n v="3072" u="1"/>
        <n v="17781" u="1"/>
        <n v="17655" u="1"/>
        <n v="621" u="1"/>
        <n v="151" u="1"/>
        <n v="2292" u="1"/>
        <n v="4262" u="1"/>
        <n v="1910" u="1"/>
        <n v="3789" u="1"/>
        <n v="26448" u="1"/>
        <n v="2879" u="1"/>
        <n v="339" u="1"/>
        <n v="30293" u="1"/>
        <n v="27236" u="1"/>
        <n v="1195" u="1"/>
        <n v="13222" u="1"/>
        <n v="30230" u="1"/>
        <n v="3856" u="1"/>
        <n v="53346" u="1"/>
        <n v="20807" u="1"/>
        <n v="28875" u="1"/>
        <n v="5570" u="1"/>
        <n v="622" u="1"/>
        <n v="2426" u="1"/>
        <n v="96876" u="1"/>
        <n v="2166" u="1"/>
        <n v="402764" u="1"/>
        <n v="23549" u="1"/>
        <n v="23486" u="1"/>
        <n v="13364" u="1"/>
        <n v="12844" u="1"/>
        <n v="1587" u="1"/>
        <n v="4207" u="1"/>
        <n v="8290" u="1"/>
        <n v="1392" u="1"/>
        <n v="14798" u="1"/>
        <n v="188492" u="1"/>
        <n v="86918" u="1"/>
        <n v="1132" u="1"/>
        <n v="9661" u="1"/>
        <n v="25125" u="1"/>
        <n v="49754" u="1"/>
        <n v="3860" u="1"/>
        <n v="13175" u="1"/>
        <n v="5121" u="1"/>
        <n v="589851" u="1"/>
        <n v="589853" u="1"/>
        <n v="753" u="1"/>
        <n v="688" u="1"/>
        <n v="74943" u="1"/>
        <n v="623" u="1"/>
        <n v="32862" u="1"/>
        <n v="558" u="1"/>
        <n v="240937" u="1"/>
        <n v="29569" u="1"/>
        <n v="12860" u="1"/>
        <n v="13837" u="1"/>
        <n v="25409" u="1"/>
        <n v="441097" u="1"/>
        <n v="46225" u="1"/>
        <n v="7469" u="1"/>
        <n v="10260" u="1"/>
        <n v="12277" u="1"/>
        <n v="2497" u="1"/>
        <n v="74944" u="1"/>
        <n v="13254" u="1"/>
        <n v="30294" u="1"/>
        <n v="315540" u="1"/>
        <n v="275" u="1"/>
        <n v="30231" u="1"/>
        <n v="5389" u="1"/>
        <n v="32122" u="1"/>
        <n v="29065" u="1"/>
        <n v="53600" u="1"/>
        <n v="754" u="1"/>
        <n v="7603" u="1"/>
        <n v="87425" u="1"/>
        <n v="20808" u="1"/>
        <n v="28876" u="1"/>
        <n v="432025" u="1"/>
        <n v="168" u="1"/>
        <n v="6823" u="1"/>
        <n v="86921" u="1"/>
        <n v="559" u="1"/>
        <n v="336723" u="1"/>
        <n v="12939" u="1"/>
        <n v="336724" u="1"/>
        <n v="438" u="1"/>
        <n v="13396" u="1"/>
        <n v="4483" u="1"/>
        <n v="12876" u="1"/>
        <n v="30515" u="1"/>
        <n v="29475" u="1"/>
        <n v="336725" u="1"/>
        <n v="2891" u="1"/>
        <n v="14830" u="1"/>
        <n v="1331" u="1"/>
        <n v="14310" u="1"/>
        <n v="83" u="1"/>
        <n v="336726" u="1"/>
        <n v="1201" u="1"/>
        <n v="4160" u="1"/>
        <n v="29160" u="1"/>
        <n v="315549" u="1"/>
        <n v="437578" u="1"/>
        <n v="217" u="1"/>
        <n v="53601" u="1"/>
        <n v="2958" u="1"/>
        <n v="582825" u="1"/>
        <n v="33116" u="1"/>
        <n v="625" u="1"/>
        <n v="152" u="1"/>
        <n v="2308" u="1"/>
        <n v="121086" u="1"/>
        <n v="582829" u="1"/>
        <n v="1853" u="1"/>
        <n v="582831" u="1"/>
        <n v="3285" u="1"/>
        <n v="3025" u="1"/>
        <n v="115918" u="1"/>
        <n v="640318" u="1"/>
        <n v="341" u="1"/>
        <n v="22353" u="1"/>
        <n v="52278" u="1"/>
        <n v="1203" u="1"/>
        <n v="1073" u="1"/>
        <n v="30295" u="1"/>
        <n v="10686" u="1"/>
        <n v="92345" u="1"/>
        <n v="639316" u="1"/>
        <n v="691" u="1"/>
        <n v="14594" u="1"/>
        <n v="414896" u="1"/>
        <n v="16091" u="1"/>
        <n v="626" u="1"/>
        <n v="28877" u="1"/>
        <n v="8076" u="1"/>
        <n v="121088" u="1"/>
        <n v="1920" u="1"/>
        <n v="1855" u="1"/>
        <n v="439" u="1"/>
        <n v="3289" u="1"/>
        <n v="3029" u="1"/>
        <n v="13365" u="1"/>
        <n v="29476" u="1"/>
        <n v="8291" u="1"/>
        <n v="14342" u="1"/>
        <n v="19328" u="1"/>
        <n v="309512" u="1"/>
        <n v="1205" u="1"/>
        <n v="52216" u="1"/>
        <n v="14799" u="1"/>
        <n v="93229" u="1"/>
        <n v="401792" u="1"/>
        <n v="822" u="1"/>
        <n v="3226" u="1"/>
        <n v="757" u="1"/>
        <n v="401793" u="1"/>
        <n v="13570" u="1"/>
        <n v="25789" u="1"/>
        <n v="124" u="1"/>
        <n v="121090" u="1"/>
        <n v="32754" u="1"/>
        <n v="36396" u="1"/>
        <n v="12861" u="1"/>
        <n v="5224" u="1"/>
        <n v="12278" u="1"/>
        <n v="1018" u="1"/>
        <n v="4010" u="1"/>
        <n v="13255" u="1"/>
        <n v="30296" u="1"/>
        <n v="121091" u="1"/>
        <n v="307000" u="1"/>
        <n v="17091" u="1"/>
        <n v="823" u="1"/>
        <n v="3100" u="1"/>
        <n v="7635" u="1"/>
        <n v="2320" u="1"/>
        <n v="2190" u="1"/>
        <n v="4318" u="1"/>
        <n v="17753" u="1"/>
        <n v="8" u="1"/>
        <n v="10986" u="1"/>
        <n v="13980" u="1"/>
        <n v="20558" u="1"/>
        <n v="30517" u="1"/>
        <n v="1274" u="1"/>
        <n v="29477" u="1"/>
        <n v="609102" u="1"/>
        <n v="64446" u="1"/>
        <n v="1144" u="1"/>
        <n v="12814" u="1"/>
        <n v="609103" u="1"/>
        <n v="1079" u="1"/>
        <n v="14311" u="1"/>
        <n v="18226" u="1"/>
        <n v="33939" u="1"/>
        <n v="107226" u="1"/>
        <n v="240706" u="1"/>
        <n v="5429" u="1"/>
        <n v="609106" u="1"/>
        <n v="306000" u="1"/>
        <n v="824" u="1"/>
        <n v="3104" u="1"/>
        <n v="16202" u="1"/>
        <n v="9631" u="1"/>
        <n v="240707" u="1"/>
        <n v="609109" u="1"/>
        <n v="47365" u="1"/>
        <n v="153" u="1"/>
        <n v="47113" u="1"/>
        <n v="107227" u="1"/>
        <n v="240708" u="1"/>
        <n v="32755" u="1"/>
        <n v="3301" u="1"/>
        <n v="22607" u="1"/>
        <n v="29635" u="1"/>
        <n v="609116" u="1"/>
        <n v="240709" u="1"/>
        <n v="609117" u="1"/>
        <n v="13870" u="1"/>
        <n v="1211" u="1"/>
        <n v="420975" u="1"/>
        <n v="2131" u="1"/>
        <n v="8276" u="1"/>
        <n v="10293" u="1"/>
        <n v="450726" u="1"/>
        <n v="609119" u="1"/>
        <n v="3628" u="1"/>
        <n v="4657" u="1"/>
        <n v="825" u="1"/>
        <n v="202" u="1"/>
        <n v="12184" u="1"/>
        <n v="315590" u="1"/>
        <n v="47366" u="1"/>
        <n v="31936" u="1"/>
        <n v="47114" u="1"/>
        <n v="14532" u="1"/>
        <n v="3435" u="1"/>
        <n v="7" u="1"/>
        <n v="3305" u="1"/>
        <n v="86555" u="1"/>
        <n v="32661" u="1"/>
        <n v="6745" u="1"/>
        <n v="20433" u="1"/>
        <n v="30518" u="1"/>
        <n v="12846" u="1"/>
        <n v="4208" u="1"/>
        <n v="8292" u="1"/>
        <n v="14343" u="1"/>
        <n v="1021" u="1"/>
        <n v="3892" u="1"/>
        <n v="14800" u="1"/>
        <n v="3502" u="1"/>
        <n v="315597" u="1"/>
        <n v="696" u="1"/>
        <n v="130552" u="1"/>
        <n v="564766" u="1"/>
        <n v="29037" u="1"/>
        <n v="566" u="1"/>
        <n v="3179" u="1"/>
        <n v="3049" u="1"/>
        <n v="62747" u="1"/>
        <n v="1150" u="1"/>
        <n v="2139" u="1"/>
        <n v="349892" u="1"/>
        <n v="7470" u="1"/>
        <n v="13256" u="1"/>
        <n v="21190" u="1"/>
        <n v="11696" u="1"/>
        <n v="5390" u="1"/>
        <n v="170" u="1"/>
        <n v="567" u="1"/>
        <n v="1932" u="1"/>
        <n v="7604" u="1"/>
        <n v="31937" u="1"/>
        <n v="442" u="1"/>
        <n v="602101" u="1"/>
        <n v="315608" u="1"/>
        <n v="15998" u="1"/>
        <n v="32725" u="1"/>
        <n v="602103" u="1"/>
        <n v="6" u="1"/>
        <n v="12941" u="1"/>
        <n v="2663" u="1"/>
        <n v="312" u="1"/>
        <n v="4484" u="1"/>
        <n v="52537" u="1"/>
        <n v="32536" u="1"/>
        <n v="602106" u="1"/>
        <n v="602107" u="1"/>
        <n v="12815" u="1"/>
        <n v="38166" u="1"/>
        <n v="319645" u="1"/>
        <n v="434614" u="1"/>
        <n v="14312" u="1"/>
        <n v="602109" u="1"/>
        <n v="22199" u="1"/>
        <n v="2990" u="1"/>
        <n v="31244" u="1"/>
        <n v="602113" u="1"/>
        <n v="20907" u="1"/>
        <n v="602115" u="1"/>
        <n v="1869" u="1"/>
        <n v="53294" u="1"/>
        <n v="1739" u="1"/>
        <n v="30803" u="1"/>
        <n v="5272" u="1"/>
        <n v="281328" u="1"/>
        <n v="2537" u="1"/>
        <n v="130557" u="1"/>
        <n v="76" u="1"/>
        <n v="8340" u="1"/>
        <n v="52538" u="1"/>
        <n v="18386" u="1"/>
        <n v="26454" u="1"/>
        <n v="38293" u="1"/>
        <n v="14848" u="1"/>
        <n v="3514" u="1"/>
        <n v="829" u="1"/>
        <n v="764" u="1"/>
        <n v="13745" u="1"/>
        <n v="21191" u="1"/>
        <n v="25225" u="1"/>
        <n v="7163" u="1"/>
        <n v="49576" u="1"/>
        <n v="63632" u="1"/>
        <n v="128163" u="1"/>
        <n v="97782" u="1"/>
        <n v="482025" u="1"/>
        <n v="1871" u="1"/>
        <n v="20876" u="1"/>
        <n v="53295" u="1"/>
        <n v="424541" u="1"/>
        <n v="3451" u="1"/>
        <n v="63317" u="1"/>
        <n v="276796" u="1"/>
        <n v="6320" u="1"/>
        <n v="3061" u="1"/>
        <n v="8077" u="1"/>
        <n v="5" u="1"/>
        <n v="14407" u="1"/>
        <n v="96144" u="1"/>
        <n v="68" u="1"/>
        <n v="1026" u="1"/>
        <n v="52539" u="1"/>
        <n v="13367" u="1"/>
        <n v="128164" u="1"/>
        <n v="29480" u="1"/>
        <n v="14344" u="1"/>
        <n v="3518" u="1"/>
        <n v="422025" u="1"/>
        <n v="5414" u="1"/>
        <n v="31245" u="1"/>
        <n v="23114" u="1"/>
        <n v="125" u="1"/>
        <n v="30016" u="1"/>
        <n v="476" u="1"/>
        <n v="1873" u="1"/>
        <n v="3455" u="1"/>
        <n v="20845" u="1"/>
        <n v="35080" u="1"/>
        <n v="97406" u="1"/>
        <n v="300000" u="1"/>
        <n v="30804" u="1"/>
        <n v="604167" u="1"/>
        <n v="281" u="1"/>
        <n v="1093" u="1"/>
        <n v="91986" u="1"/>
        <n v="87826" u="1"/>
        <n v="18387" u="1"/>
        <n v="3522" u="1"/>
        <n v="3392" u="1"/>
        <n v="8766" u="1"/>
        <n v="117577" u="1"/>
        <n v="13257" u="1"/>
        <n v="21192" u="1"/>
        <n v="3979" u="1"/>
        <n v="1875" u="1"/>
        <n v="444" u="1"/>
        <n v="3459" u="1"/>
        <n v="16062" u="1"/>
        <n v="42897" u="1"/>
        <n v="12942" u="1"/>
        <n v="30584" u="1"/>
        <n v="4" u="1"/>
        <n v="52478" u="1"/>
        <n v="220" u="1"/>
        <n v="5430" u="1"/>
        <n v="167118" u="1"/>
        <n v="23115" u="1"/>
        <n v="1942" u="1"/>
        <n v="10090" u="1"/>
        <n v="347415" u="1"/>
        <n v="30805" u="1"/>
        <n v="96906" u="1"/>
        <n v="1227" u="1"/>
        <n v="13478" u="1"/>
        <n v="330776" u="1"/>
        <n v="2293" u="1"/>
        <n v="298000" u="1"/>
        <n v="1097" u="1"/>
        <n v="36595" u="1"/>
        <n v="12895" u="1"/>
        <n v="65895" u="1"/>
        <n v="14849" u="1"/>
        <n v="73207" u="1"/>
        <n v="117581" u="1"/>
        <n v="35839" u="1"/>
        <n v="2360" u="1"/>
        <n v="573" u="1"/>
        <n v="139" u="1"/>
        <n v="4138" u="1"/>
        <n v="1944" u="1"/>
        <n v="440709" u="1"/>
        <n v="73208" u="1"/>
        <n v="5312" u="1"/>
        <n v="2427" u="1"/>
        <n v="4272" u="1"/>
        <n v="1034" u="1"/>
        <n v="330785" u="1"/>
        <n v="5249" u="1"/>
        <n v="14408" u="1"/>
        <n v="13368" u="1"/>
        <n v="834" u="1"/>
        <n v="14345" u="1"/>
        <n v="769" u="1"/>
        <n v="11808" u="1"/>
        <n v="20311" u="1"/>
        <n v="44097" u="1"/>
        <n v="639" u="1"/>
        <n v="9665" u="1"/>
        <n v="1881" u="1"/>
        <n v="28978" u="1"/>
        <n v="25921" u="1"/>
        <n v="93506" u="1"/>
        <n v="509295" u="1"/>
        <n v="30806" u="1"/>
        <n v="2301" u="1"/>
        <n v="596164" u="1"/>
        <n v="20406" u="1"/>
        <n v="770" u="1"/>
        <n v="21383" u="1"/>
        <n v="596168" u="1"/>
        <n v="7471" u="1"/>
        <n v="2498" u="1"/>
        <n v="13258" u="1"/>
        <n v="115190" u="1"/>
        <n v="575" u="1"/>
        <n v="32256" u="1"/>
        <n v="1883" u="1"/>
        <n v="5391" u="1"/>
        <n v="578020" u="1"/>
        <n v="23022" u="1"/>
        <n v="1493" u="1"/>
        <n v="596176" u="1"/>
        <n v="28884" u="1"/>
        <n v="316" u="1"/>
        <n v="2305" u="1"/>
        <n v="26741" u="1"/>
        <n v="578026" u="1"/>
        <n v="11966" u="1"/>
        <n v="13983" u="1"/>
        <n v="29609" u="1"/>
        <n v="221" u="1"/>
        <n v="15874" u="1"/>
        <n v="578031" u="1"/>
        <n v="12817" u="1"/>
        <n v="42" u="1"/>
        <n v="596186" u="1"/>
        <n v="2015" u="1"/>
        <n v="1950" u="1"/>
        <n v="596188" u="1"/>
        <n v="578036" u="1"/>
        <n v="596189" u="1"/>
        <n v="1495" u="1"/>
        <n v="16877" u="1"/>
        <n v="25922" u="1"/>
        <n v="578039" u="1"/>
        <n v="28916" u="1"/>
        <n v="25859" u="1"/>
        <n v="77" u="1"/>
        <n v="2309" u="1"/>
        <n v="578042" u="1"/>
        <n v="13479" u="1"/>
        <n v="18642" u="1"/>
        <n v="5273" u="1"/>
        <n v="29641" u="1"/>
        <n v="3286" u="1"/>
        <n v="4493" u="1"/>
        <n v="12896" u="1"/>
        <n v="3026" u="1"/>
        <n v="21384" u="1"/>
        <n v="596200" u="1"/>
        <n v="596201" u="1"/>
        <n v="38" u="1"/>
        <n v="14787" u="1"/>
        <n v="596202" u="1"/>
        <n v="512" u="1"/>
        <n v="21195" u="1"/>
        <n v="286942" u="1"/>
        <n v="32257" u="1"/>
        <n v="1887" u="1"/>
        <n v="1757" u="1"/>
        <n v="21069" u="1"/>
        <n v="286943" u="1"/>
        <n v="286944" u="1"/>
        <n v="596207" u="1"/>
        <n v="2833" u="1"/>
        <n v="7621" u="1"/>
        <n v="312661" u="1"/>
        <n v="1367" u="1"/>
        <n v="286945" u="1"/>
        <n v="2313" u="1"/>
        <n v="2053" u="1"/>
        <n v="8078" u="1"/>
        <n v="32881" u="1"/>
        <n v="254" u="1"/>
        <n v="26742" u="1"/>
        <n v="44731" u="1"/>
        <n v="3290" u="1"/>
        <n v="3030" u="1"/>
        <n v="2900" u="1"/>
        <n v="25450" u="1"/>
        <n v="29484" u="1"/>
        <n v="9792" u="1"/>
        <n v="578" u="1"/>
        <n v="480" u="1"/>
        <n v="1824" u="1"/>
        <n v="3097" u="1"/>
        <n v="28980" u="1"/>
        <n v="25923" u="1"/>
        <n v="2447" u="1"/>
        <n v="726322" u="1"/>
        <n v="9934" u="1"/>
        <n v="722292" u="1"/>
        <n v="150000" u="1"/>
        <n v="7763" u="1"/>
        <n v="722293" u="1"/>
        <n v="173" u="1"/>
        <n v="20408" u="1"/>
        <n v="722294" u="1"/>
        <n v="36223" u="1"/>
        <n v="579" u="1"/>
        <n v="21322" u="1"/>
        <n v="99440" u="1"/>
        <n v="2021" u="1"/>
        <n v="3881" u="1"/>
        <n v="13259" u="1"/>
        <n v="21196" u="1"/>
        <n v="21070" u="1"/>
        <n v="3101" u="1"/>
        <n v="4123" u="1"/>
        <n v="17887" u="1"/>
        <n v="117972" u="1"/>
        <n v="2321" u="1"/>
        <n v="97046" u="1"/>
        <n v="28760" u="1"/>
        <n v="13984" u="1"/>
        <n v="840" u="1"/>
        <n v="13401" u="1"/>
        <n v="323270" u="1"/>
        <n v="157" u="1"/>
        <n v="323271" u="1"/>
        <n v="410002" u="1"/>
        <n v="2023" u="1"/>
        <n v="472025" u="1"/>
        <n v="9241" u="1"/>
        <n v="1828" u="1"/>
        <n v="3105" u="1"/>
        <n v="7905" u="1"/>
        <n v="14126" u="1"/>
        <n v="25924" u="1"/>
        <n v="8469" u="1"/>
        <n v="841" u="1"/>
        <n v="3302" u="1"/>
        <n v="23655" u="1"/>
        <n v="12897" u="1"/>
        <n v="4462" u="1"/>
        <n v="318236" u="1"/>
        <n v="2025" u="1"/>
        <n v="21323" u="1"/>
        <n v="29391" u="1"/>
        <n v="38053" u="1"/>
        <n v="14788" u="1"/>
        <n v="27" u="1"/>
        <n v="14725" u="1"/>
        <n v="384" u="1"/>
        <n v="11668" u="1"/>
        <n v="5376" u="1"/>
        <n v="14142" u="1"/>
        <n v="1180" u="1"/>
        <n v="255" u="1"/>
        <n v="5313" u="1"/>
        <n v="123397" u="1"/>
        <n v="3436" u="1"/>
        <n v="842" u="1"/>
        <n v="3306" u="1"/>
        <n v="2916" u="1"/>
        <n v="7787" u="1"/>
        <n v="29612" u="1"/>
        <n v="5250" u="1"/>
      </sharedItems>
    </cacheField>
    <cacheField name="Planta" numFmtId="0">
      <sharedItems/>
    </cacheField>
    <cacheField name="Planejador" numFmtId="0">
      <sharedItems/>
    </cacheField>
    <cacheField name="Nome fornecedor" numFmtId="0">
      <sharedItems count="331">
        <s v="BM BOX MONTAGEM, MANUTENCAO E LOCAC"/>
        <s v="IN-HAUS INDUSTRIAL E SERVICOS DE LO"/>
        <s v="LUX ELEVADORES ENGENHARIA E COMERCI"/>
        <s v="RICOHLOR COMERCIO E SISTEMAS"/>
        <s v="LUBRIN LUBRIFICACAO INDUSTRIAL LTDA"/>
        <s v="UNIFACILITIES SERVICOS EMPRESARIAIS"/>
        <s v="ADZ INDUSTRIA E COMERCIO LTDA"/>
        <s v="VAPOR TOTAL ENERGIA SERVICOS LTDA M"/>
        <s v="IPCO BRASIL SISTEMAS DE PROCESSAMEN"/>
        <s v="N D BOMBAS COMERCIO E SERVICOS LTDA"/>
        <s v="GRABER SISTEMAS DE SEGURANCA LTDA"/>
        <s v="COLORSISTHEM DO BRASIL COM E SISTEM"/>
        <s v="INTERENG AUTOMAÇÃO INDUSTRIAL LTDA"/>
        <s v="PRIMAX TRANSPORTES PESADOS LTDA"/>
        <s v="UMANA BRASIL ASSESSORIA E CONSULTOR"/>
        <s v="JETSERVICE INDUSTRIA E COMERCIO DE"/>
        <s v="HB INTEGRAL SERVICE"/>
        <s v="TRACTIAN TECNOLOGIA LTDA"/>
        <s v="MESSER GASES LTDA"/>
        <s v="SAMPRED SERVICOS DE MANUTENCAO LTDA"/>
        <s v="PMS CONSULTORIA EM ENGENHARIA DE SE"/>
        <s v="TOPICOS LOCAÇÕES DE GALPÕES E EQUIP"/>
        <s v="MULTPEX COMERCIO E TECNOLOGIA LTDA"/>
        <s v="GAETANO GOMES E SOUSA DI MAURO"/>
        <s v="AUTMAX AUTOMACAO E SERVICOS LTDA"/>
        <s v="T.A.M. MIRANDA EPP"/>
        <s v="DARDO CONSULTORIA E TECNOLOGIA LTDA"/>
        <s v="ROBERTO FALKENSTEIN LTDA"/>
        <s v="COHEP TREINAMENTO LTDA"/>
        <s v="ELETROMOTORES BADAN LTDA"/>
        <s v="TOYOTA MATERIAL HANDLING MERCOSUR I"/>
        <s v="TECVENT TECNOLOGIA EM VENTILACAO IN"/>
        <s v="METALURGICA FERRI LTDA"/>
        <s v="NOVIX CONSULTORIA LTDA"/>
        <s v="TROPOLE LOCAÇÃO, COMERCIO E SERVIÇO"/>
        <s v="QUATTRO TECH TECNOLOGIA E AUTOMOCAO"/>
        <s v="MULTI DRIVE COMERCIO ELETROELETRONI"/>
        <s v="HELPSEG ASSESSORIA EM SEGURANCA DO"/>
        <s v="ALKANSE EQUIPAMENTOS ELETRONICOS LT"/>
        <s v="ABL SOLUCOES INDUSTRIAIS LTDA"/>
        <s v="SAPORE  S.A"/>
        <s v="SSI HYDRAULICS"/>
        <s v="HIDRACOMP COMPONENTES HIDRAULICOS L"/>
        <s v="CASCADE BRASIL COMERCIO DE EQUIPAME"/>
        <s v="ALSCO BRASIL LTDA"/>
        <s v="RENOVA BENEFICIAMENTO DE RESIDUOS"/>
        <s v="HELP ELETRICA COMERCIO E SERVICOS L"/>
        <s v="TITAN IND. E COM. DE FERRAMENTAS E"/>
        <s v="WIKA DO BRASIL INDUSTRIA E COMERCIO"/>
        <s v="A.B FERREIRA - SERVICOS"/>
        <s v="FORMEL D DO BRASIL LTDA"/>
        <s v="MK2 SISTEMAS E TECNOLOGIA LTDA"/>
        <s v="A.L.C. AUTOMACAO LTDA"/>
        <s v="LIQUITEC TRANSFORMADORES LTDA"/>
        <s v="DIRCE MARCHIONI SOLUCOES EM SEGURAN"/>
        <s v="57.102.091 THAIS SANT ANA KOEPP DO"/>
        <s v="ASTRO DIESEL BOMBAS E BICOS INJETOR"/>
        <s v="AZTECH AUTOMACAO E TELECOMUNICACOES"/>
        <s v="AGUAJATO TRANSPORTES LTDA"/>
        <s v="PEKSEN PESAGEM, INSTRUMENTACAO E"/>
        <s v="JOSE MOYSES DE LIMA FILLHO ME"/>
        <s v="MARCATO ENGENHARIA E COMERCIO LTDA"/>
        <s v="RENOVA TRATAMENTO DE RESIDUOS LTDA"/>
        <s v="PANDORA GREEN DO BRASIL LTDA"/>
        <s v="MVC TRANSPORTE E LOGISTICA S.A."/>
        <s v="CARLOS ALBERTO GROCHOSKI"/>
        <s v="UNITEC FABRICAÇÃO DE MATERIAIS  FRI"/>
        <s v="HONEYWELL"/>
        <s v="ASSOCIAÇÃO DE EDUCAÇÃO  DO HOMEM DE"/>
        <s v="TEREZINHA DE JESUS MARCATTO PEREIRA"/>
        <s v="VERZANI &amp; SANDRINI SA"/>
        <s v="NORTEL SUPRIMENTOS INDLS. S/A."/>
        <s v="JP PRESTAÇÃO DE SERVIÇOS EM TRATAME"/>
        <s v="CEEMEESSE PLANEJAMENTO E GERENCIAME"/>
        <s v="ABIX TECNOLOGIA LTDA"/>
        <s v="AFIAÇÃO CAMPINAS SERVIÇOS E COMÉRCI"/>
        <s v="RED FOX SOLUCOES INDUSTRIAIS LTDA"/>
        <s v="AVERT-FIRE MANUTENÇÃO DE EQUIP. DE"/>
        <s v="RF CONTROLE PROFISSIONAL DE PRAGAS"/>
        <s v="DJ TREINAMENTOS EMPRESARIAIS LTDA"/>
        <s v="TOP TEAM SOLUCAO EM ENERGIA LTDA"/>
        <s v="RFJ EQUIPAMENTOS LTDA"/>
        <s v="GSO - VEDACOES INDUSTRIAIS LTDA-ME"/>
        <s v="ATITUDE Q TREINAMENTO LTDA."/>
        <s v="ERHARDT &amp; LEIMER DO BRASIL LTDA."/>
        <s v="LEME REBOBINAMENTO DE MOTORES ELETR"/>
        <s v="CARLOS ALBERTO FLORIANO"/>
        <s v="S.V. PRODUTOS PARA VEDAÇÃO LTDA - M" u="1"/>
        <s v="CENTRIVAC DISTRIBUIDORA E SERVICOS" u="1"/>
        <s v="CALTEC EQUIPAMENTOS DE SEGURANCA" u="1"/>
        <s v="ASSESSORIA TÉCNICA ATENE LTDA" u="1"/>
        <s v="TFT SOLUCOES AMBIENTAIS LTDA - EPP" u="1"/>
        <s v="JOEL ALVES PEREIRA TRANSPORTES" u="1"/>
        <s v="PRIME TRAFFOS GESTAO TECNICA E EMPR" u="1"/>
        <s v="TK ELEVADORES BRASIL LTDA" u="1"/>
        <s v="DISKTRANS COMERCIAL LTDA." u="1"/>
        <s v="SAUDE DIGITAL TECNOLOGIA, CONSULTOR" u="1"/>
        <s v="ACACIA PRODUTOS E SERVICOS LTDA" u="1"/>
        <s v="ARCADIS LOGOS SA" u="1"/>
        <s v="TORK EXPRESS DO BRASIL LTDA EPP" u="1"/>
        <s v="KION SOUTH AMERICA FAB DE EQUIP PAR" u="1"/>
        <s v="DWG SOLUTIONS CONSTRUÇÕES E MONTAGE" u="1"/>
        <s v="ARAUJO E ASSOCIADOS ENGENHARIA E" u="1"/>
        <s v="PRO AMBIENTE ASSESSORIA AMBIENTAL L" u="1"/>
        <s v="CONSTRUTORA DALPRA LTDA" u="1"/>
        <s v="NEWLIFT BRASIL SOLUCOES DE LOGISTIC" u="1"/>
        <s v="SOMOV RENTAL LTDA" u="1"/>
        <s v="CIB COMERCIO E ASSISTENCIA TECNICA" u="1"/>
        <s v="ARCHI COMERCIO E INSTALACAO INDUSTR" u="1"/>
        <s v="ECIL S/A PROD.E SIST.DE MED.CONTR." u="1"/>
        <s v="NUOVATEC ELETRICIDADE EIRELI - ME" u="1"/>
        <s v="SOFTRACK SOLUCOES EM MONITORAMENTO" u="1"/>
        <s v="AUGE INDUSTRIA E COMERCIO DE REVEST" u="1"/>
        <s v="USIFINE IND. MECANICA DE PRECISAO L" u="1"/>
        <s v="HIMILE BRASIL E INDUSTRIA MECANICA" u="1"/>
        <s v="SERVICE ENGEMAP INSTALAÇÕES LTDA." u="1"/>
        <s v="NEO-SONICS EQUIPAMENTOS LTDA-ME" u="1"/>
        <s v="MASTERLOOG 2004 COMERCIO E" u="1"/>
        <s v="ADER MÁQUINAS E EQUIPAMENTOS LTDA" u="1"/>
        <s v="MTS SISTEMAS DO BRASIL LTDA" u="1"/>
        <s v="TRANSPORTADORA AJOFER LTDA" u="1"/>
        <s v="APC PLATAFORMAS ELEVATORIAS LTDA" u="1"/>
        <s v="CALIBRATEC - MANUTENCAO DE EQUIPAME" u="1"/>
        <s v="HOPPE CONSULTORIA S/C LTDA" u="1"/>
        <s v="SOUZA ENOKIDA ADMINISTRACAO DE OBRA" u="1"/>
        <s v="R. GARCIA ENGENHARIA LTDA." u="1"/>
        <s v="IMPARPEC PECAS E LOCACOES LTDA" u="1"/>
        <s v="OTMIX CONSTRUÇÕES INDUSTRIAS EIRELI" u="1"/>
        <s v="MAPRE IND COM IMPORT E EXPORT LTDA" u="1"/>
        <s v="RESSET SERV DE LEGALIZ CADASTRAL LT" u="1"/>
        <s v="PARABOR LTDA" u="1"/>
        <s v="GREENYELLOW DO BRASIL ENERGIA E SER" u="1"/>
        <s v="SOPHO BUSINESS COMMUNICATIONS SOLUÇ" u="1"/>
        <s v="GALVANOPLASTIA TECNOCROMO LTDA" u="1"/>
        <s v="SR BUSINESS E ADMINISTRACAO DE BENS" u="1"/>
        <s v="SERIE Q INFORMATICA &amp; AUTOMACAO" u="1"/>
        <s v="INSTRON BRASIL EQUIPAMENTOS CIENTIF" u="1"/>
        <s v="A N BARROS LOCADORA LTDA - ME" u="1"/>
        <s v="COOPERATIVA CENTRAL DE COLETA E" u="1"/>
        <s v="COMERC ESCO COMERCIO E PRESTACAO DE" u="1"/>
        <s v="ABBA SANEAMENTO AMBIENTAL LTDA" u="1"/>
        <s v="TOP SERVICE SERVICOS E SISTEMAS LTD" u="1"/>
        <s v="MOTO HELP ENTREGAS RAPIDAS LTDA" u="1"/>
        <s v="CIM MONTAGENS INDUSTRIAL LTDA" u="1"/>
        <s v="MILLS LOCACAO, SERVICOS E LOGISTICA" u="1"/>
        <s v="FCINCO SOLUCOES EM IMPRESSOES LTDA" u="1"/>
        <s v="CLAUDIO ZALAF ADVOGADOS ASSOCIADOS" u="1"/>
        <s v="W.T.C. TECNOLOGIA EM TRATAMENTO DE" u="1"/>
        <s v="BTM ELETROMECANICA LTDA" u="1"/>
        <s v="SANCHES E KOEHLER MEDICOS ASSOCIADO" u="1"/>
        <s v="TURBO ENERGY COMPRESSORES DO BRASIL" u="1"/>
        <s v="KELLER EMPRESA DE SANEAMENTO E ECOL" u="1"/>
        <s v="W S LULIO MANUTENCAO DE MAQUINAS LT" u="1"/>
        <s v="DINSER FERRAMENTAS DIAMANTADAS LTDA" u="1"/>
        <s v="TRIGO BRASIL" u="1"/>
        <s v="AVS POÇOS ARTESIANOS" u="1"/>
        <s v="LECO INSTRUMENTOS LTDA" u="1"/>
        <s v="PRO RAD CONSULTORES EM RADIOPROTECA" u="1"/>
        <s v="PMS GESTAO DE SISTEMAS DE PROTECAO" u="1"/>
        <s v="WATERS TECHNOLOGIES DO BRASIL LTDA." u="1"/>
        <s v="SOMOS TORK LTDA" u="1"/>
        <s v="VMI INDÚSTRIA, COM., IMP. E EXPORTA" u="1"/>
        <s v="NOVO HORIZONTE JACAREPAGUA IMP. E E" u="1"/>
        <s v="SOS AMBIENTAL LTDA" u="1"/>
        <s v="RADIONIZA SIERVO RADIOPROTEÇÃO EIRE" u="1"/>
        <s v="ECO-VALLORE GESTAO E VALORIZACAO AM" u="1"/>
        <s v="TELEFONICA INFRAESTRUTURA E SEGURAN" u="1"/>
        <s v="MEC-Q COMÉRCIO E SERVIÇOS DE METROL" u="1"/>
        <s v="ILDA MARIA DE AZEVEDO-ME" u="1"/>
        <s v="LY DO BRASIL INDUSTRIA E COMERCIO" u="1"/>
        <s v="TECHNICAL CLEANER COMERCIO E SERVIC" u="1"/>
        <s v="ERGOQUALYTA LTDA" u="1"/>
        <s v="CIAFILTER SOROCABA EIRELI - ME" u="1"/>
        <s v="PROTECTO -TEC SISTEMAS DE SEGURANÇA" u="1"/>
        <s v="LGMT EQUIPAMENTOS INDUSTRIAL LTDA" u="1"/>
        <s v="REIS OFFICE PRODUCTS SERVICOS LTDA" u="1"/>
        <s v="ATA EQUIPAMENTOS ELETRONICOS E SERV" u="1"/>
        <s v="CONPRESSIONE SERVICOS LTDA" u="1"/>
        <s v="CONAUT CONTROLES AUTOMATICOS LTDA" u="1"/>
        <s v="MULTILIXO MULTILIXO REMOÇÕES DE LIX" u="1"/>
        <s v="RAPIDO SUMARE LTDA" u="1"/>
        <s v="UNIMED DO BRASIL CONFEDERACAO NAC D" u="1"/>
        <s v="TREETECH TECNOLOGIA LTDA" u="1"/>
        <s v="RADIONIZA HIGIENE DAS RADIAÇÕES LTD" u="1"/>
        <s v="MENSURA ENGENHARIA LTDA" u="1"/>
        <s v="ASSOCIACAO DE ENSINO SOCIAL" u="1"/>
        <s v="HP FINANCIAL SERVICES  BRASIL  LTDA" u="1"/>
        <s v="YSMEC MANUTENCAO DE MAQUINAS LTDA" u="1"/>
        <s v="TECMETRO - TECNOLOGIA" u="1"/>
        <s v="HIGH-END COMERCIO DE EQUIPAMENTOS" u="1"/>
        <s v="SCANSOURCE BRASIL DISTRIBUIDORA DE" u="1"/>
        <s v="SENSYCAL INSTRUMENTOS E SISTEMAS LT" u="1"/>
        <s v="AUT SERVICE COMERCIO SERVICO LTDA" u="1"/>
        <s v="SPARKYS LANCHES LTDA ME" u="1"/>
        <s v="ELOGI SOLUCOES AMBIENTAIS INTEGRADA" u="1"/>
        <s v="RJP DE FREITAS TRANSPORTES EIRELI" u="1"/>
        <s v="CICLOWAY INDUSTRIA E COMERCIO DE VE" u="1"/>
        <s v="EXPIRAL AUTOMACAO INDUSTRIAL LTDA -" u="1"/>
        <s v="SUEZ – TECNOLOGIAS E SOLUCOES PARA" u="1"/>
        <s v="FORTRAK LOCACAO E TRANSPORTES LTDA" u="1"/>
        <s v="CTM - CENTRO TECNOLOGICO DE METROLO" u="1"/>
        <s v="INDUMED COM. IMP. EXP. DE PROD" u="1"/>
        <s v="3D EDGE INDUSTRIA E COMERCIO LTDA" u="1"/>
        <s v="INNOMOTICS MOTORES E GRANDES CONVER" u="1"/>
        <s v="SCANSOURCEBRASIL DISTRIBUIDORA DE" u="1"/>
        <s v="ISOLAN ISOLACOES TERMICAS LTDA" u="1"/>
        <s v="MILLS ESTRUTURAS E SERVICOS DE ENGE" u="1"/>
        <s v="MECANICA BONFANTI S/A" u="1"/>
        <s v="GAMAFIRE SOLUÇÕES CONTRA INCENDIO L" u="1"/>
        <s v="LABORATORIO VAPOR SOLUTIONS LTDA" u="1"/>
        <s v="CLEUSA PONCIANO VENCIGUERRA" u="1"/>
        <s v="TOLEDO DO BRASIL IND DE BALANCAS LT" u="1"/>
        <s v="RS CAFE LTDA" u="1"/>
        <s v="PARTCOM PEÇAS E COMPRESSORES LTDA" u="1"/>
        <s v="CHROMPACK INSTRUMENTOS CIENTIFICOS" u="1"/>
        <s v="BOSCH REXROTH LTDA" u="1"/>
        <s v="VIDA EM FORMA - CONSULTORIA EM GEST" u="1"/>
        <s v="MICROMETICS COMERCIO E REPRESENTACA" u="1"/>
        <s v="CAR RACING STERLING LTDA" u="1"/>
        <s v="ENERGEPRO SOLUCOES DE ENERGIA E INF" u="1"/>
        <s v="PEOPLE SERVIÇOS TEMPORARIOS LTDA" u="1"/>
        <s v="AFERITEC COMPROVACOES METROLOGICAS" u="1"/>
        <s v="CMK GLOBAL SERVICE EQUIPAMENTOS IND" u="1"/>
        <s v="ADDN ASSISTENCIA TERCNICA COMERCIO" u="1"/>
        <s v="MULT SERVICE COMERCIO DE EQUIPAMENT" u="1"/>
        <s v="MVP CARAMELLA REPRESENTACAO E ASSES" u="1"/>
        <s v="DWG SERVICE LTDA" u="1"/>
        <s v="GLAS PRODUCOES DE EVENTOS LTDA" u="1"/>
        <s v="RFX TECNOLOGIA E COMERCIO LTDA" u="1"/>
        <s v="QUEST ASSISTENCIA TECNICA EM INSTRU" u="1"/>
        <s v="DIGITROL IND E COM LTDA" u="1"/>
        <s v="ADVANTECH BRASIL S/A" u="1"/>
        <s v="MITUTOYO SUL AMERICANA LTDA" u="1"/>
        <s v="PAULO HENRIQUE MONTEIRO ANDRADE" u="1"/>
        <s v="ULTRA MAQUINAS COMERCIAL DE FERRAME" u="1"/>
        <s v="LAPREZA AMBULANCIAS E SERVICOS LTDA" u="1"/>
        <s v="DUREN EQUIPAMENTOS INDUSTRIAIS LTDA" u="1"/>
        <s v="TECNO SERVICE DO BRASIL LTDA" u="1"/>
        <s v="VSOL ANALISES AMBIENTAIS LTDA" u="1"/>
        <s v="ELUS SERVICOS DE INSTRUMENTACAO EIR" u="1"/>
        <s v="SHIMIZU CONTROLE E INSTRUMENTAÇÃO L" u="1"/>
        <s v="MASOTTI &amp; CIOLFI CONSTRUCAO LTDA" u="1"/>
        <s v="CONTEMP IND. COM. E SERVICOS LTDA." u="1"/>
        <s v="PARSEC ENGENHARIA LTDA" u="1"/>
        <s v="VECTORA INDUSTRIA DE EQUIPAMENTOS E" u="1"/>
        <s v="VAPOR TOTAL COMERCIO E SERVICOS" u="1"/>
        <s v="BS EQUIPAMENTOS HIDRAULICOS LTDA" u="1"/>
        <s v="LABOR SOLUTIONS MANUTENÇÃO ELÉTRICA" u="1"/>
        <s v="52.211.926 ISAIAS DA SILVA MUNIZ" u="1"/>
        <s v="SERVIÇO NACIONAL DE APRENDIZAGEM" u="1"/>
        <s v="EMH - ELETROMECÂNICA E HIDRAULICA L" u="1"/>
        <s v="METTLER - TOLEDO INDUSTRIA E COMERC" u="1"/>
        <s v="VALE PRESENTE S.A" u="1"/>
        <s v="TD SYNNEX BRASIL LTDA" u="1"/>
        <s v="EDUARDO BAIRROS FOTOGRAFIA" u="1"/>
        <s v="CALIBRATEC MANUTENCAO DE EQUIPAMENT" u="1"/>
        <s v="HIGIDUTOS SERVICOS ESPECIALIZADOS E" u="1"/>
        <s v="WELLNESS SINTA-SE BEM LTDA" u="1"/>
        <s v="DELTA LICENCAS E DOCUMENTOS ESPECIA" u="1"/>
        <s v="PERKINELMER DO BRASIL ANALITICA LTD" u="1"/>
        <s v="EXTRALAB" u="1"/>
        <s v="ROTOVIC LAVANDERIA INDUSTRIAL LTDA." u="1"/>
        <s v="TRANSFORMADORES SAO CARLOS LTDA" u="1"/>
        <s v="J.P.S TRANSPORTES E LOGISTICA LTDA" u="1"/>
        <s v="ERNST &amp; YOUNG AUDITORES INDEPENDENT" u="1"/>
        <s v="S &amp; A IMUNIZACOES LTDA" u="1"/>
        <s v="TITROLAB INSTRUMENTOS CIENTÍFICOS L" u="1"/>
        <s v="JORGE LUIZ GIGO" u="1"/>
        <s v="QPACK SOLUCOES ANALITICAS LTDA" u="1"/>
        <s v="ADELCO SISTEMAS DE ENERGIA LTDA." u="1"/>
        <s v="TELELOK CENTRAL DE LOCAÇÕES E COM." u="1"/>
        <s v="UNILOCK MANUTENCAO DE EQUIPAMENTOS" u="1"/>
        <s v="METROHM PENSALAB INSTRUMENTACAO" u="1"/>
        <s v="DRIVE 7 - EQUIPAMENTOS E AUTOMACAO" u="1"/>
        <s v="COMURB SOCIEDADE DE PROJETOS URBANÍ" u="1"/>
        <s v="VFX IMPORTACAO DE FERRAMENTAS LTDA." u="1"/>
        <s v="LABORATORIO FEINMESS METROLOGIA E" u="1"/>
        <s v="ONE INSPECOES" u="1"/>
        <s v="CASCADURA INDUSTRIAL S.A." u="1"/>
        <s v="KM IND COM ELETROTECNICA LTDA" u="1"/>
        <s v="OPMEC SERVICOS E LOCACAO LTDA" u="1"/>
        <s v="RAFAEL DE SALLES CUNHA LORENZINO-ME" u="1"/>
        <s v="HEATMEC INDUSTRIA METALURGICA LTDA" u="1"/>
        <s v="PILZ DO BRASIL SISTEMAS ELETRONICOS" u="1"/>
        <s v="COMPUTYPE INC DO BRASIL ADESIVOS LT" u="1"/>
        <s v="E R GASPARINI FILHO MANUTENCAO ELET" u="1"/>
        <s v="JULIELLI CICILIANO PALACIOS MARIA D" u="1"/>
        <s v="POLE POWER COMERCIO E SERVICO ELETR" u="1"/>
        <s v="TECNOGERA LOCAÇÃO E TRANSFORMAÇÃO D" u="1"/>
        <s v="UNISKY COMERCIO E SERVICOS DE SONOR" u="1"/>
        <s v="GAMACAMP PRODUTOS HOSPITALARES LTDA" u="1"/>
        <s v="EMPLACA SERVICOS LTDA" u="1"/>
        <s v="CCL COMÉRCIO E SERVIÇOS LTDA" u="1"/>
        <s v="WESTCON BRASIL LTDA" u="1"/>
        <s v="UB AUTOMACAO INDUSTRIAL LTDA" u="1"/>
        <s v="ACE SCHMERSAL ELETROEL.ETRÔNICA" u="1"/>
        <s v="BUREAU VERITAS DO BRASIL SOC CLAS E" u="1"/>
        <s v="H 4 S HIDRAULICA E PNEUMATICA LTDA" u="1"/>
        <s v="PY2 RADIOSSOM INST. COM. IMP E EXP." u="1"/>
        <s v="CHARIS COMERCIO E REPRESENTACOES" u="1"/>
        <s v="INTERACAO RESIDUOS SP LTDA" u="1"/>
        <s v="FRANCO MORAIS RIO PRETO LTDA ME" u="1"/>
        <s v="ENGCAD PROJETOS INDUSTRIAIS LTDA" u="1"/>
        <s v="ISMA INDUSTRIA SILVEIRA DE MOVEIS D" u="1"/>
        <s v="MERCTANE SERVICOS EM CORREIAS-ME" u="1"/>
        <s v="CASSIO EDMAR PAGLIARANI ME" u="1"/>
        <s v="GHEE BANQUETERIA SERVICOS DE BUFFET" u="1"/>
        <s v="PSHTEC HYDRAULICS IMP E EXP LTDA ME" u="1"/>
        <s v="VOITH PAPER MÁQUINAS E EQUIPAMENTOS" u="1"/>
        <s v="GRT AUDITORIA DE TERCEIROS LTDA" u="1"/>
        <s v="TRADE E TALENTOS SOLUCOES EM TRADE" u="1"/>
        <s v="ROBOTER IN INSTALACOES LTDA" u="1"/>
        <s v="SOS MAQUINAS ASSESSORIA" u="1"/>
        <s v="BTX GEOLOGIA E MEIO AMBIENTE LTDA" u="1"/>
        <s v="CPFL SERVICOS, EQUIPAMENTOS, INDUST" u="1"/>
        <s v="MARCONATO SERVIÇOS ASSISTÊNCIA TÉCN" u="1"/>
        <s v="ANTONIO MAURICIO NETO LTDA" u="1"/>
        <s v="J. C. BORGES REPRESENTACAO" u="1"/>
        <s v="FARO TECHNOLOGIES DO BRASIL LTDA" u="1"/>
        <s v="MANHATTAN ELETRONIC COMERCIO DE MAT" u="1"/>
        <s v="BERTRAN COMERCIO DE EQUIPAMENTOS E" u="1"/>
        <s v="HS-X COMERCIO E SERVICOS DE EQUIPAM" u="1"/>
        <s v="PEOPLE SERVICOS TEMPORARIOS LTDA" u="1"/>
        <s v="TOPICO LOCACOES DE GALPOES E" u="1"/>
        <s v="HARO SERVIÇOS E COMERCIO LTDA" u="1"/>
        <s v="TARGET ENGENHARIA E CONSULTORIA" u="1"/>
        <s v="START UP CONTROLE AMBIENTAL LTDA." u="1"/>
        <s v="REGINA SANT ANA KOEPP DO NASCIMENTO" u="1"/>
        <s v="DIGICROM ANALITICA LTDA" u="1"/>
        <s v="R3S SEGURANCA E COMERCIO LTDA." u="1"/>
        <s v="CONSORCIO INTERMUNICIPAL DAS BACIAS" u="1"/>
      </sharedItems>
    </cacheField>
    <cacheField name="Erro ocorrido" numFmtId="0">
      <sharedItems/>
    </cacheField>
    <cacheField name="Fornecedor" numFmtId="0">
      <sharedItems containsSemiMixedTypes="0" containsString="0" containsNumber="1" containsInteger="1" minValue="4211300265" maxValue="4251319002" count="329">
        <n v="4211331860"/>
        <n v="4211315568"/>
        <n v="4211333373"/>
        <n v="4211325456"/>
        <n v="4211324689"/>
        <n v="4211333268"/>
        <n v="4211317766"/>
        <n v="4211328675"/>
        <n v="4211329278"/>
        <n v="4211308820"/>
        <n v="4211330448"/>
        <n v="4211314516"/>
        <n v="4211317321"/>
        <n v="4251304263"/>
        <n v="4211327021"/>
        <n v="4211332869"/>
        <n v="4211324964"/>
        <n v="4211331619"/>
        <n v="4211301181"/>
        <n v="4211333353"/>
        <n v="4211301849"/>
        <n v="4211321579"/>
        <n v="4211332489"/>
        <n v="4211333329"/>
        <n v="4211333386"/>
        <n v="4211323256"/>
        <n v="4211332535"/>
        <n v="4211332327"/>
        <n v="4211332900"/>
        <n v="4211329397"/>
        <n v="4211326362"/>
        <n v="4211327217"/>
        <n v="4211328145"/>
        <n v="4211331492"/>
        <n v="4211323772"/>
        <n v="4211330443"/>
        <n v="4211320088"/>
        <n v="4211321665"/>
        <n v="4211328786"/>
        <n v="4211333188"/>
        <n v="4211315539"/>
        <n v="4211330502"/>
        <n v="4211328790"/>
        <n v="4211332423"/>
        <n v="4211315715"/>
        <n v="4211326778"/>
        <n v="4211329568"/>
        <n v="4211330336"/>
        <n v="4211301275"/>
        <n v="4211333094"/>
        <n v="4211325624"/>
        <n v="4211331522"/>
        <n v="4211318490"/>
        <n v="4211328480"/>
        <n v="4211330236"/>
        <n v="4211333475"/>
        <n v="4211322980"/>
        <n v="4211332596"/>
        <n v="4211327212"/>
        <n v="4211317491"/>
        <n v="4211331625"/>
        <n v="4211328971"/>
        <n v="4211326779"/>
        <n v="4211326911"/>
        <n v="4251318732"/>
        <n v="4211330628"/>
        <n v="4211320791"/>
        <n v="4211332745"/>
        <n v="4211331198"/>
        <n v="4211324028"/>
        <n v="4211302912"/>
        <n v="4211318663"/>
        <n v="4211332094"/>
        <n v="4251318946"/>
        <n v="4211328965"/>
        <n v="4211319719"/>
        <n v="4211332993"/>
        <n v="4211324446"/>
        <n v="4211331382"/>
        <n v="4211330573"/>
        <n v="4211331436"/>
        <n v="4211326400"/>
        <n v="4211302205"/>
        <n v="4211333372"/>
        <n v="4211300552"/>
        <n v="4211327382"/>
        <n v="4211332960"/>
        <n v="4211312476" u="1"/>
        <n v="4211329866" u="1"/>
        <n v="4211300308" u="1"/>
        <n v="4211322108" u="1"/>
        <n v="4211330469" u="1"/>
        <n v="4211330973" u="1"/>
        <n v="4211331822" u="1"/>
        <n v="4211323108" u="1"/>
        <n v="4211320645" u="1"/>
        <n v="4211333255" u="1"/>
        <n v="4211330637" u="1"/>
        <n v="4211331060" u="1"/>
        <n v="4211325484" u="1"/>
        <n v="4211327832" u="1"/>
        <n v="4211321440" u="1"/>
        <n v="4211325736" u="1"/>
        <n v="4211326806" u="1"/>
        <n v="4211333346" u="1"/>
        <n v="4211333658" u="1"/>
        <n v="4211332342" u="1"/>
        <n v="4211327606" u="1"/>
        <n v="4211333113" u="1"/>
        <n v="4211300800" u="1"/>
        <n v="4211324675" u="1"/>
        <n v="4211329916" u="1"/>
        <n v="4211331155" u="1"/>
        <n v="4211301148" u="1"/>
        <n v="4211331371" u="1"/>
        <n v="4211332699" u="1"/>
        <n v="4211328072" u="1"/>
        <n v="4211324739" u="1"/>
        <n v="4211331104" u="1"/>
        <n v="4211325539" u="1"/>
        <n v="4251304051" u="1"/>
        <n v="4211332946" u="1"/>
        <n v="4211331654" u="1"/>
        <n v="4211305463" u="1"/>
        <n v="4211333424" u="1"/>
        <n v="4211333405" u="1"/>
        <n v="4211300265" u="1"/>
        <n v="4211329249" u="1"/>
        <n v="4211308365" u="1"/>
        <n v="4211333725" u="1"/>
        <n v="4211313590" u="1"/>
        <n v="4211333019" u="1"/>
        <n v="4211320999" u="1"/>
        <n v="4211325464" u="1"/>
        <n v="4211329059" u="1"/>
        <n v="4211303754" u="1"/>
        <n v="4211302555" u="1"/>
        <n v="4211328325" u="1"/>
        <n v="4211327085" u="1"/>
        <n v="4211330567" u="1"/>
        <n v="4211302281" u="1"/>
        <n v="4211329117" u="1"/>
        <n v="4211326205" u="1"/>
        <n v="4211333471" u="1"/>
        <n v="4211328565" u="1"/>
        <n v="4211329477" u="1"/>
        <n v="4211328012" u="1"/>
        <n v="4211326131" u="1"/>
        <n v="4211329769" u="1"/>
        <n v="4211333359" u="1"/>
        <n v="4211331311" u="1"/>
        <n v="4211325925" u="1"/>
        <n v="4211333657" u="1"/>
        <n v="4211304219" u="1"/>
        <n v="4251319002" u="1"/>
        <n v="4211325710" u="1"/>
        <n v="4211305046" u="1"/>
        <n v="4211303407" u="1"/>
        <n v="4211333790" u="1"/>
        <n v="4211302243" u="1"/>
        <n v="4211332437" u="1"/>
        <n v="4211325956" u="1"/>
        <n v="4211329690" u="1"/>
        <n v="4211314529" u="1"/>
        <n v="4211331742" u="1"/>
        <n v="4211331181" u="1"/>
        <n v="4211332989" u="1"/>
        <n v="4211332197" u="1"/>
        <n v="4211321641" u="1"/>
        <n v="4211329742" u="1"/>
        <n v="4211328537" u="1"/>
        <n v="4211332908" u="1"/>
        <n v="4211329739" u="1"/>
        <n v="4211317682" u="1"/>
        <n v="4211329037" u="1"/>
        <n v="4211330203" u="1"/>
        <n v="4211329728" u="1"/>
        <n v="4211331156" u="1"/>
        <n v="4211333571" u="1"/>
        <n v="4211324571" u="1"/>
        <n v="4211331131" u="1"/>
        <n v="4211330994" u="1"/>
        <n v="4211331607" u="1"/>
        <n v="4211317877" u="1"/>
        <n v="4211329184" u="1"/>
        <n v="4211321704" u="1"/>
        <n v="4211331295" u="1"/>
        <n v="4211332820" u="1"/>
        <n v="4211320059" u="1"/>
        <n v="4211325609" u="1"/>
        <n v="4211329590" u="1"/>
        <n v="4211327238" u="1"/>
        <n v="4211329733" u="1"/>
        <n v="4211329533" u="1"/>
        <n v="4211329455" u="1"/>
        <n v="4211330954" u="1"/>
        <n v="4211331904" u="1"/>
        <n v="4211326200" u="1"/>
        <n v="4211331635" u="1"/>
        <n v="4211333164" u="1"/>
        <n v="4211333727" u="1"/>
        <n v="4211320667" u="1"/>
        <n v="4211333563" u="1"/>
        <n v="4211332270" u="1"/>
        <n v="4211329377" u="1"/>
        <n v="4211326646" u="1"/>
        <n v="4211300806" u="1"/>
        <n v="4211315346" u="1"/>
        <n v="4211331595" u="1"/>
        <n v="4211333285" u="1"/>
        <n v="4211301137" u="1"/>
        <n v="4211331137" u="1"/>
        <n v="4211322194" u="1"/>
        <n v="4211317228" u="1"/>
        <n v="4211301615" u="1"/>
        <n v="4211332428" u="1"/>
        <n v="4211320573" u="1"/>
        <n v="4211333737" u="1"/>
        <n v="4211333466" u="1"/>
        <n v="4211324649" u="1"/>
        <n v="4211329387" u="1"/>
        <n v="4211319433" u="1"/>
        <n v="4211322208" u="1"/>
        <n v="4211333463" u="1"/>
        <n v="4211330610" u="1"/>
        <n v="4211329913" u="1"/>
        <n v="4211333013" u="1"/>
        <n v="4211325732" u="1"/>
        <n v="4211331109" u="1"/>
        <n v="4211300857" u="1"/>
        <n v="4211318087" u="1"/>
        <n v="4211301125" u="1"/>
        <n v="4211333175" u="1"/>
        <n v="4211333419" u="1"/>
        <n v="4211333283" u="1"/>
        <n v="4211313302" u="1"/>
        <n v="4211310385" u="1"/>
        <n v="4211333519" u="1"/>
        <n v="4211331890" u="1"/>
        <n v="4211333508" u="1"/>
        <n v="4211328726" u="1"/>
        <n v="4211300871" u="1"/>
        <n v="4211331412" u="1"/>
        <n v="4211327748" u="1"/>
        <n v="4211304873" u="1"/>
        <n v="4211332356" u="1"/>
        <n v="4211320740" u="1"/>
        <n v="4211332560" u="1"/>
        <n v="4211303048" u="1"/>
        <n v="4211332782" u="1"/>
        <n v="4211321102" u="1"/>
        <n v="4211323647" u="1"/>
        <n v="4211332731" u="1"/>
        <n v="4211319591" u="1"/>
        <n v="4211331484" u="1"/>
        <n v="4211328189" u="1"/>
        <n v="4211329402" u="1"/>
        <n v="4211333302" u="1"/>
        <n v="4211333586" u="1"/>
        <n v="4211320523" u="1"/>
        <n v="4211333498" u="1"/>
        <n v="4211313206" u="1"/>
        <n v="4211333572" u="1"/>
        <n v="4211301367" u="1"/>
        <n v="4211308917" u="1"/>
        <n v="4211332990" u="1"/>
        <n v="4211333575" u="1"/>
        <n v="4211321577" u="1"/>
        <n v="4211331689" u="1"/>
        <n v="4211325619" u="1"/>
        <n v="4211333010" u="1"/>
        <n v="4211333081" u="1"/>
        <n v="4211328917" u="1"/>
        <n v="4211304333" u="1"/>
        <n v="4211333402" u="1"/>
        <n v="4211326730" u="1"/>
        <n v="4211332263" u="1"/>
        <n v="4211331465" u="1"/>
        <n v="4211332371" u="1"/>
        <n v="4211333070" u="1"/>
        <n v="4211300740" u="1"/>
        <n v="4211330272" u="1"/>
        <n v="4211328119" u="1"/>
        <n v="4211331326" u="1"/>
        <n v="4211327960" u="1"/>
        <n v="4211333570" u="1"/>
        <n v="4211329068" u="1"/>
        <n v="4211331045" u="1"/>
        <n v="4211319933" u="1"/>
        <n v="4211309733" u="1"/>
        <n v="4211311071" u="1"/>
        <n v="4211332218" u="1"/>
        <n v="4211331048" u="1"/>
        <n v="4211332971" u="1"/>
        <n v="4211309824" u="1"/>
        <n v="4211319368" u="1"/>
        <n v="4211332505" u="1"/>
        <n v="4211333363" u="1"/>
        <n v="4211328773" u="1"/>
        <n v="4211303916" u="1"/>
        <n v="4211332400" u="1"/>
        <n v="4211306024" u="1"/>
        <n v="4211326870" u="1"/>
        <n v="4211330159" u="1"/>
        <n v="4211329628" u="1"/>
        <n v="4211330611" u="1"/>
        <n v="4211333031" u="1"/>
        <n v="4211326262" u="1"/>
        <n v="4211331534" u="1"/>
        <n v="4211309407" u="1"/>
        <n v="4211333264" u="1"/>
        <n v="4211333389" u="1"/>
        <n v="4211321036" u="1"/>
        <n v="4211332611" u="1"/>
        <n v="4211332895" u="1"/>
        <n v="4211329103" u="1"/>
        <n v="4211333304" u="1"/>
        <n v="4211327518" u="1"/>
        <n v="4211332057" u="1"/>
        <n v="4211333040" u="1"/>
        <n v="4211301136" u="1"/>
        <n v="4211328265" u="1"/>
        <n v="4211330870" u="1"/>
        <n v="4211332864" u="1"/>
        <n v="4211314847" u="1"/>
        <n v="4211305073" u="1"/>
        <n v="4211325652" u="1"/>
        <n v="4211326868" u="1"/>
        <n v="4211333151" u="1"/>
      </sharedItems>
    </cacheField>
    <cacheField name="Pedido" numFmtId="0">
      <sharedItems containsSemiMixedTypes="0" containsString="0" containsNumber="1" containsInteger="1" minValue="2600434069" maxValue="9001696395" count="2295">
        <n v="9001648762"/>
        <n v="9001671960"/>
        <n v="9001676786"/>
        <n v="9001657788"/>
        <n v="9001672541"/>
        <n v="9001673363"/>
        <n v="2600466671"/>
        <n v="2600461316"/>
        <n v="9001636728"/>
        <n v="9001678927"/>
        <n v="2600468465"/>
        <n v="9001589601"/>
        <n v="2600465945"/>
        <n v="2600465843"/>
        <n v="9001674040"/>
        <n v="9001678942"/>
        <n v="2600468409"/>
        <n v="2600467677"/>
        <n v="9001679635"/>
        <n v="9001679177"/>
        <n v="9001679202"/>
        <n v="2600462992"/>
        <n v="9001678615"/>
        <n v="2600467723"/>
        <n v="9001679200"/>
        <n v="9001680161"/>
        <n v="2600459368"/>
        <n v="9001660245"/>
        <n v="2600467053"/>
        <n v="9001685132"/>
        <n v="2600468420"/>
        <n v="2600462998"/>
        <n v="9001631078"/>
        <n v="9001690993"/>
        <n v="9001689718"/>
        <n v="9001691005"/>
        <n v="2600469152"/>
        <n v="9001685016"/>
        <n v="9001685135"/>
        <n v="9001624265"/>
        <n v="2600469069"/>
        <n v="9001687964"/>
        <n v="9001693768"/>
        <n v="9001684169"/>
        <n v="9001686374"/>
        <n v="9001695678"/>
        <n v="9001691004"/>
        <n v="9001688197"/>
        <n v="2600469898"/>
        <n v="2600466458"/>
        <n v="2600466880"/>
        <n v="9001696088"/>
        <n v="9001696395"/>
        <n v="2600464159"/>
        <n v="9001691007"/>
        <n v="2600467931"/>
        <n v="2600469482"/>
        <n v="9001695673"/>
        <n v="2600461235"/>
        <n v="9001691008"/>
        <n v="2600466451"/>
        <n v="2600468900"/>
        <n v="9001695283"/>
        <n v="9001695121"/>
        <n v="2600462111"/>
        <n v="2600469557"/>
        <n v="9001695710"/>
        <n v="9001687283"/>
        <n v="9001696071"/>
        <n v="2600470104"/>
        <n v="9001663316"/>
        <n v="2600468205"/>
        <n v="9001689831"/>
        <n v="9001689245"/>
        <n v="9001689397"/>
        <n v="9001691906"/>
        <n v="9001683832"/>
        <n v="2600469577"/>
        <n v="9001690905"/>
        <n v="9001695686"/>
        <n v="2600470010"/>
        <n v="2600470295"/>
        <n v="2600462052"/>
        <n v="9001681910"/>
        <n v="9001684170"/>
        <n v="2600460473"/>
        <n v="9001685448"/>
        <n v="2600468408"/>
        <n v="2600469253"/>
        <n v="9001691000"/>
        <n v="2600470313"/>
        <n v="9001674981"/>
        <n v="9001661033"/>
        <n v="9001692377"/>
        <n v="2600469450"/>
        <n v="2600468547"/>
        <n v="2600468814"/>
        <n v="9001690236"/>
        <n v="2600469242"/>
        <n v="2600470006"/>
        <n v="9001686007"/>
        <n v="2600469023"/>
        <n v="2600470177"/>
        <n v="2600468659"/>
        <n v="9001687863"/>
        <n v="9001695675"/>
        <n v="9001622082"/>
        <n v="9001631471"/>
        <n v="9001679956"/>
        <n v="2600467804"/>
        <n v="9001684162"/>
        <n v="9001689738"/>
        <n v="2600468723"/>
        <n v="9001689740"/>
        <n v="2600467128"/>
        <n v="9001684173"/>
        <n v="2600468010"/>
        <n v="2600460471"/>
        <n v="9001689713"/>
        <n v="2600469211"/>
        <n v="2600468424"/>
        <n v="2600468437"/>
        <n v="9001684172"/>
        <n v="9001690907"/>
        <n v="2600469428"/>
        <n v="9001692989"/>
        <n v="9001676632"/>
        <n v="2600469463"/>
        <n v="9001691311"/>
        <n v="9001691318"/>
        <n v="2600469928"/>
        <n v="9001682980"/>
        <n v="9001682989"/>
        <n v="9001689852"/>
        <n v="2600469497"/>
        <n v="9001678814"/>
        <n v="2600470091"/>
        <n v="9001569146"/>
        <n v="9001684418"/>
        <n v="2600468354"/>
        <n v="2600469395"/>
        <n v="9001689724"/>
        <n v="9001689739"/>
        <n v="9001694774"/>
        <n v="9001674982"/>
        <n v="9001689276"/>
        <n v="2600469016"/>
        <n v="9001689835"/>
        <n v="9001689243"/>
        <n v="9001687838"/>
        <n v="9001644807"/>
        <n v="9001682123"/>
        <n v="2600468410"/>
        <n v="2600465964"/>
        <n v="9001691002"/>
        <n v="2600467260"/>
        <n v="9001676842"/>
        <n v="2600469846"/>
        <n v="2600468760"/>
        <n v="9001686454"/>
        <n v="9001690502"/>
        <n v="9001692533"/>
        <n v="2600467487"/>
        <n v="9001628055"/>
        <n v="9001696035"/>
        <n v="9001693730"/>
        <n v="2600470096"/>
        <n v="2600462416"/>
        <n v="2600469172"/>
        <n v="2600461821"/>
        <n v="9001693267"/>
        <n v="9001690759"/>
        <n v="9001696037"/>
        <n v="2600465994"/>
        <n v="9001684419"/>
        <n v="9001676803"/>
        <n v="9001687932"/>
        <n v="2600467858"/>
        <n v="2600468295"/>
        <n v="2600468289"/>
        <n v="2600459321"/>
        <n v="2600466649"/>
        <n v="9001685436"/>
        <n v="2600469808"/>
        <n v="2600468195"/>
        <n v="2600469822"/>
        <n v="9001686449"/>
        <n v="9001689242"/>
        <n v="9001691314"/>
        <n v="2600469760"/>
        <n v="9001691006"/>
        <n v="2600470274"/>
        <n v="9001696033"/>
        <n v="9001687934"/>
        <n v="2600463484" u="1"/>
        <n v="9001661139" u="1"/>
        <n v="2600466735" u="1"/>
        <n v="2600466477" u="1"/>
        <n v="2600465946" u="1"/>
        <n v="2600466908" u="1"/>
        <n v="9001693774" u="1"/>
        <n v="9001693770" u="1"/>
        <n v="2600466438" u="1"/>
        <n v="9001695126" u="1"/>
        <n v="9001691981" u="1"/>
        <n v="9001695134" u="1"/>
        <n v="9001692982" u="1"/>
        <n v="2600462919" u="1"/>
        <n v="9001661020" u="1"/>
        <n v="9001693264" u="1"/>
        <n v="9001691313" u="1"/>
        <n v="9001693335" u="1"/>
        <n v="9001691238" u="1"/>
        <n v="9001695129" u="1"/>
        <n v="9001684166" u="1"/>
        <n v="2600469477" u="1"/>
        <n v="9001695125" u="1"/>
        <n v="9001695138" u="1"/>
        <n v="2600463489" u="1"/>
        <n v="9001693337" u="1"/>
        <n v="2600462015" u="1"/>
        <n v="9001695189" u="1"/>
        <n v="2600465551" u="1"/>
        <n v="9001690220" u="1"/>
        <n v="2600469810" u="1"/>
        <n v="2600467564" u="1"/>
        <n v="9001693769" u="1"/>
        <n v="2600461456" u="1"/>
        <n v="9001693777" u="1"/>
        <n v="2600467989" u="1"/>
        <n v="2600459519" u="1"/>
        <n v="2600468196" u="1"/>
        <n v="2600469881" u="1"/>
        <n v="9001681710" u="1"/>
        <n v="2600467044" u="1"/>
        <n v="2600467952" u="1"/>
        <n v="9001693317" u="1"/>
        <n v="9001690812" u="1"/>
        <n v="2600467119" u="1"/>
        <n v="9001688711" u="1"/>
        <n v="9001693338" u="1"/>
        <n v="9001681731" u="1"/>
        <n v="9001661044" u="1"/>
        <n v="9001690000" u="1"/>
        <n v="9001692990" u="1"/>
        <n v="9001695135" u="1"/>
        <n v="9001661045" u="1"/>
        <n v="9001661032" u="1"/>
        <n v="2600469466" u="1"/>
        <n v="2600468135" u="1"/>
        <n v="9001674468" u="1"/>
        <n v="2600469154" u="1"/>
        <n v="9001661024" u="1"/>
        <n v="9001661017" u="1"/>
        <n v="2600467587" u="1"/>
        <n v="2600469883" u="1"/>
        <n v="2600465133" u="1"/>
        <n v="2600462260" u="1"/>
        <n v="2600467586" u="1"/>
        <n v="9001685141" u="1"/>
        <n v="2600461865" u="1"/>
        <n v="9001685163" u="1"/>
        <n v="2600467043" u="1"/>
        <n v="9001693336" u="1"/>
        <n v="2600468797" u="1"/>
        <n v="2600457036" u="1"/>
        <n v="9001673977" u="1"/>
        <n v="9001666313" u="1"/>
        <n v="9001668771" u="1"/>
        <n v="2600463929" u="1"/>
        <n v="2600467614" u="1"/>
        <n v="2600466940" u="1"/>
        <n v="9001672633" u="1"/>
        <n v="2600465404" u="1"/>
        <n v="9001676841" u="1"/>
        <n v="2600463919" u="1"/>
        <n v="2600467844" u="1"/>
        <n v="9001676798" u="1"/>
        <n v="9001676840" u="1"/>
        <n v="9001676793" u="1"/>
        <n v="9001677508" u="1"/>
        <n v="2600466967" u="1"/>
        <n v="2600466902" u="1"/>
        <n v="2600465644" u="1"/>
        <n v="2600467071" u="1"/>
        <n v="9001673401" u="1"/>
        <n v="9001656741" u="1"/>
        <n v="9001684435" u="1"/>
        <n v="2600468056" u="1"/>
        <n v="2600469178" u="1"/>
        <n v="2600467189" u="1"/>
        <n v="2600462346" u="1"/>
        <n v="2600467645" u="1"/>
        <n v="2600465423" u="1"/>
        <n v="2600468131" u="1"/>
        <n v="2600467710" u="1"/>
        <n v="9001692373" u="1"/>
        <n v="9001682978" u="1"/>
        <n v="2600467638" u="1"/>
        <n v="9001680583" u="1"/>
        <n v="9001685025" u="1"/>
        <n v="9001672688" u="1"/>
        <n v="9001690123" u="1"/>
        <n v="9001689710" u="1"/>
        <n v="9001689850" u="1"/>
        <n v="9001689706" u="1"/>
        <n v="2600463198" u="1"/>
        <n v="9001685020" u="1"/>
        <n v="9001685147" u="1"/>
        <n v="9001684420" u="1"/>
        <n v="9001684527" u="1"/>
        <n v="9001685648" u="1"/>
        <n v="9001689824" u="1"/>
        <n v="9001689843" u="1"/>
        <n v="9001679978" u="1"/>
        <n v="2600463596" u="1"/>
        <n v="9001686169" u="1"/>
        <n v="2600468866" u="1"/>
        <n v="9001651737" u="1"/>
        <n v="9001685185" u="1"/>
        <n v="2600468443" u="1"/>
        <n v="2600467152" u="1"/>
        <n v="2600468651" u="1"/>
        <n v="9001688076" u="1"/>
        <n v="9001671757" u="1"/>
        <n v="2600466147" u="1"/>
        <n v="9001688486" u="1"/>
        <n v="9001684164" u="1"/>
        <n v="9001671981" u="1"/>
        <n v="9001690808" u="1"/>
        <n v="9001689839" u="1"/>
        <n v="2600466847" u="1"/>
        <n v="2600467593" u="1"/>
        <n v="9001684167" u="1"/>
        <n v="9001688648" u="1"/>
        <n v="2600461425" u="1"/>
        <n v="9001684171" u="1"/>
        <n v="9001690950" u="1"/>
        <n v="9001690237" u="1"/>
        <n v="2600468871" u="1"/>
        <n v="9001689841" u="1"/>
        <n v="2600468801" u="1"/>
        <n v="9001637207" u="1"/>
        <n v="9001686733" u="1"/>
        <n v="9001679562" u="1"/>
        <n v="2600465477" u="1"/>
        <n v="9001686535" u="1"/>
        <n v="2600468773" u="1"/>
        <n v="2600468807" u="1"/>
        <n v="9001688213" u="1"/>
        <n v="2600468512" u="1"/>
        <n v="9001690485" u="1"/>
        <n v="9001685156" u="1"/>
        <n v="9001689237" u="1"/>
        <n v="9001691003" u="1"/>
        <n v="9001690508" u="1"/>
        <n v="9001689840" u="1"/>
        <n v="9001689851" u="1"/>
        <n v="9001636057" u="1"/>
        <n v="9001671550" u="1"/>
        <n v="9001689837" u="1"/>
        <n v="2600469166" u="1"/>
        <n v="9001671549" u="1"/>
        <n v="9001651366" u="1"/>
        <n v="9001658705" u="1"/>
        <n v="9001661542" u="1"/>
        <n v="9001643367" u="1"/>
        <n v="2600467107" u="1"/>
        <n v="2600468442" u="1"/>
        <n v="2600468182" u="1"/>
        <n v="2600468348" u="1"/>
        <n v="9001657380" u="1"/>
        <n v="2600466011" u="1"/>
        <n v="9001675565" u="1"/>
        <n v="2600468372" u="1"/>
        <n v="9001682340" u="1"/>
        <n v="2600467852" u="1"/>
        <n v="9001688191" u="1"/>
        <n v="9001689253" u="1"/>
        <n v="2600465411" u="1"/>
        <n v="9001688177" u="1"/>
        <n v="9001685148" u="1"/>
        <n v="2600467393" u="1"/>
        <n v="9001688870" u="1"/>
        <n v="2600465326" u="1"/>
        <n v="9001686151" u="1"/>
        <n v="9001682352" u="1"/>
        <n v="9001634761" u="1"/>
        <n v="2600456571" u="1"/>
        <n v="2600468795" u="1"/>
        <n v="2600461519" u="1"/>
        <n v="2600466494" u="1"/>
        <n v="9001688380" u="1"/>
        <n v="9001679964" u="1"/>
        <n v="9001685162" u="1"/>
        <n v="9001688390" u="1"/>
        <n v="9001688706" u="1"/>
        <n v="9001687527" u="1"/>
        <n v="9001688707" u="1"/>
        <n v="9001685133" u="1"/>
        <n v="9001688474" u="1"/>
        <n v="9001689254" u="1"/>
        <n v="9001686160" u="1"/>
        <n v="9001688414" u="1"/>
        <n v="9001688427" u="1"/>
        <n v="9001688417" u="1"/>
        <n v="9001686074" u="1"/>
        <n v="2600469139" u="1"/>
        <n v="9001684576" u="1"/>
        <n v="9001637206" u="1"/>
        <n v="2600469058" u="1"/>
        <n v="9001687953" u="1"/>
        <n v="2600467518" u="1"/>
        <n v="9001688893" u="1"/>
        <n v="2600467357" u="1"/>
        <n v="9001685139" u="1"/>
        <n v="2600468022" u="1"/>
        <n v="9001628140" u="1"/>
        <n v="9001688709" u="1"/>
        <n v="9001677883" u="1"/>
        <n v="2600469227" u="1"/>
        <n v="9001689241" u="1"/>
        <n v="9001679687" u="1"/>
        <n v="2600465392" u="1"/>
        <n v="2600465982" u="1"/>
        <n v="9001628386" u="1"/>
        <n v="2600466116" u="1"/>
        <n v="9001671755" u="1"/>
        <n v="9001674159" u="1"/>
        <n v="2600468614" u="1"/>
        <n v="9001688705" u="1"/>
        <n v="9001688192" u="1"/>
        <n v="9001671764" u="1"/>
        <n v="2600469213" u="1"/>
        <n v="9001662643" u="1"/>
        <n v="9001648567" u="1"/>
        <n v="2600460820" u="1"/>
        <n v="2600466422" u="1"/>
        <n v="2600468388" u="1"/>
        <n v="2600467291" u="1"/>
        <n v="9001667029" u="1"/>
        <n v="9001688419" u="1"/>
        <n v="9001688232" u="1"/>
        <n v="9001671765" u="1"/>
        <n v="9001671845" u="1"/>
        <n v="9001688710" u="1"/>
        <n v="2600465408" u="1"/>
        <n v="9001689251" u="1"/>
        <n v="2600463015" u="1"/>
        <n v="2600468008" u="1"/>
        <n v="9001682246" u="1"/>
        <n v="9001681470" u="1"/>
        <n v="9001642072" u="1"/>
        <n v="9001681468" u="1"/>
        <n v="9001680146" u="1"/>
        <n v="9001681469" u="1"/>
        <n v="2600468842" u="1"/>
        <n v="2600468841" u="1"/>
        <n v="9001683834" u="1"/>
        <n v="2600468171" u="1"/>
        <n v="9001681467" u="1"/>
        <n v="2600463892" u="1"/>
        <n v="9001685461" u="1"/>
        <n v="2600468471" u="1"/>
        <n v="2600467467" u="1"/>
        <n v="2600462040" u="1"/>
        <n v="9001685456" u="1"/>
        <n v="9001685013" u="1"/>
        <n v="9001685449" u="1"/>
        <n v="9001685428" u="1"/>
        <n v="9001683836" u="1"/>
        <n v="9001677577" u="1"/>
        <n v="2600468844" u="1"/>
        <n v="2600468435" u="1"/>
        <n v="9001685455" u="1"/>
        <n v="9001682257" u="1"/>
        <n v="2600465317" u="1"/>
        <n v="9001682985" u="1"/>
        <n v="2600467600" u="1"/>
        <n v="9001685017" u="1"/>
        <n v="2600465778" u="1"/>
        <n v="9001682986" u="1"/>
        <n v="2600457306" u="1"/>
        <n v="9001674813" u="1"/>
        <n v="9001683453" u="1"/>
        <n v="9001683452" u="1"/>
        <n v="9001681932" u="1"/>
        <n v="9001628473" u="1"/>
        <n v="9001682959" u="1"/>
        <n v="2600467728" u="1"/>
        <n v="2600464534" u="1"/>
        <n v="9001682962" u="1"/>
        <n v="9001682988" u="1"/>
        <n v="9001685787" u="1"/>
        <n v="2600468682" u="1"/>
        <n v="9001681732" u="1"/>
        <n v="2600468865" u="1"/>
        <n v="9001684901" u="1"/>
        <n v="9001684820" u="1"/>
        <n v="9001684629" u="1"/>
        <n v="9001654831" u="1"/>
        <n v="9001685022" u="1"/>
        <n v="9001684573" u="1"/>
        <n v="2600467091" u="1"/>
        <n v="9001682164" u="1"/>
        <n v="9001685136" u="1"/>
        <n v="2600456972" u="1"/>
        <n v="2600468520" u="1"/>
        <n v="9001685138" u="1"/>
        <n v="9001676802" u="1"/>
        <n v="9001621901" u="1"/>
        <n v="2600463976" u="1"/>
        <n v="2600466414" u="1"/>
        <n v="9001677559" u="1"/>
        <n v="9001637251" u="1"/>
        <n v="2600468638" u="1"/>
        <n v="2600467432" u="1"/>
        <n v="2600467942" u="1"/>
        <n v="2600467411" u="1"/>
        <n v="9001663181" u="1"/>
        <n v="9001684575" u="1"/>
        <n v="2600468639" u="1"/>
        <n v="2600467732" u="1"/>
        <n v="9001684574" u="1"/>
        <n v="9001684572" u="1"/>
        <n v="2600465412" u="1"/>
        <n v="9001684569" u="1"/>
        <n v="9001681709" u="1"/>
        <n v="9001681728" u="1"/>
        <n v="9001681729" u="1"/>
        <n v="9001681460" u="1"/>
        <n v="2600465533" u="1"/>
        <n v="2600468191" u="1"/>
        <n v="9001681461" u="1"/>
        <n v="9001681439" u="1"/>
        <n v="2600466749" u="1"/>
        <n v="9001680991" u="1"/>
        <n v="2600465775" u="1"/>
        <n v="9001666315" u="1"/>
        <n v="9001676789" u="1"/>
        <n v="9001676787" u="1"/>
        <n v="9001676809" u="1"/>
        <n v="2600468186" u="1"/>
        <n v="9001677529" u="1"/>
        <n v="9001678929" u="1"/>
        <n v="9001678064" u="1"/>
        <n v="9001678941" u="1"/>
        <n v="2600468422" u="1"/>
        <n v="9001679937" u="1"/>
        <n v="9001679369" u="1"/>
        <n v="9001678928" u="1"/>
        <n v="9001678930" u="1"/>
        <n v="9001597945" u="1"/>
        <n v="9001676782" u="1"/>
        <n v="9001681931" u="1"/>
        <n v="9001681917" u="1"/>
        <n v="2600460946" u="1"/>
        <n v="9001678051" u="1"/>
        <n v="9001681913" u="1"/>
        <n v="9001681930" u="1"/>
        <n v="2600468031" u="1"/>
        <n v="9001683213" u="1"/>
        <n v="9001683454" u="1"/>
        <n v="9001683273" u="1"/>
        <n v="9001683829" u="1"/>
        <n v="9001655488" u="1"/>
        <n v="9001662388" u="1"/>
        <n v="9001661540" u="1"/>
        <n v="9001663313" u="1"/>
        <n v="9001663310" u="1"/>
        <n v="9001663325" u="1"/>
        <n v="9001663334" u="1"/>
        <n v="9001666274" u="1"/>
        <n v="9001666273" u="1"/>
        <n v="2600462406" u="1"/>
        <n v="2600466737" u="1"/>
        <n v="2600466670" u="1"/>
        <n v="9001672634" u="1"/>
        <n v="2600466905" u="1"/>
        <n v="2600466672" u="1"/>
        <n v="2600467489" u="1"/>
        <n v="2600466764" u="1"/>
        <n v="9001676792" u="1"/>
        <n v="2600467671" u="1"/>
        <n v="2600467372" u="1"/>
        <n v="2600467680" u="1"/>
        <n v="9001676790" u="1"/>
        <n v="9001677590" u="1"/>
        <n v="9001677578" u="1"/>
        <n v="2600468037" u="1"/>
        <n v="2600468055" u="1"/>
        <n v="9001676943" u="1"/>
        <n v="9001650893" u="1"/>
        <n v="2600468334" u="1"/>
        <n v="2600464530" u="1"/>
        <n v="2600467954" u="1"/>
        <n v="9001681478" u="1"/>
        <n v="2600453360" u="1"/>
        <n v="2600455222" u="1"/>
        <n v="9001679643" u="1"/>
        <n v="9001679241" u="1"/>
        <n v="9001681915" u="1"/>
        <n v="9001681442" u="1"/>
        <n v="2600468301" u="1"/>
        <n v="2600464785" u="1"/>
        <n v="9001682248" u="1"/>
        <n v="9001679642" u="1"/>
        <n v="9001679639" u="1"/>
        <n v="9001681914" u="1"/>
        <n v="2600467689" u="1"/>
        <n v="2600468506" u="1"/>
        <n v="2600468628" u="1"/>
        <n v="9001683263" u="1"/>
        <n v="9001679251" u="1"/>
        <n v="9001671313" u="1"/>
        <n v="9001681073" u="1"/>
        <n v="9001680959" u="1"/>
        <n v="9001681438" u="1"/>
        <n v="9001681711" u="1"/>
        <n v="9001679555" u="1"/>
        <n v="9001683010" u="1"/>
        <n v="9001683032" u="1"/>
        <n v="9001683012" u="1"/>
        <n v="9001683033" u="1"/>
        <n v="2600462977" u="1"/>
        <n v="2600465515" u="1"/>
        <n v="2600467715" u="1"/>
        <n v="2600465996" u="1"/>
        <n v="9001681360" u="1"/>
        <n v="9001678213" u="1"/>
        <n v="9001638525" u="1"/>
        <n v="2600459604" u="1"/>
        <n v="9001678627" u="1"/>
        <n v="2600466148" u="1"/>
        <n v="9001679550" u="1"/>
        <n v="9001679557" u="1"/>
        <n v="9001679551" u="1"/>
        <n v="9001679549" u="1"/>
        <n v="9001679941" u="1"/>
        <n v="9001679377" u="1"/>
        <n v="2600465890" u="1"/>
        <n v="2600467143" u="1"/>
        <n v="2600465826" u="1"/>
        <n v="2600458761" u="1"/>
        <n v="2600462166" u="1"/>
        <n v="2600466527" u="1"/>
        <n v="2600466236" u="1"/>
        <n v="2600466187" u="1"/>
        <n v="2600464489" u="1"/>
        <n v="2600464955" u="1"/>
        <n v="2600466132" u="1"/>
        <n v="9001650603" u="1"/>
        <n v="2600467727" u="1"/>
        <n v="9001673790" u="1"/>
        <n v="9001636038" u="1"/>
        <n v="9001674216" u="1"/>
        <n v="9001676800" u="1"/>
        <n v="2600464153" u="1"/>
        <n v="9001674816" u="1"/>
        <n v="2600465930" u="1"/>
        <n v="9001628143" u="1"/>
        <n v="9001672537" u="1"/>
        <n v="9001674804" u="1"/>
        <n v="2600466318" u="1"/>
        <n v="2600464283" u="1"/>
        <n v="9001678809" u="1"/>
        <n v="2600467552" u="1"/>
        <n v="9001678142" u="1"/>
        <n v="2600468174" u="1"/>
        <n v="2600468187" u="1"/>
        <n v="2600467485" u="1"/>
        <n v="9001679235" u="1"/>
        <n v="2600460744" u="1"/>
        <n v="9001679224" u="1"/>
        <n v="2600467298" u="1"/>
        <n v="2600468342" u="1"/>
        <n v="2600468344" u="1"/>
        <n v="9001675836" u="1"/>
        <n v="9001678131" u="1"/>
        <n v="9001675838" u="1"/>
        <n v="9001678063" u="1"/>
        <n v="9001679190" u="1"/>
        <n v="9001679636" u="1"/>
        <n v="9001679226" u="1"/>
        <n v="9001679648" u="1"/>
        <n v="2600465281" u="1"/>
        <n v="9001679572" u="1"/>
        <n v="9001679559" u="1"/>
        <n v="2600460829" u="1"/>
        <n v="9001680204" u="1"/>
        <n v="9001679965" u="1"/>
        <n v="9001674499" u="1"/>
        <n v="9001676916" u="1"/>
        <n v="9001679240" u="1"/>
        <n v="9001661161" u="1"/>
        <n v="9001668561" u="1"/>
        <n v="9001678825" u="1"/>
        <n v="9001675696" u="1"/>
        <n v="9001678617" u="1"/>
        <n v="9001679573" u="1"/>
        <n v="9001678624" u="1"/>
        <n v="9001678623" u="1"/>
        <n v="9001679547" u="1"/>
        <n v="9001679552" u="1"/>
        <n v="9001679574" u="1"/>
        <n v="9001679553" u="1"/>
        <n v="9001678621" u="1"/>
        <n v="9001678620" u="1"/>
        <n v="9001678628" u="1"/>
        <n v="9001679378" u="1"/>
        <n v="9001679558" u="1"/>
        <n v="9001679554" u="1"/>
        <n v="9001679638" u="1"/>
        <n v="9001680203" u="1"/>
        <n v="9001680205" u="1"/>
        <n v="2600466722" u="1"/>
        <n v="9001670104" u="1"/>
        <n v="2600465865" u="1"/>
        <n v="2600445783" u="1"/>
        <n v="2600467182" u="1"/>
        <n v="2600464288" u="1"/>
        <n v="2600453172" u="1"/>
        <n v="2600467699" u="1"/>
        <n v="9001677572" u="1"/>
        <n v="9001677574" u="1"/>
        <n v="9001678349" u="1"/>
        <n v="2600465736" u="1"/>
        <n v="2600466947" u="1"/>
        <n v="9001678348" u="1"/>
        <n v="9001678353" u="1"/>
        <n v="9001678354" u="1"/>
        <n v="2600463636" u="1"/>
        <n v="9001678355" u="1"/>
        <n v="9001678350" u="1"/>
        <n v="9001677567" u="1"/>
        <n v="9001643535" u="1"/>
        <n v="9001679236" u="1"/>
        <n v="9001679239" u="1"/>
        <n v="9001674498" u="1"/>
        <n v="9001678943" u="1"/>
        <n v="2600468183" u="1"/>
        <n v="9001678944" u="1"/>
        <n v="9001678420" u="1"/>
        <n v="2600468151" u="1"/>
        <n v="9001671959" u="1"/>
        <n v="9001630520" u="1"/>
        <n v="2600467878" u="1"/>
        <n v="9001677610" u="1"/>
        <n v="9001677612" u="1"/>
        <n v="9001678054" u="1"/>
        <n v="2600467171" u="1"/>
        <n v="9001677609" u="1"/>
        <n v="2600451094" u="1"/>
        <n v="9001678052" u="1"/>
        <n v="9001678053" u="1"/>
        <n v="9001668557" u="1"/>
        <n v="9001668562" u="1"/>
        <n v="9001668559" u="1"/>
        <n v="9001668556" u="1"/>
        <n v="9001663735" u="1"/>
        <n v="9001668558" u="1"/>
        <n v="9001670948" u="1"/>
        <n v="9001670949" u="1"/>
        <n v="9001670944" u="1"/>
        <n v="9001675695" u="1"/>
        <n v="9001665131" u="1"/>
        <n v="2600466077" u="1"/>
        <n v="9001676584" u="1"/>
        <n v="9001676635" u="1"/>
        <n v="9001675963" u="1"/>
        <n v="9001675979" u="1"/>
        <n v="9001675973" u="1"/>
        <n v="9001675986" u="1"/>
        <n v="2600467908" u="1"/>
        <n v="9001661642" u="1"/>
        <n v="9001668560" u="1"/>
        <n v="9001673971" u="1"/>
        <n v="9001676311" u="1"/>
        <n v="9001674716" u="1"/>
        <n v="9001671445" u="1"/>
        <n v="9001675679" u="1"/>
        <n v="2600464601" u="1"/>
        <n v="9001644517" u="1"/>
        <n v="9001678599" u="1"/>
        <n v="9001674536" u="1"/>
        <n v="9001674538" u="1"/>
        <n v="9001676940" u="1"/>
        <n v="2600467916" u="1"/>
        <n v="2600467903" u="1"/>
        <n v="2600467948" u="1"/>
        <n v="2600463765" u="1"/>
        <n v="2600467984" u="1"/>
        <n v="9001676917" u="1"/>
        <n v="2600467885" u="1"/>
        <n v="9001677611" u="1"/>
        <n v="9001674999" u="1"/>
        <n v="9001676848" u="1"/>
        <n v="9001673904" u="1"/>
        <n v="2600467063" u="1"/>
        <n v="9001640510" u="1"/>
        <n v="9001678061" u="1"/>
        <n v="2600463293" u="1"/>
        <n v="9001674799" u="1"/>
        <n v="9001675830" u="1"/>
        <n v="9001676006" u="1"/>
        <n v="2600464327" u="1"/>
        <n v="2600467597" u="1"/>
        <n v="9001674539" u="1"/>
        <n v="9001674808" u="1"/>
        <n v="9001675828" u="1"/>
        <n v="9001676941" u="1"/>
        <n v="2600465479" u="1"/>
        <n v="9001639635" u="1"/>
        <n v="2600467476" u="1"/>
        <n v="2600467869" u="1"/>
        <n v="2600467803" u="1"/>
        <n v="9001677570" u="1"/>
        <n v="2600466160" u="1"/>
        <n v="2600460753" u="1"/>
        <n v="9001676918" u="1"/>
        <n v="9001676878" u="1"/>
        <n v="2600465727" u="1"/>
        <n v="9001676856" u="1"/>
        <n v="2600452231" u="1"/>
        <n v="9001670883" u="1"/>
        <n v="9001667310" u="1"/>
        <n v="9001674524" u="1"/>
        <n v="9001674518" u="1"/>
        <n v="9001674522" u="1"/>
        <n v="9001674514" u="1"/>
        <n v="9001674482" u="1"/>
        <n v="9001674483" u="1"/>
        <n v="9001674529" u="1"/>
        <n v="9001674528" u="1"/>
        <n v="9001674530" u="1"/>
        <n v="2600464203" u="1"/>
        <n v="2600461468" u="1"/>
        <n v="9001667426" u="1"/>
        <n v="9001674481" u="1"/>
        <n v="2600464949" u="1"/>
        <n v="9001675974" u="1"/>
        <n v="2600467795" u="1"/>
        <n v="9001676785" u="1"/>
        <n v="9001676806" u="1"/>
        <n v="9001672690" u="1"/>
        <n v="9001672686" u="1"/>
        <n v="9001653533" u="1"/>
        <n v="2600467392" u="1"/>
        <n v="9001643334" u="1"/>
        <n v="9001668317" u="1"/>
        <n v="2600466918" u="1"/>
        <n v="9001646091" u="1"/>
        <n v="9001651630" u="1"/>
        <n v="9001649428" u="1"/>
        <n v="9001647525" u="1"/>
        <n v="9001657233" u="1"/>
        <n v="9001659185" u="1"/>
        <n v="9001659995" u="1"/>
        <n v="9001659986" u="1"/>
        <n v="9001659632" u="1"/>
        <n v="9001659610" u="1"/>
        <n v="9001659609" u="1"/>
        <n v="9001659604" u="1"/>
        <n v="9001659596" u="1"/>
        <n v="9001659985" u="1"/>
        <n v="9001659594" u="1"/>
        <n v="2600462966" u="1"/>
        <n v="9001661551" u="1"/>
        <n v="9001661869" u="1"/>
        <n v="9001662375" u="1"/>
        <n v="2600464503" u="1"/>
        <n v="2600465040" u="1"/>
        <n v="2600465934" u="1"/>
        <n v="2600465818" u="1"/>
        <n v="2600461545" u="1"/>
        <n v="2600465516" u="1"/>
        <n v="2600461998" u="1"/>
        <n v="2600466696" u="1"/>
        <n v="2600466495" u="1"/>
        <n v="2600466684" u="1"/>
        <n v="2600466790" u="1"/>
        <n v="2600466858" u="1"/>
        <n v="2600466301" u="1"/>
        <n v="2600466012" u="1"/>
        <n v="2600467147" u="1"/>
        <n v="2600467046" u="1"/>
        <n v="2600466726" u="1"/>
        <n v="9001672531" u="1"/>
        <n v="9001672538" u="1"/>
        <n v="2600465764" u="1"/>
        <n v="2600467313" u="1"/>
        <n v="2600467167" u="1"/>
        <n v="2600467080" u="1"/>
        <n v="2600466901" u="1"/>
        <n v="2600466828" u="1"/>
        <n v="2600464325" u="1"/>
        <n v="9001672534" u="1"/>
        <n v="9001672539" u="1"/>
        <n v="2600459865" u="1"/>
        <n v="2600467039" u="1"/>
        <n v="2600465331" u="1"/>
        <n v="9001649211" u="1"/>
        <n v="9001672682" u="1"/>
        <n v="2600452165" u="1"/>
        <n v="9001672546" u="1"/>
        <n v="2600465918" u="1"/>
        <n v="2600467185" u="1"/>
        <n v="9001667238" u="1"/>
        <n v="9001667446" u="1"/>
        <n v="9001667445" u="1"/>
        <n v="2600466080" u="1"/>
        <n v="9001668033" u="1"/>
        <n v="2600466498" u="1"/>
        <n v="9001671664" u="1"/>
        <n v="9001671663" u="1"/>
        <n v="9001671667" u="1"/>
        <n v="9001671668" u="1"/>
        <n v="9001672637" u="1"/>
        <n v="9001672636" u="1"/>
        <n v="9001673395" u="1"/>
        <n v="9001673658" u="1"/>
        <n v="9001673661" u="1"/>
        <n v="2600467343" u="1"/>
        <n v="9001671794" u="1"/>
        <n v="9001671756" u="1"/>
        <n v="9001673368" u="1"/>
        <n v="9001672545" u="1"/>
        <n v="9001674105" u="1"/>
        <n v="9001673068" u="1"/>
        <n v="9001673995" u="1"/>
        <n v="9001671225" u="1"/>
        <n v="9001667934" u="1"/>
        <n v="9001671477" u="1"/>
        <n v="2600466814" u="1"/>
        <n v="2600462776" u="1"/>
        <n v="9001674104" u="1"/>
        <n v="9001673996" u="1"/>
        <n v="9001672266" u="1"/>
        <n v="9001672274" u="1"/>
        <n v="9001657435" u="1"/>
        <n v="9001664134" u="1"/>
        <n v="9001672263" u="1"/>
        <n v="9001672265" u="1"/>
        <n v="9001652368" u="1"/>
        <n v="9001665817" u="1"/>
        <n v="2600467405" u="1"/>
        <n v="9001645536" u="1"/>
        <n v="9001651653" u="1"/>
        <n v="9001667470" u="1"/>
        <n v="2600460533" u="1"/>
        <n v="2600467323" u="1"/>
        <n v="2600467289" u="1"/>
        <n v="9001672548" u="1"/>
        <n v="2600466415" u="1"/>
        <n v="9001672746" u="1"/>
        <n v="2600465617" u="1"/>
        <n v="2600466538" u="1"/>
        <n v="2600464487" u="1"/>
        <n v="2600467442" u="1"/>
        <n v="2600467441" u="1"/>
        <n v="9001672883" u="1"/>
        <n v="9001673662" u="1"/>
        <n v="9001673659" u="1"/>
        <n v="9001672006" u="1"/>
        <n v="2600459454" u="1"/>
        <n v="9001672792" u="1"/>
        <n v="2600467458" u="1"/>
        <n v="9001629597" u="1"/>
        <n v="9001671314" u="1"/>
        <n v="9001671315" u="1"/>
        <n v="9001671841" u="1"/>
        <n v="9001671320" u="1"/>
        <n v="9001671317" u="1"/>
        <n v="9001671318" u="1"/>
        <n v="2600466845" u="1"/>
        <n v="9001671319" u="1"/>
        <n v="9001671052" u="1"/>
        <n v="9001671037" u="1"/>
        <n v="9001671444" u="1"/>
        <n v="9001672715" u="1"/>
        <n v="9001669432" u="1"/>
        <n v="9001669435" u="1"/>
        <n v="9001672714" u="1"/>
        <n v="9001671316" u="1"/>
        <n v="9001627960" u="1"/>
        <n v="9001631502" u="1"/>
        <n v="9001636043" u="1"/>
        <n v="9001667929" u="1"/>
        <n v="2600459561" u="1"/>
        <n v="2600466724" u="1"/>
        <n v="2600465134" u="1"/>
        <n v="9001672685" u="1"/>
        <n v="9001672691" u="1"/>
        <n v="2600465507" u="1"/>
        <n v="2600462116" u="1"/>
        <n v="9001671754" u="1"/>
        <n v="9001672294" u="1"/>
        <n v="2600467141" u="1"/>
        <n v="9001670875" u="1"/>
        <n v="9001672684" u="1"/>
        <n v="2600464141" u="1"/>
        <n v="9001672301" u="1"/>
        <n v="9001669754" u="1"/>
        <n v="9001639662" u="1"/>
        <n v="9001668899" u="1"/>
        <n v="9001655697" u="1"/>
        <n v="2600466455" u="1"/>
        <n v="9001668584" u="1"/>
        <n v="9001663849" u="1"/>
        <n v="9001670952" u="1"/>
        <n v="9001670953" u="1"/>
        <n v="9001670101" u="1"/>
        <n v="2600467018" u="1"/>
        <n v="9001654827" u="1"/>
        <n v="2600464764" u="1"/>
        <n v="2600467130" u="1"/>
        <n v="2600467041" u="1"/>
        <n v="2600458394" u="1"/>
        <n v="2600466728" u="1"/>
        <n v="2600466533" u="1"/>
        <n v="9001671473" u="1"/>
        <n v="9001647173" u="1"/>
        <n v="9001667276" u="1"/>
        <n v="9001667027" u="1"/>
        <n v="9001667423" u="1"/>
        <n v="9001667819" u="1"/>
        <n v="9001668118" u="1"/>
        <n v="9001667277" u="1"/>
        <n v="2600465711" u="1"/>
        <n v="9001667022" u="1"/>
        <n v="9001667427" u="1"/>
        <n v="9001667256" u="1"/>
        <n v="9001667019" u="1"/>
        <n v="2600461886" u="1"/>
        <n v="2600466679" u="1"/>
        <n v="9001667425" u="1"/>
        <n v="2600464008" u="1"/>
        <n v="9001655482" u="1"/>
        <n v="9001656001" u="1"/>
        <n v="2600463472" u="1"/>
        <n v="2600462879" u="1"/>
        <n v="2600463389" u="1"/>
        <n v="2600465022" u="1"/>
        <n v="2600461557" u="1"/>
        <n v="2600464510" u="1"/>
        <n v="9001663311" u="1"/>
        <n v="2600465888" u="1"/>
        <n v="2600465658" u="1"/>
        <n v="2600464933" u="1"/>
        <n v="2600465208" u="1"/>
        <n v="2600463584" u="1"/>
        <n v="2600463142" u="1"/>
        <n v="2600463508" u="1"/>
        <n v="2600465276" u="1"/>
        <n v="2600464553" u="1"/>
        <n v="2600464041" u="1"/>
        <n v="2600463192" u="1"/>
        <n v="2600466505" u="1"/>
        <n v="2600465761" u="1"/>
        <n v="9001668036" u="1"/>
        <n v="9001669433" u="1"/>
        <n v="2600463799" u="1"/>
        <n v="9001661884" u="1"/>
        <n v="9001668583" u="1"/>
        <n v="2600461691" u="1"/>
        <n v="9001670246" u="1"/>
        <n v="9001670247" u="1"/>
        <n v="9001670245" u="1"/>
        <n v="9001670248" u="1"/>
        <n v="2600466456" u="1"/>
        <n v="2600464173" u="1"/>
        <n v="2600465885" u="1"/>
        <n v="2600466872" u="1"/>
        <n v="9001567130" u="1"/>
        <n v="9001663733" u="1"/>
        <n v="9001634409" u="1"/>
        <n v="9001663734" u="1"/>
        <n v="9001663731" u="1"/>
        <n v="9001663732" u="1"/>
        <n v="9001663729" u="1"/>
        <n v="9001663730" u="1"/>
        <n v="9001667521" u="1"/>
        <n v="9001667515" u="1"/>
        <n v="9001667087" u="1"/>
        <n v="9001667518" u="1"/>
        <n v="9001667517" u="1"/>
        <n v="9001667089" u="1"/>
        <n v="9001667092" u="1"/>
        <n v="9001667090" u="1"/>
        <n v="9001667091" u="1"/>
        <n v="9001667094" u="1"/>
        <n v="9001667520" u="1"/>
        <n v="9001667088" u="1"/>
        <n v="9001668989" u="1"/>
        <n v="9001670846" u="1"/>
        <n v="9001670857" u="1"/>
        <n v="9001671753" u="1"/>
        <n v="9001644800" u="1"/>
        <n v="9001654818" u="1"/>
        <n v="2600464773" u="1"/>
        <n v="2600458533" u="1"/>
        <n v="9001658981" u="1"/>
        <n v="2600463975" u="1"/>
        <n v="9001662383" u="1"/>
        <n v="9001663342" u="1"/>
        <n v="2600465669" u="1"/>
        <n v="2600465948" u="1"/>
        <n v="2600466293" u="1"/>
        <n v="2600463940" u="1"/>
        <n v="2600466300" u="1"/>
        <n v="9001667331" u="1"/>
        <n v="9001668413" u="1"/>
        <n v="9001670882" u="1"/>
        <n v="2600464061" u="1"/>
        <n v="2600466135" u="1"/>
        <n v="2600466488" u="1"/>
        <n v="9001666282" u="1"/>
        <n v="9001644653" u="1"/>
        <n v="9001663178" u="1"/>
        <n v="9001564171" u="1"/>
        <n v="9001638495" u="1"/>
        <n v="9001640512" u="1"/>
        <n v="9001629814" u="1"/>
        <n v="9001634612" u="1"/>
        <n v="2600460432" u="1"/>
        <n v="9001637393" u="1"/>
        <n v="9001634505" u="1"/>
        <n v="9001631235" u="1"/>
        <n v="2600461005" u="1"/>
        <n v="9001653670" u="1"/>
        <n v="2600459339" u="1"/>
        <n v="9001567884" u="1"/>
        <n v="9001624953" u="1"/>
        <n v="9001628987" u="1"/>
        <n v="9001641719" u="1"/>
        <n v="9001643736" u="1"/>
        <n v="2600464039" u="1"/>
        <n v="9001639595" u="1"/>
        <n v="9001636201" u="1"/>
        <n v="9001632549" u="1"/>
        <n v="2600453841" u="1"/>
        <n v="9001658653" u="1"/>
        <n v="2600454223" u="1"/>
        <n v="2600466129" u="1"/>
        <n v="9001631082" u="1"/>
        <n v="9001629829" u="1"/>
        <n v="9001659310" u="1"/>
        <n v="9001663850" u="1"/>
        <n v="2600461884" u="1"/>
        <n v="9001654405" u="1"/>
        <n v="9001643094" u="1"/>
        <n v="9001646381" u="1"/>
        <n v="9001615905" u="1"/>
        <n v="9001644133" u="1"/>
        <n v="9001607988" u="1"/>
        <n v="9001645279" u="1"/>
        <n v="9001630547" u="1"/>
        <n v="9001636216" u="1"/>
        <n v="9001587721" u="1"/>
        <n v="9001632564" u="1"/>
        <n v="9001644790" u="1"/>
        <n v="2600466064" u="1"/>
        <n v="9001639885" u="1"/>
        <n v="9001655505" u="1"/>
        <n v="9001628299" u="1"/>
        <n v="9001647588" u="1"/>
        <n v="2600460875" u="1"/>
        <n v="2600462923" u="1"/>
        <n v="2600464971" u="1"/>
        <n v="9001653914" u="1"/>
        <n v="9001576320" u="1"/>
        <n v="2600460004" u="1"/>
        <n v="9001650537" u="1"/>
        <n v="9001655077" u="1"/>
        <n v="2600461299" u="1"/>
        <n v="9001646396" u="1"/>
        <n v="9001661892" u="1"/>
        <n v="2600461490" u="1"/>
        <n v="9001630669" u="1"/>
        <n v="2600463951" u="1"/>
        <n v="9001642024" u="1"/>
        <n v="9001638754" u="1"/>
        <n v="9001644805" u="1"/>
        <n v="2600463580" u="1"/>
        <n v="9001653654" u="1"/>
        <n v="9001668403" u="1"/>
        <n v="2600461574" u="1"/>
        <n v="9001643338" u="1"/>
        <n v="9001624066" u="1"/>
        <n v="9001635910" u="1"/>
        <n v="9001653929" u="1"/>
        <n v="2600462900" u="1"/>
        <n v="9001662627" u="1"/>
        <n v="9001666279" u="1"/>
        <n v="2600461616" u="1"/>
        <n v="2600464608" u="1"/>
        <n v="9001641871" u="1"/>
        <n v="2600464077" u="1"/>
        <n v="9001661036" u="1"/>
        <n v="2600462220" u="1"/>
        <n v="2600461276" u="1"/>
        <n v="9001640511" u="1"/>
        <n v="2600462071" u="1"/>
        <n v="9001637392" u="1"/>
        <n v="2600464119" u="1"/>
        <n v="9001663345" u="1"/>
        <n v="9001638662" u="1"/>
        <n v="2600463557" u="1"/>
        <n v="9001638173" u="1"/>
        <n v="9001631127" u="1"/>
        <n v="2600465074" u="1"/>
        <n v="9001641718" u="1"/>
        <n v="9001654450" u="1"/>
        <n v="9001652691" u="1"/>
        <n v="2600462495" u="1"/>
        <n v="9001607972" u="1"/>
        <n v="9001630531" u="1"/>
        <n v="9001632166" u="1"/>
        <n v="9001641993" u="1"/>
        <n v="9001659630" u="1"/>
        <n v="2600456924" u="1"/>
        <n v="9001644774" u="1"/>
        <n v="2600461020" u="1"/>
        <n v="9001666569" u="1"/>
        <n v="2600462155" u="1"/>
        <n v="9001645538" u="1"/>
        <n v="2600461211" u="1"/>
        <n v="9001656253" u="1"/>
        <n v="9001658652" u="1"/>
        <n v="2600461593" u="1"/>
        <n v="9001657781" u="1"/>
        <n v="2600463832" u="1"/>
        <n v="2600465880" u="1"/>
        <n v="9001629828" u="1"/>
        <n v="2600461253" u="1"/>
        <n v="9001638402" u="1"/>
        <n v="9001619388" u="1"/>
        <n v="2600461635" u="1"/>
        <n v="9001627962" u="1"/>
        <n v="2600459809" u="1"/>
        <n v="2600462048" u="1"/>
        <n v="2600462961" u="1"/>
        <n v="9001643093" u="1"/>
        <n v="9001652920" u="1"/>
        <n v="9001646380" u="1"/>
        <n v="9001619174" u="1"/>
        <n v="9001646762" u="1"/>
        <n v="9001645003" u="1"/>
        <n v="9001653195" u="1"/>
        <n v="9001658988" u="1"/>
        <n v="9001659370" u="1"/>
        <n v="2600460955" u="1"/>
        <n v="9001631417" u="1"/>
        <n v="9001635069" u="1"/>
        <n v="9001656482" u="1"/>
        <n v="9001630546" u="1"/>
        <n v="2600464329" u="1"/>
        <n v="9001632563" u="1"/>
        <n v="2600462854" u="1"/>
        <n v="9001627045" u="1"/>
        <n v="9001627809" u="1"/>
        <n v="2600465093" u="1"/>
        <n v="9001615476" u="1"/>
        <n v="9001655672" u="1"/>
        <n v="9001654419" u="1"/>
        <n v="9001635023" u="1"/>
        <n v="9001637040" u="1"/>
        <n v="2600462174" u="1"/>
        <n v="9001659599" u="1"/>
        <n v="2600463278" u="1"/>
        <n v="9001664139" u="1"/>
        <n v="9001650536" u="1"/>
        <n v="9001661891" u="1"/>
        <n v="2600460890" u="1"/>
        <n v="9001626999" u="1"/>
        <n v="9001648305" u="1"/>
        <n v="9001651468" u="1"/>
        <n v="9001638371" u="1"/>
        <n v="9001642023" u="1"/>
        <n v="9001654373" u="1"/>
        <n v="9001665728" u="1"/>
        <n v="9001629965" u="1"/>
        <n v="2600462640" u="1"/>
        <n v="9001647984" u="1"/>
        <n v="9001653653" u="1"/>
        <n v="2600461918" u="1"/>
        <n v="9001634763" u="1"/>
        <n v="2600462109" u="1"/>
        <n v="2600465070" u="1"/>
        <n v="9001659339" u="1"/>
        <n v="9001634274" u="1"/>
        <n v="2600460443" u="1"/>
        <n v="9001659996" u="1"/>
        <n v="2600463064" u="1"/>
        <n v="9001647663" u="1"/>
        <n v="2600464199" u="1"/>
        <n v="2600460485" u="1"/>
        <n v="2600462533" u="1"/>
        <n v="9001653607" u="1"/>
        <n v="9001638493" u="1"/>
        <n v="2600463859" u="1"/>
        <n v="2600464241" u="1"/>
        <n v="2600463297" u="1"/>
        <n v="2600463488" u="1"/>
        <n v="9001649741" u="1"/>
        <n v="9001591419" u="1"/>
        <n v="2600461100" u="1"/>
        <n v="9001653668" u="1"/>
        <n v="2600459625" u="1"/>
        <n v="2600464474" u="1"/>
        <n v="9001641717" u="1"/>
        <n v="9001617798" u="1"/>
        <n v="9001639593" u="1"/>
        <n v="9001636963" u="1"/>
        <n v="2600463572" u="1"/>
        <n v="9001630041" u="1"/>
        <n v="9001649313" u="1"/>
        <n v="9001661157" u="1"/>
        <n v="2600460802" u="1"/>
        <n v="9001648442" u="1"/>
        <n v="9001658651" u="1"/>
        <n v="9001623759" u="1"/>
        <n v="9001638508" u="1"/>
        <n v="2600464367" u="1"/>
        <n v="2600462892" u="1"/>
        <n v="9001637406" u="1"/>
        <n v="9001653026" u="1"/>
        <n v="9001627961" u="1"/>
        <n v="9001628725" u="1"/>
        <n v="9001643092" u="1"/>
        <n v="2600465704" u="1"/>
        <n v="9001646761" u="1"/>
        <n v="9001645002" u="1"/>
        <n v="9001653194" u="1"/>
        <n v="9001658987" u="1"/>
        <n v="2600462403" u="1"/>
        <n v="9001644895" u="1"/>
        <n v="9001573094" u="1"/>
        <n v="9001653087" u="1"/>
        <n v="9001630545" u="1"/>
        <n v="9001632562" u="1"/>
        <n v="9001665819" u="1"/>
        <n v="2600458349" u="1"/>
        <n v="2600463358" u="1"/>
        <n v="2600463549" u="1"/>
        <n v="9001655671" u="1"/>
        <n v="9001637039" u="1"/>
        <n v="9001633769" u="1"/>
        <n v="9001664138" u="1"/>
        <n v="9001636061" u="1"/>
        <n v="9001648304" u="1"/>
        <n v="9001629796" u="1"/>
        <n v="9001642022" u="1"/>
        <n v="9001664199" u="1"/>
        <n v="9001644803" u="1"/>
        <n v="2600459801" u="1"/>
        <n v="2600462762" u="1"/>
        <n v="9001653652" u="1"/>
        <n v="2600461287" u="1"/>
        <n v="2600465192" u="1"/>
        <n v="2600460565" u="1"/>
        <n v="9001659338" u="1"/>
        <n v="2600455938" u="1"/>
        <n v="9001653927" u="1"/>
        <n v="9001654433" u="1"/>
        <n v="9001647387" u="1"/>
        <n v="9001630514" u="1"/>
        <n v="2600465234" u="1"/>
        <n v="2600460607" u="1"/>
        <n v="2600463981" u="1"/>
        <n v="9001657382" u="1"/>
        <n v="9001638492" u="1"/>
        <n v="2600466411" u="1"/>
        <n v="2600463801" u="1"/>
        <n v="9001623147" u="1"/>
        <n v="2600464023" u="1"/>
        <n v="9001604897" u="1"/>
        <n v="9001665360" u="1"/>
        <n v="2600465318" u="1"/>
        <n v="9001664871" u="1"/>
        <n v="9001636030" u="1"/>
        <n v="9001657443" u="1"/>
        <n v="2600462017" u="1"/>
        <n v="9001641716" u="1"/>
        <n v="9001659353" u="1"/>
        <n v="2600464256" u="1"/>
        <n v="9001654448" u="1"/>
        <n v="9001667927" u="1"/>
        <n v="2600462399" u="1"/>
        <n v="9001652689" u="1"/>
        <n v="2600459598" u="1"/>
        <n v="9001647784" u="1"/>
        <n v="9001628388" u="1"/>
        <n v="9001641991" u="1"/>
        <n v="2600462781" u="1"/>
        <n v="9001643137" u="1"/>
        <n v="9001661156" u="1"/>
        <n v="9001661538" u="1"/>
        <n v="9001658650" u="1"/>
        <n v="9001666842" u="1"/>
        <n v="9001637405" u="1"/>
        <n v="9001628724" u="1"/>
        <n v="2600461952" u="1"/>
        <n v="9001629488" u="1"/>
        <n v="9001643091" u="1"/>
        <n v="9001648013" u="1"/>
        <n v="9001646760" u="1"/>
        <n v="9001645001" u="1"/>
        <n v="9001643366" u="1"/>
        <n v="9001658986" u="1"/>
        <n v="9001635067" u="1"/>
        <n v="9001630544" u="1"/>
        <n v="9001632561" u="1"/>
        <n v="2600462376" u="1"/>
        <n v="9001650962" u="1"/>
        <n v="9001663312" u="1"/>
        <n v="9001661553" u="1"/>
        <n v="2600456996" u="1"/>
        <n v="2600463893" u="1"/>
        <n v="2600462949" u="1"/>
        <n v="9001627807" u="1"/>
        <n v="9001624155" u="1"/>
        <n v="2600461283" u="1"/>
        <n v="9001612462" u="1"/>
        <n v="9001653529" u="1"/>
        <n v="2600464657" u="1"/>
        <n v="9001653911" u="1"/>
        <n v="2600462078" u="1"/>
        <n v="9001635403" u="1"/>
        <n v="2600460412" u="1"/>
        <n v="9001642724" u="1"/>
        <n v="2600460603" u="1"/>
        <n v="2600458746" u="1"/>
        <n v="9001636060" u="1"/>
        <n v="9001622092" u="1"/>
        <n v="9001659001" u="1"/>
        <n v="2600461176" u="1"/>
        <n v="9001630666" u="1"/>
        <n v="2600463415" u="1"/>
        <n v="9001644909" u="1"/>
        <n v="2600457653" u="1"/>
        <n v="9001661675" u="1"/>
        <n v="9001665451" u="1"/>
        <n v="9001632576" u="1"/>
        <n v="9001644802" u="1"/>
        <n v="9001666597" u="1"/>
        <n v="9001641043" u="1"/>
        <n v="9001653651" u="1"/>
        <n v="2600456973" u="1"/>
        <n v="9001654432" u="1"/>
        <n v="2600461642" u="1"/>
        <n v="9001633783" u="1"/>
        <n v="2600460729" u="1"/>
        <n v="2600465738" u="1"/>
        <n v="9001659994" u="1"/>
        <n v="2600464294" u="1"/>
        <n v="2600463732" u="1"/>
        <n v="9001640508" u="1"/>
        <n v="2600460962" u="1"/>
        <n v="9001629810" u="1"/>
        <n v="2600459296" u="1"/>
        <n v="2600464527" u="1"/>
        <n v="9001659184" u="1"/>
        <n v="2600465631" u="1"/>
        <n v="9001665359" u="1"/>
        <n v="2600460813" u="1"/>
        <n v="2600453194" u="1"/>
        <n v="9001657442" u="1"/>
        <n v="2600458616" u="1"/>
        <n v="9001643350" u="1"/>
        <n v="9001667926" u="1"/>
        <n v="9001652688" u="1"/>
        <n v="9001662639" u="1"/>
        <n v="2600463094" u="1"/>
        <n v="9001647783" u="1"/>
        <n v="9001649418" u="1"/>
        <n v="9001628387" u="1"/>
        <n v="9001630528" u="1"/>
        <n v="9001587702" u="1"/>
        <n v="9001632545" u="1"/>
        <n v="9001660009" u="1"/>
        <n v="9001636961" u="1"/>
        <n v="2600463476" u="1"/>
        <n v="9001643136" u="1"/>
        <n v="9001647294" u="1"/>
        <n v="9001661155" u="1"/>
        <n v="9001641883" u="1"/>
        <n v="9001661537" u="1"/>
        <n v="9001656250" u="1"/>
        <n v="9001647187" u="1"/>
        <n v="9001658649" u="1"/>
        <n v="9001622122" u="1"/>
        <n v="9001646591" u="1"/>
        <n v="9001655929" u="1"/>
        <n v="9001628723" u="1"/>
        <n v="2600464504" u="1"/>
        <n v="9001648012" u="1"/>
        <n v="9001646759" u="1"/>
        <n v="2600463029" u="1"/>
        <n v="2600464355" u="1"/>
        <n v="9001632560" u="1"/>
        <n v="9001652978" u="1"/>
        <n v="9001655501" u="1"/>
        <n v="2600450443" u="1"/>
        <n v="9001661552" u="1"/>
        <n v="2600463262" u="1"/>
        <n v="2600462349" u="1"/>
        <n v="2600460492" u="1"/>
        <n v="9001644572" u="1"/>
        <n v="2600462922" u="1"/>
        <n v="2600460152" u="1"/>
        <n v="9001653528" u="1"/>
        <n v="9001646606" u="1"/>
        <n v="9001637419" u="1"/>
        <n v="9001633767" u="1"/>
        <n v="2600461860" u="1"/>
        <n v="2600462964" u="1"/>
        <n v="9001636059" u="1"/>
        <n v="9001630665" u="1"/>
        <n v="9001642891" u="1"/>
        <n v="9001644908" u="1"/>
        <n v="9001642020" u="1"/>
        <n v="9001661674" u="1"/>
        <n v="9001632575" u="1"/>
        <n v="2600460427" u="1"/>
        <n v="9001644801" u="1"/>
        <n v="9001614724" u="1"/>
        <n v="2600456755" u="1"/>
        <n v="9001659336" u="1"/>
        <n v="9001665129" u="1"/>
        <n v="9001644480" u="1"/>
        <n v="9001635035" u="1"/>
        <n v="9001643991" u="1"/>
        <n v="9001591844" u="1"/>
        <n v="2600466464" u="1"/>
        <n v="9001645519" u="1"/>
        <n v="2600459758" u="1"/>
        <n v="2600462219" u="1"/>
        <n v="2600464267" u="1"/>
        <n v="9001640507" u="1"/>
        <n v="9001629809" u="1"/>
        <n v="2600462070" u="1"/>
        <n v="9001625055" u="1"/>
        <n v="2600458738" u="1"/>
        <n v="2600466017" u="1"/>
        <n v="2600465073" u="1"/>
        <n v="9001659351" u="1"/>
        <n v="9001620683" u="1"/>
        <n v="9001667925" u="1"/>
        <n v="9001652687" u="1"/>
        <n v="9001647782" u="1"/>
        <n v="9001630527" u="1"/>
        <n v="9001641989" u="1"/>
        <n v="9001661643" u="1"/>
        <n v="2600461019" u="1"/>
        <n v="9001656738" u="1"/>
        <n v="9001668582" u="1"/>
        <n v="9001661154" u="1"/>
        <n v="9001656249" u="1"/>
        <n v="9001658648" u="1"/>
        <n v="2600466441" u="1"/>
        <n v="2600463862" u="1"/>
        <n v="9001639269" u="1"/>
        <n v="9001629824" u="1"/>
        <n v="9001646590" u="1"/>
        <n v="9001650624" u="1"/>
        <n v="2600461634" u="1"/>
        <n v="9001655928" u="1"/>
        <n v="2600462769" u="1"/>
        <n v="9001628722" u="1"/>
        <n v="9001634897" u="1"/>
        <n v="9001664502" u="1"/>
        <n v="2600462047" u="1"/>
        <n v="9001648011" u="1"/>
        <n v="2600465772" u="1"/>
        <n v="9001626873" u="1"/>
        <n v="9001636211" u="1"/>
        <n v="9001632559" u="1"/>
        <n v="9001650578" u="1"/>
        <n v="9001643532" u="1"/>
        <n v="9001651724" u="1"/>
        <n v="2600462853" u="1"/>
        <n v="2600466418" u="1"/>
        <n v="9001646605" u="1"/>
        <n v="9001637418" u="1"/>
        <n v="9001637800" u="1"/>
        <n v="9001664135" u="1"/>
        <n v="9001636058" u="1"/>
        <n v="2600462937" u="1"/>
        <n v="2600464072" u="1"/>
        <n v="2600464985" u="1"/>
        <n v="9001642126" u="1"/>
        <n v="9001644907" u="1"/>
        <n v="9001638367" u="1"/>
        <n v="9001661673" u="1"/>
        <n v="2600462066" u="1"/>
        <n v="9001629562" u="1"/>
        <n v="2600463552" u="1"/>
        <n v="9001629961" u="1"/>
        <n v="2600465600" u="1"/>
        <n v="2600464156" u="1"/>
        <n v="9001665128" u="1"/>
        <n v="2600462299" u="1"/>
        <n v="9001644479" u="1"/>
        <n v="9001654430" u="1"/>
        <n v="9001660481" u="1"/>
        <n v="2600459158" u="1"/>
        <n v="9001555574" u="1"/>
        <n v="9001557226" u="1"/>
        <n v="2600466437" u="1"/>
        <n v="9001639742" u="1"/>
        <n v="2600460866" u="1"/>
        <n v="9001629808" u="1"/>
        <n v="2600463105" u="1"/>
        <n v="2600463296" u="1"/>
        <n v="9001623144" u="1"/>
        <n v="2600463487" u="1"/>
        <n v="2600464431" u="1"/>
        <n v="9001636027" u="1"/>
        <n v="9001653664" u="1"/>
        <n v="9001657440" u="1"/>
        <n v="2600464282" u="1"/>
        <n v="2600465195" u="1"/>
        <n v="9001659350" u="1"/>
        <n v="2600463942" u="1"/>
        <n v="9001629762" u="1"/>
        <n v="9001587700" u="1"/>
        <n v="9001660007" u="1"/>
        <n v="2600461523" u="1"/>
        <n v="9001668581" u="1"/>
        <n v="2600463571" u="1"/>
        <n v="9001661153" u="1"/>
        <n v="2600465279" u="1"/>
        <n v="9001631076" u="1"/>
        <n v="9001640521" u="1"/>
        <n v="2600462509" u="1"/>
        <n v="9001646589" u="1"/>
        <n v="2600461978" u="1"/>
        <n v="2600462891" u="1"/>
        <n v="9001628721" u="1"/>
        <n v="9001664501" u="1"/>
        <n v="9001648881" u="1"/>
        <n v="9001658983" u="1"/>
        <n v="9001636210" u="1"/>
        <n v="2600459070" u="1"/>
        <n v="9001657134" u="1"/>
        <n v="9001661550" u="1"/>
        <n v="9001627804" u="1"/>
        <n v="9001647964" u="1"/>
        <n v="9001613836" u="1"/>
        <n v="9001646604" u="1"/>
        <n v="2600463590" u="1"/>
        <n v="9001627972" u="1"/>
        <n v="9001633765" u="1"/>
        <n v="9001590574" u="1"/>
        <n v="2600464194" u="1"/>
        <n v="2600460480" u="1"/>
        <n v="9001658998" u="1"/>
        <n v="9001661015" u="1"/>
        <n v="2600463632" u="1"/>
        <n v="9001644906" u="1"/>
        <n v="9001652716" u="1"/>
        <n v="9001642018" u="1"/>
        <n v="9001661672" u="1"/>
        <n v="2600461435" u="1"/>
        <n v="9001598063" u="1"/>
        <n v="9001629561" u="1"/>
        <n v="2600458856" u="1"/>
        <n v="2600461095" u="1"/>
        <n v="2600462230" u="1"/>
        <n v="9001665127" u="1"/>
        <n v="9001658845" u="1"/>
        <n v="2600461328" u="1"/>
        <n v="9001656721" u="1"/>
        <n v="9001635201" u="1"/>
        <n v="9001640994" u="1"/>
        <n v="9001640505" u="1"/>
        <n v="2600461561" u="1"/>
        <n v="9001629807" u="1"/>
        <n v="9001649079" u="1"/>
        <n v="9001655911" u="1"/>
        <n v="2600462356" u="1"/>
        <n v="9001641055" u="1"/>
        <n v="2600462547" u="1"/>
        <n v="9001657439" u="1"/>
        <n v="2600463873" u="1"/>
        <n v="9001668412" u="1"/>
        <n v="9001654826" u="1"/>
        <n v="9001628384" u="1"/>
        <n v="9001636194" u="1"/>
        <n v="9001660006" u="1"/>
        <n v="9001636958" u="1"/>
        <n v="9001666563" u="1"/>
        <n v="9001668580" u="1"/>
        <n v="2600460201" u="1"/>
        <n v="9001637722" u="1"/>
        <n v="9001645532" u="1"/>
        <n v="2600465210" u="1"/>
        <n v="9001641009" u="1"/>
        <n v="9001641391" u="1"/>
        <n v="2600461909" u="1"/>
        <n v="9001640520" u="1"/>
        <n v="9001629822" u="1"/>
        <n v="9001665478" u="1"/>
        <n v="2600462673" u="1"/>
        <n v="9001628720" u="1"/>
        <n v="9001639053" u="1"/>
        <n v="2600463999" u="1"/>
        <n v="9001648880" u="1"/>
        <n v="2600465103" u="1"/>
        <n v="9001632007" u="1"/>
        <n v="9001646374" u="1"/>
        <n v="2600455627" u="1"/>
        <n v="9001655330" u="1"/>
        <n v="9001628506" u="1"/>
        <n v="9001645272" u="1"/>
        <n v="9001636209" u="1"/>
        <n v="9001638732" u="1"/>
        <n v="9001637737" u="1"/>
        <n v="9001637861" u="1"/>
        <n v="9001643530" u="1"/>
        <n v="9001663308" u="1"/>
        <n v="2600450320" u="1"/>
        <n v="9001647963" u="1"/>
        <n v="9001644569" u="1"/>
        <n v="2600462417" u="1"/>
        <n v="2600464656" u="1"/>
        <n v="9001646603" u="1"/>
        <n v="2600462990" u="1"/>
        <n v="2600465229" u="1"/>
        <n v="9001658340" u="1"/>
        <n v="2600458554" u="1"/>
        <n v="9001636056" u="1"/>
        <n v="9001661885" u="1"/>
        <n v="9001632786" u="1"/>
        <n v="2600465080" u="1"/>
        <n v="9001644523" u="1"/>
        <n v="9001658126" u="1"/>
        <n v="9001635078" u="1"/>
        <n v="9001644905" u="1"/>
        <n v="9001627054" u="1"/>
        <n v="2600462543" u="1"/>
        <n v="9001653647" u="1"/>
        <n v="9001658187" u="1"/>
        <n v="2600460155" u="1"/>
        <n v="2600461068" u="1"/>
        <n v="2600464060" u="1"/>
        <n v="9001643331" u="1"/>
        <n v="9001663109" u="1"/>
        <n v="9001655681" u="1"/>
        <n v="9001665126" u="1"/>
        <n v="2600463307" u="1"/>
        <n v="2600458489" u="1"/>
        <n v="9001660479" u="1"/>
        <n v="9001647764" u="1"/>
        <n v="9001659608" u="1"/>
        <n v="2600465737" u="1"/>
        <n v="9001626733" u="1"/>
        <n v="2600463911" u="1"/>
        <n v="9001632037" u="1"/>
        <n v="9001638380" u="1"/>
        <n v="9001627176" u="1"/>
        <n v="2600461534" u="1"/>
        <n v="9001639908" u="1"/>
        <n v="2600461003" u="1"/>
        <n v="9001649246" u="1"/>
        <n v="2600444661" u="1"/>
        <n v="2600461576" u="1"/>
        <n v="2600464568" u="1"/>
        <n v="9001665141" u="1"/>
        <n v="9001654443" u="1"/>
        <n v="9001629760" u="1"/>
        <n v="9001649414" u="1"/>
        <n v="2600464228" u="1"/>
        <n v="9001630524" u="1"/>
        <n v="9001659623" u="1"/>
        <n v="2600461618" u="1"/>
        <n v="2600465714" u="1"/>
        <n v="9001641008" u="1"/>
        <n v="2600463326" u="1"/>
        <n v="9001640519" u="1"/>
        <n v="9001650239" u="1"/>
        <n v="2600458168" u="1"/>
        <n v="9001647351" u="1"/>
        <n v="2600460216" u="1"/>
        <n v="2600465225" u="1"/>
        <n v="9001628719" u="1"/>
        <n v="9001634512" u="1"/>
        <n v="9001658706" u="1"/>
        <n v="2600461924" u="1"/>
        <n v="9001638945" u="1"/>
        <n v="9001640962" u="1"/>
        <n v="9001652699" u="1"/>
        <n v="9001645271" u="1"/>
        <n v="9001649429" u="1"/>
        <n v="9001636208" u="1"/>
        <n v="9001637860" u="1"/>
        <n v="9001643529" u="1"/>
        <n v="9001655497" u="1"/>
        <n v="2600464205" u="1"/>
        <n v="2600456395" u="1"/>
        <n v="9001648451" u="1"/>
        <n v="2600458634" u="1"/>
        <n v="2600459738" u="1"/>
        <n v="9001606895" u="1"/>
        <n v="2600462921" u="1"/>
        <n v="9001639663" u="1"/>
        <n v="2600463112" u="1"/>
        <n v="9001646602" u="1"/>
        <n v="2600461446" u="1"/>
        <n v="9001647366" u="1"/>
        <n v="9001656322" u="1"/>
        <n v="9001658339" u="1"/>
        <n v="9001652928" u="1"/>
        <n v="2600464289" u="1"/>
        <n v="9001647534" u="1"/>
        <n v="9001653203" u="1"/>
        <n v="2600462623" u="1"/>
        <n v="9001641741" u="1"/>
        <n v="2600462814" u="1"/>
        <n v="9001644522" u="1"/>
        <n v="9001635077" u="1"/>
        <n v="9001637982" u="1"/>
        <n v="2600463196" u="1"/>
        <n v="9001665446" u="1"/>
        <n v="9001641909" u="1"/>
        <n v="2600452467" u="1"/>
        <n v="9001637155" u="1"/>
        <n v="9001643330" u="1"/>
        <n v="9001665125" u="1"/>
        <n v="9001653921" u="1"/>
        <n v="2600465859" u="1"/>
        <n v="9001660478" u="1"/>
        <n v="9001645515" u="1"/>
        <n v="2600463322" u="1"/>
        <n v="9001636727" u="1"/>
        <n v="2600460743" u="1"/>
        <n v="9001637002" u="1"/>
        <n v="2600462069" u="1"/>
        <n v="2600464499" u="1"/>
        <n v="9001657437" u="1"/>
        <n v="2600465794" u="1"/>
        <n v="9001632754" u="1"/>
        <n v="2600461549" u="1"/>
        <n v="9001663016" u="1"/>
        <n v="9001641985" u="1"/>
        <n v="9001659622" u="1"/>
        <n v="9001564391" u="1"/>
        <n v="9001646525" u="1"/>
        <n v="9001660004" u="1"/>
        <n v="9001637720" u="1"/>
        <n v="2600459543" u="1"/>
        <n v="9001647182" u="1"/>
        <n v="9001627786" u="1"/>
        <n v="9001639265" u="1"/>
        <n v="9001630202" u="1"/>
        <n v="9001656031" u="1"/>
        <n v="9001621903" u="1"/>
        <n v="9001655924" u="1"/>
        <n v="9001628718" u="1"/>
        <n v="9001665751" u="1"/>
        <n v="9001641068" u="1"/>
        <n v="9001645866" u="1"/>
        <n v="9001658980" u="1"/>
        <n v="9001569800" u="1"/>
        <n v="9001667936" u="1"/>
        <n v="9001642000" u="1"/>
        <n v="9001659637" u="1"/>
        <n v="9001666576" u="1"/>
        <n v="9001655496" u="1"/>
        <n v="2600463987" u="1"/>
        <n v="9001630599" u="1"/>
        <n v="9001653905" u="1"/>
        <n v="2600465706" u="1"/>
        <n v="9001646387" u="1"/>
        <n v="2600463849" u="1"/>
        <n v="2600465928" u="1"/>
        <n v="9001647533" u="1"/>
        <n v="9001653202" u="1"/>
        <n v="9001658995" u="1"/>
        <n v="2600464262" u="1"/>
        <n v="9001651949" u="1"/>
        <n v="9001644521" u="1"/>
        <n v="9001635076" u="1"/>
        <n v="2600463509" u="1"/>
        <n v="9001638363" u="1"/>
        <n v="2600462065" u="1"/>
        <n v="9001651353" u="1"/>
        <n v="9001665338" u="1"/>
        <n v="9001626670" u="1"/>
        <n v="9001627052" u="1"/>
        <n v="2600463551" u="1"/>
        <n v="2600453915" u="1"/>
        <n v="9001655679" u="1"/>
        <n v="9001660477" u="1"/>
        <n v="2600464728" u="1"/>
        <n v="9001642733" u="1"/>
        <n v="2600462149" u="1"/>
        <n v="2600463444" u="1"/>
        <n v="9001636726" u="1"/>
        <n v="9001661684" u="1"/>
        <n v="9001627174" u="1"/>
        <n v="9001646952" u="1"/>
        <n v="2600459803" u="1"/>
        <n v="2600464621" u="1"/>
        <n v="9001661577" u="1"/>
        <n v="2600462764" u="1"/>
        <n v="2600464812" u="1"/>
        <n v="9001598732" u="1"/>
        <n v="2600461480" u="1"/>
        <n v="9001643344" u="1"/>
        <n v="9001645529" u="1"/>
        <n v="9001641006" u="1"/>
        <n v="9001633578" u="1"/>
        <n v="2600434069" u="1"/>
        <n v="9001639264" u="1"/>
        <n v="2600462508" u="1"/>
        <n v="9001629819" u="1"/>
        <n v="9001656030" u="1"/>
        <n v="2600461977" u="1"/>
        <n v="9001634510" u="1"/>
        <n v="9001620036" u="1"/>
        <n v="9001666896" u="1"/>
        <n v="9001624194" u="1"/>
        <n v="9001653675" u="1"/>
        <n v="9001659850" u="1"/>
        <n v="2600459971" u="1"/>
        <n v="9001644994" u="1"/>
        <n v="2600461075" u="1"/>
        <n v="2600464067" u="1"/>
        <n v="9001658979" u="1"/>
        <n v="9001641999" u="1"/>
        <n v="9001632554" u="1"/>
        <n v="9001657130" u="1"/>
        <n v="9001661164" u="1"/>
        <n v="2600459260" u="1"/>
        <n v="2600462252" u="1"/>
        <n v="2600461690" u="1"/>
        <n v="9001626165" u="1"/>
        <n v="9001655770" u="1"/>
        <n v="9001657787" u="1"/>
        <n v="9001630598" u="1"/>
        <n v="9001646600" u="1"/>
        <n v="9001667889" u="1"/>
        <n v="9001646111" u="1"/>
        <n v="2600464724" u="1"/>
        <n v="2600462336" u="1"/>
        <n v="9001632783" u="1"/>
        <n v="2600460479" u="1"/>
        <n v="9001592098" u="1"/>
        <n v="9001622085" u="1"/>
        <n v="9001647532" u="1"/>
        <n v="9001658994" u="1"/>
        <n v="9001659376" u="1"/>
        <n v="9001644138" u="1"/>
        <n v="9001665551" u="1"/>
        <n v="9001667079" u="1"/>
        <n v="9001642014" u="1"/>
        <n v="2600462378" u="1"/>
        <n v="2600465190" u="1"/>
        <n v="9001644581" u="1"/>
        <n v="9001613847" u="1"/>
        <n v="9001644963" u="1"/>
        <n v="9001627708" u="1"/>
        <n v="9001665123" u="1"/>
        <n v="9001634265" u="1"/>
        <n v="9001653919" u="1"/>
        <n v="9001646126" u="1"/>
        <n v="9001655953" u="1"/>
        <n v="9001665398" u="1"/>
        <n v="9001656335" u="1"/>
        <n v="9001663656" u="1"/>
        <n v="9001627005" u="1"/>
        <n v="2600457273" u="1"/>
        <n v="2600461369" u="1"/>
        <n v="9001638377" u="1"/>
        <n v="2600456402" u="1"/>
        <n v="9001625049" u="1"/>
        <n v="2600462546" u="1"/>
        <n v="9001657053" u="1"/>
        <n v="2600462928" u="1"/>
        <n v="9001641326" u="1"/>
        <n v="9001589943" u="1"/>
        <n v="9001666284" u="1"/>
        <n v="9001639584" u="1"/>
        <n v="9001647776" u="1"/>
        <n v="9001628380" u="1"/>
        <n v="9001659620" u="1"/>
        <n v="2600462248" u="1"/>
        <n v="2600461304" u="1"/>
        <n v="9001639263" u="1"/>
        <n v="2600463012" u="1"/>
        <n v="2600465251" u="1"/>
        <n v="9001650236" u="1"/>
        <n v="9001646095" u="1"/>
        <n v="2600461950" u="1"/>
        <n v="2600463054" u="1"/>
        <n v="9001653674" u="1"/>
        <n v="2600463245" u="1"/>
        <n v="2600460666" u="1"/>
        <n v="9001651932" u="1"/>
        <n v="2600455095" u="1"/>
        <n v="2600464231" u="1"/>
        <n v="9001641998" u="1"/>
        <n v="9001650954" u="1"/>
        <n v="2600465526" u="1"/>
        <n v="9001643526" u="1"/>
        <n v="9001657129" u="1"/>
        <n v="9001661163" u="1"/>
        <n v="9001661545" u="1"/>
        <n v="9001642273" u="1"/>
        <n v="2600462034" u="1"/>
        <n v="9001608527" u="1"/>
        <n v="2600464464" u="1"/>
        <n v="9001577562" u="1"/>
        <n v="2600458171" u="1"/>
        <n v="2600462989" u="1"/>
        <n v="2600453513" u="1"/>
        <n v="9001652161" u="1"/>
        <n v="9001629495" u="1"/>
        <n v="9001652925" u="1"/>
        <n v="9001651947" u="1"/>
        <n v="2600461556" u="1"/>
        <n v="9001642013" u="1"/>
        <n v="2600463795" u="1"/>
        <n v="2600461025" u="1"/>
        <n v="9001650969" u="1"/>
        <n v="2600462160" u="1"/>
        <n v="2600466065" u="1"/>
        <n v="9001653750" u="1"/>
        <n v="9001644580" u="1"/>
        <n v="9001613846" u="1"/>
        <n v="2600463115" u="1"/>
        <n v="2600466107" u="1"/>
        <n v="9001655677" u="1"/>
        <n v="9001634264" u="1"/>
        <n v="9001631758" u="1"/>
        <n v="9001643984" u="1"/>
        <n v="9001646125" u="1"/>
        <n v="9001655952" u="1"/>
        <n v="9001644748" u="1"/>
        <n v="2600455347" u="1"/>
        <n v="2600464292" u="1"/>
        <n v="2600461491" u="1"/>
        <n v="9001636724" u="1"/>
        <n v="2600460960" u="1"/>
        <n v="9001638376" u="1"/>
        <n v="9001650602" u="1"/>
        <n v="2600462477" u="1"/>
        <n v="2600460620" u="1"/>
        <n v="2600466573" u="1"/>
        <n v="2600462859" u="1"/>
        <n v="9001657434" u="1"/>
        <n v="2600463432" u="1"/>
        <n v="9001630245" u="1"/>
        <n v="9001666283" u="1"/>
        <n v="9001637442" u="1"/>
        <n v="9001641982" u="1"/>
        <n v="2600464609" u="1"/>
        <n v="9001641875" u="1"/>
        <n v="9001625002" u="1"/>
        <n v="9001622114" u="1"/>
        <n v="2600465182" u="1"/>
        <n v="9001640515" u="1"/>
        <n v="9001654500" u="1"/>
        <n v="2600465755" u="1"/>
        <n v="9001629586" u="1"/>
        <n v="2600460215" u="1"/>
        <n v="9001630092" u="1"/>
        <n v="2600463176" u="1"/>
        <n v="9001628333" u="1"/>
        <n v="9001655050" u="1"/>
        <n v="2600464502" u="1"/>
        <n v="9001636036" u="1"/>
        <n v="9001653673" u="1"/>
        <n v="9001631131" u="1"/>
        <n v="9001651931" u="1"/>
        <n v="9001580894" u="1"/>
        <n v="9001592738" u="1"/>
        <n v="9001630535" u="1"/>
        <n v="9001666573" u="1"/>
        <n v="9001630046" u="1"/>
        <n v="9001661162" u="1"/>
        <n v="9001650846" u="1"/>
        <n v="2600462538" u="1"/>
        <n v="9001592035" u="1"/>
        <n v="9001659313" u="1"/>
        <n v="9001637029" u="1"/>
        <n v="2600463493" u="1"/>
        <n v="9001652160" u="1"/>
        <n v="9001629494" u="1"/>
        <n v="9001652924" u="1"/>
        <n v="9001623825" u="1"/>
        <n v="2600463153" u="1"/>
        <n v="9001661880" u="1"/>
        <n v="2600463344" u="1"/>
        <n v="2600454621" u="1"/>
        <n v="9001653581" u="1"/>
        <n v="2600463004" u="1"/>
        <n v="9001642012" u="1"/>
        <n v="9001636983" u="1"/>
        <n v="9001650968" u="1"/>
        <n v="2600464521" u="1"/>
        <n v="9001628302" u="1"/>
        <n v="9001647973" u="1"/>
        <n v="9001631100" u="1"/>
        <n v="9001644579" u="1"/>
        <n v="2600463428" u="1"/>
        <n v="9001634263" u="1"/>
        <n v="9001644472" u="1"/>
        <n v="9001662615" u="1"/>
        <n v="2600464032" u="1"/>
        <n v="2600462175" u="1"/>
        <n v="9001647759" u="1"/>
        <n v="9001655951" u="1"/>
        <n v="9001659603" u="1"/>
        <n v="9001644747" u="1"/>
        <n v="2600464605" u="1"/>
        <n v="9001627003" u="1"/>
        <n v="2600455320" u="1"/>
        <n v="2600460360" u="1"/>
        <n v="2600461655" u="1"/>
        <n v="9001650601" u="1"/>
        <n v="9001650983" u="1"/>
        <n v="2600464116" u="1"/>
        <n v="2600458354" u="1"/>
        <n v="9001644976" u="1"/>
        <n v="2600465071" u="1"/>
        <n v="9001567382" u="1"/>
        <n v="9001630244" u="1"/>
        <n v="9001634278" u="1"/>
        <n v="9001580878" u="1"/>
        <n v="2600462683" u="1"/>
        <n v="9001630519" u="1"/>
        <n v="9001648920" u="1"/>
        <n v="9001655477" u="1"/>
        <n v="2600466248" u="1"/>
        <n v="2600461812" u="1"/>
        <n v="9001640514" u="1"/>
        <n v="9001650341" u="1"/>
        <n v="9001654499" u="1"/>
        <n v="9001661314" u="1"/>
        <n v="2600461250" u="1"/>
        <n v="9001629585" u="1"/>
        <n v="2600459806" u="1"/>
        <n v="2600462767" u="1"/>
        <n v="9001627354" u="1"/>
        <n v="2600451847" u="1"/>
        <n v="9001643356" u="1"/>
        <n v="9001658976" u="1"/>
        <n v="2600452951" u="1"/>
        <n v="9001657234" u="1"/>
        <n v="2600461334" u="1"/>
        <n v="9001632551" u="1"/>
        <n v="9001660015" u="1"/>
        <n v="9001636967" u="1"/>
        <n v="2600460612" u="1"/>
        <n v="9001630045" u="1"/>
        <n v="9001649317" u="1"/>
        <n v="9001657127" u="1"/>
        <n v="2600455985" u="1"/>
        <n v="2600460803" u="1"/>
        <n v="9001642271" u="1"/>
        <n v="2600460994" u="1"/>
        <n v="9001606890" u="1"/>
        <n v="9001663852" u="1"/>
        <n v="2600464750" u="1"/>
        <n v="2600462893" u="1"/>
        <n v="9001637028" u="1"/>
        <n v="2600461036" u="1"/>
        <n v="2600464028" u="1"/>
        <n v="9001629600" u="1"/>
        <n v="2600462171" u="1"/>
        <n v="9001612345" u="1"/>
        <n v="9001646490" u="1"/>
        <n v="2600464410" u="1"/>
        <n v="9001652923" u="1"/>
        <n v="9001646765" u="1"/>
        <n v="9001658991" u="1"/>
        <n v="2600462213" u="1"/>
        <n v="9001653580" u="1"/>
        <n v="2600463317" u="1"/>
        <n v="2600462404" u="1"/>
        <n v="9001652709" u="1"/>
        <n v="2600461651" u="1"/>
        <n v="9001642393" u="1"/>
        <n v="9001636982" u="1"/>
        <n v="2600462064" u="1"/>
        <n v="9001650967" u="1"/>
        <n v="9001639887" u="1"/>
        <n v="2600462446" u="1"/>
        <n v="9001638527" u="1"/>
        <n v="9001644578" u="1"/>
        <n v="2600462106" u="1"/>
        <n v="9001655675" u="1"/>
        <n v="9001653916" u="1"/>
        <n v="9001654422" u="1"/>
        <n v="9001637043" u="1"/>
        <n v="9001647758" u="1"/>
        <n v="2600460822" u="1"/>
        <n v="9001661894" u="1"/>
        <n v="2600461586" u="1"/>
        <n v="2600465491" u="1"/>
        <n v="9001634705" u="1"/>
        <n v="2600463294" u="1"/>
        <n v="2600466286" u="1"/>
        <n v="2600462041" u="1"/>
        <n v="2600461288" u="1"/>
        <n v="2600459622" u="1"/>
        <n v="9001564111" u="1"/>
        <n v="9001654819" u="1"/>
        <n v="9001666281" u="1"/>
        <n v="9001637440" u="1"/>
        <n v="9001641980" u="1"/>
        <n v="9001659617" u="1"/>
        <n v="9001652953" u="1"/>
        <n v="2600453933" u="1"/>
        <n v="9001632046" u="1"/>
        <n v="2600459886" u="1"/>
        <n v="2600463982" u="1"/>
        <n v="9001640513" u="1"/>
        <n v="9001634231" u="1"/>
        <n v="2600464024" u="1"/>
        <n v="9001567885" u="1"/>
        <n v="2600459970" u="1"/>
        <n v="2600460161" u="1"/>
        <n v="2600462209" u="1"/>
        <n v="2600463504" u="1"/>
        <n v="2600462591" u="1"/>
        <n v="2600465552" u="1"/>
        <n v="9001632550" u="1"/>
        <n v="9001636966" u="1"/>
        <n v="9001666571" u="1"/>
        <n v="9001643523" u="1"/>
        <n v="9001649316" u="1"/>
        <n v="9001657126" u="1"/>
        <n v="9001661160" u="1"/>
        <n v="2600462251" u="1"/>
        <n v="2600462442" u="1"/>
        <n v="2600460585" u="1"/>
        <n v="2600461689" u="1"/>
        <n v="9001659311" u="1"/>
        <n v="2600462484" u="1"/>
        <n v="9001624312" u="1"/>
        <n v="9001646489" u="1"/>
        <n v="2600464001" u="1"/>
        <n v="9001652922" u="1"/>
        <n v="2600461200" u="1"/>
        <n v="9001646382" u="1"/>
        <n v="9001646764" u="1"/>
        <n v="9001647528" u="1"/>
        <n v="9001658990" u="1"/>
        <n v="9001653579" u="1"/>
        <n v="9001607989" u="1"/>
        <n v="9001645280" u="1"/>
        <n v="9001630548" u="1"/>
        <n v="9001636981" u="1"/>
        <n v="9001639886" u="1"/>
        <n v="9001627047" u="1"/>
        <n v="9001638526" u="1"/>
        <n v="9001644195" u="1"/>
        <n v="9001631098" u="1"/>
        <n v="9001613843" u="1"/>
        <n v="2600463714" u="1"/>
        <n v="9001653915" u="1"/>
        <n v="9001629232" u="1"/>
        <n v="9001635025" u="1"/>
        <n v="9001625962" u="1"/>
        <n v="9001633772" u="1"/>
        <n v="9001659983" u="1"/>
        <n v="2600465422" u="1"/>
        <n v="9001655078" u="1"/>
        <n v="2600463565" u="1"/>
        <n v="9001650049" u="1"/>
        <n v="2600461930" u="1"/>
        <n v="9001615921" u="1"/>
        <n v="2600463607" u="1"/>
        <n v="9001651470" u="1"/>
        <n v="9001638373" u="1"/>
        <n v="9001642025" u="1"/>
        <n v="2600463798" u="1"/>
        <n v="9001626787" u="1"/>
        <n v="9001650599" u="1"/>
        <n v="2600466068" u="1"/>
        <n v="9001644699" u="1"/>
        <n v="9001615600" u="1"/>
        <n v="9001641811" u="1"/>
        <n v="9001653655" u="1"/>
        <n v="2600451021" u="1"/>
        <n v="2600463309" u="1"/>
        <n v="9001637439" u="1"/>
        <n v="2600465548" u="1"/>
        <n v="2600464635" u="1"/>
        <n v="2600462778" u="1"/>
        <n v="9001650553" u="1"/>
      </sharedItems>
    </cacheField>
    <cacheField name="Data do documento" numFmtId="14">
      <sharedItems containsSemiMixedTypes="0" containsNonDate="0" containsDate="1" containsString="0" minDate="2024-08-20T00:00:00" maxDate="2025-12-13T00:00:00" count="261">
        <d v="2025-05-13T00:00:00"/>
        <d v="2025-08-11T00:00:00"/>
        <d v="2025-09-08T00:00:00"/>
        <d v="2025-07-15T00:00:00"/>
        <d v="2025-08-14T00:00:00"/>
        <d v="2025-09-01T00:00:00"/>
        <d v="2025-07-07T00:00:00"/>
        <d v="2025-10-06T00:00:00"/>
        <d v="2025-09-19T00:00:00"/>
        <d v="2025-10-01T00:00:00"/>
        <d v="2025-10-07T00:00:00"/>
        <d v="2025-09-16T00:00:00"/>
        <d v="2025-09-02T00:00:00"/>
        <d v="2025-07-04T00:00:00"/>
        <d v="2025-08-25T00:00:00"/>
        <d v="2025-09-23T00:00:00"/>
        <d v="2025-09-24T00:00:00"/>
        <d v="2025-09-18T00:00:00"/>
        <d v="2025-09-11T00:00:00"/>
        <d v="2025-09-25T00:00:00"/>
        <d v="2025-09-03T00:00:00"/>
        <d v="2025-10-21T00:00:00"/>
        <d v="2025-11-03T00:00:00"/>
        <d v="2025-11-24T00:00:00"/>
        <d v="2025-11-17T00:00:00"/>
        <d v="2025-12-01T00:00:00"/>
        <d v="2025-12-04T00:00:00"/>
        <d v="2025-12-05T00:00:00"/>
        <d v="2025-12-11T00:00:00"/>
        <d v="2025-12-09T00:00:00"/>
        <d v="2025-10-20T00:00:00"/>
        <d v="2025-12-10T00:00:00"/>
        <d v="2025-12-12T00:00:00"/>
        <d v="2025-12-03T00:00:00"/>
        <d v="2025-12-08T00:00:00"/>
        <d v="2025-12-06T00:00:00"/>
        <d v="2025-10-10T00:00:00"/>
        <d v="2025-12-02T00:00:00"/>
        <d v="2025-11-13T00:00:00"/>
        <d v="2025-11-15T00:00:00"/>
        <d v="2025-11-20T00:00:00"/>
        <d v="2025-10-08T00:00:00"/>
        <d v="2025-10-16T00:00:00"/>
        <d v="2025-10-24T00:00:00"/>
        <d v="2025-11-06T00:00:00"/>
        <d v="2025-11-10T00:00:00"/>
        <d v="2025-11-19T00:00:00"/>
        <d v="2025-11-05T00:00:00"/>
        <d v="2025-11-07T00:00:00"/>
        <d v="2025-11-12T00:00:00"/>
        <d v="2025-10-09T00:00:00"/>
        <d v="2025-08-12T00:00:00"/>
        <d v="2025-11-14T00:00:00"/>
        <d v="2025-11-18T00:00:00"/>
        <d v="2025-08-15T00:00:00"/>
        <d v="2025-10-23T00:00:00"/>
        <d v="2025-10-13T00:00:00"/>
        <d v="2025-11-04T00:00:00"/>
        <d v="2025-11-25T00:00:00"/>
        <d v="2025-10-30T00:00:00"/>
        <d v="2025-10-14T00:00:00"/>
        <d v="2025-10-22T00:00:00"/>
        <d v="2025-08-22T00:00:00" u="1"/>
        <d v="2025-08-04T00:00:00" u="1"/>
        <d v="2025-09-09T00:00:00" u="1"/>
        <d v="2025-10-17T00:00:00" u="1"/>
        <d v="2025-12-07T00:00:00" u="1"/>
        <d v="2025-08-01T00:00:00" u="1"/>
        <d v="2025-07-25T00:00:00" u="1"/>
        <d v="2025-09-10T00:00:00" u="1"/>
        <d v="2025-09-12T00:00:00" u="1"/>
        <d v="2025-07-24T00:00:00" u="1"/>
        <d v="2025-10-02T00:00:00" u="1"/>
        <d v="2025-11-11T00:00:00" u="1"/>
        <d v="2025-10-15T00:00:00" u="1"/>
        <d v="2025-10-03T00:00:00" u="1"/>
        <d v="2025-11-21T00:00:00" u="1"/>
        <d v="2025-11-01T00:00:00" u="1"/>
        <d v="2025-08-07T00:00:00" u="1"/>
        <d v="2025-07-10T00:00:00" u="1"/>
        <d v="2025-06-05T00:00:00" u="1"/>
        <d v="2025-06-02T00:00:00" u="1"/>
        <d v="2025-06-17T00:00:00" u="1"/>
        <d v="2025-04-01T00:00:00" u="1"/>
        <d v="2025-08-08T00:00:00" u="1"/>
        <d v="2025-09-22T00:00:00" u="1"/>
        <d v="2025-07-23T00:00:00" u="1"/>
        <d v="2025-07-01T00:00:00" u="1"/>
        <d v="2025-09-05T00:00:00" u="1"/>
        <d v="2025-08-06T00:00:00" u="1"/>
        <d v="2025-07-11T00:00:00" u="1"/>
        <d v="2025-10-05T00:00:00" u="1"/>
        <d v="2025-06-24T00:00:00" u="1"/>
        <d v="2025-07-16T00:00:00" u="1"/>
        <d v="2025-08-05T00:00:00" u="1"/>
        <d v="2025-08-21T00:00:00" u="1"/>
        <d v="2025-09-04T00:00:00" u="1"/>
        <d v="2025-09-17T00:00:00" u="1"/>
        <d v="2025-09-15T00:00:00" u="1"/>
        <d v="2025-07-14T00:00:00" u="1"/>
        <d v="2025-07-21T00:00:00" u="1"/>
        <d v="2025-07-22T00:00:00" u="1"/>
        <d v="2025-07-31T00:00:00" u="1"/>
        <d v="2025-08-23T00:00:00" u="1"/>
        <d v="2025-08-13T00:00:00" u="1"/>
        <d v="2025-08-02T00:00:00" u="1"/>
        <d v="2025-05-16T00:00:00" u="1"/>
        <d v="2025-07-17T00:00:00" u="1"/>
        <d v="2025-04-16T00:00:00" u="1"/>
        <d v="2025-06-03T00:00:00" u="1"/>
        <d v="2025-05-05T00:00:00" u="1"/>
        <d v="2025-05-02T00:00:00" u="1"/>
        <d v="2025-06-20T00:00:00" u="1"/>
        <d v="2025-06-23T00:00:00" u="1"/>
        <d v="2025-07-08T00:00:00" u="1"/>
        <d v="2025-06-15T00:00:00" u="1"/>
        <d v="2025-08-18T00:00:00" u="1"/>
        <d v="2025-08-19T00:00:00" u="1"/>
        <d v="2025-08-20T00:00:00" u="1"/>
        <d v="2025-03-07T00:00:00" u="1"/>
        <d v="2024-12-13T00:00:00" u="1"/>
        <d v="2025-07-18T00:00:00" u="1"/>
        <d v="2025-07-02T00:00:00" u="1"/>
        <d v="2025-07-20T00:00:00" u="1"/>
        <d v="2025-05-04T00:00:00" u="1"/>
        <d v="2025-05-17T00:00:00" u="1"/>
        <d v="2025-05-23T00:00:00" u="1"/>
        <d v="2025-06-06T00:00:00" u="1"/>
        <d v="2025-06-12T00:00:00" u="1"/>
        <d v="2025-06-16T00:00:00" u="1"/>
        <d v="2025-07-03T00:00:00" u="1"/>
        <d v="2025-05-15T00:00:00" u="1"/>
        <d v="2025-06-09T00:00:00" u="1"/>
        <d v="2025-05-20T00:00:00" u="1"/>
        <d v="2024-12-30T00:00:00" u="1"/>
        <d v="2024-12-04T00:00:00" u="1"/>
        <d v="2025-02-04T00:00:00" u="1"/>
        <d v="2025-05-26T00:00:00" u="1"/>
        <d v="2025-03-09T00:00:00" u="1"/>
        <d v="2025-02-23T00:00:00" u="1"/>
        <d v="2025-04-14T00:00:00" u="1"/>
        <d v="2025-05-19T00:00:00" u="1"/>
        <d v="2025-01-11T00:00:00" u="1"/>
        <d v="2025-03-02T00:00:00" u="1"/>
        <d v="2024-12-16T00:00:00" u="1"/>
        <d v="2025-04-07T00:00:00" u="1"/>
        <d v="2025-03-21T00:00:00" u="1"/>
        <d v="2025-05-12T00:00:00" u="1"/>
        <d v="2025-04-26T00:00:00" u="1"/>
        <d v="2024-12-09T00:00:00" u="1"/>
        <d v="2025-01-23T00:00:00" u="1"/>
        <d v="2025-03-14T00:00:00" u="1"/>
        <d v="2025-06-10T00:00:00" u="1"/>
        <d v="2024-08-20T00:00:00" u="1"/>
        <d v="2024-12-02T00:00:00" u="1"/>
        <d v="2025-05-24T00:00:00" u="1"/>
        <d v="2025-01-16T00:00:00" u="1"/>
        <d v="2025-02-21T00:00:00" u="1"/>
        <d v="2025-04-12T00:00:00" u="1"/>
        <d v="2025-03-26T00:00:00" u="1"/>
        <d v="2025-01-09T00:00:00" u="1"/>
        <d v="2025-02-14T00:00:00" u="1"/>
        <d v="2025-04-05T00:00:00" u="1"/>
        <d v="2025-03-19T00:00:00" u="1"/>
        <d v="2025-01-02T00:00:00" u="1"/>
        <d v="2025-04-24T00:00:00" u="1"/>
        <d v="2025-02-07T00:00:00" u="1"/>
        <d v="2024-11-21T00:00:00" u="1"/>
        <d v="2025-01-21T00:00:00" u="1"/>
        <d v="2025-03-12T00:00:00" u="1"/>
        <d v="2025-05-03T00:00:00" u="1"/>
        <d v="2025-04-17T00:00:00" u="1"/>
        <d v="2024-10-09T00:00:00" u="1"/>
        <d v="2025-05-22T00:00:00" u="1"/>
        <d v="2025-01-14T00:00:00" u="1"/>
        <d v="2025-03-05T00:00:00" u="1"/>
        <d v="2024-12-19T00:00:00" u="1"/>
        <d v="2025-02-19T00:00:00" u="1"/>
        <d v="2025-04-10T00:00:00" u="1"/>
        <d v="2025-06-01T00:00:00" u="1"/>
        <d v="2025-03-24T00:00:00" u="1"/>
        <d v="2024-11-07T00:00:00" u="1"/>
        <d v="2025-01-07T00:00:00" u="1"/>
        <d v="2025-04-29T00:00:00" u="1"/>
        <d v="2024-12-12T00:00:00" u="1"/>
        <d v="2025-02-12T00:00:00" u="1"/>
        <d v="2025-04-03T00:00:00" u="1"/>
        <d v="2025-03-17T00:00:00" u="1"/>
        <d v="2025-05-08T00:00:00" u="1"/>
        <d v="2025-04-22T00:00:00" u="1"/>
        <d v="2025-06-13T00:00:00" u="1"/>
        <d v="2024-12-05T00:00:00" u="1"/>
        <d v="2025-02-05T00:00:00" u="1"/>
        <d v="2025-03-10T00:00:00" u="1"/>
        <d v="2025-05-01T00:00:00" u="1"/>
        <d v="2025-02-24T00:00:00" u="1"/>
        <d v="2025-04-15T00:00:00" u="1"/>
        <d v="2024-11-12T00:00:00" u="1"/>
        <d v="2025-03-03T00:00:00" u="1"/>
        <d v="2025-06-25T00:00:00" u="1"/>
        <d v="2024-12-17T00:00:00" u="1"/>
        <d v="2025-02-17T00:00:00" u="1"/>
        <d v="2025-04-08T00:00:00" u="1"/>
        <d v="2025-06-18T00:00:00" u="1"/>
        <d v="2024-12-10T00:00:00" u="1"/>
        <d v="2025-02-10T00:00:00" u="1"/>
        <d v="2025-01-24T00:00:00" u="1"/>
        <d v="2025-03-15T00:00:00" u="1"/>
        <d v="2025-05-06T00:00:00" u="1"/>
        <d v="2025-04-20T00:00:00" u="1"/>
        <d v="2025-06-11T00:00:00" u="1"/>
        <d v="2024-12-03T00:00:00" u="1"/>
        <d v="2025-02-03T00:00:00" u="1"/>
        <d v="2025-01-17T00:00:00" u="1"/>
        <d v="2025-03-08T00:00:00" u="1"/>
        <d v="2025-06-30T00:00:00" u="1"/>
        <d v="2025-06-04T00:00:00" u="1"/>
        <d v="2025-07-09T00:00:00" u="1"/>
        <d v="2025-01-10T00:00:00" u="1"/>
        <d v="2025-02-15T00:00:00" u="1"/>
        <d v="2025-03-20T00:00:00" u="1"/>
        <d v="2025-01-03T00:00:00" u="1"/>
        <d v="2025-04-25T00:00:00" u="1"/>
        <d v="2025-02-08T00:00:00" u="1"/>
        <d v="2025-01-22T00:00:00" u="1"/>
        <d v="2025-03-13T00:00:00" u="1"/>
        <d v="2025-01-15T00:00:00" u="1"/>
        <d v="2025-03-06T00:00:00" u="1"/>
        <d v="2024-12-20T00:00:00" u="1"/>
        <d v="2025-02-20T00:00:00" u="1"/>
        <d v="2025-04-11T00:00:00" u="1"/>
        <d v="2025-03-25T00:00:00" u="1"/>
        <d v="2025-01-08T00:00:00" u="1"/>
        <d v="2025-02-13T00:00:00" u="1"/>
        <d v="2025-04-04T00:00:00" u="1"/>
        <d v="2025-01-27T00:00:00" u="1"/>
        <d v="2025-03-18T00:00:00" u="1"/>
        <d v="2025-05-09T00:00:00" u="1"/>
        <d v="2024-11-01T00:00:00" u="1"/>
        <d v="2025-01-01T00:00:00" u="1"/>
        <d v="2025-04-23T00:00:00" u="1"/>
        <d v="2025-02-06T00:00:00" u="1"/>
        <d v="2025-01-20T00:00:00" u="1"/>
        <d v="2025-03-11T00:00:00" u="1"/>
        <d v="2025-02-25T00:00:00" u="1"/>
        <d v="2025-05-21T00:00:00" u="1"/>
        <d v="2025-07-12T00:00:00" u="1"/>
        <d v="2025-01-13T00:00:00" u="1"/>
        <d v="2025-03-04T00:00:00" u="1"/>
        <d v="2025-06-26T00:00:00" u="1"/>
        <d v="2024-12-18T00:00:00" u="1"/>
        <d v="2025-02-18T00:00:00" u="1"/>
        <d v="2025-04-09T00:00:00" u="1"/>
        <d v="2024-10-01T00:00:00" u="1"/>
        <d v="2025-05-14T00:00:00" u="1"/>
        <d v="2025-01-06T00:00:00" u="1"/>
        <d v="2025-06-19T00:00:00" u="1"/>
        <d v="2024-12-11T00:00:00" u="1"/>
        <d v="2025-02-11T00:00:00" u="1"/>
        <d v="2025-04-02T00:00:00" u="1"/>
        <d v="2025-05-07T00:00:00" u="1"/>
      </sharedItems>
    </cacheField>
    <cacheField name="Vencimento" numFmtId="14">
      <sharedItems containsSemiMixedTypes="0" containsNonDate="0" containsDate="1" containsString="0" minDate="2025-07-12T00:00:00" maxDate="2026-04-11T00:00:00"/>
    </cacheField>
    <cacheField name="Total Nota" numFmtId="0">
      <sharedItems containsSemiMixedTypes="0" containsString="0" containsNumber="1" minValue="111.89" maxValue="561103.80000000005"/>
    </cacheField>
    <cacheField name="Upload" numFmtId="14">
      <sharedItems containsSemiMixedTypes="0" containsNonDate="0" containsDate="1" containsString="0" minDate="2025-05-13T00:00:00" maxDate="2025-12-13T00:00:00"/>
    </cacheField>
    <cacheField name="Docto 103" numFmtId="0">
      <sharedItems containsSemiMixedTypes="0" containsString="0" containsNumber="1" containsInteger="1" minValue="5000718059" maxValue="5001906168"/>
    </cacheField>
    <cacheField name="Ano doc.material" numFmtId="0">
      <sharedItems containsSemiMixedTypes="0" containsString="0" containsNumber="1" containsInteger="1" minValue="2024" maxValue="2025" count="2">
        <n v="2025"/>
        <n v="2024" u="1"/>
      </sharedItems>
    </cacheField>
    <cacheField name="Nº documento" numFmtId="0">
      <sharedItems containsSemiMixedTypes="0" containsString="0" containsNumber="1" containsInteger="1" minValue="333987" maxValue="373352"/>
    </cacheField>
    <cacheField name="Reg.Serviço" numFmtId="0">
      <sharedItems/>
    </cacheField>
    <cacheField name="Aceite em" numFmtId="14">
      <sharedItems containsNonDate="0" containsDate="1" containsString="0" containsBlank="1" minDate="2025-05-14T00:00:00" maxDate="2025-12-14T00:00:00"/>
    </cacheField>
    <cacheField name="Aceite por" numFmtId="0">
      <sharedItems/>
    </cacheField>
    <cacheField name="Recusa em" numFmtId="0">
      <sharedItems containsNonDate="0" containsString="0" containsBlank="1"/>
    </cacheField>
    <cacheField name="Rec. definitiva em" numFmtId="0">
      <sharedItems containsNonDate="0" containsString="0" containsBlank="1"/>
    </cacheField>
    <cacheField name="Reativação em" numFmtId="0">
      <sharedItems containsNonDate="0" containsString="0" containsBlank="1"/>
    </cacheField>
    <cacheField name="Docto 105" numFmtId="0">
      <sharedItems containsString="0" containsBlank="1" containsNumber="1" containsInteger="1" minValue="5000722945" maxValue="5001906018"/>
    </cacheField>
    <cacheField name="Ano 105" numFmtId="0">
      <sharedItems containsString="0" containsBlank="1" containsNumber="1" containsInteger="1" minValue="2025" maxValue="2025"/>
    </cacheField>
    <cacheField name="Revisão Faturas" numFmtId="0">
      <sharedItems containsString="0" containsBlank="1" containsNumber="1" containsInteger="1" minValue="9003962441" maxValue="9004035467"/>
    </cacheField>
    <cacheField name="Ano Revisão" numFmtId="0">
      <sharedItems containsString="0" containsBlank="1" containsNumber="1" containsInteger="1" minValue="2025" maxValue="2025"/>
    </cacheField>
    <cacheField name="Docto NF" numFmtId="0">
      <sharedItems containsSemiMixedTypes="0" containsString="0" containsNumber="1" containsInteger="1" minValue="0" maxValue="10421397"/>
    </cacheField>
    <cacheField name="Requisitante" numFmtId="0">
      <sharedItems count="111">
        <s v="Adriana De Oliveira"/>
        <s v="Fabio Silva Castro"/>
        <s v="Jose Ailton Figueiredo"/>
        <s v="vhanderson zarpelao"/>
        <s v="Guilherme Silva Brites"/>
        <s v="Flavio Matui"/>
        <s v="alinej uliomagdaleno dias"/>
        <s v="Lucas Franz Vieira Dick"/>
        <s v="Richard Oswaldo Flores Espinoza"/>
        <s v="MOISES COTA"/>
        <s v="saul ferreira"/>
        <s v="Guilherme Martins Rodrigues"/>
        <s v="Karina Siqueira Silva"/>
        <s v="Marcelo Jonathan De Amorim"/>
        <s v="Thuane Ril Souza"/>
        <s v="ana dionisio"/>
        <s v="Davi Torres Gaiotti"/>
        <s v="Emilly Jordao Cordeiro Silva"/>
        <s v="Viviane Valladares"/>
        <s v="Alan De Lucena Perluize"/>
        <s v="Joao Gabriel De Faria Francisco"/>
        <s v="Joao Victor De Oliveira"/>
        <s v="Indylene Macedo Santana"/>
        <s v="jocimar barbosa"/>
        <s v="Victor Eduardo Rodrigues De Carvalh"/>
        <s v="Danilo Souza Silva"/>
        <s v="abidiel santos"/>
        <s v="Moraes Rivelino"/>
        <s v="MARIANA HONORIO DE SOUZA"/>
        <s v="Juliana Curtolo Chignolli"/>
        <s v="OSMAR machadojunior"/>
        <s v="Marcelo Filho Quaiotti"/>
        <s v="Rodrigo Leite De Paula Lima"/>
        <s v="Giovanna Guedes Pereira"/>
        <s v="Igor Galvao Ferreira"/>
        <s v="Jeanderson Teixeira De Paula"/>
        <s v="EX2JUNIOMA"/>
        <s v="VIET-LEANDRO"/>
        <s v="Raquel Tonelotti Carvalho Noguti"/>
        <s v="jose teles"/>
        <s v="LEANDRO DE VIETRO"/>
        <s v="Vinicius Gomes De Souza"/>
        <s v="LIGIA SCHIAVON RODRIGUES"/>
        <s v="Carina Augusto Zambon"/>
        <s v="fabiana murador"/>
        <s v="Odair Wilendorf Filho" u="1"/>
        <s v="ST1SILVARI" u="1"/>
        <s v="Giselle Cristina Dos Santos Fagunde" u="1"/>
        <s v="Carla Razori" u="1"/>
        <s v="Kaique Kinosita Pulici" u="1"/>
        <s v="Ronan Pereira Gomes" u="1"/>
        <s v="Caroline Diego Inacio" u="1"/>
        <s v="Bianca De Paula Ferreira Godoy" u="1"/>
        <s v="Jonathas Pereira" u="1"/>
        <s v="Leandro De Carvalho Pereira" u="1"/>
        <s v="LEMESLE001" u="1"/>
        <s v="joao camargo" u="1"/>
        <s v="SANTAIN001D" u="1"/>
        <s v="RODRILI001A" u="1"/>
        <s v="Francisco Costa" u="1"/>
        <s v="Karine Aparecida De Oliveira" u="1"/>
        <s v="Charles Wilhan De Moraes" u="1"/>
        <s v="Karen Iris Maia Do Carmo" u="1"/>
        <s v="Ronald Zaffani" u="1"/>
        <s v="Tatiane Santos De Souza" u="1"/>
        <s v="jefferson violin" u="1"/>
        <s v="CAMARJO001B" u="1"/>
        <s v="Eliabe Erik Dos Santos Silva" u="1"/>
        <s v="Douglas Ribeiro Dos Santos" u="1"/>
        <s v="Joao Carlos Ribeiro De Souza" u="1"/>
        <s v="Jose Ednaldo Costa Da Silva" u="1"/>
        <s v="Nicolas Ribeiro Bertoni" u="1"/>
        <s v="Leonardo Ribeiro De Paula Lemes" u="1"/>
        <s v="Elcio Luiz Pastorelli" u="1"/>
        <s v="estephani blumen" u="1"/>
        <s v="ST1MARQUALA" u="1"/>
        <s v="Ricardo Nunes Da Silva Junior" u="1"/>
        <s v="SOUZAJO003A" u="1"/>
        <s v="pedro oliveira" u="1"/>
        <s v="Daniele Dias Aquino" u="1"/>
        <s v="gabriela vidalde oliveira" u="1"/>
        <s v="MARCHPA002A" u="1"/>
        <s v="MOTAAL001" u="1"/>
        <s v="ST1CARVAWE" u="1"/>
        <s v="ESPINRI001A" u="1"/>
        <s v="Nathalia Pimentel Da Silva" u="1"/>
        <s v="Elaine De Cassia Vital" u="1"/>
        <s v="alicia mota" u="1"/>
        <s v="JECEMIEL DE ALMEIDA PONTES" u="1"/>
        <s v="Matheus Gomes Bernardo" u="1"/>
        <s v="Vitor Daniel Pacheco" u="1"/>
        <s v="Guilherme De Araujo Andrade" u="1"/>
        <s v="Alicia Yara Oliveira Marques" u="1"/>
        <s v="Valmi Aparecido Da Silva Costa" u="1"/>
        <s v="Giulia Callegari Frittoli" u="1"/>
        <s v="Thomas Rodrigues Lima" u="1"/>
        <s v="Taina Gomes Famula" u="1"/>
        <s v="CAMPONA002" u="1"/>
        <s v="Claudenis De Lima" u="1"/>
        <s v="gabriel brites" u="1"/>
        <s v="evandro catuzzo" u="1"/>
        <s v="Jediael Delgado" u="1"/>
        <s v="Marcelo Esteves Da Silva Junior" u="1"/>
        <s v="Jose Luis De Cairo" u="1"/>
        <s v="Vanessa Marques" u="1"/>
        <s v="Fabricio Dias" u="1"/>
        <s v="Aline Buschini" u="1"/>
        <s v="Arthur Eduardo Nagay" u="1"/>
        <s v="Ana Liz Da Silva Santos" u="1"/>
        <s v="ST2ARAUJLU" u="1"/>
        <s v="Felipe Seraphim Frare" u="1"/>
      </sharedItems>
    </cacheField>
    <cacheField name="Aceite por_1" numFmtId="0">
      <sharedItems/>
    </cacheField>
    <cacheField name="Delegado" numFmtId="0">
      <sharedItems count="53">
        <s v="OLIVEAD005"/>
        <s v="CASTRFA002"/>
        <s v=""/>
        <s v="ZARPEVH001"/>
        <s v="BRITEGU001"/>
        <s v="MATUIFL001"/>
        <s v="CAIROJO001"/>
        <s v="CHIGNJU001"/>
        <s v="COTAMO001"/>
        <s v="FERRESA001"/>
        <s v="RODRIGU001"/>
        <s v="ST1VIEIRMA"/>
        <s v="AMORIMA001"/>
        <s v="ET1SOUZATH"/>
        <s v="DIONIAN001"/>
        <s v="SILVAEM004"/>
        <s v="VALLAVI001"/>
        <s v="PERLUAL001"/>
        <s v="SANTAIN001"/>
        <s v="BARBOJO002"/>
        <s v="SILVADA016"/>
        <s v="SANTOAB001"/>
        <s v="MORAERI001"/>
        <s v="SILVANA005"/>
        <s v="MACHAOS001"/>
        <s v="CAMARJO001"/>
        <s v="PEREIGI004"/>
        <s v="NOGUTRA001"/>
        <s v="TELESJO001"/>
        <s v="VIETRLE001"/>
        <s v="SOUZAVI002"/>
        <s v="RODRILI001"/>
        <s v="RL1ZAMBOCA"/>
        <s v="FAGUNGI001" u="1"/>
        <s v="RAZORCA001" u="1"/>
        <s v="PEREIJO003" u="1"/>
        <s v="VITALEL002" u="1"/>
        <s v="SOUZATA001" u="1"/>
        <s v="GAIOTDA001" u="1"/>
        <s v="PASTOEL001" u="1"/>
        <s v="EX1BLUMEES" u="1"/>
        <s v="MOTAAL001" u="1"/>
        <s v="ST1NUNESKA" u="1"/>
        <s v="ST1CARMOKA" u="1"/>
        <s v="OLIVEGA004" u="1"/>
        <s v="EX1PEREIGI" u="1"/>
        <s v="LIMATH001" u="1"/>
        <s v="CAMPONA002" u="1"/>
        <s v="BRITEGA001" u="1"/>
        <s v="SILVAKA003" u="1"/>
        <s v="DELGAJE001" u="1"/>
        <s v="BUSCHAL001" u="1"/>
        <s v="ST1DIASFA" u="1"/>
      </sharedItems>
    </cacheField>
    <cacheField name="Total Calculado" numFmtId="0">
      <sharedItems containsSemiMixedTypes="0" containsString="0" containsNumber="1" minValue="0" maxValue="561103.92000000004"/>
    </cacheField>
    <cacheField name="Justificativa Recusa" numFmtId="0">
      <sharedItems/>
    </cacheField>
    <cacheField name="Motivo Atraso" numFmtId="0">
      <sharedItems/>
    </cacheField>
    <cacheField name="Cd Reinf" numFmtId="0">
      <sharedItems containsSemiMixedTypes="0" containsString="0" containsNumber="1" containsInteger="1" minValue="6000001" maxValue="6999999"/>
    </cacheField>
    <cacheField name="Aprovador Zapl" numFmtId="0">
      <sharedItems count="17">
        <s v="HENRITA001"/>
        <s v="HONORMA001"/>
        <s v="CHIMEJO001"/>
        <s v="CREMOVA001"/>
        <s v="ANTONED001"/>
        <s v="FALKERO001"/>
        <s v="NAKEDGU001"/>
        <s v="DURBAMA001"/>
        <s v=""/>
        <s v="MOICL001"/>
        <s v="ALARCMA001" u="1"/>
        <s v="BAIOCAN001" u="1"/>
        <s v="CAMPOCH001" u="1"/>
        <s v="GAIOTDA001" u="1"/>
        <s v="ALMEIMA003" u="1"/>
        <s v="CLAUDLU001" u="1"/>
        <s v="ARAGATE001" u="1"/>
      </sharedItems>
    </cacheField>
    <cacheField name="Centro de custo" numFmtId="0">
      <sharedItems containsString="0" containsBlank="1" containsNumber="1" containsInteger="1" minValue="2951" maxValue="9530"/>
    </cacheField>
    <cacheField name="Conta Raz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x v="0"/>
    <x v="0"/>
    <s v="@06@"/>
    <x v="0"/>
    <s v="Gerencia Requisitante"/>
    <x v="0"/>
    <s v="J102"/>
    <s v="BGB"/>
    <x v="0"/>
    <s v=""/>
    <x v="0"/>
    <x v="0"/>
    <x v="0"/>
    <d v="2025-07-12T00:00:00"/>
    <n v="36840"/>
    <d v="2025-05-13T00:00:00"/>
    <n v="5000718059"/>
    <x v="0"/>
    <n v="333987"/>
    <s v=""/>
    <d v="2025-05-14T00:00:00"/>
    <s v="KLABECA001"/>
    <m/>
    <m/>
    <m/>
    <n v="5000722945"/>
    <n v="2025"/>
    <n v="9003962441"/>
    <n v="2025"/>
    <n v="10233929"/>
    <x v="0"/>
    <s v="Caio Klabenhoff"/>
    <x v="0"/>
    <n v="0"/>
    <s v=""/>
    <s v=""/>
    <n v="6999999"/>
    <x v="0"/>
    <n v="9000"/>
    <s v="N14311M002"/>
  </r>
  <r>
    <x v="1"/>
    <x v="1"/>
    <x v="1"/>
    <s v="@5B@"/>
    <x v="1"/>
    <s v="Requisitante"/>
    <x v="1"/>
    <s v="J102"/>
    <s v="BPC"/>
    <x v="1"/>
    <s v=""/>
    <x v="1"/>
    <x v="1"/>
    <x v="1"/>
    <d v="2025-11-09T00:00:00"/>
    <n v="72398.73"/>
    <d v="2025-08-22T00:00:00"/>
    <n v="5001232052"/>
    <x v="0"/>
    <n v="353681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277"/>
  </r>
  <r>
    <x v="2"/>
    <x v="1"/>
    <x v="2"/>
    <s v="@5B@"/>
    <x v="1"/>
    <s v="Requisitante"/>
    <x v="2"/>
    <s v="J102"/>
    <s v="BAC"/>
    <x v="2"/>
    <s v=""/>
    <x v="2"/>
    <x v="2"/>
    <x v="2"/>
    <d v="2025-12-07T00:00:00"/>
    <n v="12000"/>
    <d v="2025-09-08T00:00:00"/>
    <n v="5001298802"/>
    <x v="0"/>
    <n v="356682"/>
    <s v=""/>
    <m/>
    <s v=""/>
    <m/>
    <m/>
    <m/>
    <m/>
    <m/>
    <m/>
    <m/>
    <n v="0"/>
    <x v="2"/>
    <s v=""/>
    <x v="2"/>
    <n v="12000"/>
    <s v=""/>
    <s v=""/>
    <n v="6999999"/>
    <x v="1"/>
    <n v="9104"/>
    <s v="N14702M002"/>
  </r>
  <r>
    <x v="3"/>
    <x v="0"/>
    <x v="0"/>
    <s v="@06@"/>
    <x v="0"/>
    <s v="Gerencia Requisitante"/>
    <x v="3"/>
    <s v="J102"/>
    <s v="BGB"/>
    <x v="0"/>
    <s v=""/>
    <x v="0"/>
    <x v="3"/>
    <x v="3"/>
    <d v="2025-09-13T00:00:00"/>
    <n v="36840"/>
    <d v="2025-07-15T00:00:00"/>
    <n v="5001080856"/>
    <x v="0"/>
    <n v="346485"/>
    <s v=""/>
    <d v="2025-07-17T00:00:00"/>
    <s v="KLABECA001"/>
    <m/>
    <m/>
    <m/>
    <n v="5001090547"/>
    <n v="2025"/>
    <n v="9003981437"/>
    <n v="2025"/>
    <n v="10294041"/>
    <x v="0"/>
    <s v="Caio Klabenhoff"/>
    <x v="0"/>
    <n v="0"/>
    <s v=""/>
    <s v=""/>
    <n v="6999999"/>
    <x v="0"/>
    <n v="9000"/>
    <s v="N14311M002"/>
  </r>
  <r>
    <x v="1"/>
    <x v="2"/>
    <x v="3"/>
    <s v="@5B@"/>
    <x v="1"/>
    <s v="Requisitante"/>
    <x v="4"/>
    <s v="J102"/>
    <s v="RP8"/>
    <x v="3"/>
    <s v=""/>
    <x v="3"/>
    <x v="4"/>
    <x v="4"/>
    <d v="2025-10-13T00:00:00"/>
    <n v="289"/>
    <d v="2025-08-14T00:00:00"/>
    <n v="5001206008"/>
    <x v="0"/>
    <n v="352181"/>
    <s v=""/>
    <m/>
    <s v=""/>
    <m/>
    <m/>
    <m/>
    <m/>
    <m/>
    <m/>
    <m/>
    <n v="0"/>
    <x v="3"/>
    <s v=""/>
    <x v="3"/>
    <n v="289"/>
    <s v=""/>
    <s v=""/>
    <n v="6999999"/>
    <x v="1"/>
    <n v="4802"/>
    <s v="N14312H002"/>
  </r>
  <r>
    <x v="2"/>
    <x v="1"/>
    <x v="2"/>
    <s v="@5B@"/>
    <x v="1"/>
    <s v="Requisitante"/>
    <x v="5"/>
    <s v="J102"/>
    <s v="BAC"/>
    <x v="4"/>
    <s v=""/>
    <x v="4"/>
    <x v="5"/>
    <x v="5"/>
    <d v="2025-12-30T00:00:00"/>
    <n v="102118.5"/>
    <d v="2025-09-04T00:00:00"/>
    <n v="5001286166"/>
    <x v="0"/>
    <n v="355935"/>
    <s v=""/>
    <m/>
    <s v=""/>
    <m/>
    <m/>
    <m/>
    <m/>
    <m/>
    <m/>
    <m/>
    <n v="0"/>
    <x v="2"/>
    <s v=""/>
    <x v="2"/>
    <n v="102118.5"/>
    <s v=""/>
    <s v=""/>
    <n v="6000020"/>
    <x v="1"/>
    <n v="9203"/>
    <s v="N14702M002"/>
  </r>
  <r>
    <x v="3"/>
    <x v="3"/>
    <x v="0"/>
    <s v="@5B@"/>
    <x v="1"/>
    <s v="Requisitante"/>
    <x v="6"/>
    <s v="J102"/>
    <s v="RP8"/>
    <x v="5"/>
    <s v=""/>
    <x v="5"/>
    <x v="6"/>
    <x v="6"/>
    <d v="2025-09-05T00:00:00"/>
    <n v="18532.29"/>
    <d v="2025-07-25T00:00:00"/>
    <n v="5001127444"/>
    <x v="0"/>
    <n v="348657"/>
    <s v=""/>
    <m/>
    <s v=""/>
    <m/>
    <m/>
    <m/>
    <m/>
    <m/>
    <m/>
    <m/>
    <n v="0"/>
    <x v="4"/>
    <s v=""/>
    <x v="4"/>
    <n v="18532.29"/>
    <s v=""/>
    <s v=""/>
    <n v="6000010"/>
    <x v="1"/>
    <n v="9000"/>
    <s v="N14201M077"/>
  </r>
  <r>
    <x v="3"/>
    <x v="3"/>
    <x v="0"/>
    <s v="@5B@"/>
    <x v="1"/>
    <s v="Requisitante"/>
    <x v="7"/>
    <s v="J102"/>
    <s v="RP8"/>
    <x v="5"/>
    <s v=""/>
    <x v="5"/>
    <x v="6"/>
    <x v="6"/>
    <d v="2025-09-05T00:00:00"/>
    <n v="70291.149999999994"/>
    <d v="2025-07-25T00:00:00"/>
    <n v="5001127443"/>
    <x v="0"/>
    <n v="348656"/>
    <s v=""/>
    <m/>
    <s v=""/>
    <m/>
    <m/>
    <m/>
    <m/>
    <m/>
    <m/>
    <m/>
    <n v="0"/>
    <x v="4"/>
    <s v=""/>
    <x v="4"/>
    <n v="70291.149999999994"/>
    <s v=""/>
    <s v=""/>
    <n v="6000001"/>
    <x v="1"/>
    <n v="9000"/>
    <s v="N14201M077"/>
  </r>
  <r>
    <x v="4"/>
    <x v="4"/>
    <x v="4"/>
    <s v="@06@"/>
    <x v="0"/>
    <s v="Gerencia Requisitante"/>
    <x v="8"/>
    <s v="J102"/>
    <s v="BPC"/>
    <x v="6"/>
    <s v=""/>
    <x v="6"/>
    <x v="7"/>
    <x v="7"/>
    <d v="2025-12-05T00:00:00"/>
    <n v="38000"/>
    <d v="2025-10-06T00:00:00"/>
    <n v="5001458074"/>
    <x v="0"/>
    <n v="361574"/>
    <s v=""/>
    <d v="2025-10-22T00:00:00"/>
    <s v="ST2OLIVEJO"/>
    <m/>
    <m/>
    <m/>
    <n v="5001522948"/>
    <n v="2025"/>
    <n v="9004034640"/>
    <n v="2025"/>
    <n v="10419623"/>
    <x v="5"/>
    <s v="Joao Victor De Oliveira"/>
    <x v="5"/>
    <n v="0"/>
    <s v=""/>
    <s v=""/>
    <n v="6999999"/>
    <x v="1"/>
    <m/>
    <s v="B230100000"/>
  </r>
  <r>
    <x v="2"/>
    <x v="1"/>
    <x v="1"/>
    <s v="@5B@"/>
    <x v="1"/>
    <s v="Requisitante"/>
    <x v="9"/>
    <s v="J102"/>
    <s v="BHB"/>
    <x v="7"/>
    <s v=""/>
    <x v="7"/>
    <x v="8"/>
    <x v="8"/>
    <d v="2025-11-18T00:00:00"/>
    <n v="15000"/>
    <d v="2025-09-19T00:00:00"/>
    <n v="5001352425"/>
    <x v="0"/>
    <n v="358753"/>
    <s v=""/>
    <m/>
    <s v=""/>
    <m/>
    <m/>
    <m/>
    <m/>
    <m/>
    <m/>
    <m/>
    <n v="0"/>
    <x v="6"/>
    <s v=""/>
    <x v="6"/>
    <n v="15000"/>
    <s v=""/>
    <s v=""/>
    <n v="6999999"/>
    <x v="2"/>
    <n v="9018"/>
    <s v="N14702M277"/>
  </r>
  <r>
    <x v="4"/>
    <x v="1"/>
    <x v="2"/>
    <s v="@5B@"/>
    <x v="1"/>
    <s v="Requisitante"/>
    <x v="10"/>
    <s v="J102"/>
    <s v="BAC"/>
    <x v="4"/>
    <s v=""/>
    <x v="4"/>
    <x v="9"/>
    <x v="9"/>
    <d v="2026-01-29T00:00:00"/>
    <n v="97954.61"/>
    <d v="2025-10-06T00:00:00"/>
    <n v="5001425055"/>
    <x v="0"/>
    <n v="361520"/>
    <s v=""/>
    <m/>
    <s v=""/>
    <m/>
    <m/>
    <m/>
    <m/>
    <m/>
    <m/>
    <m/>
    <n v="0"/>
    <x v="2"/>
    <s v=""/>
    <x v="2"/>
    <n v="97954.61"/>
    <s v=""/>
    <s v=""/>
    <n v="6000020"/>
    <x v="1"/>
    <n v="9203"/>
    <s v="N14702M002"/>
  </r>
  <r>
    <x v="4"/>
    <x v="1"/>
    <x v="2"/>
    <s v="@5B@"/>
    <x v="1"/>
    <s v="Requisitante"/>
    <x v="11"/>
    <s v="J102"/>
    <s v="RP8"/>
    <x v="8"/>
    <s v=""/>
    <x v="8"/>
    <x v="10"/>
    <x v="10"/>
    <d v="2025-12-06T00:00:00"/>
    <n v="16267.06"/>
    <d v="2025-10-07T00:00:00"/>
    <n v="5001432285"/>
    <x v="0"/>
    <n v="361848"/>
    <s v=""/>
    <m/>
    <s v=""/>
    <m/>
    <m/>
    <m/>
    <m/>
    <m/>
    <m/>
    <m/>
    <n v="0"/>
    <x v="7"/>
    <s v=""/>
    <x v="2"/>
    <n v="16267.06"/>
    <s v=""/>
    <s v=""/>
    <n v="6999999"/>
    <x v="1"/>
    <n v="9117"/>
    <s v="N14702M002"/>
  </r>
  <r>
    <x v="2"/>
    <x v="1"/>
    <x v="2"/>
    <s v="@5B@"/>
    <x v="1"/>
    <s v="Requisitante"/>
    <x v="12"/>
    <s v="J102"/>
    <s v="BPC"/>
    <x v="1"/>
    <s v=""/>
    <x v="1"/>
    <x v="11"/>
    <x v="11"/>
    <d v="2025-12-15T00:00:00"/>
    <n v="72398.73"/>
    <d v="2025-09-19T00:00:00"/>
    <n v="5001349558"/>
    <x v="0"/>
    <n v="358705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002"/>
  </r>
  <r>
    <x v="2"/>
    <x v="1"/>
    <x v="2"/>
    <s v="@06@"/>
    <x v="0"/>
    <s v="Gerencia Requisitante"/>
    <x v="13"/>
    <s v="J102"/>
    <s v="RP8"/>
    <x v="9"/>
    <s v=""/>
    <x v="9"/>
    <x v="12"/>
    <x v="12"/>
    <d v="2025-11-01T00:00:00"/>
    <n v="3938"/>
    <d v="2025-09-23T00:00:00"/>
    <n v="5001366274"/>
    <x v="0"/>
    <n v="359301"/>
    <s v=""/>
    <d v="2025-12-12T00:00:00"/>
    <s v="SOUZAVI002"/>
    <m/>
    <m/>
    <m/>
    <n v="5001902854"/>
    <n v="2025"/>
    <n v="9004035272"/>
    <n v="2025"/>
    <n v="10421161"/>
    <x v="6"/>
    <s v="Vinicius Gomes De Souza"/>
    <x v="6"/>
    <n v="0"/>
    <s v=""/>
    <s v=""/>
    <n v="6999999"/>
    <x v="1"/>
    <n v="9013"/>
    <s v="N14702M002"/>
  </r>
  <r>
    <x v="3"/>
    <x v="5"/>
    <x v="0"/>
    <s v="@5B@"/>
    <x v="1"/>
    <s v="Requisitante"/>
    <x v="14"/>
    <s v="J102"/>
    <s v="RP8"/>
    <x v="1"/>
    <s v=""/>
    <x v="1"/>
    <x v="13"/>
    <x v="13"/>
    <d v="2025-09-17T00:00:00"/>
    <n v="16843.54"/>
    <d v="2025-07-07T00:00:00"/>
    <n v="5001041993"/>
    <x v="0"/>
    <n v="345085"/>
    <s v=""/>
    <m/>
    <s v=""/>
    <m/>
    <m/>
    <m/>
    <m/>
    <m/>
    <m/>
    <m/>
    <n v="0"/>
    <x v="1"/>
    <s v=""/>
    <x v="1"/>
    <n v="16843.54"/>
    <s v=""/>
    <s v=""/>
    <n v="6000001"/>
    <x v="1"/>
    <n v="9000"/>
    <s v="N14202M177"/>
  </r>
  <r>
    <x v="1"/>
    <x v="6"/>
    <x v="0"/>
    <s v="@06@"/>
    <x v="0"/>
    <s v="Gerencia Requisitante"/>
    <x v="15"/>
    <s v="J102"/>
    <s v="BHB"/>
    <x v="10"/>
    <s v=""/>
    <x v="10"/>
    <x v="14"/>
    <x v="14"/>
    <d v="2025-10-24T00:00:00"/>
    <n v="226525.23"/>
    <d v="2025-08-25T00:00:00"/>
    <n v="5001251117"/>
    <x v="0"/>
    <n v="354146"/>
    <s v=""/>
    <d v="2025-08-28T00:00:00"/>
    <s v="SOUZAJO003"/>
    <m/>
    <m/>
    <m/>
    <n v="5001256873"/>
    <n v="2025"/>
    <n v="9003994042"/>
    <n v="2025"/>
    <n v="10331265"/>
    <x v="8"/>
    <s v="Joao Carlos Ribeiro De Souza"/>
    <x v="7"/>
    <n v="0"/>
    <s v=""/>
    <s v=""/>
    <n v="6000002"/>
    <x v="2"/>
    <n v="9000"/>
    <s v="N14208M000"/>
  </r>
  <r>
    <x v="2"/>
    <x v="7"/>
    <x v="5"/>
    <s v="@06@"/>
    <x v="0"/>
    <s v="Gerencia Requisitante"/>
    <x v="16"/>
    <s v="J102"/>
    <s v="BGB"/>
    <x v="5"/>
    <s v=""/>
    <x v="5"/>
    <x v="15"/>
    <x v="15"/>
    <d v="2025-11-22T00:00:00"/>
    <n v="83480.56"/>
    <d v="2025-09-25T00:00:00"/>
    <n v="5001377550"/>
    <x v="0"/>
    <n v="359720"/>
    <s v=""/>
    <d v="2025-11-27T00:00:00"/>
    <s v="AMORIMA001"/>
    <m/>
    <m/>
    <m/>
    <n v="5001799834"/>
    <n v="2025"/>
    <n v="9004028985"/>
    <n v="2025"/>
    <n v="10406651"/>
    <x v="0"/>
    <s v="Marcelo Jonathan De Amorim"/>
    <x v="0"/>
    <n v="0"/>
    <s v=""/>
    <s v=""/>
    <n v="6000031"/>
    <x v="0"/>
    <n v="9201"/>
    <s v="N142010000"/>
  </r>
  <r>
    <x v="4"/>
    <x v="8"/>
    <x v="0"/>
    <s v="@5B@"/>
    <x v="1"/>
    <s v="Requisitante"/>
    <x v="17"/>
    <s v="J102"/>
    <s v="RP8"/>
    <x v="11"/>
    <s v=""/>
    <x v="11"/>
    <x v="16"/>
    <x v="10"/>
    <d v="2025-11-21T00:00:00"/>
    <n v="1900"/>
    <d v="2025-10-07T00:00:00"/>
    <n v="5001434217"/>
    <x v="0"/>
    <n v="361860"/>
    <s v=""/>
    <m/>
    <s v=""/>
    <m/>
    <m/>
    <m/>
    <m/>
    <m/>
    <m/>
    <m/>
    <n v="0"/>
    <x v="9"/>
    <s v=""/>
    <x v="8"/>
    <n v="1900"/>
    <s v=""/>
    <s v=""/>
    <n v="6999999"/>
    <x v="1"/>
    <n v="9000"/>
    <s v="N14911M001"/>
  </r>
  <r>
    <x v="4"/>
    <x v="8"/>
    <x v="0"/>
    <s v="@5B@"/>
    <x v="1"/>
    <s v="Requisitante"/>
    <x v="18"/>
    <s v="J102"/>
    <s v="RP8"/>
    <x v="11"/>
    <s v=""/>
    <x v="11"/>
    <x v="17"/>
    <x v="10"/>
    <d v="2025-11-21T00:00:00"/>
    <n v="1960"/>
    <d v="2025-10-07T00:00:00"/>
    <n v="5001434218"/>
    <x v="0"/>
    <n v="361861"/>
    <s v=""/>
    <m/>
    <s v=""/>
    <m/>
    <m/>
    <m/>
    <m/>
    <m/>
    <m/>
    <m/>
    <n v="0"/>
    <x v="9"/>
    <s v=""/>
    <x v="8"/>
    <n v="1960"/>
    <s v=""/>
    <s v=""/>
    <n v="6999999"/>
    <x v="1"/>
    <n v="2951"/>
    <s v="N14911M001"/>
  </r>
  <r>
    <x v="2"/>
    <x v="1"/>
    <x v="2"/>
    <s v="@5B@"/>
    <x v="1"/>
    <s v="Requisitante"/>
    <x v="19"/>
    <s v="J102"/>
    <s v="BAC"/>
    <x v="1"/>
    <s v=""/>
    <x v="1"/>
    <x v="18"/>
    <x v="16"/>
    <d v="2025-12-08T00:00:00"/>
    <n v="58341.4"/>
    <d v="2025-09-24T00:00:00"/>
    <n v="5001371988"/>
    <x v="0"/>
    <n v="359527"/>
    <s v=""/>
    <m/>
    <s v=""/>
    <m/>
    <m/>
    <m/>
    <m/>
    <m/>
    <m/>
    <m/>
    <n v="0"/>
    <x v="2"/>
    <s v=""/>
    <x v="2"/>
    <n v="58341.4"/>
    <s v=""/>
    <s v=""/>
    <n v="6000031"/>
    <x v="1"/>
    <n v="9203"/>
    <s v="N14702M002"/>
  </r>
  <r>
    <x v="2"/>
    <x v="1"/>
    <x v="2"/>
    <s v="@5B@"/>
    <x v="1"/>
    <s v="Requisitante"/>
    <x v="20"/>
    <s v="J102"/>
    <s v="BAC"/>
    <x v="1"/>
    <s v=""/>
    <x v="1"/>
    <x v="19"/>
    <x v="16"/>
    <d v="2025-12-08T00:00:00"/>
    <n v="8779.2099999999991"/>
    <d v="2025-09-24T00:00:00"/>
    <n v="5001371989"/>
    <x v="0"/>
    <n v="359528"/>
    <s v=""/>
    <m/>
    <s v=""/>
    <m/>
    <m/>
    <m/>
    <m/>
    <m/>
    <m/>
    <m/>
    <n v="0"/>
    <x v="2"/>
    <s v=""/>
    <x v="2"/>
    <n v="8779.2099999999991"/>
    <s v=""/>
    <s v=""/>
    <n v="6000031"/>
    <x v="1"/>
    <n v="9013"/>
    <s v="N14702M002"/>
  </r>
  <r>
    <x v="2"/>
    <x v="1"/>
    <x v="2"/>
    <s v="@5B@"/>
    <x v="1"/>
    <s v="Requisitante"/>
    <x v="21"/>
    <s v="J102"/>
    <s v="BAC"/>
    <x v="1"/>
    <s v=""/>
    <x v="1"/>
    <x v="20"/>
    <x v="16"/>
    <d v="2025-12-08T00:00:00"/>
    <n v="40276.74"/>
    <d v="2025-09-24T00:00:00"/>
    <n v="5001373310"/>
    <x v="0"/>
    <n v="359529"/>
    <s v=""/>
    <m/>
    <s v=""/>
    <m/>
    <m/>
    <m/>
    <m/>
    <m/>
    <m/>
    <m/>
    <n v="0"/>
    <x v="2"/>
    <s v=""/>
    <x v="2"/>
    <n v="40276.74"/>
    <s v=""/>
    <s v=""/>
    <n v="6000031"/>
    <x v="1"/>
    <n v="9013"/>
    <s v="N14702M002"/>
  </r>
  <r>
    <x v="2"/>
    <x v="1"/>
    <x v="2"/>
    <s v="@5B@"/>
    <x v="1"/>
    <s v="Requisitante"/>
    <x v="22"/>
    <s v="J102"/>
    <s v="RP8"/>
    <x v="12"/>
    <s v=""/>
    <x v="12"/>
    <x v="21"/>
    <x v="15"/>
    <d v="2026-01-06T00:00:00"/>
    <n v="23368.94"/>
    <d v="2025-09-24T00:00:00"/>
    <n v="5001369672"/>
    <x v="0"/>
    <n v="359479"/>
    <s v=""/>
    <m/>
    <s v=""/>
    <m/>
    <m/>
    <m/>
    <m/>
    <m/>
    <m/>
    <m/>
    <n v="0"/>
    <x v="10"/>
    <s v=""/>
    <x v="9"/>
    <n v="23368.94"/>
    <s v=""/>
    <s v=""/>
    <n v="6999999"/>
    <x v="1"/>
    <n v="9201"/>
    <s v="N14702M002"/>
  </r>
  <r>
    <x v="2"/>
    <x v="1"/>
    <x v="2"/>
    <s v="@5B@"/>
    <x v="1"/>
    <s v="Requisitante"/>
    <x v="23"/>
    <s v="J102"/>
    <s v="BAC"/>
    <x v="1"/>
    <s v=""/>
    <x v="1"/>
    <x v="22"/>
    <x v="17"/>
    <d v="2025-12-02T00:00:00"/>
    <n v="151320"/>
    <d v="2025-09-24T00:00:00"/>
    <n v="5001373314"/>
    <x v="0"/>
    <n v="359533"/>
    <s v=""/>
    <m/>
    <s v=""/>
    <m/>
    <m/>
    <m/>
    <m/>
    <m/>
    <m/>
    <m/>
    <n v="0"/>
    <x v="2"/>
    <s v=""/>
    <x v="2"/>
    <n v="151320"/>
    <s v=""/>
    <s v=""/>
    <n v="6000031"/>
    <x v="1"/>
    <n v="9203"/>
    <s v="N14702M002"/>
  </r>
  <r>
    <x v="2"/>
    <x v="0"/>
    <x v="0"/>
    <s v="@5B@"/>
    <x v="1"/>
    <s v="Requisitante"/>
    <x v="24"/>
    <s v="J102"/>
    <s v="RP8"/>
    <x v="13"/>
    <s v=""/>
    <x v="13"/>
    <x v="23"/>
    <x v="18"/>
    <d v="2025-10-26T00:00:00"/>
    <n v="5992"/>
    <d v="2025-09-11T00:00:00"/>
    <n v="5001317273"/>
    <x v="0"/>
    <n v="357365"/>
    <s v=""/>
    <m/>
    <s v=""/>
    <m/>
    <m/>
    <m/>
    <m/>
    <m/>
    <m/>
    <m/>
    <n v="0"/>
    <x v="11"/>
    <s v=""/>
    <x v="10"/>
    <n v="5992"/>
    <s v=""/>
    <s v=""/>
    <n v="6000009"/>
    <x v="1"/>
    <n v="9000"/>
    <s v="N14306M002"/>
  </r>
  <r>
    <x v="4"/>
    <x v="1"/>
    <x v="1"/>
    <s v="@5B@"/>
    <x v="1"/>
    <s v="Requisitante"/>
    <x v="25"/>
    <s v="J102"/>
    <s v="BHB"/>
    <x v="7"/>
    <s v=""/>
    <x v="7"/>
    <x v="8"/>
    <x v="10"/>
    <d v="2025-12-06T00:00:00"/>
    <n v="15000"/>
    <d v="2025-10-07T00:00:00"/>
    <n v="5001432676"/>
    <x v="0"/>
    <n v="361840"/>
    <s v=""/>
    <m/>
    <s v=""/>
    <m/>
    <m/>
    <m/>
    <m/>
    <m/>
    <m/>
    <m/>
    <n v="0"/>
    <x v="6"/>
    <s v=""/>
    <x v="6"/>
    <n v="15000"/>
    <s v=""/>
    <s v=""/>
    <n v="6999999"/>
    <x v="2"/>
    <n v="9018"/>
    <s v="N14702M277"/>
  </r>
  <r>
    <x v="2"/>
    <x v="1"/>
    <x v="2"/>
    <s v="@5B@"/>
    <x v="1"/>
    <s v="Requisitante"/>
    <x v="26"/>
    <s v="J102"/>
    <s v="BAC"/>
    <x v="1"/>
    <s v=""/>
    <x v="1"/>
    <x v="24"/>
    <x v="16"/>
    <d v="2025-12-08T00:00:00"/>
    <n v="16166.12"/>
    <d v="2025-09-24T00:00:00"/>
    <n v="5001373312"/>
    <x v="0"/>
    <n v="359531"/>
    <s v=""/>
    <m/>
    <s v=""/>
    <m/>
    <m/>
    <m/>
    <m/>
    <m/>
    <m/>
    <m/>
    <n v="0"/>
    <x v="2"/>
    <s v=""/>
    <x v="2"/>
    <n v="16166.12"/>
    <s v=""/>
    <s v=""/>
    <n v="6000031"/>
    <x v="1"/>
    <n v="9013"/>
    <s v="N14702M002"/>
  </r>
  <r>
    <x v="2"/>
    <x v="9"/>
    <x v="0"/>
    <s v="@06@"/>
    <x v="0"/>
    <s v="Gerencia Requisitante"/>
    <x v="27"/>
    <s v="J102"/>
    <s v="BGC"/>
    <x v="14"/>
    <s v=""/>
    <x v="14"/>
    <x v="25"/>
    <x v="19"/>
    <d v="2025-11-24T00:00:00"/>
    <n v="43045.47"/>
    <d v="2025-09-25T00:00:00"/>
    <n v="5001379450"/>
    <x v="0"/>
    <n v="359766"/>
    <s v=""/>
    <d v="2025-09-30T00:00:00"/>
    <s v="SILVAKA003"/>
    <m/>
    <m/>
    <m/>
    <n v="5001401681"/>
    <n v="2025"/>
    <n v="9004008985"/>
    <n v="2025"/>
    <n v="10365594"/>
    <x v="12"/>
    <s v="Karina Siqueira Silva"/>
    <x v="11"/>
    <n v="0"/>
    <s v=""/>
    <s v=""/>
    <n v="6000031"/>
    <x v="3"/>
    <n v="8000"/>
    <s v="N14207M001"/>
  </r>
  <r>
    <x v="2"/>
    <x v="1"/>
    <x v="2"/>
    <s v="@06@"/>
    <x v="0"/>
    <s v="Gerencia Requisitante"/>
    <x v="28"/>
    <s v="J102"/>
    <s v="RP8"/>
    <x v="15"/>
    <s v=""/>
    <x v="15"/>
    <x v="26"/>
    <x v="20"/>
    <d v="2025-11-02T00:00:00"/>
    <n v="7477"/>
    <d v="2025-09-04T00:00:00"/>
    <n v="5001287103"/>
    <x v="0"/>
    <n v="355985"/>
    <s v=""/>
    <d v="2025-12-12T00:00:00"/>
    <s v="SOUZAVI002"/>
    <m/>
    <m/>
    <m/>
    <n v="5001902857"/>
    <n v="2025"/>
    <n v="9004035282"/>
    <n v="2025"/>
    <n v="10421169"/>
    <x v="6"/>
    <s v="Vinicius Gomes De Souza"/>
    <x v="6"/>
    <n v="0"/>
    <s v=""/>
    <s v=""/>
    <n v="6999999"/>
    <x v="1"/>
    <n v="9013"/>
    <s v="N14702M002"/>
  </r>
  <r>
    <x v="2"/>
    <x v="1"/>
    <x v="1"/>
    <s v="@5B@"/>
    <x v="1"/>
    <s v="Requisitante"/>
    <x v="29"/>
    <s v="J102"/>
    <s v="BPC"/>
    <x v="1"/>
    <s v=""/>
    <x v="1"/>
    <x v="27"/>
    <x v="11"/>
    <d v="2025-12-15T00:00:00"/>
    <n v="72398.73"/>
    <d v="2025-09-19T00:00:00"/>
    <n v="5001350893"/>
    <x v="0"/>
    <n v="358710"/>
    <s v=""/>
    <m/>
    <s v=""/>
    <m/>
    <m/>
    <m/>
    <m/>
    <m/>
    <m/>
    <m/>
    <n v="0"/>
    <x v="1"/>
    <s v=""/>
    <x v="1"/>
    <n v="72398.73"/>
    <s v=""/>
    <s v=""/>
    <n v="6000031"/>
    <x v="1"/>
    <n v="9000"/>
    <s v="N14702M277"/>
  </r>
  <r>
    <x v="4"/>
    <x v="1"/>
    <x v="2"/>
    <s v="@5B@"/>
    <x v="1"/>
    <s v="Requisitante"/>
    <x v="30"/>
    <s v="J102"/>
    <s v="RP8"/>
    <x v="7"/>
    <s v=""/>
    <x v="7"/>
    <x v="28"/>
    <x v="21"/>
    <d v="2025-12-20T00:00:00"/>
    <n v="7257"/>
    <d v="2025-10-21T00:00:00"/>
    <n v="5001510489"/>
    <x v="0"/>
    <n v="364012"/>
    <s v=""/>
    <m/>
    <s v=""/>
    <m/>
    <m/>
    <m/>
    <m/>
    <m/>
    <m/>
    <m/>
    <n v="0"/>
    <x v="6"/>
    <s v=""/>
    <x v="6"/>
    <n v="7257"/>
    <s v=""/>
    <s v=""/>
    <n v="6999999"/>
    <x v="1"/>
    <n v="9203"/>
    <s v="N14702M002"/>
  </r>
  <r>
    <x v="5"/>
    <x v="1"/>
    <x v="2"/>
    <s v="@5B@"/>
    <x v="1"/>
    <s v="Requisitante"/>
    <x v="31"/>
    <s v="J102"/>
    <s v="RP8"/>
    <x v="4"/>
    <s v=""/>
    <x v="4"/>
    <x v="29"/>
    <x v="22"/>
    <d v="2026-03-03T00:00:00"/>
    <n v="97954.61"/>
    <d v="2025-11-05T00:00:00"/>
    <n v="5001636008"/>
    <x v="0"/>
    <n v="366412"/>
    <s v=""/>
    <m/>
    <s v=""/>
    <m/>
    <m/>
    <m/>
    <m/>
    <m/>
    <m/>
    <m/>
    <n v="0"/>
    <x v="13"/>
    <s v=""/>
    <x v="12"/>
    <n v="97954.61"/>
    <s v=""/>
    <s v=""/>
    <n v="6000020"/>
    <x v="1"/>
    <n v="9204"/>
    <s v="N14702M002"/>
  </r>
  <r>
    <x v="5"/>
    <x v="4"/>
    <x v="4"/>
    <s v="@06@"/>
    <x v="0"/>
    <s v="Gerencia Requisitante"/>
    <x v="32"/>
    <s v="J102"/>
    <s v="BPT"/>
    <x v="16"/>
    <s v=""/>
    <x v="16"/>
    <x v="30"/>
    <x v="22"/>
    <d v="2026-01-02T00:00:00"/>
    <n v="2505"/>
    <d v="2025-11-05T00:00:00"/>
    <n v="5001632715"/>
    <x v="0"/>
    <n v="366356"/>
    <s v=""/>
    <d v="2025-11-05T00:00:00"/>
    <s v="ET1SOUZATH"/>
    <m/>
    <m/>
    <m/>
    <n v="5001632425"/>
    <n v="2025"/>
    <n v="9004021795"/>
    <n v="2025"/>
    <n v="10390815"/>
    <x v="14"/>
    <s v="Thuane Ril Souza"/>
    <x v="13"/>
    <n v="0"/>
    <s v=""/>
    <s v=""/>
    <n v="6000003"/>
    <x v="4"/>
    <n v="8238"/>
    <s v="B220400000"/>
  </r>
  <r>
    <x v="5"/>
    <x v="1"/>
    <x v="2"/>
    <s v="@5B@"/>
    <x v="1"/>
    <s v="Requisitante"/>
    <x v="33"/>
    <s v="J102"/>
    <s v="RP8"/>
    <x v="17"/>
    <s v=""/>
    <x v="17"/>
    <x v="31"/>
    <x v="22"/>
    <d v="2025-12-03T00:00:00"/>
    <n v="290"/>
    <d v="2025-11-07T00:00:00"/>
    <n v="5001649099"/>
    <x v="0"/>
    <n v="367141"/>
    <s v=""/>
    <m/>
    <s v=""/>
    <m/>
    <m/>
    <m/>
    <m/>
    <m/>
    <m/>
    <m/>
    <n v="0"/>
    <x v="15"/>
    <s v=""/>
    <x v="14"/>
    <n v="290"/>
    <s v=""/>
    <s v=""/>
    <n v="6999999"/>
    <x v="1"/>
    <n v="9203"/>
    <s v="N14702M002"/>
  </r>
  <r>
    <x v="5"/>
    <x v="0"/>
    <x v="0"/>
    <s v="@5B@"/>
    <x v="1"/>
    <s v="Requisitante"/>
    <x v="34"/>
    <s v="J102"/>
    <s v="RP8"/>
    <x v="18"/>
    <s v=""/>
    <x v="18"/>
    <x v="32"/>
    <x v="22"/>
    <d v="2026-01-17T00:00:00"/>
    <n v="15705.2"/>
    <d v="2025-11-19T00:00:00"/>
    <n v="5001731723"/>
    <x v="0"/>
    <n v="368967"/>
    <s v=""/>
    <m/>
    <s v=""/>
    <m/>
    <m/>
    <m/>
    <m/>
    <m/>
    <m/>
    <m/>
    <n v="0"/>
    <x v="16"/>
    <s v=""/>
    <x v="2"/>
    <n v="15705.2"/>
    <s v=""/>
    <s v=""/>
    <n v="6999999"/>
    <x v="1"/>
    <n v="9000"/>
    <s v="N14311M002"/>
  </r>
  <r>
    <x v="5"/>
    <x v="1"/>
    <x v="1"/>
    <s v="@5B@"/>
    <x v="1"/>
    <s v="Requisitante"/>
    <x v="35"/>
    <s v="J102"/>
    <s v="RP8"/>
    <x v="1"/>
    <s v=""/>
    <x v="1"/>
    <x v="33"/>
    <x v="23"/>
    <d v="2026-02-07T00:00:00"/>
    <n v="44528.57"/>
    <d v="2025-11-24T00:00:00"/>
    <n v="5001765758"/>
    <x v="0"/>
    <n v="369761"/>
    <s v=""/>
    <m/>
    <s v=""/>
    <m/>
    <m/>
    <m/>
    <m/>
    <m/>
    <m/>
    <m/>
    <n v="0"/>
    <x v="13"/>
    <s v=""/>
    <x v="12"/>
    <n v="44528.57"/>
    <s v=""/>
    <s v=""/>
    <n v="6000031"/>
    <x v="1"/>
    <n v="9018"/>
    <s v="N14702M277"/>
  </r>
  <r>
    <x v="5"/>
    <x v="3"/>
    <x v="0"/>
    <s v="@5B@"/>
    <x v="1"/>
    <s v="Requisitante"/>
    <x v="36"/>
    <s v="J102"/>
    <s v="RP8"/>
    <x v="5"/>
    <s v=""/>
    <x v="5"/>
    <x v="34"/>
    <x v="24"/>
    <d v="2026-01-16T00:00:00"/>
    <n v="561103.80000000005"/>
    <d v="2025-11-25T00:00:00"/>
    <n v="5001785053"/>
    <x v="0"/>
    <n v="370043"/>
    <s v=""/>
    <m/>
    <s v=""/>
    <m/>
    <m/>
    <m/>
    <m/>
    <m/>
    <m/>
    <m/>
    <n v="0"/>
    <x v="4"/>
    <s v=""/>
    <x v="4"/>
    <n v="561103.92000000004"/>
    <s v=""/>
    <s v=""/>
    <n v="6000001"/>
    <x v="1"/>
    <n v="9000"/>
    <s v="N14201M077"/>
  </r>
  <r>
    <x v="6"/>
    <x v="1"/>
    <x v="2"/>
    <s v="@5B@"/>
    <x v="1"/>
    <s v="Requisitante"/>
    <x v="37"/>
    <s v="J102"/>
    <s v="RP8"/>
    <x v="17"/>
    <s v=""/>
    <x v="17"/>
    <x v="35"/>
    <x v="25"/>
    <d v="2025-12-31T00:00:00"/>
    <n v="19150"/>
    <d v="2025-12-03T00:00:00"/>
    <n v="5001849909"/>
    <x v="0"/>
    <n v="371279"/>
    <s v=""/>
    <m/>
    <s v=""/>
    <m/>
    <m/>
    <m/>
    <m/>
    <m/>
    <m/>
    <m/>
    <n v="0"/>
    <x v="13"/>
    <s v=""/>
    <x v="12"/>
    <n v="19150"/>
    <s v=""/>
    <s v=""/>
    <n v="6999999"/>
    <x v="1"/>
    <n v="9203"/>
    <s v="N14702M002"/>
  </r>
  <r>
    <x v="6"/>
    <x v="1"/>
    <x v="2"/>
    <s v="@5B@"/>
    <x v="1"/>
    <s v="Requisitante"/>
    <x v="38"/>
    <s v="J102"/>
    <s v="RP8"/>
    <x v="19"/>
    <s v=""/>
    <x v="19"/>
    <x v="36"/>
    <x v="26"/>
    <d v="2026-02-02T00:00:00"/>
    <n v="15264"/>
    <d v="2025-12-04T00:00:00"/>
    <n v="5001853639"/>
    <x v="0"/>
    <n v="371557"/>
    <s v=""/>
    <m/>
    <s v=""/>
    <m/>
    <m/>
    <m/>
    <m/>
    <m/>
    <m/>
    <m/>
    <n v="0"/>
    <x v="13"/>
    <s v=""/>
    <x v="12"/>
    <n v="15264"/>
    <s v=""/>
    <s v=""/>
    <n v="6999999"/>
    <x v="1"/>
    <n v="9204"/>
    <s v="N14702M002"/>
  </r>
  <r>
    <x v="4"/>
    <x v="10"/>
    <x v="0"/>
    <s v="@5B@"/>
    <x v="1"/>
    <s v="Requisitante"/>
    <x v="39"/>
    <s v="J102"/>
    <s v="BHB"/>
    <x v="20"/>
    <s v=""/>
    <x v="20"/>
    <x v="37"/>
    <x v="21"/>
    <d v="2025-12-20T00:00:00"/>
    <n v="3400"/>
    <d v="2025-10-21T00:00:00"/>
    <n v="5001798665"/>
    <x v="0"/>
    <n v="364071"/>
    <s v=""/>
    <m/>
    <s v=""/>
    <m/>
    <m/>
    <m/>
    <m/>
    <m/>
    <m/>
    <m/>
    <n v="0"/>
    <x v="17"/>
    <s v=""/>
    <x v="15"/>
    <n v="3400"/>
    <s v=""/>
    <s v=""/>
    <n v="6999999"/>
    <x v="2"/>
    <n v="2952"/>
    <s v="N14205M000"/>
  </r>
  <r>
    <x v="4"/>
    <x v="10"/>
    <x v="0"/>
    <s v="@5B@"/>
    <x v="1"/>
    <s v="Requisitante"/>
    <x v="40"/>
    <s v="J102"/>
    <s v="BHB"/>
    <x v="20"/>
    <s v=""/>
    <x v="20"/>
    <x v="37"/>
    <x v="21"/>
    <d v="2025-12-20T00:00:00"/>
    <n v="400"/>
    <d v="2025-10-21T00:00:00"/>
    <n v="5001798666"/>
    <x v="0"/>
    <n v="364074"/>
    <s v=""/>
    <m/>
    <s v=""/>
    <m/>
    <m/>
    <m/>
    <m/>
    <m/>
    <m/>
    <m/>
    <n v="0"/>
    <x v="17"/>
    <s v=""/>
    <x v="15"/>
    <n v="400"/>
    <s v=""/>
    <s v=""/>
    <n v="6999999"/>
    <x v="2"/>
    <n v="2952"/>
    <s v="N14205M000"/>
  </r>
  <r>
    <x v="5"/>
    <x v="0"/>
    <x v="0"/>
    <s v="@5B@"/>
    <x v="1"/>
    <s v="Requisitante"/>
    <x v="41"/>
    <s v="J102"/>
    <s v="BPC"/>
    <x v="21"/>
    <s v=""/>
    <x v="21"/>
    <x v="38"/>
    <x v="23"/>
    <d v="2026-02-02T00:00:00"/>
    <n v="24882"/>
    <d v="2025-11-24T00:00:00"/>
    <n v="5001772580"/>
    <x v="0"/>
    <n v="369752"/>
    <s v=""/>
    <m/>
    <s v=""/>
    <m/>
    <m/>
    <m/>
    <m/>
    <m/>
    <m/>
    <m/>
    <n v="0"/>
    <x v="18"/>
    <s v=""/>
    <x v="16"/>
    <n v="24882"/>
    <s v=""/>
    <s v=""/>
    <n v="6999999"/>
    <x v="1"/>
    <n v="9000"/>
    <s v="N14311M002"/>
  </r>
  <r>
    <x v="6"/>
    <x v="5"/>
    <x v="0"/>
    <s v="@5B@"/>
    <x v="1"/>
    <s v="Requisitante"/>
    <x v="42"/>
    <s v="J102"/>
    <s v="CMV"/>
    <x v="22"/>
    <s v=""/>
    <x v="22"/>
    <x v="39"/>
    <x v="27"/>
    <d v="2026-01-02T00:00:00"/>
    <n v="5450"/>
    <d v="2025-12-05T00:00:00"/>
    <n v="5001860371"/>
    <x v="0"/>
    <n v="371840"/>
    <s v=""/>
    <m/>
    <s v=""/>
    <m/>
    <m/>
    <m/>
    <m/>
    <m/>
    <m/>
    <m/>
    <n v="0"/>
    <x v="19"/>
    <s v=""/>
    <x v="17"/>
    <n v="5450"/>
    <s v=""/>
    <s v=""/>
    <n v="6999999"/>
    <x v="1"/>
    <n v="9000"/>
    <s v="N14219M000"/>
  </r>
  <r>
    <x v="6"/>
    <x v="2"/>
    <x v="3"/>
    <s v="@5B@"/>
    <x v="1"/>
    <s v="Requisitante"/>
    <x v="43"/>
    <s v="J102"/>
    <s v="BGA"/>
    <x v="23"/>
    <s v=""/>
    <x v="23"/>
    <x v="40"/>
    <x v="27"/>
    <d v="2025-12-20T00:00:00"/>
    <n v="13380"/>
    <d v="2025-12-11T00:00:00"/>
    <n v="5001895564"/>
    <x v="0"/>
    <n v="373098"/>
    <s v=""/>
    <m/>
    <s v=""/>
    <m/>
    <m/>
    <m/>
    <m/>
    <m/>
    <m/>
    <m/>
    <n v="0"/>
    <x v="20"/>
    <s v=""/>
    <x v="2"/>
    <n v="13380"/>
    <s v=""/>
    <s v=""/>
    <n v="6999999"/>
    <x v="5"/>
    <n v="4719"/>
    <s v="N14219S000"/>
  </r>
  <r>
    <x v="6"/>
    <x v="4"/>
    <x v="4"/>
    <s v="@06@"/>
    <x v="0"/>
    <s v="Gerencia Requisitante"/>
    <x v="44"/>
    <s v="J102"/>
    <s v="BPC"/>
    <x v="24"/>
    <s v=""/>
    <x v="24"/>
    <x v="41"/>
    <x v="28"/>
    <d v="2026-02-09T00:00:00"/>
    <n v="13860"/>
    <d v="2025-12-11T00:00:00"/>
    <n v="5001895568"/>
    <x v="0"/>
    <n v="373115"/>
    <s v=""/>
    <d v="2025-12-12T00:00:00"/>
    <s v="ST2OLIVEJO"/>
    <m/>
    <m/>
    <m/>
    <n v="5001902726"/>
    <n v="2025"/>
    <n v="9004035132"/>
    <n v="2025"/>
    <n v="10420979"/>
    <x v="21"/>
    <s v="Joao Victor De Oliveira"/>
    <x v="2"/>
    <n v="0"/>
    <s v=""/>
    <s v=""/>
    <n v="6999999"/>
    <x v="1"/>
    <m/>
    <s v="B230100000"/>
  </r>
  <r>
    <x v="6"/>
    <x v="0"/>
    <x v="0"/>
    <s v="@5B@"/>
    <x v="1"/>
    <s v="Requisitante"/>
    <x v="45"/>
    <s v="J102"/>
    <s v="BHB"/>
    <x v="25"/>
    <s v=""/>
    <x v="25"/>
    <x v="42"/>
    <x v="29"/>
    <d v="2026-01-08T00:00:00"/>
    <n v="2295"/>
    <d v="2025-12-10T00:00:00"/>
    <n v="5001891383"/>
    <x v="0"/>
    <n v="372923"/>
    <s v=""/>
    <m/>
    <s v=""/>
    <m/>
    <m/>
    <m/>
    <m/>
    <m/>
    <m/>
    <m/>
    <n v="0"/>
    <x v="8"/>
    <s v=""/>
    <x v="7"/>
    <n v="2295"/>
    <s v=""/>
    <s v=""/>
    <n v="6999999"/>
    <x v="2"/>
    <n v="9000"/>
    <s v="N14311M002"/>
  </r>
  <r>
    <x v="4"/>
    <x v="1"/>
    <x v="2"/>
    <s v="@5B@"/>
    <x v="1"/>
    <s v="Requisitante"/>
    <x v="46"/>
    <s v="J102"/>
    <s v="RP8"/>
    <x v="1"/>
    <s v=""/>
    <x v="1"/>
    <x v="43"/>
    <x v="30"/>
    <d v="2026-01-03T00:00:00"/>
    <n v="7662.98"/>
    <d v="2025-10-20T00:00:00"/>
    <n v="5001620496"/>
    <x v="0"/>
    <n v="363728"/>
    <s v=""/>
    <m/>
    <s v=""/>
    <m/>
    <m/>
    <m/>
    <m/>
    <m/>
    <m/>
    <m/>
    <n v="0"/>
    <x v="13"/>
    <s v=""/>
    <x v="12"/>
    <n v="7662.98"/>
    <s v=""/>
    <s v=""/>
    <n v="6000031"/>
    <x v="1"/>
    <n v="9104"/>
    <s v="N14702M002"/>
  </r>
  <r>
    <x v="5"/>
    <x v="5"/>
    <x v="0"/>
    <s v="@06@"/>
    <x v="0"/>
    <s v="Gerencia Requisitante"/>
    <x v="47"/>
    <s v="J102"/>
    <s v="BGC"/>
    <x v="14"/>
    <s v=""/>
    <x v="14"/>
    <x v="44"/>
    <x v="22"/>
    <d v="2026-01-02T00:00:00"/>
    <n v="28307.040000000001"/>
    <d v="2025-11-05T00:00:00"/>
    <n v="5001632745"/>
    <x v="0"/>
    <n v="366408"/>
    <s v=""/>
    <d v="2025-11-17T00:00:00"/>
    <s v="ST1VIEIRMA"/>
    <m/>
    <m/>
    <m/>
    <n v="5001713592"/>
    <n v="2025"/>
    <n v="9004025578"/>
    <n v="2025"/>
    <n v="10398242"/>
    <x v="12"/>
    <s v="Mariana Lima Vieira"/>
    <x v="11"/>
    <n v="0"/>
    <s v=""/>
    <s v=""/>
    <n v="6000031"/>
    <x v="3"/>
    <n v="8000"/>
    <s v="N14219M000"/>
  </r>
  <r>
    <x v="6"/>
    <x v="5"/>
    <x v="0"/>
    <s v="@06@"/>
    <x v="0"/>
    <s v="Gerencia Requisitante"/>
    <x v="48"/>
    <s v="J102"/>
    <s v="BGD"/>
    <x v="26"/>
    <s v=""/>
    <x v="26"/>
    <x v="45"/>
    <x v="29"/>
    <d v="2026-02-07T00:00:00"/>
    <n v="5945.25"/>
    <d v="2025-12-09T00:00:00"/>
    <n v="5001879540"/>
    <x v="0"/>
    <n v="372566"/>
    <s v=""/>
    <d v="2025-12-09T00:00:00"/>
    <s v="SANTAIN001"/>
    <m/>
    <m/>
    <m/>
    <n v="5001878516"/>
    <n v="2025"/>
    <n v="9004033510"/>
    <n v="2025"/>
    <n v="10417492"/>
    <x v="22"/>
    <s v="Indylene Macedo Santana"/>
    <x v="18"/>
    <n v="0"/>
    <s v=""/>
    <s v=""/>
    <n v="6999999"/>
    <x v="6"/>
    <n v="2956"/>
    <s v="N14219M000"/>
  </r>
  <r>
    <x v="6"/>
    <x v="0"/>
    <x v="0"/>
    <s v="@5B@"/>
    <x v="1"/>
    <s v="Requisitante"/>
    <x v="49"/>
    <s v="J102"/>
    <s v="RP8"/>
    <x v="25"/>
    <s v=""/>
    <x v="25"/>
    <x v="46"/>
    <x v="29"/>
    <d v="2026-01-08T00:00:00"/>
    <n v="5700"/>
    <d v="2025-12-10T00:00:00"/>
    <n v="5001891384"/>
    <x v="0"/>
    <n v="372921"/>
    <s v=""/>
    <m/>
    <s v=""/>
    <m/>
    <m/>
    <m/>
    <m/>
    <m/>
    <m/>
    <m/>
    <n v="0"/>
    <x v="13"/>
    <s v=""/>
    <x v="12"/>
    <n v="5700"/>
    <s v=""/>
    <s v=""/>
    <n v="6999999"/>
    <x v="1"/>
    <n v="9022"/>
    <s v="N14311M002"/>
  </r>
  <r>
    <x v="6"/>
    <x v="2"/>
    <x v="3"/>
    <s v="@5B@"/>
    <x v="1"/>
    <s v="Requisitante"/>
    <x v="50"/>
    <s v="J102"/>
    <s v="BGA"/>
    <x v="27"/>
    <s v=""/>
    <x v="27"/>
    <x v="47"/>
    <x v="25"/>
    <d v="2025-12-31T00:00:00"/>
    <n v="28000"/>
    <d v="2025-12-10T00:00:00"/>
    <n v="5001891385"/>
    <x v="0"/>
    <n v="372922"/>
    <s v=""/>
    <m/>
    <s v=""/>
    <m/>
    <m/>
    <m/>
    <m/>
    <m/>
    <m/>
    <m/>
    <n v="0"/>
    <x v="12"/>
    <s v=""/>
    <x v="11"/>
    <n v="28000"/>
    <s v=""/>
    <s v=""/>
    <n v="6999999"/>
    <x v="5"/>
    <n v="4000"/>
    <s v="N14219H000"/>
  </r>
  <r>
    <x v="6"/>
    <x v="2"/>
    <x v="3"/>
    <s v="@06@"/>
    <x v="0"/>
    <s v="Gerencia Requisitante"/>
    <x v="51"/>
    <s v="J102"/>
    <s v="BEG"/>
    <x v="25"/>
    <s v=""/>
    <x v="25"/>
    <x v="48"/>
    <x v="31"/>
    <d v="2026-01-09T00:00:00"/>
    <n v="2600"/>
    <d v="2025-12-10T00:00:00"/>
    <n v="5001891386"/>
    <x v="0"/>
    <n v="372924"/>
    <s v=""/>
    <d v="2025-12-12T00:00:00"/>
    <s v="ET1SOUZATH"/>
    <m/>
    <m/>
    <m/>
    <n v="5001902919"/>
    <n v="2025"/>
    <n v="9004035164"/>
    <n v="2025"/>
    <n v="10421038"/>
    <x v="14"/>
    <s v="Thuane Ril Souza"/>
    <x v="13"/>
    <n v="0"/>
    <s v=""/>
    <s v=""/>
    <n v="6999999"/>
    <x v="7"/>
    <n v="4050"/>
    <s v="N14403H000"/>
  </r>
  <r>
    <x v="6"/>
    <x v="4"/>
    <x v="4"/>
    <s v="@06@"/>
    <x v="0"/>
    <s v="Gerencia Requisitante"/>
    <x v="52"/>
    <s v="J102"/>
    <s v="BPC"/>
    <x v="28"/>
    <s v=""/>
    <x v="28"/>
    <x v="49"/>
    <x v="28"/>
    <d v="2026-01-10T00:00:00"/>
    <n v="2924"/>
    <d v="2025-12-11T00:00:00"/>
    <n v="5001894469"/>
    <x v="0"/>
    <n v="373107"/>
    <s v=""/>
    <d v="2025-12-12T00:00:00"/>
    <s v="ST2OLIVEJO"/>
    <m/>
    <m/>
    <m/>
    <n v="5001902727"/>
    <n v="2025"/>
    <n v="9004035131"/>
    <n v="2025"/>
    <n v="10420978"/>
    <x v="21"/>
    <s v="Joao Victor De Oliveira"/>
    <x v="2"/>
    <n v="0"/>
    <s v=""/>
    <s v=""/>
    <n v="6999999"/>
    <x v="1"/>
    <m/>
    <s v="B230100000"/>
  </r>
  <r>
    <x v="6"/>
    <x v="1"/>
    <x v="2"/>
    <s v="@5B@"/>
    <x v="1"/>
    <s v="Requisitante"/>
    <x v="53"/>
    <s v="J102"/>
    <s v="RP8"/>
    <x v="29"/>
    <s v=""/>
    <x v="29"/>
    <x v="50"/>
    <x v="27"/>
    <d v="2026-01-02T00:00:00"/>
    <n v="215000"/>
    <d v="2025-12-05T00:00:00"/>
    <n v="5001862706"/>
    <x v="0"/>
    <n v="371931"/>
    <s v=""/>
    <m/>
    <s v=""/>
    <m/>
    <m/>
    <m/>
    <m/>
    <m/>
    <m/>
    <m/>
    <n v="0"/>
    <x v="10"/>
    <s v=""/>
    <x v="9"/>
    <n v="215000"/>
    <s v=""/>
    <s v=""/>
    <n v="6999999"/>
    <x v="1"/>
    <n v="9203"/>
    <s v="N14702M002"/>
  </r>
  <r>
    <x v="6"/>
    <x v="0"/>
    <x v="0"/>
    <s v="@5B@"/>
    <x v="1"/>
    <s v="Requisitante"/>
    <x v="54"/>
    <s v="J102"/>
    <s v="RP8"/>
    <x v="30"/>
    <s v=""/>
    <x v="30"/>
    <x v="51"/>
    <x v="28"/>
    <d v="2026-03-11T00:00:00"/>
    <n v="169926.94"/>
    <d v="2025-12-11T00:00:00"/>
    <n v="5001899100"/>
    <x v="0"/>
    <n v="373106"/>
    <s v=""/>
    <m/>
    <s v=""/>
    <m/>
    <m/>
    <m/>
    <m/>
    <m/>
    <m/>
    <m/>
    <n v="0"/>
    <x v="11"/>
    <s v=""/>
    <x v="10"/>
    <n v="169926.98"/>
    <s v=""/>
    <s v=""/>
    <n v="6999999"/>
    <x v="1"/>
    <n v="9000"/>
    <s v="N14306M002"/>
  </r>
  <r>
    <x v="6"/>
    <x v="4"/>
    <x v="4"/>
    <s v="@5B@"/>
    <x v="1"/>
    <s v="Requisitante"/>
    <x v="55"/>
    <s v="J102"/>
    <s v="BPC"/>
    <x v="13"/>
    <s v=""/>
    <x v="13"/>
    <x v="52"/>
    <x v="32"/>
    <d v="2026-01-26T00:00:00"/>
    <n v="66416.7"/>
    <d v="2025-12-12T00:00:00"/>
    <n v="5001906161"/>
    <x v="0"/>
    <n v="373345"/>
    <s v=""/>
    <m/>
    <s v=""/>
    <m/>
    <m/>
    <m/>
    <m/>
    <m/>
    <m/>
    <m/>
    <n v="0"/>
    <x v="18"/>
    <s v=""/>
    <x v="16"/>
    <n v="66416.7"/>
    <s v=""/>
    <s v=""/>
    <n v="6000009"/>
    <x v="1"/>
    <m/>
    <s v="B230100000"/>
  </r>
  <r>
    <x v="6"/>
    <x v="4"/>
    <x v="4"/>
    <s v="@06@"/>
    <x v="0"/>
    <s v="Gerencia Requisitante"/>
    <x v="56"/>
    <s v="J102"/>
    <s v="BPC"/>
    <x v="31"/>
    <s v=""/>
    <x v="31"/>
    <x v="53"/>
    <x v="28"/>
    <d v="2026-01-08T00:00:00"/>
    <n v="22423.84"/>
    <d v="2025-12-12T00:00:00"/>
    <n v="5001901920"/>
    <x v="0"/>
    <n v="373295"/>
    <s v=""/>
    <d v="2025-12-12T00:00:00"/>
    <s v="BARBOJO002"/>
    <m/>
    <m/>
    <m/>
    <n v="5001900018"/>
    <n v="2025"/>
    <n v="9004034980"/>
    <n v="2025"/>
    <n v="10420628"/>
    <x v="23"/>
    <s v="jocimar barbosa"/>
    <x v="19"/>
    <n v="0"/>
    <s v=""/>
    <s v=""/>
    <n v="6999999"/>
    <x v="1"/>
    <m/>
    <s v="B230100000"/>
  </r>
  <r>
    <x v="5"/>
    <x v="1"/>
    <x v="2"/>
    <s v="@5B@"/>
    <x v="1"/>
    <s v="Requisitante"/>
    <x v="57"/>
    <s v="J102"/>
    <s v="RP8"/>
    <x v="1"/>
    <s v=""/>
    <x v="1"/>
    <x v="54"/>
    <x v="23"/>
    <d v="2026-02-07T00:00:00"/>
    <n v="40276.74"/>
    <d v="2025-11-24T00:00:00"/>
    <n v="5001772780"/>
    <x v="0"/>
    <n v="369763"/>
    <s v=""/>
    <m/>
    <s v=""/>
    <m/>
    <m/>
    <m/>
    <m/>
    <m/>
    <m/>
    <m/>
    <n v="0"/>
    <x v="13"/>
    <s v=""/>
    <x v="12"/>
    <n v="40276.74"/>
    <s v=""/>
    <s v=""/>
    <n v="6000031"/>
    <x v="1"/>
    <n v="9013"/>
    <s v="N14702M002"/>
  </r>
  <r>
    <x v="6"/>
    <x v="2"/>
    <x v="3"/>
    <s v="@5B@"/>
    <x v="1"/>
    <s v="Requisitante"/>
    <x v="58"/>
    <s v="J102"/>
    <s v="BGA"/>
    <x v="32"/>
    <s v=""/>
    <x v="32"/>
    <x v="55"/>
    <x v="33"/>
    <d v="2026-01-02T00:00:00"/>
    <n v="18750"/>
    <d v="2025-12-03T00:00:00"/>
    <n v="5001847406"/>
    <x v="0"/>
    <n v="371294"/>
    <s v=""/>
    <m/>
    <s v=""/>
    <m/>
    <m/>
    <m/>
    <m/>
    <m/>
    <m/>
    <m/>
    <n v="0"/>
    <x v="24"/>
    <s v=""/>
    <x v="2"/>
    <n v="18750"/>
    <s v=""/>
    <s v=""/>
    <n v="6999999"/>
    <x v="5"/>
    <n v="4402"/>
    <s v="N13090H000"/>
  </r>
  <r>
    <x v="6"/>
    <x v="11"/>
    <x v="6"/>
    <s v="@5B@"/>
    <x v="1"/>
    <s v="Requisitante"/>
    <x v="59"/>
    <s v="J102"/>
    <s v="RP8"/>
    <x v="33"/>
    <s v=""/>
    <x v="33"/>
    <x v="56"/>
    <x v="26"/>
    <d v="2026-01-03T00:00:00"/>
    <n v="76755"/>
    <d v="2025-12-05T00:00:00"/>
    <n v="5001861668"/>
    <x v="0"/>
    <n v="371892"/>
    <s v=""/>
    <m/>
    <s v=""/>
    <m/>
    <m/>
    <m/>
    <m/>
    <m/>
    <m/>
    <m/>
    <n v="0"/>
    <x v="9"/>
    <s v=""/>
    <x v="8"/>
    <n v="76755"/>
    <s v=""/>
    <s v=""/>
    <n v="6999999"/>
    <x v="1"/>
    <n v="9000"/>
    <s v="C170204973"/>
  </r>
  <r>
    <x v="6"/>
    <x v="11"/>
    <x v="6"/>
    <s v="@5B@"/>
    <x v="1"/>
    <s v="Requisitante"/>
    <x v="60"/>
    <s v="J102"/>
    <s v="BHB"/>
    <x v="34"/>
    <s v=""/>
    <x v="34"/>
    <x v="57"/>
    <x v="29"/>
    <d v="2026-01-13T00:00:00"/>
    <n v="1480"/>
    <d v="2025-12-09T00:00:00"/>
    <n v="5001875626"/>
    <x v="0"/>
    <n v="372550"/>
    <s v=""/>
    <m/>
    <s v=""/>
    <m/>
    <m/>
    <m/>
    <m/>
    <m/>
    <m/>
    <m/>
    <n v="0"/>
    <x v="25"/>
    <s v=""/>
    <x v="20"/>
    <n v="1480"/>
    <s v=""/>
    <s v=""/>
    <n v="6999999"/>
    <x v="2"/>
    <n v="9042"/>
    <s v="C170204973"/>
  </r>
  <r>
    <x v="6"/>
    <x v="4"/>
    <x v="4"/>
    <s v="@5B@"/>
    <x v="1"/>
    <s v="Requisitante"/>
    <x v="61"/>
    <s v="J102"/>
    <s v="BPC"/>
    <x v="6"/>
    <s v=""/>
    <x v="6"/>
    <x v="58"/>
    <x v="32"/>
    <d v="2026-02-10T00:00:00"/>
    <n v="13200"/>
    <d v="2025-12-12T00:00:00"/>
    <n v="5001906162"/>
    <x v="0"/>
    <n v="373348"/>
    <s v=""/>
    <m/>
    <s v=""/>
    <m/>
    <m/>
    <m/>
    <m/>
    <m/>
    <m/>
    <m/>
    <n v="0"/>
    <x v="26"/>
    <s v=""/>
    <x v="21"/>
    <n v="13200"/>
    <s v=""/>
    <s v=""/>
    <n v="6999999"/>
    <x v="1"/>
    <m/>
    <s v="B230100000"/>
  </r>
  <r>
    <x v="5"/>
    <x v="7"/>
    <x v="5"/>
    <s v="@5B@"/>
    <x v="1"/>
    <s v="Requisitante"/>
    <x v="62"/>
    <s v="J102"/>
    <s v="RP8"/>
    <x v="1"/>
    <s v=""/>
    <x v="1"/>
    <x v="59"/>
    <x v="23"/>
    <d v="2026-02-07T00:00:00"/>
    <n v="44163.81"/>
    <d v="2025-11-24T00:00:00"/>
    <n v="5001772781"/>
    <x v="0"/>
    <n v="369764"/>
    <s v=""/>
    <m/>
    <s v=""/>
    <m/>
    <m/>
    <m/>
    <m/>
    <m/>
    <m/>
    <m/>
    <n v="0"/>
    <x v="13"/>
    <s v=""/>
    <x v="12"/>
    <n v="44163.81"/>
    <s v=""/>
    <s v=""/>
    <n v="6000031"/>
    <x v="1"/>
    <n v="9013"/>
    <s v="N142010000"/>
  </r>
  <r>
    <x v="6"/>
    <x v="1"/>
    <x v="1"/>
    <s v="@5B@"/>
    <x v="1"/>
    <s v="Requisitante"/>
    <x v="63"/>
    <s v="J102"/>
    <s v="CMV"/>
    <x v="35"/>
    <s v=""/>
    <x v="35"/>
    <x v="60"/>
    <x v="34"/>
    <d v="2025-12-18T00:00:00"/>
    <n v="3500"/>
    <d v="2025-12-08T00:00:00"/>
    <n v="5001871327"/>
    <x v="0"/>
    <n v="372320"/>
    <s v=""/>
    <m/>
    <s v=""/>
    <m/>
    <m/>
    <m/>
    <m/>
    <m/>
    <m/>
    <m/>
    <n v="0"/>
    <x v="19"/>
    <s v=""/>
    <x v="17"/>
    <n v="3500"/>
    <s v=""/>
    <s v=""/>
    <n v="6999999"/>
    <x v="1"/>
    <n v="9043"/>
    <s v="N14702M277"/>
  </r>
  <r>
    <x v="6"/>
    <x v="1"/>
    <x v="1"/>
    <s v="@5B@"/>
    <x v="1"/>
    <s v="Requisitante"/>
    <x v="64"/>
    <s v="J102"/>
    <s v="RP8"/>
    <x v="36"/>
    <s v=""/>
    <x v="36"/>
    <x v="61"/>
    <x v="28"/>
    <d v="2026-02-09T00:00:00"/>
    <n v="24900"/>
    <d v="2025-12-11T00:00:00"/>
    <n v="5001894306"/>
    <x v="0"/>
    <n v="373083"/>
    <s v=""/>
    <m/>
    <s v=""/>
    <m/>
    <m/>
    <m/>
    <m/>
    <m/>
    <m/>
    <m/>
    <n v="0"/>
    <x v="10"/>
    <s v=""/>
    <x v="9"/>
    <n v="24900"/>
    <s v=""/>
    <s v=""/>
    <n v="6999999"/>
    <x v="1"/>
    <n v="9021"/>
    <s v="N14702M277"/>
  </r>
  <r>
    <x v="6"/>
    <x v="12"/>
    <x v="0"/>
    <s v="@5B@"/>
    <x v="1"/>
    <s v="Requisitante"/>
    <x v="65"/>
    <s v="J102"/>
    <s v="BAC"/>
    <x v="37"/>
    <s v=""/>
    <x v="37"/>
    <x v="62"/>
    <x v="27"/>
    <d v="2026-04-04T00:00:00"/>
    <n v="103617"/>
    <d v="2025-12-12T00:00:00"/>
    <n v="5001905950"/>
    <x v="0"/>
    <n v="373335"/>
    <s v=""/>
    <m/>
    <s v=""/>
    <m/>
    <m/>
    <m/>
    <m/>
    <m/>
    <m/>
    <m/>
    <n v="0"/>
    <x v="27"/>
    <s v=""/>
    <x v="22"/>
    <n v="103617"/>
    <s v=""/>
    <s v=""/>
    <n v="6999999"/>
    <x v="1"/>
    <n v="2956"/>
    <s v="N14258M030"/>
  </r>
  <r>
    <x v="6"/>
    <x v="1"/>
    <x v="2"/>
    <s v="@5B@"/>
    <x v="1"/>
    <s v="Requisitante"/>
    <x v="66"/>
    <s v="J102"/>
    <s v="RP8"/>
    <x v="2"/>
    <s v=""/>
    <x v="2"/>
    <x v="63"/>
    <x v="35"/>
    <d v="2026-03-06T00:00:00"/>
    <n v="12000"/>
    <d v="2025-12-06T00:00:00"/>
    <n v="5001867784"/>
    <x v="0"/>
    <n v="372180"/>
    <s v=""/>
    <m/>
    <s v=""/>
    <m/>
    <m/>
    <m/>
    <m/>
    <m/>
    <m/>
    <m/>
    <n v="0"/>
    <x v="13"/>
    <s v=""/>
    <x v="12"/>
    <n v="12000"/>
    <s v=""/>
    <s v=""/>
    <n v="6999999"/>
    <x v="1"/>
    <n v="9104"/>
    <s v="N14702M002"/>
  </r>
  <r>
    <x v="4"/>
    <x v="4"/>
    <x v="4"/>
    <s v="@06@"/>
    <x v="0"/>
    <s v="Gerencia Requisitante"/>
    <x v="67"/>
    <s v="J102"/>
    <s v="BPT"/>
    <x v="38"/>
    <s v=""/>
    <x v="38"/>
    <x v="64"/>
    <x v="36"/>
    <d v="2026-01-08T00:00:00"/>
    <n v="160113.5"/>
    <d v="2025-12-08T00:00:00"/>
    <n v="5001871328"/>
    <x v="0"/>
    <n v="372321"/>
    <s v=""/>
    <d v="2025-12-09T00:00:00"/>
    <s v="SILVANA005"/>
    <m/>
    <m/>
    <m/>
    <n v="5001879935"/>
    <n v="2025"/>
    <n v="9004033606"/>
    <n v="2025"/>
    <n v="10417669"/>
    <x v="28"/>
    <s v="Nathalia Pimentel Da Silva"/>
    <x v="23"/>
    <n v="0"/>
    <s v=""/>
    <s v="Dificuldade na inserção da Nota Fiscal."/>
    <n v="6999999"/>
    <x v="4"/>
    <m/>
    <s v="B230100000"/>
  </r>
  <r>
    <x v="6"/>
    <x v="1"/>
    <x v="1"/>
    <s v="@5B@"/>
    <x v="1"/>
    <s v="Requisitante"/>
    <x v="68"/>
    <s v="J102"/>
    <s v="RP8"/>
    <x v="39"/>
    <s v=""/>
    <x v="39"/>
    <x v="65"/>
    <x v="37"/>
    <d v="2026-01-31T00:00:00"/>
    <n v="30000"/>
    <d v="2025-12-09T00:00:00"/>
    <n v="5001878540"/>
    <x v="0"/>
    <n v="372558"/>
    <s v=""/>
    <m/>
    <s v=""/>
    <m/>
    <m/>
    <m/>
    <m/>
    <m/>
    <m/>
    <m/>
    <n v="0"/>
    <x v="10"/>
    <s v=""/>
    <x v="9"/>
    <n v="30000"/>
    <s v=""/>
    <s v=""/>
    <n v="6999999"/>
    <x v="1"/>
    <n v="9021"/>
    <s v="N14702M277"/>
  </r>
  <r>
    <x v="6"/>
    <x v="5"/>
    <x v="0"/>
    <s v="@06@"/>
    <x v="0"/>
    <s v="Gerencia Requisitante"/>
    <x v="69"/>
    <s v="J102"/>
    <s v="BGD"/>
    <x v="26"/>
    <s v=""/>
    <x v="26"/>
    <x v="66"/>
    <x v="29"/>
    <d v="2026-02-07T00:00:00"/>
    <n v="4755.8100000000004"/>
    <d v="2025-12-09T00:00:00"/>
    <n v="5001878123"/>
    <x v="0"/>
    <n v="372564"/>
    <s v=""/>
    <d v="2025-12-09T00:00:00"/>
    <s v="SANTAIN001"/>
    <m/>
    <m/>
    <m/>
    <n v="5001878517"/>
    <n v="2025"/>
    <n v="9004033511"/>
    <n v="2025"/>
    <n v="10417493"/>
    <x v="22"/>
    <s v="Indylene Macedo Santana"/>
    <x v="18"/>
    <n v="0"/>
    <s v=""/>
    <s v=""/>
    <n v="6999999"/>
    <x v="6"/>
    <n v="2956"/>
    <s v="N14219M000"/>
  </r>
  <r>
    <x v="6"/>
    <x v="3"/>
    <x v="0"/>
    <s v="@5B@"/>
    <x v="1"/>
    <s v="Requisitante"/>
    <x v="70"/>
    <s v="J102"/>
    <s v="BHB"/>
    <x v="40"/>
    <s v=""/>
    <x v="40"/>
    <x v="67"/>
    <x v="29"/>
    <d v="2026-04-08T00:00:00"/>
    <n v="14705.46"/>
    <d v="2025-12-09T00:00:00"/>
    <n v="5001879982"/>
    <x v="0"/>
    <n v="372573"/>
    <s v=""/>
    <m/>
    <s v=""/>
    <m/>
    <m/>
    <m/>
    <m/>
    <m/>
    <m/>
    <m/>
    <n v="0"/>
    <x v="29"/>
    <s v=""/>
    <x v="7"/>
    <n v="14705.46"/>
    <s v=""/>
    <s v=""/>
    <n v="6999999"/>
    <x v="2"/>
    <n v="9000"/>
    <s v="N14201M077"/>
  </r>
  <r>
    <x v="6"/>
    <x v="0"/>
    <x v="0"/>
    <s v="@5B@"/>
    <x v="1"/>
    <s v="Requisitante"/>
    <x v="71"/>
    <s v="J102"/>
    <s v="RP8"/>
    <x v="30"/>
    <s v=""/>
    <x v="30"/>
    <x v="68"/>
    <x v="28"/>
    <d v="2026-03-11T00:00:00"/>
    <n v="74128.600000000006"/>
    <d v="2025-12-11T00:00:00"/>
    <n v="5001899102"/>
    <x v="0"/>
    <n v="373104"/>
    <s v=""/>
    <m/>
    <s v=""/>
    <m/>
    <m/>
    <m/>
    <m/>
    <m/>
    <m/>
    <m/>
    <n v="0"/>
    <x v="11"/>
    <s v=""/>
    <x v="10"/>
    <n v="74128.600000000006"/>
    <s v=""/>
    <s v=""/>
    <n v="6999999"/>
    <x v="1"/>
    <n v="9000"/>
    <s v="N14306M002"/>
  </r>
  <r>
    <x v="6"/>
    <x v="1"/>
    <x v="2"/>
    <s v="@5B@"/>
    <x v="1"/>
    <s v="Requisitante"/>
    <x v="72"/>
    <s v="J102"/>
    <s v="RP8"/>
    <x v="41"/>
    <s v=""/>
    <x v="41"/>
    <x v="69"/>
    <x v="28"/>
    <d v="2026-02-19T00:00:00"/>
    <n v="12420"/>
    <d v="2025-12-11T00:00:00"/>
    <n v="5001899103"/>
    <x v="0"/>
    <n v="373108"/>
    <s v=""/>
    <m/>
    <s v=""/>
    <m/>
    <m/>
    <m/>
    <m/>
    <m/>
    <m/>
    <m/>
    <n v="0"/>
    <x v="13"/>
    <s v=""/>
    <x v="12"/>
    <n v="12420"/>
    <s v=""/>
    <s v=""/>
    <n v="6999999"/>
    <x v="1"/>
    <n v="9104"/>
    <s v="N14702M002"/>
  </r>
  <r>
    <x v="4"/>
    <x v="1"/>
    <x v="2"/>
    <s v="@5B@"/>
    <x v="1"/>
    <s v="Requisitante"/>
    <x v="73"/>
    <s v="J102"/>
    <s v="BHB"/>
    <x v="7"/>
    <s v=""/>
    <x v="7"/>
    <x v="70"/>
    <x v="30"/>
    <d v="2025-12-19T00:00:00"/>
    <n v="2145"/>
    <d v="2025-10-20T00:00:00"/>
    <n v="5001508357"/>
    <x v="0"/>
    <n v="363738"/>
    <s v=""/>
    <m/>
    <s v=""/>
    <m/>
    <m/>
    <m/>
    <m/>
    <m/>
    <m/>
    <m/>
    <n v="0"/>
    <x v="6"/>
    <s v=""/>
    <x v="6"/>
    <n v="2145"/>
    <s v=""/>
    <s v=""/>
    <n v="6999999"/>
    <x v="2"/>
    <n v="9203"/>
    <s v="N14702M002"/>
  </r>
  <r>
    <x v="4"/>
    <x v="1"/>
    <x v="2"/>
    <s v="@5B@"/>
    <x v="1"/>
    <s v="Requisitante"/>
    <x v="74"/>
    <s v="J102"/>
    <s v="RP8"/>
    <x v="42"/>
    <s v=""/>
    <x v="42"/>
    <x v="71"/>
    <x v="21"/>
    <d v="2025-12-20T00:00:00"/>
    <n v="37956"/>
    <d v="2025-10-21T00:00:00"/>
    <n v="5001513068"/>
    <x v="0"/>
    <n v="364048"/>
    <s v=""/>
    <m/>
    <s v=""/>
    <m/>
    <m/>
    <m/>
    <m/>
    <m/>
    <m/>
    <m/>
    <n v="0"/>
    <x v="30"/>
    <s v=""/>
    <x v="24"/>
    <n v="37956"/>
    <s v=""/>
    <s v=""/>
    <n v="6999999"/>
    <x v="1"/>
    <n v="9000"/>
    <s v="N14702M002"/>
  </r>
  <r>
    <x v="4"/>
    <x v="0"/>
    <x v="0"/>
    <s v="@5B@"/>
    <x v="1"/>
    <s v="Requisitante"/>
    <x v="75"/>
    <s v="J102"/>
    <s v="RP8"/>
    <x v="18"/>
    <s v=""/>
    <x v="18"/>
    <x v="32"/>
    <x v="9"/>
    <d v="2025-12-15T00:00:00"/>
    <n v="872.01"/>
    <d v="2025-10-24T00:00:00"/>
    <n v="5001546222"/>
    <x v="0"/>
    <n v="364757"/>
    <s v=""/>
    <m/>
    <s v=""/>
    <m/>
    <m/>
    <m/>
    <m/>
    <m/>
    <m/>
    <m/>
    <n v="0"/>
    <x v="16"/>
    <s v=""/>
    <x v="2"/>
    <n v="872.01"/>
    <s v=""/>
    <s v=""/>
    <n v="6999999"/>
    <x v="1"/>
    <n v="9000"/>
    <s v="N14311M002"/>
  </r>
  <r>
    <x v="5"/>
    <x v="11"/>
    <x v="6"/>
    <s v="@5B@"/>
    <x v="1"/>
    <s v="Requisitante"/>
    <x v="76"/>
    <s v="J102"/>
    <s v="RP8"/>
    <x v="43"/>
    <s v=""/>
    <x v="43"/>
    <x v="72"/>
    <x v="38"/>
    <d v="2026-01-12T00:00:00"/>
    <n v="4004.1"/>
    <d v="2025-11-13T00:00:00"/>
    <n v="5001691710"/>
    <x v="0"/>
    <n v="368122"/>
    <s v=""/>
    <m/>
    <s v=""/>
    <m/>
    <m/>
    <m/>
    <m/>
    <m/>
    <m/>
    <m/>
    <n v="0"/>
    <x v="11"/>
    <s v=""/>
    <x v="10"/>
    <n v="4004.1"/>
    <s v=""/>
    <s v=""/>
    <n v="6999999"/>
    <x v="1"/>
    <n v="9042"/>
    <s v="C170204973"/>
  </r>
  <r>
    <x v="5"/>
    <x v="0"/>
    <x v="0"/>
    <s v="@5B@"/>
    <x v="1"/>
    <s v="Requisitante"/>
    <x v="77"/>
    <s v="J102"/>
    <s v="RP8"/>
    <x v="30"/>
    <s v=""/>
    <x v="30"/>
    <x v="73"/>
    <x v="39"/>
    <d v="2026-02-13T00:00:00"/>
    <n v="8822.6299999999992"/>
    <d v="2025-11-17T00:00:00"/>
    <n v="5001714366"/>
    <x v="0"/>
    <n v="368572"/>
    <s v=""/>
    <m/>
    <s v=""/>
    <m/>
    <m/>
    <m/>
    <m/>
    <m/>
    <m/>
    <m/>
    <n v="0"/>
    <x v="11"/>
    <s v=""/>
    <x v="10"/>
    <n v="8822.6299999999992"/>
    <s v=""/>
    <s v=""/>
    <n v="6999999"/>
    <x v="1"/>
    <n v="9000"/>
    <s v="N14311M002"/>
  </r>
  <r>
    <x v="5"/>
    <x v="0"/>
    <x v="0"/>
    <s v="@5B@"/>
    <x v="1"/>
    <s v="Requisitante"/>
    <x v="78"/>
    <s v="J102"/>
    <s v="RP8"/>
    <x v="30"/>
    <s v=""/>
    <x v="30"/>
    <x v="74"/>
    <x v="39"/>
    <d v="2026-02-13T00:00:00"/>
    <n v="74128.600000000006"/>
    <d v="2025-11-17T00:00:00"/>
    <n v="5001714367"/>
    <x v="0"/>
    <n v="368573"/>
    <s v=""/>
    <m/>
    <s v=""/>
    <m/>
    <m/>
    <m/>
    <m/>
    <m/>
    <m/>
    <m/>
    <n v="0"/>
    <x v="11"/>
    <s v=""/>
    <x v="10"/>
    <n v="74128.600000000006"/>
    <s v=""/>
    <s v=""/>
    <n v="6999999"/>
    <x v="1"/>
    <n v="9000"/>
    <s v="N14306M002"/>
  </r>
  <r>
    <x v="6"/>
    <x v="5"/>
    <x v="0"/>
    <s v="@06@"/>
    <x v="0"/>
    <s v="Gerencia Requisitante"/>
    <x v="79"/>
    <s v="J102"/>
    <s v="BGD"/>
    <x v="44"/>
    <s v=""/>
    <x v="44"/>
    <x v="75"/>
    <x v="25"/>
    <d v="2026-01-25T00:00:00"/>
    <n v="10360.030000000001"/>
    <d v="2025-12-09T00:00:00"/>
    <n v="5001878541"/>
    <x v="0"/>
    <n v="372555"/>
    <s v=""/>
    <d v="2025-12-09T00:00:00"/>
    <s v="SANTAIN001"/>
    <m/>
    <m/>
    <m/>
    <n v="5001878512"/>
    <n v="2025"/>
    <n v="9004033465"/>
    <n v="2025"/>
    <n v="10417416"/>
    <x v="22"/>
    <s v="Indylene Macedo Santana"/>
    <x v="18"/>
    <n v="0"/>
    <s v=""/>
    <s v=""/>
    <n v="6999999"/>
    <x v="6"/>
    <n v="2956"/>
    <s v="N14219M000"/>
  </r>
  <r>
    <x v="4"/>
    <x v="10"/>
    <x v="0"/>
    <s v="@5B@"/>
    <x v="1"/>
    <s v="Requisitante"/>
    <x v="80"/>
    <s v="J102"/>
    <s v="BHB"/>
    <x v="20"/>
    <s v=""/>
    <x v="20"/>
    <x v="76"/>
    <x v="21"/>
    <d v="2025-12-20T00:00:00"/>
    <n v="4600"/>
    <d v="2025-10-21T00:00:00"/>
    <n v="5001798667"/>
    <x v="0"/>
    <n v="364049"/>
    <s v=""/>
    <m/>
    <s v=""/>
    <m/>
    <m/>
    <m/>
    <m/>
    <m/>
    <m/>
    <m/>
    <n v="0"/>
    <x v="17"/>
    <s v=""/>
    <x v="15"/>
    <n v="4600"/>
    <s v=""/>
    <s v=""/>
    <n v="6999999"/>
    <x v="2"/>
    <n v="2952"/>
    <s v="N14205M000"/>
  </r>
  <r>
    <x v="5"/>
    <x v="1"/>
    <x v="2"/>
    <s v="@5B@"/>
    <x v="1"/>
    <s v="Requisitante"/>
    <x v="81"/>
    <s v="J102"/>
    <s v="RP8"/>
    <x v="24"/>
    <s v=""/>
    <x v="24"/>
    <x v="77"/>
    <x v="40"/>
    <d v="2026-01-19T00:00:00"/>
    <n v="6640.63"/>
    <d v="2025-11-20T00:00:00"/>
    <n v="5001743631"/>
    <x v="0"/>
    <n v="369229"/>
    <s v=""/>
    <m/>
    <s v=""/>
    <m/>
    <m/>
    <m/>
    <m/>
    <m/>
    <m/>
    <m/>
    <n v="0"/>
    <x v="13"/>
    <s v=""/>
    <x v="12"/>
    <n v="6640.63"/>
    <s v=""/>
    <s v=""/>
    <n v="6999999"/>
    <x v="1"/>
    <n v="9203"/>
    <s v="N14702M002"/>
  </r>
  <r>
    <x v="5"/>
    <x v="7"/>
    <x v="5"/>
    <s v="@5B@"/>
    <x v="1"/>
    <s v="Requisitante"/>
    <x v="82"/>
    <s v="J102"/>
    <s v="RP8"/>
    <x v="1"/>
    <s v=""/>
    <x v="1"/>
    <x v="78"/>
    <x v="23"/>
    <d v="2026-02-22T00:00:00"/>
    <n v="36513.370000000003"/>
    <d v="2025-11-24T00:00:00"/>
    <n v="5001772587"/>
    <x v="0"/>
    <n v="369759"/>
    <s v=""/>
    <m/>
    <s v=""/>
    <m/>
    <m/>
    <m/>
    <m/>
    <m/>
    <m/>
    <m/>
    <n v="0"/>
    <x v="13"/>
    <s v=""/>
    <x v="12"/>
    <n v="36513.370000000003"/>
    <s v=""/>
    <s v=""/>
    <n v="6000031"/>
    <x v="1"/>
    <n v="9013"/>
    <s v="N142010000"/>
  </r>
  <r>
    <x v="5"/>
    <x v="7"/>
    <x v="5"/>
    <s v="@5B@"/>
    <x v="1"/>
    <s v="Requisitante"/>
    <x v="83"/>
    <s v="J102"/>
    <s v="BGB"/>
    <x v="5"/>
    <s v=""/>
    <x v="5"/>
    <x v="15"/>
    <x v="24"/>
    <d v="2026-01-16T00:00:00"/>
    <n v="83480.56"/>
    <d v="2025-11-25T00:00:00"/>
    <n v="5001785055"/>
    <x v="0"/>
    <n v="370044"/>
    <s v=""/>
    <m/>
    <s v=""/>
    <m/>
    <m/>
    <m/>
    <m/>
    <m/>
    <m/>
    <m/>
    <n v="0"/>
    <x v="0"/>
    <s v=""/>
    <x v="0"/>
    <n v="83480.56"/>
    <s v=""/>
    <s v=""/>
    <n v="6000031"/>
    <x v="0"/>
    <n v="9201"/>
    <s v="N142010000"/>
  </r>
  <r>
    <x v="6"/>
    <x v="5"/>
    <x v="0"/>
    <s v="@5B@"/>
    <x v="1"/>
    <s v="Requisitante"/>
    <x v="84"/>
    <s v="J102"/>
    <s v="RP8"/>
    <x v="45"/>
    <s v=""/>
    <x v="45"/>
    <x v="79"/>
    <x v="29"/>
    <d v="2026-01-23T00:00:00"/>
    <n v="32374.06"/>
    <d v="2025-12-12T00:00:00"/>
    <n v="5001906166"/>
    <x v="0"/>
    <n v="373350"/>
    <s v=""/>
    <m/>
    <s v=""/>
    <m/>
    <m/>
    <m/>
    <m/>
    <m/>
    <m/>
    <m/>
    <n v="0"/>
    <x v="31"/>
    <s v=""/>
    <x v="25"/>
    <n v="32374.06"/>
    <s v=""/>
    <s v=""/>
    <n v="6999999"/>
    <x v="1"/>
    <n v="9000"/>
    <s v="N14202M177"/>
  </r>
  <r>
    <x v="6"/>
    <x v="1"/>
    <x v="2"/>
    <s v="@5B@"/>
    <x v="1"/>
    <s v="Requisitante"/>
    <x v="85"/>
    <s v="J102"/>
    <s v="RP8"/>
    <x v="39"/>
    <s v=""/>
    <x v="39"/>
    <x v="80"/>
    <x v="29"/>
    <d v="2026-02-07T00:00:00"/>
    <n v="19790"/>
    <d v="2025-12-09T00:00:00"/>
    <n v="5001878124"/>
    <x v="0"/>
    <n v="372560"/>
    <s v=""/>
    <m/>
    <s v=""/>
    <m/>
    <m/>
    <m/>
    <m/>
    <m/>
    <m/>
    <m/>
    <n v="0"/>
    <x v="10"/>
    <s v=""/>
    <x v="9"/>
    <n v="19790"/>
    <s v=""/>
    <s v=""/>
    <n v="6999999"/>
    <x v="1"/>
    <n v="9203"/>
    <s v="N14702M002"/>
  </r>
  <r>
    <x v="6"/>
    <x v="1"/>
    <x v="1"/>
    <s v="@5B@"/>
    <x v="1"/>
    <s v="Requisitante"/>
    <x v="86"/>
    <s v="J102"/>
    <s v="CMV"/>
    <x v="46"/>
    <s v=""/>
    <x v="46"/>
    <x v="81"/>
    <x v="32"/>
    <d v="2025-12-27T00:00:00"/>
    <n v="29800"/>
    <d v="2025-12-12T00:00:00"/>
    <n v="5001905938"/>
    <x v="0"/>
    <n v="373338"/>
    <s v=""/>
    <m/>
    <s v=""/>
    <m/>
    <m/>
    <m/>
    <m/>
    <m/>
    <m/>
    <m/>
    <n v="0"/>
    <x v="10"/>
    <s v=""/>
    <x v="9"/>
    <n v="29800"/>
    <s v=""/>
    <s v=""/>
    <n v="6000020"/>
    <x v="1"/>
    <n v="9021"/>
    <s v="N14702M277"/>
  </r>
  <r>
    <x v="6"/>
    <x v="4"/>
    <x v="4"/>
    <s v="@06@"/>
    <x v="0"/>
    <s v="Gerencia Requisitante"/>
    <x v="87"/>
    <s v="J102"/>
    <s v="BPC"/>
    <x v="47"/>
    <s v=""/>
    <x v="47"/>
    <x v="82"/>
    <x v="32"/>
    <d v="2026-01-11T00:00:00"/>
    <n v="4456.2"/>
    <d v="2025-12-12T00:00:00"/>
    <n v="5001905939"/>
    <x v="0"/>
    <n v="373339"/>
    <s v=""/>
    <d v="2025-12-12T00:00:00"/>
    <s v="BARBOJO002"/>
    <m/>
    <m/>
    <m/>
    <n v="5001903182"/>
    <n v="2025"/>
    <n v="9004035279"/>
    <n v="2025"/>
    <n v="10421166"/>
    <x v="23"/>
    <s v="jocimar barbosa"/>
    <x v="19"/>
    <n v="0"/>
    <s v=""/>
    <s v=""/>
    <n v="6000020"/>
    <x v="1"/>
    <m/>
    <s v="B230100000"/>
  </r>
  <r>
    <x v="5"/>
    <x v="0"/>
    <x v="0"/>
    <s v="@5B@"/>
    <x v="1"/>
    <s v="Requisitante"/>
    <x v="88"/>
    <s v="J102"/>
    <s v="RP8"/>
    <x v="18"/>
    <s v=""/>
    <x v="18"/>
    <x v="32"/>
    <x v="22"/>
    <d v="2026-01-17T00:00:00"/>
    <n v="1665.22"/>
    <d v="2025-11-19T00:00:00"/>
    <n v="5001731725"/>
    <x v="0"/>
    <n v="368964"/>
    <s v=""/>
    <m/>
    <s v=""/>
    <m/>
    <m/>
    <m/>
    <m/>
    <m/>
    <m/>
    <m/>
    <n v="0"/>
    <x v="16"/>
    <s v=""/>
    <x v="2"/>
    <n v="1665.49"/>
    <s v=""/>
    <s v=""/>
    <n v="6999999"/>
    <x v="1"/>
    <n v="9000"/>
    <s v="N14311M002"/>
  </r>
  <r>
    <x v="6"/>
    <x v="1"/>
    <x v="2"/>
    <s v="@5B@"/>
    <x v="1"/>
    <s v="Requisitante"/>
    <x v="89"/>
    <s v="J102"/>
    <s v="RP8"/>
    <x v="17"/>
    <s v=""/>
    <x v="17"/>
    <x v="31"/>
    <x v="25"/>
    <d v="2025-12-31T00:00:00"/>
    <n v="290"/>
    <d v="2025-12-03T00:00:00"/>
    <n v="5001849973"/>
    <x v="0"/>
    <n v="371277"/>
    <s v=""/>
    <m/>
    <s v=""/>
    <m/>
    <m/>
    <m/>
    <m/>
    <m/>
    <m/>
    <m/>
    <n v="0"/>
    <x v="15"/>
    <s v=""/>
    <x v="14"/>
    <n v="290"/>
    <s v=""/>
    <s v=""/>
    <n v="6999999"/>
    <x v="1"/>
    <n v="9203"/>
    <s v="N14702M002"/>
  </r>
  <r>
    <x v="4"/>
    <x v="1"/>
    <x v="2"/>
    <s v="@5B@"/>
    <x v="1"/>
    <s v="Requisitante"/>
    <x v="90"/>
    <s v="J102"/>
    <s v="RP8"/>
    <x v="4"/>
    <s v=""/>
    <x v="4"/>
    <x v="83"/>
    <x v="41"/>
    <d v="2026-02-05T00:00:00"/>
    <n v="3922.2"/>
    <d v="2025-10-10T00:00:00"/>
    <n v="5001450286"/>
    <x v="0"/>
    <n v="362435"/>
    <s v=""/>
    <m/>
    <s v=""/>
    <m/>
    <m/>
    <m/>
    <m/>
    <m/>
    <m/>
    <m/>
    <n v="0"/>
    <x v="15"/>
    <s v=""/>
    <x v="14"/>
    <n v="3922.2"/>
    <s v=""/>
    <s v=""/>
    <n v="6000020"/>
    <x v="1"/>
    <n v="9203"/>
    <s v="N14702M002"/>
  </r>
  <r>
    <x v="4"/>
    <x v="1"/>
    <x v="2"/>
    <s v="@5B@"/>
    <x v="1"/>
    <s v="Requisitante"/>
    <x v="91"/>
    <s v="J102"/>
    <s v="RP8"/>
    <x v="2"/>
    <s v=""/>
    <x v="2"/>
    <x v="84"/>
    <x v="42"/>
    <d v="2026-01-14T00:00:00"/>
    <n v="12000"/>
    <d v="2025-10-16T00:00:00"/>
    <n v="5001622261"/>
    <x v="0"/>
    <n v="363346"/>
    <s v=""/>
    <m/>
    <s v=""/>
    <m/>
    <m/>
    <m/>
    <m/>
    <m/>
    <m/>
    <m/>
    <n v="0"/>
    <x v="13"/>
    <s v=""/>
    <x v="12"/>
    <n v="12000"/>
    <s v=""/>
    <s v=""/>
    <n v="6999999"/>
    <x v="1"/>
    <n v="9104"/>
    <s v="N14702M002"/>
  </r>
  <r>
    <x v="4"/>
    <x v="4"/>
    <x v="4"/>
    <s v="@06@"/>
    <x v="0"/>
    <s v="Gerencia Requisitante"/>
    <x v="92"/>
    <s v="J102"/>
    <s v="BPC"/>
    <x v="6"/>
    <s v=""/>
    <x v="6"/>
    <x v="85"/>
    <x v="43"/>
    <d v="2025-12-23T00:00:00"/>
    <n v="92000"/>
    <d v="2025-10-24T00:00:00"/>
    <n v="5001540456"/>
    <x v="0"/>
    <n v="364738"/>
    <s v=""/>
    <d v="2025-10-27T00:00:00"/>
    <s v="MATUIFL001"/>
    <m/>
    <m/>
    <m/>
    <n v="5001553763"/>
    <n v="2025"/>
    <n v="9004034639"/>
    <n v="2025"/>
    <n v="10419622"/>
    <x v="5"/>
    <s v="Flavio Matui"/>
    <x v="5"/>
    <n v="0"/>
    <s v=""/>
    <s v=""/>
    <n v="6999999"/>
    <x v="1"/>
    <m/>
    <s v="B220100000"/>
  </r>
  <r>
    <x v="4"/>
    <x v="1"/>
    <x v="2"/>
    <s v="@5B@"/>
    <x v="1"/>
    <s v="Requisitante"/>
    <x v="93"/>
    <s v="J102"/>
    <s v="RP8"/>
    <x v="1"/>
    <s v=""/>
    <x v="1"/>
    <x v="86"/>
    <x v="43"/>
    <d v="2026-01-07T00:00:00"/>
    <n v="40276.74"/>
    <d v="2025-10-24T00:00:00"/>
    <n v="5001622264"/>
    <x v="0"/>
    <n v="364746"/>
    <s v=""/>
    <m/>
    <s v=""/>
    <m/>
    <m/>
    <m/>
    <m/>
    <m/>
    <m/>
    <m/>
    <n v="0"/>
    <x v="13"/>
    <s v=""/>
    <x v="12"/>
    <n v="40276.74"/>
    <s v=""/>
    <s v=""/>
    <n v="6000031"/>
    <x v="1"/>
    <n v="9013"/>
    <s v="N14702M002"/>
  </r>
  <r>
    <x v="4"/>
    <x v="1"/>
    <x v="2"/>
    <s v="@5B@"/>
    <x v="1"/>
    <s v="Requisitante"/>
    <x v="94"/>
    <s v="J102"/>
    <s v="BAC"/>
    <x v="48"/>
    <s v=""/>
    <x v="48"/>
    <x v="87"/>
    <x v="43"/>
    <d v="2026-01-02T00:00:00"/>
    <n v="11044.04"/>
    <d v="2025-10-24T00:00:00"/>
    <n v="5001546462"/>
    <x v="0"/>
    <n v="364771"/>
    <s v=""/>
    <m/>
    <s v=""/>
    <m/>
    <m/>
    <m/>
    <m/>
    <m/>
    <m/>
    <m/>
    <n v="0"/>
    <x v="9"/>
    <s v=""/>
    <x v="8"/>
    <n v="11044.04"/>
    <s v=""/>
    <s v=""/>
    <n v="6999999"/>
    <x v="1"/>
    <n v="9203"/>
    <s v="N14702M002"/>
  </r>
  <r>
    <x v="5"/>
    <x v="1"/>
    <x v="1"/>
    <s v="@5B@"/>
    <x v="1"/>
    <s v="Requisitante"/>
    <x v="95"/>
    <s v="J102"/>
    <s v="BHB"/>
    <x v="7"/>
    <s v=""/>
    <x v="7"/>
    <x v="8"/>
    <x v="44"/>
    <d v="2026-01-05T00:00:00"/>
    <n v="15000"/>
    <d v="2025-11-06T00:00:00"/>
    <n v="5001640882"/>
    <x v="0"/>
    <n v="366743"/>
    <s v=""/>
    <m/>
    <s v=""/>
    <m/>
    <m/>
    <m/>
    <m/>
    <m/>
    <m/>
    <m/>
    <n v="0"/>
    <x v="6"/>
    <s v=""/>
    <x v="6"/>
    <n v="15000"/>
    <s v=""/>
    <s v=""/>
    <n v="6999999"/>
    <x v="2"/>
    <n v="9018"/>
    <s v="N14702M277"/>
  </r>
  <r>
    <x v="5"/>
    <x v="1"/>
    <x v="2"/>
    <s v="@5B@"/>
    <x v="1"/>
    <s v="Requisitante"/>
    <x v="96"/>
    <s v="J102"/>
    <s v="RP8"/>
    <x v="49"/>
    <s v=""/>
    <x v="49"/>
    <x v="88"/>
    <x v="45"/>
    <d v="2026-01-09T00:00:00"/>
    <n v="8400"/>
    <d v="2025-11-10T00:00:00"/>
    <n v="5001669170"/>
    <x v="0"/>
    <n v="367567"/>
    <s v=""/>
    <m/>
    <s v=""/>
    <m/>
    <m/>
    <m/>
    <m/>
    <m/>
    <m/>
    <m/>
    <n v="0"/>
    <x v="13"/>
    <s v=""/>
    <x v="12"/>
    <n v="8400"/>
    <s v=""/>
    <s v=""/>
    <n v="6999999"/>
    <x v="1"/>
    <n v="9203"/>
    <s v="N14702M002"/>
  </r>
  <r>
    <x v="5"/>
    <x v="0"/>
    <x v="0"/>
    <s v="@5B@"/>
    <x v="1"/>
    <s v="Requisitante"/>
    <x v="97"/>
    <s v="J102"/>
    <s v="RP8"/>
    <x v="18"/>
    <s v=""/>
    <x v="18"/>
    <x v="32"/>
    <x v="22"/>
    <d v="2026-01-17T00:00:00"/>
    <n v="111.89"/>
    <d v="2025-11-19T00:00:00"/>
    <n v="5001731726"/>
    <x v="0"/>
    <n v="368965"/>
    <s v=""/>
    <m/>
    <s v=""/>
    <m/>
    <m/>
    <m/>
    <m/>
    <m/>
    <m/>
    <m/>
    <n v="0"/>
    <x v="16"/>
    <s v=""/>
    <x v="2"/>
    <n v="111.84"/>
    <s v=""/>
    <s v=""/>
    <n v="6999999"/>
    <x v="1"/>
    <n v="9000"/>
    <s v="N14311M002"/>
  </r>
  <r>
    <x v="4"/>
    <x v="10"/>
    <x v="0"/>
    <s v="@5B@"/>
    <x v="1"/>
    <s v="Requisitante"/>
    <x v="98"/>
    <s v="J102"/>
    <s v="BHB"/>
    <x v="20"/>
    <s v=""/>
    <x v="20"/>
    <x v="37"/>
    <x v="21"/>
    <d v="2025-12-20T00:00:00"/>
    <n v="1000"/>
    <d v="2025-10-21T00:00:00"/>
    <n v="5001798668"/>
    <x v="0"/>
    <n v="364072"/>
    <s v=""/>
    <m/>
    <s v=""/>
    <m/>
    <m/>
    <m/>
    <m/>
    <m/>
    <m/>
    <m/>
    <n v="0"/>
    <x v="17"/>
    <s v=""/>
    <x v="15"/>
    <n v="1000"/>
    <s v=""/>
    <s v=""/>
    <n v="6999999"/>
    <x v="2"/>
    <n v="2952"/>
    <s v="N14205M000"/>
  </r>
  <r>
    <x v="5"/>
    <x v="1"/>
    <x v="2"/>
    <s v="@5B@"/>
    <x v="1"/>
    <s v="Requisitante"/>
    <x v="99"/>
    <s v="J102"/>
    <s v="RP8"/>
    <x v="13"/>
    <s v=""/>
    <x v="13"/>
    <x v="89"/>
    <x v="46"/>
    <d v="2026-01-03T00:00:00"/>
    <n v="28728.080000000002"/>
    <d v="2025-11-19T00:00:00"/>
    <n v="5001731778"/>
    <x v="0"/>
    <n v="368946"/>
    <s v=""/>
    <m/>
    <s v=""/>
    <m/>
    <m/>
    <m/>
    <m/>
    <m/>
    <m/>
    <m/>
    <n v="0"/>
    <x v="13"/>
    <s v=""/>
    <x v="12"/>
    <n v="28728.080000000002"/>
    <s v=""/>
    <s v=""/>
    <n v="6000009"/>
    <x v="1"/>
    <n v="9117"/>
    <s v="N14702M002"/>
  </r>
  <r>
    <x v="6"/>
    <x v="7"/>
    <x v="5"/>
    <s v="@06@"/>
    <x v="0"/>
    <s v="Gerencia Requisitante"/>
    <x v="100"/>
    <s v="J102"/>
    <s v="BGB"/>
    <x v="50"/>
    <s v=""/>
    <x v="50"/>
    <x v="90"/>
    <x v="32"/>
    <d v="2025-12-19T00:00:00"/>
    <n v="67082.240000000005"/>
    <d v="2025-12-12T00:00:00"/>
    <n v="5001902875"/>
    <x v="0"/>
    <n v="373321"/>
    <s v=""/>
    <d v="2025-12-12T00:00:00"/>
    <s v="LIMARO004"/>
    <m/>
    <m/>
    <m/>
    <n v="5001902916"/>
    <n v="2025"/>
    <n v="9004035123"/>
    <n v="2025"/>
    <n v="10420970"/>
    <x v="32"/>
    <s v="Rodrigo Leite De Paula Lima"/>
    <x v="2"/>
    <n v="0"/>
    <s v=""/>
    <s v=""/>
    <n v="6999999"/>
    <x v="0"/>
    <n v="9350"/>
    <s v="N63010M001"/>
  </r>
  <r>
    <x v="4"/>
    <x v="4"/>
    <x v="4"/>
    <s v="@5B@"/>
    <x v="1"/>
    <s v="Requisitante"/>
    <x v="101"/>
    <s v="J102"/>
    <s v="BAC"/>
    <x v="1"/>
    <s v=""/>
    <x v="1"/>
    <x v="91"/>
    <x v="30"/>
    <d v="2026-01-03T00:00:00"/>
    <n v="15536.02"/>
    <d v="2025-10-20T00:00:00"/>
    <n v="5001503908"/>
    <x v="0"/>
    <n v="363724"/>
    <s v=""/>
    <m/>
    <s v=""/>
    <m/>
    <m/>
    <m/>
    <m/>
    <m/>
    <m/>
    <m/>
    <n v="0"/>
    <x v="2"/>
    <s v=""/>
    <x v="2"/>
    <n v="15536.02"/>
    <s v=""/>
    <s v=""/>
    <n v="6000031"/>
    <x v="1"/>
    <m/>
    <s v="B230100000"/>
  </r>
  <r>
    <x v="4"/>
    <x v="1"/>
    <x v="2"/>
    <s v="@5B@"/>
    <x v="1"/>
    <s v="Requisitante"/>
    <x v="102"/>
    <s v="J102"/>
    <s v="BHB"/>
    <x v="7"/>
    <s v=""/>
    <x v="7"/>
    <x v="92"/>
    <x v="30"/>
    <d v="2025-12-19T00:00:00"/>
    <n v="3575"/>
    <d v="2025-10-20T00:00:00"/>
    <n v="5001508590"/>
    <x v="0"/>
    <n v="363737"/>
    <s v=""/>
    <m/>
    <s v=""/>
    <m/>
    <m/>
    <m/>
    <m/>
    <m/>
    <m/>
    <m/>
    <n v="0"/>
    <x v="6"/>
    <s v=""/>
    <x v="6"/>
    <n v="3575"/>
    <s v=""/>
    <s v=""/>
    <n v="6999999"/>
    <x v="2"/>
    <n v="9203"/>
    <s v="N14702M002"/>
  </r>
  <r>
    <x v="6"/>
    <x v="2"/>
    <x v="3"/>
    <s v="@5B@"/>
    <x v="1"/>
    <s v="Requisitante"/>
    <x v="103"/>
    <s v="J102"/>
    <s v="BGA"/>
    <x v="3"/>
    <s v=""/>
    <x v="3"/>
    <x v="93"/>
    <x v="32"/>
    <d v="2026-02-10T00:00:00"/>
    <n v="446"/>
    <d v="2025-12-12T00:00:00"/>
    <n v="5001901922"/>
    <x v="0"/>
    <n v="373298"/>
    <s v=""/>
    <m/>
    <s v=""/>
    <m/>
    <m/>
    <m/>
    <m/>
    <m/>
    <m/>
    <m/>
    <n v="0"/>
    <x v="33"/>
    <s v=""/>
    <x v="26"/>
    <n v="446"/>
    <s v=""/>
    <s v=""/>
    <n v="6999999"/>
    <x v="5"/>
    <n v="4727"/>
    <s v="N14311H000"/>
  </r>
  <r>
    <x v="6"/>
    <x v="4"/>
    <x v="4"/>
    <s v="@06@"/>
    <x v="0"/>
    <s v="Gerencia Requisitante"/>
    <x v="104"/>
    <s v="J102"/>
    <s v="BPT"/>
    <x v="51"/>
    <s v=""/>
    <x v="51"/>
    <x v="94"/>
    <x v="27"/>
    <d v="2026-01-04T00:00:00"/>
    <n v="29197.13"/>
    <d v="2025-12-05T00:00:00"/>
    <n v="5001861328"/>
    <x v="0"/>
    <n v="371947"/>
    <s v=""/>
    <d v="2025-12-09T00:00:00"/>
    <s v="SILVANA005"/>
    <m/>
    <m/>
    <m/>
    <n v="5001879937"/>
    <n v="2025"/>
    <n v="9004033608"/>
    <n v="2025"/>
    <n v="10417671"/>
    <x v="28"/>
    <s v="Nathalia Pimentel Da Silva"/>
    <x v="23"/>
    <n v="0"/>
    <s v=""/>
    <s v=""/>
    <n v="6999999"/>
    <x v="4"/>
    <m/>
    <s v="B240100000"/>
  </r>
  <r>
    <x v="5"/>
    <x v="1"/>
    <x v="2"/>
    <s v="@5B@"/>
    <x v="1"/>
    <s v="Requisitante"/>
    <x v="105"/>
    <s v="J102"/>
    <s v="RP8"/>
    <x v="52"/>
    <s v=""/>
    <x v="52"/>
    <x v="95"/>
    <x v="44"/>
    <d v="2025-12-04T00:00:00"/>
    <n v="22500"/>
    <d v="2025-11-06T00:00:00"/>
    <n v="5001640484"/>
    <x v="0"/>
    <n v="366729"/>
    <s v=""/>
    <m/>
    <s v=""/>
    <m/>
    <m/>
    <m/>
    <m/>
    <m/>
    <m/>
    <m/>
    <n v="0"/>
    <x v="10"/>
    <s v=""/>
    <x v="9"/>
    <n v="22500"/>
    <s v=""/>
    <s v=""/>
    <n v="6999999"/>
    <x v="1"/>
    <n v="9203"/>
    <s v="N14702M002"/>
  </r>
  <r>
    <x v="5"/>
    <x v="1"/>
    <x v="1"/>
    <s v="@5B@"/>
    <x v="1"/>
    <s v="Requisitante"/>
    <x v="106"/>
    <s v="J102"/>
    <s v="RP8"/>
    <x v="53"/>
    <s v=""/>
    <x v="53"/>
    <x v="96"/>
    <x v="22"/>
    <d v="2025-12-03T00:00:00"/>
    <n v="29500"/>
    <d v="2025-11-08T00:00:00"/>
    <n v="5001656974"/>
    <x v="0"/>
    <n v="367423"/>
    <s v=""/>
    <m/>
    <s v=""/>
    <m/>
    <m/>
    <m/>
    <m/>
    <m/>
    <m/>
    <m/>
    <n v="0"/>
    <x v="10"/>
    <s v=""/>
    <x v="9"/>
    <n v="29500"/>
    <s v=""/>
    <s v=""/>
    <n v="6999999"/>
    <x v="1"/>
    <n v="9021"/>
    <s v="N14702M277"/>
  </r>
  <r>
    <x v="6"/>
    <x v="4"/>
    <x v="4"/>
    <s v="@06@"/>
    <x v="0"/>
    <s v="Gerencia Requisitante"/>
    <x v="107"/>
    <s v="J102"/>
    <s v="BPC"/>
    <x v="6"/>
    <s v=""/>
    <x v="6"/>
    <x v="97"/>
    <x v="26"/>
    <d v="2026-02-02T00:00:00"/>
    <n v="38000"/>
    <d v="2025-12-04T00:00:00"/>
    <n v="5001857865"/>
    <x v="0"/>
    <n v="371597"/>
    <s v=""/>
    <d v="2025-12-05T00:00:00"/>
    <s v="ST2OLIVEJO"/>
    <m/>
    <m/>
    <m/>
    <n v="5001862271"/>
    <n v="2025"/>
    <n v="9004034637"/>
    <n v="2025"/>
    <n v="10419620"/>
    <x v="21"/>
    <s v="Joao Victor De Oliveira"/>
    <x v="2"/>
    <n v="0"/>
    <s v=""/>
    <s v=""/>
    <n v="6999999"/>
    <x v="1"/>
    <m/>
    <s v="B230100000"/>
  </r>
  <r>
    <x v="5"/>
    <x v="1"/>
    <x v="2"/>
    <s v="@5B@"/>
    <x v="1"/>
    <s v="Requisitante"/>
    <x v="108"/>
    <s v="J102"/>
    <s v="RP8"/>
    <x v="39"/>
    <s v=""/>
    <x v="39"/>
    <x v="98"/>
    <x v="44"/>
    <d v="2026-01-05T00:00:00"/>
    <n v="48000"/>
    <d v="2025-11-06T00:00:00"/>
    <n v="5001645056"/>
    <x v="0"/>
    <n v="366761"/>
    <s v=""/>
    <m/>
    <s v=""/>
    <m/>
    <m/>
    <m/>
    <m/>
    <m/>
    <m/>
    <m/>
    <n v="0"/>
    <x v="10"/>
    <s v=""/>
    <x v="9"/>
    <n v="48000"/>
    <s v=""/>
    <s v=""/>
    <n v="6999999"/>
    <x v="1"/>
    <n v="9117"/>
    <s v="N14702M002"/>
  </r>
  <r>
    <x v="6"/>
    <x v="4"/>
    <x v="4"/>
    <s v="@06@"/>
    <x v="0"/>
    <s v="Gerencia Requisitante"/>
    <x v="109"/>
    <s v="J102"/>
    <s v="BPC"/>
    <x v="31"/>
    <s v=""/>
    <x v="31"/>
    <x v="99"/>
    <x v="27"/>
    <d v="2026-01-02T00:00:00"/>
    <n v="373272.68"/>
    <d v="2025-12-12T00:00:00"/>
    <n v="5001901921"/>
    <x v="0"/>
    <n v="373294"/>
    <s v=""/>
    <d v="2025-12-12T00:00:00"/>
    <s v="EX1FERREIG"/>
    <m/>
    <m/>
    <m/>
    <n v="5001901076"/>
    <n v="2025"/>
    <n v="9004034981"/>
    <n v="2025"/>
    <n v="10420629"/>
    <x v="34"/>
    <s v="Igor Galvao Ferreira"/>
    <x v="2"/>
    <n v="0"/>
    <s v=""/>
    <s v=""/>
    <n v="6999999"/>
    <x v="1"/>
    <m/>
    <s v="B230100000"/>
  </r>
  <r>
    <x v="4"/>
    <x v="10"/>
    <x v="0"/>
    <s v="@5B@"/>
    <x v="1"/>
    <s v="Requisitante"/>
    <x v="110"/>
    <s v="J102"/>
    <s v="BHB"/>
    <x v="54"/>
    <s v=""/>
    <x v="54"/>
    <x v="100"/>
    <x v="43"/>
    <d v="2025-12-23T00:00:00"/>
    <n v="61090"/>
    <d v="2025-10-24T00:00:00"/>
    <n v="5001798669"/>
    <x v="0"/>
    <n v="364766"/>
    <s v=""/>
    <m/>
    <s v=""/>
    <m/>
    <m/>
    <m/>
    <m/>
    <m/>
    <m/>
    <m/>
    <n v="0"/>
    <x v="17"/>
    <s v=""/>
    <x v="15"/>
    <n v="61090"/>
    <s v=""/>
    <s v=""/>
    <n v="6999999"/>
    <x v="2"/>
    <n v="2952"/>
    <s v="N14205M000"/>
  </r>
  <r>
    <x v="5"/>
    <x v="1"/>
    <x v="2"/>
    <s v="@5B@"/>
    <x v="1"/>
    <s v="Requisitante"/>
    <x v="111"/>
    <s v="J102"/>
    <s v="CMV"/>
    <x v="39"/>
    <s v=""/>
    <x v="39"/>
    <x v="101"/>
    <x v="44"/>
    <d v="2025-12-06T00:00:00"/>
    <n v="12212.3"/>
    <d v="2025-11-06T00:00:00"/>
    <n v="5001645055"/>
    <x v="0"/>
    <n v="366759"/>
    <s v=""/>
    <m/>
    <s v=""/>
    <m/>
    <m/>
    <m/>
    <m/>
    <m/>
    <m/>
    <m/>
    <n v="0"/>
    <x v="10"/>
    <s v=""/>
    <x v="9"/>
    <n v="12212.3"/>
    <s v=""/>
    <s v=""/>
    <n v="6999999"/>
    <x v="1"/>
    <n v="9201"/>
    <s v="N14702M002"/>
  </r>
  <r>
    <x v="6"/>
    <x v="13"/>
    <x v="0"/>
    <s v="@5B@"/>
    <x v="1"/>
    <s v="Requisitante"/>
    <x v="112"/>
    <s v="J102"/>
    <s v="RP8"/>
    <x v="55"/>
    <s v=""/>
    <x v="55"/>
    <x v="102"/>
    <x v="31"/>
    <d v="2026-02-08T00:00:00"/>
    <n v="2500"/>
    <d v="2025-12-10T00:00:00"/>
    <n v="5001892001"/>
    <x v="0"/>
    <n v="372936"/>
    <s v=""/>
    <m/>
    <s v=""/>
    <m/>
    <m/>
    <m/>
    <m/>
    <m/>
    <m/>
    <m/>
    <n v="0"/>
    <x v="31"/>
    <s v=""/>
    <x v="25"/>
    <n v="2500"/>
    <s v=""/>
    <s v=""/>
    <n v="6999999"/>
    <x v="1"/>
    <n v="2956"/>
    <s v="N14206M002"/>
  </r>
  <r>
    <x v="5"/>
    <x v="1"/>
    <x v="2"/>
    <s v="@5B@"/>
    <x v="1"/>
    <s v="Requisitante"/>
    <x v="113"/>
    <s v="J102"/>
    <s v="RP8"/>
    <x v="56"/>
    <s v=""/>
    <x v="56"/>
    <x v="103"/>
    <x v="44"/>
    <d v="2025-12-04T00:00:00"/>
    <n v="2077"/>
    <d v="2025-11-06T00:00:00"/>
    <n v="5001637099"/>
    <x v="0"/>
    <n v="366735"/>
    <s v=""/>
    <m/>
    <s v=""/>
    <m/>
    <m/>
    <m/>
    <m/>
    <m/>
    <m/>
    <m/>
    <n v="0"/>
    <x v="30"/>
    <s v=""/>
    <x v="24"/>
    <n v="2077"/>
    <s v=""/>
    <s v=""/>
    <n v="6999999"/>
    <x v="1"/>
    <n v="9104"/>
    <s v="N14702M002"/>
  </r>
  <r>
    <x v="6"/>
    <x v="1"/>
    <x v="2"/>
    <s v="@5B@"/>
    <x v="1"/>
    <s v="Requisitante"/>
    <x v="114"/>
    <s v="J102"/>
    <s v="RP8"/>
    <x v="24"/>
    <s v=""/>
    <x v="24"/>
    <x v="104"/>
    <x v="26"/>
    <d v="2026-02-02T00:00:00"/>
    <n v="18831.89"/>
    <d v="2025-12-04T00:00:00"/>
    <n v="5001858710"/>
    <x v="0"/>
    <n v="371617"/>
    <s v=""/>
    <m/>
    <s v=""/>
    <m/>
    <m/>
    <m/>
    <m/>
    <m/>
    <m/>
    <m/>
    <n v="0"/>
    <x v="13"/>
    <s v=""/>
    <x v="12"/>
    <n v="18831.89"/>
    <s v=""/>
    <s v=""/>
    <n v="6999999"/>
    <x v="1"/>
    <n v="9203"/>
    <s v="N14702M002"/>
  </r>
  <r>
    <x v="6"/>
    <x v="11"/>
    <x v="6"/>
    <s v="@5B@"/>
    <x v="1"/>
    <s v="Requisitante"/>
    <x v="115"/>
    <s v="J102"/>
    <s v="BHB"/>
    <x v="57"/>
    <s v=""/>
    <x v="57"/>
    <x v="105"/>
    <x v="27"/>
    <d v="2026-01-02T00:00:00"/>
    <n v="2920"/>
    <d v="2025-12-09T00:00:00"/>
    <n v="5001877894"/>
    <x v="0"/>
    <n v="372546"/>
    <s v=""/>
    <m/>
    <s v=""/>
    <m/>
    <m/>
    <m/>
    <m/>
    <m/>
    <m/>
    <m/>
    <n v="0"/>
    <x v="25"/>
    <s v=""/>
    <x v="20"/>
    <n v="2920"/>
    <s v=""/>
    <s v=""/>
    <n v="6999999"/>
    <x v="2"/>
    <n v="9042"/>
    <s v="C170204973"/>
  </r>
  <r>
    <x v="6"/>
    <x v="14"/>
    <x v="7"/>
    <s v="@5B@"/>
    <x v="1"/>
    <s v="Requisitante"/>
    <x v="116"/>
    <s v="J102"/>
    <s v="BHB"/>
    <x v="58"/>
    <s v=""/>
    <x v="58"/>
    <x v="106"/>
    <x v="29"/>
    <d v="2026-01-08T00:00:00"/>
    <n v="703.65"/>
    <d v="2025-12-09T00:00:00"/>
    <n v="5001878542"/>
    <x v="0"/>
    <n v="372556"/>
    <s v=""/>
    <m/>
    <s v=""/>
    <m/>
    <m/>
    <m/>
    <m/>
    <m/>
    <m/>
    <m/>
    <n v="0"/>
    <x v="6"/>
    <s v=""/>
    <x v="6"/>
    <n v="703.65"/>
    <s v=""/>
    <s v=""/>
    <n v="6999999"/>
    <x v="2"/>
    <n v="9104"/>
    <s v="N17009M000"/>
  </r>
  <r>
    <x v="1"/>
    <x v="1"/>
    <x v="2"/>
    <s v="@06@"/>
    <x v="0"/>
    <s v="Gerencia Requisitante"/>
    <x v="117"/>
    <s v="J102"/>
    <s v="BHB"/>
    <x v="1"/>
    <s v=""/>
    <x v="1"/>
    <x v="107"/>
    <x v="1"/>
    <d v="2025-10-25T00:00:00"/>
    <n v="44528.57"/>
    <d v="2025-08-22T00:00:00"/>
    <n v="5001231911"/>
    <x v="0"/>
    <n v="353670"/>
    <s v=""/>
    <d v="2025-12-12T00:00:00"/>
    <s v="SOUZAVI002"/>
    <m/>
    <m/>
    <m/>
    <n v="5001902858"/>
    <n v="2025"/>
    <n v="9004035274"/>
    <n v="2025"/>
    <n v="10421163"/>
    <x v="6"/>
    <s v="Vinicius Gomes De Souza"/>
    <x v="6"/>
    <n v="0"/>
    <s v=""/>
    <s v=""/>
    <n v="6000020"/>
    <x v="2"/>
    <n v="9013"/>
    <s v="N14702M002"/>
  </r>
  <r>
    <x v="5"/>
    <x v="1"/>
    <x v="2"/>
    <s v="@5B@"/>
    <x v="1"/>
    <s v="Requisitante"/>
    <x v="118"/>
    <s v="J102"/>
    <s v="BAC"/>
    <x v="1"/>
    <s v=""/>
    <x v="1"/>
    <x v="108"/>
    <x v="47"/>
    <d v="2026-01-19T00:00:00"/>
    <n v="7662.98"/>
    <d v="2025-11-07T00:00:00"/>
    <n v="5001649090"/>
    <x v="0"/>
    <n v="367113"/>
    <s v=""/>
    <m/>
    <s v=""/>
    <m/>
    <m/>
    <m/>
    <m/>
    <m/>
    <m/>
    <m/>
    <n v="0"/>
    <x v="2"/>
    <s v=""/>
    <x v="2"/>
    <n v="7662.98"/>
    <s v=""/>
    <s v=""/>
    <n v="6000031"/>
    <x v="1"/>
    <n v="9104"/>
    <s v="N14702M002"/>
  </r>
  <r>
    <x v="4"/>
    <x v="1"/>
    <x v="2"/>
    <s v="@06@"/>
    <x v="0"/>
    <s v="Gerencia Requisitante"/>
    <x v="119"/>
    <s v="J102"/>
    <s v="CMV"/>
    <x v="53"/>
    <s v=""/>
    <x v="53"/>
    <x v="109"/>
    <x v="10"/>
    <d v="2025-11-06T00:00:00"/>
    <n v="30000"/>
    <d v="2025-10-07T00:00:00"/>
    <n v="5001433289"/>
    <x v="0"/>
    <n v="361886"/>
    <s v=""/>
    <d v="2025-12-12T00:00:00"/>
    <s v="SOUZAVI002"/>
    <m/>
    <m/>
    <m/>
    <n v="5001902859"/>
    <n v="2025"/>
    <n v="9004035278"/>
    <n v="2025"/>
    <n v="10421165"/>
    <x v="10"/>
    <s v="Vinicius Gomes De Souza"/>
    <x v="9"/>
    <n v="0"/>
    <s v=""/>
    <s v=""/>
    <n v="6999999"/>
    <x v="1"/>
    <n v="9013"/>
    <s v="N14702M002"/>
  </r>
  <r>
    <x v="5"/>
    <x v="1"/>
    <x v="2"/>
    <s v="@5B@"/>
    <x v="1"/>
    <s v="Requisitante"/>
    <x v="120"/>
    <s v="J102"/>
    <s v="RP8"/>
    <x v="17"/>
    <s v=""/>
    <x v="17"/>
    <x v="110"/>
    <x v="48"/>
    <d v="2025-12-07T00:00:00"/>
    <n v="19150"/>
    <d v="2025-11-07T00:00:00"/>
    <n v="5001654425"/>
    <x v="0"/>
    <n v="367142"/>
    <s v=""/>
    <m/>
    <s v=""/>
    <m/>
    <m/>
    <m/>
    <m/>
    <m/>
    <m/>
    <m/>
    <n v="0"/>
    <x v="13"/>
    <s v=""/>
    <x v="12"/>
    <n v="19150"/>
    <s v=""/>
    <s v=""/>
    <n v="6999999"/>
    <x v="1"/>
    <n v="9117"/>
    <s v="N14702M002"/>
  </r>
  <r>
    <x v="5"/>
    <x v="7"/>
    <x v="5"/>
    <s v="@06@"/>
    <x v="0"/>
    <s v="Gerencia Requisitante"/>
    <x v="121"/>
    <s v="J102"/>
    <s v="GPI"/>
    <x v="5"/>
    <s v=""/>
    <x v="5"/>
    <x v="111"/>
    <x v="24"/>
    <d v="2026-01-16T00:00:00"/>
    <n v="265094.7"/>
    <d v="2025-11-25T00:00:00"/>
    <n v="5001785056"/>
    <x v="0"/>
    <n v="370038"/>
    <s v=""/>
    <d v="2025-11-27T00:00:00"/>
    <s v="PAULAJE001"/>
    <m/>
    <m/>
    <m/>
    <n v="5001800262"/>
    <n v="2025"/>
    <n v="9004028984"/>
    <n v="2025"/>
    <n v="10406649"/>
    <x v="35"/>
    <s v="Jeanderson Teixeira De Paula"/>
    <x v="2"/>
    <n v="0"/>
    <s v=""/>
    <s v=""/>
    <n v="6000031"/>
    <x v="8"/>
    <n v="9201"/>
    <s v="N142010000"/>
  </r>
  <r>
    <x v="4"/>
    <x v="1"/>
    <x v="2"/>
    <s v="@5B@"/>
    <x v="1"/>
    <s v="Requisitante"/>
    <x v="122"/>
    <s v="J102"/>
    <s v="RP8"/>
    <x v="1"/>
    <s v=""/>
    <x v="1"/>
    <x v="112"/>
    <x v="30"/>
    <d v="2026-01-03T00:00:00"/>
    <n v="12391.65"/>
    <d v="2025-10-20T00:00:00"/>
    <n v="5001503909"/>
    <x v="0"/>
    <n v="363726"/>
    <s v=""/>
    <m/>
    <s v=""/>
    <m/>
    <m/>
    <m/>
    <m/>
    <m/>
    <m/>
    <m/>
    <n v="0"/>
    <x v="2"/>
    <s v=""/>
    <x v="2"/>
    <n v="12391.65"/>
    <s v=""/>
    <s v=""/>
    <n v="6000031"/>
    <x v="1"/>
    <n v="9203"/>
    <s v="N14702M002"/>
  </r>
  <r>
    <x v="5"/>
    <x v="7"/>
    <x v="5"/>
    <s v="@5B@"/>
    <x v="1"/>
    <s v="Requisitante"/>
    <x v="123"/>
    <s v="J102"/>
    <s v="RP8"/>
    <x v="5"/>
    <s v=""/>
    <x v="5"/>
    <x v="113"/>
    <x v="24"/>
    <d v="2026-01-16T00:00:00"/>
    <n v="265094.7"/>
    <d v="2025-11-25T00:00:00"/>
    <n v="5001785058"/>
    <x v="0"/>
    <n v="370037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5"/>
    <x v="7"/>
    <x v="5"/>
    <s v="@5B@"/>
    <x v="1"/>
    <s v="Requisitante"/>
    <x v="124"/>
    <s v="J102"/>
    <s v="RP8"/>
    <x v="5"/>
    <s v=""/>
    <x v="5"/>
    <x v="113"/>
    <x v="24"/>
    <d v="2026-01-16T00:00:00"/>
    <n v="265094.7"/>
    <d v="2025-11-25T00:00:00"/>
    <n v="5001785059"/>
    <x v="0"/>
    <n v="370040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0"/>
    <x v="0"/>
    <s v="@5B@"/>
    <x v="1"/>
    <s v="Requisitante"/>
    <x v="125"/>
    <s v="J102"/>
    <s v="RP8"/>
    <x v="18"/>
    <s v=""/>
    <x v="18"/>
    <x v="32"/>
    <x v="25"/>
    <d v="2026-02-14T00:00:00"/>
    <n v="1665.22"/>
    <d v="2025-12-03T00:00:00"/>
    <n v="5001846353"/>
    <x v="0"/>
    <n v="371242"/>
    <s v=""/>
    <m/>
    <s v=""/>
    <m/>
    <m/>
    <m/>
    <m/>
    <m/>
    <m/>
    <m/>
    <n v="0"/>
    <x v="16"/>
    <s v=""/>
    <x v="2"/>
    <n v="1665.49"/>
    <s v=""/>
    <s v=""/>
    <n v="6999999"/>
    <x v="1"/>
    <n v="9000"/>
    <s v="N14311M002"/>
  </r>
  <r>
    <x v="6"/>
    <x v="1"/>
    <x v="2"/>
    <s v="@5B@"/>
    <x v="1"/>
    <s v="Requisitante"/>
    <x v="126"/>
    <s v="J102"/>
    <s v="RP8"/>
    <x v="59"/>
    <s v=""/>
    <x v="59"/>
    <x v="114"/>
    <x v="26"/>
    <d v="2025-12-14T00:00:00"/>
    <n v="25720"/>
    <d v="2025-12-04T00:00:00"/>
    <n v="5001853450"/>
    <x v="0"/>
    <n v="371519"/>
    <s v=""/>
    <m/>
    <s v=""/>
    <m/>
    <m/>
    <m/>
    <m/>
    <m/>
    <m/>
    <m/>
    <n v="0"/>
    <x v="30"/>
    <s v=""/>
    <x v="24"/>
    <n v="25720"/>
    <s v=""/>
    <s v=""/>
    <n v="6999999"/>
    <x v="1"/>
    <n v="9104"/>
    <s v="N14702M002"/>
  </r>
  <r>
    <x v="4"/>
    <x v="1"/>
    <x v="2"/>
    <s v="@5B@"/>
    <x v="1"/>
    <s v="Requisitante"/>
    <x v="127"/>
    <s v="J102"/>
    <s v="RP8"/>
    <x v="1"/>
    <s v=""/>
    <x v="1"/>
    <x v="115"/>
    <x v="30"/>
    <d v="2026-01-03T00:00:00"/>
    <n v="16166.12"/>
    <d v="2025-10-20T00:00:00"/>
    <n v="5001622266"/>
    <x v="0"/>
    <n v="363725"/>
    <s v=""/>
    <m/>
    <s v=""/>
    <m/>
    <m/>
    <m/>
    <m/>
    <m/>
    <m/>
    <m/>
    <n v="0"/>
    <x v="13"/>
    <s v=""/>
    <x v="12"/>
    <n v="16166.12"/>
    <s v=""/>
    <s v=""/>
    <n v="6000031"/>
    <x v="1"/>
    <n v="9013"/>
    <s v="N14702M002"/>
  </r>
  <r>
    <x v="5"/>
    <x v="2"/>
    <x v="3"/>
    <s v="@5B@"/>
    <x v="1"/>
    <s v="Requisitante"/>
    <x v="128"/>
    <s v="J102"/>
    <s v="BGA"/>
    <x v="32"/>
    <s v=""/>
    <x v="32"/>
    <x v="116"/>
    <x v="47"/>
    <d v="2026-01-04T00:00:00"/>
    <n v="18750"/>
    <d v="2025-11-06T00:00:00"/>
    <n v="5001639594"/>
    <x v="0"/>
    <n v="366712"/>
    <s v=""/>
    <m/>
    <s v=""/>
    <m/>
    <m/>
    <m/>
    <m/>
    <m/>
    <m/>
    <m/>
    <n v="0"/>
    <x v="24"/>
    <s v=""/>
    <x v="2"/>
    <n v="18750"/>
    <s v=""/>
    <s v=""/>
    <n v="6999999"/>
    <x v="5"/>
    <n v="4402"/>
    <s v="N13090H000"/>
  </r>
  <r>
    <x v="5"/>
    <x v="4"/>
    <x v="4"/>
    <s v="@06@"/>
    <x v="0"/>
    <s v="Gerencia Requisitante"/>
    <x v="129"/>
    <s v="J102"/>
    <s v="BPC"/>
    <x v="6"/>
    <s v=""/>
    <x v="6"/>
    <x v="117"/>
    <x v="49"/>
    <d v="2026-01-11T00:00:00"/>
    <n v="50000"/>
    <d v="2025-11-12T00:00:00"/>
    <n v="5001683583"/>
    <x v="0"/>
    <n v="367914"/>
    <s v=""/>
    <d v="2025-11-24T00:00:00"/>
    <s v="MATUIFL001"/>
    <m/>
    <m/>
    <m/>
    <n v="5001766178"/>
    <n v="2025"/>
    <n v="9004034638"/>
    <n v="2025"/>
    <n v="10419621"/>
    <x v="36"/>
    <s v="Flavio Matui"/>
    <x v="2"/>
    <n v="0"/>
    <s v=""/>
    <s v=""/>
    <n v="6999999"/>
    <x v="1"/>
    <m/>
    <s v="B230100000"/>
  </r>
  <r>
    <x v="5"/>
    <x v="0"/>
    <x v="0"/>
    <s v="@5B@"/>
    <x v="1"/>
    <s v="Requisitante"/>
    <x v="130"/>
    <s v="J102"/>
    <s v="RP8"/>
    <x v="30"/>
    <s v=""/>
    <x v="30"/>
    <x v="118"/>
    <x v="24"/>
    <d v="2026-02-15T00:00:00"/>
    <n v="169926.94"/>
    <d v="2025-11-17T00:00:00"/>
    <n v="5001714881"/>
    <x v="0"/>
    <n v="368576"/>
    <s v=""/>
    <m/>
    <s v=""/>
    <m/>
    <m/>
    <m/>
    <m/>
    <m/>
    <m/>
    <m/>
    <n v="0"/>
    <x v="11"/>
    <s v=""/>
    <x v="10"/>
    <n v="169926.98"/>
    <s v=""/>
    <s v=""/>
    <n v="6999999"/>
    <x v="1"/>
    <n v="9000"/>
    <s v="N14306M002"/>
  </r>
  <r>
    <x v="6"/>
    <x v="1"/>
    <x v="2"/>
    <s v="@5B@"/>
    <x v="1"/>
    <s v="Requisitante"/>
    <x v="131"/>
    <s v="J102"/>
    <s v="RP8"/>
    <x v="60"/>
    <s v=""/>
    <x v="60"/>
    <x v="119"/>
    <x v="34"/>
    <d v="2026-02-06T00:00:00"/>
    <n v="4725"/>
    <d v="2025-12-08T00:00:00"/>
    <n v="5001872366"/>
    <x v="0"/>
    <n v="372259"/>
    <s v=""/>
    <m/>
    <s v=""/>
    <m/>
    <m/>
    <m/>
    <m/>
    <m/>
    <m/>
    <m/>
    <n v="0"/>
    <x v="13"/>
    <s v=""/>
    <x v="12"/>
    <n v="4725"/>
    <s v=""/>
    <s v=""/>
    <n v="6999999"/>
    <x v="1"/>
    <n v="9204"/>
    <s v="N14702M002"/>
  </r>
  <r>
    <x v="4"/>
    <x v="1"/>
    <x v="2"/>
    <s v="@5B@"/>
    <x v="1"/>
    <s v="Requisitante"/>
    <x v="132"/>
    <s v="J102"/>
    <s v="RP8"/>
    <x v="2"/>
    <s v=""/>
    <x v="2"/>
    <x v="120"/>
    <x v="41"/>
    <d v="2026-01-06T00:00:00"/>
    <n v="15500"/>
    <d v="2025-10-08T00:00:00"/>
    <n v="5001440065"/>
    <x v="0"/>
    <n v="362117"/>
    <s v=""/>
    <m/>
    <s v=""/>
    <m/>
    <m/>
    <m/>
    <m/>
    <m/>
    <m/>
    <m/>
    <n v="0"/>
    <x v="30"/>
    <s v=""/>
    <x v="24"/>
    <n v="15500"/>
    <s v=""/>
    <s v=""/>
    <n v="6999999"/>
    <x v="1"/>
    <n v="9104"/>
    <s v="N14702M002"/>
  </r>
  <r>
    <x v="4"/>
    <x v="1"/>
    <x v="2"/>
    <s v="@5B@"/>
    <x v="1"/>
    <s v="Requisitante"/>
    <x v="133"/>
    <s v="J102"/>
    <s v="RP8"/>
    <x v="1"/>
    <s v=""/>
    <x v="1"/>
    <x v="121"/>
    <x v="50"/>
    <d v="2025-12-23T00:00:00"/>
    <n v="9415.08"/>
    <d v="2025-10-09T00:00:00"/>
    <n v="5001446256"/>
    <x v="0"/>
    <n v="362331"/>
    <s v=""/>
    <m/>
    <s v=""/>
    <m/>
    <m/>
    <m/>
    <m/>
    <m/>
    <m/>
    <m/>
    <n v="0"/>
    <x v="2"/>
    <s v=""/>
    <x v="2"/>
    <n v="9415.08"/>
    <s v=""/>
    <s v=""/>
    <n v="6000031"/>
    <x v="1"/>
    <n v="9203"/>
    <s v="N14702M002"/>
  </r>
  <r>
    <x v="5"/>
    <x v="11"/>
    <x v="6"/>
    <s v="@5B@"/>
    <x v="1"/>
    <s v="Requisitante"/>
    <x v="134"/>
    <s v="J102"/>
    <s v="RP8"/>
    <x v="43"/>
    <s v=""/>
    <x v="43"/>
    <x v="72"/>
    <x v="38"/>
    <d v="2026-01-12T00:00:00"/>
    <n v="3385.58"/>
    <d v="2025-11-13T00:00:00"/>
    <n v="5001691711"/>
    <x v="0"/>
    <n v="368123"/>
    <s v=""/>
    <m/>
    <s v=""/>
    <m/>
    <m/>
    <m/>
    <m/>
    <m/>
    <m/>
    <m/>
    <n v="0"/>
    <x v="11"/>
    <s v=""/>
    <x v="10"/>
    <n v="3385.58"/>
    <s v=""/>
    <s v=""/>
    <n v="6999999"/>
    <x v="1"/>
    <n v="9042"/>
    <s v="C170204973"/>
  </r>
  <r>
    <x v="6"/>
    <x v="2"/>
    <x v="3"/>
    <s v="@5B@"/>
    <x v="1"/>
    <s v="Requisitante"/>
    <x v="135"/>
    <s v="J102"/>
    <s v="BGA"/>
    <x v="3"/>
    <s v=""/>
    <x v="3"/>
    <x v="93"/>
    <x v="32"/>
    <d v="2026-02-10T00:00:00"/>
    <n v="892"/>
    <d v="2025-12-12T00:00:00"/>
    <n v="5001896437"/>
    <x v="0"/>
    <n v="373289"/>
    <s v=""/>
    <m/>
    <s v=""/>
    <m/>
    <m/>
    <m/>
    <m/>
    <m/>
    <m/>
    <m/>
    <n v="0"/>
    <x v="33"/>
    <s v=""/>
    <x v="26"/>
    <n v="892"/>
    <s v=""/>
    <s v=""/>
    <n v="6999999"/>
    <x v="5"/>
    <n v="4727"/>
    <s v="N14311H000"/>
  </r>
  <r>
    <x v="4"/>
    <x v="1"/>
    <x v="2"/>
    <s v="@5B@"/>
    <x v="1"/>
    <s v="Requisitante"/>
    <x v="136"/>
    <s v="J102"/>
    <s v="RP8"/>
    <x v="4"/>
    <s v=""/>
    <x v="4"/>
    <x v="122"/>
    <x v="42"/>
    <d v="2026-02-13T00:00:00"/>
    <n v="526.86"/>
    <d v="2025-10-17T00:00:00"/>
    <n v="5001622265"/>
    <x v="0"/>
    <n v="363483"/>
    <s v=""/>
    <m/>
    <s v=""/>
    <m/>
    <m/>
    <m/>
    <m/>
    <m/>
    <m/>
    <m/>
    <n v="0"/>
    <x v="13"/>
    <s v=""/>
    <x v="12"/>
    <n v="526.86"/>
    <s v=""/>
    <s v=""/>
    <n v="6000020"/>
    <x v="1"/>
    <n v="9117"/>
    <s v="N14702M002"/>
  </r>
  <r>
    <x v="5"/>
    <x v="1"/>
    <x v="2"/>
    <s v="@5B@"/>
    <x v="1"/>
    <s v="Requisitante"/>
    <x v="137"/>
    <s v="J102"/>
    <s v="RP8"/>
    <x v="1"/>
    <s v=""/>
    <x v="1"/>
    <x v="123"/>
    <x v="23"/>
    <d v="2026-02-07T00:00:00"/>
    <n v="7662.98"/>
    <d v="2025-11-24T00:00:00"/>
    <n v="5001772589"/>
    <x v="0"/>
    <n v="369760"/>
    <s v=""/>
    <m/>
    <s v=""/>
    <m/>
    <m/>
    <m/>
    <m/>
    <m/>
    <m/>
    <m/>
    <n v="0"/>
    <x v="13"/>
    <s v=""/>
    <x v="12"/>
    <n v="7662.98"/>
    <s v=""/>
    <s v=""/>
    <n v="6000031"/>
    <x v="1"/>
    <n v="9104"/>
    <s v="N14702M002"/>
  </r>
  <r>
    <x v="6"/>
    <x v="1"/>
    <x v="1"/>
    <s v="@5B@"/>
    <x v="1"/>
    <s v="Requisitante"/>
    <x v="138"/>
    <s v="J102"/>
    <s v="BHB"/>
    <x v="7"/>
    <s v=""/>
    <x v="7"/>
    <x v="8"/>
    <x v="34"/>
    <d v="2026-02-06T00:00:00"/>
    <n v="15000"/>
    <d v="2025-12-08T00:00:00"/>
    <n v="5001873339"/>
    <x v="0"/>
    <n v="372280"/>
    <s v=""/>
    <m/>
    <s v=""/>
    <m/>
    <m/>
    <m/>
    <m/>
    <m/>
    <m/>
    <m/>
    <n v="0"/>
    <x v="6"/>
    <s v=""/>
    <x v="6"/>
    <n v="15000"/>
    <s v=""/>
    <s v=""/>
    <n v="6999999"/>
    <x v="2"/>
    <n v="9018"/>
    <s v="N14702M277"/>
  </r>
  <r>
    <x v="6"/>
    <x v="4"/>
    <x v="4"/>
    <s v="@06@"/>
    <x v="0"/>
    <s v="Gerencia Requisitante"/>
    <x v="139"/>
    <s v="J102"/>
    <s v="BPC"/>
    <x v="61"/>
    <s v=""/>
    <x v="61"/>
    <x v="124"/>
    <x v="32"/>
    <d v="2026-03-12T00:00:00"/>
    <n v="41834.370000000003"/>
    <d v="2025-12-12T00:00:00"/>
    <n v="5001899689"/>
    <x v="0"/>
    <n v="373304"/>
    <s v=""/>
    <d v="2025-12-12T00:00:00"/>
    <s v="VALLAVI001"/>
    <m/>
    <m/>
    <m/>
    <n v="5001902945"/>
    <n v="2025"/>
    <n v="9004035166"/>
    <n v="2025"/>
    <n v="10421039"/>
    <x v="18"/>
    <s v="Viviane Valladares"/>
    <x v="16"/>
    <n v="0"/>
    <s v=""/>
    <s v=""/>
    <n v="6999999"/>
    <x v="1"/>
    <m/>
    <s v="B220100000"/>
  </r>
  <r>
    <x v="6"/>
    <x v="5"/>
    <x v="0"/>
    <s v="@5B@"/>
    <x v="1"/>
    <s v="Requisitante"/>
    <x v="140"/>
    <s v="J102"/>
    <s v="RP8"/>
    <x v="45"/>
    <s v=""/>
    <x v="45"/>
    <x v="79"/>
    <x v="29"/>
    <d v="2026-01-23T00:00:00"/>
    <n v="17056"/>
    <d v="2025-12-12T00:00:00"/>
    <n v="5001906167"/>
    <x v="0"/>
    <n v="373351"/>
    <s v=""/>
    <m/>
    <s v=""/>
    <m/>
    <m/>
    <m/>
    <m/>
    <m/>
    <m/>
    <m/>
    <n v="0"/>
    <x v="31"/>
    <s v=""/>
    <x v="25"/>
    <n v="17056"/>
    <s v=""/>
    <s v=""/>
    <n v="6999999"/>
    <x v="1"/>
    <n v="9000"/>
    <s v="N14202M177"/>
  </r>
  <r>
    <x v="1"/>
    <x v="1"/>
    <x v="2"/>
    <s v="@06@"/>
    <x v="0"/>
    <s v="Gerencia Requisitante"/>
    <x v="141"/>
    <s v="J102"/>
    <s v="RP8"/>
    <x v="9"/>
    <s v=""/>
    <x v="9"/>
    <x v="12"/>
    <x v="51"/>
    <d v="2025-10-11T00:00:00"/>
    <n v="5872"/>
    <d v="2025-08-12T00:00:00"/>
    <n v="5001201100"/>
    <x v="0"/>
    <n v="351744"/>
    <s v=""/>
    <d v="2025-12-12T00:00:00"/>
    <s v="SOUZAVI002"/>
    <m/>
    <m/>
    <m/>
    <n v="5001902853"/>
    <n v="2025"/>
    <n v="9004035273"/>
    <n v="2025"/>
    <n v="10421162"/>
    <x v="6"/>
    <s v="Vinicius Gomes De Souza"/>
    <x v="6"/>
    <n v="0"/>
    <s v=""/>
    <s v=""/>
    <n v="6999999"/>
    <x v="1"/>
    <n v="9013"/>
    <s v="N14702M002"/>
  </r>
  <r>
    <x v="6"/>
    <x v="5"/>
    <x v="0"/>
    <s v="@5B@"/>
    <x v="1"/>
    <s v="Requisitante"/>
    <x v="142"/>
    <s v="J102"/>
    <s v="RP8"/>
    <x v="62"/>
    <s v=""/>
    <x v="62"/>
    <x v="125"/>
    <x v="25"/>
    <d v="2026-01-15T00:00:00"/>
    <n v="126.96"/>
    <d v="2025-12-12T00:00:00"/>
    <n v="5001906168"/>
    <x v="0"/>
    <n v="373352"/>
    <s v=""/>
    <m/>
    <s v=""/>
    <m/>
    <m/>
    <m/>
    <m/>
    <m/>
    <m/>
    <m/>
    <n v="0"/>
    <x v="31"/>
    <s v=""/>
    <x v="25"/>
    <n v="126.96"/>
    <s v=""/>
    <s v=""/>
    <n v="6999999"/>
    <x v="1"/>
    <n v="9104"/>
    <s v="N14202M177"/>
  </r>
  <r>
    <x v="5"/>
    <x v="0"/>
    <x v="0"/>
    <s v="@5B@"/>
    <x v="1"/>
    <s v="Requisitante"/>
    <x v="143"/>
    <s v="J102"/>
    <s v="RP8"/>
    <x v="63"/>
    <s v=""/>
    <x v="63"/>
    <x v="126"/>
    <x v="49"/>
    <d v="2025-12-12T00:00:00"/>
    <n v="268512.96000000002"/>
    <d v="2025-11-12T00:00:00"/>
    <n v="5001683585"/>
    <x v="0"/>
    <n v="367911"/>
    <s v=""/>
    <m/>
    <s v=""/>
    <m/>
    <m/>
    <m/>
    <m/>
    <m/>
    <m/>
    <m/>
    <n v="0"/>
    <x v="10"/>
    <s v=""/>
    <x v="9"/>
    <n v="268512.96000000002"/>
    <s v=""/>
    <s v=""/>
    <n v="6999999"/>
    <x v="1"/>
    <n v="9000"/>
    <s v="N14311M002"/>
  </r>
  <r>
    <x v="6"/>
    <x v="2"/>
    <x v="3"/>
    <s v="@06@"/>
    <x v="0"/>
    <s v="Gerencia Requisitante"/>
    <x v="144"/>
    <s v="J102"/>
    <s v="BJD"/>
    <x v="64"/>
    <s v=""/>
    <x v="64"/>
    <x v="127"/>
    <x v="25"/>
    <d v="2026-03-01T00:00:00"/>
    <n v="211500"/>
    <d v="2025-12-11T00:00:00"/>
    <n v="5001894493"/>
    <x v="0"/>
    <n v="373088"/>
    <s v=""/>
    <d v="2025-12-11T00:00:00"/>
    <s v="VIETRLE001"/>
    <m/>
    <m/>
    <m/>
    <n v="5001896168"/>
    <n v="2025"/>
    <n v="9004034652"/>
    <n v="2025"/>
    <n v="10419630"/>
    <x v="37"/>
    <s v="LEANDRO DE VIETRO"/>
    <x v="2"/>
    <n v="0"/>
    <s v=""/>
    <s v=""/>
    <n v="6999999"/>
    <x v="9"/>
    <n v="8238"/>
    <s v="N14218S001"/>
  </r>
  <r>
    <x v="5"/>
    <x v="1"/>
    <x v="2"/>
    <s v="@5B@"/>
    <x v="1"/>
    <s v="Requisitante"/>
    <x v="145"/>
    <s v="J102"/>
    <s v="RP8"/>
    <x v="1"/>
    <s v=""/>
    <x v="1"/>
    <x v="128"/>
    <x v="23"/>
    <d v="2026-02-07T00:00:00"/>
    <n v="29965.59"/>
    <d v="2025-11-24T00:00:00"/>
    <n v="5001772783"/>
    <x v="0"/>
    <n v="369766"/>
    <s v=""/>
    <m/>
    <s v=""/>
    <m/>
    <m/>
    <m/>
    <m/>
    <m/>
    <m/>
    <m/>
    <n v="0"/>
    <x v="13"/>
    <s v=""/>
    <x v="12"/>
    <n v="29965.59"/>
    <s v=""/>
    <s v=""/>
    <n v="6000031"/>
    <x v="1"/>
    <n v="9203"/>
    <s v="N14702M002"/>
  </r>
  <r>
    <x v="5"/>
    <x v="7"/>
    <x v="5"/>
    <s v="@5B@"/>
    <x v="1"/>
    <s v="Requisitante"/>
    <x v="146"/>
    <s v="J102"/>
    <s v="RP8"/>
    <x v="1"/>
    <s v=""/>
    <x v="1"/>
    <x v="129"/>
    <x v="23"/>
    <d v="2026-02-22T00:00:00"/>
    <n v="123504.79"/>
    <d v="2025-11-24T00:00:00"/>
    <n v="5001772784"/>
    <x v="0"/>
    <n v="369767"/>
    <s v=""/>
    <m/>
    <s v=""/>
    <m/>
    <m/>
    <m/>
    <m/>
    <m/>
    <m/>
    <m/>
    <n v="0"/>
    <x v="13"/>
    <s v=""/>
    <x v="12"/>
    <n v="123504.79"/>
    <s v=""/>
    <s v=""/>
    <n v="6000031"/>
    <x v="1"/>
    <n v="9013"/>
    <s v="N142010000"/>
  </r>
  <r>
    <x v="6"/>
    <x v="13"/>
    <x v="0"/>
    <s v="@5B@"/>
    <x v="1"/>
    <s v="Requisitante"/>
    <x v="147"/>
    <s v="J102"/>
    <s v="BHB"/>
    <x v="65"/>
    <s v=""/>
    <x v="65"/>
    <x v="130"/>
    <x v="34"/>
    <d v="2026-01-05T00:00:00"/>
    <n v="9330"/>
    <d v="2025-12-08T00:00:00"/>
    <n v="5001872949"/>
    <x v="0"/>
    <n v="372303"/>
    <s v=""/>
    <m/>
    <s v=""/>
    <m/>
    <m/>
    <m/>
    <m/>
    <m/>
    <m/>
    <m/>
    <n v="0"/>
    <x v="29"/>
    <s v=""/>
    <x v="7"/>
    <n v="9330"/>
    <s v=""/>
    <s v=""/>
    <n v="6999999"/>
    <x v="2"/>
    <n v="2953"/>
    <s v="N14206M002"/>
  </r>
  <r>
    <x v="5"/>
    <x v="1"/>
    <x v="2"/>
    <s v="@5B@"/>
    <x v="1"/>
    <s v="Requisitante"/>
    <x v="148"/>
    <s v="J102"/>
    <s v="RP8"/>
    <x v="66"/>
    <s v=""/>
    <x v="66"/>
    <x v="131"/>
    <x v="52"/>
    <d v="2025-12-29T00:00:00"/>
    <n v="2319.6"/>
    <d v="2025-11-17T00:00:00"/>
    <n v="5001712348"/>
    <x v="0"/>
    <n v="368550"/>
    <s v=""/>
    <m/>
    <s v=""/>
    <m/>
    <m/>
    <m/>
    <m/>
    <m/>
    <m/>
    <m/>
    <n v="0"/>
    <x v="9"/>
    <s v=""/>
    <x v="8"/>
    <n v="2319.6"/>
    <s v=""/>
    <s v=""/>
    <n v="6999999"/>
    <x v="1"/>
    <n v="9117"/>
    <s v="N14702M002"/>
  </r>
  <r>
    <x v="5"/>
    <x v="0"/>
    <x v="0"/>
    <s v="@5B@"/>
    <x v="1"/>
    <s v="Requisitante"/>
    <x v="149"/>
    <s v="J102"/>
    <s v="RP8"/>
    <x v="18"/>
    <s v=""/>
    <x v="18"/>
    <x v="32"/>
    <x v="22"/>
    <d v="2026-01-17T00:00:00"/>
    <n v="872.01"/>
    <d v="2025-11-19T00:00:00"/>
    <n v="5001731728"/>
    <x v="0"/>
    <n v="368966"/>
    <s v=""/>
    <m/>
    <s v=""/>
    <m/>
    <m/>
    <m/>
    <m/>
    <m/>
    <m/>
    <m/>
    <n v="0"/>
    <x v="16"/>
    <s v=""/>
    <x v="2"/>
    <n v="872.01"/>
    <s v=""/>
    <s v=""/>
    <n v="6999999"/>
    <x v="1"/>
    <n v="9000"/>
    <s v="N14311M002"/>
  </r>
  <r>
    <x v="5"/>
    <x v="1"/>
    <x v="2"/>
    <s v="@5B@"/>
    <x v="1"/>
    <s v="Requisitante"/>
    <x v="150"/>
    <s v="J102"/>
    <s v="RP8"/>
    <x v="66"/>
    <s v=""/>
    <x v="66"/>
    <x v="132"/>
    <x v="52"/>
    <d v="2025-12-29T00:00:00"/>
    <n v="2232"/>
    <d v="2025-11-17T00:00:00"/>
    <n v="5001713650"/>
    <x v="0"/>
    <n v="368552"/>
    <s v=""/>
    <m/>
    <s v=""/>
    <m/>
    <m/>
    <m/>
    <m/>
    <m/>
    <m/>
    <m/>
    <n v="0"/>
    <x v="9"/>
    <s v=""/>
    <x v="8"/>
    <n v="2232"/>
    <s v=""/>
    <s v=""/>
    <n v="6999999"/>
    <x v="1"/>
    <n v="9117"/>
    <s v="N14702M002"/>
  </r>
  <r>
    <x v="5"/>
    <x v="2"/>
    <x v="3"/>
    <s v="@5B@"/>
    <x v="1"/>
    <s v="Requisitante"/>
    <x v="151"/>
    <s v="J102"/>
    <s v="RP8"/>
    <x v="57"/>
    <s v=""/>
    <x v="57"/>
    <x v="133"/>
    <x v="44"/>
    <d v="2025-12-04T00:00:00"/>
    <n v="790"/>
    <d v="2025-11-21T00:00:00"/>
    <n v="5001752544"/>
    <x v="0"/>
    <n v="369321"/>
    <s v=""/>
    <m/>
    <s v=""/>
    <m/>
    <m/>
    <m/>
    <m/>
    <m/>
    <m/>
    <m/>
    <n v="0"/>
    <x v="3"/>
    <s v=""/>
    <x v="3"/>
    <n v="790"/>
    <s v=""/>
    <s v=""/>
    <n v="6999999"/>
    <x v="1"/>
    <n v="4711"/>
    <s v="N14311H000"/>
  </r>
  <r>
    <x v="4"/>
    <x v="10"/>
    <x v="0"/>
    <s v="@5B@"/>
    <x v="1"/>
    <s v="Requisitante"/>
    <x v="152"/>
    <s v="J102"/>
    <s v="BHB"/>
    <x v="20"/>
    <s v=""/>
    <x v="20"/>
    <x v="76"/>
    <x v="21"/>
    <d v="2025-12-20T00:00:00"/>
    <n v="6200"/>
    <d v="2025-10-21T00:00:00"/>
    <n v="5001799921"/>
    <x v="0"/>
    <n v="364043"/>
    <s v=""/>
    <m/>
    <s v=""/>
    <m/>
    <m/>
    <m/>
    <m/>
    <m/>
    <m/>
    <m/>
    <n v="0"/>
    <x v="17"/>
    <s v=""/>
    <x v="15"/>
    <n v="6200"/>
    <s v=""/>
    <s v=""/>
    <n v="6999999"/>
    <x v="2"/>
    <n v="2952"/>
    <s v="N14205M000"/>
  </r>
  <r>
    <x v="4"/>
    <x v="0"/>
    <x v="0"/>
    <s v="@5B@"/>
    <x v="1"/>
    <s v="Requisitante"/>
    <x v="153"/>
    <s v="J102"/>
    <s v="RP8"/>
    <x v="18"/>
    <s v=""/>
    <x v="18"/>
    <x v="32"/>
    <x v="9"/>
    <d v="2025-12-15T00:00:00"/>
    <n v="1665.22"/>
    <d v="2025-10-24T00:00:00"/>
    <n v="5001546224"/>
    <x v="0"/>
    <n v="364754"/>
    <s v=""/>
    <m/>
    <s v=""/>
    <m/>
    <m/>
    <m/>
    <m/>
    <m/>
    <m/>
    <m/>
    <n v="0"/>
    <x v="16"/>
    <s v=""/>
    <x v="2"/>
    <n v="1665.49"/>
    <s v=""/>
    <s v=""/>
    <n v="6999999"/>
    <x v="1"/>
    <n v="9000"/>
    <s v="N14311M002"/>
  </r>
  <r>
    <x v="4"/>
    <x v="0"/>
    <x v="0"/>
    <s v="@5B@"/>
    <x v="1"/>
    <s v="Requisitante"/>
    <x v="154"/>
    <s v="J102"/>
    <s v="RP8"/>
    <x v="18"/>
    <s v=""/>
    <x v="18"/>
    <x v="32"/>
    <x v="9"/>
    <d v="2025-12-15T00:00:00"/>
    <n v="111.89"/>
    <d v="2025-10-24T00:00:00"/>
    <n v="5001546225"/>
    <x v="0"/>
    <n v="364756"/>
    <s v=""/>
    <m/>
    <s v=""/>
    <m/>
    <m/>
    <m/>
    <m/>
    <m/>
    <m/>
    <m/>
    <n v="0"/>
    <x v="16"/>
    <s v=""/>
    <x v="2"/>
    <n v="111.84"/>
    <s v=""/>
    <s v=""/>
    <n v="6999999"/>
    <x v="1"/>
    <n v="9000"/>
    <s v="N14311M002"/>
  </r>
  <r>
    <x v="5"/>
    <x v="1"/>
    <x v="2"/>
    <s v="@5B@"/>
    <x v="1"/>
    <s v="Requisitante"/>
    <x v="155"/>
    <s v="J102"/>
    <s v="RP8"/>
    <x v="19"/>
    <s v=""/>
    <x v="19"/>
    <x v="134"/>
    <x v="46"/>
    <d v="2026-01-18T00:00:00"/>
    <n v="13992"/>
    <d v="2025-11-19T00:00:00"/>
    <n v="5001739100"/>
    <x v="0"/>
    <n v="369000"/>
    <s v=""/>
    <m/>
    <s v=""/>
    <m/>
    <m/>
    <m/>
    <m/>
    <m/>
    <m/>
    <m/>
    <n v="0"/>
    <x v="13"/>
    <s v=""/>
    <x v="12"/>
    <n v="13992"/>
    <s v=""/>
    <s v=""/>
    <n v="6999999"/>
    <x v="1"/>
    <n v="9201"/>
    <s v="N14702M002"/>
  </r>
  <r>
    <x v="5"/>
    <x v="7"/>
    <x v="5"/>
    <s v="@5B@"/>
    <x v="1"/>
    <s v="Requisitante"/>
    <x v="156"/>
    <s v="J102"/>
    <s v="RP8"/>
    <x v="5"/>
    <s v=""/>
    <x v="5"/>
    <x v="113"/>
    <x v="24"/>
    <d v="2026-01-16T00:00:00"/>
    <n v="265094.7"/>
    <d v="2025-11-25T00:00:00"/>
    <n v="5001785057"/>
    <x v="0"/>
    <n v="370036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2"/>
    <x v="3"/>
    <s v="@5B@"/>
    <x v="1"/>
    <s v="Requisitante"/>
    <x v="157"/>
    <s v="J102"/>
    <s v="BHB"/>
    <x v="58"/>
    <s v=""/>
    <x v="58"/>
    <x v="135"/>
    <x v="29"/>
    <d v="2026-01-08T00:00:00"/>
    <n v="3332.94"/>
    <d v="2025-12-09T00:00:00"/>
    <n v="5001878544"/>
    <x v="0"/>
    <n v="372559"/>
    <s v=""/>
    <m/>
    <s v=""/>
    <m/>
    <m/>
    <m/>
    <m/>
    <m/>
    <m/>
    <m/>
    <n v="0"/>
    <x v="6"/>
    <s v=""/>
    <x v="6"/>
    <n v="3332.94"/>
    <s v=""/>
    <s v=""/>
    <n v="6999999"/>
    <x v="2"/>
    <n v="8240"/>
    <s v="N14218S000"/>
  </r>
  <r>
    <x v="6"/>
    <x v="2"/>
    <x v="3"/>
    <s v="@5B@"/>
    <x v="1"/>
    <s v="Requisitante"/>
    <x v="158"/>
    <s v="J102"/>
    <s v="BGA"/>
    <x v="13"/>
    <s v=""/>
    <x v="13"/>
    <x v="136"/>
    <x v="29"/>
    <d v="2026-01-23T00:00:00"/>
    <n v="2489.9699999999998"/>
    <d v="2025-12-09T00:00:00"/>
    <n v="5001879983"/>
    <x v="0"/>
    <n v="372574"/>
    <s v=""/>
    <m/>
    <s v=""/>
    <m/>
    <m/>
    <m/>
    <m/>
    <m/>
    <m/>
    <m/>
    <n v="0"/>
    <x v="38"/>
    <s v=""/>
    <x v="27"/>
    <n v="2489.9699999999998"/>
    <s v=""/>
    <s v=""/>
    <n v="6000009"/>
    <x v="5"/>
    <n v="4726"/>
    <s v="N14705H000"/>
  </r>
  <r>
    <x v="6"/>
    <x v="5"/>
    <x v="0"/>
    <s v="@5B@"/>
    <x v="1"/>
    <s v="Requisitante"/>
    <x v="159"/>
    <s v="J102"/>
    <s v="BHB"/>
    <x v="67"/>
    <s v=""/>
    <x v="67"/>
    <x v="137"/>
    <x v="32"/>
    <d v="2026-01-11T00:00:00"/>
    <n v="12410.63"/>
    <d v="2025-12-12T00:00:00"/>
    <n v="5001906052"/>
    <x v="0"/>
    <n v="373341"/>
    <s v=""/>
    <m/>
    <s v=""/>
    <m/>
    <m/>
    <m/>
    <m/>
    <m/>
    <m/>
    <m/>
    <n v="0"/>
    <x v="39"/>
    <s v=""/>
    <x v="28"/>
    <n v="12410.63"/>
    <s v=""/>
    <s v=""/>
    <n v="6999999"/>
    <x v="2"/>
    <n v="9035"/>
    <s v="N14219M000"/>
  </r>
  <r>
    <x v="1"/>
    <x v="1"/>
    <x v="2"/>
    <s v="@06@"/>
    <x v="0"/>
    <s v="Gerencia Requisitante"/>
    <x v="160"/>
    <s v="J102"/>
    <s v="RP8"/>
    <x v="9"/>
    <s v=""/>
    <x v="9"/>
    <x v="12"/>
    <x v="1"/>
    <d v="2025-10-10T00:00:00"/>
    <n v="5191.5"/>
    <d v="2025-08-11T00:00:00"/>
    <n v="5001197539"/>
    <x v="0"/>
    <n v="351643"/>
    <s v=""/>
    <d v="2025-12-12T00:00:00"/>
    <s v="SOUZAVI002"/>
    <m/>
    <m/>
    <m/>
    <n v="5001902856"/>
    <n v="2025"/>
    <n v="9004035270"/>
    <n v="2025"/>
    <n v="10421159"/>
    <x v="6"/>
    <s v="Vinicius Gomes De Souza"/>
    <x v="6"/>
    <n v="0"/>
    <s v=""/>
    <s v=""/>
    <n v="6999999"/>
    <x v="1"/>
    <n v="9013"/>
    <s v="N14702M002"/>
  </r>
  <r>
    <x v="4"/>
    <x v="5"/>
    <x v="0"/>
    <s v="@5B@"/>
    <x v="1"/>
    <s v="Requisitante"/>
    <x v="161"/>
    <s v="J102"/>
    <s v="BHB"/>
    <x v="68"/>
    <s v=""/>
    <x v="68"/>
    <x v="138"/>
    <x v="30"/>
    <d v="2025-10-20T00:00:00"/>
    <n v="50000.9"/>
    <d v="2025-10-20T00:00:00"/>
    <n v="5001799920"/>
    <x v="0"/>
    <n v="363734"/>
    <s v=""/>
    <m/>
    <s v=""/>
    <m/>
    <m/>
    <m/>
    <m/>
    <m/>
    <m/>
    <m/>
    <n v="0"/>
    <x v="17"/>
    <s v=""/>
    <x v="15"/>
    <n v="50000.9"/>
    <s v=""/>
    <s v=""/>
    <n v="6999999"/>
    <x v="2"/>
    <n v="2952"/>
    <s v="N14219M000"/>
  </r>
  <r>
    <x v="4"/>
    <x v="1"/>
    <x v="2"/>
    <s v="@5B@"/>
    <x v="1"/>
    <s v="Requisitante"/>
    <x v="162"/>
    <s v="J102"/>
    <s v="RP8"/>
    <x v="7"/>
    <s v=""/>
    <x v="7"/>
    <x v="139"/>
    <x v="30"/>
    <d v="2025-12-19T00:00:00"/>
    <n v="10050"/>
    <d v="2025-10-20T00:00:00"/>
    <n v="5001508593"/>
    <x v="0"/>
    <n v="363743"/>
    <s v=""/>
    <m/>
    <s v=""/>
    <m/>
    <m/>
    <m/>
    <m/>
    <m/>
    <m/>
    <m/>
    <n v="0"/>
    <x v="6"/>
    <s v=""/>
    <x v="6"/>
    <n v="10050"/>
    <s v=""/>
    <s v=""/>
    <n v="6999999"/>
    <x v="1"/>
    <n v="9203"/>
    <s v="N14702M002"/>
  </r>
  <r>
    <x v="5"/>
    <x v="1"/>
    <x v="2"/>
    <s v="@5B@"/>
    <x v="1"/>
    <s v="Requisitante"/>
    <x v="163"/>
    <s v="J102"/>
    <s v="CMV"/>
    <x v="69"/>
    <s v=""/>
    <x v="69"/>
    <x v="140"/>
    <x v="38"/>
    <d v="2026-01-12T00:00:00"/>
    <n v="3400"/>
    <d v="2025-11-14T00:00:00"/>
    <n v="5001698399"/>
    <x v="0"/>
    <n v="368363"/>
    <s v=""/>
    <m/>
    <s v=""/>
    <m/>
    <m/>
    <m/>
    <m/>
    <m/>
    <m/>
    <m/>
    <n v="0"/>
    <x v="7"/>
    <s v=""/>
    <x v="2"/>
    <n v="3400"/>
    <s v=""/>
    <s v=""/>
    <n v="6999999"/>
    <x v="1"/>
    <n v="9203"/>
    <s v="N14702M002"/>
  </r>
  <r>
    <x v="5"/>
    <x v="3"/>
    <x v="0"/>
    <s v="@5B@"/>
    <x v="1"/>
    <s v="Requisitante"/>
    <x v="164"/>
    <s v="J102"/>
    <s v="RP8"/>
    <x v="70"/>
    <s v=""/>
    <x v="70"/>
    <x v="141"/>
    <x v="53"/>
    <d v="2026-01-17T00:00:00"/>
    <n v="403712.61"/>
    <d v="2025-11-18T00:00:00"/>
    <n v="5001729011"/>
    <x v="0"/>
    <n v="368733"/>
    <s v=""/>
    <m/>
    <s v=""/>
    <m/>
    <m/>
    <m/>
    <m/>
    <m/>
    <m/>
    <m/>
    <n v="0"/>
    <x v="4"/>
    <s v=""/>
    <x v="4"/>
    <n v="403712.61"/>
    <s v=""/>
    <s v=""/>
    <n v="6000001"/>
    <x v="1"/>
    <n v="9000"/>
    <s v="N14201M077"/>
  </r>
  <r>
    <x v="5"/>
    <x v="7"/>
    <x v="5"/>
    <s v="@06@"/>
    <x v="0"/>
    <s v="Gerencia Requisitante"/>
    <x v="165"/>
    <s v="J102"/>
    <s v="GPI"/>
    <x v="5"/>
    <s v=""/>
    <x v="5"/>
    <x v="142"/>
    <x v="24"/>
    <d v="2026-01-16T00:00:00"/>
    <n v="265094.7"/>
    <d v="2025-11-25T00:00:00"/>
    <n v="5001786160"/>
    <x v="0"/>
    <n v="370039"/>
    <s v=""/>
    <d v="2025-11-27T00:00:00"/>
    <s v="PAULAJE001"/>
    <m/>
    <m/>
    <m/>
    <n v="5001800263"/>
    <n v="2025"/>
    <n v="9004028983"/>
    <n v="2025"/>
    <n v="10406648"/>
    <x v="35"/>
    <s v="Jeanderson Teixeira De Paula"/>
    <x v="2"/>
    <n v="0"/>
    <s v=""/>
    <s v=""/>
    <n v="6000031"/>
    <x v="8"/>
    <n v="9201"/>
    <s v="N142010000"/>
  </r>
  <r>
    <x v="5"/>
    <x v="7"/>
    <x v="5"/>
    <s v="@5B@"/>
    <x v="1"/>
    <s v="Requisitante"/>
    <x v="166"/>
    <s v="J102"/>
    <s v="RP8"/>
    <x v="5"/>
    <s v=""/>
    <x v="5"/>
    <x v="113"/>
    <x v="24"/>
    <d v="2026-01-16T00:00:00"/>
    <n v="265094.7"/>
    <d v="2025-11-25T00:00:00"/>
    <n v="5001786161"/>
    <x v="0"/>
    <n v="370041"/>
    <s v=""/>
    <m/>
    <s v=""/>
    <m/>
    <m/>
    <m/>
    <m/>
    <m/>
    <m/>
    <m/>
    <n v="0"/>
    <x v="4"/>
    <s v=""/>
    <x v="4"/>
    <n v="265094.7"/>
    <s v=""/>
    <s v=""/>
    <n v="6000031"/>
    <x v="1"/>
    <n v="9201"/>
    <s v="N142010000"/>
  </r>
  <r>
    <x v="6"/>
    <x v="4"/>
    <x v="4"/>
    <s v="@06@"/>
    <x v="0"/>
    <s v="Gerencia Requisitante"/>
    <x v="167"/>
    <s v="J102"/>
    <s v="BPC"/>
    <x v="24"/>
    <s v=""/>
    <x v="24"/>
    <x v="143"/>
    <x v="26"/>
    <d v="2026-02-02T00:00:00"/>
    <n v="12320"/>
    <d v="2025-12-04T00:00:00"/>
    <n v="5001857889"/>
    <x v="0"/>
    <n v="371616"/>
    <s v=""/>
    <d v="2025-12-05T00:00:00"/>
    <s v="ST2OLIVEJO"/>
    <m/>
    <m/>
    <m/>
    <n v="5001862272"/>
    <n v="2025"/>
    <n v="9004034650"/>
    <n v="2025"/>
    <n v="10419629"/>
    <x v="21"/>
    <s v="Joao Victor De Oliveira"/>
    <x v="2"/>
    <n v="0"/>
    <s v=""/>
    <s v=""/>
    <n v="6999999"/>
    <x v="1"/>
    <m/>
    <s v="B230100000"/>
  </r>
  <r>
    <x v="1"/>
    <x v="0"/>
    <x v="0"/>
    <s v="@5B@"/>
    <x v="1"/>
    <s v="Requisitante"/>
    <x v="168"/>
    <s v="J102"/>
    <s v="BAC"/>
    <x v="30"/>
    <s v=""/>
    <x v="30"/>
    <x v="144"/>
    <x v="54"/>
    <d v="2025-11-13T00:00:00"/>
    <n v="8822.6299999999992"/>
    <d v="2025-10-20T00:00:00"/>
    <n v="5001502909"/>
    <x v="0"/>
    <n v="363708"/>
    <s v=""/>
    <m/>
    <s v=""/>
    <m/>
    <m/>
    <m/>
    <m/>
    <m/>
    <m/>
    <m/>
    <n v="0"/>
    <x v="2"/>
    <s v=""/>
    <x v="2"/>
    <n v="8822.6299999999992"/>
    <s v=""/>
    <s v="Outros"/>
    <n v="6999999"/>
    <x v="1"/>
    <n v="9000"/>
    <s v="N14311M002"/>
  </r>
  <r>
    <x v="4"/>
    <x v="10"/>
    <x v="0"/>
    <s v="@5B@"/>
    <x v="1"/>
    <s v="Requisitante"/>
    <x v="169"/>
    <s v="J102"/>
    <s v="BHB"/>
    <x v="20"/>
    <s v=""/>
    <x v="20"/>
    <x v="76"/>
    <x v="21"/>
    <d v="2025-12-20T00:00:00"/>
    <n v="8400"/>
    <d v="2025-10-21T00:00:00"/>
    <n v="5001799922"/>
    <x v="0"/>
    <n v="364052"/>
    <s v=""/>
    <m/>
    <s v=""/>
    <m/>
    <m/>
    <m/>
    <m/>
    <m/>
    <m/>
    <m/>
    <n v="0"/>
    <x v="17"/>
    <s v=""/>
    <x v="15"/>
    <n v="8400"/>
    <s v=""/>
    <s v=""/>
    <n v="6999999"/>
    <x v="2"/>
    <n v="2952"/>
    <s v="N14205M000"/>
  </r>
  <r>
    <x v="5"/>
    <x v="0"/>
    <x v="0"/>
    <s v="@5B@"/>
    <x v="1"/>
    <s v="Requisitante"/>
    <x v="170"/>
    <s v="J102"/>
    <s v="RP8"/>
    <x v="30"/>
    <s v=""/>
    <x v="30"/>
    <x v="145"/>
    <x v="39"/>
    <d v="2026-02-13T00:00:00"/>
    <n v="27903.39"/>
    <d v="2025-11-17T00:00:00"/>
    <n v="5001714369"/>
    <x v="0"/>
    <n v="368574"/>
    <s v=""/>
    <m/>
    <s v=""/>
    <m/>
    <m/>
    <m/>
    <m/>
    <m/>
    <m/>
    <m/>
    <n v="0"/>
    <x v="11"/>
    <s v=""/>
    <x v="10"/>
    <n v="27903.39"/>
    <s v=""/>
    <s v=""/>
    <n v="6999999"/>
    <x v="1"/>
    <n v="9000"/>
    <s v="N14306M002"/>
  </r>
  <r>
    <x v="4"/>
    <x v="1"/>
    <x v="2"/>
    <s v="@5B@"/>
    <x v="1"/>
    <s v="Requisitante"/>
    <x v="171"/>
    <s v="J102"/>
    <s v="RP8"/>
    <x v="71"/>
    <s v=""/>
    <x v="71"/>
    <x v="146"/>
    <x v="55"/>
    <d v="2025-12-22T00:00:00"/>
    <n v="5846.5"/>
    <d v="2025-10-23T00:00:00"/>
    <n v="5001537161"/>
    <x v="0"/>
    <n v="364456"/>
    <s v=""/>
    <m/>
    <s v=""/>
    <m/>
    <m/>
    <m/>
    <m/>
    <m/>
    <m/>
    <m/>
    <n v="0"/>
    <x v="2"/>
    <s v=""/>
    <x v="2"/>
    <n v="5846.5"/>
    <s v=""/>
    <s v=""/>
    <n v="6999999"/>
    <x v="1"/>
    <n v="9013"/>
    <s v="N14702M002"/>
  </r>
  <r>
    <x v="5"/>
    <x v="0"/>
    <x v="0"/>
    <s v="@5B@"/>
    <x v="1"/>
    <s v="Requisitante"/>
    <x v="172"/>
    <s v="J102"/>
    <s v="RP8"/>
    <x v="57"/>
    <s v=""/>
    <x v="57"/>
    <x v="147"/>
    <x v="45"/>
    <d v="2025-12-08T00:00:00"/>
    <n v="790"/>
    <d v="2025-11-21T00:00:00"/>
    <n v="5001752546"/>
    <x v="0"/>
    <n v="369324"/>
    <s v=""/>
    <m/>
    <s v=""/>
    <m/>
    <m/>
    <m/>
    <m/>
    <m/>
    <m/>
    <m/>
    <n v="0"/>
    <x v="3"/>
    <s v=""/>
    <x v="3"/>
    <n v="790"/>
    <s v=""/>
    <s v=""/>
    <n v="6999999"/>
    <x v="1"/>
    <n v="9530"/>
    <s v="N14311M002"/>
  </r>
  <r>
    <x v="5"/>
    <x v="0"/>
    <x v="0"/>
    <s v="@5B@"/>
    <x v="1"/>
    <s v="Requisitante"/>
    <x v="173"/>
    <s v="J102"/>
    <s v="RP8"/>
    <x v="25"/>
    <s v=""/>
    <x v="25"/>
    <x v="148"/>
    <x v="45"/>
    <d v="2025-12-10T00:00:00"/>
    <n v="5700"/>
    <d v="2025-11-10T00:00:00"/>
    <n v="5001668161"/>
    <x v="0"/>
    <n v="367551"/>
    <s v=""/>
    <m/>
    <s v=""/>
    <m/>
    <m/>
    <m/>
    <m/>
    <m/>
    <m/>
    <m/>
    <n v="0"/>
    <x v="11"/>
    <s v=""/>
    <x v="10"/>
    <n v="5700"/>
    <s v=""/>
    <s v=""/>
    <n v="6999999"/>
    <x v="1"/>
    <n v="9022"/>
    <s v="N14311M002"/>
  </r>
  <r>
    <x v="5"/>
    <x v="1"/>
    <x v="2"/>
    <s v="@5B@"/>
    <x v="1"/>
    <s v="Requisitante"/>
    <x v="174"/>
    <s v="J102"/>
    <s v="RP8"/>
    <x v="24"/>
    <s v=""/>
    <x v="24"/>
    <x v="149"/>
    <x v="40"/>
    <d v="2026-01-19T00:00:00"/>
    <n v="17975.96"/>
    <d v="2025-11-20T00:00:00"/>
    <n v="5001743632"/>
    <x v="0"/>
    <n v="369230"/>
    <s v=""/>
    <m/>
    <s v=""/>
    <m/>
    <m/>
    <m/>
    <m/>
    <m/>
    <m/>
    <m/>
    <n v="0"/>
    <x v="13"/>
    <s v=""/>
    <x v="12"/>
    <n v="17975.96"/>
    <s v=""/>
    <s v=""/>
    <n v="6999999"/>
    <x v="1"/>
    <n v="9203"/>
    <s v="N14702M002"/>
  </r>
  <r>
    <x v="6"/>
    <x v="15"/>
    <x v="8"/>
    <s v="@06@"/>
    <x v="0"/>
    <s v="Gerencia Requisitante"/>
    <x v="175"/>
    <s v="J102"/>
    <s v="RP8"/>
    <x v="72"/>
    <s v=""/>
    <x v="72"/>
    <x v="150"/>
    <x v="34"/>
    <d v="2025-12-22T00:00:00"/>
    <n v="131600"/>
    <d v="2025-12-08T00:00:00"/>
    <n v="5001874541"/>
    <x v="0"/>
    <n v="372319"/>
    <s v=""/>
    <d v="2025-12-13T00:00:00"/>
    <s v="AMORIMA001"/>
    <m/>
    <m/>
    <m/>
    <n v="5001906018"/>
    <n v="2025"/>
    <n v="9004035467"/>
    <n v="2025"/>
    <n v="10421397"/>
    <x v="15"/>
    <s v="Marcelo Jonathan De Amorim"/>
    <x v="14"/>
    <n v="0"/>
    <s v=""/>
    <s v=""/>
    <n v="6000011"/>
    <x v="1"/>
    <n v="9104"/>
    <s v="N13050M000"/>
  </r>
  <r>
    <x v="6"/>
    <x v="2"/>
    <x v="3"/>
    <s v="@06@"/>
    <x v="0"/>
    <s v="Gerencia Requisitante"/>
    <x v="176"/>
    <s v="J102"/>
    <s v="BJD"/>
    <x v="73"/>
    <s v=""/>
    <x v="73"/>
    <x v="151"/>
    <x v="28"/>
    <d v="2026-04-10T00:00:00"/>
    <n v="18200"/>
    <d v="2025-12-11T00:00:00"/>
    <n v="5001894811"/>
    <x v="0"/>
    <n v="373071"/>
    <s v=""/>
    <d v="2025-12-11T00:00:00"/>
    <s v="VIETRLE001"/>
    <m/>
    <m/>
    <m/>
    <n v="5001896169"/>
    <n v="2025"/>
    <n v="9004034653"/>
    <n v="2025"/>
    <n v="10419631"/>
    <x v="40"/>
    <s v="LEANDRO DE VIETRO"/>
    <x v="29"/>
    <n v="0"/>
    <s v=""/>
    <s v=""/>
    <n v="6999999"/>
    <x v="9"/>
    <n v="8210"/>
    <s v="N14219S000"/>
  </r>
  <r>
    <x v="4"/>
    <x v="8"/>
    <x v="0"/>
    <s v="@5B@"/>
    <x v="1"/>
    <s v="Requisitante"/>
    <x v="177"/>
    <s v="J102"/>
    <s v="RP8"/>
    <x v="11"/>
    <s v=""/>
    <x v="11"/>
    <x v="152"/>
    <x v="56"/>
    <d v="2025-11-27T00:00:00"/>
    <n v="2200"/>
    <d v="2025-10-13T00:00:00"/>
    <n v="5001459644"/>
    <x v="0"/>
    <n v="362763"/>
    <s v=""/>
    <m/>
    <s v=""/>
    <m/>
    <m/>
    <m/>
    <m/>
    <m/>
    <m/>
    <m/>
    <n v="0"/>
    <x v="9"/>
    <s v=""/>
    <x v="8"/>
    <n v="2200"/>
    <s v=""/>
    <s v=""/>
    <n v="6999999"/>
    <x v="1"/>
    <n v="9000"/>
    <s v="N14911M001"/>
  </r>
  <r>
    <x v="4"/>
    <x v="1"/>
    <x v="2"/>
    <s v="@5B@"/>
    <x v="1"/>
    <s v="Requisitante"/>
    <x v="178"/>
    <s v="J102"/>
    <s v="CMV"/>
    <x v="7"/>
    <s v=""/>
    <x v="7"/>
    <x v="153"/>
    <x v="30"/>
    <d v="2025-12-19T00:00:00"/>
    <n v="7257"/>
    <d v="2025-10-20T00:00:00"/>
    <n v="5001508682"/>
    <x v="0"/>
    <n v="363749"/>
    <s v=""/>
    <m/>
    <s v=""/>
    <m/>
    <m/>
    <m/>
    <m/>
    <m/>
    <m/>
    <m/>
    <n v="0"/>
    <x v="41"/>
    <s v=""/>
    <x v="30"/>
    <n v="7257"/>
    <s v=""/>
    <s v=""/>
    <n v="6999999"/>
    <x v="1"/>
    <n v="9203"/>
    <s v="N14702M002"/>
  </r>
  <r>
    <x v="5"/>
    <x v="1"/>
    <x v="2"/>
    <s v="@5B@"/>
    <x v="1"/>
    <s v="Requisitante"/>
    <x v="179"/>
    <s v="J102"/>
    <s v="RP8"/>
    <x v="1"/>
    <s v=""/>
    <x v="1"/>
    <x v="154"/>
    <x v="23"/>
    <d v="2026-02-07T00:00:00"/>
    <n v="16166.12"/>
    <d v="2025-11-24T00:00:00"/>
    <n v="5001772787"/>
    <x v="0"/>
    <n v="369762"/>
    <s v=""/>
    <m/>
    <s v=""/>
    <m/>
    <m/>
    <m/>
    <m/>
    <m/>
    <m/>
    <m/>
    <n v="0"/>
    <x v="13"/>
    <s v=""/>
    <x v="12"/>
    <n v="16166.12"/>
    <s v=""/>
    <s v=""/>
    <n v="6000031"/>
    <x v="1"/>
    <n v="9013"/>
    <s v="N14702M002"/>
  </r>
  <r>
    <x v="6"/>
    <x v="4"/>
    <x v="4"/>
    <s v="@5B@"/>
    <x v="1"/>
    <s v="Requisitante"/>
    <x v="180"/>
    <s v="J102"/>
    <s v="BPC"/>
    <x v="6"/>
    <s v=""/>
    <x v="6"/>
    <x v="155"/>
    <x v="26"/>
    <d v="2026-02-02T00:00:00"/>
    <n v="28600"/>
    <d v="2025-12-04T00:00:00"/>
    <n v="5001858096"/>
    <x v="0"/>
    <n v="371593"/>
    <s v=""/>
    <m/>
    <s v=""/>
    <m/>
    <m/>
    <m/>
    <m/>
    <m/>
    <m/>
    <m/>
    <n v="0"/>
    <x v="26"/>
    <s v=""/>
    <x v="21"/>
    <n v="28600"/>
    <s v=""/>
    <s v=""/>
    <n v="6999999"/>
    <x v="1"/>
    <m/>
    <s v="B230100000"/>
  </r>
  <r>
    <x v="5"/>
    <x v="0"/>
    <x v="0"/>
    <s v="@5B@"/>
    <x v="1"/>
    <s v="Requisitante"/>
    <x v="181"/>
    <s v="J102"/>
    <s v="RP8"/>
    <x v="74"/>
    <s v=""/>
    <x v="74"/>
    <x v="156"/>
    <x v="24"/>
    <d v="2025-12-17T00:00:00"/>
    <n v="13439.08"/>
    <d v="2025-11-17T00:00:00"/>
    <n v="5001719947"/>
    <x v="0"/>
    <n v="368593"/>
    <s v=""/>
    <m/>
    <s v=""/>
    <m/>
    <m/>
    <m/>
    <m/>
    <m/>
    <m/>
    <m/>
    <n v="0"/>
    <x v="10"/>
    <s v=""/>
    <x v="9"/>
    <n v="13439.08"/>
    <s v=""/>
    <s v=""/>
    <n v="6999999"/>
    <x v="1"/>
    <n v="9000"/>
    <s v="N14311M002"/>
  </r>
  <r>
    <x v="5"/>
    <x v="7"/>
    <x v="5"/>
    <s v="@5B@"/>
    <x v="1"/>
    <s v="Requisitante"/>
    <x v="182"/>
    <s v="J102"/>
    <s v="BGB"/>
    <x v="5"/>
    <s v=""/>
    <x v="5"/>
    <x v="15"/>
    <x v="24"/>
    <d v="2026-01-16T00:00:00"/>
    <n v="83480.56"/>
    <d v="2025-11-23T00:00:00"/>
    <n v="5001759519"/>
    <x v="0"/>
    <n v="369634"/>
    <s v=""/>
    <m/>
    <s v=""/>
    <m/>
    <m/>
    <m/>
    <m/>
    <m/>
    <m/>
    <m/>
    <n v="0"/>
    <x v="0"/>
    <s v=""/>
    <x v="0"/>
    <n v="83480.56"/>
    <s v=""/>
    <s v=""/>
    <n v="6000031"/>
    <x v="0"/>
    <n v="9201"/>
    <s v="N142010000"/>
  </r>
  <r>
    <x v="6"/>
    <x v="1"/>
    <x v="2"/>
    <s v="@5B@"/>
    <x v="1"/>
    <s v="Requisitante"/>
    <x v="183"/>
    <s v="J102"/>
    <s v="RP8"/>
    <x v="41"/>
    <s v=""/>
    <x v="41"/>
    <x v="157"/>
    <x v="31"/>
    <d v="2026-02-18T00:00:00"/>
    <n v="5090"/>
    <d v="2025-12-10T00:00:00"/>
    <n v="5001891473"/>
    <x v="0"/>
    <n v="372900"/>
    <s v=""/>
    <m/>
    <s v=""/>
    <m/>
    <m/>
    <m/>
    <m/>
    <m/>
    <m/>
    <m/>
    <n v="0"/>
    <x v="13"/>
    <s v=""/>
    <x v="12"/>
    <n v="5090"/>
    <s v=""/>
    <s v=""/>
    <n v="6999999"/>
    <x v="1"/>
    <n v="9104"/>
    <s v="N14702M002"/>
  </r>
  <r>
    <x v="4"/>
    <x v="0"/>
    <x v="0"/>
    <s v="@5B@"/>
    <x v="1"/>
    <s v="Requisitante"/>
    <x v="184"/>
    <s v="J102"/>
    <s v="RP8"/>
    <x v="18"/>
    <s v=""/>
    <x v="18"/>
    <x v="32"/>
    <x v="9"/>
    <d v="2025-12-15T00:00:00"/>
    <n v="15705.2"/>
    <d v="2025-10-24T00:00:00"/>
    <n v="5001546226"/>
    <x v="0"/>
    <n v="364758"/>
    <s v=""/>
    <m/>
    <s v=""/>
    <m/>
    <m/>
    <m/>
    <m/>
    <m/>
    <m/>
    <m/>
    <n v="0"/>
    <x v="16"/>
    <s v=""/>
    <x v="2"/>
    <n v="15705.2"/>
    <s v=""/>
    <s v=""/>
    <n v="6999999"/>
    <x v="1"/>
    <n v="9000"/>
    <s v="N14311M002"/>
  </r>
  <r>
    <x v="5"/>
    <x v="1"/>
    <x v="2"/>
    <s v="@5B@"/>
    <x v="1"/>
    <s v="Requisitante"/>
    <x v="185"/>
    <s v="J102"/>
    <s v="RP8"/>
    <x v="39"/>
    <s v=""/>
    <x v="39"/>
    <x v="158"/>
    <x v="46"/>
    <d v="2025-12-04T00:00:00"/>
    <n v="8100"/>
    <d v="2025-11-19T00:00:00"/>
    <n v="5001731683"/>
    <x v="0"/>
    <n v="368953"/>
    <s v=""/>
    <m/>
    <s v=""/>
    <m/>
    <m/>
    <m/>
    <m/>
    <m/>
    <m/>
    <m/>
    <n v="0"/>
    <x v="10"/>
    <s v=""/>
    <x v="9"/>
    <n v="8100"/>
    <s v=""/>
    <s v=""/>
    <n v="6999999"/>
    <x v="1"/>
    <n v="9203"/>
    <s v="N14702M002"/>
  </r>
  <r>
    <x v="5"/>
    <x v="5"/>
    <x v="0"/>
    <s v="@5B@"/>
    <x v="1"/>
    <s v="Requisitante"/>
    <x v="186"/>
    <s v="J102"/>
    <s v="RP8"/>
    <x v="75"/>
    <s v=""/>
    <x v="75"/>
    <x v="159"/>
    <x v="57"/>
    <d v="2025-12-19T00:00:00"/>
    <n v="3120.87"/>
    <d v="2025-11-25T00:00:00"/>
    <n v="5001780687"/>
    <x v="0"/>
    <n v="369976"/>
    <s v=""/>
    <m/>
    <s v=""/>
    <m/>
    <m/>
    <m/>
    <m/>
    <m/>
    <m/>
    <m/>
    <n v="0"/>
    <x v="9"/>
    <s v=""/>
    <x v="8"/>
    <n v="3120.87"/>
    <s v=""/>
    <s v=""/>
    <n v="6999999"/>
    <x v="1"/>
    <n v="9117"/>
    <s v="N14219M000"/>
  </r>
  <r>
    <x v="5"/>
    <x v="5"/>
    <x v="0"/>
    <s v="@5B@"/>
    <x v="1"/>
    <s v="Requisitante"/>
    <x v="187"/>
    <s v="J102"/>
    <s v="RP8"/>
    <x v="75"/>
    <s v=""/>
    <x v="75"/>
    <x v="160"/>
    <x v="58"/>
    <d v="2026-01-09T00:00:00"/>
    <n v="7218.8"/>
    <d v="2025-11-25T00:00:00"/>
    <n v="5001785144"/>
    <x v="0"/>
    <n v="370014"/>
    <s v=""/>
    <m/>
    <s v=""/>
    <m/>
    <m/>
    <m/>
    <m/>
    <m/>
    <m/>
    <m/>
    <n v="0"/>
    <x v="9"/>
    <s v=""/>
    <x v="8"/>
    <n v="7218.8"/>
    <s v=""/>
    <s v=""/>
    <n v="6999999"/>
    <x v="1"/>
    <n v="9117"/>
    <s v="N14219M000"/>
  </r>
  <r>
    <x v="5"/>
    <x v="5"/>
    <x v="0"/>
    <s v="@5B@"/>
    <x v="1"/>
    <s v="Requisitante"/>
    <x v="188"/>
    <s v="J102"/>
    <s v="RP8"/>
    <x v="75"/>
    <s v=""/>
    <x v="75"/>
    <x v="161"/>
    <x v="58"/>
    <d v="2026-01-09T00:00:00"/>
    <n v="4565.41"/>
    <d v="2025-11-25T00:00:00"/>
    <n v="5001785145"/>
    <x v="0"/>
    <n v="370015"/>
    <s v=""/>
    <m/>
    <s v=""/>
    <m/>
    <m/>
    <m/>
    <m/>
    <m/>
    <m/>
    <m/>
    <n v="0"/>
    <x v="9"/>
    <s v=""/>
    <x v="8"/>
    <n v="4565.41"/>
    <s v=""/>
    <s v=""/>
    <n v="6999999"/>
    <x v="1"/>
    <n v="9117"/>
    <s v="N14219M000"/>
  </r>
  <r>
    <x v="6"/>
    <x v="4"/>
    <x v="4"/>
    <s v="@06@"/>
    <x v="0"/>
    <s v="Gerencia Requisitante"/>
    <x v="189"/>
    <s v="J102"/>
    <s v="BPR"/>
    <x v="76"/>
    <s v=""/>
    <x v="76"/>
    <x v="162"/>
    <x v="31"/>
    <d v="2026-01-09T00:00:00"/>
    <n v="30930"/>
    <d v="2025-12-10T00:00:00"/>
    <n v="5001888412"/>
    <x v="0"/>
    <n v="372890"/>
    <s v=""/>
    <d v="2025-12-11T00:00:00"/>
    <s v="RODRILI001"/>
    <m/>
    <m/>
    <m/>
    <n v="5001894315"/>
    <n v="2025"/>
    <n v="9004034295"/>
    <n v="2025"/>
    <n v="10419169"/>
    <x v="42"/>
    <s v="LIGIA SCHIAVON RODRIGUES"/>
    <x v="31"/>
    <n v="0"/>
    <s v=""/>
    <s v=""/>
    <n v="6999999"/>
    <x v="5"/>
    <m/>
    <s v="B240100000"/>
  </r>
  <r>
    <x v="6"/>
    <x v="0"/>
    <x v="0"/>
    <s v="@5B@"/>
    <x v="1"/>
    <s v="Requisitante"/>
    <x v="190"/>
    <s v="J102"/>
    <s v="RP8"/>
    <x v="63"/>
    <s v=""/>
    <x v="63"/>
    <x v="126"/>
    <x v="28"/>
    <d v="2026-01-10T00:00:00"/>
    <n v="268512.96000000002"/>
    <d v="2025-12-11T00:00:00"/>
    <n v="5001895659"/>
    <x v="0"/>
    <n v="373116"/>
    <s v=""/>
    <m/>
    <s v=""/>
    <m/>
    <m/>
    <m/>
    <m/>
    <m/>
    <m/>
    <m/>
    <n v="0"/>
    <x v="10"/>
    <s v=""/>
    <x v="9"/>
    <n v="268512.96000000002"/>
    <s v=""/>
    <s v=""/>
    <n v="6999999"/>
    <x v="1"/>
    <n v="9000"/>
    <s v="N14311M002"/>
  </r>
  <r>
    <x v="5"/>
    <x v="1"/>
    <x v="1"/>
    <s v="@5B@"/>
    <x v="1"/>
    <s v="Requisitante"/>
    <x v="191"/>
    <s v="J102"/>
    <s v="BHB"/>
    <x v="77"/>
    <s v=""/>
    <x v="77"/>
    <x v="163"/>
    <x v="38"/>
    <d v="2025-12-13T00:00:00"/>
    <n v="2900"/>
    <d v="2025-11-13T00:00:00"/>
    <n v="5001690863"/>
    <x v="0"/>
    <n v="368126"/>
    <s v=""/>
    <m/>
    <s v=""/>
    <m/>
    <m/>
    <m/>
    <m/>
    <m/>
    <m/>
    <m/>
    <n v="0"/>
    <x v="6"/>
    <s v=""/>
    <x v="6"/>
    <n v="2900"/>
    <s v=""/>
    <s v=""/>
    <n v="6999999"/>
    <x v="2"/>
    <n v="9018"/>
    <s v="N14702M277"/>
  </r>
  <r>
    <x v="6"/>
    <x v="11"/>
    <x v="6"/>
    <s v="@5B@"/>
    <x v="1"/>
    <s v="Requisitante"/>
    <x v="192"/>
    <s v="J102"/>
    <s v="RP8"/>
    <x v="43"/>
    <s v=""/>
    <x v="43"/>
    <x v="164"/>
    <x v="31"/>
    <d v="2026-02-08T00:00:00"/>
    <n v="4004.1"/>
    <d v="2025-12-10T00:00:00"/>
    <n v="5001888030"/>
    <x v="0"/>
    <n v="372869"/>
    <s v=""/>
    <m/>
    <s v=""/>
    <m/>
    <m/>
    <m/>
    <m/>
    <m/>
    <m/>
    <m/>
    <n v="0"/>
    <x v="11"/>
    <s v=""/>
    <x v="10"/>
    <n v="4004.1"/>
    <s v=""/>
    <s v=""/>
    <n v="6999999"/>
    <x v="1"/>
    <n v="9042"/>
    <s v="C170204973"/>
  </r>
  <r>
    <x v="6"/>
    <x v="5"/>
    <x v="0"/>
    <s v="@5B@"/>
    <x v="1"/>
    <s v="Requisitante"/>
    <x v="193"/>
    <s v="J102"/>
    <s v="RP8"/>
    <x v="75"/>
    <s v=""/>
    <x v="75"/>
    <x v="165"/>
    <x v="26"/>
    <d v="2026-01-18T00:00:00"/>
    <n v="8392.11"/>
    <d v="2025-12-11T00:00:00"/>
    <n v="5001895566"/>
    <x v="0"/>
    <n v="373097"/>
    <s v=""/>
    <m/>
    <s v=""/>
    <m/>
    <m/>
    <m/>
    <m/>
    <m/>
    <m/>
    <m/>
    <n v="0"/>
    <x v="9"/>
    <s v=""/>
    <x v="8"/>
    <n v="8392.11"/>
    <s v=""/>
    <s v=""/>
    <n v="6999999"/>
    <x v="1"/>
    <n v="9117"/>
    <s v="N14219M000"/>
  </r>
  <r>
    <x v="5"/>
    <x v="4"/>
    <x v="4"/>
    <s v="@5B@"/>
    <x v="1"/>
    <s v="Requisitante"/>
    <x v="194"/>
    <s v="J102"/>
    <s v="BAC"/>
    <x v="1"/>
    <s v=""/>
    <x v="1"/>
    <x v="91"/>
    <x v="47"/>
    <d v="2026-01-19T00:00:00"/>
    <n v="31072.04"/>
    <d v="2025-11-07T00:00:00"/>
    <n v="5001649091"/>
    <x v="0"/>
    <n v="367114"/>
    <s v=""/>
    <m/>
    <s v=""/>
    <m/>
    <m/>
    <m/>
    <m/>
    <m/>
    <m/>
    <m/>
    <n v="0"/>
    <x v="2"/>
    <s v=""/>
    <x v="2"/>
    <n v="31072.04"/>
    <s v=""/>
    <s v=""/>
    <n v="6000031"/>
    <x v="1"/>
    <m/>
    <s v="B230100000"/>
  </r>
  <r>
    <x v="6"/>
    <x v="4"/>
    <x v="4"/>
    <s v="@06@"/>
    <x v="0"/>
    <s v="Gerencia Requisitante"/>
    <x v="195"/>
    <s v="J102"/>
    <s v="BPT"/>
    <x v="16"/>
    <s v=""/>
    <x v="16"/>
    <x v="166"/>
    <x v="27"/>
    <d v="2026-02-03T00:00:00"/>
    <n v="11850"/>
    <d v="2025-12-05T00:00:00"/>
    <n v="5001861311"/>
    <x v="0"/>
    <n v="371864"/>
    <s v=""/>
    <d v="2025-12-05T00:00:00"/>
    <s v="RL1ZAMBOCA"/>
    <m/>
    <m/>
    <m/>
    <n v="5001862351"/>
    <n v="2025"/>
    <n v="9004032071"/>
    <n v="2025"/>
    <n v="10415619"/>
    <x v="14"/>
    <s v="Carina Augusto Zambon"/>
    <x v="13"/>
    <n v="0"/>
    <s v=""/>
    <s v=""/>
    <n v="6000003"/>
    <x v="4"/>
    <m/>
    <s v="B250100000"/>
  </r>
  <r>
    <x v="6"/>
    <x v="3"/>
    <x v="0"/>
    <s v="@5B@"/>
    <x v="1"/>
    <s v="Requisitante"/>
    <x v="196"/>
    <s v="J102"/>
    <s v="RP8"/>
    <x v="78"/>
    <s v=""/>
    <x v="78"/>
    <x v="167"/>
    <x v="37"/>
    <d v="2025-12-17T00:00:00"/>
    <n v="900"/>
    <d v="2025-12-03T00:00:00"/>
    <n v="5001850473"/>
    <x v="0"/>
    <n v="371289"/>
    <s v=""/>
    <m/>
    <s v=""/>
    <m/>
    <m/>
    <m/>
    <m/>
    <m/>
    <m/>
    <m/>
    <n v="0"/>
    <x v="4"/>
    <s v=""/>
    <x v="4"/>
    <n v="900"/>
    <s v=""/>
    <s v=""/>
    <n v="6999999"/>
    <x v="1"/>
    <n v="9000"/>
    <s v="N14201M077"/>
  </r>
  <r>
    <x v="4"/>
    <x v="1"/>
    <x v="2"/>
    <s v="@5B@"/>
    <x v="1"/>
    <s v="Requisitante"/>
    <x v="197"/>
    <s v="J102"/>
    <s v="RP8"/>
    <x v="60"/>
    <s v=""/>
    <x v="60"/>
    <x v="168"/>
    <x v="59"/>
    <d v="2025-12-29T00:00:00"/>
    <n v="6500"/>
    <d v="2025-11-25T00:00:00"/>
    <n v="5001772974"/>
    <x v="0"/>
    <n v="369929"/>
    <s v=""/>
    <m/>
    <s v=""/>
    <m/>
    <m/>
    <m/>
    <m/>
    <m/>
    <m/>
    <m/>
    <n v="0"/>
    <x v="13"/>
    <s v=""/>
    <x v="12"/>
    <n v="6500"/>
    <s v=""/>
    <s v="Faturamento após o encerramento do mês."/>
    <n v="6999999"/>
    <x v="1"/>
    <n v="9204"/>
    <s v="N14702M002"/>
  </r>
  <r>
    <x v="6"/>
    <x v="0"/>
    <x v="0"/>
    <s v="@5B@"/>
    <x v="1"/>
    <s v="Requisitante"/>
    <x v="198"/>
    <s v="J102"/>
    <s v="RP8"/>
    <x v="18"/>
    <s v=""/>
    <x v="18"/>
    <x v="32"/>
    <x v="25"/>
    <d v="2026-02-14T00:00:00"/>
    <n v="15705.2"/>
    <d v="2025-12-04T00:00:00"/>
    <n v="5001855145"/>
    <x v="0"/>
    <n v="371610"/>
    <s v=""/>
    <m/>
    <s v=""/>
    <m/>
    <m/>
    <m/>
    <m/>
    <m/>
    <m/>
    <m/>
    <n v="0"/>
    <x v="16"/>
    <s v=""/>
    <x v="2"/>
    <n v="15705.2"/>
    <s v=""/>
    <s v=""/>
    <n v="6999999"/>
    <x v="1"/>
    <n v="9000"/>
    <s v="N14311M002"/>
  </r>
  <r>
    <x v="6"/>
    <x v="4"/>
    <x v="4"/>
    <s v="@06@"/>
    <x v="0"/>
    <s v="Gerencia Requisitante"/>
    <x v="199"/>
    <s v="J102"/>
    <s v="BPT"/>
    <x v="16"/>
    <s v=""/>
    <x v="16"/>
    <x v="169"/>
    <x v="27"/>
    <d v="2026-02-03T00:00:00"/>
    <n v="19600"/>
    <d v="2025-12-05T00:00:00"/>
    <n v="5001861313"/>
    <x v="0"/>
    <n v="371863"/>
    <s v=""/>
    <d v="2025-12-05T00:00:00"/>
    <s v="RL1ZAMBOCA"/>
    <m/>
    <m/>
    <m/>
    <n v="5001862352"/>
    <n v="2025"/>
    <n v="9004032072"/>
    <n v="2025"/>
    <n v="10415620"/>
    <x v="43"/>
    <s v="Carina Augusto Zambon"/>
    <x v="32"/>
    <n v="0"/>
    <s v=""/>
    <s v=""/>
    <n v="6000003"/>
    <x v="4"/>
    <m/>
    <s v="B250100000"/>
  </r>
  <r>
    <x v="6"/>
    <x v="2"/>
    <x v="3"/>
    <s v="@06@"/>
    <x v="0"/>
    <s v="Gerencia Requisitante"/>
    <x v="200"/>
    <s v="J102"/>
    <s v="BJD"/>
    <x v="30"/>
    <s v=""/>
    <x v="30"/>
    <x v="170"/>
    <x v="28"/>
    <d v="2026-03-11T00:00:00"/>
    <n v="8661.86"/>
    <d v="2025-12-11T00:00:00"/>
    <n v="5001899105"/>
    <x v="0"/>
    <n v="373100"/>
    <s v=""/>
    <d v="2025-12-11T00:00:00"/>
    <s v="VIETRLE001"/>
    <m/>
    <m/>
    <m/>
    <n v="5001896258"/>
    <n v="2025"/>
    <n v="9004034766"/>
    <n v="2025"/>
    <n v="10419821"/>
    <x v="40"/>
    <s v="LEANDRO DE VIETRO"/>
    <x v="29"/>
    <n v="0"/>
    <s v=""/>
    <s v=""/>
    <n v="6999999"/>
    <x v="9"/>
    <n v="8240"/>
    <s v="N14306S000"/>
  </r>
  <r>
    <x v="4"/>
    <x v="10"/>
    <x v="0"/>
    <s v="@5B@"/>
    <x v="1"/>
    <s v="Requisitante"/>
    <x v="201"/>
    <s v="J102"/>
    <s v="BHB"/>
    <x v="20"/>
    <s v=""/>
    <x v="20"/>
    <x v="37"/>
    <x v="21"/>
    <d v="2025-12-20T00:00:00"/>
    <n v="800"/>
    <d v="2025-10-21T00:00:00"/>
    <n v="5001799923"/>
    <x v="0"/>
    <n v="364065"/>
    <s v=""/>
    <m/>
    <s v=""/>
    <m/>
    <m/>
    <m/>
    <m/>
    <m/>
    <m/>
    <m/>
    <n v="0"/>
    <x v="17"/>
    <s v=""/>
    <x v="15"/>
    <n v="800"/>
    <s v=""/>
    <s v=""/>
    <n v="6999999"/>
    <x v="2"/>
    <n v="2952"/>
    <s v="N14205M000"/>
  </r>
  <r>
    <x v="6"/>
    <x v="16"/>
    <x v="0"/>
    <s v="@5B@"/>
    <x v="1"/>
    <s v="Requisitante"/>
    <x v="202"/>
    <s v="J102"/>
    <s v="BHB"/>
    <x v="79"/>
    <s v=""/>
    <x v="79"/>
    <x v="171"/>
    <x v="33"/>
    <d v="2026-01-02T00:00:00"/>
    <n v="24367.32"/>
    <d v="2025-12-08T00:00:00"/>
    <n v="5001874723"/>
    <x v="0"/>
    <n v="372336"/>
    <s v=""/>
    <m/>
    <s v=""/>
    <m/>
    <m/>
    <m/>
    <m/>
    <m/>
    <m/>
    <m/>
    <n v="0"/>
    <x v="29"/>
    <s v=""/>
    <x v="7"/>
    <n v="24367.32"/>
    <s v=""/>
    <s v=""/>
    <n v="6999999"/>
    <x v="2"/>
    <n v="2952"/>
    <s v="N14215M001"/>
  </r>
  <r>
    <x v="6"/>
    <x v="0"/>
    <x v="0"/>
    <s v="@5B@"/>
    <x v="1"/>
    <s v="Requisitante"/>
    <x v="203"/>
    <s v="J102"/>
    <s v="RP8"/>
    <x v="30"/>
    <s v=""/>
    <x v="30"/>
    <x v="172"/>
    <x v="28"/>
    <d v="2026-03-11T00:00:00"/>
    <n v="27903.39"/>
    <d v="2025-12-11T00:00:00"/>
    <n v="5001899106"/>
    <x v="0"/>
    <n v="373105"/>
    <s v=""/>
    <m/>
    <s v=""/>
    <m/>
    <m/>
    <m/>
    <m/>
    <m/>
    <m/>
    <m/>
    <n v="0"/>
    <x v="11"/>
    <s v=""/>
    <x v="10"/>
    <n v="27903.39"/>
    <s v=""/>
    <s v=""/>
    <n v="6999999"/>
    <x v="1"/>
    <n v="9000"/>
    <s v="N14306M002"/>
  </r>
  <r>
    <x v="6"/>
    <x v="0"/>
    <x v="0"/>
    <s v="@5B@"/>
    <x v="1"/>
    <s v="Requisitante"/>
    <x v="204"/>
    <s v="J102"/>
    <s v="RP8"/>
    <x v="18"/>
    <s v=""/>
    <x v="18"/>
    <x v="32"/>
    <x v="25"/>
    <d v="2026-02-14T00:00:00"/>
    <n v="111.89"/>
    <d v="2025-12-04T00:00:00"/>
    <n v="5001855146"/>
    <x v="0"/>
    <n v="371607"/>
    <s v=""/>
    <m/>
    <s v=""/>
    <m/>
    <m/>
    <m/>
    <m/>
    <m/>
    <m/>
    <m/>
    <n v="0"/>
    <x v="16"/>
    <s v=""/>
    <x v="2"/>
    <n v="111.84"/>
    <s v=""/>
    <s v=""/>
    <n v="6999999"/>
    <x v="1"/>
    <n v="9000"/>
    <s v="N14311M002"/>
  </r>
  <r>
    <x v="5"/>
    <x v="1"/>
    <x v="2"/>
    <s v="@5B@"/>
    <x v="1"/>
    <s v="Requisitante"/>
    <x v="205"/>
    <s v="J102"/>
    <s v="RP8"/>
    <x v="80"/>
    <s v=""/>
    <x v="80"/>
    <x v="173"/>
    <x v="24"/>
    <d v="2025-12-08T00:00:00"/>
    <n v="3800"/>
    <d v="2025-11-17T00:00:00"/>
    <n v="5001714883"/>
    <x v="0"/>
    <n v="368585"/>
    <s v=""/>
    <m/>
    <s v=""/>
    <m/>
    <m/>
    <m/>
    <m/>
    <m/>
    <m/>
    <m/>
    <n v="0"/>
    <x v="6"/>
    <s v=""/>
    <x v="6"/>
    <n v="3800"/>
    <s v=""/>
    <s v=""/>
    <n v="6999999"/>
    <x v="1"/>
    <n v="9013"/>
    <s v="N14702M002"/>
  </r>
  <r>
    <x v="4"/>
    <x v="1"/>
    <x v="2"/>
    <s v="@5B@"/>
    <x v="1"/>
    <s v="Requisitante"/>
    <x v="206"/>
    <s v="J102"/>
    <s v="RP8"/>
    <x v="81"/>
    <s v=""/>
    <x v="81"/>
    <x v="174"/>
    <x v="30"/>
    <d v="2025-12-29T00:00:00"/>
    <n v="53900"/>
    <d v="2025-10-21T00:00:00"/>
    <n v="5001622271"/>
    <x v="0"/>
    <n v="364077"/>
    <s v=""/>
    <m/>
    <s v=""/>
    <m/>
    <m/>
    <m/>
    <m/>
    <m/>
    <m/>
    <m/>
    <n v="0"/>
    <x v="13"/>
    <s v=""/>
    <x v="12"/>
    <n v="53900"/>
    <s v=""/>
    <s v=""/>
    <n v="6999999"/>
    <x v="1"/>
    <n v="9201"/>
    <s v="N14702M002"/>
  </r>
  <r>
    <x v="4"/>
    <x v="0"/>
    <x v="0"/>
    <s v="@5B@"/>
    <x v="1"/>
    <s v="Requisitante"/>
    <x v="207"/>
    <s v="J102"/>
    <s v="RP8"/>
    <x v="74"/>
    <s v=""/>
    <x v="74"/>
    <x v="175"/>
    <x v="56"/>
    <d v="2025-11-12T00:00:00"/>
    <n v="13439.08"/>
    <d v="2025-10-13T00:00:00"/>
    <n v="5001461618"/>
    <x v="0"/>
    <n v="362775"/>
    <s v=""/>
    <m/>
    <s v=""/>
    <m/>
    <m/>
    <m/>
    <m/>
    <m/>
    <m/>
    <m/>
    <n v="0"/>
    <x v="10"/>
    <s v=""/>
    <x v="9"/>
    <n v="13439.08"/>
    <s v=""/>
    <s v=""/>
    <n v="6999999"/>
    <x v="1"/>
    <n v="9000"/>
    <s v="N14311M002"/>
  </r>
  <r>
    <x v="1"/>
    <x v="1"/>
    <x v="2"/>
    <s v="@06@"/>
    <x v="0"/>
    <s v="Gerencia Requisitante"/>
    <x v="208"/>
    <s v="J102"/>
    <s v="RP8"/>
    <x v="9"/>
    <s v=""/>
    <x v="9"/>
    <x v="12"/>
    <x v="1"/>
    <d v="2025-10-10T00:00:00"/>
    <n v="4831"/>
    <d v="2025-08-11T00:00:00"/>
    <n v="5001198800"/>
    <x v="0"/>
    <n v="351644"/>
    <s v=""/>
    <d v="2025-12-12T00:00:00"/>
    <s v="SOUZAVI002"/>
    <m/>
    <m/>
    <m/>
    <n v="5001902855"/>
    <n v="2025"/>
    <n v="9004035271"/>
    <n v="2025"/>
    <n v="10421160"/>
    <x v="6"/>
    <s v="Vinicius Gomes De Souza"/>
    <x v="6"/>
    <n v="0"/>
    <s v=""/>
    <s v=""/>
    <n v="6999999"/>
    <x v="1"/>
    <n v="9013"/>
    <s v="N14702M002"/>
  </r>
  <r>
    <x v="5"/>
    <x v="1"/>
    <x v="2"/>
    <s v="@5B@"/>
    <x v="1"/>
    <s v="Requisitante"/>
    <x v="209"/>
    <s v="J102"/>
    <s v="RP8"/>
    <x v="4"/>
    <s v=""/>
    <x v="4"/>
    <x v="176"/>
    <x v="57"/>
    <d v="2026-03-04T00:00:00"/>
    <n v="1633.05"/>
    <d v="2025-11-05T00:00:00"/>
    <n v="5001636931"/>
    <x v="0"/>
    <n v="366414"/>
    <s v=""/>
    <m/>
    <s v=""/>
    <m/>
    <m/>
    <m/>
    <m/>
    <m/>
    <m/>
    <m/>
    <n v="0"/>
    <x v="13"/>
    <s v=""/>
    <x v="12"/>
    <n v="1633.05"/>
    <s v=""/>
    <s v=""/>
    <n v="6000020"/>
    <x v="1"/>
    <n v="9104"/>
    <s v="N14702M002"/>
  </r>
  <r>
    <x v="4"/>
    <x v="0"/>
    <x v="0"/>
    <s v="@5B@"/>
    <x v="1"/>
    <s v="Requisitante"/>
    <x v="210"/>
    <s v="J102"/>
    <s v="RP8"/>
    <x v="13"/>
    <s v=""/>
    <x v="13"/>
    <x v="177"/>
    <x v="50"/>
    <d v="2025-11-23T00:00:00"/>
    <n v="5992"/>
    <d v="2025-10-09T00:00:00"/>
    <n v="5001443824"/>
    <x v="0"/>
    <n v="362293"/>
    <s v=""/>
    <m/>
    <s v=""/>
    <m/>
    <m/>
    <m/>
    <m/>
    <m/>
    <m/>
    <m/>
    <n v="0"/>
    <x v="11"/>
    <s v=""/>
    <x v="10"/>
    <n v="5992"/>
    <s v=""/>
    <s v=""/>
    <n v="6000009"/>
    <x v="1"/>
    <n v="9000"/>
    <s v="N14306M002"/>
  </r>
  <r>
    <x v="4"/>
    <x v="1"/>
    <x v="2"/>
    <s v="@5B@"/>
    <x v="1"/>
    <s v="Requisitante"/>
    <x v="211"/>
    <s v="J102"/>
    <s v="RP8"/>
    <x v="82"/>
    <s v=""/>
    <x v="82"/>
    <x v="178"/>
    <x v="60"/>
    <d v="2025-12-23T00:00:00"/>
    <n v="4481"/>
    <d v="2025-10-14T00:00:00"/>
    <n v="5001469673"/>
    <x v="0"/>
    <n v="362915"/>
    <s v=""/>
    <m/>
    <s v=""/>
    <m/>
    <m/>
    <m/>
    <m/>
    <m/>
    <m/>
    <m/>
    <n v="0"/>
    <x v="7"/>
    <s v=""/>
    <x v="2"/>
    <n v="4481"/>
    <s v=""/>
    <s v=""/>
    <n v="6999999"/>
    <x v="1"/>
    <n v="9117"/>
    <s v="N14702M002"/>
  </r>
  <r>
    <x v="4"/>
    <x v="1"/>
    <x v="2"/>
    <s v="@5B@"/>
    <x v="1"/>
    <s v="Requisitante"/>
    <x v="212"/>
    <s v="J102"/>
    <s v="RP8"/>
    <x v="82"/>
    <s v=""/>
    <x v="82"/>
    <x v="179"/>
    <x v="60"/>
    <d v="2025-12-23T00:00:00"/>
    <n v="493"/>
    <d v="2025-10-14T00:00:00"/>
    <n v="5001469674"/>
    <x v="0"/>
    <n v="362916"/>
    <s v=""/>
    <m/>
    <s v=""/>
    <m/>
    <m/>
    <m/>
    <m/>
    <m/>
    <m/>
    <m/>
    <n v="0"/>
    <x v="16"/>
    <s v=""/>
    <x v="2"/>
    <n v="493"/>
    <s v=""/>
    <s v=""/>
    <n v="6999999"/>
    <x v="1"/>
    <n v="9117"/>
    <s v="N14702M002"/>
  </r>
  <r>
    <x v="4"/>
    <x v="2"/>
    <x v="3"/>
    <s v="@06@"/>
    <x v="0"/>
    <s v="Gerencia Requisitante"/>
    <x v="213"/>
    <s v="J102"/>
    <s v="BGB"/>
    <x v="83"/>
    <s v=""/>
    <x v="83"/>
    <x v="180"/>
    <x v="61"/>
    <d v="2025-12-31T00:00:00"/>
    <n v="2043.98"/>
    <d v="2025-10-22T00:00:00"/>
    <n v="5001527909"/>
    <x v="0"/>
    <n v="364289"/>
    <s v=""/>
    <d v="2025-10-29T00:00:00"/>
    <s v="SANTOFA004"/>
    <m/>
    <m/>
    <m/>
    <n v="5001577298"/>
    <n v="2025"/>
    <n v="9004018707"/>
    <n v="2025"/>
    <n v="10383362"/>
    <x v="44"/>
    <s v="fabiana murador"/>
    <x v="2"/>
    <n v="0"/>
    <s v=""/>
    <s v=""/>
    <n v="6999999"/>
    <x v="0"/>
    <n v="4806"/>
    <s v="N14502H000"/>
  </r>
  <r>
    <x v="4"/>
    <x v="1"/>
    <x v="2"/>
    <s v="@5B@"/>
    <x v="1"/>
    <s v="Requisitante"/>
    <x v="214"/>
    <s v="J102"/>
    <s v="RP8"/>
    <x v="84"/>
    <s v=""/>
    <x v="84"/>
    <x v="181"/>
    <x v="42"/>
    <d v="2026-02-13T00:00:00"/>
    <n v="4105.4799999999996"/>
    <d v="2025-10-22T00:00:00"/>
    <n v="5001522546"/>
    <x v="0"/>
    <n v="364265"/>
    <s v=""/>
    <m/>
    <s v=""/>
    <m/>
    <m/>
    <m/>
    <m/>
    <m/>
    <m/>
    <m/>
    <n v="0"/>
    <x v="16"/>
    <s v=""/>
    <x v="2"/>
    <n v="4105.4799999999996"/>
    <s v=""/>
    <s v=""/>
    <n v="6999999"/>
    <x v="1"/>
    <n v="9117"/>
    <s v="N14702M002"/>
  </r>
  <r>
    <x v="4"/>
    <x v="1"/>
    <x v="2"/>
    <s v="@5B@"/>
    <x v="1"/>
    <s v="Requisitante"/>
    <x v="215"/>
    <s v="J102"/>
    <s v="RP8"/>
    <x v="7"/>
    <s v=""/>
    <x v="7"/>
    <x v="153"/>
    <x v="30"/>
    <d v="2025-12-19T00:00:00"/>
    <n v="5500"/>
    <d v="2025-10-20T00:00:00"/>
    <n v="5001508683"/>
    <x v="0"/>
    <n v="363747"/>
    <s v=""/>
    <m/>
    <s v=""/>
    <m/>
    <m/>
    <m/>
    <m/>
    <m/>
    <m/>
    <m/>
    <n v="0"/>
    <x v="6"/>
    <s v=""/>
    <x v="6"/>
    <n v="5500"/>
    <s v=""/>
    <s v=""/>
    <n v="6999999"/>
    <x v="1"/>
    <n v="9203"/>
    <s v="N14702M002"/>
  </r>
  <r>
    <x v="4"/>
    <x v="10"/>
    <x v="0"/>
    <s v="@5B@"/>
    <x v="1"/>
    <s v="Requisitante"/>
    <x v="216"/>
    <s v="J102"/>
    <s v="BHB"/>
    <x v="20"/>
    <s v=""/>
    <x v="20"/>
    <x v="37"/>
    <x v="21"/>
    <d v="2025-12-20T00:00:00"/>
    <n v="1000"/>
    <d v="2025-10-21T00:00:00"/>
    <n v="5001799924"/>
    <x v="0"/>
    <n v="364067"/>
    <s v=""/>
    <m/>
    <s v=""/>
    <m/>
    <m/>
    <m/>
    <m/>
    <m/>
    <m/>
    <m/>
    <n v="0"/>
    <x v="17"/>
    <s v=""/>
    <x v="15"/>
    <n v="1000"/>
    <s v=""/>
    <s v=""/>
    <n v="6999999"/>
    <x v="2"/>
    <n v="2952"/>
    <s v="N14205M000"/>
  </r>
  <r>
    <x v="5"/>
    <x v="1"/>
    <x v="1"/>
    <s v="@5B@"/>
    <x v="1"/>
    <s v="Requisitante"/>
    <x v="217"/>
    <s v="J102"/>
    <s v="RP8"/>
    <x v="1"/>
    <s v=""/>
    <x v="1"/>
    <x v="182"/>
    <x v="47"/>
    <d v="2026-01-19T00:00:00"/>
    <n v="44528.27"/>
    <d v="2025-11-07T00:00:00"/>
    <n v="5001649093"/>
    <x v="0"/>
    <n v="367109"/>
    <s v=""/>
    <m/>
    <s v=""/>
    <m/>
    <m/>
    <m/>
    <m/>
    <m/>
    <m/>
    <m/>
    <n v="0"/>
    <x v="13"/>
    <s v=""/>
    <x v="12"/>
    <n v="44528.57"/>
    <s v=""/>
    <s v=""/>
    <n v="6000001"/>
    <x v="1"/>
    <n v="9018"/>
    <s v="N14702M277"/>
  </r>
  <r>
    <x v="5"/>
    <x v="1"/>
    <x v="2"/>
    <s v="@5B@"/>
    <x v="1"/>
    <s v="Requisitante"/>
    <x v="218"/>
    <s v="J102"/>
    <s v="RP8"/>
    <x v="71"/>
    <s v=""/>
    <x v="71"/>
    <x v="183"/>
    <x v="58"/>
    <d v="2026-01-24T00:00:00"/>
    <n v="5846.5"/>
    <d v="2025-11-25T00:00:00"/>
    <n v="5001785148"/>
    <x v="0"/>
    <n v="370011"/>
    <s v=""/>
    <m/>
    <s v=""/>
    <m/>
    <m/>
    <m/>
    <m/>
    <m/>
    <m/>
    <m/>
    <n v="0"/>
    <x v="13"/>
    <s v=""/>
    <x v="12"/>
    <n v="5846.5"/>
    <s v=""/>
    <s v=""/>
    <n v="6999999"/>
    <x v="1"/>
    <n v="9013"/>
    <s v="N14702M002"/>
  </r>
  <r>
    <x v="6"/>
    <x v="2"/>
    <x v="3"/>
    <s v="@06@"/>
    <x v="0"/>
    <s v="Gerencia Requisitante"/>
    <x v="219"/>
    <s v="J102"/>
    <s v="BJD"/>
    <x v="30"/>
    <s v=""/>
    <x v="30"/>
    <x v="170"/>
    <x v="28"/>
    <d v="2026-03-11T00:00:00"/>
    <n v="2995.11"/>
    <d v="2025-12-11T00:00:00"/>
    <n v="5001899108"/>
    <x v="0"/>
    <n v="373101"/>
    <s v=""/>
    <d v="2025-12-11T00:00:00"/>
    <s v="VIETRLE001"/>
    <m/>
    <m/>
    <m/>
    <n v="5001896259"/>
    <n v="2025"/>
    <n v="9004034767"/>
    <n v="2025"/>
    <n v="10419822"/>
    <x v="40"/>
    <s v="LEANDRO DE VIETRO"/>
    <x v="29"/>
    <n v="0"/>
    <s v=""/>
    <s v=""/>
    <n v="6999999"/>
    <x v="9"/>
    <n v="8240"/>
    <s v="N14306S000"/>
  </r>
  <r>
    <x v="4"/>
    <x v="1"/>
    <x v="2"/>
    <s v="@5B@"/>
    <x v="1"/>
    <s v="Requisitante"/>
    <x v="220"/>
    <s v="J102"/>
    <s v="RP8"/>
    <x v="82"/>
    <s v=""/>
    <x v="82"/>
    <x v="184"/>
    <x v="60"/>
    <d v="2025-12-23T00:00:00"/>
    <n v="1870"/>
    <d v="2025-10-14T00:00:00"/>
    <n v="5001469672"/>
    <x v="0"/>
    <n v="362914"/>
    <s v=""/>
    <m/>
    <s v=""/>
    <m/>
    <m/>
    <m/>
    <m/>
    <m/>
    <m/>
    <m/>
    <n v="0"/>
    <x v="16"/>
    <s v=""/>
    <x v="2"/>
    <n v="1870"/>
    <s v=""/>
    <s v=""/>
    <n v="6999999"/>
    <x v="1"/>
    <n v="9117"/>
    <s v="N14702M002"/>
  </r>
  <r>
    <x v="4"/>
    <x v="10"/>
    <x v="0"/>
    <s v="@5B@"/>
    <x v="1"/>
    <s v="Requisitante"/>
    <x v="221"/>
    <s v="J102"/>
    <s v="BHB"/>
    <x v="20"/>
    <s v=""/>
    <x v="20"/>
    <x v="37"/>
    <x v="21"/>
    <d v="2025-12-20T00:00:00"/>
    <n v="2200"/>
    <d v="2025-10-21T00:00:00"/>
    <n v="5001799925"/>
    <x v="0"/>
    <n v="364069"/>
    <s v=""/>
    <m/>
    <s v=""/>
    <m/>
    <m/>
    <m/>
    <m/>
    <m/>
    <m/>
    <m/>
    <n v="0"/>
    <x v="17"/>
    <s v=""/>
    <x v="15"/>
    <n v="2200"/>
    <s v=""/>
    <s v=""/>
    <n v="6999999"/>
    <x v="2"/>
    <n v="2952"/>
    <s v="N14205M000"/>
  </r>
  <r>
    <x v="4"/>
    <x v="10"/>
    <x v="0"/>
    <s v="@5B@"/>
    <x v="1"/>
    <s v="Requisitante"/>
    <x v="222"/>
    <s v="J102"/>
    <s v="BHB"/>
    <x v="20"/>
    <s v=""/>
    <x v="20"/>
    <x v="37"/>
    <x v="21"/>
    <d v="2025-12-20T00:00:00"/>
    <n v="2600"/>
    <d v="2025-10-21T00:00:00"/>
    <n v="5001799926"/>
    <x v="0"/>
    <n v="364076"/>
    <s v=""/>
    <m/>
    <s v=""/>
    <m/>
    <m/>
    <m/>
    <m/>
    <m/>
    <m/>
    <m/>
    <n v="0"/>
    <x v="17"/>
    <s v=""/>
    <x v="15"/>
    <n v="2600"/>
    <s v=""/>
    <s v=""/>
    <n v="6999999"/>
    <x v="2"/>
    <n v="2952"/>
    <s v="N14205M000"/>
  </r>
  <r>
    <x v="5"/>
    <x v="1"/>
    <x v="2"/>
    <s v="@5B@"/>
    <x v="1"/>
    <s v="Requisitante"/>
    <x v="223"/>
    <s v="J102"/>
    <s v="RP8"/>
    <x v="84"/>
    <s v=""/>
    <x v="84"/>
    <x v="185"/>
    <x v="58"/>
    <d v="2026-03-25T00:00:00"/>
    <n v="4537.5"/>
    <d v="2025-11-25T00:00:00"/>
    <n v="5001785791"/>
    <x v="0"/>
    <n v="370023"/>
    <s v=""/>
    <m/>
    <s v=""/>
    <m/>
    <m/>
    <m/>
    <m/>
    <m/>
    <m/>
    <m/>
    <n v="0"/>
    <x v="13"/>
    <s v=""/>
    <x v="12"/>
    <n v="4537.5"/>
    <s v=""/>
    <s v=""/>
    <n v="6999999"/>
    <x v="1"/>
    <n v="9117"/>
    <s v="N14702M002"/>
  </r>
  <r>
    <x v="4"/>
    <x v="1"/>
    <x v="2"/>
    <s v="@5B@"/>
    <x v="1"/>
    <s v="Requisitante"/>
    <x v="224"/>
    <s v="J102"/>
    <s v="RP8"/>
    <x v="71"/>
    <s v=""/>
    <x v="71"/>
    <x v="146"/>
    <x v="55"/>
    <d v="2025-12-22T00:00:00"/>
    <n v="1434.32"/>
    <d v="2025-10-23T00:00:00"/>
    <n v="5001537164"/>
    <x v="0"/>
    <n v="364454"/>
    <s v=""/>
    <m/>
    <s v=""/>
    <m/>
    <m/>
    <m/>
    <m/>
    <m/>
    <m/>
    <m/>
    <n v="0"/>
    <x v="2"/>
    <s v=""/>
    <x v="2"/>
    <n v="1434.32"/>
    <s v=""/>
    <s v=""/>
    <n v="6999999"/>
    <x v="1"/>
    <n v="9013"/>
    <s v="N14702M002"/>
  </r>
  <r>
    <x v="5"/>
    <x v="5"/>
    <x v="0"/>
    <s v="@5B@"/>
    <x v="1"/>
    <s v="Requisitante"/>
    <x v="225"/>
    <s v="J102"/>
    <s v="RP8"/>
    <x v="75"/>
    <s v=""/>
    <x v="75"/>
    <x v="186"/>
    <x v="57"/>
    <d v="2025-12-19T00:00:00"/>
    <n v="9090.07"/>
    <d v="2025-11-25T00:00:00"/>
    <n v="5001780693"/>
    <x v="0"/>
    <n v="369975"/>
    <s v=""/>
    <m/>
    <s v=""/>
    <m/>
    <m/>
    <m/>
    <m/>
    <m/>
    <m/>
    <m/>
    <n v="0"/>
    <x v="9"/>
    <s v=""/>
    <x v="8"/>
    <n v="9090.07"/>
    <s v=""/>
    <s v=""/>
    <n v="6999999"/>
    <x v="1"/>
    <n v="9117"/>
    <s v="N14219M000"/>
  </r>
  <r>
    <x v="6"/>
    <x v="3"/>
    <x v="0"/>
    <s v="@5B@"/>
    <x v="1"/>
    <s v="Requisitante"/>
    <x v="226"/>
    <s v="J102"/>
    <s v="RP8"/>
    <x v="78"/>
    <s v=""/>
    <x v="78"/>
    <x v="167"/>
    <x v="37"/>
    <d v="2025-12-17T00:00:00"/>
    <n v="1053.23"/>
    <d v="2025-12-03T00:00:00"/>
    <n v="5001850474"/>
    <x v="0"/>
    <n v="371288"/>
    <s v=""/>
    <m/>
    <s v=""/>
    <m/>
    <m/>
    <m/>
    <m/>
    <m/>
    <m/>
    <m/>
    <n v="0"/>
    <x v="4"/>
    <s v=""/>
    <x v="4"/>
    <n v="1053.23"/>
    <s v=""/>
    <s v=""/>
    <n v="6999999"/>
    <x v="1"/>
    <n v="9000"/>
    <s v="N14201M077"/>
  </r>
  <r>
    <x v="6"/>
    <x v="0"/>
    <x v="0"/>
    <s v="@5B@"/>
    <x v="1"/>
    <s v="Requisitante"/>
    <x v="227"/>
    <s v="J102"/>
    <s v="RP8"/>
    <x v="18"/>
    <s v=""/>
    <x v="18"/>
    <x v="32"/>
    <x v="25"/>
    <d v="2026-02-14T00:00:00"/>
    <n v="872.01"/>
    <d v="2025-12-04T00:00:00"/>
    <n v="5001855147"/>
    <x v="0"/>
    <n v="371608"/>
    <s v=""/>
    <m/>
    <s v=""/>
    <m/>
    <m/>
    <m/>
    <m/>
    <m/>
    <m/>
    <m/>
    <n v="0"/>
    <x v="16"/>
    <s v=""/>
    <x v="2"/>
    <n v="872.01"/>
    <s v=""/>
    <s v=""/>
    <n v="6999999"/>
    <x v="1"/>
    <n v="9000"/>
    <s v="N14311M002"/>
  </r>
  <r>
    <x v="5"/>
    <x v="5"/>
    <x v="0"/>
    <s v="@5B@"/>
    <x v="1"/>
    <s v="Requisitante"/>
    <x v="228"/>
    <s v="J102"/>
    <s v="RP8"/>
    <x v="75"/>
    <s v=""/>
    <x v="75"/>
    <x v="187"/>
    <x v="52"/>
    <d v="2025-12-29T00:00:00"/>
    <n v="3498.84"/>
    <d v="2025-11-25T00:00:00"/>
    <n v="5001780692"/>
    <x v="0"/>
    <n v="369974"/>
    <s v=""/>
    <m/>
    <s v=""/>
    <m/>
    <m/>
    <m/>
    <m/>
    <m/>
    <m/>
    <m/>
    <n v="0"/>
    <x v="9"/>
    <s v=""/>
    <x v="8"/>
    <n v="3498.84"/>
    <s v=""/>
    <s v=""/>
    <n v="6999999"/>
    <x v="1"/>
    <n v="9117"/>
    <s v="N14219M000"/>
  </r>
  <r>
    <x v="6"/>
    <x v="1"/>
    <x v="2"/>
    <s v="@5B@"/>
    <x v="1"/>
    <s v="Requisitante"/>
    <x v="229"/>
    <s v="J102"/>
    <s v="RP8"/>
    <x v="81"/>
    <s v=""/>
    <x v="81"/>
    <x v="188"/>
    <x v="29"/>
    <d v="2026-02-17T00:00:00"/>
    <n v="66000"/>
    <d v="2025-12-11T00:00:00"/>
    <n v="5001899107"/>
    <x v="0"/>
    <n v="373099"/>
    <s v=""/>
    <m/>
    <s v=""/>
    <m/>
    <m/>
    <m/>
    <m/>
    <m/>
    <m/>
    <m/>
    <n v="0"/>
    <x v="13"/>
    <s v=""/>
    <x v="12"/>
    <n v="66000"/>
    <s v=""/>
    <s v=""/>
    <n v="6999999"/>
    <x v="1"/>
    <n v="9201"/>
    <s v="N14702M002"/>
  </r>
  <r>
    <x v="6"/>
    <x v="2"/>
    <x v="3"/>
    <s v="@06@"/>
    <x v="0"/>
    <s v="Gerencia Requisitante"/>
    <x v="230"/>
    <s v="J102"/>
    <s v="BJD"/>
    <x v="30"/>
    <s v=""/>
    <x v="30"/>
    <x v="170"/>
    <x v="28"/>
    <d v="2026-03-11T00:00:00"/>
    <n v="9850.23"/>
    <d v="2025-12-11T00:00:00"/>
    <n v="5001899109"/>
    <x v="0"/>
    <n v="373102"/>
    <s v=""/>
    <d v="2025-12-11T00:00:00"/>
    <s v="VIETRLE001"/>
    <m/>
    <m/>
    <m/>
    <n v="5001899230"/>
    <n v="2025"/>
    <n v="9004034768"/>
    <n v="2025"/>
    <n v="10419823"/>
    <x v="40"/>
    <s v="LEANDRO DE VIETRO"/>
    <x v="29"/>
    <n v="0"/>
    <s v=""/>
    <s v=""/>
    <n v="6999999"/>
    <x v="9"/>
    <n v="8240"/>
    <s v="N14306S000"/>
  </r>
  <r>
    <x v="6"/>
    <x v="1"/>
    <x v="2"/>
    <s v="@5B@"/>
    <x v="1"/>
    <s v="Requisitante"/>
    <x v="231"/>
    <s v="J102"/>
    <s v="RP8"/>
    <x v="85"/>
    <s v=""/>
    <x v="85"/>
    <x v="189"/>
    <x v="27"/>
    <d v="2026-02-03T00:00:00"/>
    <n v="28740"/>
    <d v="2025-12-05T00:00:00"/>
    <n v="5001861628"/>
    <x v="0"/>
    <n v="371873"/>
    <s v=""/>
    <m/>
    <s v=""/>
    <m/>
    <m/>
    <m/>
    <m/>
    <m/>
    <m/>
    <m/>
    <n v="0"/>
    <x v="10"/>
    <s v=""/>
    <x v="9"/>
    <n v="28740"/>
    <s v=""/>
    <s v=""/>
    <n v="6999999"/>
    <x v="1"/>
    <n v="9203"/>
    <s v="N14702M002"/>
  </r>
  <r>
    <x v="5"/>
    <x v="1"/>
    <x v="2"/>
    <s v="@5B@"/>
    <x v="1"/>
    <s v="Requisitante"/>
    <x v="232"/>
    <s v="J102"/>
    <s v="RP8"/>
    <x v="2"/>
    <s v=""/>
    <x v="2"/>
    <x v="190"/>
    <x v="53"/>
    <d v="2026-02-16T00:00:00"/>
    <n v="12000"/>
    <d v="2025-11-18T00:00:00"/>
    <n v="5001729471"/>
    <x v="0"/>
    <n v="368742"/>
    <s v=""/>
    <m/>
    <s v=""/>
    <m/>
    <m/>
    <m/>
    <m/>
    <m/>
    <m/>
    <m/>
    <n v="0"/>
    <x v="13"/>
    <s v=""/>
    <x v="12"/>
    <n v="12000"/>
    <s v=""/>
    <s v=""/>
    <n v="6999999"/>
    <x v="1"/>
    <n v="9104"/>
    <s v="N14702M002"/>
  </r>
  <r>
    <x v="6"/>
    <x v="11"/>
    <x v="6"/>
    <s v="@5B@"/>
    <x v="1"/>
    <s v="Requisitante"/>
    <x v="233"/>
    <s v="J102"/>
    <s v="RP8"/>
    <x v="43"/>
    <s v=""/>
    <x v="43"/>
    <x v="164"/>
    <x v="31"/>
    <d v="2026-02-08T00:00:00"/>
    <n v="3385.58"/>
    <d v="2025-12-10T00:00:00"/>
    <n v="5001887048"/>
    <x v="0"/>
    <n v="372868"/>
    <s v=""/>
    <m/>
    <s v=""/>
    <m/>
    <m/>
    <m/>
    <m/>
    <m/>
    <m/>
    <m/>
    <n v="0"/>
    <x v="11"/>
    <s v=""/>
    <x v="10"/>
    <n v="3385.58"/>
    <s v=""/>
    <s v=""/>
    <n v="6999999"/>
    <x v="1"/>
    <n v="9042"/>
    <s v="C170204973"/>
  </r>
  <r>
    <x v="6"/>
    <x v="13"/>
    <x v="0"/>
    <s v="@5B@"/>
    <x v="1"/>
    <s v="Requisitante"/>
    <x v="234"/>
    <s v="J102"/>
    <s v="BHB"/>
    <x v="86"/>
    <s v=""/>
    <x v="86"/>
    <x v="191"/>
    <x v="31"/>
    <d v="2026-02-08T00:00:00"/>
    <n v="7500"/>
    <d v="2025-12-11T00:00:00"/>
    <n v="5001895567"/>
    <x v="0"/>
    <n v="373095"/>
    <s v=""/>
    <m/>
    <s v=""/>
    <m/>
    <m/>
    <m/>
    <m/>
    <m/>
    <m/>
    <m/>
    <n v="0"/>
    <x v="29"/>
    <s v=""/>
    <x v="7"/>
    <n v="7500"/>
    <s v=""/>
    <s v=""/>
    <n v="6999999"/>
    <x v="2"/>
    <n v="2953"/>
    <s v="N14206M002"/>
  </r>
  <r>
    <x v="6"/>
    <x v="0"/>
    <x v="0"/>
    <s v="@5B@"/>
    <x v="1"/>
    <s v="Requisitante"/>
    <x v="235"/>
    <s v="J102"/>
    <s v="RP8"/>
    <x v="30"/>
    <s v=""/>
    <x v="30"/>
    <x v="192"/>
    <x v="28"/>
    <d v="2026-03-11T00:00:00"/>
    <n v="8822.6299999999992"/>
    <d v="2025-12-11T00:00:00"/>
    <n v="5001899110"/>
    <x v="0"/>
    <n v="373103"/>
    <s v=""/>
    <m/>
    <s v=""/>
    <m/>
    <m/>
    <m/>
    <m/>
    <m/>
    <m/>
    <m/>
    <n v="0"/>
    <x v="11"/>
    <s v=""/>
    <x v="10"/>
    <n v="8822.6299999999992"/>
    <s v=""/>
    <s v=""/>
    <n v="6999999"/>
    <x v="1"/>
    <n v="9000"/>
    <s v="N14311M002"/>
  </r>
  <r>
    <x v="6"/>
    <x v="4"/>
    <x v="4"/>
    <s v="@06@"/>
    <x v="0"/>
    <s v="Gerencia Requisitante"/>
    <x v="236"/>
    <s v="J102"/>
    <s v="BPC"/>
    <x v="24"/>
    <s v=""/>
    <x v="24"/>
    <x v="193"/>
    <x v="28"/>
    <d v="2026-02-09T00:00:00"/>
    <n v="20020"/>
    <d v="2025-12-11T00:00:00"/>
    <n v="5001899341"/>
    <x v="0"/>
    <n v="373114"/>
    <s v=""/>
    <d v="2025-12-12T00:00:00"/>
    <s v="ST2OLIVEJO"/>
    <m/>
    <m/>
    <m/>
    <n v="5001902728"/>
    <n v="2025"/>
    <n v="9004035133"/>
    <n v="2025"/>
    <n v="10420980"/>
    <x v="21"/>
    <s v="Joao Victor De Oliveira"/>
    <x v="2"/>
    <n v="0"/>
    <s v=""/>
    <s v=""/>
    <n v="6999999"/>
    <x v="1"/>
    <m/>
    <s v="B2301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1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S5:AB30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4"/>
        <item h="1" m="1" x="28"/>
        <item x="0"/>
        <item x="12"/>
        <item h="1" x="4"/>
        <item m="1" x="19"/>
        <item m="1" x="21"/>
        <item m="1" x="20"/>
        <item x="13"/>
        <item m="1" x="26"/>
        <item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m="1" x="27"/>
        <item x="6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">
        <item m="1" x="106"/>
        <item x="6"/>
        <item x="15"/>
        <item x="43"/>
        <item m="1" x="48"/>
        <item m="1" x="73"/>
        <item x="1"/>
        <item m="1" x="80"/>
        <item x="4"/>
        <item x="22"/>
        <item m="1" x="65"/>
        <item x="29"/>
        <item x="9"/>
        <item x="10"/>
        <item m="1" x="64"/>
        <item x="3"/>
        <item x="25"/>
        <item x="30"/>
        <item x="40"/>
        <item m="1" x="110"/>
        <item x="39"/>
        <item m="1" x="94"/>
        <item m="1" x="75"/>
        <item m="1" x="87"/>
        <item x="5"/>
        <item m="1" x="53"/>
        <item x="38"/>
        <item m="1" x="108"/>
        <item m="1" x="105"/>
        <item m="1" x="68"/>
        <item x="44"/>
        <item m="1" x="93"/>
        <item m="1" x="74"/>
        <item x="33"/>
        <item m="1" x="47"/>
        <item m="1" x="79"/>
        <item m="1" x="54"/>
        <item m="1" x="95"/>
        <item m="1" x="49"/>
        <item m="1" x="103"/>
        <item x="2"/>
        <item x="18"/>
        <item m="1" x="109"/>
        <item x="0"/>
        <item x="42"/>
        <item x="34"/>
        <item m="1" x="102"/>
        <item x="21"/>
        <item m="1" x="101"/>
        <item m="1" x="61"/>
        <item m="1" x="97"/>
        <item x="13"/>
        <item m="1" x="45"/>
        <item m="1" x="58"/>
        <item m="1" x="50"/>
        <item m="1" x="98"/>
        <item m="1" x="99"/>
        <item m="1" x="96"/>
        <item x="19"/>
        <item x="26"/>
        <item x="7"/>
        <item x="12"/>
        <item m="1" x="57"/>
        <item x="23"/>
        <item m="1" x="86"/>
        <item x="14"/>
        <item x="27"/>
        <item m="1" x="92"/>
        <item m="1" x="60"/>
        <item m="1" x="89"/>
        <item m="1" x="100"/>
        <item m="1" x="107"/>
        <item m="1" x="72"/>
        <item m="1" x="70"/>
        <item x="28"/>
        <item m="1" x="78"/>
        <item m="1" x="83"/>
        <item m="1" x="56"/>
        <item x="41"/>
        <item m="1" x="85"/>
        <item m="1" x="104"/>
        <item m="1" x="62"/>
        <item m="1" x="91"/>
        <item m="1" x="51"/>
        <item m="1" x="63"/>
        <item m="1" x="66"/>
        <item m="1" x="76"/>
        <item m="1" x="90"/>
        <item m="1" x="52"/>
        <item m="1" x="88"/>
        <item x="24"/>
        <item m="1" x="82"/>
        <item x="16"/>
        <item x="31"/>
        <item m="1" x="81"/>
        <item m="1" x="69"/>
        <item m="1" x="84"/>
        <item m="1" x="77"/>
        <item x="20"/>
        <item x="8"/>
        <item x="11"/>
        <item x="35"/>
        <item m="1" x="71"/>
        <item m="1" x="59"/>
        <item m="1" x="67"/>
        <item x="37"/>
        <item x="32"/>
        <item m="1" x="55"/>
        <item x="36"/>
        <item x="17"/>
        <item m="1"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37"/>
        <item m="1" x="34"/>
        <item x="9"/>
        <item m="1" x="51"/>
        <item x="7"/>
        <item m="1" x="44"/>
        <item m="1" x="39"/>
        <item x="2"/>
        <item x="8"/>
        <item x="18"/>
        <item x="32"/>
        <item x="4"/>
        <item x="3"/>
        <item x="1"/>
        <item x="20"/>
        <item x="24"/>
        <item x="29"/>
        <item x="28"/>
        <item m="1" x="41"/>
        <item x="5"/>
        <item m="1" x="35"/>
        <item x="27"/>
        <item x="6"/>
        <item m="1" x="52"/>
        <item m="1" x="40"/>
        <item m="1" x="45"/>
        <item m="1" x="33"/>
        <item m="1" x="36"/>
        <item m="1" x="46"/>
        <item x="16"/>
        <item x="0"/>
        <item x="31"/>
        <item m="1" x="50"/>
        <item m="1" x="47"/>
        <item m="1" x="48"/>
        <item x="17"/>
        <item x="21"/>
        <item m="1" x="49"/>
        <item x="19"/>
        <item m="1" x="43"/>
        <item x="13"/>
        <item x="22"/>
        <item x="26"/>
        <item x="14"/>
        <item x="23"/>
        <item x="30"/>
        <item m="1" x="42"/>
        <item m="1" x="38"/>
        <item x="25"/>
        <item x="11"/>
        <item x="10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24">
    <i>
      <x v="1"/>
      <x v="1"/>
      <x v="22"/>
    </i>
    <i r="1">
      <x v="2"/>
      <x v="43"/>
    </i>
    <i r="1">
      <x v="6"/>
      <x v="13"/>
    </i>
    <i r="1">
      <x v="8"/>
      <x v="11"/>
    </i>
    <i r="1">
      <x v="11"/>
      <x v="4"/>
    </i>
    <i r="1">
      <x v="12"/>
      <x v="8"/>
    </i>
    <i r="1">
      <x v="13"/>
      <x v="2"/>
    </i>
    <i r="1">
      <x v="15"/>
      <x v="12"/>
    </i>
    <i r="1">
      <x v="17"/>
      <x v="15"/>
    </i>
    <i r="1">
      <x v="20"/>
      <x v="17"/>
    </i>
    <i r="1">
      <x v="40"/>
      <x v="7"/>
    </i>
    <i r="1">
      <x v="41"/>
      <x v="29"/>
    </i>
    <i r="1">
      <x v="43"/>
      <x v="30"/>
    </i>
    <i r="1">
      <x v="51"/>
      <x v="51"/>
    </i>
    <i r="1">
      <x v="58"/>
      <x v="35"/>
    </i>
    <i r="1">
      <x v="60"/>
      <x v="7"/>
    </i>
    <i r="1">
      <x v="66"/>
      <x v="41"/>
    </i>
    <i r="1">
      <x v="78"/>
      <x v="45"/>
    </i>
    <i r="1">
      <x v="92"/>
      <x v="7"/>
    </i>
    <i r="1">
      <x v="93"/>
      <x v="48"/>
    </i>
    <i r="1">
      <x v="99"/>
      <x v="4"/>
    </i>
    <i r="1">
      <x v="100"/>
      <x v="50"/>
    </i>
    <i r="1">
      <x v="109"/>
      <x v="52"/>
    </i>
    <i t="grand">
      <x/>
    </i>
  </rowItems>
  <colFields count="1">
    <field x="0"/>
  </colFields>
  <colItems count="7"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formats count="1">
    <format dxfId="10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3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 chartFormat="2">
  <location ref="AM5:AV19" firstHeaderRow="1" firstDataRow="2" firstDataCol="3" rowPageCount="1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sortType="ascending" defaultSubtotal="0">
      <items count="29">
        <item x="14"/>
        <item m="1" x="28"/>
        <item x="0"/>
        <item x="12"/>
        <item h="1" x="4"/>
        <item m="1" x="19"/>
        <item m="1" x="21"/>
        <item m="1" x="20"/>
        <item x="13"/>
        <item m="1" x="26"/>
        <item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m="1" x="27"/>
        <item x="6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4"/>
        <item x="3"/>
        <item x="6"/>
        <item x="7"/>
        <item x="1"/>
        <item x="2"/>
        <item x="0"/>
        <item x="5"/>
        <item m="1"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2"/>
    <field x="1"/>
  </rowFields>
  <rowItems count="13">
    <i>
      <x v="1"/>
      <x v="3"/>
      <x/>
    </i>
    <i r="1">
      <x v="4"/>
      <x v="14"/>
    </i>
    <i r="1">
      <x v="5"/>
      <x v="14"/>
    </i>
    <i r="1">
      <x v="6"/>
      <x v="2"/>
    </i>
    <i r="2">
      <x v="3"/>
    </i>
    <i r="2">
      <x v="8"/>
    </i>
    <i r="2">
      <x v="12"/>
    </i>
    <i r="2">
      <x v="15"/>
    </i>
    <i r="2">
      <x v="17"/>
    </i>
    <i r="2">
      <x v="20"/>
    </i>
    <i r="2">
      <x v="25"/>
    </i>
    <i r="1">
      <x v="7"/>
      <x v="19"/>
    </i>
    <i t="grand">
      <x/>
    </i>
  </rowItems>
  <colFields count="1">
    <field x="0"/>
  </colFields>
  <colItems count="7"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4" hier="-1"/>
  </pageFields>
  <dataFields count="1">
    <dataField name="Sum of Total Nota" fld="15" baseField="11" baseItem="4" numFmtId="3"/>
  </dataFields>
  <formats count="1">
    <format dxfId="11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2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J175" firstHeaderRow="1" firstDataRow="1" firstDataCol="9" rowPageCount="2" colPageCount="1"/>
  <pivotFields count="4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4"/>
        <item h="1" m="1" x="28"/>
        <item x="0"/>
        <item x="12"/>
        <item h="1" x="4"/>
        <item m="1" x="19"/>
        <item m="1" x="21"/>
        <item m="1" x="20"/>
        <item x="13"/>
        <item m="1" x="26"/>
        <item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m="1" x="27"/>
        <item x="6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5"/>
        <item x="2"/>
        <item x="0"/>
        <item x="7"/>
        <item x="4"/>
        <item x="3"/>
        <item x="6"/>
        <item m="1"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26">
        <item m="1" x="2463"/>
        <item m="1" x="2855"/>
        <item m="1" x="2030"/>
        <item m="1" x="2241"/>
        <item m="1" x="2361"/>
        <item m="1" x="2770"/>
        <item m="1" x="2847"/>
        <item m="1" x="2567"/>
        <item m="1" x="2135"/>
        <item m="1" x="2453"/>
        <item m="1" x="1930"/>
        <item m="1" x="2034"/>
        <item m="1" x="2621"/>
        <item m="1" x="2635"/>
        <item m="1" x="2417"/>
        <item m="1" x="2185"/>
        <item m="1" x="2958"/>
        <item m="1" x="2397"/>
        <item m="1" x="1666"/>
        <item m="1" x="1900"/>
        <item m="1" x="2231"/>
        <item m="1" x="1659"/>
        <item m="1" x="2122"/>
        <item m="1" x="2162"/>
        <item m="1" x="2089"/>
        <item m="1" x="2894"/>
        <item m="1" x="1629"/>
        <item m="1" x="2699"/>
        <item m="1" x="2659"/>
        <item m="1" x="1538"/>
        <item m="1" x="1653"/>
        <item m="1" x="1681"/>
        <item m="1" x="406"/>
        <item m="1" x="1901"/>
        <item m="1" x="604"/>
        <item m="1" x="2693"/>
        <item m="1" x="1865"/>
        <item m="1" x="2194"/>
        <item m="1" x="2236"/>
        <item m="1" x="2260"/>
        <item m="1" x="2353"/>
        <item m="1" x="3009"/>
        <item m="1" x="2495"/>
        <item m="1" x="1744"/>
        <item m="1" x="1797"/>
        <item m="1" x="2745"/>
        <item m="1" x="2571"/>
        <item m="1" x="1962"/>
        <item m="1" x="1983"/>
        <item m="1" x="2167"/>
        <item m="1" x="2622"/>
        <item m="1" x="2630"/>
        <item m="1" x="2636"/>
        <item m="1" x="2642"/>
        <item m="1" x="1963"/>
        <item m="1" x="1204"/>
        <item m="1" x="1470"/>
        <item m="1" x="2481"/>
        <item m="1" x="1729"/>
        <item m="1" x="2760"/>
        <item m="1" x="669"/>
        <item m="1" x="2766"/>
        <item m="1" x="1682"/>
        <item m="1" x="1731"/>
        <item m="1" x="1953"/>
        <item m="1" x="2212"/>
        <item m="1" x="1549"/>
        <item m="1" x="2761"/>
        <item m="1" x="1499"/>
        <item m="1" x="1520"/>
        <item m="1" x="2426"/>
        <item m="1" x="2909"/>
        <item m="1" x="2108"/>
        <item m="1" x="1752"/>
        <item m="1" x="1966"/>
        <item m="1" x="2311"/>
        <item m="1" x="2393"/>
        <item m="1" x="2439"/>
        <item m="1" x="2406"/>
        <item m="1" x="3008"/>
        <item m="1" x="1488"/>
        <item m="1" x="1654"/>
        <item m="1" x="1589"/>
        <item m="1" x="1796"/>
        <item m="1" x="638"/>
        <item m="1" x="2876"/>
        <item m="1" x="2884"/>
        <item m="1" x="2890"/>
        <item m="1" x="2897"/>
        <item m="1" x="2902"/>
        <item m="1" x="2907"/>
        <item m="1" x="1471"/>
        <item m="1" x="1481"/>
        <item m="1" x="1489"/>
        <item m="1" x="1495"/>
        <item m="1" x="2577"/>
        <item m="1" x="2581"/>
        <item m="1" x="2784"/>
        <item m="1" x="2716"/>
        <item m="1" x="2668"/>
        <item m="1" x="2410"/>
        <item m="1" x="2780"/>
        <item m="1" x="2873"/>
        <item m="1" x="2012"/>
        <item m="1" x="2925"/>
        <item m="1" x="2057"/>
        <item m="1" x="2269"/>
        <item m="1" x="1844"/>
        <item m="1" x="2920"/>
        <item m="1" x="1928"/>
        <item m="1" x="2775"/>
        <item m="1" x="2503"/>
        <item m="1" x="2323"/>
        <item m="1" x="555"/>
        <item m="1" x="2498"/>
        <item m="1" x="338"/>
        <item m="1" x="2471"/>
        <item m="1" x="2261"/>
        <item m="1" x="2290"/>
        <item m="1" x="1955"/>
        <item m="1" x="2663"/>
        <item m="1" x="608"/>
        <item m="1" x="1427"/>
        <item m="1" x="624"/>
        <item m="1" x="2981"/>
        <item m="1" x="1148"/>
        <item m="1" x="2580"/>
        <item m="1" x="906"/>
        <item m="1" x="3015"/>
        <item m="1" x="849"/>
        <item m="1" x="2152"/>
        <item m="1" x="2615"/>
        <item m="1" x="2715"/>
        <item m="1" x="2891"/>
        <item m="1" x="2667"/>
        <item m="1" x="2875"/>
        <item m="1" x="2494"/>
        <item m="1" x="2694"/>
        <item m="1" x="2686"/>
        <item m="1" x="728"/>
        <item m="1" x="1147"/>
        <item m="1" x="1811"/>
        <item m="1" x="1868"/>
        <item m="1" x="1917"/>
        <item m="1" x="2946"/>
        <item m="1" x="2476"/>
        <item m="1" x="2019"/>
        <item m="1" x="2067"/>
        <item m="1" x="2125"/>
        <item m="1" x="1742"/>
        <item m="1" x="2653"/>
        <item m="1" x="1782"/>
        <item m="1" x="2589"/>
        <item m="1" x="2878"/>
        <item m="1" x="2094"/>
        <item m="1" x="2899"/>
        <item m="1" x="2121"/>
        <item m="1" x="2500"/>
        <item m="1" x="1603"/>
        <item m="1" x="2160"/>
        <item m="1" x="1663"/>
        <item m="1" x="2809"/>
        <item m="1" x="2150"/>
        <item m="1" x="1469"/>
        <item m="1" x="1479"/>
        <item m="1" x="2542"/>
        <item m="1" x="2915"/>
        <item m="1" x="1707"/>
        <item m="1" x="2133"/>
        <item m="1" x="2566"/>
        <item m="1" x="2945"/>
        <item m="1" x="1738"/>
        <item m="1" x="1761"/>
        <item m="1" x="1487"/>
        <item m="1" x="2814"/>
        <item m="1" x="2778"/>
        <item m="1" x="1490"/>
        <item m="1" x="3014"/>
        <item m="1" x="1494"/>
        <item m="1" x="1517"/>
        <item m="1" x="1619"/>
        <item m="1" x="1723"/>
        <item m="1" x="1834"/>
        <item m="1" x="1935"/>
        <item m="1" x="1376"/>
        <item m="1" x="1945"/>
        <item m="1" x="1959"/>
        <item m="1" x="1970"/>
        <item m="1" x="2059"/>
        <item m="1" x="2068"/>
        <item m="1" x="2871"/>
        <item m="1" x="2142"/>
        <item m="1" x="2432"/>
        <item m="1" x="2402"/>
        <item m="1" x="2444"/>
        <item m="1" x="2502"/>
        <item m="1" x="2559"/>
        <item m="1" x="2072"/>
        <item m="1" x="2297"/>
        <item m="1" x="2292"/>
        <item m="1" x="2424"/>
        <item m="1" x="2016"/>
        <item m="1" x="2524"/>
        <item m="1" x="1588"/>
        <item m="1" x="2254"/>
        <item m="1" x="1812"/>
        <item m="1" x="2848"/>
        <item m="1" x="1633"/>
        <item m="1" x="1646"/>
        <item m="1" x="1976"/>
        <item m="1" x="1992"/>
        <item m="1" x="2005"/>
        <item m="1" x="320"/>
        <item m="1" x="1442"/>
        <item m="1" x="1656"/>
        <item m="1" x="2026"/>
        <item m="1" x="2843"/>
        <item m="1" x="1516"/>
        <item m="1" x="2112"/>
        <item m="1" x="2456"/>
        <item m="1" x="2671"/>
        <item m="1" x="1661"/>
        <item m="1" x="2374"/>
        <item m="1" x="2420"/>
        <item m="1" x="2881"/>
        <item m="1" x="2229"/>
        <item m="1" x="2551"/>
        <item m="1" x="1985"/>
        <item m="1" x="2952"/>
        <item m="1" x="2145"/>
        <item m="1" x="2165"/>
        <item m="1" x="2276"/>
        <item m="1" x="2485"/>
        <item x="167"/>
        <item m="1" x="2477"/>
        <item m="1" x="1779"/>
        <item m="1" x="1450"/>
        <item m="1" x="2543"/>
        <item m="1" x="2765"/>
        <item m="1" x="2846"/>
        <item m="1" x="1002"/>
        <item m="1" x="2532"/>
        <item m="1" x="2538"/>
        <item m="1" x="2540"/>
        <item m="1" x="1706"/>
        <item m="1" x="2413"/>
        <item m="1" x="1887"/>
        <item m="1" x="2418"/>
        <item m="1" x="2283"/>
        <item m="1" x="2505"/>
        <item m="1" x="2529"/>
        <item m="1" x="2988"/>
        <item m="1" x="2556"/>
        <item m="1" x="2646"/>
        <item m="1" x="2512"/>
        <item m="1" x="1451"/>
        <item m="1" x="1982"/>
        <item m="1" x="1822"/>
        <item m="1" x="2339"/>
        <item m="1" x="1745"/>
        <item m="1" x="3002"/>
        <item m="1" x="2003"/>
        <item m="1" x="2670"/>
        <item m="1" x="1542"/>
        <item m="1" x="2522"/>
        <item m="1" x="1536"/>
        <item m="1" x="2605"/>
        <item m="1" x="2187"/>
        <item m="1" x="2845"/>
        <item m="1" x="3025"/>
        <item m="1" x="1443"/>
        <item m="1" x="1325"/>
        <item m="1" x="2732"/>
        <item m="1" x="2091"/>
        <item x="228"/>
        <item m="1" x="2196"/>
        <item m="1" x="1710"/>
        <item m="1" x="2250"/>
        <item m="1" x="2307"/>
        <item m="1" x="2371"/>
        <item m="1" x="1892"/>
        <item m="1" x="1036"/>
        <item m="1" x="2759"/>
        <item m="1" x="1762"/>
        <item m="1" x="2382"/>
        <item m="1" x="1537"/>
        <item m="1" x="2800"/>
        <item m="1" x="2574"/>
        <item m="1" x="1851"/>
        <item m="1" x="2695"/>
        <item m="1" x="1857"/>
        <item m="1" x="2252"/>
        <item m="1" x="2071"/>
        <item m="1" x="2377"/>
        <item m="1" x="2202"/>
        <item m="1" x="2425"/>
        <item m="1" x="2552"/>
        <item m="1" x="2572"/>
        <item m="1" x="1947"/>
        <item m="1" x="2852"/>
        <item m="1" x="2344"/>
        <item m="1" x="2541"/>
        <item m="1" x="936"/>
        <item m="1" x="2912"/>
        <item m="1" x="1705"/>
        <item m="1" x="2132"/>
        <item m="1" x="2565"/>
        <item m="1" x="2944"/>
        <item m="1" x="1736"/>
        <item m="1" x="2158"/>
        <item m="1" x="2984"/>
        <item m="1" x="309"/>
        <item m="1" x="1850"/>
        <item m="1" x="1789"/>
        <item m="1" x="2709"/>
        <item m="1" x="2857"/>
        <item m="1" x="1616"/>
        <item m="1" x="2116"/>
        <item m="1" x="1826"/>
        <item m="1" x="2047"/>
        <item m="1" x="2151"/>
        <item m="1" x="1743"/>
        <item m="1" x="2721"/>
        <item m="1" x="1891"/>
        <item m="1" x="2130"/>
        <item m="1" x="2782"/>
        <item m="1" x="2712"/>
        <item m="1" x="1532"/>
        <item m="1" x="1950"/>
        <item m="1" x="1997"/>
        <item m="1" x="1685"/>
        <item m="1" x="2293"/>
        <item m="1" x="3012"/>
        <item m="1" x="2802"/>
        <item m="1" x="1795"/>
        <item m="1" x="2004"/>
        <item m="1" x="2102"/>
        <item m="1" x="1625"/>
        <item m="1" x="1695"/>
        <item m="1" x="1805"/>
        <item m="1" x="2008"/>
        <item m="1" x="1879"/>
        <item m="1" x="2295"/>
        <item m="1" x="2325"/>
        <item m="1" x="1497"/>
        <item m="1" x="2910"/>
        <item m="1" x="2731"/>
        <item m="1" x="1649"/>
        <item m="1" x="1861"/>
        <item m="1" x="1869"/>
        <item m="1" x="1877"/>
        <item m="1" x="2764"/>
        <item m="1" x="1558"/>
        <item m="1" x="1648"/>
        <item m="1" x="2043"/>
        <item m="1" x="1989"/>
        <item m="1" x="1445"/>
        <item m="1" x="1584"/>
        <item m="1" x="2429"/>
        <item m="1" x="2823"/>
        <item m="1" x="2383"/>
        <item m="1" x="2395"/>
        <item m="1" x="2126"/>
        <item m="1" x="1604"/>
        <item m="1" x="2024"/>
        <item m="1" x="1998"/>
        <item m="1" x="3022"/>
        <item m="1" x="2708"/>
        <item m="1" x="2856"/>
        <item m="1" x="1609"/>
        <item m="1" x="2798"/>
        <item m="1" x="2831"/>
        <item m="1" x="2243"/>
        <item m="1" x="2976"/>
        <item m="1" x="2990"/>
        <item m="1" x="2753"/>
        <item m="1" x="2172"/>
        <item m="1" x="2528"/>
        <item m="1" x="2557"/>
        <item m="1" x="1591"/>
        <item m="1" x="1478"/>
        <item m="1" x="2959"/>
        <item m="1" x="2664"/>
        <item m="1" x="1788"/>
        <item m="1" x="2208"/>
        <item m="1" x="1814"/>
        <item m="1" x="276"/>
        <item m="1" x="2638"/>
        <item m="1" x="2999"/>
        <item m="1" x="3021"/>
        <item m="1" x="2235"/>
        <item m="1" x="784"/>
        <item m="1" x="2908"/>
        <item m="1" x="2821"/>
        <item m="1" x="1750"/>
        <item m="1" x="1964"/>
        <item m="1" x="2171"/>
        <item m="1" x="2398"/>
        <item m="1" x="2600"/>
        <item m="1" x="2206"/>
        <item m="1" x="2213"/>
        <item m="1" x="2216"/>
        <item m="1" x="2219"/>
        <item m="1" x="2223"/>
        <item m="1" x="2225"/>
        <item m="1" x="1711"/>
        <item m="1" x="1824"/>
        <item m="1" x="1927"/>
        <item m="1" x="2039"/>
        <item m="1" x="1575"/>
        <item m="1" x="1578"/>
        <item m="1" x="1582"/>
        <item m="1" x="2962"/>
        <item m="1" x="1823"/>
        <item m="1" x="1574"/>
        <item m="1" x="2978"/>
        <item m="1" x="2289"/>
        <item m="1" x="2665"/>
        <item m="1" x="1507"/>
        <item m="1" x="1612"/>
        <item m="1" x="1759"/>
        <item m="1" x="525"/>
        <item m="1" x="488"/>
        <item m="1" x="2943"/>
        <item m="1" x="2547"/>
        <item m="1" x="2850"/>
        <item m="1" x="2865"/>
        <item m="1" x="2922"/>
        <item m="1" x="2062"/>
        <item m="1" x="2974"/>
        <item m="1" x="2965"/>
        <item m="1" x="2342"/>
        <item m="1" x="2874"/>
        <item m="1" x="1513"/>
        <item m="1" x="2733"/>
        <item m="1" x="1498"/>
        <item m="1" x="2179"/>
        <item m="1" x="2364"/>
        <item m="1" x="2835"/>
        <item m="1" x="1921"/>
        <item m="1" x="2350"/>
        <item m="1" x="2762"/>
        <item m="1" x="1527"/>
        <item m="1" x="474"/>
        <item m="1" x="2454"/>
        <item m="1" x="2354"/>
        <item m="1" x="1634"/>
        <item m="1" x="2092"/>
        <item m="1" x="2951"/>
        <item m="1" x="2335"/>
        <item m="1" x="1748"/>
        <item m="1" x="2928"/>
        <item m="1" x="2768"/>
        <item m="1" x="1870"/>
        <item m="1" x="2149"/>
        <item m="1" x="2157"/>
        <item m="1" x="2163"/>
        <item m="1" x="2811"/>
        <item m="1" x="2147"/>
        <item m="1" x="2329"/>
        <item m="1" x="1570"/>
        <item m="1" x="1447"/>
        <item m="1" x="2301"/>
        <item m="1" x="1474"/>
        <item m="1" x="2684"/>
        <item m="1" x="1699"/>
        <item m="1" x="875"/>
        <item m="1" x="2683"/>
        <item m="1" x="2460"/>
        <item m="1" x="2430"/>
        <item m="1" x="2210"/>
        <item m="1" x="1739"/>
        <item m="1" x="1889"/>
        <item m="1" x="1030"/>
        <item m="1" x="1534"/>
        <item m="1" x="2340"/>
        <item m="1" x="2348"/>
        <item m="1" x="2359"/>
        <item m="1" x="2368"/>
        <item x="25"/>
        <item m="1" x="2496"/>
        <item m="1" x="2274"/>
        <item m="1" x="1755"/>
        <item m="1" x="535"/>
        <item m="1" x="2025"/>
        <item m="1" x="1920"/>
        <item m="1" x="2682"/>
        <item m="1" x="2373"/>
        <item m="1" x="1530"/>
        <item m="1" x="1503"/>
        <item m="1" x="2446"/>
        <item m="1" x="2022"/>
        <item m="1" x="2128"/>
        <item m="1" x="1974"/>
        <item m="1" x="2704"/>
        <item m="1" x="2644"/>
        <item m="1" x="1678"/>
        <item m="1" x="2085"/>
        <item m="1" x="2859"/>
        <item m="1" x="2090"/>
        <item m="1" x="1571"/>
        <item m="1" x="2078"/>
        <item m="1" x="2414"/>
        <item m="1" x="810"/>
        <item m="1" x="2582"/>
        <item m="1" x="2785"/>
        <item m="1" x="1894"/>
        <item m="1" x="2316"/>
        <item m="1" x="2469"/>
        <item m="1" x="2470"/>
        <item m="1" x="1577"/>
        <item m="1" x="2434"/>
        <item m="1" x="1092"/>
        <item m="1" x="2443"/>
        <item m="1" x="2501"/>
        <item m="1" x="2729"/>
        <item m="1" x="1735"/>
        <item m="1" x="2586"/>
        <item m="1" x="2637"/>
        <item m="1" x="2042"/>
        <item m="1" x="1455"/>
        <item m="1" x="1467"/>
        <item m="1" x="1435"/>
        <item m="1" x="2934"/>
        <item m="1" x="1567"/>
        <item m="1" x="1768"/>
        <item m="1" x="2007"/>
        <item m="1" x="2916"/>
        <item m="1" x="1514"/>
        <item m="1" x="2437"/>
        <item m="1" x="2904"/>
        <item m="1" x="1722"/>
        <item m="1" x="2010"/>
        <item m="1" x="2851"/>
        <item m="1" x="850"/>
        <item m="1" x="2977"/>
        <item m="1" x="1957"/>
        <item m="1" x="1980"/>
        <item m="1" x="1994"/>
        <item m="1" x="2020"/>
        <item m="1" x="2037"/>
        <item m="1" x="2825"/>
        <item m="1" x="2810"/>
        <item m="1" x="2200"/>
        <item m="1" x="1436"/>
        <item m="1" x="1357"/>
        <item m="1" x="1545"/>
        <item m="1" x="2889"/>
        <item m="1" x="2520"/>
        <item m="1" x="1606"/>
        <item m="1" x="2639"/>
        <item m="1" x="1556"/>
        <item m="1" x="1647"/>
        <item m="1" x="2337"/>
        <item m="1" x="2391"/>
        <item m="1" x="2436"/>
        <item m="1" x="2490"/>
        <item m="1" x="2594"/>
        <item m="1" x="2550"/>
        <item m="1" x="1716"/>
        <item m="1" x="1828"/>
        <item m="1" x="1977"/>
        <item m="1" x="2860"/>
        <item m="1" x="2866"/>
        <item m="1" x="791"/>
        <item m="1" x="715"/>
        <item m="1" x="2558"/>
        <item m="1" x="2549"/>
        <item m="1" x="1543"/>
        <item m="1" x="2706"/>
        <item m="1" x="1866"/>
        <item m="1" x="2253"/>
        <item m="1" x="2263"/>
        <item m="1" x="2356"/>
        <item m="1" x="1791"/>
        <item m="1" x="2610"/>
        <item m="1" x="2464"/>
        <item m="1" x="2747"/>
        <item m="1" x="2267"/>
        <item m="1" x="2723"/>
        <item m="1" x="2777"/>
        <item m="1" x="2021"/>
        <item m="1" x="2448"/>
        <item m="1" x="2750"/>
        <item m="1" x="968"/>
        <item m="1" x="1730"/>
        <item m="1" x="2466"/>
        <item m="1" x="2711"/>
        <item m="1" x="2737"/>
        <item m="1" x="2769"/>
        <item m="1" x="2696"/>
        <item m="1" x="1626"/>
        <item m="1" x="2441"/>
        <item m="1" x="2864"/>
        <item m="1" x="2964"/>
        <item m="1" x="2161"/>
        <item m="1" x="2801"/>
        <item m="1" x="1605"/>
        <item m="1" x="2215"/>
        <item m="1" x="1453"/>
        <item m="1" x="1644"/>
        <item m="1" x="2840"/>
        <item m="1" x="3017"/>
        <item m="1" x="1624"/>
        <item m="1" x="2555"/>
        <item m="1" x="2475"/>
        <item m="1" x="2817"/>
        <item m="1" x="1671"/>
        <item m="1" x="1680"/>
        <item m="1" x="1693"/>
        <item m="1" x="696"/>
        <item m="1" x="2587"/>
        <item m="1" x="866"/>
        <item m="1" x="1460"/>
        <item m="1" x="1562"/>
        <item m="1" x="2819"/>
        <item m="1" x="2220"/>
        <item m="1" x="1515"/>
        <item m="1" x="2230"/>
        <item m="1" x="2233"/>
        <item m="1" x="3023"/>
        <item m="1" x="1940"/>
        <item m="1" x="1815"/>
        <item m="1" x="1785"/>
        <item m="1" x="2278"/>
        <item m="1" x="2401"/>
        <item m="1" x="1885"/>
        <item m="1" x="2940"/>
        <item m="1" x="2924"/>
        <item m="1" x="2929"/>
        <item m="1" x="2930"/>
        <item m="1" x="1968"/>
        <item m="1" x="2954"/>
        <item m="1" x="1617"/>
        <item m="1" x="1668"/>
        <item m="1" x="1720"/>
        <item m="1" x="2479"/>
        <item m="1" x="2588"/>
        <item m="1" x="2327"/>
        <item m="1" x="2438"/>
        <item m="1" x="2936"/>
        <item m="1" x="1468"/>
        <item m="1" x="2255"/>
        <item m="1" x="1632"/>
        <item m="1" x="2461"/>
        <item m="1" x="2506"/>
        <item m="1" x="2052"/>
        <item m="1" x="2247"/>
        <item m="1" x="1698"/>
        <item m="1" x="1683"/>
        <item m="1" x="592"/>
        <item x="9"/>
        <item m="1" x="2452"/>
        <item m="1" x="378"/>
        <item m="1" x="1466"/>
        <item m="1" x="2970"/>
        <item m="1" x="1493"/>
        <item m="1" x="2190"/>
        <item m="1" x="1529"/>
        <item m="1" x="2989"/>
        <item m="1" x="1561"/>
        <item m="1" x="2217"/>
        <item m="1" x="1630"/>
        <item m="1" x="1202"/>
        <item m="1" x="2613"/>
        <item m="1" x="1581"/>
        <item m="1" x="3004"/>
        <item m="1" x="1602"/>
        <item m="1" x="2245"/>
        <item m="1" x="1627"/>
        <item m="1" x="1418"/>
        <item m="1" x="1651"/>
        <item m="1" x="2268"/>
        <item m="1" x="1837"/>
        <item m="1" x="1670"/>
        <item m="1" x="2518"/>
        <item m="1" x="2526"/>
        <item m="1" x="2901"/>
        <item m="1" x="2858"/>
        <item m="1" x="2996"/>
        <item m="1" x="1862"/>
        <item m="1" x="2955"/>
        <item m="1" x="429"/>
        <item m="1" x="1580"/>
        <item m="1" x="1993"/>
        <item m="1" x="2606"/>
        <item m="1" x="2953"/>
        <item m="1" x="2168"/>
        <item m="1" x="2599"/>
        <item m="1" x="2975"/>
        <item m="1" x="1778"/>
        <item m="1" x="2199"/>
        <item m="1" x="2627"/>
        <item m="1" x="2096"/>
        <item m="1" x="2993"/>
        <item m="1" x="2336"/>
        <item m="1" x="2099"/>
        <item m="1" x="2324"/>
        <item m="1" x="1449"/>
        <item m="1" x="1884"/>
        <item m="1" x="2302"/>
        <item m="1" x="2011"/>
        <item m="1" x="2055"/>
        <item m="1" x="2193"/>
        <item m="1" x="2198"/>
        <item m="1" x="1502"/>
        <item m="1" x="2203"/>
        <item m="1" x="1809"/>
        <item m="1" x="2404"/>
        <item m="1" x="2211"/>
        <item m="1" x="1925"/>
        <item m="1" x="295"/>
        <item m="1" x="296"/>
        <item m="1" x="2018"/>
        <item m="1" x="2064"/>
        <item m="1" x="1965"/>
        <item m="1" x="1614"/>
        <item m="1" x="2703"/>
        <item m="1" x="2834"/>
        <item m="1" x="1298"/>
        <item m="1" x="2119"/>
        <item m="1" x="1999"/>
        <item m="1" x="2428"/>
        <item m="1" x="1751"/>
        <item m="1" x="2017"/>
        <item m="1" x="2893"/>
        <item m="1" x="2921"/>
        <item m="1" x="2931"/>
        <item m="1" x="2592"/>
        <item m="1" x="1640"/>
        <item m="1" x="2080"/>
        <item m="1" x="2175"/>
        <item m="1" x="2281"/>
        <item m="1" x="2380"/>
        <item m="1" x="2918"/>
        <item m="1" x="2164"/>
        <item m="1" x="1886"/>
        <item m="1" x="2038"/>
        <item m="1" x="2363"/>
        <item m="1" x="2885"/>
        <item m="1" x="2648"/>
        <item m="1" x="2863"/>
        <item m="1" x="2051"/>
        <item m="1" x="2896"/>
        <item m="1" x="2347"/>
        <item m="1" x="2898"/>
        <item m="1" x="2917"/>
        <item m="1" x="1505"/>
        <item m="1" x="2833"/>
        <item m="1" x="1462"/>
        <item m="1" x="1477"/>
        <item m="1" x="2183"/>
        <item m="1" x="2879"/>
        <item m="1" x="2546"/>
        <item m="1" x="2232"/>
        <item m="1" x="2692"/>
        <item m="1" x="2923"/>
        <item m="1" x="1615"/>
        <item m="1" x="1719"/>
        <item m="1" x="2474"/>
        <item m="1" x="2604"/>
        <item m="1" x="2867"/>
        <item m="1" x="2938"/>
        <item m="1" x="2314"/>
        <item m="1" x="2184"/>
        <item m="1" x="1475"/>
        <item m="1" x="2318"/>
        <item m="1" x="2044"/>
        <item m="1" x="2127"/>
        <item m="1" x="2776"/>
        <item m="1" x="2973"/>
        <item m="1" x="1933"/>
        <item m="1" x="2036"/>
        <item m="1" x="1645"/>
        <item m="1" x="1807"/>
        <item m="1" x="905"/>
        <item m="1" x="1836"/>
        <item m="1" x="1620"/>
        <item m="1" x="2888"/>
        <item m="1" x="2075"/>
        <item m="1" x="2531"/>
        <item m="1" x="2451"/>
        <item m="1" x="2405"/>
        <item m="1" x="1853"/>
        <item m="1" x="1932"/>
        <item m="1" x="2035"/>
        <item m="1" x="2517"/>
        <item m="1" x="2357"/>
        <item m="1" x="2403"/>
        <item m="1" x="2409"/>
        <item m="1" x="2678"/>
        <item m="1" x="2657"/>
        <item m="1" x="2702"/>
        <item m="1" x="2508"/>
        <item m="1" x="1907"/>
        <item m="1" x="2396"/>
        <item m="1" x="1882"/>
        <item m="1" x="1978"/>
        <item m="1" x="2082"/>
        <item m="1" x="2140"/>
        <item m="1" x="1767"/>
        <item m="1" x="2188"/>
        <item m="1" x="1454"/>
        <item m="1" x="2510"/>
        <item m="1" x="2591"/>
        <item m="1" x="2392"/>
        <item m="1" x="436"/>
        <item m="1" x="2246"/>
        <item m="1" x="2491"/>
        <item m="1" x="2304"/>
        <item m="1" x="2527"/>
        <item m="1" x="2718"/>
        <item m="1" x="2523"/>
        <item m="1" x="1741"/>
        <item m="1" x="2757"/>
        <item m="1" x="2023"/>
        <item m="1" x="1708"/>
        <item m="1" x="1684"/>
        <item m="1" x="2853"/>
        <item m="1" x="1459"/>
        <item m="1" x="1817"/>
        <item m="1" x="1875"/>
        <item m="1" x="1658"/>
        <item m="1" x="1642"/>
        <item m="1" x="2816"/>
        <item m="1" x="2343"/>
        <item m="1" x="1899"/>
        <item m="1" x="1702"/>
        <item m="1" x="1923"/>
        <item m="1" x="2170"/>
        <item m="1" x="1798"/>
        <item m="1" x="1871"/>
        <item m="1" x="2115"/>
        <item m="1" x="2450"/>
        <item m="1" x="1655"/>
        <item m="1" x="2687"/>
        <item m="1" x="1601"/>
        <item m="1" x="2971"/>
        <item m="1" x="1672"/>
        <item m="1" x="1845"/>
        <item m="1" x="1848"/>
        <item m="1" x="2445"/>
        <item m="1" x="1607"/>
        <item m="1" x="1391"/>
        <item m="1" x="1587"/>
        <item m="1" x="2738"/>
        <item m="1" x="2431"/>
        <item m="1" x="1586"/>
        <item m="1" x="2919"/>
        <item m="1" x="1600"/>
        <item m="1" x="2239"/>
        <item m="1" x="387"/>
        <item m="1" x="1613"/>
        <item m="1" x="2746"/>
        <item m="1" x="2310"/>
        <item m="1" x="2375"/>
        <item m="1" x="2101"/>
        <item m="1" x="1461"/>
        <item m="1" x="3011"/>
        <item m="1" x="2224"/>
        <item m="1" x="2124"/>
        <item m="1" x="1590"/>
        <item m="1" x="2533"/>
        <item m="1" x="2838"/>
        <item m="1" x="2994"/>
        <item m="1" x="1769"/>
        <item m="1" x="1803"/>
        <item m="1" x="2013"/>
        <item m="1" x="1047"/>
        <item m="1" x="1511"/>
        <item x="171"/>
        <item m="1" x="3003"/>
        <item m="1" x="1991"/>
        <item m="1" x="3010"/>
        <item m="1" x="2408"/>
        <item m="1" x="1599"/>
        <item m="1" x="2228"/>
        <item m="1" x="2597"/>
        <item m="1" x="2979"/>
        <item m="1" x="2514"/>
        <item m="1" x="1843"/>
        <item m="1" x="1995"/>
        <item m="1" x="1526"/>
        <item m="1" x="1623"/>
        <item m="1" x="1825"/>
        <item m="1" x="2440"/>
        <item m="1" x="321"/>
        <item m="1" x="1665"/>
        <item m="1" x="2093"/>
        <item m="1" x="1636"/>
        <item m="1" x="2378"/>
        <item m="1" x="1522"/>
        <item m="1" x="1596"/>
        <item m="1" x="2493"/>
        <item m="1" x="2394"/>
        <item m="1" x="2014"/>
        <item m="1" x="859"/>
        <item m="1" x="1657"/>
        <item m="1" x="460"/>
        <item m="1" x="1285"/>
        <item m="1" x="506"/>
        <item m="1" x="1818"/>
        <item m="1" x="2660"/>
        <item m="1" x="1386"/>
        <item m="1" x="2992"/>
        <item m="1" x="1463"/>
        <item m="1" x="1688"/>
        <item m="1" x="2950"/>
        <item m="1" x="1564"/>
        <item m="1" x="1518"/>
        <item m="1" x="1525"/>
        <item m="1" x="1491"/>
        <item m="1" x="1568"/>
        <item m="1" x="2634"/>
        <item m="1" x="2967"/>
        <item m="1" x="1559"/>
        <item m="1" x="2872"/>
        <item m="1" x="2548"/>
        <item m="1" x="2110"/>
        <item m="1" x="2376"/>
        <item m="1" x="2009"/>
        <item m="1" x="1691"/>
        <item m="1" x="2074"/>
        <item m="1" x="2480"/>
        <item x="30"/>
        <item m="1" x="1548"/>
        <item m="1" x="2063"/>
        <item m="1" x="2740"/>
        <item m="1" x="2537"/>
        <item x="215"/>
        <item m="1" x="1883"/>
        <item m="1" x="1715"/>
        <item x="178"/>
        <item m="1" x="3007"/>
        <item m="1" x="1635"/>
        <item m="1" x="1954"/>
        <item m="1" x="889"/>
        <item m="1" x="1827"/>
        <item m="1" x="1958"/>
        <item m="1" x="1618"/>
        <item m="1" x="1664"/>
        <item m="1" x="1448"/>
        <item m="1" x="1690"/>
        <item m="1" x="1746"/>
        <item m="1" x="2358"/>
        <item m="1" x="1800"/>
        <item m="1" x="1713"/>
        <item m="1" x="2384"/>
        <item m="1" x="2154"/>
        <item m="1" x="1569"/>
        <item m="1" x="1437"/>
        <item m="1" x="1753"/>
        <item m="1" x="3018"/>
        <item m="1" x="2806"/>
        <item m="1" x="1856"/>
        <item m="1" x="1424"/>
        <item m="1" x="2076"/>
        <item m="1" x="2608"/>
        <item m="1" x="2201"/>
        <item m="1" x="2258"/>
        <item m="1" x="2595"/>
        <item m="1" x="2218"/>
        <item m="1" x="2455"/>
        <item m="1" x="2662"/>
        <item m="1" x="1841"/>
        <item m="1" x="2980"/>
        <item m="1" x="2773"/>
        <item m="1" x="3019"/>
        <item m="1" x="2794"/>
        <item m="1" x="2561"/>
        <item m="1" x="2114"/>
        <item m="1" x="2585"/>
        <item m="1" x="2234"/>
        <item m="1" x="2717"/>
        <item m="1" x="2685"/>
        <item m="1" x="2321"/>
        <item m="1" x="658"/>
        <item m="1" x="1780"/>
        <item m="1" x="1510"/>
        <item m="1" x="2570"/>
        <item m="1" x="2673"/>
        <item m="1" x="2849"/>
        <item m="1" x="2427"/>
        <item m="1" x="2189"/>
        <item m="1" x="2562"/>
        <item m="1" x="2724"/>
        <item m="1" x="2701"/>
        <item m="1" x="2705"/>
        <item m="1" x="2617"/>
        <item m="1" x="2713"/>
        <item m="1" x="1801"/>
        <item m="1" x="2786"/>
        <item m="1" x="2983"/>
        <item m="1" x="1859"/>
        <item m="1" x="2714"/>
        <item m="1" x="1934"/>
        <item m="1" x="1509"/>
        <item m="1" x="1732"/>
        <item m="1" x="2573"/>
        <item m="1" x="1464"/>
        <item m="1" x="2726"/>
        <item m="1" x="1912"/>
        <item m="1" x="1389"/>
        <item m="1" x="332"/>
        <item m="1" x="2287"/>
        <item m="1" x="2720"/>
        <item m="1" x="2265"/>
        <item m="1" x="2306"/>
        <item m="1" x="1152"/>
        <item m="1" x="1960"/>
        <item m="1" x="2326"/>
        <item m="1" x="1055"/>
        <item m="1" x="2688"/>
        <item m="1" x="1056"/>
        <item m="1" x="2832"/>
        <item m="1" x="1057"/>
        <item m="1" x="2805"/>
        <item m="1" x="2903"/>
        <item m="1" x="1431"/>
        <item m="1" x="1416"/>
        <item m="1" x="1896"/>
        <item m="1" x="275"/>
        <item m="1" x="1908"/>
        <item m="1" x="2315"/>
        <item m="1" x="2675"/>
        <item m="1" x="1852"/>
        <item m="1" x="2300"/>
        <item m="1" x="1423"/>
        <item m="1" x="2291"/>
        <item m="1" x="1909"/>
        <item m="1" x="1643"/>
        <item m="1" x="1938"/>
        <item m="1" x="1787"/>
        <item m="1" x="1967"/>
        <item m="1" x="2886"/>
        <item m="1" x="1572"/>
        <item m="1" x="2387"/>
        <item m="1" x="1622"/>
        <item m="1" x="1595"/>
        <item m="1" x="1990"/>
        <item m="1" x="2982"/>
        <item m="1" x="2381"/>
        <item m="1" x="2045"/>
        <item m="1" x="2248"/>
        <item m="1" x="2349"/>
        <item m="1" x="1804"/>
        <item x="28"/>
        <item m="1" x="2237"/>
        <item m="1" x="861"/>
        <item m="1" x="2227"/>
        <item m="1" x="1972"/>
        <item m="1" x="930"/>
        <item m="1" x="2259"/>
        <item m="1" x="1638"/>
        <item m="1" x="2423"/>
        <item m="1" x="3013"/>
        <item m="1" x="2285"/>
        <item m="1" x="1107"/>
        <item m="1" x="1840"/>
        <item m="1" x="1563"/>
        <item m="1" x="2656"/>
        <item m="1" x="1440"/>
        <item m="1" x="2123"/>
        <item m="1" x="2173"/>
        <item m="1" x="2877"/>
        <item m="1" x="2083"/>
        <item m="1" x="2041"/>
        <item m="1" x="2355"/>
        <item m="1" x="2797"/>
        <item m="1" x="976"/>
        <item m="1" x="2370"/>
        <item m="1" x="2535"/>
        <item m="1" x="2482"/>
        <item m="1" x="1523"/>
        <item m="1" x="2804"/>
        <item m="1" x="1048"/>
        <item m="1" x="1576"/>
        <item m="1" x="2195"/>
        <item m="1" x="1508"/>
        <item m="1" x="2935"/>
        <item m="1" x="458"/>
        <item m="1" x="1611"/>
        <item m="1" x="2400"/>
        <item m="1" x="2346"/>
        <item m="1" x="782"/>
        <item m="1" x="2758"/>
        <item m="1" x="1941"/>
        <item m="1" x="2379"/>
        <item m="1" x="2783"/>
        <item m="1" x="1554"/>
        <item m="1" x="2789"/>
        <item m="1" x="2087"/>
        <item m="1" x="2303"/>
        <item m="1" x="2749"/>
        <item x="0"/>
        <item m="1" x="2141"/>
        <item m="1" x="2372"/>
        <item m="1" x="1895"/>
        <item m="1" x="1939"/>
        <item m="1" x="2553"/>
        <item m="1" x="1679"/>
        <item m="1" x="1831"/>
        <item m="1" x="1701"/>
        <item m="1" x="2534"/>
        <item m="1" x="2674"/>
        <item m="1" x="1452"/>
        <item m="1" x="1700"/>
        <item m="1" x="1757"/>
        <item m="1" x="1784"/>
        <item m="1" x="2906"/>
        <item m="1" x="2767"/>
        <item m="1" x="2697"/>
        <item m="1" x="1893"/>
        <item m="1" x="1874"/>
        <item m="1" x="1392"/>
        <item m="1" x="2061"/>
        <item m="1" x="1830"/>
        <item m="1" x="1860"/>
        <item m="1" x="1650"/>
        <item m="1" x="2069"/>
        <item m="1" x="2862"/>
        <item m="1" x="1429"/>
        <item x="111"/>
        <item m="1" x="1776"/>
        <item m="1" x="1903"/>
        <item m="1" x="2352"/>
        <item m="1" x="1881"/>
        <item m="1" x="1393"/>
        <item m="1" x="2411"/>
        <item m="1" x="2499"/>
        <item m="1" x="2698"/>
        <item m="1" x="2279"/>
        <item m="1" x="2421"/>
        <item m="1" x="2519"/>
        <item m="1" x="2312"/>
        <item m="1" x="2836"/>
        <item m="1" x="2629"/>
        <item m="1" x="3016"/>
        <item m="1" x="2544"/>
        <item m="1" x="2136"/>
        <item m="1" x="2298"/>
        <item m="1" x="2182"/>
        <item m="1" x="2242"/>
        <item m="1" x="1689"/>
        <item m="1" x="1485"/>
        <item m="1" x="2270"/>
        <item m="1" x="1551"/>
        <item m="1" x="490"/>
        <item m="1" x="1667"/>
        <item m="1" x="2077"/>
        <item m="1" x="2362"/>
        <item m="1" x="2607"/>
        <item m="1" x="1433"/>
        <item m="1" x="1686"/>
        <item m="1" x="1704"/>
        <item m="1" x="2539"/>
        <item m="1" x="2563"/>
        <item m="1" x="1457"/>
        <item m="1" x="2113"/>
        <item m="1" x="2070"/>
        <item m="1" x="2525"/>
        <item m="1" x="2419"/>
        <item m="1" x="1916"/>
        <item m="1" x="2830"/>
        <item m="1" x="1829"/>
        <item m="1" x="1832"/>
        <item m="1" x="2839"/>
        <item m="1" x="2754"/>
        <item m="1" x="2286"/>
        <item m="1" x="1794"/>
        <item m="1" x="2483"/>
        <item m="1" x="1413"/>
        <item m="1" x="2280"/>
        <item m="1" x="271"/>
        <item m="1" x="2256"/>
        <item m="1" x="2939"/>
        <item m="1" x="793"/>
        <item m="1" x="1765"/>
        <item m="1" x="2914"/>
        <item m="1" x="2046"/>
        <item m="1" x="1501"/>
        <item m="1" x="2727"/>
        <item m="1" x="2560"/>
        <item m="1" x="3001"/>
        <item m="1" x="2827"/>
        <item m="1" x="2467"/>
        <item m="1" x="2763"/>
        <item m="1" x="1528"/>
        <item m="1" x="1674"/>
        <item m="1" x="2006"/>
        <item m="1" x="2386"/>
        <item m="1" x="2584"/>
        <item m="1" x="2351"/>
        <item m="1" x="1608"/>
        <item m="1" x="1728"/>
        <item m="1" x="2345"/>
        <item m="1" x="1770"/>
        <item m="1" x="1594"/>
        <item m="1" x="2166"/>
        <item m="1" x="1781"/>
        <item m="1" x="2272"/>
        <item m="1" x="1915"/>
        <item m="1" x="1531"/>
        <item m="1" x="1573"/>
        <item m="1" x="1480"/>
        <item m="1" x="2741"/>
        <item m="1" x="1444"/>
        <item m="1" x="2829"/>
        <item m="1" x="2744"/>
        <item m="1" x="1547"/>
        <item m="1" x="1637"/>
        <item m="1" x="2367"/>
        <item m="1" x="1566"/>
        <item m="1" x="2669"/>
        <item m="1" x="2169"/>
        <item m="1" x="2655"/>
        <item m="1" x="2968"/>
        <item m="1" x="1506"/>
        <item m="1" x="1421"/>
        <item m="1" x="2415"/>
        <item m="1" x="3005"/>
        <item m="1" x="1484"/>
        <item m="1" x="1984"/>
        <item m="1" x="857"/>
        <item m="1" x="1660"/>
        <item m="1" x="2320"/>
        <item m="1" x="2792"/>
        <item m="1" x="2609"/>
        <item m="1" x="1971"/>
        <item m="1" x="1714"/>
        <item m="1" x="2892"/>
        <item m="1" x="2515"/>
        <item m="1" x="1446"/>
        <item m="1" x="2178"/>
        <item m="1" x="2088"/>
        <item m="1" x="1819"/>
        <item m="1" x="1316"/>
        <item m="1" x="1034"/>
        <item m="1" x="2633"/>
        <item m="1" x="2752"/>
        <item m="1" x="2081"/>
        <item m="1" x="1546"/>
        <item m="1" x="2985"/>
        <item m="1" x="1395"/>
        <item m="1" x="2933"/>
        <item m="1" x="1687"/>
        <item m="1" x="1394"/>
        <item m="1" x="2987"/>
        <item m="1" x="1420"/>
        <item m="1" x="2118"/>
        <item m="1" x="2186"/>
        <item m="1" x="1519"/>
        <item m="1" x="1725"/>
        <item m="1" x="2073"/>
        <item m="1" x="1439"/>
        <item m="1" x="1772"/>
        <item m="1" x="1973"/>
        <item m="1" x="2779"/>
        <item m="1" x="1315"/>
        <item m="1" x="1810"/>
        <item m="1" x="2654"/>
        <item m="1" x="1712"/>
        <item m="1" x="1763"/>
        <item m="1" x="2084"/>
        <item m="1" x="2652"/>
        <item m="1" x="2139"/>
        <item m="1" x="2743"/>
        <item m="1" x="2598"/>
        <item m="1" x="1675"/>
        <item m="1" x="1396"/>
        <item m="1" x="1793"/>
        <item m="1" x="1873"/>
        <item m="1" x="2328"/>
        <item m="1" x="1419"/>
        <item m="1" x="2626"/>
        <item m="1" x="2578"/>
        <item m="1" x="1922"/>
        <item m="1" x="1766"/>
        <item m="1" x="1816"/>
        <item m="1" x="2390"/>
        <item m="1" x="2799"/>
        <item m="1" x="816"/>
        <item m="1" x="2972"/>
        <item m="1" x="2691"/>
        <item m="1" x="2870"/>
        <item m="1" x="2489"/>
        <item m="1" x="2593"/>
        <item m="1" x="1808"/>
        <item m="1" x="1890"/>
        <item m="1" x="1790"/>
        <item m="1" x="1820"/>
        <item m="1" x="1835"/>
        <item m="1" x="1847"/>
        <item m="1" x="1878"/>
        <item m="1" x="1863"/>
        <item m="1" x="1441"/>
        <item m="1" x="2882"/>
        <item m="1" x="2545"/>
        <item m="1" x="2458"/>
        <item m="1" x="1987"/>
        <item m="1" x="2486"/>
        <item m="1" x="2647"/>
        <item m="1" x="2631"/>
        <item m="1" x="3006"/>
        <item m="1" x="2641"/>
        <item m="1" x="2651"/>
        <item m="1" x="2796"/>
        <item m="1" x="2781"/>
        <item m="1" x="2389"/>
        <item m="1" x="2616"/>
        <item m="1" x="2624"/>
        <item m="1" x="1430"/>
        <item m="1" x="492"/>
        <item m="1" x="2033"/>
        <item m="1" x="1913"/>
        <item m="1" x="2590"/>
        <item m="1" x="2748"/>
        <item m="1" x="697"/>
        <item m="1" x="2643"/>
        <item m="1" x="2433"/>
        <item m="1" x="2815"/>
        <item m="1" x="2612"/>
        <item m="1" x="1718"/>
        <item m="1" x="1512"/>
        <item m="1" x="1773"/>
        <item m="1" x="2117"/>
        <item m="1" x="2031"/>
        <item m="1" x="1318"/>
        <item m="1" x="2313"/>
        <item m="1" x="2619"/>
        <item m="1" x="2299"/>
        <item m="1" x="2960"/>
        <item m="1" x="2837"/>
        <item m="1" x="2305"/>
        <item m="1" x="1504"/>
        <item m="1" x="1872"/>
        <item m="1" x="2226"/>
        <item m="1" x="2926"/>
        <item m="1" x="2739"/>
        <item m="1" x="2271"/>
        <item m="1" x="1821"/>
        <item m="1" x="2144"/>
        <item m="1" x="1425"/>
        <item m="1" x="2309"/>
        <item m="1" x="2677"/>
        <item m="1" x="2966"/>
        <item m="1" x="1854"/>
        <item m="1" x="2956"/>
        <item m="1" x="1942"/>
        <item m="1" x="1422"/>
        <item m="1" x="2449"/>
        <item m="1" x="1754"/>
        <item m="1" x="1317"/>
        <item m="1" x="2645"/>
        <item m="1" x="916"/>
        <item m="1" x="1597"/>
        <item m="1" x="2338"/>
        <item m="1" x="2332"/>
        <item m="1" x="2153"/>
        <item m="1" x="1058"/>
        <item m="1" x="304"/>
        <item m="1" x="1867"/>
        <item m="1" x="854"/>
        <item m="1" x="689"/>
        <item m="1" x="2947"/>
        <item m="1" x="1319"/>
        <item m="1" x="2098"/>
        <item m="1" x="437"/>
        <item m="1" x="2103"/>
        <item m="1" x="1061"/>
        <item m="1" x="2192"/>
        <item m="1" x="1486"/>
        <item m="1" x="1059"/>
        <item m="1" x="1060"/>
        <item m="1" x="2048"/>
        <item m="1" x="2995"/>
        <item m="1" x="2742"/>
        <item m="1" x="1397"/>
        <item m="1" x="1703"/>
        <item m="1" x="2000"/>
        <item m="1" x="2097"/>
        <item m="1" x="432"/>
        <item m="1" x="2435"/>
        <item m="1" x="1911"/>
        <item m="1" x="1956"/>
        <item m="1" x="2774"/>
        <item m="1" x="1929"/>
        <item m="1" x="1858"/>
        <item m="1" x="434"/>
        <item m="1" x="2180"/>
        <item m="1" x="2722"/>
        <item m="1" x="2366"/>
        <item m="1" x="1833"/>
        <item m="1" x="1777"/>
        <item x="11"/>
        <item m="1" x="1476"/>
        <item m="1" x="2360"/>
        <item m="1" x="1802"/>
        <item m="1" x="2040"/>
        <item m="1" x="1906"/>
        <item m="1" x="627"/>
        <item m="1" x="2961"/>
        <item m="1" x="2407"/>
        <item m="1" x="1062"/>
        <item m="1" x="2240"/>
        <item m="1" x="2296"/>
        <item m="1" x="2197"/>
        <item m="1" x="1806"/>
        <item m="1" x="1555"/>
        <item m="1" x="2957"/>
        <item m="1" x="433"/>
        <item m="1" x="1321"/>
        <item m="1" x="1598"/>
        <item m="1" x="2146"/>
        <item m="1" x="1438"/>
        <item m="1" x="1524"/>
        <item m="1" x="1465"/>
        <item m="1" x="1721"/>
        <item m="1" x="1924"/>
        <item m="1" x="1426"/>
        <item m="1" x="1747"/>
        <item m="1" x="3020"/>
        <item m="1" x="1621"/>
        <item m="1" x="2998"/>
        <item m="1" x="2334"/>
        <item m="1" x="1628"/>
        <item m="1" x="2927"/>
        <item m="1" x="1696"/>
        <item m="1" x="1775"/>
        <item m="1" x="1320"/>
        <item m="1" x="2174"/>
        <item m="1" x="1673"/>
        <item m="1" x="1641"/>
        <item m="1" x="2728"/>
        <item m="1" x="2791"/>
        <item m="1" x="2611"/>
        <item m="1" x="2948"/>
        <item m="1" x="1565"/>
        <item m="1" x="2756"/>
        <item m="1" x="2772"/>
        <item m="1" x="2828"/>
        <item m="1" x="2568"/>
        <item m="1" x="2795"/>
        <item m="1" x="1726"/>
        <item m="1" x="1417"/>
        <item m="1" x="2032"/>
        <item m="1" x="2249"/>
        <item m="1" x="1322"/>
        <item m="1" x="2895"/>
        <item m="1" x="2949"/>
        <item x="95"/>
        <item m="1" x="2536"/>
        <item m="1" x="2181"/>
        <item m="1" x="2751"/>
        <item m="1" x="2868"/>
        <item m="1" x="543"/>
        <item m="1" x="2462"/>
        <item m="1" x="2666"/>
        <item m="1" x="3000"/>
        <item m="1" x="2690"/>
        <item m="1" x="2771"/>
        <item m="1" x="1846"/>
        <item m="1" x="2191"/>
        <item m="1" x="2484"/>
        <item m="1" x="2681"/>
        <item m="1" x="2266"/>
        <item m="1" x="2808"/>
        <item m="1" x="2262"/>
        <item m="1" x="483"/>
        <item m="1" x="1733"/>
        <item m="1" x="1323"/>
        <item m="1" x="2050"/>
        <item m="1" x="2504"/>
        <item m="1" x="2880"/>
        <item m="1" x="2105"/>
        <item m="1" x="1771"/>
        <item m="1" x="2564"/>
        <item m="1" x="2066"/>
        <item m="1" x="1482"/>
        <item m="1" x="1592"/>
        <item m="1" x="2511"/>
        <item m="1" x="2812"/>
        <item m="1" x="1952"/>
        <item m="1" x="2399"/>
        <item m="1" x="2056"/>
        <item m="1" x="1432"/>
        <item m="1" x="663"/>
        <item m="1" x="2317"/>
        <item m="1" x="1579"/>
        <item m="1" x="2623"/>
        <item m="1" x="1737"/>
        <item m="1" x="1521"/>
        <item m="1" x="2513"/>
        <item m="1" x="2710"/>
        <item m="1" x="2442"/>
        <item m="1" x="1065"/>
        <item m="1" x="1066"/>
        <item m="1" x="2156"/>
        <item m="1" x="2129"/>
        <item m="1" x="1063"/>
        <item m="1" x="2282"/>
        <item m="1" x="1069"/>
        <item m="1" x="1072"/>
        <item m="1" x="2100"/>
        <item m="1" x="2104"/>
        <item m="1" x="2177"/>
        <item m="1" x="1067"/>
        <item m="1" x="2029"/>
        <item m="1" x="1472"/>
        <item m="1" x="1734"/>
        <item m="1" x="1631"/>
        <item m="1" x="1064"/>
        <item m="1" x="2422"/>
        <item m="1" x="2131"/>
        <item m="1" x="2053"/>
        <item m="1" x="2238"/>
        <item m="1" x="2251"/>
        <item m="1" x="1071"/>
        <item m="1" x="2257"/>
        <item m="1" x="2319"/>
        <item m="1" x="1068"/>
        <item m="1" x="2986"/>
        <item m="1" x="825"/>
        <item m="1" x="2492"/>
        <item m="1" x="2576"/>
        <item m="1" x="330"/>
        <item m="1" x="1070"/>
        <item m="1" x="1813"/>
        <item m="1" x="1975"/>
        <item m="1" x="2002"/>
        <item m="1" x="1758"/>
        <item m="1" x="1904"/>
        <item m="1" x="2330"/>
        <item m="1" x="1740"/>
        <item m="1" x="2001"/>
        <item m="1" x="2341"/>
        <item m="1" x="1849"/>
        <item m="1" x="2969"/>
        <item m="1" x="1937"/>
        <item m="1" x="2700"/>
        <item m="1" x="1074"/>
        <item m="1" x="2054"/>
        <item m="1" x="1717"/>
        <item m="1" x="2288"/>
        <item m="1" x="2058"/>
        <item m="1" x="1799"/>
        <item m="1" x="2107"/>
        <item m="1" x="2308"/>
        <item m="1" x="1838"/>
        <item m="1" x="1727"/>
        <item m="1" x="2478"/>
        <item m="1" x="2507"/>
        <item m="1" x="2159"/>
        <item m="1" x="2900"/>
        <item m="1" x="1483"/>
        <item m="1" x="2277"/>
        <item m="1" x="2385"/>
        <item m="1" x="2412"/>
        <item m="1" x="1792"/>
        <item m="1" x="2264"/>
        <item m="1" x="1905"/>
        <item m="1" x="2650"/>
        <item m="1" x="342"/>
        <item m="1" x="2322"/>
        <item m="1" x="2803"/>
        <item m="1" x="698"/>
        <item m="1" x="2244"/>
        <item m="1" x="2472"/>
        <item m="1" x="2569"/>
        <item m="1" x="867"/>
        <item m="1" x="2457"/>
        <item m="1" x="2790"/>
        <item m="1" x="2416"/>
        <item m="1" x="824"/>
        <item m="1" x="2365"/>
        <item m="1" x="2275"/>
        <item m="1" x="435"/>
        <item m="1" x="2658"/>
        <item m="1" x="699"/>
        <item m="1" x="2214"/>
        <item m="1" x="1669"/>
        <item m="1" x="2028"/>
        <item m="1" x="447"/>
        <item m="1" x="2086"/>
        <item m="1" x="1677"/>
        <item m="1" x="2736"/>
        <item m="1" x="2632"/>
        <item m="1" x="969"/>
        <item m="1" x="2649"/>
        <item m="1" x="2842"/>
        <item m="1" x="1888"/>
        <item m="1" x="1951"/>
        <item m="1" x="2689"/>
        <item m="1" x="1943"/>
        <item m="1" x="1662"/>
        <item m="1" x="1709"/>
        <item m="1" x="2204"/>
        <item m="1" x="2672"/>
        <item m="1" x="1944"/>
        <item m="1" x="1864"/>
        <item m="1" x="575"/>
        <item m="1" x="2143"/>
        <item m="1" x="1324"/>
        <item m="1" x="2826"/>
        <item m="1" x="1500"/>
        <item m="1" x="2913"/>
        <item m="1" x="1585"/>
        <item m="1" x="1398"/>
        <item m="1" x="2155"/>
        <item m="1" x="1842"/>
        <item m="1" x="1919"/>
        <item m="1" x="2148"/>
        <item m="1" x="1946"/>
        <item m="1" x="1898"/>
        <item m="1" x="1902"/>
        <item m="1" x="1400"/>
        <item m="1" x="1652"/>
        <item m="1" x="1910"/>
        <item m="1" x="1914"/>
        <item m="1" x="2602"/>
        <item m="1" x="2221"/>
        <item m="1" x="1399"/>
        <item m="1" x="1926"/>
        <item m="1" x="2284"/>
        <item m="1" x="1610"/>
        <item m="1" x="1280"/>
        <item m="1" x="700"/>
        <item m="1" x="1949"/>
        <item m="1" x="431"/>
        <item m="1" x="238"/>
        <item m="1" x="2447"/>
        <item m="1" x="1749"/>
        <item m="1" x="1076"/>
        <item m="1" x="1855"/>
        <item m="1" x="1876"/>
        <item m="1" x="2049"/>
        <item m="1" x="2388"/>
        <item m="1" x="2719"/>
        <item m="1" x="520"/>
        <item m="1" x="2937"/>
        <item m="1" x="701"/>
        <item m="1" x="1401"/>
        <item m="1" x="2015"/>
        <item m="1" x="1986"/>
        <item m="1" x="1402"/>
        <item m="1" x="2869"/>
        <item m="1" x="1077"/>
        <item m="1" x="798"/>
        <item m="1" x="2618"/>
        <item m="1" x="2060"/>
        <item m="1" x="1774"/>
        <item m="1" x="702"/>
        <item m="1" x="1979"/>
        <item x="14"/>
        <item m="1" x="2487"/>
        <item m="1" x="1724"/>
        <item m="1" x="2680"/>
        <item m="1" x="2841"/>
        <item m="1" x="1075"/>
        <item m="1" x="2209"/>
        <item m="1" x="1694"/>
        <item m="1" x="703"/>
        <item m="1" x="2734"/>
        <item m="1" x="656"/>
        <item m="1" x="2079"/>
        <item m="1" x="2138"/>
        <item m="1" x="2883"/>
        <item m="1" x="2942"/>
        <item m="1" x="1473"/>
        <item m="1" x="2294"/>
        <item m="1" x="2109"/>
        <item m="1" x="2603"/>
        <item m="1" x="2222"/>
        <item m="1" x="1496"/>
        <item m="1" x="1326"/>
        <item m="1" x="831"/>
        <item m="1" x="1078"/>
        <item m="1" x="1327"/>
        <item m="1" x="1079"/>
        <item m="1" x="862"/>
        <item m="1" x="1981"/>
        <item m="1" x="2207"/>
        <item m="1" x="704"/>
        <item x="109"/>
        <item m="1" x="2369"/>
        <item m="1" x="2459"/>
        <item m="1" x="2521"/>
        <item m="1" x="2465"/>
        <item m="1" x="1535"/>
        <item m="1" x="1539"/>
        <item m="1" x="1540"/>
        <item m="1" x="1541"/>
        <item m="1" x="1544"/>
        <item m="1" x="1550"/>
        <item m="1" x="1552"/>
        <item m="1" x="1553"/>
        <item m="1" x="1557"/>
        <item m="1" x="1560"/>
        <item m="1" x="1366"/>
        <item m="1" x="1367"/>
        <item m="1" x="1368"/>
        <item m="1" x="1369"/>
        <item m="1" x="1370"/>
        <item m="1" x="1371"/>
        <item m="1" x="1372"/>
        <item m="1" x="1373"/>
        <item m="1" x="1080"/>
        <item m="1" x="1456"/>
        <item m="1" x="1593"/>
        <item m="1" x="2793"/>
        <item m="1" x="2516"/>
        <item m="1" x="2106"/>
        <item m="1" x="2134"/>
        <item m="1" x="2887"/>
        <item m="1" x="3024"/>
        <item m="1" x="2640"/>
        <item m="1" x="2911"/>
        <item m="1" x="1458"/>
        <item m="1" x="2331"/>
        <item m="1" x="2575"/>
        <item m="1" x="2676"/>
        <item m="1" x="1948"/>
        <item m="1" x="1961"/>
        <item m="1" x="657"/>
        <item m="1" x="1238"/>
        <item m="1" x="1988"/>
        <item m="1" x="2661"/>
        <item m="1" x="2824"/>
        <item m="1" x="2963"/>
        <item m="1" x="1764"/>
        <item m="1" x="1403"/>
        <item m="1" x="1880"/>
        <item m="1" x="1936"/>
        <item m="1" x="1533"/>
        <item m="1" x="2095"/>
        <item m="1" x="2730"/>
        <item m="1" x="2788"/>
        <item m="1" x="2818"/>
        <item m="1" x="2861"/>
        <item m="1" x="917"/>
        <item m="1" x="1639"/>
        <item m="1" x="2554"/>
        <item m="1" x="2991"/>
        <item m="1" x="2755"/>
        <item m="1" x="2725"/>
        <item m="1" x="1756"/>
        <item m="1" x="1783"/>
        <item m="1" x="1692"/>
        <item m="1" x="2679"/>
        <item m="1" x="2333"/>
        <item m="1" x="2601"/>
        <item m="1" x="2027"/>
        <item m="1" x="2509"/>
        <item m="1" x="1328"/>
        <item m="1" x="448"/>
        <item m="1" x="1329"/>
        <item x="3"/>
        <item m="1" x="2905"/>
        <item m="1" x="1330"/>
        <item m="1" x="2707"/>
        <item m="1" x="2807"/>
        <item m="1" x="2497"/>
        <item m="1" x="2530"/>
        <item m="1" x="2735"/>
        <item m="1" x="2813"/>
        <item m="1" x="1404"/>
        <item m="1" x="1331"/>
        <item m="1" x="1332"/>
        <item m="1" x="1405"/>
        <item m="1" x="2468"/>
        <item m="1" x="1333"/>
        <item m="1" x="2620"/>
        <item m="1" x="1839"/>
        <item m="1" x="1969"/>
        <item m="1" x="1918"/>
        <item m="1" x="2583"/>
        <item m="1" x="2628"/>
        <item m="1" x="2787"/>
        <item m="1" x="1786"/>
        <item m="1" x="1583"/>
        <item m="1" x="515"/>
        <item m="1" x="887"/>
        <item m="1" x="1113"/>
        <item m="1" x="1286"/>
        <item m="1" x="1019"/>
        <item m="1" x="1897"/>
        <item m="1" x="1250"/>
        <item m="1" x="1414"/>
        <item m="1" x="1287"/>
        <item m="1" x="1288"/>
        <item m="1" x="1289"/>
        <item m="1" x="2111"/>
        <item m="1" x="2137"/>
        <item m="1" x="1290"/>
        <item m="1" x="1760"/>
        <item m="1" x="2120"/>
        <item m="1" x="2065"/>
        <item m="1" x="799"/>
        <item m="1" x="2820"/>
        <item m="1" x="1291"/>
        <item m="1" x="2941"/>
        <item m="1" x="1428"/>
        <item m="1" x="1292"/>
        <item m="1" x="1676"/>
        <item m="1" x="2822"/>
        <item m="1" x="2844"/>
        <item m="1" x="1931"/>
        <item m="1" x="1434"/>
        <item m="1" x="2854"/>
        <item m="1" x="2205"/>
        <item m="1" x="2997"/>
        <item m="1" x="1492"/>
        <item m="1" x="2273"/>
        <item x="234"/>
        <item m="1" x="800"/>
        <item m="1" x="2614"/>
        <item m="1" x="1334"/>
        <item m="1" x="1697"/>
        <item m="1" x="1335"/>
        <item m="1" x="1996"/>
        <item m="1" x="1336"/>
        <item m="1" x="989"/>
        <item m="1" x="1337"/>
        <item m="1" x="1338"/>
        <item m="1" x="1281"/>
        <item m="1" x="1339"/>
        <item m="1" x="1374"/>
        <item m="1" x="1375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2579"/>
        <item m="1" x="2625"/>
        <item m="1" x="2596"/>
        <item m="1" x="439"/>
        <item m="1" x="2932"/>
        <item m="1" x="2473"/>
        <item m="1" x="2488"/>
        <item m="1" x="2176"/>
        <item m="1" x="1340"/>
        <item m="1" x="1406"/>
        <item m="1" x="1407"/>
        <item m="1" x="1408"/>
        <item m="1" x="1409"/>
        <item m="1" x="1410"/>
        <item m="1" x="1293"/>
        <item m="1" x="1411"/>
        <item m="1" x="1262"/>
        <item m="1" x="512"/>
        <item m="1" x="1294"/>
        <item m="1" x="1295"/>
        <item m="1" x="1296"/>
        <item m="1" x="1297"/>
        <item m="1" x="1177"/>
        <item x="7"/>
        <item x="6"/>
        <item m="1" x="1341"/>
        <item m="1" x="1081"/>
        <item m="1" x="1049"/>
        <item m="1" x="1050"/>
        <item m="1" x="323"/>
        <item m="1" x="705"/>
        <item m="1" x="1387"/>
        <item m="1" x="706"/>
        <item m="1" x="1415"/>
        <item m="1" x="316"/>
        <item m="1" x="334"/>
        <item m="1" x="801"/>
        <item m="1" x="1115"/>
        <item m="1" x="1203"/>
        <item m="1" x="1299"/>
        <item m="1" x="1388"/>
        <item m="1" x="1412"/>
        <item m="1" x="1051"/>
        <item m="1" x="1300"/>
        <item m="1" x="1342"/>
        <item m="1" x="1343"/>
        <item m="1" x="707"/>
        <item m="1" x="1251"/>
        <item m="1" x="1344"/>
        <item m="1" x="1345"/>
        <item m="1" x="1346"/>
        <item m="1" x="1347"/>
        <item m="1" x="1348"/>
        <item m="1" x="1082"/>
        <item m="1" x="873"/>
        <item m="1" x="1083"/>
        <item m="1" x="1349"/>
        <item m="1" x="1350"/>
        <item m="1" x="526"/>
        <item m="1" x="1205"/>
        <item m="1" x="239"/>
        <item m="1" x="1351"/>
        <item m="1" x="1352"/>
        <item m="1" x="1353"/>
        <item m="1" x="1206"/>
        <item m="1" x="708"/>
        <item m="1" x="1263"/>
        <item m="1" x="1052"/>
        <item m="1" x="1264"/>
        <item m="1" x="614"/>
        <item m="1" x="616"/>
        <item x="223"/>
        <item m="1" x="1282"/>
        <item m="1" x="1354"/>
        <item m="1" x="1355"/>
        <item m="1" x="828"/>
        <item m="1" x="1301"/>
        <item m="1" x="1084"/>
        <item m="1" x="1265"/>
        <item m="1" x="1356"/>
        <item m="1" x="1358"/>
        <item m="1" x="1359"/>
        <item m="1" x="1360"/>
        <item m="1" x="1361"/>
        <item m="1" x="1362"/>
        <item m="1" x="1363"/>
        <item m="1" x="1302"/>
        <item m="1" x="1303"/>
        <item m="1" x="1304"/>
        <item m="1" x="1266"/>
        <item m="1" x="1305"/>
        <item m="1" x="1306"/>
        <item m="1" x="1307"/>
        <item m="1" x="1308"/>
        <item m="1" x="1243"/>
        <item m="1" x="1244"/>
        <item m="1" x="1207"/>
        <item m="1" x="315"/>
        <item m="1" x="1309"/>
        <item m="1" x="1310"/>
        <item m="1" x="1311"/>
        <item m="1" x="1312"/>
        <item m="1" x="1313"/>
        <item m="1" x="403"/>
        <item m="1" x="1314"/>
        <item m="1" x="1364"/>
        <item m="1" x="1252"/>
        <item m="1" x="1253"/>
        <item m="1" x="536"/>
        <item m="1" x="1267"/>
        <item m="1" x="1208"/>
        <item m="1" x="1209"/>
        <item m="1" x="1365"/>
        <item m="1" x="1390"/>
        <item m="1" x="1283"/>
        <item m="1" x="1284"/>
        <item m="1" x="1210"/>
        <item m="1" x="1211"/>
        <item m="1" x="438"/>
        <item m="1" x="1268"/>
        <item m="1" x="1269"/>
        <item m="1" x="1270"/>
        <item m="1" x="1271"/>
        <item m="1" x="1272"/>
        <item m="1" x="1085"/>
        <item m="1" x="1086"/>
        <item m="1" x="1273"/>
        <item m="1" x="1212"/>
        <item m="1" x="1274"/>
        <item x="160"/>
        <item x="208"/>
        <item m="1" x="240"/>
        <item m="1" x="1275"/>
        <item m="1" x="1213"/>
        <item m="1" x="1246"/>
        <item x="141"/>
        <item m="1" x="688"/>
        <item x="52"/>
        <item m="1" x="1087"/>
        <item m="1" x="1254"/>
        <item m="1" x="319"/>
        <item m="1" x="1088"/>
        <item m="1" x="1276"/>
        <item m="1" x="1214"/>
        <item m="1" x="1255"/>
        <item m="1" x="1020"/>
        <item m="1" x="1277"/>
        <item m="1" x="1215"/>
        <item m="1" x="1278"/>
        <item m="1" x="469"/>
        <item m="1" x="1279"/>
        <item m="1" x="1216"/>
        <item m="1" x="1260"/>
        <item m="1" x="1261"/>
        <item x="4"/>
        <item m="1" x="1217"/>
        <item m="1" x="1089"/>
        <item m="1" x="1090"/>
        <item m="1" x="1091"/>
        <item m="1" x="1124"/>
        <item m="1" x="1125"/>
        <item m="1" x="1256"/>
        <item m="1" x="1257"/>
        <item m="1" x="1258"/>
        <item m="1" x="795"/>
        <item m="1" x="1093"/>
        <item m="1" x="1094"/>
        <item m="1" x="1095"/>
        <item m="1" x="1174"/>
        <item m="1" x="1054"/>
        <item m="1" x="1175"/>
        <item m="1" x="1176"/>
        <item m="1" x="1073"/>
        <item m="1" x="1096"/>
        <item m="1" x="874"/>
        <item m="1" x="1218"/>
        <item m="1" x="1219"/>
        <item m="1" x="1220"/>
        <item m="1" x="1221"/>
        <item m="1" x="1222"/>
        <item m="1" x="1178"/>
        <item m="1" x="280"/>
        <item m="1" x="1223"/>
        <item m="1" x="1224"/>
        <item m="1" x="1225"/>
        <item m="1" x="1126"/>
        <item m="1" x="1247"/>
        <item m="1" x="446"/>
        <item m="1" x="1259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9"/>
        <item m="1" x="1240"/>
        <item m="1" x="1241"/>
        <item m="1" x="1242"/>
        <item m="1" x="1116"/>
        <item m="1" x="1117"/>
        <item m="1" x="1118"/>
        <item m="1" x="1119"/>
        <item m="1" x="1245"/>
        <item m="1" x="1097"/>
        <item m="1" x="1098"/>
        <item m="1" x="1179"/>
        <item m="1" x="1180"/>
        <item x="73"/>
        <item m="1" x="1164"/>
        <item x="162"/>
        <item m="1" x="1248"/>
        <item m="1" x="1249"/>
        <item m="1" x="1226"/>
        <item m="1" x="1099"/>
        <item m="1" x="1181"/>
        <item m="1" x="1127"/>
        <item m="1" x="1182"/>
        <item m="1" x="1183"/>
        <item m="1" x="1227"/>
        <item m="1" x="1100"/>
        <item m="1" x="1014"/>
        <item m="1" x="1184"/>
        <item m="1" x="1185"/>
        <item m="1" x="1201"/>
        <item m="1" x="1101"/>
        <item m="1" x="1102"/>
        <item m="1" x="1103"/>
        <item m="1" x="1186"/>
        <item m="1" x="1187"/>
        <item m="1" x="1188"/>
        <item m="1" x="1189"/>
        <item m="1" x="1190"/>
        <item m="1" x="1143"/>
        <item m="1" x="1144"/>
        <item m="1" x="1145"/>
        <item m="1" x="1146"/>
        <item m="1" x="1128"/>
        <item m="1" x="1104"/>
        <item m="1" x="1191"/>
        <item m="1" x="1129"/>
        <item m="1" x="802"/>
        <item m="1" x="803"/>
        <item m="1" x="1165"/>
        <item m="1" x="1105"/>
        <item m="1" x="1106"/>
        <item m="1" x="1166"/>
        <item m="1" x="1192"/>
        <item m="1" x="1193"/>
        <item m="1" x="1194"/>
        <item m="1" x="1149"/>
        <item m="1" x="1150"/>
        <item m="1" x="1195"/>
        <item m="1" x="237"/>
        <item m="1" x="1196"/>
        <item m="1" x="317"/>
        <item m="1" x="333"/>
        <item m="1" x="1132"/>
        <item x="117"/>
        <item m="1" x="1133"/>
        <item m="1" x="1134"/>
        <item m="1" x="531"/>
        <item m="1" x="532"/>
        <item m="1" x="1135"/>
        <item m="1" x="513"/>
        <item m="1" x="517"/>
        <item m="1" x="1141"/>
        <item x="1"/>
        <item m="1" x="1197"/>
        <item m="1" x="709"/>
        <item m="1" x="1198"/>
        <item m="1" x="1199"/>
        <item m="1" x="626"/>
        <item m="1" x="1167"/>
        <item m="1" x="1168"/>
        <item m="1" x="1200"/>
        <item m="1" x="1136"/>
        <item m="1" x="1137"/>
        <item m="1" x="607"/>
        <item m="1" x="937"/>
        <item m="1" x="938"/>
        <item m="1" x="939"/>
        <item m="1" x="940"/>
        <item m="1" x="941"/>
        <item m="1" x="942"/>
        <item m="1" x="943"/>
        <item m="1" x="314"/>
        <item m="1" x="1053"/>
        <item m="1" x="1169"/>
        <item m="1" x="1151"/>
        <item m="1" x="1173"/>
        <item m="1" x="1108"/>
        <item m="1" x="444"/>
        <item m="1" x="1142"/>
        <item m="1" x="1153"/>
        <item m="1" x="1170"/>
        <item m="1" x="1154"/>
        <item m="1" x="1155"/>
        <item m="1" x="1156"/>
        <item m="1" x="1157"/>
        <item m="1" x="1158"/>
        <item m="1" x="1159"/>
        <item m="1" x="1109"/>
        <item m="1" x="1160"/>
        <item m="1" x="1138"/>
        <item m="1" x="1139"/>
        <item m="1" x="1171"/>
        <item m="1" x="1172"/>
        <item m="1" x="1161"/>
        <item m="1" x="1162"/>
        <item m="1" x="1163"/>
        <item m="1" x="1003"/>
        <item m="1" x="760"/>
        <item m="1" x="1110"/>
        <item m="1" x="1111"/>
        <item m="1" x="1112"/>
        <item m="1" x="1114"/>
        <item m="1" x="1120"/>
        <item m="1" x="1121"/>
        <item m="1" x="1122"/>
        <item m="1" x="1123"/>
        <item m="1" x="1130"/>
        <item m="1" x="1131"/>
        <item m="1" x="1140"/>
        <item x="15"/>
        <item x="5"/>
        <item m="1" x="1041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804"/>
        <item m="1" x="991"/>
        <item m="1" x="805"/>
        <item m="1" x="806"/>
        <item m="1" x="772"/>
        <item m="1" x="710"/>
        <item m="1" x="711"/>
        <item m="1" x="712"/>
        <item m="1" x="713"/>
        <item m="1" x="1031"/>
        <item m="1" x="1032"/>
        <item m="1" x="1033"/>
        <item m="1" x="992"/>
        <item m="1" x="714"/>
        <item m="1" x="1042"/>
        <item m="1" x="1043"/>
        <item m="1" x="944"/>
        <item m="1" x="773"/>
        <item m="1" x="993"/>
        <item m="1" x="1044"/>
        <item m="1" x="1035"/>
        <item m="1" x="430"/>
        <item m="1" x="445"/>
        <item m="1" x="1045"/>
        <item m="1" x="310"/>
        <item m="1" x="1046"/>
        <item m="1" x="318"/>
        <item m="1" x="524"/>
        <item m="1" x="945"/>
        <item m="1" x="820"/>
        <item m="1" x="822"/>
        <item m="1" x="994"/>
        <item m="1" x="918"/>
        <item m="1" x="919"/>
        <item m="1" x="920"/>
        <item m="1" x="921"/>
        <item m="1" x="922"/>
        <item m="1" x="980"/>
        <item m="1" x="1005"/>
        <item m="1" x="1037"/>
        <item m="1" x="995"/>
        <item m="1" x="996"/>
        <item m="1" x="946"/>
        <item m="1" x="997"/>
        <item m="1" x="947"/>
        <item m="1" x="948"/>
        <item m="1" x="1038"/>
        <item x="2"/>
        <item m="1" x="949"/>
        <item m="1" x="1006"/>
        <item m="1" x="527"/>
        <item m="1" x="353"/>
        <item m="1" x="950"/>
        <item m="1" x="998"/>
        <item m="1" x="951"/>
        <item m="1" x="1007"/>
        <item m="1" x="999"/>
        <item m="1" x="1018"/>
        <item m="1" x="1008"/>
        <item m="1" x="1009"/>
        <item m="1" x="1010"/>
        <item m="1" x="1011"/>
        <item m="1" x="659"/>
        <item m="1" x="1012"/>
        <item m="1" x="1016"/>
        <item m="1" x="660"/>
        <item m="1" x="952"/>
        <item m="1" x="716"/>
        <item m="1" x="1017"/>
        <item m="1" x="1039"/>
        <item m="1" x="1040"/>
        <item m="1" x="717"/>
        <item m="1" x="718"/>
        <item m="1" x="719"/>
        <item m="1" x="1013"/>
        <item m="1" x="720"/>
        <item m="1" x="1000"/>
        <item m="1" x="923"/>
        <item m="1" x="924"/>
        <item m="1" x="981"/>
        <item m="1" x="877"/>
        <item m="1" x="1001"/>
        <item m="1" x="807"/>
        <item m="1" x="972"/>
        <item m="1" x="973"/>
        <item x="56"/>
        <item m="1" x="1015"/>
        <item m="1" x="808"/>
        <item m="1" x="241"/>
        <item m="1" x="974"/>
        <item m="1" x="612"/>
        <item m="1" x="953"/>
        <item m="1" x="954"/>
        <item m="1" x="955"/>
        <item m="1" x="956"/>
        <item m="1" x="878"/>
        <item m="1" x="975"/>
        <item m="1" x="523"/>
        <item m="1" x="990"/>
        <item m="1" x="957"/>
        <item x="24"/>
        <item m="1" x="809"/>
        <item m="1" x="958"/>
        <item m="1" x="982"/>
        <item m="1" x="983"/>
        <item m="1" x="984"/>
        <item m="1" x="537"/>
        <item m="1" x="985"/>
        <item m="1" x="838"/>
        <item m="1" x="986"/>
        <item m="1" x="959"/>
        <item m="1" x="925"/>
        <item m="1" x="1004"/>
        <item m="1" x="721"/>
        <item m="1" x="722"/>
        <item m="1" x="926"/>
        <item m="1" x="796"/>
        <item m="1" x="880"/>
        <item m="1" x="620"/>
        <item m="1" x="621"/>
        <item m="1" x="723"/>
        <item m="1" x="977"/>
        <item m="1" x="987"/>
        <item m="1" x="724"/>
        <item m="1" x="324"/>
        <item m="1" x="661"/>
        <item m="1" x="725"/>
        <item m="1" x="960"/>
        <item m="1" x="327"/>
        <item m="1" x="325"/>
        <item m="1" x="326"/>
        <item m="1" x="322"/>
        <item m="1" x="328"/>
        <item m="1" x="662"/>
        <item m="1" x="978"/>
        <item m="1" x="881"/>
        <item m="1" x="811"/>
        <item m="1" x="812"/>
        <item m="1" x="813"/>
        <item m="1" x="814"/>
        <item m="1" x="726"/>
        <item m="1" x="927"/>
        <item m="1" x="815"/>
        <item m="1" x="961"/>
        <item m="1" x="962"/>
        <item m="1" x="988"/>
        <item m="1" x="928"/>
        <item m="1" x="963"/>
        <item m="1" x="964"/>
        <item m="1" x="774"/>
        <item m="1" x="965"/>
        <item m="1" x="979"/>
        <item m="1" x="882"/>
        <item m="1" x="817"/>
        <item m="1" x="929"/>
        <item m="1" x="883"/>
        <item m="1" x="840"/>
        <item m="1" x="818"/>
        <item m="1" x="819"/>
        <item m="1" x="884"/>
        <item m="1" x="821"/>
        <item m="1" x="931"/>
        <item m="1" x="970"/>
        <item m="1" x="971"/>
        <item m="1" x="932"/>
        <item m="1" x="933"/>
        <item m="1" x="934"/>
        <item m="1" x="885"/>
        <item m="1" x="886"/>
        <item m="1" x="966"/>
        <item m="1" x="888"/>
        <item m="1" x="761"/>
        <item m="1" x="967"/>
        <item m="1" x="876"/>
        <item m="1" x="823"/>
        <item m="1" x="540"/>
        <item m="1" x="890"/>
        <item m="1" x="891"/>
        <item m="1" x="935"/>
        <item m="1" x="892"/>
        <item m="1" x="826"/>
        <item m="1" x="827"/>
        <item m="1" x="893"/>
        <item m="1" x="894"/>
        <item m="1" x="264"/>
        <item m="1" x="895"/>
        <item m="1" x="896"/>
        <item m="1" x="897"/>
        <item m="1" x="780"/>
        <item m="1" x="727"/>
        <item m="1" x="601"/>
        <item m="1" x="443"/>
        <item m="1" x="528"/>
        <item m="1" x="349"/>
        <item m="1" x="829"/>
        <item m="1" x="904"/>
        <item x="12"/>
        <item m="1" x="830"/>
        <item x="29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441"/>
        <item m="1" x="832"/>
        <item m="1" x="242"/>
        <item m="1" x="903"/>
        <item m="1" x="833"/>
        <item m="1" x="898"/>
        <item m="1" x="879"/>
        <item m="1" x="501"/>
        <item m="1" x="901"/>
        <item m="1" x="899"/>
        <item m="1" x="900"/>
        <item m="1" x="834"/>
        <item m="1" x="835"/>
        <item m="1" x="622"/>
        <item m="1" x="902"/>
        <item m="1" x="775"/>
        <item m="1" x="836"/>
        <item x="13"/>
        <item m="1" x="244"/>
        <item m="1" x="442"/>
        <item m="1" x="664"/>
        <item m="1" x="665"/>
        <item m="1" x="666"/>
        <item m="1" x="667"/>
        <item m="1" x="776"/>
        <item m="1" x="837"/>
        <item x="22"/>
        <item m="1" x="668"/>
        <item m="1" x="839"/>
        <item m="1" x="440"/>
        <item m="1" x="841"/>
        <item m="1" x="842"/>
        <item x="19"/>
        <item x="20"/>
        <item x="21"/>
        <item m="1" x="843"/>
        <item x="26"/>
        <item m="1" x="844"/>
        <item x="23"/>
        <item m="1" x="845"/>
        <item m="1" x="729"/>
        <item m="1" x="846"/>
        <item m="1" x="847"/>
        <item m="1" x="848"/>
        <item m="1" x="542"/>
        <item x="16"/>
        <item m="1" x="730"/>
        <item m="1" x="851"/>
        <item m="1" x="852"/>
        <item m="1" x="853"/>
        <item m="1" x="855"/>
        <item m="1" x="856"/>
        <item x="27"/>
        <item m="1" x="568"/>
        <item m="1" x="777"/>
        <item m="1" x="402"/>
        <item m="1" x="858"/>
        <item m="1" x="860"/>
        <item m="1" x="863"/>
        <item m="1" x="864"/>
        <item m="1" x="865"/>
        <item m="1" x="586"/>
        <item m="1" x="868"/>
        <item m="1" x="869"/>
        <item m="1" x="783"/>
        <item m="1" x="670"/>
        <item m="1" x="671"/>
        <item m="1" x="672"/>
        <item m="1" x="870"/>
        <item m="1" x="871"/>
        <item m="1" x="872"/>
        <item m="1" x="673"/>
        <item m="1" x="785"/>
        <item m="1" x="786"/>
        <item m="1" x="787"/>
        <item m="1" x="788"/>
        <item m="1" x="789"/>
        <item m="1" x="797"/>
        <item m="1" x="674"/>
        <item m="1" x="675"/>
        <item m="1" x="676"/>
        <item m="1" x="677"/>
        <item m="1" x="502"/>
        <item m="1" x="731"/>
        <item m="1" x="732"/>
        <item m="1" x="678"/>
        <item m="1" x="679"/>
        <item m="1" x="680"/>
        <item m="1" x="681"/>
        <item m="1" x="736"/>
        <item m="1" x="331"/>
        <item m="1" x="762"/>
        <item m="1" x="541"/>
        <item x="10"/>
        <item m="1" x="737"/>
        <item m="1" x="738"/>
        <item m="1" x="739"/>
        <item m="1" x="639"/>
        <item m="1" x="640"/>
        <item m="1" x="764"/>
        <item m="1" x="740"/>
        <item m="1" x="741"/>
        <item m="1" x="742"/>
        <item m="1" x="743"/>
        <item m="1" x="744"/>
        <item m="1" x="745"/>
        <item m="1" x="746"/>
        <item m="1" x="765"/>
        <item m="1" x="778"/>
        <item m="1" x="593"/>
        <item m="1" x="465"/>
        <item m="1" x="682"/>
        <item m="1" x="683"/>
        <item m="1" x="747"/>
        <item m="1" x="684"/>
        <item m="1" x="781"/>
        <item m="1" x="790"/>
        <item m="1" x="733"/>
        <item m="1" x="734"/>
        <item m="1" x="735"/>
        <item m="1" x="763"/>
        <item m="1" x="792"/>
        <item x="195"/>
        <item m="1" x="794"/>
        <item m="1" x="641"/>
        <item m="1" x="748"/>
        <item m="1" x="749"/>
        <item m="1" x="538"/>
        <item m="1" x="613"/>
        <item m="1" x="642"/>
        <item m="1" x="243"/>
        <item m="1" x="539"/>
        <item x="17"/>
        <item x="18"/>
        <item m="1" x="329"/>
        <item m="1" x="685"/>
        <item x="119"/>
        <item m="1" x="766"/>
        <item m="1" x="686"/>
        <item m="1" x="779"/>
        <item m="1" x="687"/>
        <item m="1" x="643"/>
        <item m="1" x="750"/>
        <item m="1" x="751"/>
        <item m="1" x="644"/>
        <item m="1" x="752"/>
        <item m="1" x="645"/>
        <item m="1" x="646"/>
        <item m="1" x="647"/>
        <item m="1" x="648"/>
        <item m="1" x="649"/>
        <item x="132"/>
        <item m="1" x="547"/>
        <item m="1" x="767"/>
        <item m="1" x="753"/>
        <item m="1" x="579"/>
        <item m="1" x="754"/>
        <item m="1" x="591"/>
        <item m="1" x="587"/>
        <item x="210"/>
        <item m="1" x="768"/>
        <item m="1" x="769"/>
        <item m="1" x="770"/>
        <item m="1" x="771"/>
        <item m="1" x="454"/>
        <item m="1" x="362"/>
        <item m="1" x="518"/>
        <item m="1" x="514"/>
        <item m="1" x="650"/>
        <item x="133"/>
        <item m="1" x="756"/>
        <item m="1" x="755"/>
        <item m="1" x="690"/>
        <item x="90"/>
        <item m="1" x="570"/>
        <item m="1" x="574"/>
        <item m="1" x="341"/>
        <item m="1" x="336"/>
        <item m="1" x="343"/>
        <item m="1" x="346"/>
        <item m="1" x="651"/>
        <item m="1" x="636"/>
        <item m="1" x="652"/>
        <item m="1" x="757"/>
        <item x="8"/>
        <item m="1" x="758"/>
        <item m="1" x="630"/>
        <item m="1" x="495"/>
        <item m="1" x="759"/>
        <item x="104"/>
        <item x="177"/>
        <item x="207"/>
        <item x="63"/>
        <item m="1" x="691"/>
        <item m="1" x="692"/>
        <item x="220"/>
        <item x="211"/>
        <item x="212"/>
        <item m="1" x="546"/>
        <item m="1" x="577"/>
        <item m="1" x="631"/>
        <item m="1" x="563"/>
        <item m="1" x="589"/>
        <item m="1" x="585"/>
        <item m="1" x="693"/>
        <item m="1" x="551"/>
        <item m="1" x="617"/>
        <item m="1" x="618"/>
        <item m="1" x="619"/>
        <item m="1" x="615"/>
        <item m="1" x="595"/>
        <item m="1" x="653"/>
        <item m="1" x="654"/>
        <item m="1" x="655"/>
        <item m="1" x="694"/>
        <item m="1" x="548"/>
        <item m="1" x="695"/>
        <item m="1" x="632"/>
        <item m="1" x="572"/>
        <item m="1" x="558"/>
        <item m="1" x="637"/>
        <item m="1" x="635"/>
        <item m="1" x="629"/>
        <item m="1" x="347"/>
        <item m="1" x="345"/>
        <item m="1" x="581"/>
        <item m="1" x="584"/>
        <item m="1" x="564"/>
        <item m="1" x="633"/>
        <item x="101"/>
        <item x="102"/>
        <item m="1" x="634"/>
        <item m="1" x="625"/>
        <item x="122"/>
        <item m="1" x="499"/>
        <item m="1" x="582"/>
        <item x="168"/>
        <item m="1" x="550"/>
        <item m="1" x="600"/>
        <item x="218"/>
        <item m="1" x="623"/>
        <item m="1" x="602"/>
        <item m="1" x="596"/>
        <item m="1" x="466"/>
        <item m="1" x="562"/>
        <item x="74"/>
        <item m="1" x="569"/>
        <item m="1" x="571"/>
        <item m="1" x="598"/>
        <item m="1" x="554"/>
        <item m="1" x="549"/>
        <item m="1" x="583"/>
        <item m="1" x="611"/>
        <item m="1" x="628"/>
        <item m="1" x="552"/>
        <item m="1" x="603"/>
        <item m="1" x="605"/>
        <item m="1" x="463"/>
        <item m="1" x="565"/>
        <item m="1" x="609"/>
        <item m="1" x="588"/>
        <item x="213"/>
        <item x="214"/>
        <item m="1" x="559"/>
        <item m="1" x="396"/>
        <item m="1" x="606"/>
        <item m="1" x="576"/>
        <item m="1" x="610"/>
        <item m="1" x="594"/>
        <item x="224"/>
        <item m="1" x="556"/>
        <item m="1" x="557"/>
        <item m="1" x="560"/>
        <item m="1" x="561"/>
        <item m="1" x="339"/>
        <item x="75"/>
        <item m="1" x="544"/>
        <item m="1" x="566"/>
        <item x="92"/>
        <item m="1" x="567"/>
        <item x="94"/>
        <item m="1" x="545"/>
        <item m="1" x="573"/>
        <item m="1" x="578"/>
        <item m="1" x="580"/>
        <item x="153"/>
        <item x="154"/>
        <item x="184"/>
        <item m="1" x="590"/>
        <item m="1" x="553"/>
        <item m="1" x="348"/>
        <item m="1" x="597"/>
        <item m="1" x="599"/>
        <item x="31"/>
        <item m="1" x="449"/>
        <item m="1" x="450"/>
        <item m="1" x="451"/>
        <item x="32"/>
        <item x="33"/>
        <item m="1" x="452"/>
        <item m="1" x="453"/>
        <item x="46"/>
        <item m="1" x="259"/>
        <item x="47"/>
        <item m="1" x="455"/>
        <item m="1" x="456"/>
        <item m="1" x="340"/>
        <item m="1" x="394"/>
        <item m="1" x="354"/>
        <item m="1" x="457"/>
        <item m="1" x="355"/>
        <item m="1" x="459"/>
        <item m="1" x="461"/>
        <item m="1" x="462"/>
        <item m="1" x="464"/>
        <item m="1" x="356"/>
        <item m="1" x="467"/>
        <item m="1" x="468"/>
        <item m="1" x="357"/>
        <item m="1" x="470"/>
        <item m="1" x="358"/>
        <item m="1" x="471"/>
        <item m="1" x="472"/>
        <item m="1" x="473"/>
        <item m="1" x="359"/>
        <item m="1" x="475"/>
        <item m="1" x="476"/>
        <item x="91"/>
        <item x="93"/>
        <item m="1" x="477"/>
        <item x="96"/>
        <item m="1" x="478"/>
        <item m="1" x="479"/>
        <item m="1" x="480"/>
        <item x="105"/>
        <item m="1" x="404"/>
        <item m="1" x="481"/>
        <item x="106"/>
        <item m="1" x="482"/>
        <item x="108"/>
        <item m="1" x="484"/>
        <item x="113"/>
        <item m="1" x="407"/>
        <item m="1" x="408"/>
        <item m="1" x="485"/>
        <item x="118"/>
        <item x="120"/>
        <item m="1" x="486"/>
        <item m="1" x="487"/>
        <item m="1" x="489"/>
        <item m="1" x="363"/>
        <item x="127"/>
        <item x="128"/>
        <item m="1" x="491"/>
        <item m="1" x="493"/>
        <item m="1" x="494"/>
        <item x="136"/>
        <item m="1" x="496"/>
        <item m="1" x="364"/>
        <item m="1" x="497"/>
        <item m="1" x="498"/>
        <item m="1" x="500"/>
        <item m="1" x="503"/>
        <item m="1" x="504"/>
        <item m="1" x="365"/>
        <item m="1" x="367"/>
        <item m="1" x="505"/>
        <item m="1" x="507"/>
        <item m="1" x="508"/>
        <item m="1" x="509"/>
        <item m="1" x="510"/>
        <item m="1" x="369"/>
        <item m="1" x="370"/>
        <item m="1" x="511"/>
        <item x="173"/>
        <item x="194"/>
        <item m="1" x="377"/>
        <item m="1" x="384"/>
        <item x="206"/>
        <item m="1" x="516"/>
        <item m="1" x="519"/>
        <item x="209"/>
        <item m="1" x="521"/>
        <item m="1" x="522"/>
        <item m="1" x="385"/>
        <item m="1" x="311"/>
        <item m="1" x="529"/>
        <item x="217"/>
        <item m="1" x="530"/>
        <item m="1" x="533"/>
        <item m="1" x="534"/>
        <item m="1" x="388"/>
        <item m="1" x="427"/>
        <item m="1" x="350"/>
        <item m="1" x="393"/>
        <item m="1" x="351"/>
        <item m="1" x="395"/>
        <item m="1" x="352"/>
        <item m="1" x="397"/>
        <item m="1" x="398"/>
        <item m="1" x="399"/>
        <item x="76"/>
        <item x="77"/>
        <item x="78"/>
        <item m="1" x="400"/>
        <item m="1" x="401"/>
        <item m="1" x="360"/>
        <item m="1" x="405"/>
        <item x="129"/>
        <item m="1" x="409"/>
        <item x="130"/>
        <item x="134"/>
        <item m="1" x="410"/>
        <item m="1" x="411"/>
        <item m="1" x="412"/>
        <item m="1" x="413"/>
        <item m="1" x="414"/>
        <item x="143"/>
        <item x="148"/>
        <item m="1" x="415"/>
        <item x="150"/>
        <item x="163"/>
        <item m="1" x="416"/>
        <item m="1" x="417"/>
        <item x="164"/>
        <item x="170"/>
        <item m="1" x="418"/>
        <item m="1" x="419"/>
        <item x="181"/>
        <item m="1" x="372"/>
        <item m="1" x="420"/>
        <item m="1" x="373"/>
        <item m="1" x="421"/>
        <item x="191"/>
        <item m="1" x="376"/>
        <item m="1" x="422"/>
        <item m="1" x="423"/>
        <item m="1" x="380"/>
        <item m="1" x="424"/>
        <item m="1" x="382"/>
        <item m="1" x="383"/>
        <item x="205"/>
        <item m="1" x="425"/>
        <item m="1" x="426"/>
        <item m="1" x="386"/>
        <item m="1" x="389"/>
        <item m="1" x="390"/>
        <item m="1" x="428"/>
        <item m="1" x="391"/>
        <item x="232"/>
        <item m="1" x="392"/>
        <item x="34"/>
        <item m="1" x="265"/>
        <item x="81"/>
        <item x="88"/>
        <item x="97"/>
        <item x="99"/>
        <item m="1" x="361"/>
        <item m="1" x="366"/>
        <item x="149"/>
        <item x="151"/>
        <item m="1" x="368"/>
        <item x="155"/>
        <item m="1" x="371"/>
        <item x="172"/>
        <item x="174"/>
        <item x="185"/>
        <item m="1" x="374"/>
        <item m="1" x="375"/>
        <item m="1" x="379"/>
        <item m="1" x="381"/>
        <item x="35"/>
        <item m="1" x="335"/>
        <item x="36"/>
        <item x="39"/>
        <item x="40"/>
        <item x="41"/>
        <item m="1" x="253"/>
        <item m="1" x="337"/>
        <item x="57"/>
        <item x="62"/>
        <item x="80"/>
        <item x="82"/>
        <item x="83"/>
        <item x="98"/>
        <item x="110"/>
        <item x="121"/>
        <item x="123"/>
        <item x="124"/>
        <item m="1" x="289"/>
        <item x="137"/>
        <item m="1" x="293"/>
        <item m="1" x="294"/>
        <item x="145"/>
        <item x="146"/>
        <item x="152"/>
        <item x="156"/>
        <item x="161"/>
        <item x="165"/>
        <item x="166"/>
        <item x="169"/>
        <item m="1" x="299"/>
        <item m="1" x="300"/>
        <item x="179"/>
        <item x="182"/>
        <item x="186"/>
        <item x="187"/>
        <item x="188"/>
        <item m="1" x="344"/>
        <item x="197"/>
        <item x="201"/>
        <item x="216"/>
        <item x="221"/>
        <item x="222"/>
        <item x="225"/>
        <item m="1" x="245"/>
        <item x="37"/>
        <item m="1" x="246"/>
        <item x="38"/>
        <item m="1" x="247"/>
        <item m="1" x="248"/>
        <item m="1" x="249"/>
        <item m="1" x="250"/>
        <item m="1" x="251"/>
        <item m="1" x="252"/>
        <item x="42"/>
        <item m="1" x="254"/>
        <item m="1" x="255"/>
        <item m="1" x="256"/>
        <item m="1" x="257"/>
        <item m="1" x="258"/>
        <item m="1" x="260"/>
        <item m="1" x="261"/>
        <item m="1" x="262"/>
        <item m="1" x="263"/>
        <item x="53"/>
        <item x="58"/>
        <item x="59"/>
        <item m="1" x="266"/>
        <item m="1" x="267"/>
        <item m="1" x="268"/>
        <item m="1" x="269"/>
        <item x="66"/>
        <item x="67"/>
        <item m="1" x="270"/>
        <item x="89"/>
        <item m="1" x="272"/>
        <item m="1" x="273"/>
        <item m="1" x="274"/>
        <item m="1" x="277"/>
        <item x="114"/>
        <item x="125"/>
        <item m="1" x="278"/>
        <item x="126"/>
        <item m="1" x="279"/>
        <item m="1" x="281"/>
        <item m="1" x="282"/>
        <item m="1" x="283"/>
        <item m="1" x="284"/>
        <item m="1" x="285"/>
        <item m="1" x="286"/>
        <item m="1" x="287"/>
        <item x="131"/>
        <item m="1" x="288"/>
        <item m="1" x="290"/>
        <item m="1" x="291"/>
        <item m="1" x="292"/>
        <item x="138"/>
        <item m="1" x="297"/>
        <item m="1" x="298"/>
        <item x="147"/>
        <item m="1" x="301"/>
        <item m="1" x="302"/>
        <item x="175"/>
        <item m="1" x="303"/>
        <item x="180"/>
        <item m="1" x="305"/>
        <item m="1" x="306"/>
        <item m="1" x="307"/>
        <item x="196"/>
        <item x="198"/>
        <item x="199"/>
        <item x="202"/>
        <item x="204"/>
        <item m="1" x="308"/>
        <item m="1" x="312"/>
        <item m="1" x="313"/>
        <item x="226"/>
        <item x="227"/>
        <item x="189"/>
        <item x="231"/>
        <item x="43"/>
        <item x="44"/>
        <item x="45"/>
        <item x="48"/>
        <item x="49"/>
        <item x="50"/>
        <item x="51"/>
        <item x="54"/>
        <item x="55"/>
        <item x="60"/>
        <item x="61"/>
        <item x="64"/>
        <item x="65"/>
        <item x="68"/>
        <item x="69"/>
        <item x="70"/>
        <item x="71"/>
        <item x="72"/>
        <item x="79"/>
        <item x="84"/>
        <item x="85"/>
        <item x="86"/>
        <item x="87"/>
        <item x="100"/>
        <item x="103"/>
        <item x="107"/>
        <item x="112"/>
        <item x="115"/>
        <item x="116"/>
        <item x="135"/>
        <item x="139"/>
        <item x="140"/>
        <item x="142"/>
        <item x="144"/>
        <item x="157"/>
        <item x="158"/>
        <item x="159"/>
        <item x="176"/>
        <item x="183"/>
        <item x="190"/>
        <item x="192"/>
        <item x="193"/>
        <item x="200"/>
        <item x="203"/>
        <item x="219"/>
        <item x="229"/>
        <item x="230"/>
        <item x="233"/>
        <item x="235"/>
        <item x="2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1">
        <item m="1" x="208"/>
        <item x="63"/>
        <item x="12"/>
        <item x="29"/>
        <item x="85"/>
        <item x="13"/>
        <item m="1" x="314"/>
        <item m="1" x="163"/>
        <item m="1" x="111"/>
        <item x="7"/>
        <item x="74"/>
        <item x="4"/>
        <item m="1" x="189"/>
        <item x="44"/>
        <item x="3"/>
        <item x="1"/>
        <item x="48"/>
        <item m="1" x="206"/>
        <item x="21"/>
        <item x="75"/>
        <item x="46"/>
        <item x="82"/>
        <item x="57"/>
        <item x="71"/>
        <item x="43"/>
        <item x="26"/>
        <item x="34"/>
        <item m="1" x="147"/>
        <item x="58"/>
        <item x="6"/>
        <item x="60"/>
        <item m="1" x="117"/>
        <item m="1" x="157"/>
        <item m="1" x="114"/>
        <item m="1" x="110"/>
        <item m="1" x="139"/>
        <item x="18"/>
        <item x="30"/>
        <item m="1" x="261"/>
        <item x="81"/>
        <item m="1" x="172"/>
        <item m="1" x="196"/>
        <item m="1" x="132"/>
        <item m="1" x="186"/>
        <item m="1" x="223"/>
        <item m="1" x="222"/>
        <item m="1" x="327"/>
        <item m="1" x="300"/>
        <item m="1" x="282"/>
        <item x="83"/>
        <item x="2"/>
        <item m="1" x="296"/>
        <item x="67"/>
        <item m="1" x="319"/>
        <item m="1" x="272"/>
        <item x="86"/>
        <item m="1" x="126"/>
        <item m="1" x="120"/>
        <item m="1" x="305"/>
        <item m="1" x="193"/>
        <item m="1" x="106"/>
        <item x="41"/>
        <item m="1" x="195"/>
        <item m="1" x="281"/>
        <item x="77"/>
        <item m="1" x="290"/>
        <item x="70"/>
        <item x="66"/>
        <item m="1" x="181"/>
        <item m="1" x="135"/>
        <item x="19"/>
        <item m="1" x="179"/>
        <item m="1" x="125"/>
        <item x="54"/>
        <item x="14"/>
        <item m="1" x="284"/>
        <item x="20"/>
        <item m="1" x="101"/>
        <item x="36"/>
        <item m="1" x="293"/>
        <item m="1" x="244"/>
        <item m="1" x="318"/>
        <item x="61"/>
        <item m="1" x="212"/>
        <item m="1" x="207"/>
        <item m="1" x="113"/>
        <item x="72"/>
        <item x="65"/>
        <item x="25"/>
        <item m="1" x="227"/>
        <item x="11"/>
        <item m="1" x="91"/>
        <item m="1" x="103"/>
        <item m="1" x="224"/>
        <item m="1" x="259"/>
        <item m="1" x="299"/>
        <item x="73"/>
        <item m="1" x="198"/>
        <item x="79"/>
        <item m="1" x="175"/>
        <item m="1" x="262"/>
        <item m="1" x="258"/>
        <item m="1" x="256"/>
        <item m="1" x="276"/>
        <item m="1" x="205"/>
        <item m="1" x="219"/>
        <item m="1" x="297"/>
        <item m="1" x="325"/>
        <item m="1" x="243"/>
        <item m="1" x="162"/>
        <item m="1" x="95"/>
        <item m="1" x="141"/>
        <item x="49"/>
        <item x="10"/>
        <item m="1" x="183"/>
        <item x="17"/>
        <item m="1" x="153"/>
        <item m="1" x="180"/>
        <item m="1" x="137"/>
        <item m="1" x="257"/>
        <item m="1" x="165"/>
        <item x="51"/>
        <item x="52"/>
        <item m="1" x="313"/>
        <item m="1" x="167"/>
        <item m="1" x="307"/>
        <item m="1" x="151"/>
        <item x="28"/>
        <item m="1" x="138"/>
        <item m="1" x="115"/>
        <item x="68"/>
        <item m="1" x="150"/>
        <item x="45"/>
        <item m="1" x="312"/>
        <item m="1" x="309"/>
        <item m="1" x="145"/>
        <item m="1" x="173"/>
        <item m="1" x="185"/>
        <item m="1" x="215"/>
        <item m="1" x="89"/>
        <item x="40"/>
        <item m="1" x="104"/>
        <item m="1" x="93"/>
        <item m="1" x="169"/>
        <item m="1" x="239"/>
        <item m="1" x="176"/>
        <item m="1" x="102"/>
        <item m="1" x="275"/>
        <item x="22"/>
        <item m="1" x="294"/>
        <item x="53"/>
        <item m="1" x="269"/>
        <item m="1" x="211"/>
        <item x="27"/>
        <item m="1" x="128"/>
        <item m="1" x="107"/>
        <item m="1" x="92"/>
        <item m="1" x="322"/>
        <item x="59"/>
        <item m="1" x="250"/>
        <item m="1" x="246"/>
        <item m="1" x="285"/>
        <item m="1" x="164"/>
        <item x="0"/>
        <item m="1" x="191"/>
        <item x="62"/>
        <item x="47"/>
        <item m="1" x="248"/>
        <item m="1" x="159"/>
        <item m="1" x="288"/>
        <item m="1" x="324"/>
        <item m="1" x="140"/>
        <item x="76"/>
        <item x="55"/>
        <item m="1" x="131"/>
        <item m="1" x="225"/>
        <item m="1" x="96"/>
        <item m="1" x="268"/>
        <item x="16"/>
        <item m="1" x="233"/>
        <item m="1" x="187"/>
        <item x="9"/>
        <item m="1" x="168"/>
        <item m="1" x="279"/>
        <item m="1" x="289"/>
        <item m="1" x="321"/>
        <item m="1" x="216"/>
        <item m="1" x="142"/>
        <item m="1" x="133"/>
        <item m="1" x="90"/>
        <item m="1" x="270"/>
        <item m="1" x="292"/>
        <item x="24"/>
        <item m="1" x="326"/>
        <item m="1" x="118"/>
        <item m="1" x="237"/>
        <item x="39"/>
        <item m="1" x="295"/>
        <item m="1" x="280"/>
        <item m="1" x="308"/>
        <item m="1" x="136"/>
        <item m="1" x="192"/>
        <item m="1" x="188"/>
        <item m="1" x="329"/>
        <item m="1" x="287"/>
        <item x="69"/>
        <item m="1" x="229"/>
        <item m="1" x="303"/>
        <item m="1" x="221"/>
        <item m="1" x="274"/>
        <item m="1" x="323"/>
        <item m="1" x="260"/>
        <item m="1" x="304"/>
        <item m="1" x="255"/>
        <item m="1" x="100"/>
        <item m="1" x="315"/>
        <item m="1" x="301"/>
        <item m="1" x="267"/>
        <item m="1" x="273"/>
        <item m="1" x="328"/>
        <item m="1" x="252"/>
        <item m="1" x="121"/>
        <item x="84"/>
        <item m="1" x="253"/>
        <item m="1" x="170"/>
        <item m="1" x="278"/>
        <item m="1" x="277"/>
        <item m="1" x="245"/>
        <item m="1" x="249"/>
        <item m="1" x="174"/>
        <item m="1" x="265"/>
        <item x="5"/>
        <item m="1" x="330"/>
        <item m="1" x="310"/>
        <item m="1" x="184"/>
        <item m="1" x="306"/>
        <item m="1" x="316"/>
        <item m="1" x="178"/>
        <item m="1" x="271"/>
        <item m="1" x="302"/>
        <item m="1" x="311"/>
        <item m="1" x="320"/>
        <item m="1" x="232"/>
        <item m="1" x="286"/>
        <item m="1" x="298"/>
        <item m="1" x="291"/>
        <item m="1" x="213"/>
        <item m="1" x="317"/>
        <item m="1" x="166"/>
        <item m="1" x="254"/>
        <item m="1" x="283"/>
        <item m="1" x="148"/>
        <item x="64"/>
        <item m="1" x="251"/>
        <item m="1" x="241"/>
        <item m="1" x="98"/>
        <item x="31"/>
        <item x="78"/>
        <item m="1" x="263"/>
        <item m="1" x="264"/>
        <item m="1" x="247"/>
        <item m="1" x="242"/>
        <item m="1" x="266"/>
        <item m="1" x="210"/>
        <item m="1" x="155"/>
        <item m="1" x="235"/>
        <item m="1" x="124"/>
        <item m="1" x="182"/>
        <item m="1" x="240"/>
        <item m="1" x="238"/>
        <item x="32"/>
        <item m="1" x="236"/>
        <item m="1" x="230"/>
        <item m="1" x="161"/>
        <item m="1" x="116"/>
        <item m="1" x="228"/>
        <item m="1" x="231"/>
        <item m="1" x="87"/>
        <item m="1" x="234"/>
        <item x="15"/>
        <item m="1" x="202"/>
        <item m="1" x="226"/>
        <item m="1" x="194"/>
        <item m="1" x="220"/>
        <item m="1" x="209"/>
        <item m="1" x="160"/>
        <item m="1" x="217"/>
        <item m="1" x="204"/>
        <item m="1" x="129"/>
        <item m="1" x="218"/>
        <item x="23"/>
        <item m="1" x="214"/>
        <item m="1" x="171"/>
        <item m="1" x="99"/>
        <item m="1" x="197"/>
        <item m="1" x="143"/>
        <item m="1" x="199"/>
        <item m="1" x="146"/>
        <item m="1" x="203"/>
        <item m="1" x="190"/>
        <item m="1" x="200"/>
        <item m="1" x="144"/>
        <item m="1" x="201"/>
        <item m="1" x="127"/>
        <item m="1" x="88"/>
        <item x="8"/>
        <item m="1" x="177"/>
        <item m="1" x="152"/>
        <item m="1" x="149"/>
        <item x="42"/>
        <item m="1" x="134"/>
        <item m="1" x="130"/>
        <item m="1" x="97"/>
        <item m="1" x="94"/>
        <item x="56"/>
        <item x="50"/>
        <item m="1" x="154"/>
        <item m="1" x="122"/>
        <item m="1" x="156"/>
        <item m="1" x="123"/>
        <item m="1" x="158"/>
        <item m="1" x="119"/>
        <item x="80"/>
        <item x="33"/>
        <item x="35"/>
        <item x="38"/>
        <item m="1" x="105"/>
        <item m="1" x="108"/>
        <item m="1" x="109"/>
        <item m="1" x="112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9">
        <item x="4"/>
        <item x="12"/>
        <item x="1"/>
        <item m="1" x="289"/>
        <item x="26"/>
        <item x="81"/>
        <item m="1" x="221"/>
        <item x="71"/>
        <item x="63"/>
        <item m="1" x="207"/>
        <item x="46"/>
        <item x="48"/>
        <item x="44"/>
        <item x="7"/>
        <item m="1" x="114"/>
        <item x="60"/>
        <item x="83"/>
        <item m="1" x="222"/>
        <item m="1" x="270"/>
        <item x="58"/>
        <item x="3"/>
        <item x="29"/>
        <item m="1" x="147"/>
        <item m="1" x="186"/>
        <item x="74"/>
        <item m="1" x="111"/>
        <item m="1" x="157"/>
        <item x="82"/>
        <item m="1" x="132"/>
        <item x="2"/>
        <item m="1" x="144"/>
        <item x="34"/>
        <item m="1" x="196"/>
        <item m="1" x="189"/>
        <item m="1" x="163"/>
        <item x="13"/>
        <item x="57"/>
        <item m="1" x="312"/>
        <item m="1" x="117"/>
        <item m="1" x="302"/>
        <item m="1" x="296"/>
        <item x="43"/>
        <item x="6"/>
        <item x="18"/>
        <item x="67"/>
        <item m="1" x="290"/>
        <item m="1" x="288"/>
        <item x="21"/>
        <item x="30"/>
        <item x="85"/>
        <item m="1" x="139"/>
        <item m="1" x="317"/>
        <item x="86"/>
        <item x="75"/>
        <item m="1" x="172"/>
        <item m="1" x="110"/>
        <item m="1" x="126"/>
        <item m="1" x="120"/>
        <item m="1" x="322"/>
        <item m="1" x="193"/>
        <item m="1" x="106"/>
        <item x="41"/>
        <item m="1" x="195"/>
        <item m="1" x="305"/>
        <item x="77"/>
        <item m="1" x="269"/>
        <item x="70"/>
        <item x="66"/>
        <item m="1" x="181"/>
        <item m="1" x="135"/>
        <item x="19"/>
        <item m="1" x="179"/>
        <item m="1" x="125"/>
        <item x="54"/>
        <item x="14"/>
        <item m="1" x="282"/>
        <item x="20"/>
        <item m="1" x="101"/>
        <item x="36"/>
        <item m="1" x="272"/>
        <item m="1" x="243"/>
        <item m="1" x="326"/>
        <item x="61"/>
        <item m="1" x="211"/>
        <item m="1" x="206"/>
        <item m="1" x="113"/>
        <item x="72"/>
        <item x="65"/>
        <item x="25"/>
        <item m="1" x="226"/>
        <item x="11"/>
        <item m="1" x="91"/>
        <item m="1" x="103"/>
        <item m="1" x="223"/>
        <item m="1" x="314"/>
        <item m="1" x="324"/>
        <item x="73"/>
        <item m="1" x="198"/>
        <item x="79"/>
        <item m="1" x="175"/>
        <item m="1" x="253"/>
        <item m="1" x="274"/>
        <item m="1" x="257"/>
        <item m="1" x="275"/>
        <item m="1" x="205"/>
        <item m="1" x="218"/>
        <item m="1" x="265"/>
        <item m="1" x="325"/>
        <item m="1" x="242"/>
        <item m="1" x="162"/>
        <item m="1" x="95"/>
        <item m="1" x="141"/>
        <item x="49"/>
        <item x="10"/>
        <item m="1" x="183"/>
        <item x="17"/>
        <item m="1" x="153"/>
        <item m="1" x="180"/>
        <item m="1" x="137"/>
        <item m="1" x="323"/>
        <item m="1" x="165"/>
        <item x="51"/>
        <item x="52"/>
        <item m="1" x="284"/>
        <item m="1" x="167"/>
        <item m="1" x="304"/>
        <item m="1" x="151"/>
        <item x="28"/>
        <item m="1" x="138"/>
        <item m="1" x="115"/>
        <item x="68"/>
        <item m="1" x="150"/>
        <item x="45"/>
        <item m="1" x="251"/>
        <item m="1" x="316"/>
        <item m="1" x="145"/>
        <item m="1" x="173"/>
        <item m="1" x="185"/>
        <item m="1" x="214"/>
        <item m="1" x="89"/>
        <item x="40"/>
        <item m="1" x="104"/>
        <item m="1" x="93"/>
        <item m="1" x="169"/>
        <item m="1" x="238"/>
        <item m="1" x="176"/>
        <item m="1" x="102"/>
        <item m="1" x="297"/>
        <item x="22"/>
        <item m="1" x="310"/>
        <item x="53"/>
        <item m="1" x="267"/>
        <item m="1" x="320"/>
        <item x="27"/>
        <item m="1" x="128"/>
        <item m="1" x="107"/>
        <item m="1" x="92"/>
        <item m="1" x="303"/>
        <item x="59"/>
        <item m="1" x="294"/>
        <item m="1" x="245"/>
        <item m="1" x="271"/>
        <item m="1" x="164"/>
        <item x="0"/>
        <item m="1" x="191"/>
        <item x="62"/>
        <item x="47"/>
        <item m="1" x="306"/>
        <item m="1" x="159"/>
        <item m="1" x="293"/>
        <item m="1" x="261"/>
        <item m="1" x="140"/>
        <item x="76"/>
        <item x="55"/>
        <item m="1" x="131"/>
        <item m="1" x="224"/>
        <item m="1" x="96"/>
        <item m="1" x="268"/>
        <item x="16"/>
        <item m="1" x="232"/>
        <item m="1" x="187"/>
        <item x="9"/>
        <item m="1" x="168"/>
        <item m="1" x="281"/>
        <item m="1" x="256"/>
        <item m="1" x="328"/>
        <item m="1" x="215"/>
        <item m="1" x="142"/>
        <item m="1" x="133"/>
        <item m="1" x="90"/>
        <item m="1" x="278"/>
        <item m="1" x="300"/>
        <item x="24"/>
        <item m="1" x="259"/>
        <item m="1" x="118"/>
        <item m="1" x="236"/>
        <item x="39"/>
        <item m="1" x="263"/>
        <item m="1" x="319"/>
        <item m="1" x="299"/>
        <item m="1" x="136"/>
        <item m="1" x="192"/>
        <item m="1" x="188"/>
        <item m="1" x="308"/>
        <item m="1" x="295"/>
        <item x="69"/>
        <item m="1" x="228"/>
        <item m="1" x="273"/>
        <item m="1" x="220"/>
        <item m="1" x="249"/>
        <item m="1" x="327"/>
        <item m="1" x="276"/>
        <item m="1" x="315"/>
        <item m="1" x="122"/>
        <item m="1" x="100"/>
        <item m="1" x="247"/>
        <item m="1" x="292"/>
        <item m="1" x="311"/>
        <item m="1" x="291"/>
        <item m="1" x="301"/>
        <item m="1" x="321"/>
        <item m="1" x="121"/>
        <item x="84"/>
        <item m="1" x="170"/>
        <item m="1" x="248"/>
        <item m="1" x="285"/>
        <item m="1" x="244"/>
        <item m="1" x="309"/>
        <item m="1" x="174"/>
        <item m="1" x="287"/>
        <item x="5"/>
        <item m="1" x="307"/>
        <item m="1" x="260"/>
        <item m="1" x="184"/>
        <item m="1" x="318"/>
        <item m="1" x="254"/>
        <item m="1" x="178"/>
        <item m="1" x="262"/>
        <item m="1" x="283"/>
        <item m="1" x="279"/>
        <item m="1" x="286"/>
        <item m="1" x="231"/>
        <item m="1" x="298"/>
        <item m="1" x="277"/>
        <item m="1" x="255"/>
        <item m="1" x="212"/>
        <item m="1" x="266"/>
        <item m="1" x="166"/>
        <item m="1" x="252"/>
        <item m="1" x="264"/>
        <item m="1" x="148"/>
        <item x="64"/>
        <item m="1" x="280"/>
        <item m="1" x="240"/>
        <item m="1" x="98"/>
        <item x="31"/>
        <item x="78"/>
        <item m="1" x="258"/>
        <item m="1" x="250"/>
        <item m="1" x="246"/>
        <item m="1" x="241"/>
        <item m="1" x="313"/>
        <item m="1" x="209"/>
        <item m="1" x="155"/>
        <item m="1" x="234"/>
        <item m="1" x="124"/>
        <item m="1" x="182"/>
        <item m="1" x="239"/>
        <item m="1" x="237"/>
        <item x="32"/>
        <item m="1" x="235"/>
        <item m="1" x="229"/>
        <item m="1" x="161"/>
        <item m="1" x="116"/>
        <item m="1" x="227"/>
        <item m="1" x="230"/>
        <item m="1" x="87"/>
        <item m="1" x="233"/>
        <item x="15"/>
        <item m="1" x="202"/>
        <item m="1" x="225"/>
        <item m="1" x="194"/>
        <item m="1" x="219"/>
        <item m="1" x="208"/>
        <item m="1" x="160"/>
        <item m="1" x="216"/>
        <item m="1" x="204"/>
        <item m="1" x="129"/>
        <item m="1" x="217"/>
        <item x="23"/>
        <item m="1" x="213"/>
        <item m="1" x="171"/>
        <item m="1" x="99"/>
        <item m="1" x="197"/>
        <item m="1" x="143"/>
        <item m="1" x="199"/>
        <item m="1" x="210"/>
        <item m="1" x="146"/>
        <item m="1" x="203"/>
        <item m="1" x="190"/>
        <item m="1" x="200"/>
        <item m="1" x="201"/>
        <item m="1" x="127"/>
        <item m="1" x="88"/>
        <item x="8"/>
        <item m="1" x="177"/>
        <item m="1" x="152"/>
        <item m="1" x="149"/>
        <item x="42"/>
        <item m="1" x="134"/>
        <item m="1" x="130"/>
        <item m="1" x="97"/>
        <item m="1" x="94"/>
        <item x="56"/>
        <item x="50"/>
        <item m="1" x="154"/>
        <item m="1" x="156"/>
        <item m="1" x="123"/>
        <item m="1" x="158"/>
        <item m="1" x="119"/>
        <item x="80"/>
        <item x="33"/>
        <item x="35"/>
        <item x="38"/>
        <item m="1" x="105"/>
        <item m="1" x="108"/>
        <item m="1" x="109"/>
        <item m="1" x="112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95">
        <item m="1" x="2173"/>
        <item m="1" x="1423"/>
        <item m="1" x="1626"/>
        <item m="1" x="1158"/>
        <item m="1" x="1478"/>
        <item m="1" x="2085"/>
        <item m="1" x="1311"/>
        <item m="1" x="2078"/>
        <item m="1" x="1752"/>
        <item m="1" x="1654"/>
        <item m="1" x="1949"/>
        <item m="1" x="1543"/>
        <item m="1" x="1607"/>
        <item m="1" x="1665"/>
        <item m="1" x="1305"/>
        <item m="1" x="2092"/>
        <item m="1" x="1851"/>
        <item m="1" x="1362"/>
        <item m="1" x="2119"/>
        <item m="1" x="1784"/>
        <item m="1" x="2218"/>
        <item m="1" x="2012"/>
        <item m="1" x="1533"/>
        <item m="1" x="2015"/>
        <item m="1" x="2225"/>
        <item m="1" x="1731"/>
        <item x="180"/>
        <item m="1" x="1507"/>
        <item m="1" x="1853"/>
        <item m="1" x="2281"/>
        <item m="1" x="2049"/>
        <item m="1" x="1889"/>
        <item m="1" x="2146"/>
        <item m="1" x="1239"/>
        <item m="1" x="1986"/>
        <item m="1" x="2001"/>
        <item m="1" x="1644"/>
        <item m="1" x="1432"/>
        <item m="1" x="1950"/>
        <item m="1" x="1296"/>
        <item m="1" x="1131"/>
        <item m="1" x="2077"/>
        <item m="1" x="1321"/>
        <item m="1" x="1431"/>
        <item m="1" x="1982"/>
        <item m="1" x="1459"/>
        <item m="1" x="1804"/>
        <item m="1" x="2014"/>
        <item m="1" x="1510"/>
        <item m="1" x="1188"/>
        <item m="1" x="1122"/>
        <item m="1" x="1540"/>
        <item m="1" x="1164"/>
        <item m="1" x="2103"/>
        <item m="1" x="2070"/>
        <item m="1" x="1575"/>
        <item m="1" x="1351"/>
        <item m="1" x="2068"/>
        <item m="1" x="1948"/>
        <item m="1" x="1315"/>
        <item m="1" x="2243"/>
        <item m="1" x="2199"/>
        <item m="1" x="1233"/>
        <item m="1" x="1527"/>
        <item m="1" x="1771"/>
        <item m="1" x="1826"/>
        <item m="1" x="1465"/>
        <item m="1" x="1178"/>
        <item m="1" x="1260"/>
        <item m="1" x="1327"/>
        <item x="32"/>
        <item m="1" x="1437"/>
        <item m="1" x="1518"/>
        <item m="1" x="1170"/>
        <item m="1" x="1392"/>
        <item m="1" x="1466"/>
        <item m="1" x="2208"/>
        <item m="1" x="2171"/>
        <item m="1" x="2131"/>
        <item m="1" x="1551"/>
        <item m="1" x="1133"/>
        <item m="1" x="1625"/>
        <item m="1" x="1458"/>
        <item m="1" x="2223"/>
        <item m="1" x="1859"/>
        <item m="1" x="1786"/>
        <item m="1" x="1705"/>
        <item m="1" x="1639"/>
        <item m="1" x="1569"/>
        <item m="1" x="1401"/>
        <item m="1" x="1328"/>
        <item m="1" x="1722"/>
        <item m="1" x="1611"/>
        <item m="1" x="1598"/>
        <item m="1" x="1390"/>
        <item m="1" x="1281"/>
        <item m="1" x="1921"/>
        <item m="1" x="1857"/>
        <item m="1" x="1494"/>
        <item m="1" x="2090"/>
        <item m="1" x="482"/>
        <item m="1" x="1476"/>
        <item m="1" x="1917"/>
        <item m="1" x="1702"/>
        <item m="1" x="1166"/>
        <item m="1" x="1667"/>
        <item m="1" x="1903"/>
        <item m="1" x="1926"/>
        <item m="1" x="1411"/>
        <item m="1" x="2025"/>
        <item m="1" x="1941"/>
        <item m="1" x="2067"/>
        <item m="1" x="1434"/>
        <item m="1" x="1491"/>
        <item m="1" x="1759"/>
        <item m="1" x="1436"/>
        <item m="1" x="1923"/>
        <item m="1" x="1337"/>
        <item m="1" x="1251"/>
        <item m="1" x="967"/>
        <item m="1" x="1764"/>
        <item m="1" x="2262"/>
        <item m="1" x="1649"/>
        <item m="1" x="2031"/>
        <item m="1" x="1961"/>
        <item m="1" x="1612"/>
        <item m="1" x="1714"/>
        <item m="1" x="1226"/>
        <item m="1" x="2081"/>
        <item m="1" x="1127"/>
        <item m="1" x="1124"/>
        <item m="1" x="2054"/>
        <item m="1" x="2253"/>
        <item m="1" x="1159"/>
        <item m="1" x="2153"/>
        <item m="1" x="1257"/>
        <item m="1" x="1500"/>
        <item m="1" x="1932"/>
        <item m="1" x="1479"/>
        <item m="1" x="1577"/>
        <item m="1" x="2157"/>
        <item m="1" x="1154"/>
        <item m="1" x="1710"/>
        <item m="1" x="1443"/>
        <item m="1" x="1360"/>
        <item m="1" x="1972"/>
        <item m="1" x="1215"/>
        <item m="1" x="2258"/>
        <item m="1" x="230"/>
        <item m="1" x="1420"/>
        <item m="1" x="2265"/>
        <item m="1" x="1209"/>
        <item m="1" x="1252"/>
        <item x="107"/>
        <item m="1" x="2217"/>
        <item m="1" x="2230"/>
        <item m="1" x="1142"/>
        <item m="1" x="1236"/>
        <item m="1" x="1245"/>
        <item m="1" x="1938"/>
        <item m="1" x="1174"/>
        <item m="1" x="2120"/>
        <item m="1" x="1073"/>
        <item m="1" x="1914"/>
        <item m="1" x="1452"/>
        <item m="1" x="1145"/>
        <item m="1" x="2147"/>
        <item m="1" x="1451"/>
        <item m="1" x="1220"/>
        <item m="1" x="1688"/>
        <item m="1" x="1656"/>
        <item m="1" x="1842"/>
        <item m="1" x="2108"/>
        <item m="1" x="2130"/>
        <item m="1" x="1234"/>
        <item m="1" x="2268"/>
        <item m="1" x="1653"/>
        <item m="1" x="1422"/>
        <item m="1" x="2224"/>
        <item m="1" x="2142"/>
        <item m="1" x="1318"/>
        <item m="1" x="1123"/>
        <item m="1" x="1920"/>
        <item m="1" x="1787"/>
        <item m="1" x="1126"/>
        <item m="1" x="1666"/>
        <item m="1" x="1965"/>
        <item m="1" x="2043"/>
        <item m="1" x="1606"/>
        <item m="1" x="1523"/>
        <item m="1" x="1306"/>
        <item m="1" x="2207"/>
        <item m="1" x="1809"/>
        <item m="1" x="1368"/>
        <item m="1" x="1144"/>
        <item m="1" x="2143"/>
        <item m="1" x="1633"/>
        <item m="1" x="2079"/>
        <item m="1" x="1216"/>
        <item m="1" x="1570"/>
        <item m="1" x="1119"/>
        <item m="1" x="1217"/>
        <item m="1" x="2164"/>
        <item m="1" x="2019"/>
        <item m="1" x="1668"/>
        <item m="1" x="2105"/>
        <item m="1" x="1738"/>
        <item m="1" x="1672"/>
        <item m="1" x="2125"/>
        <item m="1" x="1417"/>
        <item m="1" x="1536"/>
        <item m="1" x="721"/>
        <item m="1" x="1531"/>
        <item m="1" x="818"/>
        <item m="1" x="2035"/>
        <item m="1" x="1762"/>
        <item m="1" x="1989"/>
        <item m="1" x="1265"/>
        <item m="1" x="1800"/>
        <item m="1" x="1677"/>
        <item m="1" x="1429"/>
        <item m="1" x="2266"/>
        <item m="1" x="1596"/>
        <item m="1" x="1403"/>
        <item m="1" x="1776"/>
        <item m="1" x="2073"/>
        <item m="1" x="1128"/>
        <item m="1" x="1855"/>
        <item m="1" x="2240"/>
        <item m="1" x="2096"/>
        <item m="1" x="1774"/>
        <item m="1" x="1526"/>
        <item m="1" x="1716"/>
        <item m="1" x="2060"/>
        <item m="1" x="1132"/>
        <item m="1" x="2121"/>
        <item m="1" x="1947"/>
        <item m="1" x="1186"/>
        <item m="1" x="1835"/>
        <item m="1" x="1138"/>
        <item m="1" x="1515"/>
        <item m="1" x="1899"/>
        <item m="1" x="2044"/>
        <item m="1" x="1664"/>
        <item m="1" x="1587"/>
        <item m="1" x="1157"/>
        <item m="1" x="2066"/>
        <item m="1" x="1339"/>
        <item m="1" x="1255"/>
        <item m="1" x="1200"/>
        <item m="1" x="2168"/>
        <item m="1" x="1346"/>
        <item m="1" x="2155"/>
        <item m="1" x="2161"/>
        <item m="1" x="1503"/>
        <item m="1" x="1291"/>
        <item m="1" x="1836"/>
        <item m="1" x="1229"/>
        <item m="1" x="1974"/>
        <item m="1" x="1803"/>
        <item m="1" x="2247"/>
        <item m="1" x="1376"/>
        <item m="1" x="1827"/>
        <item m="1" x="2256"/>
        <item m="1" x="514"/>
        <item m="1" x="2186"/>
        <item m="1" x="1584"/>
        <item m="1" x="2212"/>
        <item m="1" x="1745"/>
        <item m="1" x="2100"/>
        <item m="1" x="1440"/>
        <item m="1" x="2160"/>
        <item m="1" x="1789"/>
        <item m="1" x="2163"/>
        <item m="1" x="2231"/>
        <item m="1" x="387"/>
        <item m="1" x="1325"/>
        <item m="1" x="1313"/>
        <item m="1" x="2087"/>
        <item m="1" x="409"/>
        <item m="1" x="2197"/>
        <item m="1" x="2184"/>
        <item m="1" x="1695"/>
        <item m="1" x="1130"/>
        <item m="1" x="1286"/>
        <item m="1" x="1189"/>
        <item m="1" x="1125"/>
        <item m="1" x="1935"/>
        <item m="1" x="358"/>
        <item m="1" x="1448"/>
        <item m="1" x="1400"/>
        <item m="1" x="2239"/>
        <item m="1" x="1266"/>
        <item m="1" x="1757"/>
        <item m="1" x="1719"/>
        <item m="1" x="1674"/>
        <item m="1" x="1837"/>
        <item m="1" x="1973"/>
        <item m="1" x="1850"/>
        <item m="1" x="1585"/>
        <item m="1" x="1718"/>
        <item m="1" x="1796"/>
        <item m="1" x="2290"/>
        <item m="1" x="1618"/>
        <item m="1" x="1689"/>
        <item m="1" x="1740"/>
        <item m="1" x="1542"/>
        <item m="1" x="1761"/>
        <item m="1" x="1901"/>
        <item m="1" x="2221"/>
        <item m="1" x="2206"/>
        <item m="1" x="1514"/>
        <item m="1" x="1290"/>
        <item m="1" x="1885"/>
        <item m="1" x="1821"/>
        <item m="1" x="1795"/>
        <item m="1" x="1576"/>
        <item m="1" x="1563"/>
        <item m="1" x="2129"/>
        <item m="1" x="2285"/>
        <item m="1" x="1554"/>
        <item m="1" x="1322"/>
        <item m="1" x="1691"/>
        <item m="1" x="1481"/>
        <item m="1" x="1371"/>
        <item m="1" x="1700"/>
        <item m="1" x="1120"/>
        <item m="1" x="1262"/>
        <item m="1" x="688"/>
        <item m="1" x="2169"/>
        <item m="1" x="1838"/>
        <item m="1" x="1541"/>
        <item m="1" x="1428"/>
        <item m="1" x="1928"/>
        <item m="1" x="1340"/>
        <item m="1" x="1139"/>
        <item m="1" x="1412"/>
        <item m="1" x="1864"/>
        <item m="1" x="1897"/>
        <item m="1" x="1717"/>
        <item m="1" x="1202"/>
        <item m="1" x="1937"/>
        <item m="1" x="1421"/>
        <item m="1" x="2267"/>
        <item m="1" x="1513"/>
        <item m="1" x="2191"/>
        <item m="1" x="1273"/>
        <item m="1" x="2261"/>
        <item m="1" x="1652"/>
        <item m="1" x="2138"/>
        <item m="1" x="1634"/>
        <item m="1" x="1780"/>
        <item m="1" x="1457"/>
        <item m="1" x="1988"/>
        <item m="1" x="1681"/>
        <item m="1" x="1778"/>
        <item m="1" x="1676"/>
        <item m="1" x="1388"/>
        <item m="1" x="2179"/>
        <item m="1" x="2011"/>
        <item m="1" x="1537"/>
        <item m="1" x="1984"/>
        <item m="1" x="417"/>
        <item m="1" x="1410"/>
        <item m="1" x="1913"/>
        <item m="1" x="1802"/>
        <item m="1" x="2201"/>
        <item m="1" x="1380"/>
        <item m="1" x="1602"/>
        <item m="1" x="1402"/>
        <item m="1" x="510"/>
        <item m="1" x="1706"/>
        <item m="1" x="1043"/>
        <item m="1" x="1637"/>
        <item m="1" x="1237"/>
        <item m="1" x="1675"/>
        <item m="1" x="1791"/>
        <item m="1" x="1977"/>
        <item m="1" x="1562"/>
        <item m="1" x="1854"/>
        <item m="1" x="1981"/>
        <item m="1" x="1915"/>
        <item m="1" x="1909"/>
        <item m="1" x="1698"/>
        <item m="1" x="1308"/>
        <item m="1" x="1171"/>
        <item m="1" x="1701"/>
        <item m="1" x="1134"/>
        <item m="1" x="1064"/>
        <item m="1" x="1347"/>
        <item m="1" x="1148"/>
        <item x="106"/>
        <item m="1" x="2216"/>
        <item m="1" x="1152"/>
        <item m="1" x="2275"/>
        <item m="1" x="2286"/>
        <item m="1" x="2059"/>
        <item m="1" x="1825"/>
        <item m="1" x="1486"/>
        <item m="1" x="1203"/>
        <item m="1" x="1521"/>
        <item m="1" x="1643"/>
        <item m="1" x="2203"/>
        <item m="1" x="2023"/>
        <item m="1" x="1180"/>
        <item m="1" x="1725"/>
        <item m="1" x="2010"/>
        <item m="1" x="1382"/>
        <item m="1" x="2057"/>
        <item m="1" x="1352"/>
        <item m="1" x="2279"/>
        <item m="1" x="2063"/>
        <item m="1" x="1866"/>
        <item m="1" x="1763"/>
        <item m="1" x="2099"/>
        <item m="1" x="1845"/>
        <item m="1" x="2041"/>
        <item m="1" x="2213"/>
        <item m="1" x="1912"/>
        <item m="1" x="1566"/>
        <item m="1" x="2190"/>
        <item m="1" x="1931"/>
        <item m="1" x="2048"/>
        <item m="1" x="291"/>
        <item m="1" x="1591"/>
        <item m="1" x="1211"/>
        <item m="1" x="1682"/>
        <item m="1" x="1539"/>
        <item m="1" x="1595"/>
        <item m="1" x="1916"/>
        <item m="1" x="1349"/>
        <item m="1" x="506"/>
        <item m="1" x="1235"/>
        <item m="1" x="1156"/>
        <item m="1" x="2257"/>
        <item m="1" x="2189"/>
        <item m="1" x="1267"/>
        <item m="1" x="1995"/>
        <item m="1" x="2185"/>
        <item m="1" x="2148"/>
        <item m="1" x="1744"/>
        <item m="1" x="1610"/>
        <item m="1" x="2003"/>
        <item m="1" x="1828"/>
        <item m="1" x="1896"/>
        <item m="1" x="1910"/>
        <item x="8"/>
        <item m="1" x="1297"/>
        <item m="1" x="1919"/>
        <item m="1" x="1797"/>
        <item m="1" x="2293"/>
        <item m="1" x="2006"/>
        <item m="1" x="1506"/>
        <item m="1" x="1978"/>
        <item m="1" x="1628"/>
        <item m="1" x="1906"/>
        <item m="1" x="1394"/>
        <item m="1" x="1946"/>
        <item m="1" x="2220"/>
        <item m="1" x="1206"/>
        <item m="1" x="2162"/>
        <item m="1" x="1278"/>
        <item m="1" x="1886"/>
        <item m="1" x="1712"/>
        <item m="1" x="1162"/>
        <item m="1" x="1819"/>
        <item m="1" x="1532"/>
        <item m="1" x="1312"/>
        <item m="1" x="1258"/>
        <item m="1" x="1861"/>
        <item m="1" x="1908"/>
        <item m="1" x="1383"/>
        <item m="1" x="2056"/>
        <item m="1" x="1892"/>
        <item m="1" x="1395"/>
        <item m="1" x="1135"/>
        <item m="1" x="2260"/>
        <item m="1" x="1282"/>
        <item m="1" x="1883"/>
        <item m="1" x="1615"/>
        <item m="1" x="1477"/>
        <item m="1" x="2128"/>
        <item m="1" x="2209"/>
        <item m="1" x="1608"/>
        <item m="1" x="1187"/>
        <item m="1" x="1355"/>
        <item m="1" x="2037"/>
        <item m="1" x="2145"/>
        <item m="1" x="2109"/>
        <item m="1" x="1603"/>
        <item m="1" x="556"/>
        <item m="1" x="1153"/>
        <item m="1" x="1238"/>
        <item m="1" x="2228"/>
        <item m="1" x="1419"/>
        <item m="1" x="342"/>
        <item m="1" x="1954"/>
        <item m="1" x="1310"/>
        <item m="1" x="2187"/>
        <item m="1" x="1040"/>
        <item m="1" x="1847"/>
        <item m="1" x="2116"/>
        <item m="1" x="2040"/>
        <item x="82"/>
        <item m="1" x="1221"/>
        <item m="1" x="1160"/>
        <item m="1" x="1980"/>
        <item m="1" x="1960"/>
        <item m="1" x="1508"/>
        <item m="1" x="2030"/>
        <item m="1" x="2106"/>
        <item m="1" x="1724"/>
        <item m="1" x="2192"/>
        <item m="1" x="1547"/>
        <item m="1" x="1259"/>
        <item m="1" x="1182"/>
        <item m="1" x="1117"/>
        <item m="1" x="1408"/>
        <item m="1" x="2027"/>
        <item m="1" x="1822"/>
        <item m="1" x="1246"/>
        <item m="1" x="949"/>
        <item m="1" x="1191"/>
        <item m="1" x="1614"/>
        <item m="1" x="2193"/>
        <item m="1" x="2274"/>
        <item m="1" x="2284"/>
        <item m="1" x="1299"/>
        <item m="1" x="1302"/>
        <item m="1" x="1807"/>
        <item m="1" x="1324"/>
        <item m="1" x="2032"/>
        <item m="1" x="1498"/>
        <item m="1" x="1269"/>
        <item m="1" x="1244"/>
        <item m="1" x="1579"/>
        <item m="1" x="1121"/>
        <item m="1" x="1942"/>
        <item m="1" x="1505"/>
        <item m="1" x="1843"/>
        <item m="1" x="1242"/>
        <item m="1" x="1519"/>
        <item m="1" x="1484"/>
        <item m="1" x="2075"/>
        <item m="1" x="1877"/>
        <item m="1" x="2069"/>
        <item m="1" x="1808"/>
        <item m="1" x="1581"/>
        <item m="1" x="1823"/>
        <item m="1" x="1683"/>
        <item m="1" x="2278"/>
        <item m="1" x="1552"/>
        <item m="1" x="1711"/>
        <item m="1" x="1393"/>
        <item m="1" x="1439"/>
        <item m="1" x="1944"/>
        <item m="1" x="1137"/>
        <item m="1" x="1530"/>
        <item m="1" x="1662"/>
        <item m="1" x="1962"/>
        <item m="1" x="2237"/>
        <item m="1" x="1177"/>
        <item m="1" x="1593"/>
        <item m="1" x="552"/>
        <item m="1" x="1473"/>
        <item m="1" x="2053"/>
        <item m="1" x="1516"/>
        <item m="1" x="1967"/>
        <item m="1" x="1951"/>
        <item m="1" x="1810"/>
        <item m="1" x="1285"/>
        <item m="1" x="1474"/>
        <item m="1" x="1636"/>
        <item m="1" x="1406"/>
        <item m="1" x="2038"/>
        <item m="1" x="1497"/>
        <item m="1" x="1550"/>
        <item m="1" x="1469"/>
        <item m="1" x="2113"/>
        <item m="1" x="1512"/>
        <item m="1" x="1660"/>
        <item m="1" x="1247"/>
        <item m="1" x="1793"/>
        <item m="1" x="1155"/>
        <item m="1" x="1715"/>
        <item m="1" x="2254"/>
        <item m="1" x="2259"/>
        <item m="1" x="1985"/>
        <item m="1" x="1638"/>
        <item m="1" x="1332"/>
        <item m="1" x="366"/>
        <item m="1" x="1720"/>
        <item m="1" x="1407"/>
        <item m="1" x="1240"/>
        <item m="1" x="1927"/>
        <item m="1" x="425"/>
        <item m="1" x="1699"/>
        <item m="1" x="1848"/>
        <item m="1" x="1535"/>
        <item m="1" x="1884"/>
        <item m="1" x="1194"/>
        <item m="1" x="1911"/>
        <item m="1" x="2198"/>
        <item m="1" x="1283"/>
        <item m="1" x="2104"/>
        <item m="1" x="1806"/>
        <item m="1" x="1635"/>
        <item m="1" x="1391"/>
        <item m="1" x="1573"/>
        <item m="1" x="1583"/>
        <item m="1" x="1852"/>
        <item m="1" x="1723"/>
        <item m="1" x="2137"/>
        <item m="1" x="1833"/>
        <item m="1" x="1994"/>
        <item x="150"/>
        <item m="1" x="1208"/>
        <item m="1" x="1489"/>
        <item m="1" x="2051"/>
        <item m="1" x="1648"/>
        <item m="1" x="1287"/>
        <item m="1" x="1097"/>
        <item m="1" x="1450"/>
        <item m="1" x="1751"/>
        <item m="1" x="1056"/>
        <item m="1" x="2134"/>
        <item m="1" x="1741"/>
        <item m="1" x="1165"/>
        <item m="1" x="1728"/>
        <item m="1" x="1862"/>
        <item m="1" x="2126"/>
        <item m="1" x="2255"/>
        <item m="1" x="1356"/>
        <item m="1" x="1679"/>
        <item m="1" x="1991"/>
        <item m="1" x="1659"/>
        <item m="1" x="1902"/>
        <item m="1" x="1641"/>
        <item m="1" x="2172"/>
        <item m="1" x="1316"/>
        <item m="1" x="1696"/>
        <item m="1" x="2288"/>
        <item m="1" x="1225"/>
        <item m="1" x="1365"/>
        <item m="1" x="848"/>
        <item m="1" x="1568"/>
        <item m="1" x="1704"/>
        <item m="1" x="1739"/>
        <item m="1" x="1891"/>
        <item m="1" x="2144"/>
        <item m="1" x="2158"/>
        <item m="1" x="2234"/>
        <item m="1" x="1958"/>
        <item m="1" x="1592"/>
        <item m="1" x="207"/>
        <item m="1" x="2016"/>
        <item m="1" x="1772"/>
        <item m="1" x="1818"/>
        <item m="1" x="1597"/>
        <item m="1" x="1433"/>
        <item m="1" x="2263"/>
        <item m="1" x="1456"/>
        <item m="1" x="1520"/>
        <item m="1" x="1767"/>
        <item m="1" x="1319"/>
        <item m="1" x="1482"/>
        <item m="1" x="1509"/>
        <item m="1" x="1492"/>
        <item m="1" x="1304"/>
        <item m="1" x="1350"/>
        <item m="1" x="1150"/>
        <item m="1" x="1021"/>
        <item m="1" x="2084"/>
        <item m="1" x="1179"/>
        <item m="1" x="1199"/>
        <item m="1" x="1460"/>
        <item m="1" x="2276"/>
        <item m="1" x="1936"/>
        <item m="1" x="2242"/>
        <item m="1" x="1404"/>
        <item m="1" x="1418"/>
        <item m="1" x="1875"/>
        <item m="1" x="1427"/>
        <item m="1" x="1475"/>
        <item m="1" x="1779"/>
        <item m="1" x="1373"/>
        <item m="1" x="1651"/>
        <item m="1" x="2112"/>
        <item m="1" x="1218"/>
        <item m="1" x="265"/>
        <item m="1" x="1172"/>
        <item m="1" x="1870"/>
        <item x="137"/>
        <item m="1" x="1650"/>
        <item m="1" x="2238"/>
        <item m="1" x="2139"/>
        <item m="1" x="1354"/>
        <item m="1" x="934"/>
        <item m="1" x="1294"/>
        <item m="1" x="1335"/>
        <item m="1" x="2093"/>
        <item m="1" x="1990"/>
        <item m="1" x="1050"/>
        <item m="1" x="2219"/>
        <item m="1" x="2098"/>
        <item m="1" x="1314"/>
        <item m="1" x="1781"/>
        <item m="1" x="1275"/>
        <item m="1" x="1207"/>
        <item m="1" x="1782"/>
        <item m="1" x="644"/>
        <item m="1" x="1957"/>
        <item m="1" x="1565"/>
        <item m="1" x="1805"/>
        <item m="1" x="1727"/>
        <item m="1" x="2047"/>
        <item m="1" x="2004"/>
        <item m="1" x="1578"/>
        <item m="1" x="1343"/>
        <item m="1" x="1747"/>
        <item m="1" x="1624"/>
        <item m="1" x="1766"/>
        <item m="1" x="1685"/>
        <item m="1" x="1444"/>
        <item m="1" x="2061"/>
        <item m="1" x="2294"/>
        <item m="1" x="1222"/>
        <item m="1" x="1783"/>
        <item m="1" x="2226"/>
        <item m="1" x="1374"/>
        <item m="1" x="1136"/>
        <item m="1" x="1707"/>
        <item m="1" x="898"/>
        <item m="1" x="1708"/>
        <item m="1" x="1765"/>
        <item m="1" x="1342"/>
        <item m="1" x="2233"/>
        <item m="1" x="2083"/>
        <item m="1" x="1589"/>
        <item m="1" x="1389"/>
        <item m="1" x="1814"/>
        <item m="1" x="1647"/>
        <item m="1" x="1799"/>
        <item m="1" x="1538"/>
        <item m="1" x="1300"/>
        <item m="1" x="1996"/>
        <item m="1" x="1036"/>
        <item m="1" x="2133"/>
        <item m="1" x="852"/>
        <item m="1" x="853"/>
        <item m="1" x="2091"/>
        <item m="1" x="854"/>
        <item m="1" x="1385"/>
        <item m="1" x="1792"/>
        <item m="1" x="1815"/>
        <item m="1" x="1630"/>
        <item m="1" x="2182"/>
        <item m="1" x="1549"/>
        <item m="1" x="1834"/>
        <item m="1" x="1336"/>
        <item m="1" x="2227"/>
        <item m="1" x="2107"/>
        <item m="1" x="1243"/>
        <item m="1" x="1878"/>
        <item m="1" x="1816"/>
        <item m="1" x="2277"/>
        <item m="1" x="2175"/>
        <item m="1" x="1248"/>
        <item m="1" x="2101"/>
        <item m="1" x="1890"/>
        <item m="1" x="2245"/>
        <item m="1" x="2188"/>
        <item m="1" x="2076"/>
        <item m="1" x="2123"/>
        <item m="1" x="2026"/>
        <item m="1" x="1669"/>
        <item m="1" x="846"/>
        <item m="1" x="1929"/>
        <item m="1" x="1333"/>
        <item m="1" x="1197"/>
        <item m="1" x="2089"/>
        <item m="1" x="1295"/>
        <item m="1" x="2018"/>
        <item m="1" x="1369"/>
        <item m="1" x="1329"/>
        <item m="1" x="2246"/>
        <item m="1" x="2273"/>
        <item m="1" x="1271"/>
        <item m="1" x="435"/>
        <item m="1" x="1617"/>
        <item m="1" x="2097"/>
        <item m="1" x="1600"/>
        <item m="1" x="2002"/>
        <item m="1" x="1307"/>
        <item m="1" x="1880"/>
        <item m="1" x="812"/>
        <item m="1" x="1758"/>
        <item m="1" x="1794"/>
        <item m="1" x="1167"/>
        <item m="1" x="1169"/>
        <item m="1" x="2183"/>
        <item m="1" x="1149"/>
        <item m="1" x="1561"/>
        <item x="0"/>
        <item m="1" x="1872"/>
        <item m="1" x="1426"/>
        <item m="1" x="1224"/>
        <item m="1" x="315"/>
        <item m="1" x="2252"/>
        <item m="1" x="2072"/>
        <item m="1" x="1661"/>
        <item m="1" x="2024"/>
        <item m="1" x="1613"/>
        <item m="1" x="2071"/>
        <item m="1" x="2271"/>
        <item m="1" x="1173"/>
        <item m="1" x="1694"/>
        <item m="1" x="643"/>
        <item m="1" x="227"/>
        <item m="1" x="1326"/>
        <item m="1" x="1904"/>
        <item m="1" x="2264"/>
        <item m="1" x="1517"/>
        <item m="1" x="2180"/>
        <item m="1" x="1309"/>
        <item m="1" x="1098"/>
        <item m="1" x="2102"/>
        <item m="1" x="660"/>
        <item m="1" x="2124"/>
        <item m="1" x="1424"/>
        <item m="1" x="1140"/>
        <item m="1" x="1501"/>
        <item m="1" x="1713"/>
        <item m="1" x="1037"/>
        <item m="1" x="1338"/>
        <item m="1" x="1414"/>
        <item x="31"/>
        <item m="1" x="1893"/>
        <item m="1" x="2020"/>
        <item m="1" x="2215"/>
        <item m="1" x="2029"/>
        <item m="1" x="487"/>
        <item m="1" x="1175"/>
        <item m="1" x="1874"/>
        <item m="1" x="2248"/>
        <item m="1" x="2287"/>
        <item m="1" x="1580"/>
        <item m="1" x="2249"/>
        <item m="1" x="2177"/>
        <item m="1" x="1151"/>
        <item m="1" x="2021"/>
        <item m="1" x="1331"/>
        <item m="1" x="1754"/>
        <item m="1" x="1357"/>
        <item m="1" x="2000"/>
        <item m="1" x="1939"/>
        <item m="1" x="1113"/>
        <item m="1" x="2132"/>
        <item m="1" x="1284"/>
        <item m="1" x="1213"/>
        <item m="1" x="1405"/>
        <item m="1" x="2135"/>
        <item m="1" x="2194"/>
        <item m="1" x="1502"/>
        <item m="1" x="1881"/>
        <item m="1" x="1830"/>
        <item m="1" x="1163"/>
        <item m="1" x="1231"/>
        <item m="1" x="2195"/>
        <item m="1" x="1363"/>
        <item m="1" x="1726"/>
        <item m="1" x="1732"/>
        <item m="1" x="1253"/>
        <item m="1" x="1966"/>
        <item m="1" x="1680"/>
        <item m="1" x="1511"/>
        <item m="1" x="1413"/>
        <item m="1" x="1895"/>
        <item m="1" x="2046"/>
        <item m="1" x="2058"/>
        <item m="1" x="2292"/>
        <item m="1" x="1619"/>
        <item m="1" x="1811"/>
        <item m="1" x="2152"/>
        <item m="1" x="1279"/>
        <item m="1" x="2176"/>
        <item m="1" x="1975"/>
        <item m="1" x="1468"/>
        <item m="1" x="1447"/>
        <item m="1" x="1734"/>
        <item m="1" x="1201"/>
        <item m="1" x="1446"/>
        <item m="1" x="2042"/>
        <item m="1" x="1968"/>
        <item m="1" x="1678"/>
        <item m="1" x="2204"/>
        <item m="1" x="2289"/>
        <item m="1" x="2039"/>
        <item m="1" x="2114"/>
        <item m="1" x="1471"/>
        <item m="1" x="2170"/>
        <item m="1" x="1858"/>
        <item m="1" x="2117"/>
        <item m="1" x="2156"/>
        <item m="1" x="1227"/>
        <item m="1" x="1254"/>
        <item m="1" x="1212"/>
        <item m="1" x="1963"/>
        <item m="1" x="2022"/>
        <item m="1" x="1488"/>
        <item m="1" x="318"/>
        <item m="1" x="1687"/>
        <item m="1" x="1567"/>
        <item m="1" x="1999"/>
        <item m="1" x="1558"/>
        <item m="1" x="1038"/>
        <item m="1" x="1871"/>
        <item m="1" x="1425"/>
        <item m="1" x="1742"/>
        <item m="1" x="2045"/>
        <item x="163"/>
        <item m="1" x="1970"/>
        <item m="1" x="876"/>
        <item m="1" x="2118"/>
        <item m="1" x="1673"/>
        <item m="1" x="1017"/>
        <item m="1" x="1099"/>
        <item m="1" x="1856"/>
        <item m="1" x="1298"/>
        <item m="1" x="1168"/>
        <item m="1" x="2210"/>
        <item m="1" x="1274"/>
        <item m="1" x="1813"/>
        <item m="1" x="1495"/>
        <item m="1" x="1801"/>
        <item m="1" x="1869"/>
        <item m="1" x="1195"/>
        <item m="1" x="1241"/>
        <item m="1" x="574"/>
        <item m="1" x="1993"/>
        <item m="1" x="2064"/>
        <item m="1" x="1555"/>
        <item m="1" x="1100"/>
        <item m="1" x="648"/>
        <item m="1" x="1003"/>
        <item m="1" x="1798"/>
        <item m="1" x="2140"/>
        <item m="1" x="2095"/>
        <item m="1" x="1129"/>
        <item m="1" x="1887"/>
        <item m="1" x="1323"/>
        <item m="1" x="2282"/>
        <item m="1" x="2074"/>
        <item m="1" x="2122"/>
        <item m="1" x="1997"/>
        <item m="1" x="1924"/>
        <item m="1" x="1364"/>
        <item m="1" x="1386"/>
        <item m="1" x="1190"/>
        <item m="1" x="1449"/>
        <item m="1" x="1604"/>
        <item m="1" x="2196"/>
        <item m="1" x="1770"/>
        <item m="1" x="1264"/>
        <item m="1" x="1933"/>
        <item m="1" x="1210"/>
        <item m="1" x="1261"/>
        <item m="1" x="1737"/>
        <item m="1" x="1907"/>
        <item m="1" x="1493"/>
        <item m="1" x="1839"/>
        <item m="1" x="2017"/>
        <item m="1" x="1590"/>
        <item m="1" x="1496"/>
        <item m="1" x="1545"/>
        <item m="1" x="565"/>
        <item m="1" x="1334"/>
        <item m="1" x="452"/>
        <item m="1" x="1230"/>
        <item m="1" x="1930"/>
        <item m="1" x="1735"/>
        <item m="1" x="1655"/>
        <item m="1" x="1039"/>
        <item m="1" x="1642"/>
        <item m="1" x="1760"/>
        <item m="1" x="2178"/>
        <item m="1" x="1384"/>
        <item m="1" x="1249"/>
        <item m="1" x="1256"/>
        <item m="1" x="1623"/>
        <item m="1" x="1945"/>
        <item m="1" x="1671"/>
        <item m="1" x="1768"/>
        <item m="1" x="1863"/>
        <item m="1" x="2250"/>
        <item m="1" x="2241"/>
        <item m="1" x="2251"/>
        <item m="1" x="1048"/>
        <item m="1" x="855"/>
        <item m="1" x="1588"/>
        <item m="1" x="1546"/>
        <item m="1" x="1358"/>
        <item m="1" x="1409"/>
        <item m="1" x="1867"/>
        <item m="1" x="1101"/>
        <item m="1" x="1898"/>
        <item m="1" x="2272"/>
        <item m="1" x="1288"/>
        <item m="1" x="1461"/>
        <item m="1" x="1196"/>
        <item m="1" x="2244"/>
        <item m="1" x="2013"/>
        <item m="1" x="1736"/>
        <item m="1" x="364"/>
        <item m="1" x="1289"/>
        <item m="1" x="1940"/>
        <item m="1" x="1882"/>
        <item m="1" x="2174"/>
        <item m="1" x="1820"/>
        <item m="1" x="790"/>
        <item m="1" x="856"/>
        <item m="1" x="1276"/>
        <item m="1" x="1840"/>
        <item m="1" x="2149"/>
        <item m="1" x="363"/>
        <item m="1" x="1041"/>
        <item m="1" x="1141"/>
        <item m="1" x="2150"/>
        <item m="1" x="2007"/>
        <item m="1" x="2159"/>
        <item m="1" x="2235"/>
        <item m="1" x="1684"/>
        <item m="1" x="1301"/>
        <item m="1" x="1490"/>
        <item m="1" x="1049"/>
        <item m="1" x="1925"/>
        <item m="1" x="1398"/>
        <item m="1" x="1381"/>
        <item m="1" x="1620"/>
        <item m="1" x="1812"/>
        <item m="1" x="1645"/>
        <item m="1" x="2222"/>
        <item m="1" x="1846"/>
        <item m="1" x="1524"/>
        <item m="1" x="1320"/>
        <item m="1" x="1559"/>
        <item m="1" x="1817"/>
        <item m="1" x="1730"/>
        <item m="1" x="1228"/>
        <item m="1" x="1987"/>
        <item m="1" x="654"/>
        <item m="1" x="1345"/>
        <item m="1" x="1952"/>
        <item m="1" x="2269"/>
        <item m="1" x="2034"/>
        <item m="1" x="1690"/>
        <item m="1" x="1263"/>
        <item m="1" x="1184"/>
        <item m="1" x="1749"/>
        <item m="1" x="1361"/>
        <item m="1" x="1959"/>
        <item m="1" x="1697"/>
        <item m="1" x="1042"/>
        <item m="1" x="1366"/>
        <item m="1" x="1616"/>
        <item m="1" x="465"/>
        <item m="1" x="1480"/>
        <item m="1" x="2151"/>
        <item m="1" x="1790"/>
        <item m="1" x="1627"/>
        <item m="1" x="2036"/>
        <item m="1" x="1525"/>
        <item m="1" x="1293"/>
        <item m="1" x="1181"/>
        <item m="1" x="1528"/>
        <item m="1" x="1454"/>
        <item m="1" x="1564"/>
        <item m="1" x="2088"/>
        <item m="1" x="1773"/>
        <item m="1" x="2111"/>
        <item m="1" x="1250"/>
        <item m="1" x="2005"/>
        <item m="1" x="2202"/>
        <item m="1" x="1303"/>
        <item m="1" x="1743"/>
        <item m="1" x="2229"/>
        <item m="1" x="1785"/>
        <item m="1" x="1572"/>
        <item m="1" x="1455"/>
        <item m="1" x="1416"/>
        <item m="1" x="2167"/>
        <item m="1" x="1467"/>
        <item m="1" x="1499"/>
        <item m="1" x="1605"/>
        <item m="1" x="1646"/>
        <item m="1" x="1487"/>
        <item m="1" x="859"/>
        <item m="1" x="860"/>
        <item m="1" x="1485"/>
        <item m="1" x="1176"/>
        <item m="1" x="857"/>
        <item m="1" x="694"/>
        <item m="1" x="863"/>
        <item m="1" x="866"/>
        <item m="1" x="2236"/>
        <item m="1" x="774"/>
        <item m="1" x="1557"/>
        <item m="1" x="861"/>
        <item m="1" x="2082"/>
        <item m="1" x="1729"/>
        <item m="1" x="1292"/>
        <item m="1" x="1733"/>
        <item m="1" x="858"/>
        <item m="1" x="1397"/>
        <item m="1" x="1396"/>
        <item m="1" x="1631"/>
        <item m="1" x="2154"/>
        <item m="1" x="865"/>
        <item m="1" x="1934"/>
        <item m="1" x="862"/>
        <item m="1" x="1359"/>
        <item m="1" x="1044"/>
        <item m="1" x="1344"/>
        <item m="1" x="1268"/>
        <item m="1" x="864"/>
        <item m="1" x="1317"/>
        <item m="1" x="2008"/>
        <item m="1" x="2280"/>
        <item m="1" x="1832"/>
        <item m="1" x="1594"/>
        <item m="1" x="1272"/>
        <item m="1" x="1219"/>
        <item m="1" x="1553"/>
        <item m="1" x="2141"/>
        <item m="1" x="1657"/>
        <item m="1" x="1330"/>
        <item m="1" x="868"/>
        <item m="1" x="2094"/>
        <item m="1" x="1198"/>
        <item m="1" x="1183"/>
        <item m="1" x="1438"/>
        <item m="1" x="2270"/>
        <item m="1" x="1522"/>
        <item m="1" x="1621"/>
        <item m="1" x="1462"/>
        <item m="1" x="1192"/>
        <item m="1" x="2214"/>
        <item m="1" x="1367"/>
        <item m="1" x="2110"/>
        <item m="1" x="2200"/>
        <item m="1" x="1663"/>
        <item m="1" x="1441"/>
        <item m="1" x="1788"/>
        <item m="1" x="1105"/>
        <item m="1" x="566"/>
        <item m="1" x="2009"/>
        <item m="1" x="1599"/>
        <item m="1" x="1146"/>
        <item m="1" x="1102"/>
        <item m="1" x="1504"/>
        <item m="1" x="1463"/>
        <item m="1" x="2166"/>
        <item m="1" x="2127"/>
        <item m="1" x="1905"/>
        <item m="1" x="1756"/>
        <item m="1" x="365"/>
        <item m="1" x="567"/>
        <item m="1" x="1894"/>
        <item m="1" x="390"/>
        <item m="1" x="2052"/>
        <item m="1" x="869"/>
        <item m="1" x="1622"/>
        <item m="1" x="1472"/>
        <item m="1" x="1849"/>
        <item m="1" x="1918"/>
        <item m="1" x="1370"/>
        <item m="1" x="1844"/>
        <item m="1" x="1632"/>
        <item m="1" x="1748"/>
        <item m="1" x="388"/>
        <item m="1" x="870"/>
        <item m="1" x="1045"/>
        <item m="1" x="1829"/>
        <item m="1" x="2165"/>
        <item m="1" x="1571"/>
        <item m="1" x="905"/>
        <item m="1" x="1753"/>
        <item m="1" x="2065"/>
        <item m="1" x="1601"/>
        <item m="1" x="1104"/>
        <item m="1" x="765"/>
        <item m="1" x="2028"/>
        <item m="1" x="1103"/>
        <item m="1" x="1574"/>
        <item m="1" x="568"/>
        <item m="1" x="1750"/>
        <item m="1" x="195"/>
        <item m="1" x="872"/>
        <item m="1" x="1703"/>
        <item m="1" x="1277"/>
        <item m="1" x="1969"/>
        <item m="1" x="1888"/>
        <item m="1" x="1442"/>
        <item m="1" x="434"/>
        <item x="169"/>
        <item m="1" x="569"/>
        <item m="1" x="1161"/>
        <item m="1" x="1721"/>
        <item m="1" x="1106"/>
        <item m="1" x="873"/>
        <item m="1" x="1955"/>
        <item m="1" x="570"/>
        <item x="13"/>
        <item m="1" x="1205"/>
        <item m="1" x="871"/>
        <item m="1" x="1746"/>
        <item x="39"/>
        <item m="1" x="571"/>
        <item m="1" x="537"/>
        <item m="1" x="1979"/>
        <item m="1" x="1118"/>
        <item m="1" x="1341"/>
        <item m="1" x="1873"/>
        <item m="1" x="1831"/>
        <item m="1" x="1046"/>
        <item m="1" x="1670"/>
        <item m="1" x="1529"/>
        <item m="1" x="1992"/>
        <item m="1" x="1047"/>
        <item m="1" x="2033"/>
        <item m="1" x="874"/>
        <item m="1" x="627"/>
        <item m="1" x="875"/>
        <item m="1" x="1777"/>
        <item m="1" x="1430"/>
        <item m="1" x="1544"/>
        <item m="1" x="572"/>
        <item m="1" x="1435"/>
        <item m="1" x="1879"/>
        <item m="1" x="1983"/>
        <item m="1" x="220"/>
        <item m="1" x="1824"/>
        <item m="1" x="1900"/>
        <item m="1" x="1379"/>
        <item m="1" x="1074"/>
        <item m="1" x="1075"/>
        <item m="1" x="1076"/>
        <item m="1" x="759"/>
        <item m="1" x="1077"/>
        <item m="1" x="1078"/>
        <item m="1" x="1079"/>
        <item m="1" x="1080"/>
        <item m="1" x="1377"/>
        <item m="1" x="1464"/>
        <item m="1" x="1353"/>
        <item m="1" x="1005"/>
        <item m="1" x="1415"/>
        <item m="1" x="1755"/>
        <item m="1" x="2115"/>
        <item m="1" x="1193"/>
        <item m="1" x="1586"/>
        <item m="1" x="1270"/>
        <item m="1" x="2211"/>
        <item m="1" x="2055"/>
        <item m="1" x="1483"/>
        <item m="1" x="538"/>
        <item m="1" x="986"/>
        <item m="1" x="1147"/>
        <item m="1" x="2232"/>
        <item m="1" x="1214"/>
        <item m="1" x="1232"/>
        <item m="1" x="1107"/>
        <item m="1" x="1692"/>
        <item m="1" x="1445"/>
        <item m="1" x="1399"/>
        <item m="1" x="1775"/>
        <item m="1" x="1769"/>
        <item m="1" x="745"/>
        <item m="1" x="2136"/>
        <item x="167"/>
        <item m="1" x="597"/>
        <item m="1" x="598"/>
        <item m="1" x="1058"/>
        <item m="1" x="1204"/>
        <item m="1" x="2205"/>
        <item m="1" x="1876"/>
        <item m="1" x="1971"/>
        <item m="1" x="1658"/>
        <item m="1" x="1922"/>
        <item m="1" x="1143"/>
        <item x="3"/>
        <item m="1" x="2291"/>
        <item m="1" x="1223"/>
        <item m="1" x="2086"/>
        <item m="1" x="2283"/>
        <item m="1" x="1375"/>
        <item m="1" x="1709"/>
        <item m="1" x="1108"/>
        <item m="1" x="1051"/>
        <item m="1" x="1109"/>
        <item m="1" x="2181"/>
        <item m="1" x="1052"/>
        <item m="1" x="1841"/>
        <item m="1" x="1640"/>
        <item m="1" x="1348"/>
        <item m="1" x="1372"/>
        <item m="1" x="1956"/>
        <item m="1" x="1582"/>
        <item m="1" x="1976"/>
        <item m="1" x="573"/>
        <item m="1" x="910"/>
        <item m="1" x="1022"/>
        <item m="1" x="825"/>
        <item m="1" x="1378"/>
        <item m="1" x="1560"/>
        <item m="1" x="993"/>
        <item m="1" x="1115"/>
        <item m="1" x="1023"/>
        <item m="1" x="1024"/>
        <item m="1" x="1964"/>
        <item m="1" x="1860"/>
        <item m="1" x="1025"/>
        <item m="1" x="1470"/>
        <item m="1" x="649"/>
        <item m="1" x="1998"/>
        <item m="1" x="1026"/>
        <item m="1" x="1609"/>
        <item m="1" x="1534"/>
        <item m="1" x="1027"/>
        <item m="1" x="1953"/>
        <item m="1" x="1280"/>
        <item m="1" x="1865"/>
        <item m="1" x="2062"/>
        <item m="1" x="1943"/>
        <item m="1" x="1868"/>
        <item m="1" x="2050"/>
        <item m="1" x="650"/>
        <item m="1" x="2080"/>
        <item m="1" x="1053"/>
        <item m="1" x="1185"/>
        <item m="1" x="1054"/>
        <item m="1" x="1453"/>
        <item m="1" x="1055"/>
        <item m="1" x="801"/>
        <item m="1" x="283"/>
        <item m="1" x="1019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686"/>
        <item m="1" x="1693"/>
        <item m="1" x="1629"/>
        <item m="1" x="1556"/>
        <item m="1" x="1548"/>
        <item m="1" x="1387"/>
        <item m="1" x="1057"/>
        <item m="1" x="1110"/>
        <item m="1" x="1028"/>
        <item m="1" x="1093"/>
        <item m="1" x="1111"/>
        <item m="1" x="426"/>
        <item m="1" x="1029"/>
        <item m="1" x="1030"/>
        <item m="1" x="1031"/>
        <item m="1" x="948"/>
        <item x="6"/>
        <item m="1" x="525"/>
        <item m="1" x="877"/>
        <item m="1" x="275"/>
        <item m="1" x="775"/>
        <item m="1" x="1116"/>
        <item m="1" x="268"/>
        <item m="1" x="286"/>
        <item m="1" x="651"/>
        <item m="1" x="912"/>
        <item m="1" x="1032"/>
        <item m="1" x="1094"/>
        <item m="1" x="1112"/>
        <item m="1" x="849"/>
        <item m="1" x="1114"/>
        <item m="1" x="575"/>
        <item m="1" x="1059"/>
        <item m="1" x="715"/>
        <item m="1" x="878"/>
        <item m="1" x="581"/>
        <item m="1" x="1060"/>
        <item m="1" x="1095"/>
        <item m="1" x="726"/>
        <item m="1" x="781"/>
        <item m="1" x="196"/>
        <item m="1" x="1061"/>
        <item m="1" x="968"/>
        <item m="1" x="576"/>
        <item m="1" x="1004"/>
        <item m="1" x="511"/>
        <item m="1" x="512"/>
        <item m="1" x="1033"/>
        <item m="1" x="1062"/>
        <item m="1" x="1063"/>
        <item m="1" x="879"/>
        <item m="1" x="1034"/>
        <item m="1" x="880"/>
        <item m="1" x="1065"/>
        <item m="1" x="1066"/>
        <item m="1" x="1067"/>
        <item m="1" x="1068"/>
        <item m="1" x="1069"/>
        <item m="1" x="1070"/>
        <item m="1" x="1071"/>
        <item m="1" x="1035"/>
        <item m="1" x="987"/>
        <item m="1" x="969"/>
        <item m="1" x="267"/>
        <item m="1" x="1013"/>
        <item m="1" x="345"/>
        <item m="1" x="1072"/>
        <item m="1" x="994"/>
        <item m="1" x="995"/>
        <item m="1" x="448"/>
        <item m="1" x="1006"/>
        <item m="1" x="970"/>
        <item m="1" x="1096"/>
        <item m="1" x="1020"/>
        <item m="1" x="971"/>
        <item m="1" x="972"/>
        <item m="1" x="367"/>
        <item m="1" x="1007"/>
        <item m="1" x="1008"/>
        <item m="1" x="1009"/>
        <item m="1" x="1010"/>
        <item m="1" x="1011"/>
        <item m="1" x="881"/>
        <item m="1" x="882"/>
        <item m="1" x="1012"/>
        <item m="1" x="973"/>
        <item x="12"/>
        <item m="1" x="197"/>
        <item m="1" x="1014"/>
        <item m="1" x="974"/>
        <item x="49"/>
        <item m="1" x="883"/>
        <item m="1" x="884"/>
        <item m="1" x="885"/>
        <item m="1" x="996"/>
        <item m="1" x="271"/>
        <item m="1" x="886"/>
        <item m="1" x="1015"/>
        <item m="1" x="975"/>
        <item m="1" x="997"/>
        <item m="1" x="1016"/>
        <item m="1" x="976"/>
        <item m="1" x="1018"/>
        <item m="1" x="744"/>
        <item m="1" x="989"/>
        <item m="1" x="1001"/>
        <item m="1" x="1002"/>
        <item m="1" x="272"/>
        <item x="4"/>
        <item m="1" x="977"/>
        <item m="1" x="887"/>
        <item m="1" x="888"/>
        <item m="1" x="889"/>
        <item m="1" x="917"/>
        <item m="1" x="998"/>
        <item m="1" x="955"/>
        <item m="1" x="999"/>
        <item m="1" x="646"/>
        <item m="1" x="890"/>
        <item m="1" x="891"/>
        <item m="1" x="892"/>
        <item m="1" x="893"/>
        <item m="1" x="946"/>
        <item m="1" x="851"/>
        <item m="1" x="947"/>
        <item m="1" x="867"/>
        <item m="1" x="894"/>
        <item m="1" x="716"/>
        <item m="1" x="978"/>
        <item m="1" x="979"/>
        <item m="1" x="328"/>
        <item m="1" x="980"/>
        <item m="1" x="981"/>
        <item m="1" x="982"/>
        <item m="1" x="918"/>
        <item m="1" x="990"/>
        <item m="1" x="895"/>
        <item m="1" x="1000"/>
        <item m="1" x="984"/>
        <item m="1" x="985"/>
        <item m="1" x="988"/>
        <item m="1" x="896"/>
        <item m="1" x="897"/>
        <item m="1" x="937"/>
        <item m="1" x="991"/>
        <item m="1" x="992"/>
        <item m="1" x="983"/>
        <item m="1" x="899"/>
        <item m="1" x="950"/>
        <item m="1" x="951"/>
        <item m="1" x="952"/>
        <item m="1" x="900"/>
        <item m="1" x="953"/>
        <item m="1" x="954"/>
        <item m="1" x="901"/>
        <item m="1" x="519"/>
        <item m="1" x="902"/>
        <item m="1" x="956"/>
        <item m="1" x="957"/>
        <item m="1" x="958"/>
        <item m="1" x="919"/>
        <item m="1" x="903"/>
        <item m="1" x="959"/>
        <item m="1" x="938"/>
        <item m="1" x="904"/>
        <item m="1" x="960"/>
        <item m="1" x="961"/>
        <item m="1" x="931"/>
        <item m="1" x="932"/>
        <item m="1" x="962"/>
        <item m="1" x="194"/>
        <item m="1" x="963"/>
        <item m="1" x="269"/>
        <item m="1" x="285"/>
        <item m="1" x="922"/>
        <item m="1" x="923"/>
        <item m="1" x="443"/>
        <item m="1" x="444"/>
        <item m="1" x="924"/>
        <item m="1" x="427"/>
        <item m="1" x="432"/>
        <item m="1" x="930"/>
        <item x="1"/>
        <item m="1" x="964"/>
        <item m="1" x="577"/>
        <item m="1" x="965"/>
        <item m="1" x="414"/>
        <item m="1" x="966"/>
        <item m="1" x="685"/>
        <item m="1" x="939"/>
        <item m="1" x="940"/>
        <item m="1" x="925"/>
        <item m="1" x="926"/>
        <item m="1" x="755"/>
        <item m="1" x="756"/>
        <item m="1" x="757"/>
        <item m="1" x="758"/>
        <item m="1" x="760"/>
        <item m="1" x="761"/>
        <item m="1" x="762"/>
        <item m="1" x="763"/>
        <item m="1" x="266"/>
        <item m="1" x="850"/>
        <item m="1" x="941"/>
        <item m="1" x="933"/>
        <item m="1" x="945"/>
        <item m="1" x="372"/>
        <item m="1" x="717"/>
        <item m="1" x="935"/>
        <item m="1" x="942"/>
        <item m="1" x="633"/>
        <item m="1" x="927"/>
        <item m="1" x="928"/>
        <item m="1" x="943"/>
        <item m="1" x="944"/>
        <item m="1" x="936"/>
        <item m="1" x="906"/>
        <item m="1" x="614"/>
        <item m="1" x="907"/>
        <item m="1" x="908"/>
        <item m="1" x="909"/>
        <item m="1" x="911"/>
        <item m="1" x="913"/>
        <item m="1" x="914"/>
        <item m="1" x="915"/>
        <item m="1" x="916"/>
        <item m="1" x="920"/>
        <item m="1" x="921"/>
        <item m="1" x="929"/>
        <item x="14"/>
        <item x="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652"/>
        <item x="26"/>
        <item m="1" x="803"/>
        <item m="1" x="653"/>
        <item m="1" x="624"/>
        <item m="1" x="578"/>
        <item m="1" x="579"/>
        <item m="1" x="835"/>
        <item m="1" x="836"/>
        <item m="1" x="331"/>
        <item m="1" x="837"/>
        <item m="1" x="804"/>
        <item m="1" x="580"/>
        <item m="1" x="844"/>
        <item m="1" x="845"/>
        <item m="1" x="764"/>
        <item m="1" x="625"/>
        <item m="1" x="805"/>
        <item m="1" x="838"/>
        <item m="1" x="373"/>
        <item m="1" x="847"/>
        <item m="1" x="270"/>
        <item m="1" x="437"/>
        <item m="1" x="806"/>
        <item m="1" x="839"/>
        <item m="1" x="746"/>
        <item m="1" x="795"/>
        <item m="1" x="817"/>
        <item m="1" x="840"/>
        <item m="1" x="807"/>
        <item m="1" x="766"/>
        <item m="1" x="767"/>
        <item m="1" x="841"/>
        <item m="1" x="768"/>
        <item x="2"/>
        <item m="1" x="439"/>
        <item m="1" x="769"/>
        <item m="1" x="808"/>
        <item m="1" x="770"/>
        <item m="1" x="819"/>
        <item m="1" x="809"/>
        <item m="1" x="824"/>
        <item m="1" x="792"/>
        <item m="1" x="539"/>
        <item m="1" x="540"/>
        <item m="1" x="771"/>
        <item m="1" x="582"/>
        <item m="1" x="823"/>
        <item m="1" x="842"/>
        <item m="1" x="843"/>
        <item m="1" x="583"/>
        <item m="1" x="584"/>
        <item m="1" x="585"/>
        <item m="1" x="820"/>
        <item m="1" x="586"/>
        <item m="1" x="821"/>
        <item m="1" x="810"/>
        <item m="1" x="796"/>
        <item m="1" x="719"/>
        <item m="1" x="250"/>
        <item m="1" x="811"/>
        <item m="1" x="787"/>
        <item m="1" x="788"/>
        <item m="1" x="822"/>
        <item m="1" x="655"/>
        <item m="1" x="198"/>
        <item m="1" x="789"/>
        <item m="1" x="509"/>
        <item m="1" x="772"/>
        <item m="1" x="773"/>
        <item m="1" x="720"/>
        <item m="1" x="813"/>
        <item m="1" x="814"/>
        <item m="1" x="815"/>
        <item m="1" x="273"/>
        <item m="1" x="436"/>
        <item m="1" x="802"/>
        <item x="23"/>
        <item m="1" x="656"/>
        <item m="1" x="797"/>
        <item m="1" x="359"/>
        <item m="1" x="449"/>
        <item m="1" x="362"/>
        <item m="1" x="798"/>
        <item m="1" x="776"/>
        <item m="1" x="816"/>
        <item m="1" x="587"/>
        <item m="1" x="588"/>
        <item m="1" x="791"/>
        <item m="1" x="657"/>
        <item m="1" x="747"/>
        <item m="1" x="647"/>
        <item m="1" x="722"/>
        <item m="1" x="513"/>
        <item m="1" x="589"/>
        <item m="1" x="799"/>
        <item m="1" x="590"/>
        <item m="1" x="276"/>
        <item x="91"/>
        <item m="1" x="777"/>
        <item m="1" x="279"/>
        <item m="1" x="277"/>
        <item m="1" x="278"/>
        <item m="1" x="274"/>
        <item m="1" x="280"/>
        <item m="1" x="541"/>
        <item m="1" x="793"/>
        <item m="1" x="723"/>
        <item m="1" x="591"/>
        <item m="1" x="748"/>
        <item m="1" x="658"/>
        <item m="1" x="778"/>
        <item m="1" x="779"/>
        <item m="1" x="800"/>
        <item m="1" x="749"/>
        <item m="1" x="780"/>
        <item m="1" x="659"/>
        <item m="1" x="626"/>
        <item m="1" x="794"/>
        <item m="1" x="724"/>
        <item m="1" x="750"/>
        <item m="1" x="751"/>
        <item m="1" x="376"/>
        <item m="1" x="661"/>
        <item m="1" x="662"/>
        <item m="1" x="725"/>
        <item m="1" x="553"/>
        <item m="1" x="663"/>
        <item m="1" x="752"/>
        <item m="1" x="784"/>
        <item m="1" x="785"/>
        <item m="1" x="786"/>
        <item m="1" x="753"/>
        <item m="1" x="595"/>
        <item m="1" x="727"/>
        <item m="1" x="290"/>
        <item m="1" x="782"/>
        <item m="1" x="718"/>
        <item m="1" x="664"/>
        <item m="1" x="728"/>
        <item m="1" x="783"/>
        <item m="1" x="729"/>
        <item m="1" x="730"/>
        <item m="1" x="754"/>
        <item m="1" x="731"/>
        <item m="1" x="665"/>
        <item m="1" x="732"/>
        <item m="1" x="733"/>
        <item m="1" x="666"/>
        <item m="1" x="428"/>
        <item m="1" x="734"/>
        <item m="1" x="735"/>
        <item m="1" x="630"/>
        <item m="1" x="592"/>
        <item m="1" x="500"/>
        <item m="1" x="371"/>
        <item m="1" x="440"/>
        <item m="1" x="301"/>
        <item m="1" x="667"/>
        <item m="1" x="741"/>
        <item x="11"/>
        <item x="27"/>
        <item m="1" x="668"/>
        <item m="1" x="742"/>
        <item m="1" x="743"/>
        <item m="1" x="369"/>
        <item m="1" x="669"/>
        <item m="1" x="736"/>
        <item x="126"/>
        <item m="1" x="739"/>
        <item m="1" x="737"/>
        <item m="1" x="738"/>
        <item m="1" x="670"/>
        <item m="1" x="542"/>
        <item m="1" x="671"/>
        <item m="1" x="325"/>
        <item m="1" x="740"/>
        <item m="1" x="613"/>
        <item m="1" x="672"/>
        <item m="1" x="370"/>
        <item m="1" x="543"/>
        <item m="1" x="544"/>
        <item m="1" x="545"/>
        <item m="1" x="546"/>
        <item m="1" x="673"/>
        <item x="21"/>
        <item m="1" x="422"/>
        <item m="1" x="674"/>
        <item m="1" x="675"/>
        <item m="1" x="676"/>
        <item m="1" x="677"/>
        <item m="1" x="678"/>
        <item m="1" x="679"/>
        <item m="1" x="680"/>
        <item x="18"/>
        <item x="19"/>
        <item x="20"/>
        <item m="1" x="681"/>
        <item x="24"/>
        <item m="1" x="682"/>
        <item x="22"/>
        <item m="1" x="593"/>
        <item m="1" x="683"/>
        <item m="1" x="594"/>
        <item m="1" x="332"/>
        <item m="1" x="684"/>
        <item m="1" x="454"/>
        <item x="15"/>
        <item m="1" x="686"/>
        <item m="1" x="687"/>
        <item m="1" x="438"/>
        <item m="1" x="689"/>
        <item m="1" x="690"/>
        <item m="1" x="691"/>
        <item m="1" x="692"/>
        <item m="1" x="693"/>
        <item m="1" x="695"/>
        <item m="1" x="696"/>
        <item m="1" x="697"/>
        <item x="25"/>
        <item m="1" x="698"/>
        <item m="1" x="344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632"/>
        <item m="1" x="547"/>
        <item m="1" x="548"/>
        <item m="1" x="549"/>
        <item m="1" x="550"/>
        <item m="1" x="712"/>
        <item m="1" x="713"/>
        <item m="1" x="714"/>
        <item m="1" x="551"/>
        <item m="1" x="634"/>
        <item m="1" x="635"/>
        <item m="1" x="636"/>
        <item m="1" x="637"/>
        <item m="1" x="638"/>
        <item m="1" x="639"/>
        <item m="1" x="599"/>
        <item m="1" x="233"/>
        <item m="1" x="615"/>
        <item m="1" x="455"/>
        <item m="1" x="453"/>
        <item x="9"/>
        <item m="1" x="368"/>
        <item m="1" x="374"/>
        <item m="1" x="600"/>
        <item m="1" x="601"/>
        <item m="1" x="527"/>
        <item m="1" x="528"/>
        <item m="1" x="616"/>
        <item m="1" x="602"/>
        <item m="1" x="603"/>
        <item m="1" x="617"/>
        <item m="1" x="628"/>
        <item m="1" x="393"/>
        <item m="1" x="604"/>
        <item m="1" x="554"/>
        <item m="1" x="631"/>
        <item m="1" x="640"/>
        <item m="1" x="596"/>
        <item m="1" x="641"/>
        <item m="1" x="642"/>
        <item m="1" x="645"/>
        <item m="1" x="529"/>
        <item m="1" x="284"/>
        <item m="1" x="450"/>
        <item m="1" x="530"/>
        <item m="1" x="199"/>
        <item m="1" x="451"/>
        <item x="10"/>
        <item x="16"/>
        <item x="17"/>
        <item m="1" x="281"/>
        <item m="1" x="282"/>
        <item x="109"/>
        <item m="1" x="618"/>
        <item m="1" x="555"/>
        <item m="1" x="629"/>
        <item m="1" x="531"/>
        <item m="1" x="605"/>
        <item m="1" x="606"/>
        <item m="1" x="532"/>
        <item m="1" x="607"/>
        <item m="1" x="533"/>
        <item x="120"/>
        <item m="1" x="619"/>
        <item m="1" x="608"/>
        <item m="1" x="557"/>
        <item m="1" x="481"/>
        <item m="1" x="234"/>
        <item m="1" x="491"/>
        <item m="1" x="488"/>
        <item x="177"/>
        <item m="1" x="412"/>
        <item m="1" x="620"/>
        <item m="1" x="621"/>
        <item m="1" x="622"/>
        <item m="1" x="623"/>
        <item m="1" x="382"/>
        <item m="1" x="314"/>
        <item m="1" x="429"/>
        <item m="1" x="534"/>
        <item x="121"/>
        <item m="1" x="558"/>
        <item m="1" x="610"/>
        <item m="1" x="609"/>
        <item m="1" x="559"/>
        <item x="83"/>
        <item x="135"/>
        <item m="1" x="477"/>
        <item m="1" x="293"/>
        <item m="1" x="288"/>
        <item m="1" x="295"/>
        <item m="1" x="298"/>
        <item x="151"/>
        <item m="1" x="535"/>
        <item m="1" x="611"/>
        <item x="7"/>
        <item m="1" x="612"/>
        <item m="1" x="521"/>
        <item m="1" x="560"/>
        <item x="152"/>
        <item x="175"/>
        <item m="1" x="518"/>
        <item m="1" x="561"/>
        <item m="1" x="562"/>
        <item x="184"/>
        <item x="178"/>
        <item x="179"/>
        <item m="1" x="458"/>
        <item m="1" x="471"/>
        <item m="1" x="489"/>
        <item m="1" x="461"/>
        <item m="1" x="494"/>
        <item m="1" x="536"/>
        <item m="1" x="459"/>
        <item m="1" x="563"/>
        <item m="1" x="522"/>
        <item m="1" x="517"/>
        <item m="1" x="564"/>
        <item m="1" x="526"/>
        <item m="1" x="524"/>
        <item m="1" x="492"/>
        <item m="1" x="299"/>
        <item m="1" x="297"/>
        <item m="1" x="483"/>
        <item m="1" x="486"/>
        <item m="1" x="464"/>
        <item x="28"/>
        <item m="1" x="472"/>
        <item x="70"/>
        <item m="1" x="523"/>
        <item x="92"/>
        <item m="1" x="515"/>
        <item m="1" x="516"/>
        <item x="112"/>
        <item m="1" x="419"/>
        <item m="1" x="507"/>
        <item m="1" x="484"/>
        <item x="139"/>
        <item x="144"/>
        <item m="1" x="460"/>
        <item x="153"/>
        <item m="1" x="499"/>
        <item m="1" x="520"/>
        <item m="1" x="501"/>
        <item m="1" x="495"/>
        <item m="1" x="394"/>
        <item m="1" x="470"/>
        <item x="71"/>
        <item m="1" x="475"/>
        <item m="1" x="497"/>
        <item m="1" x="463"/>
        <item m="1" x="294"/>
        <item m="1" x="485"/>
        <item m="1" x="502"/>
        <item m="1" x="504"/>
        <item m="1" x="391"/>
        <item m="1" x="473"/>
        <item m="1" x="347"/>
        <item m="1" x="352"/>
        <item m="1" x="348"/>
        <item x="181"/>
        <item m="1" x="467"/>
        <item m="1" x="503"/>
        <item m="1" x="341"/>
        <item m="1" x="505"/>
        <item m="1" x="479"/>
        <item x="146"/>
        <item m="1" x="508"/>
        <item m="1" x="493"/>
        <item m="1" x="466"/>
        <item m="1" x="468"/>
        <item m="1" x="469"/>
        <item m="1" x="456"/>
        <item x="85"/>
        <item m="1" x="474"/>
        <item x="87"/>
        <item m="1" x="457"/>
        <item m="1" x="476"/>
        <item m="1" x="478"/>
        <item m="1" x="480"/>
        <item m="1" x="490"/>
        <item m="1" x="462"/>
        <item m="1" x="300"/>
        <item m="1" x="496"/>
        <item m="1" x="498"/>
        <item m="1" x="375"/>
        <item x="29"/>
        <item m="1" x="377"/>
        <item m="1" x="378"/>
        <item m="1" x="379"/>
        <item x="30"/>
        <item m="1" x="380"/>
        <item m="1" x="381"/>
        <item x="43"/>
        <item m="1" x="214"/>
        <item x="44"/>
        <item m="1" x="383"/>
        <item m="1" x="384"/>
        <item m="1" x="292"/>
        <item m="1" x="307"/>
        <item m="1" x="385"/>
        <item m="1" x="308"/>
        <item m="1" x="386"/>
        <item m="1" x="389"/>
        <item m="1" x="392"/>
        <item x="47"/>
        <item m="1" x="395"/>
        <item m="1" x="396"/>
        <item m="1" x="397"/>
        <item m="1" x="309"/>
        <item m="1" x="398"/>
        <item m="1" x="310"/>
        <item m="1" x="399"/>
        <item m="1" x="400"/>
        <item m="1" x="311"/>
        <item m="1" x="401"/>
        <item x="84"/>
        <item x="86"/>
        <item m="1" x="402"/>
        <item x="88"/>
        <item m="1" x="403"/>
        <item m="1" x="404"/>
        <item m="1" x="405"/>
        <item x="95"/>
        <item m="1" x="346"/>
        <item m="1" x="406"/>
        <item x="96"/>
        <item x="98"/>
        <item m="1" x="407"/>
        <item x="101"/>
        <item m="1" x="408"/>
        <item x="103"/>
        <item x="108"/>
        <item x="110"/>
        <item m="1" x="410"/>
        <item m="1" x="411"/>
        <item m="1" x="413"/>
        <item x="115"/>
        <item x="116"/>
        <item m="1" x="415"/>
        <item m="1" x="416"/>
        <item m="1" x="418"/>
        <item x="122"/>
        <item m="1" x="316"/>
        <item m="1" x="420"/>
        <item m="1" x="421"/>
        <item m="1" x="317"/>
        <item m="1" x="423"/>
        <item m="1" x="424"/>
        <item m="1" x="319"/>
        <item m="1" x="320"/>
        <item x="148"/>
        <item m="1" x="327"/>
        <item x="174"/>
        <item m="1" x="430"/>
        <item m="1" x="431"/>
        <item m="1" x="433"/>
        <item x="176"/>
        <item m="1" x="333"/>
        <item m="1" x="441"/>
        <item x="182"/>
        <item m="1" x="442"/>
        <item m="1" x="445"/>
        <item m="1" x="446"/>
        <item m="1" x="336"/>
        <item m="1" x="361"/>
        <item m="1" x="447"/>
        <item m="1" x="302"/>
        <item m="1" x="339"/>
        <item m="1" x="303"/>
        <item m="1" x="340"/>
        <item m="1" x="304"/>
        <item m="1" x="305"/>
        <item m="1" x="306"/>
        <item x="72"/>
        <item x="73"/>
        <item x="74"/>
        <item m="1" x="343"/>
        <item m="1" x="312"/>
        <item x="117"/>
        <item m="1" x="349"/>
        <item x="118"/>
        <item m="1" x="350"/>
        <item m="1" x="351"/>
        <item x="131"/>
        <item m="1" x="353"/>
        <item x="132"/>
        <item x="140"/>
        <item m="1" x="354"/>
        <item x="141"/>
        <item x="145"/>
        <item m="1" x="355"/>
        <item x="156"/>
        <item m="1" x="322"/>
        <item m="1" x="356"/>
        <item m="1" x="323"/>
        <item m="1" x="357"/>
        <item m="1" x="326"/>
        <item m="1" x="330"/>
        <item x="173"/>
        <item m="1" x="360"/>
        <item m="1" x="334"/>
        <item m="1" x="337"/>
        <item x="190"/>
        <item m="1" x="338"/>
        <item x="77"/>
        <item x="89"/>
        <item m="1" x="313"/>
        <item x="133"/>
        <item x="134"/>
        <item m="1" x="321"/>
        <item x="147"/>
        <item x="149"/>
        <item x="158"/>
        <item m="1" x="324"/>
        <item m="1" x="329"/>
        <item m="1" x="335"/>
        <item x="33"/>
        <item m="1" x="287"/>
        <item x="34"/>
        <item x="37"/>
        <item x="38"/>
        <item m="1" x="208"/>
        <item m="1" x="289"/>
        <item x="54"/>
        <item x="59"/>
        <item x="76"/>
        <item x="78"/>
        <item x="100"/>
        <item x="111"/>
        <item x="113"/>
        <item m="1" x="242"/>
        <item x="123"/>
        <item m="1" x="246"/>
        <item m="1" x="247"/>
        <item x="128"/>
        <item x="129"/>
        <item x="138"/>
        <item x="142"/>
        <item m="1" x="252"/>
        <item m="1" x="253"/>
        <item x="154"/>
        <item x="159"/>
        <item x="160"/>
        <item x="161"/>
        <item m="1" x="296"/>
        <item x="168"/>
        <item x="183"/>
        <item x="185"/>
        <item x="186"/>
        <item x="187"/>
        <item m="1" x="200"/>
        <item x="35"/>
        <item m="1" x="201"/>
        <item x="36"/>
        <item m="1" x="202"/>
        <item m="1" x="203"/>
        <item m="1" x="204"/>
        <item m="1" x="205"/>
        <item m="1" x="206"/>
        <item m="1" x="209"/>
        <item m="1" x="210"/>
        <item m="1" x="211"/>
        <item m="1" x="212"/>
        <item m="1" x="213"/>
        <item m="1" x="215"/>
        <item m="1" x="216"/>
        <item m="1" x="217"/>
        <item m="1" x="218"/>
        <item x="50"/>
        <item m="1" x="219"/>
        <item x="55"/>
        <item x="56"/>
        <item m="1" x="221"/>
        <item m="1" x="222"/>
        <item m="1" x="223"/>
        <item m="1" x="224"/>
        <item x="60"/>
        <item x="63"/>
        <item x="64"/>
        <item m="1" x="225"/>
        <item m="1" x="226"/>
        <item x="124"/>
        <item m="1" x="228"/>
        <item x="94"/>
        <item m="1" x="229"/>
        <item m="1" x="231"/>
        <item x="104"/>
        <item m="1" x="232"/>
        <item x="114"/>
        <item m="1" x="235"/>
        <item m="1" x="236"/>
        <item m="1" x="237"/>
        <item m="1" x="238"/>
        <item m="1" x="239"/>
        <item m="1" x="240"/>
        <item x="119"/>
        <item m="1" x="241"/>
        <item m="1" x="243"/>
        <item m="1" x="244"/>
        <item m="1" x="245"/>
        <item m="1" x="248"/>
        <item m="1" x="249"/>
        <item m="1" x="251"/>
        <item x="130"/>
        <item m="1" x="254"/>
        <item m="1" x="255"/>
        <item m="1" x="256"/>
        <item x="155"/>
        <item m="1" x="257"/>
        <item m="1" x="258"/>
        <item m="1" x="259"/>
        <item x="166"/>
        <item x="171"/>
        <item m="1" x="260"/>
        <item m="1" x="261"/>
        <item m="1" x="262"/>
        <item m="1" x="263"/>
        <item m="1" x="264"/>
        <item x="189"/>
        <item x="40"/>
        <item x="41"/>
        <item x="42"/>
        <item x="45"/>
        <item x="46"/>
        <item x="48"/>
        <item x="51"/>
        <item x="52"/>
        <item x="53"/>
        <item x="57"/>
        <item x="58"/>
        <item x="61"/>
        <item x="62"/>
        <item x="65"/>
        <item x="66"/>
        <item x="67"/>
        <item x="68"/>
        <item x="69"/>
        <item x="75"/>
        <item x="79"/>
        <item x="80"/>
        <item x="81"/>
        <item x="90"/>
        <item x="93"/>
        <item x="97"/>
        <item x="99"/>
        <item x="102"/>
        <item x="105"/>
        <item x="125"/>
        <item x="127"/>
        <item x="136"/>
        <item x="143"/>
        <item x="157"/>
        <item x="162"/>
        <item x="164"/>
        <item x="165"/>
        <item x="170"/>
        <item x="172"/>
        <item x="188"/>
        <item x="191"/>
        <item x="19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62">
        <item m="1" x="153"/>
        <item m="1" x="253"/>
        <item m="1" x="172"/>
        <item m="1" x="238"/>
        <item m="1" x="181"/>
        <item m="1" x="197"/>
        <item m="1" x="154"/>
        <item m="1" x="211"/>
        <item m="1" x="135"/>
        <item m="1" x="191"/>
        <item m="1" x="149"/>
        <item m="1" x="204"/>
        <item m="1" x="257"/>
        <item m="1" x="184"/>
        <item m="1" x="120"/>
        <item m="1" x="144"/>
        <item m="1" x="200"/>
        <item m="1" x="250"/>
        <item m="1" x="176"/>
        <item m="1" x="228"/>
        <item m="1" x="255"/>
        <item m="1" x="182"/>
        <item m="1" x="164"/>
        <item m="1" x="160"/>
        <item m="1" x="218"/>
        <item m="1" x="232"/>
        <item m="1" x="142"/>
        <item m="1" x="239"/>
        <item m="1" x="221"/>
        <item m="1" x="247"/>
        <item m="1" x="174"/>
        <item m="1" x="226"/>
        <item m="1" x="156"/>
        <item m="1" x="213"/>
        <item m="1" x="242"/>
        <item m="1" x="168"/>
        <item m="1" x="224"/>
        <item m="1" x="150"/>
        <item m="1" x="206"/>
        <item m="1" x="134"/>
        <item m="1" x="235"/>
        <item m="1" x="212"/>
        <item m="1" x="136"/>
        <item m="1" x="192"/>
        <item m="1" x="241"/>
        <item m="1" x="166"/>
        <item m="1" x="223"/>
        <item m="1" x="205"/>
        <item m="1" x="258"/>
        <item m="1" x="185"/>
        <item m="1" x="233"/>
        <item m="1" x="161"/>
        <item m="1" x="201"/>
        <item m="1" x="251"/>
        <item m="1" x="177"/>
        <item m="1" x="167"/>
        <item m="1" x="219"/>
        <item m="1" x="229"/>
        <item m="1" x="157"/>
        <item m="1" x="139"/>
        <item m="1" x="195"/>
        <item m="1" x="244"/>
        <item m="1" x="175"/>
        <item m="1" x="227"/>
        <item m="1" x="198"/>
        <item m="1" x="143"/>
        <item m="1" x="119"/>
        <item m="1" x="138"/>
        <item m="1" x="214"/>
        <item m="1" x="193"/>
        <item m="1" x="248"/>
        <item m="1" x="243"/>
        <item m="1" x="169"/>
        <item m="1" x="225"/>
        <item m="1" x="151"/>
        <item m="1" x="207"/>
        <item m="1" x="187"/>
        <item m="1" x="236"/>
        <item m="1" x="163"/>
        <item m="1" x="220"/>
        <item m="1" x="146"/>
        <item m="1" x="180"/>
        <item m="1" x="231"/>
        <item m="1" x="83"/>
        <item m="1" x="259"/>
        <item m="1" x="186"/>
        <item m="1" x="234"/>
        <item m="1" x="162"/>
        <item m="1" x="145"/>
        <item m="1" x="202"/>
        <item m="1" x="252"/>
        <item m="1" x="178"/>
        <item m="1" x="158"/>
        <item m="1" x="230"/>
        <item m="1" x="140"/>
        <item m="1" x="196"/>
        <item m="1" x="108"/>
        <item m="1" x="159"/>
        <item m="1" x="171"/>
        <item m="1" x="209"/>
        <item m="1" x="189"/>
        <item m="1" x="240"/>
        <item m="1" x="165"/>
        <item m="1" x="222"/>
        <item m="1" x="110"/>
        <item m="1" x="111"/>
        <item m="1" x="124"/>
        <item m="1" x="208"/>
        <item m="1" x="260"/>
        <item m="1" x="194"/>
        <item m="1" x="188"/>
        <item m="1" x="237"/>
        <item m="1" x="147"/>
        <item m="1" x="170"/>
        <item x="0"/>
        <item m="1" x="254"/>
        <item m="1" x="131"/>
        <item m="1" x="106"/>
        <item m="1" x="125"/>
        <item m="1" x="141"/>
        <item m="1" x="133"/>
        <item m="1" x="245"/>
        <item m="1" x="173"/>
        <item m="1" x="126"/>
        <item m="1" x="148"/>
        <item m="1" x="155"/>
        <item m="1" x="137"/>
        <item m="1" x="109"/>
        <item m="1" x="216"/>
        <item m="1" x="81"/>
        <item m="1" x="80"/>
        <item m="1" x="127"/>
        <item m="1" x="132"/>
        <item m="1" x="179"/>
        <item m="1" x="152"/>
        <item m="1" x="210"/>
        <item m="1" x="128"/>
        <item m="1" x="190"/>
        <item m="1" x="129"/>
        <item m="1" x="183"/>
        <item m="1" x="82"/>
        <item m="1" x="115"/>
        <item m="1" x="112"/>
        <item m="1" x="203"/>
        <item m="1" x="256"/>
        <item m="1" x="113"/>
        <item m="1" x="92"/>
        <item m="1" x="199"/>
        <item m="1" x="249"/>
        <item x="13"/>
        <item m="1" x="87"/>
        <item m="1" x="130"/>
        <item m="1" x="122"/>
        <item x="6"/>
        <item m="1" x="114"/>
        <item m="1" x="79"/>
        <item m="1" x="217"/>
        <item m="1" x="90"/>
        <item m="1" x="246"/>
        <item m="1" x="99"/>
        <item x="3"/>
        <item m="1" x="93"/>
        <item m="1" x="215"/>
        <item m="1" x="107"/>
        <item m="1" x="121"/>
        <item m="1" x="123"/>
        <item m="1" x="100"/>
        <item m="1" x="101"/>
        <item m="1" x="86"/>
        <item m="1" x="71"/>
        <item m="1" x="68"/>
        <item m="1" x="94"/>
        <item m="1" x="63"/>
        <item m="1" x="67"/>
        <item m="1" x="89"/>
        <item m="1" x="78"/>
        <item m="1" x="84"/>
        <item x="1"/>
        <item x="51"/>
        <item m="1" x="104"/>
        <item x="4"/>
        <item x="54"/>
        <item m="1" x="116"/>
        <item m="1" x="117"/>
        <item m="1" x="118"/>
        <item m="1" x="95"/>
        <item m="1" x="62"/>
        <item m="1" x="103"/>
        <item x="14"/>
        <item x="5"/>
        <item x="20"/>
        <item x="12"/>
        <item m="1" x="96"/>
        <item m="1" x="88"/>
        <item x="2"/>
        <item m="1" x="64"/>
        <item m="1" x="69"/>
        <item x="18"/>
        <item m="1" x="105"/>
        <item m="1" x="70"/>
        <item m="1" x="98"/>
        <item m="1" x="102"/>
        <item x="11"/>
        <item m="1" x="97"/>
        <item x="17"/>
        <item x="8"/>
        <item m="1" x="85"/>
        <item x="15"/>
        <item x="16"/>
        <item x="19"/>
        <item x="7"/>
        <item m="1" x="72"/>
        <item x="9"/>
        <item x="10"/>
        <item m="1" x="75"/>
        <item x="41"/>
        <item x="50"/>
        <item m="1" x="91"/>
        <item x="36"/>
        <item x="56"/>
        <item x="60"/>
        <item m="1" x="74"/>
        <item x="42"/>
        <item m="1" x="65"/>
        <item x="30"/>
        <item x="21"/>
        <item x="61"/>
        <item x="55"/>
        <item x="43"/>
        <item x="47"/>
        <item x="22"/>
        <item x="44"/>
        <item x="48"/>
        <item x="45"/>
        <item m="1" x="77"/>
        <item x="57"/>
        <item x="38"/>
        <item m="1" x="73"/>
        <item x="52"/>
        <item x="49"/>
        <item x="53"/>
        <item x="39"/>
        <item x="24"/>
        <item x="46"/>
        <item x="40"/>
        <item m="1" x="76"/>
        <item x="23"/>
        <item x="58"/>
        <item x="59"/>
        <item x="33"/>
        <item x="25"/>
        <item x="37"/>
        <item x="26"/>
        <item x="27"/>
        <item x="34"/>
        <item x="35"/>
        <item m="1" x="66"/>
        <item x="28"/>
        <item x="29"/>
        <item x="31"/>
        <item x="3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">
        <item m="1" x="64"/>
        <item m="1" x="48"/>
        <item x="10"/>
        <item m="1" x="106"/>
        <item m="1" x="65"/>
        <item x="29"/>
        <item m="1" x="80"/>
        <item m="1" x="73"/>
        <item x="6"/>
        <item x="9"/>
        <item x="15"/>
        <item x="22"/>
        <item x="43"/>
        <item x="4"/>
        <item x="3"/>
        <item x="1"/>
        <item x="25"/>
        <item x="30"/>
        <item x="40"/>
        <item m="1" x="110"/>
        <item x="39"/>
        <item m="1" x="94"/>
        <item m="1" x="75"/>
        <item m="1" x="87"/>
        <item x="5"/>
        <item m="1" x="53"/>
        <item x="38"/>
        <item m="1" x="108"/>
        <item m="1" x="105"/>
        <item m="1" x="68"/>
        <item x="44"/>
        <item m="1" x="93"/>
        <item m="1" x="74"/>
        <item x="33"/>
        <item m="1" x="47"/>
        <item m="1" x="79"/>
        <item m="1" x="54"/>
        <item m="1" x="95"/>
        <item m="1" x="49"/>
        <item m="1" x="103"/>
        <item x="2"/>
        <item x="18"/>
        <item m="1" x="109"/>
        <item x="0"/>
        <item x="42"/>
        <item x="34"/>
        <item m="1" x="102"/>
        <item x="21"/>
        <item m="1" x="101"/>
        <item m="1" x="61"/>
        <item m="1" x="97"/>
        <item x="13"/>
        <item m="1" x="45"/>
        <item m="1" x="58"/>
        <item m="1" x="50"/>
        <item m="1" x="98"/>
        <item m="1" x="99"/>
        <item m="1" x="96"/>
        <item x="19"/>
        <item x="26"/>
        <item x="7"/>
        <item x="12"/>
        <item m="1" x="57"/>
        <item x="23"/>
        <item m="1" x="86"/>
        <item x="14"/>
        <item x="27"/>
        <item m="1" x="92"/>
        <item m="1" x="60"/>
        <item m="1" x="89"/>
        <item m="1" x="100"/>
        <item m="1" x="107"/>
        <item m="1" x="72"/>
        <item m="1" x="70"/>
        <item x="28"/>
        <item m="1" x="78"/>
        <item m="1" x="83"/>
        <item m="1" x="56"/>
        <item x="41"/>
        <item m="1" x="85"/>
        <item m="1" x="104"/>
        <item m="1" x="62"/>
        <item m="1" x="91"/>
        <item m="1" x="51"/>
        <item m="1" x="63"/>
        <item m="1" x="66"/>
        <item m="1" x="76"/>
        <item m="1" x="90"/>
        <item m="1" x="52"/>
        <item m="1" x="88"/>
        <item x="24"/>
        <item m="1" x="82"/>
        <item x="16"/>
        <item x="31"/>
        <item m="1" x="81"/>
        <item m="1" x="69"/>
        <item m="1" x="84"/>
        <item m="1" x="77"/>
        <item x="20"/>
        <item x="8"/>
        <item x="11"/>
        <item x="35"/>
        <item m="1" x="71"/>
        <item m="1" x="59"/>
        <item m="1" x="67"/>
        <item x="37"/>
        <item x="32"/>
        <item m="1" x="55"/>
        <item x="36"/>
        <item x="17"/>
        <item m="1"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37"/>
        <item m="1" x="34"/>
        <item x="9"/>
        <item m="1" x="51"/>
        <item x="7"/>
        <item m="1" x="44"/>
        <item m="1" x="39"/>
        <item x="2"/>
        <item x="8"/>
        <item x="18"/>
        <item x="32"/>
        <item x="4"/>
        <item x="3"/>
        <item x="1"/>
        <item x="20"/>
        <item x="24"/>
        <item x="29"/>
        <item x="28"/>
        <item m="1" x="41"/>
        <item x="5"/>
        <item m="1" x="35"/>
        <item x="27"/>
        <item x="6"/>
        <item m="1" x="52"/>
        <item m="1" x="40"/>
        <item m="1" x="45"/>
        <item m="1" x="33"/>
        <item m="1" x="36"/>
        <item m="1" x="46"/>
        <item x="16"/>
        <item x="0"/>
        <item x="31"/>
        <item m="1" x="50"/>
        <item m="1" x="47"/>
        <item m="1" x="48"/>
        <item x="17"/>
        <item x="21"/>
        <item m="1" x="49"/>
        <item x="19"/>
        <item m="1" x="43"/>
        <item x="13"/>
        <item x="22"/>
        <item x="26"/>
        <item x="14"/>
        <item x="23"/>
        <item x="30"/>
        <item m="1" x="42"/>
        <item m="1" x="38"/>
        <item x="25"/>
        <item x="11"/>
        <item x="10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3"/>
        <item x="6"/>
        <item x="1"/>
        <item x="5"/>
        <item x="9"/>
        <item m="1" x="14"/>
        <item m="1" x="10"/>
        <item x="0"/>
        <item x="3"/>
        <item x="7"/>
        <item x="4"/>
        <item x="2"/>
        <item m="1" x="11"/>
        <item m="1" x="15"/>
        <item m="1" x="16"/>
        <item m="1" x="1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171">
    <i>
      <x v="2"/>
      <x v="2"/>
      <x v="2"/>
      <x v="1"/>
      <x v="2"/>
      <x v="2"/>
      <x v="1783"/>
      <x v="2411"/>
      <x v="207"/>
    </i>
    <i r="3">
      <x v="8"/>
      <x v="1"/>
      <x v="3"/>
      <x v="1766"/>
      <x v="2802"/>
      <x v="239"/>
    </i>
    <i r="7">
      <x v="3015"/>
      <x v="257"/>
    </i>
    <i r="3">
      <x v="10"/>
      <x v="20"/>
      <x/>
      <x v="2274"/>
      <x v="2997"/>
      <x v="260"/>
    </i>
    <i r="3">
      <x v="21"/>
      <x v="3"/>
      <x v="2"/>
      <x v="2202"/>
      <x v="2920"/>
      <x v="253"/>
    </i>
    <i r="3">
      <x v="24"/>
      <x v="10"/>
      <x v="3"/>
      <x v="1933"/>
      <x v="2576"/>
      <x v="219"/>
    </i>
    <i r="6">
      <x v="2125"/>
      <x v="2813"/>
      <x v="242"/>
    </i>
    <i r="3">
      <x v="49"/>
      <x v="4"/>
      <x v="2"/>
      <x v="2252"/>
      <x v="2975"/>
      <x v="253"/>
    </i>
    <i r="3">
      <x v="78"/>
      <x v="78"/>
      <x/>
      <x v="2264"/>
      <x v="2987"/>
      <x v="257"/>
    </i>
    <i r="3">
      <x v="122"/>
      <x v="122"/>
      <x v="2"/>
      <x v="2056"/>
      <x v="2719"/>
      <x v="231"/>
    </i>
    <i r="3">
      <x v="150"/>
      <x v="150"/>
      <x/>
      <x v="2059"/>
      <x v="2722"/>
      <x v="230"/>
    </i>
    <i r="3">
      <x v="196"/>
      <x v="196"/>
      <x/>
      <x v="2266"/>
      <x v="2989"/>
      <x v="251"/>
    </i>
    <i r="5">
      <x v="2"/>
      <x v="2060"/>
      <x v="2724"/>
      <x v="231"/>
    </i>
    <i r="6">
      <x v="2062"/>
      <x v="1122"/>
      <x v="231"/>
    </i>
    <i r="6">
      <x v="2146"/>
      <x v="2851"/>
      <x v="243"/>
    </i>
    <i r="6">
      <x v="2273"/>
      <x v="2996"/>
      <x v="258"/>
    </i>
    <i>
      <x v="5"/>
      <x v="4"/>
      <x v="11"/>
      <x v="52"/>
      <x v="55"/>
      <x v="3"/>
      <x v="2292"/>
      <x v="1813"/>
      <x v="259"/>
    </i>
    <i r="3">
      <x v="87"/>
      <x v="87"/>
      <x v="3"/>
      <x v="2237"/>
      <x v="2955"/>
      <x v="254"/>
    </i>
    <i r="3">
      <x v="98"/>
      <x v="98"/>
      <x v="3"/>
      <x v="2246"/>
      <x v="2967"/>
      <x v="249"/>
    </i>
    <i r="3">
      <x v="140"/>
      <x v="140"/>
      <x v="3"/>
      <x v="2268"/>
      <x v="2991"/>
      <x v="258"/>
    </i>
    <i>
      <x v="8"/>
      <x v="22"/>
      <x v="2"/>
      <x v="13"/>
      <x v="9"/>
      <x v="2"/>
      <x v="1959"/>
      <x v="924"/>
      <x v="225"/>
    </i>
    <i r="6">
      <x v="1970"/>
      <x v="2051"/>
      <x v="224"/>
    </i>
    <i r="6">
      <x v="1973"/>
      <x v="929"/>
      <x v="224"/>
    </i>
    <i r="3">
      <x v="320"/>
      <x v="322"/>
      <x v="2"/>
      <x v="2132"/>
      <x v="2826"/>
      <x v="242"/>
    </i>
    <i r="2">
      <x v="11"/>
      <x v="13"/>
      <x v="9"/>
      <x/>
      <x v="446"/>
      <x v="479"/>
      <x v="213"/>
    </i>
    <i r="7">
      <x v="651"/>
      <x v="205"/>
    </i>
    <i r="7">
      <x v="1450"/>
      <x v="231"/>
    </i>
    <i r="7">
      <x v="2952"/>
      <x v="254"/>
    </i>
    <i r="5">
      <x v="2"/>
      <x v="1961"/>
      <x v="2049"/>
      <x v="224"/>
    </i>
    <i r="6">
      <x v="1963"/>
      <x v="2615"/>
      <x v="224"/>
    </i>
    <i r="3">
      <x v="19"/>
      <x v="28"/>
      <x v="4"/>
      <x v="391"/>
      <x v="3004"/>
      <x v="258"/>
    </i>
    <i r="3">
      <x v="64"/>
      <x v="64"/>
      <x/>
      <x v="920"/>
      <x v="2818"/>
      <x v="236"/>
    </i>
    <i>
      <x v="9"/>
      <x v="8"/>
      <x v="2"/>
      <x v="11"/>
      <x v="16"/>
      <x v="2"/>
      <x v="2008"/>
      <x v="2665"/>
      <x v="228"/>
    </i>
    <i r="3">
      <x v="53"/>
      <x v="19"/>
      <x v="3"/>
      <x v="2175"/>
      <x v="2890"/>
      <x v="235"/>
    </i>
    <i r="6">
      <x v="2176"/>
      <x v="2891"/>
      <x v="247"/>
    </i>
    <i r="6">
      <x v="2177"/>
      <x v="2892"/>
      <x v="247"/>
    </i>
    <i r="6">
      <x v="2182"/>
      <x v="2899"/>
      <x v="235"/>
    </i>
    <i r="6">
      <x v="2183"/>
      <x v="274"/>
      <x v="238"/>
    </i>
    <i r="6">
      <x v="2288"/>
      <x v="3017"/>
      <x v="252"/>
    </i>
    <i r="3">
      <x v="67"/>
      <x v="67"/>
      <x v="2"/>
      <x v="2117"/>
      <x v="2803"/>
      <x v="238"/>
    </i>
    <i r="6">
      <x v="2119"/>
      <x v="2805"/>
      <x v="238"/>
    </i>
    <i r="3">
      <x v="90"/>
      <x v="90"/>
      <x v="3"/>
      <x v="1881"/>
      <x v="2517"/>
      <x v="213"/>
    </i>
    <i r="6">
      <x v="1882"/>
      <x v="2518"/>
      <x v="213"/>
    </i>
    <i r="6">
      <x v="1932"/>
      <x v="2575"/>
      <x v="219"/>
    </i>
    <i>
      <x v="10"/>
      <x v="43"/>
      <x v="2"/>
      <x/>
      <x v="11"/>
      <x v="2"/>
      <x v="1918"/>
      <x v="2558"/>
      <x v="215"/>
    </i>
    <i r="3">
      <x v="115"/>
      <x v="115"/>
      <x v="2"/>
      <x v="836"/>
      <x v="2683"/>
      <x v="230"/>
    </i>
    <i r="7">
      <x v="2930"/>
      <x v="250"/>
    </i>
    <i>
      <x v="13"/>
      <x v="11"/>
      <x v="2"/>
      <x v="66"/>
      <x v="66"/>
      <x v="3"/>
      <x v="2122"/>
      <x v="2809"/>
      <x v="240"/>
    </i>
    <i r="3">
      <x v="230"/>
      <x v="231"/>
      <x v="1"/>
      <x v="2163"/>
      <x v="2872"/>
      <x v="242"/>
    </i>
    <i r="7">
      <x v="2873"/>
      <x v="242"/>
    </i>
    <i r="7">
      <x v="2881"/>
      <x v="242"/>
    </i>
    <i r="7">
      <x v="2884"/>
      <x v="242"/>
    </i>
    <i r="5">
      <x v="3"/>
      <x v="1374"/>
      <x v="1860"/>
      <x v="153"/>
    </i>
    <i r="7">
      <x v="1861"/>
      <x v="153"/>
    </i>
    <i r="6">
      <x v="2152"/>
      <x v="2858"/>
      <x v="242"/>
    </i>
    <i r="3">
      <x v="256"/>
      <x v="257"/>
      <x v="3"/>
      <x v="1279"/>
      <x v="2964"/>
      <x v="251"/>
    </i>
    <i r="7">
      <x v="2972"/>
      <x v="251"/>
    </i>
    <i>
      <x v="14"/>
      <x v="12"/>
      <x v="2"/>
      <x v="36"/>
      <x v="22"/>
      <x v="3"/>
      <x v="2144"/>
      <x v="2849"/>
      <x v="233"/>
    </i>
    <i>
      <x v="15"/>
      <x v="13"/>
      <x v="2"/>
      <x v="2"/>
      <x v="15"/>
      <x/>
      <x v="1540"/>
      <x v="2108"/>
      <x v="177"/>
    </i>
    <i r="6">
      <x v="1759"/>
      <x v="2375"/>
      <x v="202"/>
    </i>
    <i r="5">
      <x v="2"/>
      <x v="1758"/>
      <x v="2373"/>
      <x v="202"/>
    </i>
    <i r="5">
      <x v="3"/>
      <x v="1212"/>
      <x v="1653"/>
      <x v="149"/>
    </i>
    <i>
      <x v="17"/>
      <x v="15"/>
      <x v="2"/>
      <x v="29"/>
      <x v="50"/>
      <x v="2"/>
      <x v="1895"/>
      <x v="2536"/>
      <x v="215"/>
    </i>
    <i r="3">
      <x v="158"/>
      <x v="158"/>
      <x v="2"/>
      <x v="2222"/>
      <x v="2938"/>
      <x v="252"/>
    </i>
    <i r="3">
      <x v="308"/>
      <x v="309"/>
      <x v="2"/>
      <x v="1980"/>
      <x v="2630"/>
      <x v="225"/>
    </i>
    <i r="3">
      <x v="313"/>
      <x v="314"/>
      <x v="2"/>
      <x v="2064"/>
      <x v="2726"/>
      <x v="231"/>
    </i>
    <i>
      <x v="20"/>
      <x v="17"/>
      <x v="11"/>
      <x v="44"/>
      <x v="52"/>
      <x v="3"/>
      <x v="692"/>
      <x v="3012"/>
      <x v="260"/>
    </i>
    <i>
      <x v="40"/>
      <x v="7"/>
      <x v="2"/>
      <x/>
      <x v="11"/>
      <x v="2"/>
      <x v="1588"/>
      <x v="2166"/>
      <x v="189"/>
    </i>
    <i r="6">
      <x v="1853"/>
      <x v="2478"/>
      <x v="212"/>
    </i>
    <i r="3">
      <x v="2"/>
      <x v="15"/>
      <x v="2"/>
      <x v="1792"/>
      <x v="2417"/>
      <x v="208"/>
    </i>
    <i r="6">
      <x v="1793"/>
      <x v="2418"/>
      <x v="208"/>
    </i>
    <i r="6">
      <x v="1794"/>
      <x v="2419"/>
      <x v="208"/>
    </i>
    <i r="6">
      <x v="1796"/>
      <x v="2421"/>
      <x v="208"/>
    </i>
    <i r="6">
      <x v="1798"/>
      <x v="2423"/>
      <x v="204"/>
    </i>
    <i r="6">
      <x v="1913"/>
      <x v="2554"/>
      <x v="216"/>
    </i>
    <i r="6">
      <x v="1966"/>
      <x v="2618"/>
      <x v="224"/>
    </i>
    <i r="6">
      <x v="2065"/>
      <x v="2730"/>
      <x v="229"/>
    </i>
    <i r="3">
      <x v="7"/>
      <x v="23"/>
      <x v="2"/>
      <x v="1999"/>
      <x v="870"/>
      <x v="227"/>
    </i>
    <i r="7">
      <x v="2654"/>
      <x v="227"/>
    </i>
    <i r="3">
      <x v="29"/>
      <x v="50"/>
      <x v="2"/>
      <x v="1632"/>
      <x v="2224"/>
      <x v="194"/>
    </i>
    <i r="3">
      <x v="48"/>
      <x v="37"/>
      <x v="3"/>
      <x v="1971"/>
      <x v="2621"/>
      <x v="181"/>
    </i>
    <i>
      <x v="41"/>
      <x v="29"/>
      <x v="2"/>
      <x v="47"/>
      <x v="18"/>
      <x v="3"/>
      <x v="2154"/>
      <x v="2861"/>
      <x v="246"/>
    </i>
    <i>
      <x v="43"/>
      <x v="30"/>
      <x v="7"/>
      <x v="230"/>
      <x v="231"/>
      <x v="1"/>
      <x v="1805"/>
      <x v="2868"/>
      <x v="242"/>
    </i>
    <i r="7">
      <x v="2889"/>
      <x v="242"/>
    </i>
    <i>
      <x v="51"/>
      <x v="51"/>
      <x v="2"/>
      <x/>
      <x v="11"/>
      <x v="2"/>
      <x v="2019"/>
      <x v="2678"/>
      <x v="230"/>
    </i>
    <i r="6">
      <x v="2075"/>
      <x v="2741"/>
      <x v="222"/>
    </i>
    <i r="6">
      <x v="2090"/>
      <x v="2766"/>
      <x v="235"/>
    </i>
    <i r="3">
      <x v="2"/>
      <x v="15"/>
      <x/>
      <x v="2093"/>
      <x v="2772"/>
      <x v="229"/>
    </i>
    <i r="6">
      <x v="2150"/>
      <x v="2856"/>
      <x v="246"/>
    </i>
    <i r="5">
      <x v="1"/>
      <x v="2158"/>
      <x v="2865"/>
      <x v="246"/>
    </i>
    <i r="6">
      <x v="2160"/>
      <x v="2867"/>
      <x v="246"/>
    </i>
    <i r="6">
      <x v="2169"/>
      <x v="2879"/>
      <x v="246"/>
    </i>
    <i r="5">
      <x v="2"/>
      <x v="2026"/>
      <x v="2686"/>
      <x v="224"/>
    </i>
    <i r="6">
      <x v="2050"/>
      <x v="2713"/>
      <x v="228"/>
    </i>
    <i r="6">
      <x v="2070"/>
      <x v="2736"/>
      <x v="224"/>
    </i>
    <i r="6">
      <x v="2157"/>
      <x v="2864"/>
      <x v="246"/>
    </i>
    <i r="6">
      <x v="2165"/>
      <x v="2875"/>
      <x v="246"/>
    </i>
    <i r="6">
      <x v="2168"/>
      <x v="2878"/>
      <x v="246"/>
    </i>
    <i r="6">
      <x v="2174"/>
      <x v="2888"/>
      <x v="246"/>
    </i>
    <i r="3">
      <x v="5"/>
      <x v="39"/>
      <x v="2"/>
      <x v="2086"/>
      <x v="2763"/>
      <x v="224"/>
    </i>
    <i r="6">
      <x v="2291"/>
      <x v="3021"/>
      <x v="258"/>
    </i>
    <i r="3">
      <x v="7"/>
      <x v="23"/>
      <x v="2"/>
      <x v="2180"/>
      <x v="2624"/>
      <x v="247"/>
    </i>
    <i r="3">
      <x v="15"/>
      <x v="30"/>
      <x v="2"/>
      <x v="2179"/>
      <x v="2894"/>
      <x v="248"/>
    </i>
    <i r="6">
      <x v="2229"/>
      <x v="2947"/>
      <x v="254"/>
    </i>
    <i r="3">
      <x v="29"/>
      <x v="50"/>
      <x v="2"/>
      <x v="2049"/>
      <x v="2712"/>
      <x v="222"/>
    </i>
    <i r="6">
      <x v="2136"/>
      <x v="2834"/>
      <x v="240"/>
    </i>
    <i r="6">
      <x v="2211"/>
      <x v="2927"/>
      <x v="255"/>
    </i>
    <i r="3">
      <x v="35"/>
      <x v="5"/>
      <x v="2"/>
      <x v="2139"/>
      <x v="2841"/>
      <x v="243"/>
    </i>
    <i r="3">
      <x v="61"/>
      <x v="61"/>
      <x v="2"/>
      <x v="2270"/>
      <x v="2993"/>
      <x v="257"/>
    </i>
    <i r="6">
      <x v="2285"/>
      <x v="3014"/>
      <x v="259"/>
    </i>
    <i r="3">
      <x v="70"/>
      <x v="70"/>
      <x v="2"/>
      <x v="2142"/>
      <x v="2847"/>
      <x v="243"/>
    </i>
    <i r="6">
      <x v="2187"/>
      <x v="2903"/>
      <x v="252"/>
    </i>
    <i r="3">
      <x v="88"/>
      <x v="88"/>
      <x v="3"/>
      <x v="2257"/>
      <x v="2980"/>
      <x v="258"/>
    </i>
    <i r="3">
      <x v="112"/>
      <x v="112"/>
      <x v="2"/>
      <x v="2052"/>
      <x v="2715"/>
      <x v="233"/>
    </i>
    <i r="3">
      <x v="115"/>
      <x v="115"/>
      <x v="2"/>
      <x v="2066"/>
      <x v="2731"/>
      <x v="232"/>
    </i>
    <i r="6">
      <x v="2185"/>
      <x v="2901"/>
      <x v="250"/>
    </i>
    <i r="3">
      <x v="192"/>
      <x v="192"/>
      <x v="2"/>
      <x v="2138"/>
      <x v="2838"/>
      <x v="244"/>
    </i>
    <i r="6">
      <x v="2145"/>
      <x v="2850"/>
      <x v="244"/>
    </i>
    <i r="6">
      <x v="2220"/>
      <x v="2935"/>
      <x v="252"/>
    </i>
    <i r="3">
      <x v="222"/>
      <x v="222"/>
      <x v="2"/>
      <x v="2181"/>
      <x v="1908"/>
      <x v="247"/>
    </i>
    <i>
      <x v="58"/>
      <x v="35"/>
      <x v="2"/>
      <x v="148"/>
      <x v="148"/>
      <x v="3"/>
      <x v="1216"/>
      <x v="2910"/>
      <x v="253"/>
    </i>
    <i r="3">
      <x v="322"/>
      <x v="324"/>
      <x/>
      <x v="2210"/>
      <x v="2577"/>
      <x v="254"/>
    </i>
    <i>
      <x v="60"/>
      <x v="7"/>
      <x v="2"/>
      <x v="27"/>
      <x v="21"/>
      <x v="2"/>
      <x v="1938"/>
      <x v="2581"/>
      <x v="220"/>
    </i>
    <i r="3">
      <x v="205"/>
      <x v="205"/>
      <x v="2"/>
      <x v="2120"/>
      <x v="2806"/>
      <x v="236"/>
    </i>
    <i r="3">
      <x v="304"/>
      <x v="305"/>
      <x v="2"/>
      <x v="1880"/>
      <x v="1394"/>
      <x v="213"/>
    </i>
    <i>
      <x v="66"/>
      <x v="41"/>
      <x v="2"/>
      <x v="328"/>
      <x v="330"/>
      <x v="3"/>
      <x v="2265"/>
      <x v="2988"/>
      <x v="253"/>
    </i>
    <i>
      <x v="78"/>
      <x v="45"/>
      <x v="2"/>
      <x v="13"/>
      <x v="9"/>
      <x v="2"/>
      <x v="1973"/>
      <x v="932"/>
      <x v="224"/>
    </i>
    <i>
      <x v="92"/>
      <x v="7"/>
      <x v="2"/>
      <x v="27"/>
      <x v="21"/>
      <x v="2"/>
      <x v="1937"/>
      <x v="2580"/>
      <x v="220"/>
    </i>
    <i r="6">
      <x v="1939"/>
      <x v="2582"/>
      <x v="220"/>
    </i>
    <i r="3">
      <x v="43"/>
      <x v="36"/>
      <x v="3"/>
      <x v="70"/>
      <x v="2660"/>
      <x v="212"/>
    </i>
    <i r="7">
      <x v="2670"/>
      <x v="212"/>
    </i>
    <i r="7">
      <x v="2671"/>
      <x v="212"/>
    </i>
    <i r="7">
      <x v="2672"/>
      <x v="212"/>
    </i>
    <i r="7">
      <x v="2836"/>
      <x v="230"/>
    </i>
    <i r="7">
      <x v="2839"/>
      <x v="230"/>
    </i>
    <i r="7">
      <x v="2840"/>
      <x v="230"/>
    </i>
    <i r="7">
      <x v="2844"/>
      <x v="230"/>
    </i>
    <i r="7">
      <x v="2936"/>
      <x v="250"/>
    </i>
    <i r="7">
      <x v="2965"/>
      <x v="250"/>
    </i>
    <i r="7">
      <x v="2968"/>
      <x v="250"/>
    </i>
    <i r="7">
      <x v="2973"/>
      <x v="250"/>
    </i>
    <i r="3">
      <x v="222"/>
      <x v="222"/>
      <x v="2"/>
      <x v="1993"/>
      <x v="2647"/>
      <x v="222"/>
    </i>
    <i>
      <x v="93"/>
      <x v="48"/>
      <x v="2"/>
      <x v="132"/>
      <x v="132"/>
      <x v="3"/>
      <x v="2272"/>
      <x v="2995"/>
      <x v="258"/>
    </i>
    <i r="7">
      <x v="3007"/>
      <x v="258"/>
    </i>
    <i r="3">
      <x v="165"/>
      <x v="165"/>
      <x v="3"/>
      <x v="2281"/>
      <x v="3008"/>
      <x v="250"/>
    </i>
    <i r="3">
      <x v="173"/>
      <x v="173"/>
      <x v="3"/>
      <x v="2279"/>
      <x v="3002"/>
      <x v="259"/>
    </i>
    <i>
      <x v="99"/>
      <x v="4"/>
      <x v="11"/>
      <x v="88"/>
      <x v="88"/>
      <x v="3"/>
      <x v="2255"/>
      <x v="2978"/>
      <x v="258"/>
    </i>
    <i>
      <x v="100"/>
      <x v="50"/>
      <x v="2"/>
      <x v="35"/>
      <x v="5"/>
      <x v="3"/>
      <x v="1675"/>
      <x v="2277"/>
      <x v="197"/>
    </i>
    <i r="6">
      <x v="1903"/>
      <x v="2544"/>
      <x v="216"/>
    </i>
    <i r="3">
      <x v="48"/>
      <x v="37"/>
      <x v="3"/>
      <x v="2108"/>
      <x v="2787"/>
      <x v="241"/>
    </i>
    <i r="6">
      <x v="2109"/>
      <x v="2788"/>
      <x v="241"/>
    </i>
    <i r="6">
      <x v="2114"/>
      <x v="2795"/>
      <x v="242"/>
    </i>
    <i r="6">
      <x v="2123"/>
      <x v="2810"/>
      <x v="241"/>
    </i>
    <i r="6">
      <x v="2259"/>
      <x v="2983"/>
      <x v="257"/>
    </i>
    <i r="6">
      <x v="2269"/>
      <x v="2992"/>
      <x v="257"/>
    </i>
    <i r="6">
      <x v="2290"/>
      <x v="3019"/>
      <x v="257"/>
    </i>
    <i r="6">
      <x v="2293"/>
      <x v="3024"/>
      <x v="257"/>
    </i>
    <i r="3">
      <x v="88"/>
      <x v="88"/>
      <x v="3"/>
      <x v="2084"/>
      <x v="2759"/>
      <x v="233"/>
    </i>
    <i>
      <x v="109"/>
      <x v="52"/>
      <x v="11"/>
      <x v="73"/>
      <x v="73"/>
      <x v="3"/>
      <x v="2161"/>
      <x v="2870"/>
      <x v="228"/>
    </i>
    <i r="3">
      <x v="76"/>
      <x v="76"/>
      <x v="3"/>
      <x v="2153"/>
      <x v="2859"/>
      <x v="225"/>
    </i>
    <i r="7">
      <x v="2860"/>
      <x v="225"/>
    </i>
    <i r="7">
      <x v="2869"/>
      <x v="225"/>
    </i>
    <i r="7">
      <x v="2895"/>
      <x v="225"/>
    </i>
    <i r="7">
      <x v="2896"/>
      <x v="225"/>
    </i>
    <i r="7">
      <x v="2897"/>
      <x v="225"/>
    </i>
    <i r="7">
      <x v="2898"/>
      <x v="225"/>
    </i>
    <i r="6">
      <x v="2159"/>
      <x v="2866"/>
      <x v="225"/>
    </i>
    <i r="7">
      <x v="2880"/>
      <x v="225"/>
    </i>
    <i r="7">
      <x v="2885"/>
      <x v="225"/>
    </i>
    <i r="3">
      <x v="130"/>
      <x v="130"/>
      <x v="3"/>
      <x v="2170"/>
      <x v="2882"/>
      <x v="224"/>
    </i>
    <i t="grand">
      <x/>
    </i>
  </rowItems>
  <colItems count="1">
    <i/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PivotTable2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Q26" firstHeaderRow="1" firstDataRow="2" firstDataCol="9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4"/>
        <item h="1" m="1" x="28"/>
        <item x="0"/>
        <item x="12"/>
        <item h="1" x="4"/>
        <item m="1" x="19"/>
        <item m="1" x="21"/>
        <item m="1" x="20"/>
        <item x="13"/>
        <item m="1" x="26"/>
        <item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h="1" m="1" x="27"/>
        <item x="6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1"/>
        <item x="5"/>
        <item x="2"/>
        <item x="0"/>
        <item x="7"/>
        <item x="4"/>
        <item x="3"/>
        <item x="6"/>
        <item m="1" x="9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26">
        <item m="1" x="2463"/>
        <item m="1" x="2855"/>
        <item m="1" x="2030"/>
        <item m="1" x="2241"/>
        <item m="1" x="2361"/>
        <item m="1" x="2770"/>
        <item m="1" x="2847"/>
        <item m="1" x="2567"/>
        <item m="1" x="2135"/>
        <item m="1" x="2453"/>
        <item m="1" x="1930"/>
        <item m="1" x="2034"/>
        <item m="1" x="2621"/>
        <item m="1" x="2635"/>
        <item m="1" x="2417"/>
        <item m="1" x="2185"/>
        <item m="1" x="2958"/>
        <item m="1" x="2397"/>
        <item m="1" x="1666"/>
        <item m="1" x="1900"/>
        <item m="1" x="2231"/>
        <item m="1" x="1659"/>
        <item m="1" x="2122"/>
        <item m="1" x="2162"/>
        <item m="1" x="2089"/>
        <item m="1" x="2894"/>
        <item m="1" x="1629"/>
        <item m="1" x="2699"/>
        <item m="1" x="2659"/>
        <item m="1" x="1538"/>
        <item m="1" x="1653"/>
        <item m="1" x="1681"/>
        <item m="1" x="406"/>
        <item m="1" x="1901"/>
        <item m="1" x="604"/>
        <item m="1" x="2693"/>
        <item m="1" x="1865"/>
        <item m="1" x="2194"/>
        <item m="1" x="2236"/>
        <item m="1" x="2260"/>
        <item m="1" x="2353"/>
        <item m="1" x="3009"/>
        <item m="1" x="2495"/>
        <item m="1" x="1744"/>
        <item m="1" x="1797"/>
        <item m="1" x="2745"/>
        <item m="1" x="2571"/>
        <item m="1" x="1962"/>
        <item m="1" x="1983"/>
        <item m="1" x="2167"/>
        <item m="1" x="2622"/>
        <item m="1" x="2630"/>
        <item m="1" x="2636"/>
        <item m="1" x="2642"/>
        <item m="1" x="1963"/>
        <item m="1" x="1204"/>
        <item m="1" x="1470"/>
        <item m="1" x="2481"/>
        <item m="1" x="1729"/>
        <item m="1" x="2760"/>
        <item m="1" x="669"/>
        <item m="1" x="2766"/>
        <item m="1" x="1682"/>
        <item m="1" x="1731"/>
        <item m="1" x="1953"/>
        <item m="1" x="2212"/>
        <item m="1" x="1549"/>
        <item m="1" x="2761"/>
        <item m="1" x="1499"/>
        <item m="1" x="1520"/>
        <item m="1" x="2426"/>
        <item m="1" x="2909"/>
        <item m="1" x="2108"/>
        <item m="1" x="1752"/>
        <item m="1" x="1966"/>
        <item m="1" x="2311"/>
        <item m="1" x="2393"/>
        <item m="1" x="2439"/>
        <item m="1" x="2406"/>
        <item m="1" x="3008"/>
        <item m="1" x="1488"/>
        <item m="1" x="1654"/>
        <item m="1" x="1589"/>
        <item m="1" x="1796"/>
        <item m="1" x="638"/>
        <item m="1" x="2876"/>
        <item m="1" x="2884"/>
        <item m="1" x="2890"/>
        <item m="1" x="2897"/>
        <item m="1" x="2902"/>
        <item m="1" x="2907"/>
        <item m="1" x="1471"/>
        <item m="1" x="1481"/>
        <item m="1" x="1489"/>
        <item m="1" x="1495"/>
        <item m="1" x="2577"/>
        <item m="1" x="2581"/>
        <item m="1" x="2784"/>
        <item m="1" x="2716"/>
        <item m="1" x="2668"/>
        <item m="1" x="2410"/>
        <item m="1" x="2780"/>
        <item m="1" x="2873"/>
        <item m="1" x="2012"/>
        <item m="1" x="2925"/>
        <item m="1" x="2057"/>
        <item m="1" x="2269"/>
        <item m="1" x="1844"/>
        <item m="1" x="2920"/>
        <item m="1" x="1928"/>
        <item m="1" x="2775"/>
        <item m="1" x="2503"/>
        <item m="1" x="2323"/>
        <item m="1" x="555"/>
        <item m="1" x="2498"/>
        <item m="1" x="338"/>
        <item m="1" x="2471"/>
        <item m="1" x="2261"/>
        <item m="1" x="2290"/>
        <item m="1" x="1955"/>
        <item m="1" x="2663"/>
        <item m="1" x="608"/>
        <item m="1" x="1427"/>
        <item m="1" x="624"/>
        <item m="1" x="2981"/>
        <item m="1" x="1148"/>
        <item m="1" x="2580"/>
        <item m="1" x="906"/>
        <item m="1" x="3015"/>
        <item m="1" x="849"/>
        <item m="1" x="2152"/>
        <item m="1" x="2615"/>
        <item m="1" x="2715"/>
        <item m="1" x="2891"/>
        <item m="1" x="2667"/>
        <item m="1" x="2875"/>
        <item m="1" x="2494"/>
        <item m="1" x="2694"/>
        <item m="1" x="2686"/>
        <item m="1" x="728"/>
        <item m="1" x="1147"/>
        <item m="1" x="1811"/>
        <item m="1" x="1868"/>
        <item m="1" x="1917"/>
        <item m="1" x="2946"/>
        <item m="1" x="2476"/>
        <item m="1" x="2019"/>
        <item m="1" x="2067"/>
        <item m="1" x="2125"/>
        <item m="1" x="1742"/>
        <item m="1" x="2653"/>
        <item m="1" x="1782"/>
        <item m="1" x="2589"/>
        <item m="1" x="2878"/>
        <item m="1" x="2094"/>
        <item m="1" x="2899"/>
        <item m="1" x="2121"/>
        <item m="1" x="2500"/>
        <item m="1" x="1603"/>
        <item m="1" x="2160"/>
        <item m="1" x="1663"/>
        <item m="1" x="2809"/>
        <item m="1" x="2150"/>
        <item m="1" x="1469"/>
        <item m="1" x="1479"/>
        <item m="1" x="2542"/>
        <item m="1" x="2915"/>
        <item m="1" x="1707"/>
        <item m="1" x="2133"/>
        <item m="1" x="2566"/>
        <item m="1" x="2945"/>
        <item m="1" x="1738"/>
        <item m="1" x="1761"/>
        <item m="1" x="1487"/>
        <item m="1" x="2814"/>
        <item m="1" x="2778"/>
        <item m="1" x="1490"/>
        <item m="1" x="3014"/>
        <item m="1" x="1494"/>
        <item m="1" x="1517"/>
        <item m="1" x="1619"/>
        <item m="1" x="1723"/>
        <item m="1" x="1834"/>
        <item m="1" x="1935"/>
        <item m="1" x="1376"/>
        <item m="1" x="1945"/>
        <item m="1" x="1959"/>
        <item m="1" x="1970"/>
        <item m="1" x="2059"/>
        <item m="1" x="2068"/>
        <item m="1" x="2871"/>
        <item m="1" x="2142"/>
        <item m="1" x="2432"/>
        <item m="1" x="2402"/>
        <item m="1" x="2444"/>
        <item m="1" x="2502"/>
        <item m="1" x="2559"/>
        <item m="1" x="2072"/>
        <item m="1" x="2297"/>
        <item m="1" x="2292"/>
        <item m="1" x="2424"/>
        <item m="1" x="2016"/>
        <item m="1" x="2524"/>
        <item m="1" x="1588"/>
        <item m="1" x="2254"/>
        <item m="1" x="1812"/>
        <item m="1" x="2848"/>
        <item m="1" x="1633"/>
        <item m="1" x="1646"/>
        <item m="1" x="1976"/>
        <item m="1" x="1992"/>
        <item m="1" x="2005"/>
        <item m="1" x="320"/>
        <item m="1" x="1442"/>
        <item m="1" x="1656"/>
        <item m="1" x="2026"/>
        <item m="1" x="2843"/>
        <item m="1" x="1516"/>
        <item m="1" x="2112"/>
        <item m="1" x="2456"/>
        <item m="1" x="2671"/>
        <item m="1" x="1661"/>
        <item m="1" x="2374"/>
        <item m="1" x="2420"/>
        <item m="1" x="2881"/>
        <item m="1" x="2229"/>
        <item m="1" x="2551"/>
        <item m="1" x="1985"/>
        <item m="1" x="2952"/>
        <item m="1" x="2145"/>
        <item m="1" x="2165"/>
        <item m="1" x="2276"/>
        <item m="1" x="2485"/>
        <item x="167"/>
        <item m="1" x="2477"/>
        <item m="1" x="1779"/>
        <item m="1" x="1450"/>
        <item m="1" x="2543"/>
        <item m="1" x="2765"/>
        <item m="1" x="2846"/>
        <item m="1" x="1002"/>
        <item m="1" x="2532"/>
        <item m="1" x="2538"/>
        <item m="1" x="2540"/>
        <item m="1" x="1706"/>
        <item m="1" x="2413"/>
        <item m="1" x="1887"/>
        <item m="1" x="2418"/>
        <item m="1" x="2283"/>
        <item m="1" x="2505"/>
        <item m="1" x="2529"/>
        <item m="1" x="2988"/>
        <item m="1" x="2556"/>
        <item m="1" x="2646"/>
        <item m="1" x="2512"/>
        <item m="1" x="1451"/>
        <item m="1" x="1982"/>
        <item m="1" x="1822"/>
        <item m="1" x="2339"/>
        <item m="1" x="1745"/>
        <item m="1" x="3002"/>
        <item m="1" x="2003"/>
        <item m="1" x="2670"/>
        <item m="1" x="1542"/>
        <item m="1" x="2522"/>
        <item m="1" x="1536"/>
        <item m="1" x="2605"/>
        <item m="1" x="2187"/>
        <item m="1" x="2845"/>
        <item m="1" x="3025"/>
        <item m="1" x="1443"/>
        <item m="1" x="1325"/>
        <item m="1" x="2732"/>
        <item m="1" x="2091"/>
        <item x="228"/>
        <item m="1" x="2196"/>
        <item m="1" x="1710"/>
        <item m="1" x="2250"/>
        <item m="1" x="2307"/>
        <item m="1" x="2371"/>
        <item m="1" x="1892"/>
        <item m="1" x="1036"/>
        <item m="1" x="2759"/>
        <item m="1" x="1762"/>
        <item m="1" x="2382"/>
        <item m="1" x="1537"/>
        <item m="1" x="2800"/>
        <item m="1" x="2574"/>
        <item m="1" x="1851"/>
        <item m="1" x="2695"/>
        <item m="1" x="1857"/>
        <item m="1" x="2252"/>
        <item m="1" x="2071"/>
        <item m="1" x="2377"/>
        <item m="1" x="2202"/>
        <item m="1" x="2425"/>
        <item m="1" x="2552"/>
        <item m="1" x="2572"/>
        <item m="1" x="1947"/>
        <item m="1" x="2852"/>
        <item m="1" x="2344"/>
        <item m="1" x="2541"/>
        <item m="1" x="936"/>
        <item m="1" x="2912"/>
        <item m="1" x="1705"/>
        <item m="1" x="2132"/>
        <item m="1" x="2565"/>
        <item m="1" x="2944"/>
        <item m="1" x="1736"/>
        <item m="1" x="2158"/>
        <item m="1" x="2984"/>
        <item m="1" x="309"/>
        <item m="1" x="1850"/>
        <item m="1" x="1789"/>
        <item m="1" x="2709"/>
        <item m="1" x="2857"/>
        <item m="1" x="1616"/>
        <item m="1" x="2116"/>
        <item m="1" x="1826"/>
        <item m="1" x="2047"/>
        <item m="1" x="2151"/>
        <item m="1" x="1743"/>
        <item m="1" x="2721"/>
        <item m="1" x="1891"/>
        <item m="1" x="2130"/>
        <item m="1" x="2782"/>
        <item m="1" x="2712"/>
        <item m="1" x="1532"/>
        <item m="1" x="1950"/>
        <item m="1" x="1997"/>
        <item m="1" x="1685"/>
        <item m="1" x="2293"/>
        <item m="1" x="3012"/>
        <item m="1" x="2802"/>
        <item m="1" x="1795"/>
        <item m="1" x="2004"/>
        <item m="1" x="2102"/>
        <item m="1" x="1625"/>
        <item m="1" x="1695"/>
        <item m="1" x="1805"/>
        <item m="1" x="2008"/>
        <item m="1" x="1879"/>
        <item m="1" x="2295"/>
        <item m="1" x="2325"/>
        <item m="1" x="1497"/>
        <item m="1" x="2910"/>
        <item m="1" x="2731"/>
        <item m="1" x="1649"/>
        <item m="1" x="1861"/>
        <item m="1" x="1869"/>
        <item m="1" x="1877"/>
        <item m="1" x="2764"/>
        <item m="1" x="1558"/>
        <item m="1" x="1648"/>
        <item m="1" x="2043"/>
        <item m="1" x="1989"/>
        <item m="1" x="1445"/>
        <item m="1" x="1584"/>
        <item m="1" x="2429"/>
        <item m="1" x="2823"/>
        <item m="1" x="2383"/>
        <item m="1" x="2395"/>
        <item m="1" x="2126"/>
        <item m="1" x="1604"/>
        <item m="1" x="2024"/>
        <item m="1" x="1998"/>
        <item m="1" x="3022"/>
        <item m="1" x="2708"/>
        <item m="1" x="2856"/>
        <item m="1" x="1609"/>
        <item m="1" x="2798"/>
        <item m="1" x="2831"/>
        <item m="1" x="2243"/>
        <item m="1" x="2976"/>
        <item m="1" x="2990"/>
        <item m="1" x="2753"/>
        <item m="1" x="2172"/>
        <item m="1" x="2528"/>
        <item m="1" x="2557"/>
        <item m="1" x="1591"/>
        <item m="1" x="1478"/>
        <item m="1" x="2959"/>
        <item m="1" x="2664"/>
        <item m="1" x="1788"/>
        <item m="1" x="2208"/>
        <item m="1" x="1814"/>
        <item m="1" x="276"/>
        <item m="1" x="2638"/>
        <item m="1" x="2999"/>
        <item m="1" x="3021"/>
        <item m="1" x="2235"/>
        <item m="1" x="784"/>
        <item m="1" x="2908"/>
        <item m="1" x="2821"/>
        <item m="1" x="1750"/>
        <item m="1" x="1964"/>
        <item m="1" x="2171"/>
        <item m="1" x="2398"/>
        <item m="1" x="2600"/>
        <item m="1" x="2206"/>
        <item m="1" x="2213"/>
        <item m="1" x="2216"/>
        <item m="1" x="2219"/>
        <item m="1" x="2223"/>
        <item m="1" x="2225"/>
        <item m="1" x="1711"/>
        <item m="1" x="1824"/>
        <item m="1" x="1927"/>
        <item m="1" x="2039"/>
        <item m="1" x="1575"/>
        <item m="1" x="1578"/>
        <item m="1" x="1582"/>
        <item m="1" x="2962"/>
        <item m="1" x="1823"/>
        <item m="1" x="1574"/>
        <item m="1" x="2978"/>
        <item m="1" x="2289"/>
        <item m="1" x="2665"/>
        <item m="1" x="1507"/>
        <item m="1" x="1612"/>
        <item m="1" x="1759"/>
        <item m="1" x="525"/>
        <item m="1" x="488"/>
        <item m="1" x="2943"/>
        <item m="1" x="2547"/>
        <item m="1" x="2850"/>
        <item m="1" x="2865"/>
        <item m="1" x="2922"/>
        <item m="1" x="2062"/>
        <item m="1" x="2974"/>
        <item m="1" x="2965"/>
        <item m="1" x="2342"/>
        <item m="1" x="2874"/>
        <item m="1" x="1513"/>
        <item m="1" x="2733"/>
        <item m="1" x="1498"/>
        <item m="1" x="2179"/>
        <item m="1" x="2364"/>
        <item m="1" x="2835"/>
        <item m="1" x="1921"/>
        <item m="1" x="2350"/>
        <item m="1" x="2762"/>
        <item m="1" x="1527"/>
        <item m="1" x="474"/>
        <item m="1" x="2454"/>
        <item m="1" x="2354"/>
        <item m="1" x="1634"/>
        <item m="1" x="2092"/>
        <item m="1" x="2951"/>
        <item m="1" x="2335"/>
        <item m="1" x="1748"/>
        <item m="1" x="2928"/>
        <item m="1" x="2768"/>
        <item m="1" x="1870"/>
        <item m="1" x="2149"/>
        <item m="1" x="2157"/>
        <item m="1" x="2163"/>
        <item m="1" x="2811"/>
        <item m="1" x="2147"/>
        <item m="1" x="2329"/>
        <item m="1" x="1570"/>
        <item m="1" x="1447"/>
        <item m="1" x="2301"/>
        <item m="1" x="1474"/>
        <item m="1" x="2684"/>
        <item m="1" x="1699"/>
        <item m="1" x="875"/>
        <item m="1" x="2683"/>
        <item m="1" x="2460"/>
        <item m="1" x="2430"/>
        <item m="1" x="2210"/>
        <item m="1" x="1739"/>
        <item m="1" x="1889"/>
        <item m="1" x="1030"/>
        <item m="1" x="1534"/>
        <item m="1" x="2340"/>
        <item m="1" x="2348"/>
        <item m="1" x="2359"/>
        <item m="1" x="2368"/>
        <item x="25"/>
        <item m="1" x="2496"/>
        <item m="1" x="2274"/>
        <item m="1" x="1755"/>
        <item m="1" x="535"/>
        <item m="1" x="2025"/>
        <item m="1" x="1920"/>
        <item m="1" x="2682"/>
        <item m="1" x="2373"/>
        <item m="1" x="1530"/>
        <item m="1" x="1503"/>
        <item m="1" x="2446"/>
        <item m="1" x="2022"/>
        <item m="1" x="2128"/>
        <item m="1" x="1974"/>
        <item m="1" x="2704"/>
        <item m="1" x="2644"/>
        <item m="1" x="1678"/>
        <item m="1" x="2085"/>
        <item m="1" x="2859"/>
        <item m="1" x="2090"/>
        <item m="1" x="1571"/>
        <item m="1" x="2078"/>
        <item m="1" x="2414"/>
        <item m="1" x="810"/>
        <item m="1" x="2582"/>
        <item m="1" x="2785"/>
        <item m="1" x="1894"/>
        <item m="1" x="2316"/>
        <item m="1" x="2469"/>
        <item m="1" x="2470"/>
        <item m="1" x="1577"/>
        <item m="1" x="2434"/>
        <item m="1" x="1092"/>
        <item m="1" x="2443"/>
        <item m="1" x="2501"/>
        <item m="1" x="2729"/>
        <item m="1" x="1735"/>
        <item m="1" x="2586"/>
        <item m="1" x="2637"/>
        <item m="1" x="2042"/>
        <item m="1" x="1455"/>
        <item m="1" x="1467"/>
        <item m="1" x="1435"/>
        <item m="1" x="2934"/>
        <item m="1" x="1567"/>
        <item m="1" x="1768"/>
        <item m="1" x="2007"/>
        <item m="1" x="2916"/>
        <item m="1" x="1514"/>
        <item m="1" x="2437"/>
        <item m="1" x="2904"/>
        <item m="1" x="1722"/>
        <item m="1" x="2010"/>
        <item m="1" x="2851"/>
        <item m="1" x="850"/>
        <item m="1" x="2977"/>
        <item m="1" x="1957"/>
        <item m="1" x="1980"/>
        <item m="1" x="1994"/>
        <item m="1" x="2020"/>
        <item m="1" x="2037"/>
        <item m="1" x="2825"/>
        <item m="1" x="2810"/>
        <item m="1" x="2200"/>
        <item m="1" x="1436"/>
        <item m="1" x="1357"/>
        <item m="1" x="1545"/>
        <item m="1" x="2889"/>
        <item m="1" x="2520"/>
        <item m="1" x="1606"/>
        <item m="1" x="2639"/>
        <item m="1" x="1556"/>
        <item m="1" x="1647"/>
        <item m="1" x="2337"/>
        <item m="1" x="2391"/>
        <item m="1" x="2436"/>
        <item m="1" x="2490"/>
        <item m="1" x="2594"/>
        <item m="1" x="2550"/>
        <item m="1" x="1716"/>
        <item m="1" x="1828"/>
        <item m="1" x="1977"/>
        <item m="1" x="2860"/>
        <item m="1" x="2866"/>
        <item m="1" x="791"/>
        <item m="1" x="715"/>
        <item m="1" x="2558"/>
        <item m="1" x="2549"/>
        <item m="1" x="1543"/>
        <item m="1" x="2706"/>
        <item m="1" x="1866"/>
        <item m="1" x="2253"/>
        <item m="1" x="2263"/>
        <item m="1" x="2356"/>
        <item m="1" x="1791"/>
        <item m="1" x="2610"/>
        <item m="1" x="2464"/>
        <item m="1" x="2747"/>
        <item m="1" x="2267"/>
        <item m="1" x="2723"/>
        <item m="1" x="2777"/>
        <item m="1" x="2021"/>
        <item m="1" x="2448"/>
        <item m="1" x="2750"/>
        <item m="1" x="968"/>
        <item m="1" x="1730"/>
        <item m="1" x="2466"/>
        <item m="1" x="2711"/>
        <item m="1" x="2737"/>
        <item m="1" x="2769"/>
        <item m="1" x="2696"/>
        <item m="1" x="1626"/>
        <item m="1" x="2441"/>
        <item m="1" x="2864"/>
        <item m="1" x="2964"/>
        <item m="1" x="2161"/>
        <item m="1" x="2801"/>
        <item m="1" x="1605"/>
        <item m="1" x="2215"/>
        <item m="1" x="1453"/>
        <item m="1" x="1644"/>
        <item m="1" x="2840"/>
        <item m="1" x="3017"/>
        <item m="1" x="1624"/>
        <item m="1" x="2555"/>
        <item m="1" x="2475"/>
        <item m="1" x="2817"/>
        <item m="1" x="1671"/>
        <item m="1" x="1680"/>
        <item m="1" x="1693"/>
        <item m="1" x="696"/>
        <item m="1" x="2587"/>
        <item m="1" x="866"/>
        <item m="1" x="1460"/>
        <item m="1" x="1562"/>
        <item m="1" x="2819"/>
        <item m="1" x="2220"/>
        <item m="1" x="1515"/>
        <item m="1" x="2230"/>
        <item m="1" x="2233"/>
        <item m="1" x="3023"/>
        <item m="1" x="1940"/>
        <item m="1" x="1815"/>
        <item m="1" x="1785"/>
        <item m="1" x="2278"/>
        <item m="1" x="2401"/>
        <item m="1" x="1885"/>
        <item m="1" x="2940"/>
        <item m="1" x="2924"/>
        <item m="1" x="2929"/>
        <item m="1" x="2930"/>
        <item m="1" x="1968"/>
        <item m="1" x="2954"/>
        <item m="1" x="1617"/>
        <item m="1" x="1668"/>
        <item m="1" x="1720"/>
        <item m="1" x="2479"/>
        <item m="1" x="2588"/>
        <item m="1" x="2327"/>
        <item m="1" x="2438"/>
        <item m="1" x="2936"/>
        <item m="1" x="1468"/>
        <item m="1" x="2255"/>
        <item m="1" x="1632"/>
        <item m="1" x="2461"/>
        <item m="1" x="2506"/>
        <item m="1" x="2052"/>
        <item m="1" x="2247"/>
        <item m="1" x="1698"/>
        <item m="1" x="1683"/>
        <item m="1" x="592"/>
        <item x="9"/>
        <item m="1" x="2452"/>
        <item m="1" x="378"/>
        <item m="1" x="1466"/>
        <item m="1" x="2970"/>
        <item m="1" x="1493"/>
        <item m="1" x="2190"/>
        <item m="1" x="1529"/>
        <item m="1" x="2989"/>
        <item m="1" x="1561"/>
        <item m="1" x="2217"/>
        <item m="1" x="1630"/>
        <item m="1" x="1202"/>
        <item m="1" x="2613"/>
        <item m="1" x="1581"/>
        <item m="1" x="3004"/>
        <item m="1" x="1602"/>
        <item m="1" x="2245"/>
        <item m="1" x="1627"/>
        <item m="1" x="1418"/>
        <item m="1" x="1651"/>
        <item m="1" x="2268"/>
        <item m="1" x="1837"/>
        <item m="1" x="1670"/>
        <item m="1" x="2518"/>
        <item m="1" x="2526"/>
        <item m="1" x="2901"/>
        <item m="1" x="2858"/>
        <item m="1" x="2996"/>
        <item m="1" x="1862"/>
        <item m="1" x="2955"/>
        <item m="1" x="429"/>
        <item m="1" x="1580"/>
        <item m="1" x="1993"/>
        <item m="1" x="2606"/>
        <item m="1" x="2953"/>
        <item m="1" x="2168"/>
        <item m="1" x="2599"/>
        <item m="1" x="2975"/>
        <item m="1" x="1778"/>
        <item m="1" x="2199"/>
        <item m="1" x="2627"/>
        <item m="1" x="2096"/>
        <item m="1" x="2993"/>
        <item m="1" x="2336"/>
        <item m="1" x="2099"/>
        <item m="1" x="2324"/>
        <item m="1" x="1449"/>
        <item m="1" x="1884"/>
        <item m="1" x="2302"/>
        <item m="1" x="2011"/>
        <item m="1" x="2055"/>
        <item m="1" x="2193"/>
        <item m="1" x="2198"/>
        <item m="1" x="1502"/>
        <item m="1" x="2203"/>
        <item m="1" x="1809"/>
        <item m="1" x="2404"/>
        <item m="1" x="2211"/>
        <item m="1" x="1925"/>
        <item m="1" x="295"/>
        <item m="1" x="296"/>
        <item m="1" x="2018"/>
        <item m="1" x="2064"/>
        <item m="1" x="1965"/>
        <item m="1" x="1614"/>
        <item m="1" x="2703"/>
        <item m="1" x="2834"/>
        <item m="1" x="1298"/>
        <item m="1" x="2119"/>
        <item m="1" x="1999"/>
        <item m="1" x="2428"/>
        <item m="1" x="1751"/>
        <item m="1" x="2017"/>
        <item m="1" x="2893"/>
        <item m="1" x="2921"/>
        <item m="1" x="2931"/>
        <item m="1" x="2592"/>
        <item m="1" x="1640"/>
        <item m="1" x="2080"/>
        <item m="1" x="2175"/>
        <item m="1" x="2281"/>
        <item m="1" x="2380"/>
        <item m="1" x="2918"/>
        <item m="1" x="2164"/>
        <item m="1" x="1886"/>
        <item m="1" x="2038"/>
        <item m="1" x="2363"/>
        <item m="1" x="2885"/>
        <item m="1" x="2648"/>
        <item m="1" x="2863"/>
        <item m="1" x="2051"/>
        <item m="1" x="2896"/>
        <item m="1" x="2347"/>
        <item m="1" x="2898"/>
        <item m="1" x="2917"/>
        <item m="1" x="1505"/>
        <item m="1" x="2833"/>
        <item m="1" x="1462"/>
        <item m="1" x="1477"/>
        <item m="1" x="2183"/>
        <item m="1" x="2879"/>
        <item m="1" x="2546"/>
        <item m="1" x="2232"/>
        <item m="1" x="2692"/>
        <item m="1" x="2923"/>
        <item m="1" x="1615"/>
        <item m="1" x="1719"/>
        <item m="1" x="2474"/>
        <item m="1" x="2604"/>
        <item m="1" x="2867"/>
        <item m="1" x="2938"/>
        <item m="1" x="2314"/>
        <item m="1" x="2184"/>
        <item m="1" x="1475"/>
        <item m="1" x="2318"/>
        <item m="1" x="2044"/>
        <item m="1" x="2127"/>
        <item m="1" x="2776"/>
        <item m="1" x="2973"/>
        <item m="1" x="1933"/>
        <item m="1" x="2036"/>
        <item m="1" x="1645"/>
        <item m="1" x="1807"/>
        <item m="1" x="905"/>
        <item m="1" x="1836"/>
        <item m="1" x="1620"/>
        <item m="1" x="2888"/>
        <item m="1" x="2075"/>
        <item m="1" x="2531"/>
        <item m="1" x="2451"/>
        <item m="1" x="2405"/>
        <item m="1" x="1853"/>
        <item m="1" x="1932"/>
        <item m="1" x="2035"/>
        <item m="1" x="2517"/>
        <item m="1" x="2357"/>
        <item m="1" x="2403"/>
        <item m="1" x="2409"/>
        <item m="1" x="2678"/>
        <item m="1" x="2657"/>
        <item m="1" x="2702"/>
        <item m="1" x="2508"/>
        <item m="1" x="1907"/>
        <item m="1" x="2396"/>
        <item m="1" x="1882"/>
        <item m="1" x="1978"/>
        <item m="1" x="2082"/>
        <item m="1" x="2140"/>
        <item m="1" x="1767"/>
        <item m="1" x="2188"/>
        <item m="1" x="1454"/>
        <item m="1" x="2510"/>
        <item m="1" x="2591"/>
        <item m="1" x="2392"/>
        <item m="1" x="436"/>
        <item m="1" x="2246"/>
        <item m="1" x="2491"/>
        <item m="1" x="2304"/>
        <item m="1" x="2527"/>
        <item m="1" x="2718"/>
        <item m="1" x="2523"/>
        <item m="1" x="1741"/>
        <item m="1" x="2757"/>
        <item m="1" x="2023"/>
        <item m="1" x="1708"/>
        <item m="1" x="1684"/>
        <item m="1" x="2853"/>
        <item m="1" x="1459"/>
        <item m="1" x="1817"/>
        <item m="1" x="1875"/>
        <item m="1" x="1658"/>
        <item m="1" x="1642"/>
        <item m="1" x="2816"/>
        <item m="1" x="2343"/>
        <item m="1" x="1899"/>
        <item m="1" x="1702"/>
        <item m="1" x="1923"/>
        <item m="1" x="2170"/>
        <item m="1" x="1798"/>
        <item m="1" x="1871"/>
        <item m="1" x="2115"/>
        <item m="1" x="2450"/>
        <item m="1" x="1655"/>
        <item m="1" x="2687"/>
        <item m="1" x="1601"/>
        <item m="1" x="2971"/>
        <item m="1" x="1672"/>
        <item m="1" x="1845"/>
        <item m="1" x="1848"/>
        <item m="1" x="2445"/>
        <item m="1" x="1607"/>
        <item m="1" x="1391"/>
        <item m="1" x="1587"/>
        <item m="1" x="2738"/>
        <item m="1" x="2431"/>
        <item m="1" x="1586"/>
        <item m="1" x="2919"/>
        <item m="1" x="1600"/>
        <item m="1" x="2239"/>
        <item m="1" x="387"/>
        <item m="1" x="1613"/>
        <item m="1" x="2746"/>
        <item m="1" x="2310"/>
        <item m="1" x="2375"/>
        <item m="1" x="2101"/>
        <item m="1" x="1461"/>
        <item m="1" x="3011"/>
        <item m="1" x="2224"/>
        <item m="1" x="2124"/>
        <item m="1" x="1590"/>
        <item m="1" x="2533"/>
        <item m="1" x="2838"/>
        <item m="1" x="2994"/>
        <item m="1" x="1769"/>
        <item m="1" x="1803"/>
        <item m="1" x="2013"/>
        <item m="1" x="1047"/>
        <item m="1" x="1511"/>
        <item x="171"/>
        <item m="1" x="3003"/>
        <item m="1" x="1991"/>
        <item m="1" x="3010"/>
        <item m="1" x="2408"/>
        <item m="1" x="1599"/>
        <item m="1" x="2228"/>
        <item m="1" x="2597"/>
        <item m="1" x="2979"/>
        <item m="1" x="2514"/>
        <item m="1" x="1843"/>
        <item m="1" x="1995"/>
        <item m="1" x="1526"/>
        <item m="1" x="1623"/>
        <item m="1" x="1825"/>
        <item m="1" x="2440"/>
        <item m="1" x="321"/>
        <item m="1" x="1665"/>
        <item m="1" x="2093"/>
        <item m="1" x="1636"/>
        <item m="1" x="2378"/>
        <item m="1" x="1522"/>
        <item m="1" x="1596"/>
        <item m="1" x="2493"/>
        <item m="1" x="2394"/>
        <item m="1" x="2014"/>
        <item m="1" x="859"/>
        <item m="1" x="1657"/>
        <item m="1" x="460"/>
        <item m="1" x="1285"/>
        <item m="1" x="506"/>
        <item m="1" x="1818"/>
        <item m="1" x="2660"/>
        <item m="1" x="1386"/>
        <item m="1" x="2992"/>
        <item m="1" x="1463"/>
        <item m="1" x="1688"/>
        <item m="1" x="2950"/>
        <item m="1" x="1564"/>
        <item m="1" x="1518"/>
        <item m="1" x="1525"/>
        <item m="1" x="1491"/>
        <item m="1" x="1568"/>
        <item m="1" x="2634"/>
        <item m="1" x="2967"/>
        <item m="1" x="1559"/>
        <item m="1" x="2872"/>
        <item m="1" x="2548"/>
        <item m="1" x="2110"/>
        <item m="1" x="2376"/>
        <item m="1" x="2009"/>
        <item m="1" x="1691"/>
        <item m="1" x="2074"/>
        <item m="1" x="2480"/>
        <item x="30"/>
        <item m="1" x="1548"/>
        <item m="1" x="2063"/>
        <item m="1" x="2740"/>
        <item m="1" x="2537"/>
        <item x="215"/>
        <item m="1" x="1883"/>
        <item m="1" x="1715"/>
        <item x="178"/>
        <item m="1" x="3007"/>
        <item m="1" x="1635"/>
        <item m="1" x="1954"/>
        <item m="1" x="889"/>
        <item m="1" x="1827"/>
        <item m="1" x="1958"/>
        <item m="1" x="1618"/>
        <item m="1" x="1664"/>
        <item m="1" x="1448"/>
        <item m="1" x="1690"/>
        <item m="1" x="1746"/>
        <item m="1" x="2358"/>
        <item m="1" x="1800"/>
        <item m="1" x="1713"/>
        <item m="1" x="2384"/>
        <item m="1" x="2154"/>
        <item m="1" x="1569"/>
        <item m="1" x="1437"/>
        <item m="1" x="1753"/>
        <item m="1" x="3018"/>
        <item m="1" x="2806"/>
        <item m="1" x="1856"/>
        <item m="1" x="1424"/>
        <item m="1" x="2076"/>
        <item m="1" x="2608"/>
        <item m="1" x="2201"/>
        <item m="1" x="2258"/>
        <item m="1" x="2595"/>
        <item m="1" x="2218"/>
        <item m="1" x="2455"/>
        <item m="1" x="2662"/>
        <item m="1" x="1841"/>
        <item m="1" x="2980"/>
        <item m="1" x="2773"/>
        <item m="1" x="3019"/>
        <item m="1" x="2794"/>
        <item m="1" x="2561"/>
        <item m="1" x="2114"/>
        <item m="1" x="2585"/>
        <item m="1" x="2234"/>
        <item m="1" x="2717"/>
        <item m="1" x="2685"/>
        <item m="1" x="2321"/>
        <item m="1" x="658"/>
        <item m="1" x="1780"/>
        <item m="1" x="1510"/>
        <item m="1" x="2570"/>
        <item m="1" x="2673"/>
        <item m="1" x="2849"/>
        <item m="1" x="2427"/>
        <item m="1" x="2189"/>
        <item m="1" x="2562"/>
        <item m="1" x="2724"/>
        <item m="1" x="2701"/>
        <item m="1" x="2705"/>
        <item m="1" x="2617"/>
        <item m="1" x="2713"/>
        <item m="1" x="1801"/>
        <item m="1" x="2786"/>
        <item m="1" x="2983"/>
        <item m="1" x="1859"/>
        <item m="1" x="2714"/>
        <item m="1" x="1934"/>
        <item m="1" x="1509"/>
        <item m="1" x="1732"/>
        <item m="1" x="2573"/>
        <item m="1" x="1464"/>
        <item m="1" x="2726"/>
        <item m="1" x="1912"/>
        <item m="1" x="1389"/>
        <item m="1" x="332"/>
        <item m="1" x="2287"/>
        <item m="1" x="2720"/>
        <item m="1" x="2265"/>
        <item m="1" x="2306"/>
        <item m="1" x="1152"/>
        <item m="1" x="1960"/>
        <item m="1" x="2326"/>
        <item m="1" x="1055"/>
        <item m="1" x="2688"/>
        <item m="1" x="1056"/>
        <item m="1" x="2832"/>
        <item m="1" x="1057"/>
        <item m="1" x="2805"/>
        <item m="1" x="2903"/>
        <item m="1" x="1431"/>
        <item m="1" x="1416"/>
        <item m="1" x="1896"/>
        <item m="1" x="275"/>
        <item m="1" x="1908"/>
        <item m="1" x="2315"/>
        <item m="1" x="2675"/>
        <item m="1" x="1852"/>
        <item m="1" x="2300"/>
        <item m="1" x="1423"/>
        <item m="1" x="2291"/>
        <item m="1" x="1909"/>
        <item m="1" x="1643"/>
        <item m="1" x="1938"/>
        <item m="1" x="1787"/>
        <item m="1" x="1967"/>
        <item m="1" x="2886"/>
        <item m="1" x="1572"/>
        <item m="1" x="2387"/>
        <item m="1" x="1622"/>
        <item m="1" x="1595"/>
        <item m="1" x="1990"/>
        <item m="1" x="2982"/>
        <item m="1" x="2381"/>
        <item m="1" x="2045"/>
        <item m="1" x="2248"/>
        <item m="1" x="2349"/>
        <item m="1" x="1804"/>
        <item x="28"/>
        <item m="1" x="2237"/>
        <item m="1" x="861"/>
        <item m="1" x="2227"/>
        <item m="1" x="1972"/>
        <item m="1" x="930"/>
        <item m="1" x="2259"/>
        <item m="1" x="1638"/>
        <item m="1" x="2423"/>
        <item m="1" x="3013"/>
        <item m="1" x="2285"/>
        <item m="1" x="1107"/>
        <item m="1" x="1840"/>
        <item m="1" x="1563"/>
        <item m="1" x="2656"/>
        <item m="1" x="1440"/>
        <item m="1" x="2123"/>
        <item m="1" x="2173"/>
        <item m="1" x="2877"/>
        <item m="1" x="2083"/>
        <item m="1" x="2041"/>
        <item m="1" x="2355"/>
        <item m="1" x="2797"/>
        <item m="1" x="976"/>
        <item m="1" x="2370"/>
        <item m="1" x="2535"/>
        <item m="1" x="2482"/>
        <item m="1" x="1523"/>
        <item m="1" x="2804"/>
        <item m="1" x="1048"/>
        <item m="1" x="1576"/>
        <item m="1" x="2195"/>
        <item m="1" x="1508"/>
        <item m="1" x="2935"/>
        <item m="1" x="458"/>
        <item m="1" x="1611"/>
        <item m="1" x="2400"/>
        <item m="1" x="2346"/>
        <item m="1" x="782"/>
        <item m="1" x="2758"/>
        <item m="1" x="1941"/>
        <item m="1" x="2379"/>
        <item m="1" x="2783"/>
        <item m="1" x="1554"/>
        <item m="1" x="2789"/>
        <item m="1" x="2087"/>
        <item m="1" x="2303"/>
        <item m="1" x="2749"/>
        <item x="0"/>
        <item m="1" x="2141"/>
        <item m="1" x="2372"/>
        <item m="1" x="1895"/>
        <item m="1" x="1939"/>
        <item m="1" x="2553"/>
        <item m="1" x="1679"/>
        <item m="1" x="1831"/>
        <item m="1" x="1701"/>
        <item m="1" x="2534"/>
        <item m="1" x="2674"/>
        <item m="1" x="1452"/>
        <item m="1" x="1700"/>
        <item m="1" x="1757"/>
        <item m="1" x="1784"/>
        <item m="1" x="2906"/>
        <item m="1" x="2767"/>
        <item m="1" x="2697"/>
        <item m="1" x="1893"/>
        <item m="1" x="1874"/>
        <item m="1" x="1392"/>
        <item m="1" x="2061"/>
        <item m="1" x="1830"/>
        <item m="1" x="1860"/>
        <item m="1" x="1650"/>
        <item m="1" x="2069"/>
        <item m="1" x="2862"/>
        <item m="1" x="1429"/>
        <item x="111"/>
        <item m="1" x="1776"/>
        <item m="1" x="1903"/>
        <item m="1" x="2352"/>
        <item m="1" x="1881"/>
        <item m="1" x="1393"/>
        <item m="1" x="2411"/>
        <item m="1" x="2499"/>
        <item m="1" x="2698"/>
        <item m="1" x="2279"/>
        <item m="1" x="2421"/>
        <item m="1" x="2519"/>
        <item m="1" x="2312"/>
        <item m="1" x="2836"/>
        <item m="1" x="2629"/>
        <item m="1" x="3016"/>
        <item m="1" x="2544"/>
        <item m="1" x="2136"/>
        <item m="1" x="2298"/>
        <item m="1" x="2182"/>
        <item m="1" x="2242"/>
        <item m="1" x="1689"/>
        <item m="1" x="1485"/>
        <item m="1" x="2270"/>
        <item m="1" x="1551"/>
        <item m="1" x="490"/>
        <item m="1" x="1667"/>
        <item m="1" x="2077"/>
        <item m="1" x="2362"/>
        <item m="1" x="2607"/>
        <item m="1" x="1433"/>
        <item m="1" x="1686"/>
        <item m="1" x="1704"/>
        <item m="1" x="2539"/>
        <item m="1" x="2563"/>
        <item m="1" x="1457"/>
        <item m="1" x="2113"/>
        <item m="1" x="2070"/>
        <item m="1" x="2525"/>
        <item m="1" x="2419"/>
        <item m="1" x="1916"/>
        <item m="1" x="2830"/>
        <item m="1" x="1829"/>
        <item m="1" x="1832"/>
        <item m="1" x="2839"/>
        <item m="1" x="2754"/>
        <item m="1" x="2286"/>
        <item m="1" x="1794"/>
        <item m="1" x="2483"/>
        <item m="1" x="1413"/>
        <item m="1" x="2280"/>
        <item m="1" x="271"/>
        <item m="1" x="2256"/>
        <item m="1" x="2939"/>
        <item m="1" x="793"/>
        <item m="1" x="1765"/>
        <item m="1" x="2914"/>
        <item m="1" x="2046"/>
        <item m="1" x="1501"/>
        <item m="1" x="2727"/>
        <item m="1" x="2560"/>
        <item m="1" x="3001"/>
        <item m="1" x="2827"/>
        <item m="1" x="2467"/>
        <item m="1" x="2763"/>
        <item m="1" x="1528"/>
        <item m="1" x="1674"/>
        <item m="1" x="2006"/>
        <item m="1" x="2386"/>
        <item m="1" x="2584"/>
        <item m="1" x="2351"/>
        <item m="1" x="1608"/>
        <item m="1" x="1728"/>
        <item m="1" x="2345"/>
        <item m="1" x="1770"/>
        <item m="1" x="1594"/>
        <item m="1" x="2166"/>
        <item m="1" x="1781"/>
        <item m="1" x="2272"/>
        <item m="1" x="1915"/>
        <item m="1" x="1531"/>
        <item m="1" x="1573"/>
        <item m="1" x="1480"/>
        <item m="1" x="2741"/>
        <item m="1" x="1444"/>
        <item m="1" x="2829"/>
        <item m="1" x="2744"/>
        <item m="1" x="1547"/>
        <item m="1" x="1637"/>
        <item m="1" x="2367"/>
        <item m="1" x="1566"/>
        <item m="1" x="2669"/>
        <item m="1" x="2169"/>
        <item m="1" x="2655"/>
        <item m="1" x="2968"/>
        <item m="1" x="1506"/>
        <item m="1" x="1421"/>
        <item m="1" x="2415"/>
        <item m="1" x="3005"/>
        <item m="1" x="1484"/>
        <item m="1" x="1984"/>
        <item m="1" x="857"/>
        <item m="1" x="1660"/>
        <item m="1" x="2320"/>
        <item m="1" x="2792"/>
        <item m="1" x="2609"/>
        <item m="1" x="1971"/>
        <item m="1" x="1714"/>
        <item m="1" x="2892"/>
        <item m="1" x="2515"/>
        <item m="1" x="1446"/>
        <item m="1" x="2178"/>
        <item m="1" x="2088"/>
        <item m="1" x="1819"/>
        <item m="1" x="1316"/>
        <item m="1" x="1034"/>
        <item m="1" x="2633"/>
        <item m="1" x="2752"/>
        <item m="1" x="2081"/>
        <item m="1" x="1546"/>
        <item m="1" x="2985"/>
        <item m="1" x="1395"/>
        <item m="1" x="2933"/>
        <item m="1" x="1687"/>
        <item m="1" x="1394"/>
        <item m="1" x="2987"/>
        <item m="1" x="1420"/>
        <item m="1" x="2118"/>
        <item m="1" x="2186"/>
        <item m="1" x="1519"/>
        <item m="1" x="1725"/>
        <item m="1" x="2073"/>
        <item m="1" x="1439"/>
        <item m="1" x="1772"/>
        <item m="1" x="1973"/>
        <item m="1" x="2779"/>
        <item m="1" x="1315"/>
        <item m="1" x="1810"/>
        <item m="1" x="2654"/>
        <item m="1" x="1712"/>
        <item m="1" x="1763"/>
        <item m="1" x="2084"/>
        <item m="1" x="2652"/>
        <item m="1" x="2139"/>
        <item m="1" x="2743"/>
        <item m="1" x="2598"/>
        <item m="1" x="1675"/>
        <item m="1" x="1396"/>
        <item m="1" x="1793"/>
        <item m="1" x="1873"/>
        <item m="1" x="2328"/>
        <item m="1" x="1419"/>
        <item m="1" x="2626"/>
        <item m="1" x="2578"/>
        <item m="1" x="1922"/>
        <item m="1" x="1766"/>
        <item m="1" x="1816"/>
        <item m="1" x="2390"/>
        <item m="1" x="2799"/>
        <item m="1" x="816"/>
        <item m="1" x="2972"/>
        <item m="1" x="2691"/>
        <item m="1" x="2870"/>
        <item m="1" x="2489"/>
        <item m="1" x="2593"/>
        <item m="1" x="1808"/>
        <item m="1" x="1890"/>
        <item m="1" x="1790"/>
        <item m="1" x="1820"/>
        <item m="1" x="1835"/>
        <item m="1" x="1847"/>
        <item m="1" x="1878"/>
        <item m="1" x="1863"/>
        <item m="1" x="1441"/>
        <item m="1" x="2882"/>
        <item m="1" x="2545"/>
        <item m="1" x="2458"/>
        <item m="1" x="1987"/>
        <item m="1" x="2486"/>
        <item m="1" x="2647"/>
        <item m="1" x="2631"/>
        <item m="1" x="3006"/>
        <item m="1" x="2641"/>
        <item m="1" x="2651"/>
        <item m="1" x="2796"/>
        <item m="1" x="2781"/>
        <item m="1" x="2389"/>
        <item m="1" x="2616"/>
        <item m="1" x="2624"/>
        <item m="1" x="1430"/>
        <item m="1" x="492"/>
        <item m="1" x="2033"/>
        <item m="1" x="1913"/>
        <item m="1" x="2590"/>
        <item m="1" x="2748"/>
        <item m="1" x="697"/>
        <item m="1" x="2643"/>
        <item m="1" x="2433"/>
        <item m="1" x="2815"/>
        <item m="1" x="2612"/>
        <item m="1" x="1718"/>
        <item m="1" x="1512"/>
        <item m="1" x="1773"/>
        <item m="1" x="2117"/>
        <item m="1" x="2031"/>
        <item m="1" x="1318"/>
        <item m="1" x="2313"/>
        <item m="1" x="2619"/>
        <item m="1" x="2299"/>
        <item m="1" x="2960"/>
        <item m="1" x="2837"/>
        <item m="1" x="2305"/>
        <item m="1" x="1504"/>
        <item m="1" x="1872"/>
        <item m="1" x="2226"/>
        <item m="1" x="2926"/>
        <item m="1" x="2739"/>
        <item m="1" x="2271"/>
        <item m="1" x="1821"/>
        <item m="1" x="2144"/>
        <item m="1" x="1425"/>
        <item m="1" x="2309"/>
        <item m="1" x="2677"/>
        <item m="1" x="2966"/>
        <item m="1" x="1854"/>
        <item m="1" x="2956"/>
        <item m="1" x="1942"/>
        <item m="1" x="1422"/>
        <item m="1" x="2449"/>
        <item m="1" x="1754"/>
        <item m="1" x="1317"/>
        <item m="1" x="2645"/>
        <item m="1" x="916"/>
        <item m="1" x="1597"/>
        <item m="1" x="2338"/>
        <item m="1" x="2332"/>
        <item m="1" x="2153"/>
        <item m="1" x="1058"/>
        <item m="1" x="304"/>
        <item m="1" x="1867"/>
        <item m="1" x="854"/>
        <item m="1" x="689"/>
        <item m="1" x="2947"/>
        <item m="1" x="1319"/>
        <item m="1" x="2098"/>
        <item m="1" x="437"/>
        <item m="1" x="2103"/>
        <item m="1" x="1061"/>
        <item m="1" x="2192"/>
        <item m="1" x="1486"/>
        <item m="1" x="1059"/>
        <item m="1" x="1060"/>
        <item m="1" x="2048"/>
        <item m="1" x="2995"/>
        <item m="1" x="2742"/>
        <item m="1" x="1397"/>
        <item m="1" x="1703"/>
        <item m="1" x="2000"/>
        <item m="1" x="2097"/>
        <item m="1" x="432"/>
        <item m="1" x="2435"/>
        <item m="1" x="1911"/>
        <item m="1" x="1956"/>
        <item m="1" x="2774"/>
        <item m="1" x="1929"/>
        <item m="1" x="1858"/>
        <item m="1" x="434"/>
        <item m="1" x="2180"/>
        <item m="1" x="2722"/>
        <item m="1" x="2366"/>
        <item m="1" x="1833"/>
        <item m="1" x="1777"/>
        <item x="11"/>
        <item m="1" x="1476"/>
        <item m="1" x="2360"/>
        <item m="1" x="1802"/>
        <item m="1" x="2040"/>
        <item m="1" x="1906"/>
        <item m="1" x="627"/>
        <item m="1" x="2961"/>
        <item m="1" x="2407"/>
        <item m="1" x="1062"/>
        <item m="1" x="2240"/>
        <item m="1" x="2296"/>
        <item m="1" x="2197"/>
        <item m="1" x="1806"/>
        <item m="1" x="1555"/>
        <item m="1" x="2957"/>
        <item m="1" x="433"/>
        <item m="1" x="1321"/>
        <item m="1" x="1598"/>
        <item m="1" x="2146"/>
        <item m="1" x="1438"/>
        <item m="1" x="1524"/>
        <item m="1" x="1465"/>
        <item m="1" x="1721"/>
        <item m="1" x="1924"/>
        <item m="1" x="1426"/>
        <item m="1" x="1747"/>
        <item m="1" x="3020"/>
        <item m="1" x="1621"/>
        <item m="1" x="2998"/>
        <item m="1" x="2334"/>
        <item m="1" x="1628"/>
        <item m="1" x="2927"/>
        <item m="1" x="1696"/>
        <item m="1" x="1775"/>
        <item m="1" x="1320"/>
        <item m="1" x="2174"/>
        <item m="1" x="1673"/>
        <item m="1" x="1641"/>
        <item m="1" x="2728"/>
        <item m="1" x="2791"/>
        <item m="1" x="2611"/>
        <item m="1" x="2948"/>
        <item m="1" x="1565"/>
        <item m="1" x="2756"/>
        <item m="1" x="2772"/>
        <item m="1" x="2828"/>
        <item m="1" x="2568"/>
        <item m="1" x="2795"/>
        <item m="1" x="1726"/>
        <item m="1" x="1417"/>
        <item m="1" x="2032"/>
        <item m="1" x="2249"/>
        <item m="1" x="1322"/>
        <item m="1" x="2895"/>
        <item m="1" x="2949"/>
        <item x="95"/>
        <item m="1" x="2536"/>
        <item m="1" x="2181"/>
        <item m="1" x="2751"/>
        <item m="1" x="2868"/>
        <item m="1" x="543"/>
        <item m="1" x="2462"/>
        <item m="1" x="2666"/>
        <item m="1" x="3000"/>
        <item m="1" x="2690"/>
        <item m="1" x="2771"/>
        <item m="1" x="1846"/>
        <item m="1" x="2191"/>
        <item m="1" x="2484"/>
        <item m="1" x="2681"/>
        <item m="1" x="2266"/>
        <item m="1" x="2808"/>
        <item m="1" x="2262"/>
        <item m="1" x="483"/>
        <item m="1" x="1733"/>
        <item m="1" x="1323"/>
        <item m="1" x="2050"/>
        <item m="1" x="2504"/>
        <item m="1" x="2880"/>
        <item m="1" x="2105"/>
        <item m="1" x="1771"/>
        <item m="1" x="2564"/>
        <item m="1" x="2066"/>
        <item m="1" x="1482"/>
        <item m="1" x="1592"/>
        <item m="1" x="2511"/>
        <item m="1" x="2812"/>
        <item m="1" x="1952"/>
        <item m="1" x="2399"/>
        <item m="1" x="2056"/>
        <item m="1" x="1432"/>
        <item m="1" x="663"/>
        <item m="1" x="2317"/>
        <item m="1" x="1579"/>
        <item m="1" x="2623"/>
        <item m="1" x="1737"/>
        <item m="1" x="1521"/>
        <item m="1" x="2513"/>
        <item m="1" x="2710"/>
        <item m="1" x="2442"/>
        <item m="1" x="1065"/>
        <item m="1" x="1066"/>
        <item m="1" x="2156"/>
        <item m="1" x="2129"/>
        <item m="1" x="1063"/>
        <item m="1" x="2282"/>
        <item m="1" x="1069"/>
        <item m="1" x="1072"/>
        <item m="1" x="2100"/>
        <item m="1" x="2104"/>
        <item m="1" x="2177"/>
        <item m="1" x="1067"/>
        <item m="1" x="2029"/>
        <item m="1" x="1472"/>
        <item m="1" x="1734"/>
        <item m="1" x="1631"/>
        <item m="1" x="1064"/>
        <item m="1" x="2422"/>
        <item m="1" x="2131"/>
        <item m="1" x="2053"/>
        <item m="1" x="2238"/>
        <item m="1" x="2251"/>
        <item m="1" x="1071"/>
        <item m="1" x="2257"/>
        <item m="1" x="2319"/>
        <item m="1" x="1068"/>
        <item m="1" x="2986"/>
        <item m="1" x="825"/>
        <item m="1" x="2492"/>
        <item m="1" x="2576"/>
        <item m="1" x="330"/>
        <item m="1" x="1070"/>
        <item m="1" x="1813"/>
        <item m="1" x="1975"/>
        <item m="1" x="2002"/>
        <item m="1" x="1758"/>
        <item m="1" x="1904"/>
        <item m="1" x="2330"/>
        <item m="1" x="1740"/>
        <item m="1" x="2001"/>
        <item m="1" x="2341"/>
        <item m="1" x="1849"/>
        <item m="1" x="2969"/>
        <item m="1" x="1937"/>
        <item m="1" x="2700"/>
        <item m="1" x="1074"/>
        <item m="1" x="2054"/>
        <item m="1" x="1717"/>
        <item m="1" x="2288"/>
        <item m="1" x="2058"/>
        <item m="1" x="1799"/>
        <item m="1" x="2107"/>
        <item m="1" x="2308"/>
        <item m="1" x="1838"/>
        <item m="1" x="1727"/>
        <item m="1" x="2478"/>
        <item m="1" x="2507"/>
        <item m="1" x="2159"/>
        <item m="1" x="2900"/>
        <item m="1" x="1483"/>
        <item m="1" x="2277"/>
        <item m="1" x="2385"/>
        <item m="1" x="2412"/>
        <item m="1" x="1792"/>
        <item m="1" x="2264"/>
        <item m="1" x="1905"/>
        <item m="1" x="2650"/>
        <item m="1" x="342"/>
        <item m="1" x="2322"/>
        <item m="1" x="2803"/>
        <item m="1" x="698"/>
        <item m="1" x="2244"/>
        <item m="1" x="2472"/>
        <item m="1" x="2569"/>
        <item m="1" x="867"/>
        <item m="1" x="2457"/>
        <item m="1" x="2790"/>
        <item m="1" x="2416"/>
        <item m="1" x="824"/>
        <item m="1" x="2365"/>
        <item m="1" x="2275"/>
        <item m="1" x="435"/>
        <item m="1" x="2658"/>
        <item m="1" x="699"/>
        <item m="1" x="2214"/>
        <item m="1" x="1669"/>
        <item m="1" x="2028"/>
        <item m="1" x="447"/>
        <item m="1" x="2086"/>
        <item m="1" x="1677"/>
        <item m="1" x="2736"/>
        <item m="1" x="2632"/>
        <item m="1" x="969"/>
        <item m="1" x="2649"/>
        <item m="1" x="2842"/>
        <item m="1" x="1888"/>
        <item m="1" x="1951"/>
        <item m="1" x="2689"/>
        <item m="1" x="1943"/>
        <item m="1" x="1662"/>
        <item m="1" x="1709"/>
        <item m="1" x="2204"/>
        <item m="1" x="2672"/>
        <item m="1" x="1944"/>
        <item m="1" x="1864"/>
        <item m="1" x="575"/>
        <item m="1" x="2143"/>
        <item m="1" x="1324"/>
        <item m="1" x="2826"/>
        <item m="1" x="1500"/>
        <item m="1" x="2913"/>
        <item m="1" x="1585"/>
        <item m="1" x="1398"/>
        <item m="1" x="2155"/>
        <item m="1" x="1842"/>
        <item m="1" x="1919"/>
        <item m="1" x="2148"/>
        <item m="1" x="1946"/>
        <item m="1" x="1898"/>
        <item m="1" x="1902"/>
        <item m="1" x="1400"/>
        <item m="1" x="1652"/>
        <item m="1" x="1910"/>
        <item m="1" x="1914"/>
        <item m="1" x="2602"/>
        <item m="1" x="2221"/>
        <item m="1" x="1399"/>
        <item m="1" x="1926"/>
        <item m="1" x="2284"/>
        <item m="1" x="1610"/>
        <item m="1" x="1280"/>
        <item m="1" x="700"/>
        <item m="1" x="1949"/>
        <item m="1" x="431"/>
        <item m="1" x="238"/>
        <item m="1" x="2447"/>
        <item m="1" x="1749"/>
        <item m="1" x="1076"/>
        <item m="1" x="1855"/>
        <item m="1" x="1876"/>
        <item m="1" x="2049"/>
        <item m="1" x="2388"/>
        <item m="1" x="2719"/>
        <item m="1" x="520"/>
        <item m="1" x="2937"/>
        <item m="1" x="701"/>
        <item m="1" x="1401"/>
        <item m="1" x="2015"/>
        <item m="1" x="1986"/>
        <item m="1" x="1402"/>
        <item m="1" x="2869"/>
        <item m="1" x="1077"/>
        <item m="1" x="798"/>
        <item m="1" x="2618"/>
        <item m="1" x="2060"/>
        <item m="1" x="1774"/>
        <item m="1" x="702"/>
        <item m="1" x="1979"/>
        <item x="14"/>
        <item m="1" x="2487"/>
        <item m="1" x="1724"/>
        <item m="1" x="2680"/>
        <item m="1" x="2841"/>
        <item m="1" x="1075"/>
        <item m="1" x="2209"/>
        <item m="1" x="1694"/>
        <item m="1" x="703"/>
        <item m="1" x="2734"/>
        <item m="1" x="656"/>
        <item m="1" x="2079"/>
        <item m="1" x="2138"/>
        <item m="1" x="2883"/>
        <item m="1" x="2942"/>
        <item m="1" x="1473"/>
        <item m="1" x="2294"/>
        <item m="1" x="2109"/>
        <item m="1" x="2603"/>
        <item m="1" x="2222"/>
        <item m="1" x="1496"/>
        <item m="1" x="1326"/>
        <item m="1" x="831"/>
        <item m="1" x="1078"/>
        <item m="1" x="1327"/>
        <item m="1" x="1079"/>
        <item m="1" x="862"/>
        <item m="1" x="1981"/>
        <item m="1" x="2207"/>
        <item m="1" x="704"/>
        <item x="109"/>
        <item m="1" x="2369"/>
        <item m="1" x="2459"/>
        <item m="1" x="2521"/>
        <item m="1" x="2465"/>
        <item m="1" x="1535"/>
        <item m="1" x="1539"/>
        <item m="1" x="1540"/>
        <item m="1" x="1541"/>
        <item m="1" x="1544"/>
        <item m="1" x="1550"/>
        <item m="1" x="1552"/>
        <item m="1" x="1553"/>
        <item m="1" x="1557"/>
        <item m="1" x="1560"/>
        <item m="1" x="1366"/>
        <item m="1" x="1367"/>
        <item m="1" x="1368"/>
        <item m="1" x="1369"/>
        <item m="1" x="1370"/>
        <item m="1" x="1371"/>
        <item m="1" x="1372"/>
        <item m="1" x="1373"/>
        <item m="1" x="1080"/>
        <item m="1" x="1456"/>
        <item m="1" x="1593"/>
        <item m="1" x="2793"/>
        <item m="1" x="2516"/>
        <item m="1" x="2106"/>
        <item m="1" x="2134"/>
        <item m="1" x="2887"/>
        <item m="1" x="3024"/>
        <item m="1" x="2640"/>
        <item m="1" x="2911"/>
        <item m="1" x="1458"/>
        <item m="1" x="2331"/>
        <item m="1" x="2575"/>
        <item m="1" x="2676"/>
        <item m="1" x="1948"/>
        <item m="1" x="1961"/>
        <item m="1" x="657"/>
        <item m="1" x="1238"/>
        <item m="1" x="1988"/>
        <item m="1" x="2661"/>
        <item m="1" x="2824"/>
        <item m="1" x="2963"/>
        <item m="1" x="1764"/>
        <item m="1" x="1403"/>
        <item m="1" x="1880"/>
        <item m="1" x="1936"/>
        <item m="1" x="1533"/>
        <item m="1" x="2095"/>
        <item m="1" x="2730"/>
        <item m="1" x="2788"/>
        <item m="1" x="2818"/>
        <item m="1" x="2861"/>
        <item m="1" x="917"/>
        <item m="1" x="1639"/>
        <item m="1" x="2554"/>
        <item m="1" x="2991"/>
        <item m="1" x="2755"/>
        <item m="1" x="2725"/>
        <item m="1" x="1756"/>
        <item m="1" x="1783"/>
        <item m="1" x="1692"/>
        <item m="1" x="2679"/>
        <item m="1" x="2333"/>
        <item m="1" x="2601"/>
        <item m="1" x="2027"/>
        <item m="1" x="2509"/>
        <item m="1" x="1328"/>
        <item m="1" x="448"/>
        <item m="1" x="1329"/>
        <item x="3"/>
        <item m="1" x="2905"/>
        <item m="1" x="1330"/>
        <item m="1" x="2707"/>
        <item m="1" x="2807"/>
        <item m="1" x="2497"/>
        <item m="1" x="2530"/>
        <item m="1" x="2735"/>
        <item m="1" x="2813"/>
        <item m="1" x="1404"/>
        <item m="1" x="1331"/>
        <item m="1" x="1332"/>
        <item m="1" x="1405"/>
        <item m="1" x="2468"/>
        <item m="1" x="1333"/>
        <item m="1" x="2620"/>
        <item m="1" x="1839"/>
        <item m="1" x="1969"/>
        <item m="1" x="1918"/>
        <item m="1" x="2583"/>
        <item m="1" x="2628"/>
        <item m="1" x="2787"/>
        <item m="1" x="1786"/>
        <item m="1" x="1583"/>
        <item m="1" x="515"/>
        <item m="1" x="887"/>
        <item m="1" x="1113"/>
        <item m="1" x="1286"/>
        <item m="1" x="1019"/>
        <item m="1" x="1897"/>
        <item m="1" x="1250"/>
        <item m="1" x="1414"/>
        <item m="1" x="1287"/>
        <item m="1" x="1288"/>
        <item m="1" x="1289"/>
        <item m="1" x="2111"/>
        <item m="1" x="2137"/>
        <item m="1" x="1290"/>
        <item m="1" x="1760"/>
        <item m="1" x="2120"/>
        <item m="1" x="2065"/>
        <item m="1" x="799"/>
        <item m="1" x="2820"/>
        <item m="1" x="1291"/>
        <item m="1" x="2941"/>
        <item m="1" x="1428"/>
        <item m="1" x="1292"/>
        <item m="1" x="1676"/>
        <item m="1" x="2822"/>
        <item m="1" x="2844"/>
        <item m="1" x="1931"/>
        <item m="1" x="1434"/>
        <item m="1" x="2854"/>
        <item m="1" x="2205"/>
        <item m="1" x="2997"/>
        <item m="1" x="1492"/>
        <item m="1" x="2273"/>
        <item x="234"/>
        <item m="1" x="800"/>
        <item m="1" x="2614"/>
        <item m="1" x="1334"/>
        <item m="1" x="1697"/>
        <item m="1" x="1335"/>
        <item m="1" x="1996"/>
        <item m="1" x="1336"/>
        <item m="1" x="989"/>
        <item m="1" x="1337"/>
        <item m="1" x="1338"/>
        <item m="1" x="1281"/>
        <item m="1" x="1339"/>
        <item m="1" x="1374"/>
        <item m="1" x="1375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2579"/>
        <item m="1" x="2625"/>
        <item m="1" x="2596"/>
        <item m="1" x="439"/>
        <item m="1" x="2932"/>
        <item m="1" x="2473"/>
        <item m="1" x="2488"/>
        <item m="1" x="2176"/>
        <item m="1" x="1340"/>
        <item m="1" x="1406"/>
        <item m="1" x="1407"/>
        <item m="1" x="1408"/>
        <item m="1" x="1409"/>
        <item m="1" x="1410"/>
        <item m="1" x="1293"/>
        <item m="1" x="1411"/>
        <item m="1" x="1262"/>
        <item m="1" x="512"/>
        <item m="1" x="1294"/>
        <item m="1" x="1295"/>
        <item m="1" x="1296"/>
        <item m="1" x="1297"/>
        <item m="1" x="1177"/>
        <item x="7"/>
        <item x="6"/>
        <item m="1" x="1341"/>
        <item m="1" x="1081"/>
        <item m="1" x="1049"/>
        <item m="1" x="1050"/>
        <item m="1" x="323"/>
        <item m="1" x="705"/>
        <item m="1" x="1387"/>
        <item m="1" x="706"/>
        <item m="1" x="1415"/>
        <item m="1" x="316"/>
        <item m="1" x="334"/>
        <item m="1" x="801"/>
        <item m="1" x="1115"/>
        <item m="1" x="1203"/>
        <item m="1" x="1299"/>
        <item m="1" x="1388"/>
        <item m="1" x="1412"/>
        <item m="1" x="1051"/>
        <item m="1" x="1300"/>
        <item m="1" x="1342"/>
        <item m="1" x="1343"/>
        <item m="1" x="707"/>
        <item m="1" x="1251"/>
        <item m="1" x="1344"/>
        <item m="1" x="1345"/>
        <item m="1" x="1346"/>
        <item m="1" x="1347"/>
        <item m="1" x="1348"/>
        <item m="1" x="1082"/>
        <item m="1" x="873"/>
        <item m="1" x="1083"/>
        <item m="1" x="1349"/>
        <item m="1" x="1350"/>
        <item m="1" x="526"/>
        <item m="1" x="1205"/>
        <item m="1" x="239"/>
        <item m="1" x="1351"/>
        <item m="1" x="1352"/>
        <item m="1" x="1353"/>
        <item m="1" x="1206"/>
        <item m="1" x="708"/>
        <item m="1" x="1263"/>
        <item m="1" x="1052"/>
        <item m="1" x="1264"/>
        <item m="1" x="614"/>
        <item m="1" x="616"/>
        <item x="223"/>
        <item m="1" x="1282"/>
        <item m="1" x="1354"/>
        <item m="1" x="1355"/>
        <item m="1" x="828"/>
        <item m="1" x="1301"/>
        <item m="1" x="1084"/>
        <item m="1" x="1265"/>
        <item m="1" x="1356"/>
        <item m="1" x="1358"/>
        <item m="1" x="1359"/>
        <item m="1" x="1360"/>
        <item m="1" x="1361"/>
        <item m="1" x="1362"/>
        <item m="1" x="1363"/>
        <item m="1" x="1302"/>
        <item m="1" x="1303"/>
        <item m="1" x="1304"/>
        <item m="1" x="1266"/>
        <item m="1" x="1305"/>
        <item m="1" x="1306"/>
        <item m="1" x="1307"/>
        <item m="1" x="1308"/>
        <item m="1" x="1243"/>
        <item m="1" x="1244"/>
        <item m="1" x="1207"/>
        <item m="1" x="315"/>
        <item m="1" x="1309"/>
        <item m="1" x="1310"/>
        <item m="1" x="1311"/>
        <item m="1" x="1312"/>
        <item m="1" x="1313"/>
        <item m="1" x="403"/>
        <item m="1" x="1314"/>
        <item m="1" x="1364"/>
        <item m="1" x="1252"/>
        <item m="1" x="1253"/>
        <item m="1" x="536"/>
        <item m="1" x="1267"/>
        <item m="1" x="1208"/>
        <item m="1" x="1209"/>
        <item m="1" x="1365"/>
        <item m="1" x="1390"/>
        <item m="1" x="1283"/>
        <item m="1" x="1284"/>
        <item m="1" x="1210"/>
        <item m="1" x="1211"/>
        <item m="1" x="438"/>
        <item m="1" x="1268"/>
        <item m="1" x="1269"/>
        <item m="1" x="1270"/>
        <item m="1" x="1271"/>
        <item m="1" x="1272"/>
        <item m="1" x="1085"/>
        <item m="1" x="1086"/>
        <item m="1" x="1273"/>
        <item m="1" x="1212"/>
        <item m="1" x="1274"/>
        <item x="160"/>
        <item x="208"/>
        <item m="1" x="240"/>
        <item m="1" x="1275"/>
        <item m="1" x="1213"/>
        <item m="1" x="1246"/>
        <item x="141"/>
        <item m="1" x="688"/>
        <item x="52"/>
        <item m="1" x="1087"/>
        <item m="1" x="1254"/>
        <item m="1" x="319"/>
        <item m="1" x="1088"/>
        <item m="1" x="1276"/>
        <item m="1" x="1214"/>
        <item m="1" x="1255"/>
        <item m="1" x="1020"/>
        <item m="1" x="1277"/>
        <item m="1" x="1215"/>
        <item m="1" x="1278"/>
        <item m="1" x="469"/>
        <item m="1" x="1279"/>
        <item m="1" x="1216"/>
        <item m="1" x="1260"/>
        <item m="1" x="1261"/>
        <item x="4"/>
        <item m="1" x="1217"/>
        <item m="1" x="1089"/>
        <item m="1" x="1090"/>
        <item m="1" x="1091"/>
        <item m="1" x="1124"/>
        <item m="1" x="1125"/>
        <item m="1" x="1256"/>
        <item m="1" x="1257"/>
        <item m="1" x="1258"/>
        <item m="1" x="795"/>
        <item m="1" x="1093"/>
        <item m="1" x="1094"/>
        <item m="1" x="1095"/>
        <item m="1" x="1174"/>
        <item m="1" x="1054"/>
        <item m="1" x="1175"/>
        <item m="1" x="1176"/>
        <item m="1" x="1073"/>
        <item m="1" x="1096"/>
        <item m="1" x="874"/>
        <item m="1" x="1218"/>
        <item m="1" x="1219"/>
        <item m="1" x="1220"/>
        <item m="1" x="1221"/>
        <item m="1" x="1222"/>
        <item m="1" x="1178"/>
        <item m="1" x="280"/>
        <item m="1" x="1223"/>
        <item m="1" x="1224"/>
        <item m="1" x="1225"/>
        <item m="1" x="1126"/>
        <item m="1" x="1247"/>
        <item m="1" x="446"/>
        <item m="1" x="1259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9"/>
        <item m="1" x="1240"/>
        <item m="1" x="1241"/>
        <item m="1" x="1242"/>
        <item m="1" x="1116"/>
        <item m="1" x="1117"/>
        <item m="1" x="1118"/>
        <item m="1" x="1119"/>
        <item m="1" x="1245"/>
        <item m="1" x="1097"/>
        <item m="1" x="1098"/>
        <item m="1" x="1179"/>
        <item m="1" x="1180"/>
        <item x="73"/>
        <item m="1" x="1164"/>
        <item x="162"/>
        <item m="1" x="1248"/>
        <item m="1" x="1249"/>
        <item m="1" x="1226"/>
        <item m="1" x="1099"/>
        <item m="1" x="1181"/>
        <item m="1" x="1127"/>
        <item m="1" x="1182"/>
        <item m="1" x="1183"/>
        <item m="1" x="1227"/>
        <item m="1" x="1100"/>
        <item m="1" x="1014"/>
        <item m="1" x="1184"/>
        <item m="1" x="1185"/>
        <item m="1" x="1201"/>
        <item m="1" x="1101"/>
        <item m="1" x="1102"/>
        <item m="1" x="1103"/>
        <item m="1" x="1186"/>
        <item m="1" x="1187"/>
        <item m="1" x="1188"/>
        <item m="1" x="1189"/>
        <item m="1" x="1190"/>
        <item m="1" x="1143"/>
        <item m="1" x="1144"/>
        <item m="1" x="1145"/>
        <item m="1" x="1146"/>
        <item m="1" x="1128"/>
        <item m="1" x="1104"/>
        <item m="1" x="1191"/>
        <item m="1" x="1129"/>
        <item m="1" x="802"/>
        <item m="1" x="803"/>
        <item m="1" x="1165"/>
        <item m="1" x="1105"/>
        <item m="1" x="1106"/>
        <item m="1" x="1166"/>
        <item m="1" x="1192"/>
        <item m="1" x="1193"/>
        <item m="1" x="1194"/>
        <item m="1" x="1149"/>
        <item m="1" x="1150"/>
        <item m="1" x="1195"/>
        <item m="1" x="237"/>
        <item m="1" x="1196"/>
        <item m="1" x="317"/>
        <item m="1" x="333"/>
        <item m="1" x="1132"/>
        <item x="117"/>
        <item m="1" x="1133"/>
        <item m="1" x="1134"/>
        <item m="1" x="531"/>
        <item m="1" x="532"/>
        <item m="1" x="1135"/>
        <item m="1" x="513"/>
        <item m="1" x="517"/>
        <item m="1" x="1141"/>
        <item x="1"/>
        <item m="1" x="1197"/>
        <item m="1" x="709"/>
        <item m="1" x="1198"/>
        <item m="1" x="1199"/>
        <item m="1" x="626"/>
        <item m="1" x="1167"/>
        <item m="1" x="1168"/>
        <item m="1" x="1200"/>
        <item m="1" x="1136"/>
        <item m="1" x="1137"/>
        <item m="1" x="607"/>
        <item m="1" x="937"/>
        <item m="1" x="938"/>
        <item m="1" x="939"/>
        <item m="1" x="940"/>
        <item m="1" x="941"/>
        <item m="1" x="942"/>
        <item m="1" x="943"/>
        <item m="1" x="314"/>
        <item m="1" x="1053"/>
        <item m="1" x="1169"/>
        <item m="1" x="1151"/>
        <item m="1" x="1173"/>
        <item m="1" x="1108"/>
        <item m="1" x="444"/>
        <item m="1" x="1142"/>
        <item m="1" x="1153"/>
        <item m="1" x="1170"/>
        <item m="1" x="1154"/>
        <item m="1" x="1155"/>
        <item m="1" x="1156"/>
        <item m="1" x="1157"/>
        <item m="1" x="1158"/>
        <item m="1" x="1159"/>
        <item m="1" x="1109"/>
        <item m="1" x="1160"/>
        <item m="1" x="1138"/>
        <item m="1" x="1139"/>
        <item m="1" x="1171"/>
        <item m="1" x="1172"/>
        <item m="1" x="1161"/>
        <item m="1" x="1162"/>
        <item m="1" x="1163"/>
        <item m="1" x="1003"/>
        <item m="1" x="760"/>
        <item m="1" x="1110"/>
        <item m="1" x="1111"/>
        <item m="1" x="1112"/>
        <item m="1" x="1114"/>
        <item m="1" x="1120"/>
        <item m="1" x="1121"/>
        <item m="1" x="1122"/>
        <item m="1" x="1123"/>
        <item m="1" x="1130"/>
        <item m="1" x="1131"/>
        <item m="1" x="1140"/>
        <item x="15"/>
        <item x="5"/>
        <item m="1" x="1041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804"/>
        <item m="1" x="991"/>
        <item m="1" x="805"/>
        <item m="1" x="806"/>
        <item m="1" x="772"/>
        <item m="1" x="710"/>
        <item m="1" x="711"/>
        <item m="1" x="712"/>
        <item m="1" x="713"/>
        <item m="1" x="1031"/>
        <item m="1" x="1032"/>
        <item m="1" x="1033"/>
        <item m="1" x="992"/>
        <item m="1" x="714"/>
        <item m="1" x="1042"/>
        <item m="1" x="1043"/>
        <item m="1" x="944"/>
        <item m="1" x="773"/>
        <item m="1" x="993"/>
        <item m="1" x="1044"/>
        <item m="1" x="1035"/>
        <item m="1" x="430"/>
        <item m="1" x="445"/>
        <item m="1" x="1045"/>
        <item m="1" x="310"/>
        <item m="1" x="1046"/>
        <item m="1" x="318"/>
        <item m="1" x="524"/>
        <item m="1" x="945"/>
        <item m="1" x="820"/>
        <item m="1" x="822"/>
        <item m="1" x="994"/>
        <item m="1" x="918"/>
        <item m="1" x="919"/>
        <item m="1" x="920"/>
        <item m="1" x="921"/>
        <item m="1" x="922"/>
        <item m="1" x="980"/>
        <item m="1" x="1005"/>
        <item m="1" x="1037"/>
        <item m="1" x="995"/>
        <item m="1" x="996"/>
        <item m="1" x="946"/>
        <item m="1" x="997"/>
        <item m="1" x="947"/>
        <item m="1" x="948"/>
        <item m="1" x="1038"/>
        <item x="2"/>
        <item m="1" x="949"/>
        <item m="1" x="1006"/>
        <item m="1" x="527"/>
        <item m="1" x="353"/>
        <item m="1" x="950"/>
        <item m="1" x="998"/>
        <item m="1" x="951"/>
        <item m="1" x="1007"/>
        <item m="1" x="999"/>
        <item m="1" x="1018"/>
        <item m="1" x="1008"/>
        <item m="1" x="1009"/>
        <item m="1" x="1010"/>
        <item m="1" x="1011"/>
        <item m="1" x="659"/>
        <item m="1" x="1012"/>
        <item m="1" x="1016"/>
        <item m="1" x="660"/>
        <item m="1" x="952"/>
        <item m="1" x="716"/>
        <item m="1" x="1017"/>
        <item m="1" x="1039"/>
        <item m="1" x="1040"/>
        <item m="1" x="717"/>
        <item m="1" x="718"/>
        <item m="1" x="719"/>
        <item m="1" x="1013"/>
        <item m="1" x="720"/>
        <item m="1" x="1000"/>
        <item m="1" x="923"/>
        <item m="1" x="924"/>
        <item m="1" x="981"/>
        <item m="1" x="877"/>
        <item m="1" x="1001"/>
        <item m="1" x="807"/>
        <item m="1" x="972"/>
        <item m="1" x="973"/>
        <item x="56"/>
        <item m="1" x="1015"/>
        <item m="1" x="808"/>
        <item m="1" x="241"/>
        <item m="1" x="974"/>
        <item m="1" x="612"/>
        <item m="1" x="953"/>
        <item m="1" x="954"/>
        <item m="1" x="955"/>
        <item m="1" x="956"/>
        <item m="1" x="878"/>
        <item m="1" x="975"/>
        <item m="1" x="523"/>
        <item m="1" x="990"/>
        <item m="1" x="957"/>
        <item x="24"/>
        <item m="1" x="809"/>
        <item m="1" x="958"/>
        <item m="1" x="982"/>
        <item m="1" x="983"/>
        <item m="1" x="984"/>
        <item m="1" x="537"/>
        <item m="1" x="985"/>
        <item m="1" x="838"/>
        <item m="1" x="986"/>
        <item m="1" x="959"/>
        <item m="1" x="925"/>
        <item m="1" x="1004"/>
        <item m="1" x="721"/>
        <item m="1" x="722"/>
        <item m="1" x="926"/>
        <item m="1" x="796"/>
        <item m="1" x="880"/>
        <item m="1" x="620"/>
        <item m="1" x="621"/>
        <item m="1" x="723"/>
        <item m="1" x="977"/>
        <item m="1" x="987"/>
        <item m="1" x="724"/>
        <item m="1" x="324"/>
        <item m="1" x="661"/>
        <item m="1" x="725"/>
        <item m="1" x="960"/>
        <item m="1" x="327"/>
        <item m="1" x="325"/>
        <item m="1" x="326"/>
        <item m="1" x="322"/>
        <item m="1" x="328"/>
        <item m="1" x="662"/>
        <item m="1" x="978"/>
        <item m="1" x="881"/>
        <item m="1" x="811"/>
        <item m="1" x="812"/>
        <item m="1" x="813"/>
        <item m="1" x="814"/>
        <item m="1" x="726"/>
        <item m="1" x="927"/>
        <item m="1" x="815"/>
        <item m="1" x="961"/>
        <item m="1" x="962"/>
        <item m="1" x="988"/>
        <item m="1" x="928"/>
        <item m="1" x="963"/>
        <item m="1" x="964"/>
        <item m="1" x="774"/>
        <item m="1" x="965"/>
        <item m="1" x="979"/>
        <item m="1" x="882"/>
        <item m="1" x="817"/>
        <item m="1" x="929"/>
        <item m="1" x="883"/>
        <item m="1" x="840"/>
        <item m="1" x="818"/>
        <item m="1" x="819"/>
        <item m="1" x="884"/>
        <item m="1" x="821"/>
        <item m="1" x="931"/>
        <item m="1" x="970"/>
        <item m="1" x="971"/>
        <item m="1" x="932"/>
        <item m="1" x="933"/>
        <item m="1" x="934"/>
        <item m="1" x="885"/>
        <item m="1" x="886"/>
        <item m="1" x="966"/>
        <item m="1" x="888"/>
        <item m="1" x="761"/>
        <item m="1" x="967"/>
        <item m="1" x="876"/>
        <item m="1" x="823"/>
        <item m="1" x="540"/>
        <item m="1" x="890"/>
        <item m="1" x="891"/>
        <item m="1" x="935"/>
        <item m="1" x="892"/>
        <item m="1" x="826"/>
        <item m="1" x="827"/>
        <item m="1" x="893"/>
        <item m="1" x="894"/>
        <item m="1" x="264"/>
        <item m="1" x="895"/>
        <item m="1" x="896"/>
        <item m="1" x="897"/>
        <item m="1" x="780"/>
        <item m="1" x="727"/>
        <item m="1" x="601"/>
        <item m="1" x="443"/>
        <item m="1" x="528"/>
        <item m="1" x="349"/>
        <item m="1" x="829"/>
        <item m="1" x="904"/>
        <item x="12"/>
        <item m="1" x="830"/>
        <item x="29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441"/>
        <item m="1" x="832"/>
        <item m="1" x="242"/>
        <item m="1" x="903"/>
        <item m="1" x="833"/>
        <item m="1" x="898"/>
        <item m="1" x="879"/>
        <item m="1" x="501"/>
        <item m="1" x="901"/>
        <item m="1" x="899"/>
        <item m="1" x="900"/>
        <item m="1" x="834"/>
        <item m="1" x="835"/>
        <item m="1" x="622"/>
        <item m="1" x="902"/>
        <item m="1" x="775"/>
        <item m="1" x="836"/>
        <item x="13"/>
        <item m="1" x="244"/>
        <item m="1" x="442"/>
        <item m="1" x="664"/>
        <item m="1" x="665"/>
        <item m="1" x="666"/>
        <item m="1" x="667"/>
        <item m="1" x="776"/>
        <item m="1" x="837"/>
        <item x="22"/>
        <item m="1" x="668"/>
        <item m="1" x="839"/>
        <item m="1" x="440"/>
        <item m="1" x="841"/>
        <item m="1" x="842"/>
        <item x="19"/>
        <item x="20"/>
        <item x="21"/>
        <item m="1" x="843"/>
        <item x="26"/>
        <item m="1" x="844"/>
        <item x="23"/>
        <item m="1" x="845"/>
        <item m="1" x="729"/>
        <item m="1" x="846"/>
        <item m="1" x="847"/>
        <item m="1" x="848"/>
        <item m="1" x="542"/>
        <item x="16"/>
        <item m="1" x="730"/>
        <item m="1" x="851"/>
        <item m="1" x="852"/>
        <item m="1" x="853"/>
        <item m="1" x="855"/>
        <item m="1" x="856"/>
        <item x="27"/>
        <item m="1" x="568"/>
        <item m="1" x="777"/>
        <item m="1" x="402"/>
        <item m="1" x="858"/>
        <item m="1" x="860"/>
        <item m="1" x="863"/>
        <item m="1" x="864"/>
        <item m="1" x="865"/>
        <item m="1" x="586"/>
        <item m="1" x="868"/>
        <item m="1" x="869"/>
        <item m="1" x="783"/>
        <item m="1" x="670"/>
        <item m="1" x="671"/>
        <item m="1" x="672"/>
        <item m="1" x="870"/>
        <item m="1" x="871"/>
        <item m="1" x="872"/>
        <item m="1" x="673"/>
        <item m="1" x="785"/>
        <item m="1" x="786"/>
        <item m="1" x="787"/>
        <item m="1" x="788"/>
        <item m="1" x="789"/>
        <item m="1" x="797"/>
        <item m="1" x="674"/>
        <item m="1" x="675"/>
        <item m="1" x="676"/>
        <item sd="0" m="1" x="677"/>
        <item m="1" x="502"/>
        <item m="1" x="731"/>
        <item m="1" x="732"/>
        <item m="1" x="678"/>
        <item m="1" x="679"/>
        <item m="1" x="680"/>
        <item m="1" x="681"/>
        <item m="1" x="736"/>
        <item m="1" x="331"/>
        <item m="1" x="762"/>
        <item m="1" x="541"/>
        <item x="10"/>
        <item m="1" x="737"/>
        <item m="1" x="738"/>
        <item m="1" x="739"/>
        <item m="1" x="639"/>
        <item m="1" x="640"/>
        <item m="1" x="764"/>
        <item m="1" x="740"/>
        <item m="1" x="741"/>
        <item m="1" x="742"/>
        <item m="1" x="743"/>
        <item m="1" x="744"/>
        <item m="1" x="745"/>
        <item m="1" x="746"/>
        <item m="1" x="765"/>
        <item m="1" x="778"/>
        <item m="1" x="593"/>
        <item m="1" x="465"/>
        <item m="1" x="682"/>
        <item m="1" x="683"/>
        <item m="1" x="747"/>
        <item m="1" x="684"/>
        <item m="1" x="781"/>
        <item m="1" x="790"/>
        <item m="1" x="733"/>
        <item m="1" x="734"/>
        <item m="1" x="735"/>
        <item m="1" x="763"/>
        <item m="1" x="792"/>
        <item x="195"/>
        <item m="1" x="794"/>
        <item m="1" x="641"/>
        <item m="1" x="748"/>
        <item m="1" x="749"/>
        <item m="1" x="538"/>
        <item m="1" x="613"/>
        <item m="1" x="642"/>
        <item m="1" x="243"/>
        <item m="1" x="539"/>
        <item x="17"/>
        <item x="18"/>
        <item m="1" x="329"/>
        <item m="1" x="685"/>
        <item x="119"/>
        <item m="1" x="766"/>
        <item m="1" x="686"/>
        <item m="1" x="779"/>
        <item m="1" x="687"/>
        <item m="1" x="643"/>
        <item m="1" x="750"/>
        <item m="1" x="751"/>
        <item m="1" x="644"/>
        <item m="1" x="752"/>
        <item m="1" x="645"/>
        <item m="1" x="646"/>
        <item m="1" x="647"/>
        <item m="1" x="648"/>
        <item m="1" x="649"/>
        <item x="132"/>
        <item m="1" x="547"/>
        <item m="1" x="767"/>
        <item m="1" x="753"/>
        <item m="1" x="579"/>
        <item m="1" x="754"/>
        <item m="1" x="591"/>
        <item m="1" x="587"/>
        <item x="210"/>
        <item m="1" x="768"/>
        <item m="1" x="769"/>
        <item m="1" x="770"/>
        <item m="1" x="771"/>
        <item m="1" x="454"/>
        <item m="1" x="362"/>
        <item m="1" x="518"/>
        <item m="1" x="514"/>
        <item m="1" x="650"/>
        <item x="133"/>
        <item m="1" x="756"/>
        <item m="1" x="755"/>
        <item m="1" x="690"/>
        <item x="90"/>
        <item m="1" x="570"/>
        <item m="1" x="574"/>
        <item m="1" x="341"/>
        <item m="1" x="336"/>
        <item m="1" x="343"/>
        <item m="1" x="346"/>
        <item m="1" x="651"/>
        <item m="1" x="636"/>
        <item m="1" x="652"/>
        <item m="1" x="757"/>
        <item x="8"/>
        <item m="1" x="758"/>
        <item m="1" x="630"/>
        <item m="1" x="495"/>
        <item m="1" x="759"/>
        <item x="104"/>
        <item x="177"/>
        <item x="207"/>
        <item x="63"/>
        <item m="1" x="691"/>
        <item m="1" x="692"/>
        <item x="220"/>
        <item x="211"/>
        <item x="212"/>
        <item m="1" x="546"/>
        <item m="1" x="577"/>
        <item m="1" x="631"/>
        <item m="1" x="563"/>
        <item m="1" x="589"/>
        <item m="1" x="585"/>
        <item m="1" x="693"/>
        <item m="1" x="551"/>
        <item m="1" x="617"/>
        <item m="1" x="618"/>
        <item m="1" x="619"/>
        <item m="1" x="615"/>
        <item m="1" x="595"/>
        <item m="1" x="653"/>
        <item m="1" x="654"/>
        <item m="1" x="655"/>
        <item m="1" x="694"/>
        <item m="1" x="548"/>
        <item m="1" x="695"/>
        <item m="1" x="632"/>
        <item m="1" x="572"/>
        <item m="1" x="558"/>
        <item m="1" x="637"/>
        <item m="1" x="635"/>
        <item m="1" x="629"/>
        <item m="1" x="347"/>
        <item m="1" x="345"/>
        <item m="1" x="581"/>
        <item m="1" x="584"/>
        <item m="1" x="564"/>
        <item m="1" x="633"/>
        <item x="101"/>
        <item x="102"/>
        <item m="1" x="634"/>
        <item m="1" x="625"/>
        <item x="122"/>
        <item m="1" x="499"/>
        <item m="1" x="582"/>
        <item x="168"/>
        <item m="1" x="550"/>
        <item m="1" x="600"/>
        <item x="218"/>
        <item m="1" x="623"/>
        <item m="1" x="602"/>
        <item m="1" x="596"/>
        <item m="1" x="466"/>
        <item m="1" x="562"/>
        <item x="74"/>
        <item m="1" x="569"/>
        <item m="1" x="571"/>
        <item m="1" x="598"/>
        <item m="1" x="554"/>
        <item m="1" x="549"/>
        <item m="1" x="583"/>
        <item m="1" x="611"/>
        <item m="1" x="628"/>
        <item m="1" x="552"/>
        <item m="1" x="603"/>
        <item m="1" x="605"/>
        <item m="1" x="463"/>
        <item m="1" x="565"/>
        <item m="1" x="609"/>
        <item m="1" x="588"/>
        <item x="213"/>
        <item x="214"/>
        <item m="1" x="559"/>
        <item m="1" x="396"/>
        <item m="1" x="606"/>
        <item m="1" x="576"/>
        <item m="1" x="610"/>
        <item m="1" x="594"/>
        <item x="224"/>
        <item m="1" x="556"/>
        <item m="1" x="557"/>
        <item m="1" x="560"/>
        <item m="1" x="561"/>
        <item m="1" x="339"/>
        <item x="75"/>
        <item m="1" x="544"/>
        <item m="1" x="566"/>
        <item x="92"/>
        <item m="1" x="567"/>
        <item x="94"/>
        <item m="1" x="545"/>
        <item m="1" x="573"/>
        <item m="1" x="578"/>
        <item m="1" x="580"/>
        <item x="153"/>
        <item x="154"/>
        <item x="184"/>
        <item m="1" x="590"/>
        <item m="1" x="553"/>
        <item m="1" x="348"/>
        <item m="1" x="597"/>
        <item m="1" x="599"/>
        <item x="31"/>
        <item m="1" x="449"/>
        <item m="1" x="450"/>
        <item m="1" x="451"/>
        <item x="32"/>
        <item x="33"/>
        <item m="1" x="452"/>
        <item m="1" x="453"/>
        <item x="46"/>
        <item m="1" x="259"/>
        <item x="47"/>
        <item m="1" x="455"/>
        <item m="1" x="456"/>
        <item m="1" x="340"/>
        <item m="1" x="394"/>
        <item m="1" x="354"/>
        <item m="1" x="457"/>
        <item m="1" x="355"/>
        <item m="1" x="459"/>
        <item m="1" x="461"/>
        <item m="1" x="462"/>
        <item m="1" x="464"/>
        <item m="1" x="356"/>
        <item m="1" x="467"/>
        <item m="1" x="468"/>
        <item m="1" x="357"/>
        <item m="1" x="470"/>
        <item m="1" x="358"/>
        <item m="1" x="471"/>
        <item m="1" x="472"/>
        <item m="1" x="473"/>
        <item m="1" x="359"/>
        <item m="1" x="475"/>
        <item m="1" x="476"/>
        <item x="91"/>
        <item x="93"/>
        <item m="1" x="477"/>
        <item x="96"/>
        <item m="1" x="478"/>
        <item m="1" x="479"/>
        <item m="1" x="480"/>
        <item x="105"/>
        <item m="1" x="404"/>
        <item m="1" x="481"/>
        <item x="106"/>
        <item m="1" x="482"/>
        <item x="108"/>
        <item m="1" x="484"/>
        <item x="113"/>
        <item m="1" x="407"/>
        <item m="1" x="408"/>
        <item m="1" x="485"/>
        <item x="118"/>
        <item x="120"/>
        <item m="1" x="486"/>
        <item m="1" x="487"/>
        <item m="1" x="489"/>
        <item m="1" x="363"/>
        <item x="127"/>
        <item x="128"/>
        <item m="1" x="491"/>
        <item m="1" x="493"/>
        <item m="1" x="494"/>
        <item x="136"/>
        <item m="1" x="496"/>
        <item m="1" x="364"/>
        <item m="1" x="497"/>
        <item m="1" x="498"/>
        <item m="1" x="500"/>
        <item m="1" x="503"/>
        <item m="1" x="504"/>
        <item m="1" x="365"/>
        <item m="1" x="367"/>
        <item m="1" x="505"/>
        <item m="1" x="507"/>
        <item m="1" x="508"/>
        <item m="1" x="509"/>
        <item m="1" x="510"/>
        <item m="1" x="369"/>
        <item m="1" x="370"/>
        <item m="1" x="511"/>
        <item x="173"/>
        <item x="194"/>
        <item m="1" x="377"/>
        <item m="1" x="384"/>
        <item x="206"/>
        <item m="1" x="516"/>
        <item m="1" x="519"/>
        <item x="209"/>
        <item m="1" x="521"/>
        <item m="1" x="522"/>
        <item m="1" x="385"/>
        <item m="1" x="311"/>
        <item m="1" x="529"/>
        <item x="217"/>
        <item m="1" x="530"/>
        <item m="1" x="533"/>
        <item m="1" x="534"/>
        <item m="1" x="388"/>
        <item m="1" x="427"/>
        <item m="1" x="350"/>
        <item m="1" x="393"/>
        <item m="1" x="351"/>
        <item m="1" x="395"/>
        <item m="1" x="352"/>
        <item m="1" x="397"/>
        <item m="1" x="398"/>
        <item m="1" x="399"/>
        <item x="76"/>
        <item x="77"/>
        <item x="78"/>
        <item m="1" x="400"/>
        <item m="1" x="401"/>
        <item m="1" x="360"/>
        <item m="1" x="405"/>
        <item x="129"/>
        <item m="1" x="409"/>
        <item x="130"/>
        <item x="134"/>
        <item m="1" x="410"/>
        <item m="1" x="411"/>
        <item m="1" x="412"/>
        <item m="1" x="413"/>
        <item m="1" x="414"/>
        <item x="143"/>
        <item x="148"/>
        <item m="1" x="415"/>
        <item x="150"/>
        <item x="163"/>
        <item m="1" x="416"/>
        <item m="1" x="417"/>
        <item x="164"/>
        <item x="170"/>
        <item m="1" x="418"/>
        <item m="1" x="419"/>
        <item x="181"/>
        <item m="1" x="372"/>
        <item m="1" x="420"/>
        <item m="1" x="373"/>
        <item m="1" x="421"/>
        <item x="191"/>
        <item m="1" x="376"/>
        <item m="1" x="422"/>
        <item m="1" x="423"/>
        <item m="1" x="380"/>
        <item m="1" x="424"/>
        <item m="1" x="382"/>
        <item m="1" x="383"/>
        <item x="205"/>
        <item m="1" x="425"/>
        <item m="1" x="426"/>
        <item m="1" x="386"/>
        <item m="1" x="389"/>
        <item m="1" x="390"/>
        <item m="1" x="428"/>
        <item m="1" x="391"/>
        <item x="232"/>
        <item m="1" x="392"/>
        <item x="34"/>
        <item m="1" x="265"/>
        <item x="81"/>
        <item x="88"/>
        <item x="97"/>
        <item x="99"/>
        <item m="1" x="361"/>
        <item m="1" x="366"/>
        <item x="149"/>
        <item x="151"/>
        <item m="1" x="368"/>
        <item x="155"/>
        <item m="1" x="371"/>
        <item x="172"/>
        <item x="174"/>
        <item x="185"/>
        <item m="1" x="374"/>
        <item m="1" x="375"/>
        <item m="1" x="379"/>
        <item m="1" x="381"/>
        <item x="35"/>
        <item m="1" x="335"/>
        <item x="36"/>
        <item x="39"/>
        <item x="40"/>
        <item x="41"/>
        <item m="1" x="253"/>
        <item m="1" x="337"/>
        <item x="57"/>
        <item x="62"/>
        <item x="80"/>
        <item x="82"/>
        <item x="83"/>
        <item x="98"/>
        <item x="110"/>
        <item x="121"/>
        <item x="123"/>
        <item x="124"/>
        <item m="1" x="289"/>
        <item x="137"/>
        <item m="1" x="293"/>
        <item m="1" x="294"/>
        <item x="145"/>
        <item x="146"/>
        <item x="152"/>
        <item x="156"/>
        <item x="161"/>
        <item x="165"/>
        <item x="166"/>
        <item x="169"/>
        <item m="1" x="299"/>
        <item m="1" x="300"/>
        <item x="179"/>
        <item x="182"/>
        <item x="186"/>
        <item x="187"/>
        <item x="188"/>
        <item m="1" x="344"/>
        <item x="197"/>
        <item x="201"/>
        <item x="216"/>
        <item x="221"/>
        <item x="222"/>
        <item x="225"/>
        <item m="1" x="245"/>
        <item x="37"/>
        <item m="1" x="246"/>
        <item x="38"/>
        <item m="1" x="247"/>
        <item m="1" x="248"/>
        <item m="1" x="249"/>
        <item m="1" x="250"/>
        <item m="1" x="251"/>
        <item m="1" x="252"/>
        <item x="42"/>
        <item m="1" x="254"/>
        <item m="1" x="255"/>
        <item m="1" x="256"/>
        <item m="1" x="257"/>
        <item m="1" x="258"/>
        <item m="1" x="260"/>
        <item m="1" x="261"/>
        <item m="1" x="262"/>
        <item m="1" x="263"/>
        <item x="53"/>
        <item x="58"/>
        <item x="59"/>
        <item m="1" x="266"/>
        <item m="1" x="267"/>
        <item m="1" x="268"/>
        <item m="1" x="269"/>
        <item x="66"/>
        <item x="67"/>
        <item m="1" x="270"/>
        <item x="89"/>
        <item m="1" x="272"/>
        <item m="1" x="273"/>
        <item m="1" x="274"/>
        <item m="1" x="277"/>
        <item x="114"/>
        <item x="125"/>
        <item m="1" x="278"/>
        <item x="126"/>
        <item m="1" x="279"/>
        <item m="1" x="281"/>
        <item m="1" x="282"/>
        <item m="1" x="283"/>
        <item m="1" x="284"/>
        <item m="1" x="285"/>
        <item m="1" x="286"/>
        <item m="1" x="287"/>
        <item x="131"/>
        <item m="1" x="288"/>
        <item m="1" x="290"/>
        <item m="1" x="291"/>
        <item m="1" x="292"/>
        <item x="138"/>
        <item m="1" x="297"/>
        <item m="1" x="298"/>
        <item x="147"/>
        <item m="1" x="301"/>
        <item m="1" x="302"/>
        <item x="175"/>
        <item m="1" x="303"/>
        <item x="180"/>
        <item m="1" x="305"/>
        <item m="1" x="306"/>
        <item m="1" x="307"/>
        <item x="196"/>
        <item x="198"/>
        <item x="199"/>
        <item x="202"/>
        <item x="204"/>
        <item m="1" x="308"/>
        <item m="1" x="312"/>
        <item m="1" x="313"/>
        <item x="226"/>
        <item x="227"/>
        <item x="189"/>
        <item x="231"/>
        <item x="43"/>
        <item x="44"/>
        <item x="45"/>
        <item x="48"/>
        <item x="49"/>
        <item x="50"/>
        <item x="51"/>
        <item x="54"/>
        <item x="55"/>
        <item x="60"/>
        <item x="61"/>
        <item x="64"/>
        <item x="65"/>
        <item x="68"/>
        <item x="69"/>
        <item x="70"/>
        <item x="71"/>
        <item x="72"/>
        <item x="79"/>
        <item x="84"/>
        <item x="85"/>
        <item x="86"/>
        <item x="87"/>
        <item x="100"/>
        <item x="103"/>
        <item x="107"/>
        <item x="112"/>
        <item x="115"/>
        <item x="116"/>
        <item x="135"/>
        <item x="139"/>
        <item x="140"/>
        <item x="142"/>
        <item x="144"/>
        <item x="157"/>
        <item x="158"/>
        <item x="159"/>
        <item x="176"/>
        <item x="183"/>
        <item x="190"/>
        <item x="192"/>
        <item x="193"/>
        <item x="200"/>
        <item x="203"/>
        <item x="219"/>
        <item x="229"/>
        <item x="230"/>
        <item x="233"/>
        <item x="235"/>
        <item x="2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1">
        <item m="1" x="208"/>
        <item x="63"/>
        <item x="12"/>
        <item x="29"/>
        <item x="85"/>
        <item x="13"/>
        <item m="1" x="314"/>
        <item m="1" x="163"/>
        <item m="1" x="111"/>
        <item x="7"/>
        <item x="74"/>
        <item x="4"/>
        <item m="1" x="189"/>
        <item x="44"/>
        <item x="3"/>
        <item x="1"/>
        <item x="48"/>
        <item m="1" x="206"/>
        <item x="21"/>
        <item x="75"/>
        <item x="46"/>
        <item x="82"/>
        <item x="57"/>
        <item x="71"/>
        <item x="43"/>
        <item x="26"/>
        <item x="34"/>
        <item m="1" x="147"/>
        <item x="58"/>
        <item x="6"/>
        <item x="60"/>
        <item m="1" x="117"/>
        <item m="1" x="157"/>
        <item m="1" x="114"/>
        <item m="1" x="110"/>
        <item m="1" x="139"/>
        <item x="18"/>
        <item x="30"/>
        <item m="1" x="261"/>
        <item x="81"/>
        <item m="1" x="172"/>
        <item m="1" x="196"/>
        <item m="1" x="132"/>
        <item m="1" x="186"/>
        <item m="1" x="223"/>
        <item m="1" x="222"/>
        <item m="1" x="327"/>
        <item m="1" x="300"/>
        <item m="1" x="282"/>
        <item x="83"/>
        <item x="2"/>
        <item m="1" x="296"/>
        <item x="67"/>
        <item m="1" x="319"/>
        <item m="1" x="272"/>
        <item x="86"/>
        <item m="1" x="126"/>
        <item m="1" x="120"/>
        <item m="1" x="305"/>
        <item m="1" x="193"/>
        <item m="1" x="106"/>
        <item x="41"/>
        <item m="1" x="195"/>
        <item m="1" x="281"/>
        <item x="77"/>
        <item m="1" x="290"/>
        <item x="70"/>
        <item x="66"/>
        <item m="1" x="181"/>
        <item m="1" x="135"/>
        <item x="19"/>
        <item m="1" x="179"/>
        <item m="1" x="125"/>
        <item x="54"/>
        <item x="14"/>
        <item m="1" x="284"/>
        <item x="20"/>
        <item m="1" x="101"/>
        <item x="36"/>
        <item m="1" x="293"/>
        <item m="1" x="244"/>
        <item m="1" x="318"/>
        <item x="61"/>
        <item m="1" x="212"/>
        <item m="1" x="207"/>
        <item m="1" x="113"/>
        <item x="72"/>
        <item x="65"/>
        <item x="25"/>
        <item m="1" x="227"/>
        <item x="11"/>
        <item m="1" x="91"/>
        <item m="1" x="103"/>
        <item m="1" x="224"/>
        <item m="1" x="259"/>
        <item m="1" x="299"/>
        <item x="73"/>
        <item m="1" x="198"/>
        <item x="79"/>
        <item m="1" x="175"/>
        <item m="1" x="262"/>
        <item m="1" x="258"/>
        <item m="1" x="256"/>
        <item m="1" x="276"/>
        <item m="1" x="205"/>
        <item m="1" x="219"/>
        <item m="1" x="297"/>
        <item m="1" x="325"/>
        <item m="1" x="243"/>
        <item m="1" x="162"/>
        <item m="1" x="95"/>
        <item m="1" x="141"/>
        <item x="49"/>
        <item x="10"/>
        <item m="1" x="183"/>
        <item x="17"/>
        <item m="1" x="153"/>
        <item m="1" x="180"/>
        <item m="1" x="137"/>
        <item m="1" x="257"/>
        <item m="1" x="165"/>
        <item x="51"/>
        <item x="52"/>
        <item m="1" x="313"/>
        <item m="1" x="167"/>
        <item m="1" x="307"/>
        <item m="1" x="151"/>
        <item x="28"/>
        <item m="1" x="138"/>
        <item m="1" x="115"/>
        <item x="68"/>
        <item m="1" x="150"/>
        <item x="45"/>
        <item m="1" x="312"/>
        <item m="1" x="309"/>
        <item m="1" x="145"/>
        <item m="1" x="173"/>
        <item m="1" x="185"/>
        <item m="1" x="215"/>
        <item m="1" x="89"/>
        <item x="40"/>
        <item m="1" x="104"/>
        <item m="1" x="93"/>
        <item m="1" x="169"/>
        <item m="1" x="239"/>
        <item m="1" x="176"/>
        <item m="1" x="102"/>
        <item m="1" x="275"/>
        <item x="22"/>
        <item m="1" x="294"/>
        <item x="53"/>
        <item m="1" x="269"/>
        <item m="1" x="211"/>
        <item x="27"/>
        <item m="1" x="128"/>
        <item m="1" x="107"/>
        <item m="1" x="92"/>
        <item m="1" x="322"/>
        <item x="59"/>
        <item m="1" x="250"/>
        <item m="1" x="246"/>
        <item m="1" x="285"/>
        <item m="1" x="164"/>
        <item x="0"/>
        <item m="1" x="191"/>
        <item x="62"/>
        <item x="47"/>
        <item m="1" x="248"/>
        <item m="1" x="159"/>
        <item m="1" x="288"/>
        <item m="1" x="324"/>
        <item m="1" x="140"/>
        <item x="76"/>
        <item x="55"/>
        <item m="1" x="131"/>
        <item m="1" x="225"/>
        <item m="1" x="96"/>
        <item m="1" x="268"/>
        <item x="16"/>
        <item m="1" x="233"/>
        <item m="1" x="187"/>
        <item x="9"/>
        <item m="1" x="168"/>
        <item m="1" x="279"/>
        <item m="1" x="289"/>
        <item m="1" x="321"/>
        <item m="1" x="216"/>
        <item m="1" x="142"/>
        <item m="1" x="133"/>
        <item m="1" x="90"/>
        <item m="1" x="270"/>
        <item m="1" x="292"/>
        <item x="24"/>
        <item m="1" x="326"/>
        <item m="1" x="118"/>
        <item m="1" x="237"/>
        <item x="39"/>
        <item m="1" x="295"/>
        <item m="1" x="280"/>
        <item m="1" x="308"/>
        <item m="1" x="136"/>
        <item m="1" x="192"/>
        <item m="1" x="188"/>
        <item m="1" x="329"/>
        <item m="1" x="287"/>
        <item x="69"/>
        <item m="1" x="229"/>
        <item m="1" x="303"/>
        <item m="1" x="221"/>
        <item m="1" x="274"/>
        <item m="1" x="323"/>
        <item m="1" x="260"/>
        <item m="1" x="304"/>
        <item m="1" x="255"/>
        <item m="1" x="100"/>
        <item m="1" x="315"/>
        <item m="1" x="301"/>
        <item m="1" x="267"/>
        <item m="1" x="273"/>
        <item m="1" x="328"/>
        <item m="1" x="252"/>
        <item m="1" x="121"/>
        <item x="84"/>
        <item m="1" x="253"/>
        <item m="1" x="170"/>
        <item m="1" x="278"/>
        <item m="1" x="277"/>
        <item m="1" x="245"/>
        <item m="1" x="249"/>
        <item m="1" x="174"/>
        <item m="1" x="265"/>
        <item x="5"/>
        <item m="1" x="330"/>
        <item m="1" x="310"/>
        <item m="1" x="184"/>
        <item m="1" x="306"/>
        <item m="1" x="316"/>
        <item m="1" x="178"/>
        <item m="1" x="271"/>
        <item m="1" x="302"/>
        <item m="1" x="311"/>
        <item m="1" x="320"/>
        <item m="1" x="232"/>
        <item m="1" x="286"/>
        <item m="1" x="298"/>
        <item m="1" x="291"/>
        <item m="1" x="213"/>
        <item m="1" x="317"/>
        <item m="1" x="166"/>
        <item m="1" x="254"/>
        <item m="1" x="283"/>
        <item m="1" x="148"/>
        <item x="64"/>
        <item m="1" x="251"/>
        <item m="1" x="241"/>
        <item m="1" x="98"/>
        <item x="31"/>
        <item x="78"/>
        <item m="1" x="263"/>
        <item m="1" x="264"/>
        <item m="1" x="247"/>
        <item m="1" x="242"/>
        <item m="1" x="266"/>
        <item m="1" x="210"/>
        <item m="1" x="155"/>
        <item m="1" x="235"/>
        <item m="1" x="124"/>
        <item m="1" x="182"/>
        <item m="1" x="240"/>
        <item m="1" x="238"/>
        <item x="32"/>
        <item m="1" x="236"/>
        <item m="1" x="230"/>
        <item m="1" x="161"/>
        <item m="1" x="116"/>
        <item m="1" x="228"/>
        <item m="1" x="231"/>
        <item m="1" x="87"/>
        <item m="1" x="234"/>
        <item x="15"/>
        <item m="1" x="202"/>
        <item m="1" x="226"/>
        <item m="1" x="194"/>
        <item m="1" x="220"/>
        <item m="1" x="209"/>
        <item m="1" x="160"/>
        <item m="1" x="217"/>
        <item m="1" x="204"/>
        <item m="1" x="129"/>
        <item m="1" x="218"/>
        <item x="23"/>
        <item m="1" x="214"/>
        <item m="1" x="171"/>
        <item m="1" x="99"/>
        <item m="1" x="197"/>
        <item m="1" x="143"/>
        <item m="1" x="199"/>
        <item m="1" x="146"/>
        <item m="1" x="203"/>
        <item m="1" x="190"/>
        <item m="1" x="200"/>
        <item m="1" x="144"/>
        <item m="1" x="201"/>
        <item m="1" x="127"/>
        <item m="1" x="88"/>
        <item x="8"/>
        <item m="1" x="177"/>
        <item m="1" x="152"/>
        <item m="1" x="149"/>
        <item x="42"/>
        <item m="1" x="134"/>
        <item m="1" x="130"/>
        <item m="1" x="97"/>
        <item m="1" x="94"/>
        <item x="56"/>
        <item x="50"/>
        <item m="1" x="154"/>
        <item m="1" x="122"/>
        <item m="1" x="156"/>
        <item m="1" x="123"/>
        <item m="1" x="158"/>
        <item m="1" x="119"/>
        <item x="80"/>
        <item x="33"/>
        <item x="35"/>
        <item x="38"/>
        <item m="1" x="105"/>
        <item m="1" x="108"/>
        <item m="1" x="109"/>
        <item m="1" x="112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9">
        <item x="4"/>
        <item x="12"/>
        <item x="1"/>
        <item m="1" x="289"/>
        <item x="26"/>
        <item x="81"/>
        <item m="1" x="221"/>
        <item x="71"/>
        <item x="63"/>
        <item m="1" x="207"/>
        <item x="46"/>
        <item x="48"/>
        <item x="44"/>
        <item x="7"/>
        <item m="1" x="114"/>
        <item x="60"/>
        <item x="83"/>
        <item m="1" x="222"/>
        <item m="1" x="270"/>
        <item x="58"/>
        <item x="3"/>
        <item x="29"/>
        <item m="1" x="147"/>
        <item m="1" x="186"/>
        <item x="74"/>
        <item m="1" x="111"/>
        <item m="1" x="157"/>
        <item x="82"/>
        <item m="1" x="132"/>
        <item x="2"/>
        <item m="1" x="144"/>
        <item x="34"/>
        <item m="1" x="196"/>
        <item m="1" x="189"/>
        <item m="1" x="163"/>
        <item x="13"/>
        <item x="57"/>
        <item m="1" x="312"/>
        <item m="1" x="117"/>
        <item m="1" x="302"/>
        <item m="1" x="296"/>
        <item x="43"/>
        <item x="6"/>
        <item x="18"/>
        <item x="67"/>
        <item m="1" x="290"/>
        <item m="1" x="288"/>
        <item x="21"/>
        <item x="30"/>
        <item x="85"/>
        <item m="1" x="139"/>
        <item m="1" x="317"/>
        <item x="86"/>
        <item x="75"/>
        <item m="1" x="172"/>
        <item m="1" x="110"/>
        <item m="1" x="126"/>
        <item m="1" x="120"/>
        <item m="1" x="322"/>
        <item m="1" x="193"/>
        <item m="1" x="106"/>
        <item x="41"/>
        <item m="1" x="195"/>
        <item m="1" x="305"/>
        <item x="77"/>
        <item m="1" x="269"/>
        <item x="70"/>
        <item x="66"/>
        <item m="1" x="181"/>
        <item m="1" x="135"/>
        <item x="19"/>
        <item m="1" x="179"/>
        <item m="1" x="125"/>
        <item x="54"/>
        <item x="14"/>
        <item m="1" x="282"/>
        <item x="20"/>
        <item m="1" x="101"/>
        <item x="36"/>
        <item m="1" x="272"/>
        <item m="1" x="243"/>
        <item m="1" x="326"/>
        <item x="61"/>
        <item m="1" x="211"/>
        <item m="1" x="206"/>
        <item m="1" x="113"/>
        <item x="72"/>
        <item x="65"/>
        <item x="25"/>
        <item m="1" x="226"/>
        <item x="11"/>
        <item m="1" x="91"/>
        <item m="1" x="103"/>
        <item m="1" x="223"/>
        <item m="1" x="314"/>
        <item m="1" x="324"/>
        <item x="73"/>
        <item m="1" x="198"/>
        <item x="79"/>
        <item m="1" x="175"/>
        <item m="1" x="253"/>
        <item m="1" x="274"/>
        <item m="1" x="257"/>
        <item m="1" x="275"/>
        <item m="1" x="205"/>
        <item m="1" x="218"/>
        <item m="1" x="265"/>
        <item m="1" x="325"/>
        <item m="1" x="242"/>
        <item m="1" x="162"/>
        <item m="1" x="95"/>
        <item m="1" x="141"/>
        <item x="49"/>
        <item x="10"/>
        <item m="1" x="183"/>
        <item x="17"/>
        <item m="1" x="153"/>
        <item m="1" x="180"/>
        <item m="1" x="137"/>
        <item m="1" x="323"/>
        <item m="1" x="165"/>
        <item x="51"/>
        <item x="52"/>
        <item m="1" x="284"/>
        <item m="1" x="167"/>
        <item m="1" x="304"/>
        <item m="1" x="151"/>
        <item x="28"/>
        <item m="1" x="138"/>
        <item m="1" x="115"/>
        <item x="68"/>
        <item m="1" x="150"/>
        <item x="45"/>
        <item m="1" x="251"/>
        <item m="1" x="316"/>
        <item m="1" x="145"/>
        <item m="1" x="173"/>
        <item m="1" x="185"/>
        <item m="1" x="214"/>
        <item m="1" x="89"/>
        <item x="40"/>
        <item m="1" x="104"/>
        <item m="1" x="93"/>
        <item m="1" x="169"/>
        <item m="1" x="238"/>
        <item m="1" x="176"/>
        <item m="1" x="102"/>
        <item m="1" x="297"/>
        <item x="22"/>
        <item m="1" x="310"/>
        <item x="53"/>
        <item m="1" x="267"/>
        <item m="1" x="320"/>
        <item x="27"/>
        <item m="1" x="128"/>
        <item m="1" x="107"/>
        <item m="1" x="92"/>
        <item m="1" x="303"/>
        <item x="59"/>
        <item m="1" x="294"/>
        <item m="1" x="245"/>
        <item m="1" x="271"/>
        <item m="1" x="164"/>
        <item x="0"/>
        <item m="1" x="191"/>
        <item x="62"/>
        <item x="47"/>
        <item m="1" x="306"/>
        <item m="1" x="159"/>
        <item m="1" x="293"/>
        <item m="1" x="261"/>
        <item m="1" x="140"/>
        <item x="76"/>
        <item x="55"/>
        <item m="1" x="131"/>
        <item m="1" x="224"/>
        <item m="1" x="96"/>
        <item m="1" x="268"/>
        <item x="16"/>
        <item m="1" x="232"/>
        <item m="1" x="187"/>
        <item x="9"/>
        <item m="1" x="168"/>
        <item m="1" x="281"/>
        <item m="1" x="256"/>
        <item m="1" x="328"/>
        <item m="1" x="215"/>
        <item m="1" x="142"/>
        <item m="1" x="133"/>
        <item m="1" x="90"/>
        <item m="1" x="278"/>
        <item m="1" x="300"/>
        <item x="24"/>
        <item m="1" x="259"/>
        <item m="1" x="118"/>
        <item m="1" x="236"/>
        <item x="39"/>
        <item m="1" x="263"/>
        <item m="1" x="319"/>
        <item m="1" x="299"/>
        <item m="1" x="136"/>
        <item m="1" x="192"/>
        <item m="1" x="188"/>
        <item m="1" x="308"/>
        <item m="1" x="295"/>
        <item x="69"/>
        <item m="1" x="228"/>
        <item m="1" x="273"/>
        <item m="1" x="220"/>
        <item m="1" x="249"/>
        <item m="1" x="327"/>
        <item m="1" x="276"/>
        <item m="1" x="315"/>
        <item m="1" x="122"/>
        <item m="1" x="100"/>
        <item m="1" x="247"/>
        <item m="1" x="292"/>
        <item m="1" x="311"/>
        <item m="1" x="291"/>
        <item m="1" x="301"/>
        <item m="1" x="321"/>
        <item m="1" x="121"/>
        <item x="84"/>
        <item m="1" x="170"/>
        <item m="1" x="248"/>
        <item m="1" x="285"/>
        <item m="1" x="244"/>
        <item m="1" x="309"/>
        <item m="1" x="174"/>
        <item m="1" x="287"/>
        <item x="5"/>
        <item m="1" x="307"/>
        <item m="1" x="260"/>
        <item m="1" x="184"/>
        <item m="1" x="318"/>
        <item m="1" x="254"/>
        <item m="1" x="178"/>
        <item m="1" x="262"/>
        <item m="1" x="283"/>
        <item m="1" x="279"/>
        <item m="1" x="286"/>
        <item m="1" x="231"/>
        <item m="1" x="298"/>
        <item m="1" x="277"/>
        <item m="1" x="255"/>
        <item m="1" x="212"/>
        <item m="1" x="266"/>
        <item m="1" x="166"/>
        <item m="1" x="252"/>
        <item m="1" x="264"/>
        <item m="1" x="148"/>
        <item x="64"/>
        <item m="1" x="280"/>
        <item m="1" x="240"/>
        <item m="1" x="98"/>
        <item x="31"/>
        <item x="78"/>
        <item m="1" x="258"/>
        <item m="1" x="250"/>
        <item m="1" x="246"/>
        <item m="1" x="241"/>
        <item m="1" x="313"/>
        <item m="1" x="209"/>
        <item m="1" x="155"/>
        <item m="1" x="234"/>
        <item m="1" x="124"/>
        <item m="1" x="182"/>
        <item m="1" x="239"/>
        <item m="1" x="237"/>
        <item x="32"/>
        <item m="1" x="235"/>
        <item m="1" x="229"/>
        <item m="1" x="161"/>
        <item m="1" x="116"/>
        <item m="1" x="227"/>
        <item m="1" x="230"/>
        <item m="1" x="87"/>
        <item m="1" x="233"/>
        <item x="15"/>
        <item m="1" x="202"/>
        <item m="1" x="225"/>
        <item m="1" x="194"/>
        <item m="1" x="219"/>
        <item m="1" x="208"/>
        <item m="1" x="160"/>
        <item m="1" x="216"/>
        <item m="1" x="204"/>
        <item m="1" x="129"/>
        <item m="1" x="217"/>
        <item x="23"/>
        <item m="1" x="213"/>
        <item m="1" x="171"/>
        <item m="1" x="99"/>
        <item m="1" x="197"/>
        <item m="1" x="143"/>
        <item m="1" x="199"/>
        <item m="1" x="210"/>
        <item m="1" x="146"/>
        <item m="1" x="203"/>
        <item m="1" x="190"/>
        <item m="1" x="200"/>
        <item m="1" x="201"/>
        <item m="1" x="127"/>
        <item m="1" x="88"/>
        <item x="8"/>
        <item m="1" x="177"/>
        <item m="1" x="152"/>
        <item m="1" x="149"/>
        <item x="42"/>
        <item m="1" x="134"/>
        <item m="1" x="130"/>
        <item m="1" x="97"/>
        <item m="1" x="94"/>
        <item x="56"/>
        <item x="50"/>
        <item m="1" x="154"/>
        <item m="1" x="156"/>
        <item m="1" x="123"/>
        <item m="1" x="158"/>
        <item m="1" x="119"/>
        <item x="80"/>
        <item x="33"/>
        <item x="35"/>
        <item x="38"/>
        <item m="1" x="105"/>
        <item m="1" x="108"/>
        <item m="1" x="109"/>
        <item m="1" x="112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95">
        <item m="1" x="2173"/>
        <item m="1" x="1423"/>
        <item m="1" x="1626"/>
        <item m="1" x="1158"/>
        <item m="1" x="1478"/>
        <item m="1" x="2085"/>
        <item m="1" x="1311"/>
        <item m="1" x="2078"/>
        <item m="1" x="1752"/>
        <item m="1" x="1654"/>
        <item m="1" x="1949"/>
        <item m="1" x="1543"/>
        <item m="1" x="1607"/>
        <item m="1" x="1665"/>
        <item m="1" x="1305"/>
        <item m="1" x="2092"/>
        <item m="1" x="1851"/>
        <item m="1" x="1362"/>
        <item m="1" x="2119"/>
        <item m="1" x="1784"/>
        <item m="1" x="2218"/>
        <item m="1" x="2012"/>
        <item m="1" x="1533"/>
        <item m="1" x="2015"/>
        <item m="1" x="2225"/>
        <item m="1" x="1731"/>
        <item x="180"/>
        <item m="1" x="1507"/>
        <item m="1" x="1853"/>
        <item m="1" x="2281"/>
        <item m="1" x="2049"/>
        <item m="1" x="1889"/>
        <item m="1" x="2146"/>
        <item m="1" x="1239"/>
        <item m="1" x="1986"/>
        <item m="1" x="2001"/>
        <item m="1" x="1644"/>
        <item m="1" x="1432"/>
        <item m="1" x="1950"/>
        <item m="1" x="1296"/>
        <item m="1" x="1131"/>
        <item m="1" x="2077"/>
        <item m="1" x="1321"/>
        <item m="1" x="1431"/>
        <item m="1" x="1982"/>
        <item m="1" x="1459"/>
        <item m="1" x="1804"/>
        <item m="1" x="2014"/>
        <item m="1" x="1510"/>
        <item m="1" x="1188"/>
        <item m="1" x="1122"/>
        <item m="1" x="1540"/>
        <item m="1" x="1164"/>
        <item m="1" x="2103"/>
        <item m="1" x="2070"/>
        <item m="1" x="1575"/>
        <item m="1" x="1351"/>
        <item m="1" x="2068"/>
        <item m="1" x="1948"/>
        <item m="1" x="1315"/>
        <item m="1" x="2243"/>
        <item m="1" x="2199"/>
        <item m="1" x="1233"/>
        <item m="1" x="1527"/>
        <item m="1" x="1771"/>
        <item m="1" x="1826"/>
        <item m="1" x="1465"/>
        <item m="1" x="1178"/>
        <item m="1" x="1260"/>
        <item m="1" x="1327"/>
        <item x="32"/>
        <item m="1" x="1437"/>
        <item m="1" x="1518"/>
        <item m="1" x="1170"/>
        <item m="1" x="1392"/>
        <item m="1" x="1466"/>
        <item m="1" x="2208"/>
        <item m="1" x="2171"/>
        <item m="1" x="2131"/>
        <item m="1" x="1551"/>
        <item m="1" x="1133"/>
        <item m="1" x="1625"/>
        <item m="1" x="1458"/>
        <item m="1" x="2223"/>
        <item m="1" x="1859"/>
        <item m="1" x="1786"/>
        <item m="1" x="1705"/>
        <item m="1" x="1639"/>
        <item m="1" x="1569"/>
        <item m="1" x="1401"/>
        <item m="1" x="1328"/>
        <item m="1" x="1722"/>
        <item m="1" x="1611"/>
        <item m="1" x="1598"/>
        <item m="1" x="1390"/>
        <item m="1" x="1281"/>
        <item m="1" x="1921"/>
        <item m="1" x="1857"/>
        <item m="1" x="1494"/>
        <item m="1" x="2090"/>
        <item m="1" x="482"/>
        <item m="1" x="1476"/>
        <item m="1" x="1917"/>
        <item m="1" x="1702"/>
        <item m="1" x="1166"/>
        <item m="1" x="1667"/>
        <item m="1" x="1903"/>
        <item m="1" x="1926"/>
        <item m="1" x="1411"/>
        <item m="1" x="2025"/>
        <item m="1" x="1941"/>
        <item m="1" x="2067"/>
        <item m="1" x="1434"/>
        <item m="1" x="1491"/>
        <item m="1" x="1759"/>
        <item m="1" x="1436"/>
        <item m="1" x="1923"/>
        <item m="1" x="1337"/>
        <item m="1" x="1251"/>
        <item m="1" x="967"/>
        <item m="1" x="1764"/>
        <item m="1" x="2262"/>
        <item m="1" x="1649"/>
        <item m="1" x="2031"/>
        <item m="1" x="1961"/>
        <item m="1" x="1612"/>
        <item m="1" x="1714"/>
        <item m="1" x="1226"/>
        <item m="1" x="2081"/>
        <item m="1" x="1127"/>
        <item m="1" x="1124"/>
        <item m="1" x="2054"/>
        <item m="1" x="2253"/>
        <item m="1" x="1159"/>
        <item m="1" x="2153"/>
        <item m="1" x="1257"/>
        <item m="1" x="1500"/>
        <item m="1" x="1932"/>
        <item m="1" x="1479"/>
        <item m="1" x="1577"/>
        <item m="1" x="2157"/>
        <item m="1" x="1154"/>
        <item m="1" x="1710"/>
        <item m="1" x="1443"/>
        <item m="1" x="1360"/>
        <item m="1" x="1972"/>
        <item m="1" x="1215"/>
        <item m="1" x="2258"/>
        <item m="1" x="230"/>
        <item m="1" x="1420"/>
        <item m="1" x="2265"/>
        <item m="1" x="1209"/>
        <item m="1" x="1252"/>
        <item x="107"/>
        <item m="1" x="2217"/>
        <item m="1" x="2230"/>
        <item m="1" x="1142"/>
        <item m="1" x="1236"/>
        <item m="1" x="1245"/>
        <item m="1" x="1938"/>
        <item m="1" x="1174"/>
        <item m="1" x="2120"/>
        <item m="1" x="1073"/>
        <item m="1" x="1914"/>
        <item m="1" x="1452"/>
        <item m="1" x="1145"/>
        <item m="1" x="2147"/>
        <item m="1" x="1451"/>
        <item m="1" x="1220"/>
        <item m="1" x="1688"/>
        <item m="1" x="1656"/>
        <item m="1" x="1842"/>
        <item m="1" x="2108"/>
        <item m="1" x="2130"/>
        <item m="1" x="1234"/>
        <item m="1" x="2268"/>
        <item m="1" x="1653"/>
        <item m="1" x="1422"/>
        <item m="1" x="2224"/>
        <item m="1" x="2142"/>
        <item m="1" x="1318"/>
        <item m="1" x="1123"/>
        <item m="1" x="1920"/>
        <item m="1" x="1787"/>
        <item m="1" x="1126"/>
        <item m="1" x="1666"/>
        <item m="1" x="1965"/>
        <item m="1" x="2043"/>
        <item m="1" x="1606"/>
        <item m="1" x="1523"/>
        <item m="1" x="1306"/>
        <item m="1" x="2207"/>
        <item m="1" x="1809"/>
        <item m="1" x="1368"/>
        <item m="1" x="1144"/>
        <item m="1" x="2143"/>
        <item m="1" x="1633"/>
        <item m="1" x="2079"/>
        <item m="1" x="1216"/>
        <item m="1" x="1570"/>
        <item m="1" x="1119"/>
        <item m="1" x="1217"/>
        <item m="1" x="2164"/>
        <item m="1" x="2019"/>
        <item m="1" x="1668"/>
        <item m="1" x="2105"/>
        <item m="1" x="1738"/>
        <item m="1" x="1672"/>
        <item m="1" x="2125"/>
        <item m="1" x="1417"/>
        <item m="1" x="1536"/>
        <item m="1" x="721"/>
        <item m="1" x="1531"/>
        <item m="1" x="818"/>
        <item m="1" x="2035"/>
        <item m="1" x="1762"/>
        <item m="1" x="1989"/>
        <item m="1" x="1265"/>
        <item m="1" x="1800"/>
        <item m="1" x="1677"/>
        <item m="1" x="1429"/>
        <item m="1" x="2266"/>
        <item m="1" x="1596"/>
        <item m="1" x="1403"/>
        <item m="1" x="1776"/>
        <item m="1" x="2073"/>
        <item m="1" x="1128"/>
        <item m="1" x="1855"/>
        <item m="1" x="2240"/>
        <item m="1" x="2096"/>
        <item m="1" x="1774"/>
        <item m="1" x="1526"/>
        <item m="1" x="1716"/>
        <item m="1" x="2060"/>
        <item m="1" x="1132"/>
        <item m="1" x="2121"/>
        <item m="1" x="1947"/>
        <item m="1" x="1186"/>
        <item m="1" x="1835"/>
        <item m="1" x="1138"/>
        <item m="1" x="1515"/>
        <item m="1" x="1899"/>
        <item m="1" x="2044"/>
        <item m="1" x="1664"/>
        <item m="1" x="1587"/>
        <item m="1" x="1157"/>
        <item m="1" x="2066"/>
        <item m="1" x="1339"/>
        <item m="1" x="1255"/>
        <item m="1" x="1200"/>
        <item m="1" x="2168"/>
        <item m="1" x="1346"/>
        <item m="1" x="2155"/>
        <item m="1" x="2161"/>
        <item m="1" x="1503"/>
        <item m="1" x="1291"/>
        <item m="1" x="1836"/>
        <item m="1" x="1229"/>
        <item m="1" x="1974"/>
        <item m="1" x="1803"/>
        <item m="1" x="2247"/>
        <item m="1" x="1376"/>
        <item m="1" x="1827"/>
        <item m="1" x="2256"/>
        <item m="1" x="514"/>
        <item m="1" x="2186"/>
        <item m="1" x="1584"/>
        <item m="1" x="2212"/>
        <item m="1" x="1745"/>
        <item m="1" x="2100"/>
        <item m="1" x="1440"/>
        <item m="1" x="2160"/>
        <item m="1" x="1789"/>
        <item m="1" x="2163"/>
        <item m="1" x="2231"/>
        <item m="1" x="387"/>
        <item m="1" x="1325"/>
        <item m="1" x="1313"/>
        <item m="1" x="2087"/>
        <item m="1" x="409"/>
        <item m="1" x="2197"/>
        <item m="1" x="2184"/>
        <item m="1" x="1695"/>
        <item m="1" x="1130"/>
        <item m="1" x="1286"/>
        <item m="1" x="1189"/>
        <item m="1" x="1125"/>
        <item m="1" x="1935"/>
        <item m="1" x="358"/>
        <item m="1" x="1448"/>
        <item m="1" x="1400"/>
        <item m="1" x="2239"/>
        <item m="1" x="1266"/>
        <item m="1" x="1757"/>
        <item m="1" x="1719"/>
        <item m="1" x="1674"/>
        <item m="1" x="1837"/>
        <item m="1" x="1973"/>
        <item m="1" x="1850"/>
        <item m="1" x="1585"/>
        <item m="1" x="1718"/>
        <item m="1" x="1796"/>
        <item m="1" x="2290"/>
        <item m="1" x="1618"/>
        <item m="1" x="1689"/>
        <item m="1" x="1740"/>
        <item m="1" x="1542"/>
        <item m="1" x="1761"/>
        <item m="1" x="1901"/>
        <item m="1" x="2221"/>
        <item m="1" x="2206"/>
        <item m="1" x="1514"/>
        <item m="1" x="1290"/>
        <item m="1" x="1885"/>
        <item m="1" x="1821"/>
        <item m="1" x="1795"/>
        <item m="1" x="1576"/>
        <item m="1" x="1563"/>
        <item m="1" x="2129"/>
        <item m="1" x="2285"/>
        <item m="1" x="1554"/>
        <item m="1" x="1322"/>
        <item m="1" x="1691"/>
        <item m="1" x="1481"/>
        <item m="1" x="1371"/>
        <item m="1" x="1700"/>
        <item m="1" x="1120"/>
        <item m="1" x="1262"/>
        <item m="1" x="688"/>
        <item m="1" x="2169"/>
        <item m="1" x="1838"/>
        <item m="1" x="1541"/>
        <item m="1" x="1428"/>
        <item m="1" x="1928"/>
        <item m="1" x="1340"/>
        <item m="1" x="1139"/>
        <item m="1" x="1412"/>
        <item m="1" x="1864"/>
        <item m="1" x="1897"/>
        <item m="1" x="1717"/>
        <item m="1" x="1202"/>
        <item m="1" x="1937"/>
        <item m="1" x="1421"/>
        <item m="1" x="2267"/>
        <item m="1" x="1513"/>
        <item m="1" x="2191"/>
        <item m="1" x="1273"/>
        <item m="1" x="2261"/>
        <item m="1" x="1652"/>
        <item m="1" x="2138"/>
        <item m="1" x="1634"/>
        <item m="1" x="1780"/>
        <item m="1" x="1457"/>
        <item m="1" x="1988"/>
        <item m="1" x="1681"/>
        <item m="1" x="1778"/>
        <item m="1" x="1676"/>
        <item m="1" x="1388"/>
        <item m="1" x="2179"/>
        <item m="1" x="2011"/>
        <item m="1" x="1537"/>
        <item m="1" x="1984"/>
        <item m="1" x="417"/>
        <item m="1" x="1410"/>
        <item m="1" x="1913"/>
        <item m="1" x="1802"/>
        <item m="1" x="2201"/>
        <item m="1" x="1380"/>
        <item m="1" x="1602"/>
        <item m="1" x="1402"/>
        <item m="1" x="510"/>
        <item m="1" x="1706"/>
        <item m="1" x="1043"/>
        <item m="1" x="1637"/>
        <item m="1" x="1237"/>
        <item m="1" x="1675"/>
        <item m="1" x="1791"/>
        <item m="1" x="1977"/>
        <item m="1" x="1562"/>
        <item m="1" x="1854"/>
        <item m="1" x="1981"/>
        <item m="1" x="1915"/>
        <item m="1" x="1909"/>
        <item m="1" x="1698"/>
        <item m="1" x="1308"/>
        <item m="1" x="1171"/>
        <item m="1" x="1701"/>
        <item m="1" x="1134"/>
        <item m="1" x="1064"/>
        <item m="1" x="1347"/>
        <item m="1" x="1148"/>
        <item x="106"/>
        <item m="1" x="2216"/>
        <item m="1" x="1152"/>
        <item m="1" x="2275"/>
        <item m="1" x="2286"/>
        <item m="1" x="2059"/>
        <item m="1" x="1825"/>
        <item m="1" x="1486"/>
        <item m="1" x="1203"/>
        <item m="1" x="1521"/>
        <item m="1" x="1643"/>
        <item m="1" x="2203"/>
        <item m="1" x="2023"/>
        <item m="1" x="1180"/>
        <item m="1" x="1725"/>
        <item m="1" x="2010"/>
        <item m="1" x="1382"/>
        <item m="1" x="2057"/>
        <item m="1" x="1352"/>
        <item m="1" x="2279"/>
        <item m="1" x="2063"/>
        <item m="1" x="1866"/>
        <item m="1" x="1763"/>
        <item m="1" x="2099"/>
        <item m="1" x="1845"/>
        <item m="1" x="2041"/>
        <item m="1" x="2213"/>
        <item m="1" x="1912"/>
        <item m="1" x="1566"/>
        <item m="1" x="2190"/>
        <item m="1" x="1931"/>
        <item m="1" x="2048"/>
        <item m="1" x="291"/>
        <item m="1" x="1591"/>
        <item m="1" x="1211"/>
        <item m="1" x="1682"/>
        <item m="1" x="1539"/>
        <item m="1" x="1595"/>
        <item m="1" x="1916"/>
        <item m="1" x="1349"/>
        <item m="1" x="506"/>
        <item m="1" x="1235"/>
        <item m="1" x="1156"/>
        <item m="1" x="2257"/>
        <item m="1" x="2189"/>
        <item m="1" x="1267"/>
        <item m="1" x="1995"/>
        <item m="1" x="2185"/>
        <item m="1" x="2148"/>
        <item m="1" x="1744"/>
        <item m="1" x="1610"/>
        <item m="1" x="2003"/>
        <item m="1" x="1828"/>
        <item m="1" x="1896"/>
        <item m="1" x="1910"/>
        <item x="8"/>
        <item m="1" x="1297"/>
        <item m="1" x="1919"/>
        <item m="1" x="1797"/>
        <item m="1" x="2293"/>
        <item m="1" x="2006"/>
        <item m="1" x="1506"/>
        <item m="1" x="1978"/>
        <item m="1" x="1628"/>
        <item m="1" x="1906"/>
        <item m="1" x="1394"/>
        <item m="1" x="1946"/>
        <item m="1" x="2220"/>
        <item m="1" x="1206"/>
        <item m="1" x="2162"/>
        <item m="1" x="1278"/>
        <item m="1" x="1886"/>
        <item m="1" x="1712"/>
        <item m="1" x="1162"/>
        <item m="1" x="1819"/>
        <item m="1" x="1532"/>
        <item m="1" x="1312"/>
        <item m="1" x="1258"/>
        <item m="1" x="1861"/>
        <item m="1" x="1908"/>
        <item m="1" x="1383"/>
        <item m="1" x="2056"/>
        <item m="1" x="1892"/>
        <item m="1" x="1395"/>
        <item m="1" x="1135"/>
        <item m="1" x="2260"/>
        <item m="1" x="1282"/>
        <item m="1" x="1883"/>
        <item m="1" x="1615"/>
        <item m="1" x="1477"/>
        <item m="1" x="2128"/>
        <item m="1" x="2209"/>
        <item m="1" x="1608"/>
        <item m="1" x="1187"/>
        <item m="1" x="1355"/>
        <item m="1" x="2037"/>
        <item m="1" x="2145"/>
        <item m="1" x="2109"/>
        <item m="1" x="1603"/>
        <item m="1" x="556"/>
        <item m="1" x="1153"/>
        <item m="1" x="1238"/>
        <item m="1" x="2228"/>
        <item m="1" x="1419"/>
        <item m="1" x="342"/>
        <item m="1" x="1954"/>
        <item m="1" x="1310"/>
        <item m="1" x="2187"/>
        <item m="1" x="1040"/>
        <item m="1" x="1847"/>
        <item m="1" x="2116"/>
        <item m="1" x="2040"/>
        <item x="82"/>
        <item m="1" x="1221"/>
        <item m="1" x="1160"/>
        <item m="1" x="1980"/>
        <item m="1" x="1960"/>
        <item m="1" x="1508"/>
        <item m="1" x="2030"/>
        <item m="1" x="2106"/>
        <item m="1" x="1724"/>
        <item m="1" x="2192"/>
        <item m="1" x="1547"/>
        <item m="1" x="1259"/>
        <item m="1" x="1182"/>
        <item m="1" x="1117"/>
        <item m="1" x="1408"/>
        <item m="1" x="2027"/>
        <item m="1" x="1822"/>
        <item m="1" x="1246"/>
        <item m="1" x="949"/>
        <item m="1" x="1191"/>
        <item m="1" x="1614"/>
        <item m="1" x="2193"/>
        <item m="1" x="2274"/>
        <item m="1" x="2284"/>
        <item m="1" x="1299"/>
        <item m="1" x="1302"/>
        <item m="1" x="1807"/>
        <item m="1" x="1324"/>
        <item m="1" x="2032"/>
        <item m="1" x="1498"/>
        <item m="1" x="1269"/>
        <item m="1" x="1244"/>
        <item m="1" x="1579"/>
        <item m="1" x="1121"/>
        <item m="1" x="1942"/>
        <item m="1" x="1505"/>
        <item m="1" x="1843"/>
        <item m="1" x="1242"/>
        <item m="1" x="1519"/>
        <item m="1" x="1484"/>
        <item m="1" x="2075"/>
        <item m="1" x="1877"/>
        <item m="1" x="2069"/>
        <item m="1" x="1808"/>
        <item m="1" x="1581"/>
        <item m="1" x="1823"/>
        <item m="1" x="1683"/>
        <item m="1" x="2278"/>
        <item m="1" x="1552"/>
        <item m="1" x="1711"/>
        <item m="1" x="1393"/>
        <item m="1" x="1439"/>
        <item m="1" x="1944"/>
        <item m="1" x="1137"/>
        <item m="1" x="1530"/>
        <item m="1" x="1662"/>
        <item m="1" x="1962"/>
        <item m="1" x="2237"/>
        <item m="1" x="1177"/>
        <item m="1" x="1593"/>
        <item m="1" x="552"/>
        <item m="1" x="1473"/>
        <item m="1" x="2053"/>
        <item m="1" x="1516"/>
        <item m="1" x="1967"/>
        <item m="1" x="1951"/>
        <item m="1" x="1810"/>
        <item m="1" x="1285"/>
        <item m="1" x="1474"/>
        <item m="1" x="1636"/>
        <item m="1" x="1406"/>
        <item m="1" x="2038"/>
        <item m="1" x="1497"/>
        <item m="1" x="1550"/>
        <item m="1" x="1469"/>
        <item m="1" x="2113"/>
        <item m="1" x="1512"/>
        <item m="1" x="1660"/>
        <item m="1" x="1247"/>
        <item m="1" x="1793"/>
        <item m="1" x="1155"/>
        <item m="1" x="1715"/>
        <item m="1" x="2254"/>
        <item m="1" x="2259"/>
        <item m="1" x="1985"/>
        <item m="1" x="1638"/>
        <item m="1" x="1332"/>
        <item m="1" x="366"/>
        <item m="1" x="1720"/>
        <item m="1" x="1407"/>
        <item m="1" x="1240"/>
        <item m="1" x="1927"/>
        <item m="1" x="425"/>
        <item m="1" x="1699"/>
        <item m="1" x="1848"/>
        <item m="1" x="1535"/>
        <item m="1" x="1884"/>
        <item m="1" x="1194"/>
        <item m="1" x="1911"/>
        <item m="1" x="2198"/>
        <item m="1" x="1283"/>
        <item m="1" x="2104"/>
        <item m="1" x="1806"/>
        <item m="1" x="1635"/>
        <item m="1" x="1391"/>
        <item m="1" x="1573"/>
        <item m="1" x="1583"/>
        <item m="1" x="1852"/>
        <item m="1" x="1723"/>
        <item m="1" x="2137"/>
        <item m="1" x="1833"/>
        <item m="1" x="1994"/>
        <item x="150"/>
        <item m="1" x="1208"/>
        <item m="1" x="1489"/>
        <item m="1" x="2051"/>
        <item m="1" x="1648"/>
        <item m="1" x="1287"/>
        <item m="1" x="1097"/>
        <item m="1" x="1450"/>
        <item m="1" x="1751"/>
        <item m="1" x="1056"/>
        <item m="1" x="2134"/>
        <item m="1" x="1741"/>
        <item m="1" x="1165"/>
        <item m="1" x="1728"/>
        <item m="1" x="1862"/>
        <item m="1" x="2126"/>
        <item m="1" x="2255"/>
        <item m="1" x="1356"/>
        <item m="1" x="1679"/>
        <item m="1" x="1991"/>
        <item m="1" x="1659"/>
        <item m="1" x="1902"/>
        <item m="1" x="1641"/>
        <item m="1" x="2172"/>
        <item m="1" x="1316"/>
        <item m="1" x="1696"/>
        <item m="1" x="2288"/>
        <item m="1" x="1225"/>
        <item m="1" x="1365"/>
        <item m="1" x="848"/>
        <item m="1" x="1568"/>
        <item m="1" x="1704"/>
        <item m="1" x="1739"/>
        <item m="1" x="1891"/>
        <item m="1" x="2144"/>
        <item m="1" x="2158"/>
        <item m="1" x="2234"/>
        <item m="1" x="1958"/>
        <item m="1" x="1592"/>
        <item m="1" x="207"/>
        <item m="1" x="2016"/>
        <item m="1" x="1772"/>
        <item m="1" x="1818"/>
        <item m="1" x="1597"/>
        <item m="1" x="1433"/>
        <item m="1" x="2263"/>
        <item m="1" x="1456"/>
        <item m="1" x="1520"/>
        <item m="1" x="1767"/>
        <item m="1" x="1319"/>
        <item m="1" x="1482"/>
        <item m="1" x="1509"/>
        <item m="1" x="1492"/>
        <item m="1" x="1304"/>
        <item m="1" x="1350"/>
        <item m="1" x="1150"/>
        <item m="1" x="1021"/>
        <item m="1" x="2084"/>
        <item m="1" x="1179"/>
        <item m="1" x="1199"/>
        <item m="1" x="1460"/>
        <item m="1" x="2276"/>
        <item m="1" x="1936"/>
        <item m="1" x="2242"/>
        <item m="1" x="1404"/>
        <item m="1" x="1418"/>
        <item m="1" x="1875"/>
        <item m="1" x="1427"/>
        <item m="1" x="1475"/>
        <item m="1" x="1779"/>
        <item m="1" x="1373"/>
        <item m="1" x="1651"/>
        <item m="1" x="2112"/>
        <item m="1" x="1218"/>
        <item m="1" x="265"/>
        <item m="1" x="1172"/>
        <item m="1" x="1870"/>
        <item x="137"/>
        <item m="1" x="1650"/>
        <item m="1" x="2238"/>
        <item m="1" x="2139"/>
        <item m="1" x="1354"/>
        <item m="1" x="934"/>
        <item m="1" x="1294"/>
        <item m="1" x="1335"/>
        <item m="1" x="2093"/>
        <item m="1" x="1990"/>
        <item m="1" x="1050"/>
        <item m="1" x="2219"/>
        <item m="1" x="2098"/>
        <item m="1" x="1314"/>
        <item m="1" x="1781"/>
        <item m="1" x="1275"/>
        <item m="1" x="1207"/>
        <item m="1" x="1782"/>
        <item m="1" x="644"/>
        <item m="1" x="1957"/>
        <item m="1" x="1565"/>
        <item m="1" x="1805"/>
        <item m="1" x="1727"/>
        <item m="1" x="2047"/>
        <item m="1" x="2004"/>
        <item m="1" x="1578"/>
        <item m="1" x="1343"/>
        <item m="1" x="1747"/>
        <item m="1" x="1624"/>
        <item m="1" x="1766"/>
        <item m="1" x="1685"/>
        <item m="1" x="1444"/>
        <item m="1" x="2061"/>
        <item m="1" x="2294"/>
        <item m="1" x="1222"/>
        <item m="1" x="1783"/>
        <item m="1" x="2226"/>
        <item m="1" x="1374"/>
        <item m="1" x="1136"/>
        <item m="1" x="1707"/>
        <item m="1" x="898"/>
        <item m="1" x="1708"/>
        <item m="1" x="1765"/>
        <item m="1" x="1342"/>
        <item m="1" x="2233"/>
        <item m="1" x="2083"/>
        <item m="1" x="1589"/>
        <item m="1" x="1389"/>
        <item m="1" x="1814"/>
        <item m="1" x="1647"/>
        <item m="1" x="1799"/>
        <item m="1" x="1538"/>
        <item m="1" x="1300"/>
        <item m="1" x="1996"/>
        <item m="1" x="1036"/>
        <item m="1" x="2133"/>
        <item m="1" x="852"/>
        <item m="1" x="853"/>
        <item m="1" x="2091"/>
        <item m="1" x="854"/>
        <item m="1" x="1385"/>
        <item m="1" x="1792"/>
        <item m="1" x="1815"/>
        <item m="1" x="1630"/>
        <item m="1" x="2182"/>
        <item m="1" x="1549"/>
        <item m="1" x="1834"/>
        <item m="1" x="1336"/>
        <item m="1" x="2227"/>
        <item m="1" x="2107"/>
        <item m="1" x="1243"/>
        <item m="1" x="1878"/>
        <item m="1" x="1816"/>
        <item m="1" x="2277"/>
        <item m="1" x="2175"/>
        <item m="1" x="1248"/>
        <item m="1" x="2101"/>
        <item m="1" x="1890"/>
        <item m="1" x="2245"/>
        <item m="1" x="2188"/>
        <item m="1" x="2076"/>
        <item m="1" x="2123"/>
        <item m="1" x="2026"/>
        <item m="1" x="1669"/>
        <item m="1" x="846"/>
        <item m="1" x="1929"/>
        <item m="1" x="1333"/>
        <item m="1" x="1197"/>
        <item m="1" x="2089"/>
        <item m="1" x="1295"/>
        <item m="1" x="2018"/>
        <item m="1" x="1369"/>
        <item m="1" x="1329"/>
        <item m="1" x="2246"/>
        <item m="1" x="2273"/>
        <item m="1" x="1271"/>
        <item m="1" x="435"/>
        <item m="1" x="1617"/>
        <item m="1" x="2097"/>
        <item m="1" x="1600"/>
        <item m="1" x="2002"/>
        <item m="1" x="1307"/>
        <item m="1" x="1880"/>
        <item m="1" x="812"/>
        <item m="1" x="1758"/>
        <item m="1" x="1794"/>
        <item m="1" x="1167"/>
        <item m="1" x="1169"/>
        <item m="1" x="2183"/>
        <item m="1" x="1149"/>
        <item m="1" x="1561"/>
        <item x="0"/>
        <item m="1" x="1872"/>
        <item m="1" x="1426"/>
        <item m="1" x="1224"/>
        <item m="1" x="315"/>
        <item m="1" x="2252"/>
        <item m="1" x="2072"/>
        <item m="1" x="1661"/>
        <item m="1" x="2024"/>
        <item m="1" x="1613"/>
        <item m="1" x="2071"/>
        <item m="1" x="2271"/>
        <item m="1" x="1173"/>
        <item m="1" x="1694"/>
        <item m="1" x="643"/>
        <item m="1" x="227"/>
        <item m="1" x="1326"/>
        <item m="1" x="1904"/>
        <item m="1" x="2264"/>
        <item m="1" x="1517"/>
        <item m="1" x="2180"/>
        <item m="1" x="1309"/>
        <item m="1" x="1098"/>
        <item m="1" x="2102"/>
        <item m="1" x="660"/>
        <item m="1" x="2124"/>
        <item m="1" x="1424"/>
        <item m="1" x="1140"/>
        <item m="1" x="1501"/>
        <item m="1" x="1713"/>
        <item m="1" x="1037"/>
        <item m="1" x="1338"/>
        <item m="1" x="1414"/>
        <item x="31"/>
        <item m="1" x="1893"/>
        <item m="1" x="2020"/>
        <item m="1" x="2215"/>
        <item m="1" x="2029"/>
        <item m="1" x="487"/>
        <item m="1" x="1175"/>
        <item m="1" x="1874"/>
        <item m="1" x="2248"/>
        <item m="1" x="2287"/>
        <item m="1" x="1580"/>
        <item m="1" x="2249"/>
        <item m="1" x="2177"/>
        <item m="1" x="1151"/>
        <item m="1" x="2021"/>
        <item m="1" x="1331"/>
        <item m="1" x="1754"/>
        <item m="1" x="1357"/>
        <item m="1" x="2000"/>
        <item m="1" x="1939"/>
        <item m="1" x="1113"/>
        <item m="1" x="2132"/>
        <item m="1" x="1284"/>
        <item m="1" x="1213"/>
        <item m="1" x="1405"/>
        <item m="1" x="2135"/>
        <item m="1" x="2194"/>
        <item m="1" x="1502"/>
        <item m="1" x="1881"/>
        <item m="1" x="1830"/>
        <item m="1" x="1163"/>
        <item m="1" x="1231"/>
        <item m="1" x="2195"/>
        <item m="1" x="1363"/>
        <item m="1" x="1726"/>
        <item m="1" x="1732"/>
        <item m="1" x="1253"/>
        <item m="1" x="1966"/>
        <item m="1" x="1680"/>
        <item m="1" x="1511"/>
        <item m="1" x="1413"/>
        <item m="1" x="1895"/>
        <item m="1" x="2046"/>
        <item m="1" x="2058"/>
        <item m="1" x="2292"/>
        <item m="1" x="1619"/>
        <item m="1" x="1811"/>
        <item m="1" x="2152"/>
        <item m="1" x="1279"/>
        <item m="1" x="2176"/>
        <item m="1" x="1975"/>
        <item m="1" x="1468"/>
        <item m="1" x="1447"/>
        <item m="1" x="1734"/>
        <item m="1" x="1201"/>
        <item m="1" x="1446"/>
        <item m="1" x="2042"/>
        <item m="1" x="1968"/>
        <item m="1" x="1678"/>
        <item m="1" x="2204"/>
        <item m="1" x="2289"/>
        <item m="1" x="2039"/>
        <item m="1" x="2114"/>
        <item m="1" x="1471"/>
        <item m="1" x="2170"/>
        <item m="1" x="1858"/>
        <item m="1" x="2117"/>
        <item m="1" x="2156"/>
        <item m="1" x="1227"/>
        <item m="1" x="1254"/>
        <item m="1" x="1212"/>
        <item m="1" x="1963"/>
        <item m="1" x="2022"/>
        <item m="1" x="1488"/>
        <item m="1" x="318"/>
        <item m="1" x="1687"/>
        <item m="1" x="1567"/>
        <item m="1" x="1999"/>
        <item m="1" x="1558"/>
        <item m="1" x="1038"/>
        <item m="1" x="1871"/>
        <item m="1" x="1425"/>
        <item m="1" x="1742"/>
        <item m="1" x="2045"/>
        <item x="163"/>
        <item m="1" x="1970"/>
        <item m="1" x="876"/>
        <item m="1" x="2118"/>
        <item m="1" x="1673"/>
        <item m="1" x="1017"/>
        <item m="1" x="1099"/>
        <item m="1" x="1856"/>
        <item m="1" x="1298"/>
        <item m="1" x="1168"/>
        <item m="1" x="2210"/>
        <item m="1" x="1274"/>
        <item m="1" x="1813"/>
        <item m="1" x="1495"/>
        <item m="1" x="1801"/>
        <item m="1" x="1869"/>
        <item m="1" x="1195"/>
        <item m="1" x="1241"/>
        <item m="1" x="574"/>
        <item m="1" x="1993"/>
        <item m="1" x="2064"/>
        <item m="1" x="1555"/>
        <item m="1" x="1100"/>
        <item m="1" x="648"/>
        <item m="1" x="1003"/>
        <item m="1" x="1798"/>
        <item m="1" x="2140"/>
        <item m="1" x="2095"/>
        <item m="1" x="1129"/>
        <item m="1" x="1887"/>
        <item m="1" x="1323"/>
        <item m="1" x="2282"/>
        <item m="1" x="2074"/>
        <item m="1" x="2122"/>
        <item m="1" x="1997"/>
        <item m="1" x="1924"/>
        <item m="1" x="1364"/>
        <item m="1" x="1386"/>
        <item m="1" x="1190"/>
        <item m="1" x="1449"/>
        <item m="1" x="1604"/>
        <item m="1" x="2196"/>
        <item m="1" x="1770"/>
        <item m="1" x="1264"/>
        <item m="1" x="1933"/>
        <item m="1" x="1210"/>
        <item m="1" x="1261"/>
        <item m="1" x="1737"/>
        <item m="1" x="1907"/>
        <item m="1" x="1493"/>
        <item m="1" x="1839"/>
        <item m="1" x="2017"/>
        <item m="1" x="1590"/>
        <item m="1" x="1496"/>
        <item m="1" x="1545"/>
        <item m="1" x="565"/>
        <item m="1" x="1334"/>
        <item m="1" x="452"/>
        <item m="1" x="1230"/>
        <item m="1" x="1930"/>
        <item m="1" x="1735"/>
        <item m="1" x="1655"/>
        <item m="1" x="1039"/>
        <item m="1" x="1642"/>
        <item m="1" x="1760"/>
        <item m="1" x="2178"/>
        <item m="1" x="1384"/>
        <item m="1" x="1249"/>
        <item m="1" x="1256"/>
        <item m="1" x="1623"/>
        <item m="1" x="1945"/>
        <item m="1" x="1671"/>
        <item m="1" x="1768"/>
        <item m="1" x="1863"/>
        <item m="1" x="2250"/>
        <item m="1" x="2241"/>
        <item m="1" x="2251"/>
        <item m="1" x="1048"/>
        <item m="1" x="855"/>
        <item m="1" x="1588"/>
        <item m="1" x="1546"/>
        <item m="1" x="1358"/>
        <item m="1" x="1409"/>
        <item m="1" x="1867"/>
        <item m="1" x="1101"/>
        <item m="1" x="1898"/>
        <item m="1" x="2272"/>
        <item m="1" x="1288"/>
        <item m="1" x="1461"/>
        <item m="1" x="1196"/>
        <item m="1" x="2244"/>
        <item m="1" x="2013"/>
        <item m="1" x="1736"/>
        <item m="1" x="364"/>
        <item m="1" x="1289"/>
        <item m="1" x="1940"/>
        <item m="1" x="1882"/>
        <item m="1" x="2174"/>
        <item m="1" x="1820"/>
        <item m="1" x="790"/>
        <item m="1" x="856"/>
        <item m="1" x="1276"/>
        <item m="1" x="1840"/>
        <item m="1" x="2149"/>
        <item m="1" x="363"/>
        <item m="1" x="1041"/>
        <item m="1" x="1141"/>
        <item m="1" x="2150"/>
        <item m="1" x="2007"/>
        <item m="1" x="2159"/>
        <item m="1" x="2235"/>
        <item m="1" x="1684"/>
        <item m="1" x="1301"/>
        <item m="1" x="1490"/>
        <item m="1" x="1049"/>
        <item m="1" x="1925"/>
        <item m="1" x="1398"/>
        <item m="1" x="1381"/>
        <item m="1" x="1620"/>
        <item m="1" x="1812"/>
        <item m="1" x="1645"/>
        <item m="1" x="2222"/>
        <item m="1" x="1846"/>
        <item m="1" x="1524"/>
        <item m="1" x="1320"/>
        <item m="1" x="1559"/>
        <item m="1" x="1817"/>
        <item m="1" x="1730"/>
        <item m="1" x="1228"/>
        <item m="1" x="1987"/>
        <item m="1" x="654"/>
        <item m="1" x="1345"/>
        <item m="1" x="1952"/>
        <item m="1" x="2269"/>
        <item m="1" x="2034"/>
        <item m="1" x="1690"/>
        <item m="1" x="1263"/>
        <item m="1" x="1184"/>
        <item m="1" x="1749"/>
        <item m="1" x="1361"/>
        <item m="1" x="1959"/>
        <item m="1" x="1697"/>
        <item m="1" x="1042"/>
        <item m="1" x="1366"/>
        <item m="1" x="1616"/>
        <item m="1" x="465"/>
        <item m="1" x="1480"/>
        <item m="1" x="2151"/>
        <item m="1" x="1790"/>
        <item m="1" x="1627"/>
        <item m="1" x="2036"/>
        <item m="1" x="1525"/>
        <item m="1" x="1293"/>
        <item m="1" x="1181"/>
        <item m="1" x="1528"/>
        <item m="1" x="1454"/>
        <item m="1" x="1564"/>
        <item m="1" x="2088"/>
        <item m="1" x="1773"/>
        <item m="1" x="2111"/>
        <item m="1" x="1250"/>
        <item m="1" x="2005"/>
        <item m="1" x="2202"/>
        <item m="1" x="1303"/>
        <item m="1" x="1743"/>
        <item m="1" x="2229"/>
        <item m="1" x="1785"/>
        <item m="1" x="1572"/>
        <item m="1" x="1455"/>
        <item m="1" x="1416"/>
        <item m="1" x="2167"/>
        <item m="1" x="1467"/>
        <item m="1" x="1499"/>
        <item m="1" x="1605"/>
        <item m="1" x="1646"/>
        <item m="1" x="1487"/>
        <item m="1" x="859"/>
        <item m="1" x="860"/>
        <item m="1" x="1485"/>
        <item m="1" x="1176"/>
        <item m="1" x="857"/>
        <item m="1" x="694"/>
        <item m="1" x="863"/>
        <item m="1" x="866"/>
        <item m="1" x="2236"/>
        <item m="1" x="774"/>
        <item m="1" x="1557"/>
        <item m="1" x="861"/>
        <item m="1" x="2082"/>
        <item m="1" x="1729"/>
        <item m="1" x="1292"/>
        <item m="1" x="1733"/>
        <item m="1" x="858"/>
        <item m="1" x="1397"/>
        <item m="1" x="1396"/>
        <item m="1" x="1631"/>
        <item m="1" x="2154"/>
        <item m="1" x="865"/>
        <item m="1" x="1934"/>
        <item m="1" x="862"/>
        <item m="1" x="1359"/>
        <item m="1" x="1044"/>
        <item m="1" x="1344"/>
        <item m="1" x="1268"/>
        <item m="1" x="864"/>
        <item m="1" x="1317"/>
        <item m="1" x="2008"/>
        <item m="1" x="2280"/>
        <item m="1" x="1832"/>
        <item m="1" x="1594"/>
        <item m="1" x="1272"/>
        <item m="1" x="1219"/>
        <item m="1" x="1553"/>
        <item m="1" x="2141"/>
        <item m="1" x="1657"/>
        <item m="1" x="1330"/>
        <item m="1" x="868"/>
        <item m="1" x="2094"/>
        <item m="1" x="1198"/>
        <item m="1" x="1183"/>
        <item m="1" x="1438"/>
        <item m="1" x="2270"/>
        <item m="1" x="1522"/>
        <item m="1" x="1621"/>
        <item m="1" x="1462"/>
        <item m="1" x="1192"/>
        <item m="1" x="2214"/>
        <item m="1" x="1367"/>
        <item m="1" x="2110"/>
        <item m="1" x="2200"/>
        <item m="1" x="1663"/>
        <item m="1" x="1441"/>
        <item m="1" x="1788"/>
        <item m="1" x="1105"/>
        <item m="1" x="566"/>
        <item m="1" x="2009"/>
        <item m="1" x="1599"/>
        <item m="1" x="1146"/>
        <item m="1" x="1102"/>
        <item m="1" x="1504"/>
        <item m="1" x="1463"/>
        <item m="1" x="2166"/>
        <item m="1" x="2127"/>
        <item m="1" x="1905"/>
        <item m="1" x="1756"/>
        <item m="1" x="365"/>
        <item m="1" x="567"/>
        <item m="1" x="1894"/>
        <item m="1" x="390"/>
        <item m="1" x="2052"/>
        <item m="1" x="869"/>
        <item m="1" x="1622"/>
        <item m="1" x="1472"/>
        <item m="1" x="1849"/>
        <item m="1" x="1918"/>
        <item m="1" x="1370"/>
        <item m="1" x="1844"/>
        <item m="1" x="1632"/>
        <item m="1" x="1748"/>
        <item m="1" x="388"/>
        <item m="1" x="870"/>
        <item m="1" x="1045"/>
        <item m="1" x="1829"/>
        <item m="1" x="2165"/>
        <item m="1" x="1571"/>
        <item m="1" x="905"/>
        <item m="1" x="1753"/>
        <item m="1" x="2065"/>
        <item m="1" x="1601"/>
        <item m="1" x="1104"/>
        <item m="1" x="765"/>
        <item m="1" x="2028"/>
        <item m="1" x="1103"/>
        <item m="1" x="1574"/>
        <item m="1" x="568"/>
        <item m="1" x="1750"/>
        <item m="1" x="195"/>
        <item m="1" x="872"/>
        <item m="1" x="1703"/>
        <item m="1" x="1277"/>
        <item m="1" x="1969"/>
        <item m="1" x="1888"/>
        <item m="1" x="1442"/>
        <item m="1" x="434"/>
        <item x="169"/>
        <item m="1" x="569"/>
        <item m="1" x="1161"/>
        <item m="1" x="1721"/>
        <item m="1" x="1106"/>
        <item m="1" x="873"/>
        <item m="1" x="1955"/>
        <item m="1" x="570"/>
        <item x="13"/>
        <item m="1" x="1205"/>
        <item m="1" x="871"/>
        <item m="1" x="1746"/>
        <item x="39"/>
        <item m="1" x="571"/>
        <item m="1" x="537"/>
        <item m="1" x="1979"/>
        <item m="1" x="1118"/>
        <item m="1" x="1341"/>
        <item m="1" x="1873"/>
        <item m="1" x="1831"/>
        <item m="1" x="1046"/>
        <item m="1" x="1670"/>
        <item m="1" x="1529"/>
        <item m="1" x="1992"/>
        <item m="1" x="1047"/>
        <item m="1" x="2033"/>
        <item m="1" x="874"/>
        <item m="1" x="627"/>
        <item m="1" x="875"/>
        <item m="1" x="1777"/>
        <item m="1" x="1430"/>
        <item m="1" x="1544"/>
        <item m="1" x="572"/>
        <item m="1" x="1435"/>
        <item m="1" x="1879"/>
        <item m="1" x="1983"/>
        <item m="1" x="220"/>
        <item m="1" x="1824"/>
        <item m="1" x="1900"/>
        <item m="1" x="1379"/>
        <item m="1" x="1074"/>
        <item m="1" x="1075"/>
        <item m="1" x="1076"/>
        <item m="1" x="759"/>
        <item m="1" x="1077"/>
        <item m="1" x="1078"/>
        <item m="1" x="1079"/>
        <item m="1" x="1080"/>
        <item m="1" x="1377"/>
        <item m="1" x="1464"/>
        <item m="1" x="1353"/>
        <item m="1" x="1005"/>
        <item m="1" x="1415"/>
        <item m="1" x="1755"/>
        <item m="1" x="2115"/>
        <item m="1" x="1193"/>
        <item m="1" x="1586"/>
        <item m="1" x="1270"/>
        <item m="1" x="2211"/>
        <item m="1" x="2055"/>
        <item m="1" x="1483"/>
        <item m="1" x="538"/>
        <item m="1" x="986"/>
        <item m="1" x="1147"/>
        <item m="1" x="2232"/>
        <item m="1" x="1214"/>
        <item m="1" x="1232"/>
        <item m="1" x="1107"/>
        <item m="1" x="1692"/>
        <item m="1" x="1445"/>
        <item m="1" x="1399"/>
        <item m="1" x="1775"/>
        <item m="1" x="1769"/>
        <item m="1" x="745"/>
        <item m="1" x="2136"/>
        <item x="167"/>
        <item m="1" x="597"/>
        <item m="1" x="598"/>
        <item m="1" x="1058"/>
        <item m="1" x="1204"/>
        <item m="1" x="2205"/>
        <item m="1" x="1876"/>
        <item m="1" x="1971"/>
        <item m="1" x="1658"/>
        <item m="1" x="1922"/>
        <item m="1" x="1143"/>
        <item x="3"/>
        <item m="1" x="2291"/>
        <item m="1" x="1223"/>
        <item m="1" x="2086"/>
        <item m="1" x="2283"/>
        <item m="1" x="1375"/>
        <item m="1" x="1709"/>
        <item m="1" x="1108"/>
        <item m="1" x="1051"/>
        <item m="1" x="1109"/>
        <item m="1" x="2181"/>
        <item m="1" x="1052"/>
        <item m="1" x="1841"/>
        <item m="1" x="1640"/>
        <item m="1" x="1348"/>
        <item m="1" x="1372"/>
        <item m="1" x="1956"/>
        <item m="1" x="1582"/>
        <item m="1" x="1976"/>
        <item m="1" x="573"/>
        <item m="1" x="910"/>
        <item m="1" x="1022"/>
        <item m="1" x="825"/>
        <item m="1" x="1378"/>
        <item m="1" x="1560"/>
        <item m="1" x="993"/>
        <item m="1" x="1115"/>
        <item m="1" x="1023"/>
        <item m="1" x="1024"/>
        <item m="1" x="1964"/>
        <item m="1" x="1860"/>
        <item m="1" x="1025"/>
        <item m="1" x="1470"/>
        <item m="1" x="649"/>
        <item m="1" x="1998"/>
        <item m="1" x="1026"/>
        <item m="1" x="1609"/>
        <item m="1" x="1534"/>
        <item m="1" x="1027"/>
        <item m="1" x="1953"/>
        <item m="1" x="1280"/>
        <item m="1" x="1865"/>
        <item m="1" x="2062"/>
        <item m="1" x="1943"/>
        <item m="1" x="1868"/>
        <item m="1" x="2050"/>
        <item m="1" x="650"/>
        <item m="1" x="2080"/>
        <item m="1" x="1053"/>
        <item m="1" x="1185"/>
        <item m="1" x="1054"/>
        <item m="1" x="1453"/>
        <item m="1" x="1055"/>
        <item m="1" x="801"/>
        <item m="1" x="283"/>
        <item m="1" x="1019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686"/>
        <item m="1" x="1693"/>
        <item m="1" x="1629"/>
        <item m="1" x="1556"/>
        <item m="1" x="1548"/>
        <item m="1" x="1387"/>
        <item m="1" x="1057"/>
        <item m="1" x="1110"/>
        <item m="1" x="1028"/>
        <item m="1" x="1093"/>
        <item m="1" x="1111"/>
        <item m="1" x="426"/>
        <item m="1" x="1029"/>
        <item m="1" x="1030"/>
        <item m="1" x="1031"/>
        <item m="1" x="948"/>
        <item x="6"/>
        <item m="1" x="525"/>
        <item m="1" x="877"/>
        <item m="1" x="275"/>
        <item m="1" x="775"/>
        <item m="1" x="1116"/>
        <item m="1" x="268"/>
        <item m="1" x="286"/>
        <item m="1" x="651"/>
        <item m="1" x="912"/>
        <item m="1" x="1032"/>
        <item m="1" x="1094"/>
        <item m="1" x="1112"/>
        <item m="1" x="849"/>
        <item m="1" x="1114"/>
        <item m="1" x="575"/>
        <item m="1" x="1059"/>
        <item m="1" x="715"/>
        <item m="1" x="878"/>
        <item m="1" x="581"/>
        <item m="1" x="1060"/>
        <item m="1" x="1095"/>
        <item m="1" x="726"/>
        <item m="1" x="781"/>
        <item m="1" x="196"/>
        <item m="1" x="1061"/>
        <item m="1" x="968"/>
        <item m="1" x="576"/>
        <item m="1" x="1004"/>
        <item m="1" x="511"/>
        <item m="1" x="512"/>
        <item m="1" x="1033"/>
        <item m="1" x="1062"/>
        <item m="1" x="1063"/>
        <item m="1" x="879"/>
        <item m="1" x="1034"/>
        <item m="1" x="880"/>
        <item m="1" x="1065"/>
        <item m="1" x="1066"/>
        <item m="1" x="1067"/>
        <item m="1" x="1068"/>
        <item m="1" x="1069"/>
        <item m="1" x="1070"/>
        <item m="1" x="1071"/>
        <item m="1" x="1035"/>
        <item m="1" x="987"/>
        <item m="1" x="969"/>
        <item m="1" x="267"/>
        <item m="1" x="1013"/>
        <item m="1" x="345"/>
        <item m="1" x="1072"/>
        <item m="1" x="994"/>
        <item m="1" x="995"/>
        <item m="1" x="448"/>
        <item m="1" x="1006"/>
        <item m="1" x="970"/>
        <item m="1" x="1096"/>
        <item m="1" x="1020"/>
        <item m="1" x="971"/>
        <item m="1" x="972"/>
        <item m="1" x="367"/>
        <item m="1" x="1007"/>
        <item m="1" x="1008"/>
        <item m="1" x="1009"/>
        <item m="1" x="1010"/>
        <item m="1" x="1011"/>
        <item m="1" x="881"/>
        <item m="1" x="882"/>
        <item m="1" x="1012"/>
        <item m="1" x="973"/>
        <item x="12"/>
        <item m="1" x="197"/>
        <item m="1" x="1014"/>
        <item m="1" x="974"/>
        <item x="49"/>
        <item m="1" x="883"/>
        <item m="1" x="884"/>
        <item m="1" x="885"/>
        <item m="1" x="996"/>
        <item m="1" x="271"/>
        <item m="1" x="886"/>
        <item m="1" x="1015"/>
        <item m="1" x="975"/>
        <item m="1" x="997"/>
        <item m="1" x="1016"/>
        <item m="1" x="976"/>
        <item m="1" x="1018"/>
        <item m="1" x="744"/>
        <item m="1" x="989"/>
        <item m="1" x="1001"/>
        <item m="1" x="1002"/>
        <item m="1" x="272"/>
        <item x="4"/>
        <item m="1" x="977"/>
        <item m="1" x="887"/>
        <item m="1" x="888"/>
        <item m="1" x="889"/>
        <item m="1" x="917"/>
        <item m="1" x="998"/>
        <item m="1" x="955"/>
        <item m="1" x="999"/>
        <item m="1" x="646"/>
        <item m="1" x="890"/>
        <item m="1" x="891"/>
        <item m="1" x="892"/>
        <item m="1" x="893"/>
        <item m="1" x="946"/>
        <item m="1" x="851"/>
        <item m="1" x="947"/>
        <item m="1" x="867"/>
        <item m="1" x="894"/>
        <item m="1" x="716"/>
        <item m="1" x="978"/>
        <item m="1" x="979"/>
        <item m="1" x="328"/>
        <item m="1" x="980"/>
        <item m="1" x="981"/>
        <item m="1" x="982"/>
        <item m="1" x="918"/>
        <item m="1" x="990"/>
        <item m="1" x="895"/>
        <item m="1" x="1000"/>
        <item m="1" x="984"/>
        <item m="1" x="985"/>
        <item m="1" x="988"/>
        <item m="1" x="896"/>
        <item m="1" x="897"/>
        <item m="1" x="937"/>
        <item m="1" x="991"/>
        <item m="1" x="992"/>
        <item m="1" x="983"/>
        <item m="1" x="899"/>
        <item m="1" x="950"/>
        <item m="1" x="951"/>
        <item m="1" x="952"/>
        <item m="1" x="900"/>
        <item m="1" x="953"/>
        <item m="1" x="954"/>
        <item m="1" x="901"/>
        <item m="1" x="519"/>
        <item m="1" x="902"/>
        <item m="1" x="956"/>
        <item m="1" x="957"/>
        <item m="1" x="958"/>
        <item m="1" x="919"/>
        <item m="1" x="903"/>
        <item m="1" x="959"/>
        <item m="1" x="938"/>
        <item m="1" x="904"/>
        <item m="1" x="960"/>
        <item m="1" x="961"/>
        <item m="1" x="931"/>
        <item m="1" x="932"/>
        <item m="1" x="962"/>
        <item m="1" x="194"/>
        <item m="1" x="963"/>
        <item m="1" x="269"/>
        <item m="1" x="285"/>
        <item m="1" x="922"/>
        <item m="1" x="923"/>
        <item m="1" x="443"/>
        <item m="1" x="444"/>
        <item m="1" x="924"/>
        <item m="1" x="427"/>
        <item m="1" x="432"/>
        <item m="1" x="930"/>
        <item x="1"/>
        <item m="1" x="964"/>
        <item m="1" x="577"/>
        <item m="1" x="965"/>
        <item m="1" x="414"/>
        <item m="1" x="966"/>
        <item m="1" x="685"/>
        <item m="1" x="939"/>
        <item m="1" x="940"/>
        <item m="1" x="925"/>
        <item m="1" x="926"/>
        <item m="1" x="755"/>
        <item m="1" x="756"/>
        <item m="1" x="757"/>
        <item m="1" x="758"/>
        <item m="1" x="760"/>
        <item m="1" x="761"/>
        <item m="1" x="762"/>
        <item m="1" x="763"/>
        <item m="1" x="266"/>
        <item m="1" x="850"/>
        <item m="1" x="941"/>
        <item m="1" x="933"/>
        <item m="1" x="945"/>
        <item m="1" x="372"/>
        <item m="1" x="717"/>
        <item m="1" x="935"/>
        <item m="1" x="942"/>
        <item m="1" x="633"/>
        <item m="1" x="927"/>
        <item m="1" x="928"/>
        <item m="1" x="943"/>
        <item m="1" x="944"/>
        <item m="1" x="936"/>
        <item m="1" x="906"/>
        <item m="1" x="614"/>
        <item m="1" x="907"/>
        <item m="1" x="908"/>
        <item m="1" x="909"/>
        <item m="1" x="911"/>
        <item m="1" x="913"/>
        <item m="1" x="914"/>
        <item m="1" x="915"/>
        <item m="1" x="916"/>
        <item m="1" x="920"/>
        <item m="1" x="921"/>
        <item m="1" x="929"/>
        <item x="14"/>
        <item x="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652"/>
        <item x="26"/>
        <item m="1" x="803"/>
        <item m="1" x="653"/>
        <item m="1" x="624"/>
        <item m="1" x="578"/>
        <item m="1" x="579"/>
        <item m="1" x="835"/>
        <item m="1" x="836"/>
        <item m="1" x="331"/>
        <item m="1" x="837"/>
        <item m="1" x="804"/>
        <item m="1" x="580"/>
        <item m="1" x="844"/>
        <item m="1" x="845"/>
        <item m="1" x="764"/>
        <item m="1" x="625"/>
        <item m="1" x="805"/>
        <item m="1" x="838"/>
        <item m="1" x="373"/>
        <item m="1" x="847"/>
        <item m="1" x="270"/>
        <item m="1" x="437"/>
        <item m="1" x="806"/>
        <item m="1" x="839"/>
        <item m="1" x="746"/>
        <item m="1" x="795"/>
        <item m="1" x="817"/>
        <item m="1" x="840"/>
        <item m="1" x="807"/>
        <item m="1" x="766"/>
        <item m="1" x="767"/>
        <item m="1" x="841"/>
        <item m="1" x="768"/>
        <item x="2"/>
        <item m="1" x="439"/>
        <item m="1" x="769"/>
        <item m="1" x="808"/>
        <item m="1" x="770"/>
        <item m="1" x="819"/>
        <item m="1" x="809"/>
        <item m="1" x="824"/>
        <item m="1" x="792"/>
        <item m="1" x="539"/>
        <item m="1" x="540"/>
        <item m="1" x="771"/>
        <item m="1" x="582"/>
        <item m="1" x="823"/>
        <item m="1" x="842"/>
        <item m="1" x="843"/>
        <item m="1" x="583"/>
        <item m="1" x="584"/>
        <item m="1" x="585"/>
        <item m="1" x="820"/>
        <item m="1" x="586"/>
        <item m="1" x="821"/>
        <item m="1" x="810"/>
        <item m="1" x="796"/>
        <item m="1" x="719"/>
        <item m="1" x="250"/>
        <item m="1" x="811"/>
        <item m="1" x="787"/>
        <item m="1" x="788"/>
        <item m="1" x="822"/>
        <item m="1" x="655"/>
        <item m="1" x="198"/>
        <item m="1" x="789"/>
        <item m="1" x="509"/>
        <item m="1" x="772"/>
        <item m="1" x="773"/>
        <item m="1" x="720"/>
        <item m="1" x="813"/>
        <item m="1" x="814"/>
        <item m="1" x="815"/>
        <item m="1" x="273"/>
        <item m="1" x="436"/>
        <item m="1" x="802"/>
        <item x="23"/>
        <item m="1" x="656"/>
        <item m="1" x="797"/>
        <item m="1" x="359"/>
        <item m="1" x="449"/>
        <item m="1" x="362"/>
        <item m="1" x="798"/>
        <item m="1" x="776"/>
        <item m="1" x="816"/>
        <item m="1" x="587"/>
        <item m="1" x="588"/>
        <item m="1" x="791"/>
        <item m="1" x="657"/>
        <item m="1" x="747"/>
        <item m="1" x="647"/>
        <item m="1" x="722"/>
        <item m="1" x="513"/>
        <item m="1" x="589"/>
        <item m="1" x="799"/>
        <item m="1" x="590"/>
        <item m="1" x="276"/>
        <item x="91"/>
        <item m="1" x="777"/>
        <item m="1" x="279"/>
        <item m="1" x="277"/>
        <item m="1" x="278"/>
        <item m="1" x="274"/>
        <item m="1" x="280"/>
        <item m="1" x="541"/>
        <item m="1" x="793"/>
        <item m="1" x="723"/>
        <item m="1" x="591"/>
        <item m="1" x="748"/>
        <item m="1" x="658"/>
        <item m="1" x="778"/>
        <item m="1" x="779"/>
        <item m="1" x="800"/>
        <item m="1" x="749"/>
        <item m="1" x="780"/>
        <item m="1" x="659"/>
        <item m="1" x="626"/>
        <item m="1" x="794"/>
        <item m="1" x="724"/>
        <item m="1" x="750"/>
        <item m="1" x="751"/>
        <item m="1" x="376"/>
        <item m="1" x="661"/>
        <item m="1" x="662"/>
        <item m="1" x="725"/>
        <item m="1" x="553"/>
        <item m="1" x="663"/>
        <item m="1" x="752"/>
        <item m="1" x="784"/>
        <item m="1" x="785"/>
        <item m="1" x="786"/>
        <item m="1" x="753"/>
        <item m="1" x="595"/>
        <item m="1" x="727"/>
        <item m="1" x="290"/>
        <item m="1" x="782"/>
        <item m="1" x="718"/>
        <item m="1" x="664"/>
        <item m="1" x="728"/>
        <item m="1" x="783"/>
        <item m="1" x="729"/>
        <item m="1" x="730"/>
        <item m="1" x="754"/>
        <item m="1" x="731"/>
        <item m="1" x="665"/>
        <item m="1" x="732"/>
        <item m="1" x="733"/>
        <item m="1" x="666"/>
        <item m="1" x="428"/>
        <item m="1" x="734"/>
        <item m="1" x="735"/>
        <item m="1" x="630"/>
        <item m="1" x="592"/>
        <item m="1" x="500"/>
        <item m="1" x="371"/>
        <item m="1" x="440"/>
        <item m="1" x="301"/>
        <item m="1" x="667"/>
        <item m="1" x="741"/>
        <item x="11"/>
        <item x="27"/>
        <item m="1" x="668"/>
        <item m="1" x="742"/>
        <item m="1" x="743"/>
        <item m="1" x="369"/>
        <item m="1" x="669"/>
        <item m="1" x="736"/>
        <item x="126"/>
        <item m="1" x="739"/>
        <item m="1" x="737"/>
        <item m="1" x="738"/>
        <item m="1" x="670"/>
        <item m="1" x="542"/>
        <item m="1" x="671"/>
        <item m="1" x="325"/>
        <item m="1" x="740"/>
        <item m="1" x="613"/>
        <item m="1" x="672"/>
        <item m="1" x="370"/>
        <item m="1" x="543"/>
        <item m="1" x="544"/>
        <item m="1" x="545"/>
        <item m="1" x="546"/>
        <item m="1" x="673"/>
        <item x="21"/>
        <item m="1" x="422"/>
        <item m="1" x="674"/>
        <item m="1" x="675"/>
        <item m="1" x="676"/>
        <item m="1" x="677"/>
        <item m="1" x="678"/>
        <item m="1" x="679"/>
        <item m="1" x="680"/>
        <item x="18"/>
        <item x="19"/>
        <item x="20"/>
        <item m="1" x="681"/>
        <item x="24"/>
        <item m="1" x="682"/>
        <item x="22"/>
        <item m="1" x="593"/>
        <item m="1" x="683"/>
        <item m="1" x="594"/>
        <item m="1" x="332"/>
        <item m="1" x="684"/>
        <item m="1" x="454"/>
        <item x="15"/>
        <item m="1" x="686"/>
        <item m="1" x="687"/>
        <item m="1" x="438"/>
        <item m="1" x="689"/>
        <item m="1" x="690"/>
        <item m="1" x="691"/>
        <item m="1" x="692"/>
        <item m="1" x="693"/>
        <item m="1" x="695"/>
        <item m="1" x="696"/>
        <item m="1" x="697"/>
        <item x="25"/>
        <item m="1" x="698"/>
        <item m="1" x="344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632"/>
        <item m="1" x="547"/>
        <item m="1" x="548"/>
        <item m="1" x="549"/>
        <item m="1" x="550"/>
        <item m="1" x="712"/>
        <item m="1" x="713"/>
        <item m="1" x="714"/>
        <item m="1" x="551"/>
        <item m="1" x="634"/>
        <item m="1" x="635"/>
        <item m="1" x="636"/>
        <item m="1" x="637"/>
        <item m="1" x="638"/>
        <item m="1" x="639"/>
        <item m="1" x="599"/>
        <item m="1" x="233"/>
        <item m="1" x="615"/>
        <item m="1" x="455"/>
        <item m="1" x="453"/>
        <item x="9"/>
        <item m="1" x="368"/>
        <item m="1" x="374"/>
        <item m="1" x="600"/>
        <item m="1" x="601"/>
        <item m="1" x="527"/>
        <item m="1" x="528"/>
        <item m="1" x="616"/>
        <item m="1" x="602"/>
        <item m="1" x="603"/>
        <item m="1" x="617"/>
        <item m="1" x="628"/>
        <item m="1" x="393"/>
        <item m="1" x="604"/>
        <item m="1" x="554"/>
        <item m="1" x="631"/>
        <item m="1" x="640"/>
        <item m="1" x="596"/>
        <item m="1" x="641"/>
        <item m="1" x="642"/>
        <item m="1" x="645"/>
        <item m="1" x="529"/>
        <item m="1" x="284"/>
        <item m="1" x="450"/>
        <item m="1" x="530"/>
        <item m="1" x="199"/>
        <item m="1" x="451"/>
        <item x="10"/>
        <item x="16"/>
        <item x="17"/>
        <item m="1" x="281"/>
        <item m="1" x="282"/>
        <item x="109"/>
        <item m="1" x="618"/>
        <item m="1" x="555"/>
        <item m="1" x="629"/>
        <item m="1" x="531"/>
        <item m="1" x="605"/>
        <item m="1" x="606"/>
        <item m="1" x="532"/>
        <item m="1" x="607"/>
        <item m="1" x="533"/>
        <item x="120"/>
        <item m="1" x="619"/>
        <item m="1" x="608"/>
        <item m="1" x="557"/>
        <item m="1" x="481"/>
        <item m="1" x="234"/>
        <item m="1" x="491"/>
        <item m="1" x="488"/>
        <item x="177"/>
        <item m="1" x="412"/>
        <item m="1" x="620"/>
        <item m="1" x="621"/>
        <item m="1" x="622"/>
        <item m="1" x="623"/>
        <item m="1" x="382"/>
        <item m="1" x="314"/>
        <item m="1" x="429"/>
        <item m="1" x="534"/>
        <item x="121"/>
        <item m="1" x="558"/>
        <item m="1" x="610"/>
        <item m="1" x="609"/>
        <item m="1" x="559"/>
        <item x="83"/>
        <item x="135"/>
        <item m="1" x="477"/>
        <item m="1" x="293"/>
        <item m="1" x="288"/>
        <item m="1" x="295"/>
        <item m="1" x="298"/>
        <item x="151"/>
        <item m="1" x="535"/>
        <item m="1" x="611"/>
        <item x="7"/>
        <item m="1" x="612"/>
        <item m="1" x="521"/>
        <item m="1" x="560"/>
        <item x="152"/>
        <item x="175"/>
        <item m="1" x="518"/>
        <item m="1" x="561"/>
        <item m="1" x="562"/>
        <item x="184"/>
        <item x="178"/>
        <item x="179"/>
        <item m="1" x="458"/>
        <item m="1" x="471"/>
        <item m="1" x="489"/>
        <item m="1" x="461"/>
        <item m="1" x="494"/>
        <item m="1" x="536"/>
        <item m="1" x="459"/>
        <item m="1" x="563"/>
        <item m="1" x="522"/>
        <item m="1" x="517"/>
        <item m="1" x="564"/>
        <item m="1" x="526"/>
        <item m="1" x="524"/>
        <item m="1" x="492"/>
        <item m="1" x="299"/>
        <item m="1" x="297"/>
        <item m="1" x="483"/>
        <item m="1" x="486"/>
        <item m="1" x="464"/>
        <item x="28"/>
        <item m="1" x="472"/>
        <item x="70"/>
        <item m="1" x="523"/>
        <item x="92"/>
        <item m="1" x="515"/>
        <item m="1" x="516"/>
        <item x="112"/>
        <item m="1" x="419"/>
        <item m="1" x="507"/>
        <item m="1" x="484"/>
        <item x="139"/>
        <item x="144"/>
        <item m="1" x="460"/>
        <item x="153"/>
        <item m="1" x="499"/>
        <item m="1" x="520"/>
        <item m="1" x="501"/>
        <item m="1" x="495"/>
        <item m="1" x="394"/>
        <item m="1" x="470"/>
        <item x="71"/>
        <item m="1" x="475"/>
        <item m="1" x="497"/>
        <item m="1" x="463"/>
        <item m="1" x="294"/>
        <item m="1" x="485"/>
        <item m="1" x="502"/>
        <item m="1" x="504"/>
        <item m="1" x="391"/>
        <item m="1" x="473"/>
        <item m="1" x="347"/>
        <item m="1" x="352"/>
        <item m="1" x="348"/>
        <item x="181"/>
        <item m="1" x="467"/>
        <item m="1" x="503"/>
        <item m="1" x="341"/>
        <item m="1" x="505"/>
        <item m="1" x="479"/>
        <item x="146"/>
        <item m="1" x="508"/>
        <item m="1" x="493"/>
        <item m="1" x="466"/>
        <item m="1" x="468"/>
        <item m="1" x="469"/>
        <item m="1" x="456"/>
        <item x="85"/>
        <item m="1" x="474"/>
        <item x="87"/>
        <item m="1" x="457"/>
        <item m="1" x="476"/>
        <item m="1" x="478"/>
        <item m="1" x="480"/>
        <item m="1" x="490"/>
        <item m="1" x="462"/>
        <item m="1" x="300"/>
        <item m="1" x="496"/>
        <item m="1" x="498"/>
        <item m="1" x="375"/>
        <item x="29"/>
        <item m="1" x="377"/>
        <item m="1" x="378"/>
        <item m="1" x="379"/>
        <item x="30"/>
        <item m="1" x="380"/>
        <item m="1" x="381"/>
        <item x="43"/>
        <item m="1" x="214"/>
        <item x="44"/>
        <item m="1" x="383"/>
        <item m="1" x="384"/>
        <item m="1" x="292"/>
        <item m="1" x="307"/>
        <item m="1" x="385"/>
        <item m="1" x="308"/>
        <item m="1" x="386"/>
        <item m="1" x="389"/>
        <item m="1" x="392"/>
        <item x="47"/>
        <item m="1" x="395"/>
        <item m="1" x="396"/>
        <item m="1" x="397"/>
        <item m="1" x="309"/>
        <item m="1" x="398"/>
        <item m="1" x="310"/>
        <item m="1" x="399"/>
        <item m="1" x="400"/>
        <item m="1" x="311"/>
        <item m="1" x="401"/>
        <item x="84"/>
        <item x="86"/>
        <item m="1" x="402"/>
        <item x="88"/>
        <item m="1" x="403"/>
        <item m="1" x="404"/>
        <item m="1" x="405"/>
        <item x="95"/>
        <item m="1" x="346"/>
        <item m="1" x="406"/>
        <item x="96"/>
        <item x="98"/>
        <item m="1" x="407"/>
        <item x="101"/>
        <item m="1" x="408"/>
        <item x="103"/>
        <item x="108"/>
        <item x="110"/>
        <item m="1" x="410"/>
        <item m="1" x="411"/>
        <item m="1" x="413"/>
        <item x="115"/>
        <item x="116"/>
        <item m="1" x="415"/>
        <item m="1" x="416"/>
        <item m="1" x="418"/>
        <item x="122"/>
        <item m="1" x="316"/>
        <item m="1" x="420"/>
        <item m="1" x="421"/>
        <item m="1" x="317"/>
        <item m="1" x="423"/>
        <item m="1" x="424"/>
        <item m="1" x="319"/>
        <item m="1" x="320"/>
        <item x="148"/>
        <item m="1" x="327"/>
        <item x="174"/>
        <item m="1" x="430"/>
        <item m="1" x="431"/>
        <item m="1" x="433"/>
        <item x="176"/>
        <item m="1" x="333"/>
        <item m="1" x="441"/>
        <item x="182"/>
        <item m="1" x="442"/>
        <item m="1" x="445"/>
        <item m="1" x="446"/>
        <item m="1" x="336"/>
        <item m="1" x="361"/>
        <item m="1" x="447"/>
        <item m="1" x="302"/>
        <item m="1" x="339"/>
        <item m="1" x="303"/>
        <item m="1" x="340"/>
        <item m="1" x="304"/>
        <item m="1" x="305"/>
        <item m="1" x="306"/>
        <item x="72"/>
        <item x="73"/>
        <item x="74"/>
        <item m="1" x="343"/>
        <item m="1" x="312"/>
        <item x="117"/>
        <item m="1" x="349"/>
        <item x="118"/>
        <item m="1" x="350"/>
        <item m="1" x="351"/>
        <item x="131"/>
        <item m="1" x="353"/>
        <item x="132"/>
        <item x="140"/>
        <item m="1" x="354"/>
        <item x="141"/>
        <item x="145"/>
        <item m="1" x="355"/>
        <item x="156"/>
        <item m="1" x="322"/>
        <item m="1" x="356"/>
        <item m="1" x="323"/>
        <item m="1" x="357"/>
        <item m="1" x="326"/>
        <item m="1" x="330"/>
        <item x="173"/>
        <item m="1" x="360"/>
        <item m="1" x="334"/>
        <item m="1" x="337"/>
        <item x="190"/>
        <item m="1" x="338"/>
        <item x="77"/>
        <item x="89"/>
        <item m="1" x="313"/>
        <item x="133"/>
        <item x="134"/>
        <item m="1" x="321"/>
        <item x="147"/>
        <item x="149"/>
        <item x="158"/>
        <item m="1" x="324"/>
        <item m="1" x="329"/>
        <item m="1" x="335"/>
        <item x="33"/>
        <item m="1" x="287"/>
        <item x="34"/>
        <item x="37"/>
        <item x="38"/>
        <item m="1" x="208"/>
        <item m="1" x="289"/>
        <item x="54"/>
        <item x="59"/>
        <item x="76"/>
        <item x="78"/>
        <item x="100"/>
        <item x="111"/>
        <item x="113"/>
        <item m="1" x="242"/>
        <item x="123"/>
        <item m="1" x="246"/>
        <item m="1" x="247"/>
        <item x="128"/>
        <item x="129"/>
        <item x="138"/>
        <item x="142"/>
        <item m="1" x="252"/>
        <item m="1" x="253"/>
        <item x="154"/>
        <item x="159"/>
        <item x="160"/>
        <item x="161"/>
        <item m="1" x="296"/>
        <item x="168"/>
        <item x="183"/>
        <item x="185"/>
        <item x="186"/>
        <item x="187"/>
        <item m="1" x="200"/>
        <item x="35"/>
        <item m="1" x="201"/>
        <item x="36"/>
        <item m="1" x="202"/>
        <item m="1" x="203"/>
        <item m="1" x="204"/>
        <item m="1" x="205"/>
        <item m="1" x="206"/>
        <item m="1" x="209"/>
        <item m="1" x="210"/>
        <item m="1" x="211"/>
        <item m="1" x="212"/>
        <item m="1" x="213"/>
        <item m="1" x="215"/>
        <item m="1" x="216"/>
        <item m="1" x="217"/>
        <item m="1" x="218"/>
        <item x="50"/>
        <item m="1" x="219"/>
        <item x="55"/>
        <item x="56"/>
        <item m="1" x="221"/>
        <item m="1" x="222"/>
        <item m="1" x="223"/>
        <item m="1" x="224"/>
        <item x="60"/>
        <item x="63"/>
        <item x="64"/>
        <item m="1" x="225"/>
        <item m="1" x="226"/>
        <item x="124"/>
        <item m="1" x="228"/>
        <item x="94"/>
        <item m="1" x="229"/>
        <item m="1" x="231"/>
        <item x="104"/>
        <item m="1" x="232"/>
        <item x="114"/>
        <item m="1" x="235"/>
        <item m="1" x="236"/>
        <item m="1" x="237"/>
        <item m="1" x="238"/>
        <item m="1" x="239"/>
        <item m="1" x="240"/>
        <item x="119"/>
        <item m="1" x="241"/>
        <item m="1" x="243"/>
        <item m="1" x="244"/>
        <item m="1" x="245"/>
        <item m="1" x="248"/>
        <item m="1" x="249"/>
        <item m="1" x="251"/>
        <item x="130"/>
        <item m="1" x="254"/>
        <item m="1" x="255"/>
        <item m="1" x="256"/>
        <item x="155"/>
        <item m="1" x="257"/>
        <item m="1" x="258"/>
        <item m="1" x="259"/>
        <item x="166"/>
        <item x="171"/>
        <item m="1" x="260"/>
        <item m="1" x="261"/>
        <item m="1" x="262"/>
        <item m="1" x="263"/>
        <item m="1" x="264"/>
        <item x="189"/>
        <item x="40"/>
        <item x="41"/>
        <item x="42"/>
        <item x="45"/>
        <item x="46"/>
        <item x="48"/>
        <item x="51"/>
        <item x="52"/>
        <item x="53"/>
        <item x="57"/>
        <item x="58"/>
        <item x="61"/>
        <item x="62"/>
        <item x="65"/>
        <item x="66"/>
        <item x="67"/>
        <item x="68"/>
        <item x="69"/>
        <item x="75"/>
        <item x="79"/>
        <item x="80"/>
        <item x="81"/>
        <item x="90"/>
        <item x="93"/>
        <item x="97"/>
        <item x="99"/>
        <item x="102"/>
        <item x="105"/>
        <item x="125"/>
        <item x="127"/>
        <item x="136"/>
        <item x="143"/>
        <item x="157"/>
        <item x="162"/>
        <item x="164"/>
        <item x="165"/>
        <item x="170"/>
        <item x="172"/>
        <item x="188"/>
        <item x="191"/>
        <item x="192"/>
        <item x="1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62">
        <item m="1" x="153"/>
        <item m="1" x="253"/>
        <item m="1" x="172"/>
        <item m="1" x="238"/>
        <item m="1" x="181"/>
        <item m="1" x="197"/>
        <item m="1" x="154"/>
        <item m="1" x="211"/>
        <item m="1" x="135"/>
        <item m="1" x="191"/>
        <item m="1" x="149"/>
        <item m="1" x="204"/>
        <item m="1" x="257"/>
        <item m="1" x="184"/>
        <item m="1" x="120"/>
        <item m="1" x="144"/>
        <item m="1" x="200"/>
        <item m="1" x="250"/>
        <item m="1" x="176"/>
        <item m="1" x="228"/>
        <item m="1" x="255"/>
        <item m="1" x="182"/>
        <item m="1" x="164"/>
        <item m="1" x="160"/>
        <item m="1" x="218"/>
        <item m="1" x="232"/>
        <item m="1" x="142"/>
        <item m="1" x="239"/>
        <item m="1" x="221"/>
        <item m="1" x="247"/>
        <item m="1" x="174"/>
        <item m="1" x="226"/>
        <item m="1" x="156"/>
        <item m="1" x="213"/>
        <item m="1" x="242"/>
        <item m="1" x="168"/>
        <item m="1" x="224"/>
        <item m="1" x="150"/>
        <item m="1" x="206"/>
        <item m="1" x="134"/>
        <item m="1" x="235"/>
        <item m="1" x="212"/>
        <item m="1" x="136"/>
        <item m="1" x="192"/>
        <item m="1" x="241"/>
        <item m="1" x="166"/>
        <item m="1" x="223"/>
        <item m="1" x="205"/>
        <item m="1" x="258"/>
        <item m="1" x="185"/>
        <item m="1" x="233"/>
        <item m="1" x="161"/>
        <item m="1" x="201"/>
        <item m="1" x="251"/>
        <item m="1" x="177"/>
        <item m="1" x="167"/>
        <item m="1" x="219"/>
        <item m="1" x="229"/>
        <item m="1" x="157"/>
        <item m="1" x="139"/>
        <item m="1" x="195"/>
        <item m="1" x="244"/>
        <item m="1" x="175"/>
        <item m="1" x="227"/>
        <item m="1" x="198"/>
        <item m="1" x="143"/>
        <item m="1" x="119"/>
        <item m="1" x="138"/>
        <item m="1" x="214"/>
        <item m="1" x="193"/>
        <item m="1" x="248"/>
        <item m="1" x="243"/>
        <item m="1" x="169"/>
        <item m="1" x="225"/>
        <item m="1" x="151"/>
        <item m="1" x="207"/>
        <item m="1" x="187"/>
        <item m="1" x="236"/>
        <item m="1" x="163"/>
        <item m="1" x="220"/>
        <item m="1" x="146"/>
        <item m="1" x="180"/>
        <item m="1" x="231"/>
        <item m="1" x="83"/>
        <item m="1" x="259"/>
        <item m="1" x="186"/>
        <item m="1" x="234"/>
        <item m="1" x="162"/>
        <item m="1" x="145"/>
        <item m="1" x="202"/>
        <item m="1" x="252"/>
        <item m="1" x="178"/>
        <item m="1" x="158"/>
        <item m="1" x="230"/>
        <item m="1" x="140"/>
        <item m="1" x="196"/>
        <item m="1" x="108"/>
        <item m="1" x="159"/>
        <item m="1" x="171"/>
        <item m="1" x="209"/>
        <item m="1" x="189"/>
        <item m="1" x="240"/>
        <item m="1" x="165"/>
        <item m="1" x="222"/>
        <item m="1" x="110"/>
        <item m="1" x="111"/>
        <item m="1" x="124"/>
        <item m="1" x="208"/>
        <item m="1" x="260"/>
        <item m="1" x="194"/>
        <item m="1" x="188"/>
        <item m="1" x="237"/>
        <item m="1" x="147"/>
        <item m="1" x="170"/>
        <item x="0"/>
        <item m="1" x="254"/>
        <item m="1" x="131"/>
        <item m="1" x="106"/>
        <item m="1" x="125"/>
        <item m="1" x="141"/>
        <item m="1" x="133"/>
        <item m="1" x="245"/>
        <item m="1" x="173"/>
        <item m="1" x="126"/>
        <item m="1" x="148"/>
        <item m="1" x="155"/>
        <item m="1" x="137"/>
        <item m="1" x="109"/>
        <item m="1" x="216"/>
        <item m="1" x="81"/>
        <item m="1" x="80"/>
        <item m="1" x="127"/>
        <item m="1" x="132"/>
        <item m="1" x="179"/>
        <item m="1" x="152"/>
        <item m="1" x="210"/>
        <item m="1" x="128"/>
        <item m="1" x="190"/>
        <item m="1" x="129"/>
        <item m="1" x="183"/>
        <item m="1" x="82"/>
        <item m="1" x="115"/>
        <item m="1" x="112"/>
        <item m="1" x="203"/>
        <item m="1" x="256"/>
        <item m="1" x="113"/>
        <item m="1" x="92"/>
        <item m="1" x="199"/>
        <item m="1" x="249"/>
        <item x="13"/>
        <item m="1" x="87"/>
        <item m="1" x="130"/>
        <item m="1" x="122"/>
        <item x="6"/>
        <item m="1" x="114"/>
        <item m="1" x="79"/>
        <item m="1" x="217"/>
        <item m="1" x="90"/>
        <item m="1" x="246"/>
        <item m="1" x="99"/>
        <item x="3"/>
        <item m="1" x="93"/>
        <item m="1" x="215"/>
        <item m="1" x="107"/>
        <item m="1" x="121"/>
        <item m="1" x="123"/>
        <item m="1" x="100"/>
        <item m="1" x="101"/>
        <item m="1" x="86"/>
        <item m="1" x="71"/>
        <item m="1" x="68"/>
        <item m="1" x="94"/>
        <item m="1" x="63"/>
        <item m="1" x="67"/>
        <item m="1" x="89"/>
        <item m="1" x="78"/>
        <item m="1" x="84"/>
        <item x="1"/>
        <item x="51"/>
        <item m="1" x="104"/>
        <item x="4"/>
        <item x="54"/>
        <item m="1" x="116"/>
        <item m="1" x="117"/>
        <item m="1" x="118"/>
        <item m="1" x="95"/>
        <item m="1" x="62"/>
        <item m="1" x="103"/>
        <item x="14"/>
        <item x="5"/>
        <item x="20"/>
        <item x="12"/>
        <item m="1" x="96"/>
        <item m="1" x="88"/>
        <item x="2"/>
        <item m="1" x="64"/>
        <item m="1" x="69"/>
        <item x="18"/>
        <item m="1" x="105"/>
        <item m="1" x="70"/>
        <item m="1" x="98"/>
        <item m="1" x="102"/>
        <item x="11"/>
        <item m="1" x="97"/>
        <item x="17"/>
        <item x="8"/>
        <item m="1" x="85"/>
        <item x="15"/>
        <item x="16"/>
        <item x="19"/>
        <item x="7"/>
        <item m="1" x="72"/>
        <item x="9"/>
        <item x="10"/>
        <item m="1" x="75"/>
        <item x="41"/>
        <item x="50"/>
        <item m="1" x="91"/>
        <item x="36"/>
        <item x="56"/>
        <item x="60"/>
        <item m="1" x="74"/>
        <item x="42"/>
        <item m="1" x="65"/>
        <item x="30"/>
        <item x="21"/>
        <item x="61"/>
        <item x="55"/>
        <item x="43"/>
        <item x="47"/>
        <item x="22"/>
        <item x="44"/>
        <item x="48"/>
        <item x="45"/>
        <item m="1" x="77"/>
        <item x="57"/>
        <item x="38"/>
        <item m="1" x="73"/>
        <item x="52"/>
        <item x="49"/>
        <item x="53"/>
        <item x="39"/>
        <item x="24"/>
        <item x="46"/>
        <item x="40"/>
        <item m="1" x="76"/>
        <item x="23"/>
        <item x="58"/>
        <item x="59"/>
        <item x="33"/>
        <item x="25"/>
        <item x="37"/>
        <item x="26"/>
        <item x="27"/>
        <item x="34"/>
        <item x="35"/>
        <item m="1" x="66"/>
        <item x="28"/>
        <item x="29"/>
        <item x="31"/>
        <item x="3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">
        <item m="1" x="64"/>
        <item m="1" x="48"/>
        <item x="10"/>
        <item m="1" x="106"/>
        <item m="1" x="65"/>
        <item x="29"/>
        <item m="1" x="80"/>
        <item m="1" x="73"/>
        <item x="6"/>
        <item x="9"/>
        <item x="15"/>
        <item x="22"/>
        <item x="43"/>
        <item x="4"/>
        <item x="3"/>
        <item x="1"/>
        <item x="25"/>
        <item x="30"/>
        <item x="40"/>
        <item m="1" x="110"/>
        <item x="39"/>
        <item m="1" x="94"/>
        <item m="1" x="75"/>
        <item m="1" x="87"/>
        <item x="5"/>
        <item m="1" x="53"/>
        <item x="38"/>
        <item m="1" x="108"/>
        <item m="1" x="105"/>
        <item m="1" x="68"/>
        <item x="44"/>
        <item m="1" x="93"/>
        <item m="1" x="74"/>
        <item x="33"/>
        <item m="1" x="47"/>
        <item m="1" x="79"/>
        <item m="1" x="54"/>
        <item m="1" x="95"/>
        <item m="1" x="49"/>
        <item m="1" x="103"/>
        <item x="2"/>
        <item x="18"/>
        <item m="1" x="109"/>
        <item x="0"/>
        <item x="42"/>
        <item x="34"/>
        <item m="1" x="102"/>
        <item x="21"/>
        <item m="1" x="101"/>
        <item m="1" x="61"/>
        <item m="1" x="97"/>
        <item x="13"/>
        <item m="1" x="45"/>
        <item m="1" x="58"/>
        <item m="1" x="50"/>
        <item m="1" x="98"/>
        <item m="1" x="99"/>
        <item m="1" x="96"/>
        <item x="19"/>
        <item x="26"/>
        <item x="7"/>
        <item x="12"/>
        <item m="1" x="57"/>
        <item x="23"/>
        <item m="1" x="86"/>
        <item x="14"/>
        <item x="27"/>
        <item m="1" x="92"/>
        <item m="1" x="60"/>
        <item m="1" x="89"/>
        <item m="1" x="100"/>
        <item m="1" x="107"/>
        <item m="1" x="72"/>
        <item m="1" x="70"/>
        <item x="28"/>
        <item m="1" x="78"/>
        <item m="1" x="83"/>
        <item m="1" x="56"/>
        <item x="41"/>
        <item m="1" x="85"/>
        <item m="1" x="104"/>
        <item m="1" x="62"/>
        <item m="1" x="91"/>
        <item m="1" x="51"/>
        <item m="1" x="63"/>
        <item m="1" x="66"/>
        <item m="1" x="76"/>
        <item m="1" x="90"/>
        <item m="1" x="52"/>
        <item m="1" x="88"/>
        <item x="24"/>
        <item m="1" x="82"/>
        <item x="16"/>
        <item x="31"/>
        <item m="1" x="81"/>
        <item m="1" x="69"/>
        <item m="1" x="84"/>
        <item m="1" x="77"/>
        <item x="20"/>
        <item x="8"/>
        <item x="11"/>
        <item x="35"/>
        <item m="1" x="71"/>
        <item m="1" x="59"/>
        <item m="1" x="67"/>
        <item x="37"/>
        <item x="32"/>
        <item m="1" x="55"/>
        <item x="36"/>
        <item x="17"/>
        <item m="1"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37"/>
        <item m="1" x="34"/>
        <item x="9"/>
        <item m="1" x="51"/>
        <item x="7"/>
        <item m="1" x="44"/>
        <item m="1" x="39"/>
        <item x="2"/>
        <item x="8"/>
        <item x="18"/>
        <item x="32"/>
        <item x="4"/>
        <item x="3"/>
        <item x="1"/>
        <item x="20"/>
        <item x="24"/>
        <item x="29"/>
        <item x="28"/>
        <item m="1" x="41"/>
        <item x="5"/>
        <item m="1" x="35"/>
        <item x="27"/>
        <item x="6"/>
        <item m="1" x="52"/>
        <item m="1" x="40"/>
        <item m="1" x="45"/>
        <item m="1" x="33"/>
        <item m="1" x="36"/>
        <item m="1" x="46"/>
        <item x="16"/>
        <item x="0"/>
        <item x="31"/>
        <item m="1" x="50"/>
        <item m="1" x="47"/>
        <item m="1" x="48"/>
        <item x="17"/>
        <item x="21"/>
        <item m="1" x="49"/>
        <item x="19"/>
        <item m="1" x="43"/>
        <item x="13"/>
        <item x="22"/>
        <item x="26"/>
        <item x="14"/>
        <item x="23"/>
        <item x="30"/>
        <item m="1" x="42"/>
        <item m="1" x="38"/>
        <item x="25"/>
        <item x="11"/>
        <item x="10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3"/>
        <item x="6"/>
        <item x="1"/>
        <item x="5"/>
        <item x="9"/>
        <item m="1" x="14"/>
        <item m="1" x="10"/>
        <item x="0"/>
        <item x="3"/>
        <item x="7"/>
        <item x="4"/>
        <item x="2"/>
        <item m="1" x="11"/>
        <item m="1" x="15"/>
        <item m="1" x="16"/>
        <item m="1" x="1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21">
    <i>
      <x v="2"/>
      <x v="2"/>
      <x v="2"/>
      <x v="150"/>
      <x v="150"/>
      <x v="2"/>
      <x v="1885"/>
      <x v="2521"/>
      <x v="213"/>
    </i>
    <i>
      <x v="8"/>
      <x v="22"/>
      <x v="2"/>
      <x v="181"/>
      <x v="181"/>
      <x v="2"/>
      <x v="1444"/>
      <x v="1966"/>
      <x v="177"/>
    </i>
    <i r="7">
      <x v="1967"/>
      <x v="177"/>
    </i>
    <i r="7">
      <x v="1972"/>
      <x v="178"/>
    </i>
    <i r="7">
      <x v="2402"/>
      <x v="191"/>
    </i>
    <i r="3">
      <x v="278"/>
      <x v="279"/>
      <x v="2"/>
      <x v="1599"/>
      <x v="1046"/>
      <x v="190"/>
    </i>
    <i r="2">
      <x v="11"/>
      <x v="2"/>
      <x v="15"/>
      <x v="2"/>
      <x v="153"/>
      <x v="2099"/>
      <x v="177"/>
    </i>
    <i>
      <x v="10"/>
      <x v="43"/>
      <x v="2"/>
      <x v="86"/>
      <x v="86"/>
      <x v="9"/>
      <x v="615"/>
      <x v="2958"/>
      <x v="254"/>
    </i>
    <i>
      <x v="11"/>
      <x v="9"/>
      <x v="1"/>
      <x v="4"/>
      <x v="25"/>
      <x v="3"/>
      <x v="2256"/>
      <x v="2979"/>
      <x v="258"/>
    </i>
    <i r="6">
      <x v="2267"/>
      <x v="2990"/>
      <x v="258"/>
    </i>
    <i r="3">
      <x v="12"/>
      <x v="13"/>
      <x v="3"/>
      <x v="2271"/>
      <x v="2994"/>
      <x v="250"/>
    </i>
    <i>
      <x v="43"/>
      <x v="30"/>
      <x v="7"/>
      <x v="163"/>
      <x v="163"/>
      <x v="3"/>
      <x v="803"/>
      <x v="1094"/>
      <x v="114"/>
    </i>
    <i r="6">
      <x v="1290"/>
      <x v="1756"/>
      <x v="160"/>
    </i>
    <i r="3">
      <x v="230"/>
      <x v="231"/>
      <x v="1"/>
      <x v="1805"/>
      <x v="2430"/>
      <x v="207"/>
    </i>
    <i>
      <x v="61"/>
      <x v="49"/>
      <x v="8"/>
      <x v="74"/>
      <x v="74"/>
      <x v="3"/>
      <x v="1817"/>
      <x v="2437"/>
      <x v="209"/>
    </i>
    <i r="6">
      <x v="2028"/>
      <x v="2688"/>
      <x v="230"/>
    </i>
    <i>
      <x v="99"/>
      <x v="4"/>
      <x v="11"/>
      <x v="113"/>
      <x v="113"/>
      <x v="3"/>
      <x v="1587"/>
      <x v="2165"/>
      <x v="188"/>
    </i>
    <i>
      <x v="101"/>
      <x v="7"/>
      <x v="16"/>
      <x v="230"/>
      <x v="231"/>
      <x v="1"/>
      <x v="2162"/>
      <x v="2871"/>
      <x v="242"/>
    </i>
    <i r="6">
      <x v="2171"/>
      <x v="2883"/>
      <x v="242"/>
    </i>
    <i>
      <x v="106"/>
      <x v="7"/>
      <x v="7"/>
      <x v="314"/>
      <x v="315"/>
      <x v="1"/>
      <x v="2275"/>
      <x v="2999"/>
      <x v="260"/>
    </i>
    <i t="grand">
      <x/>
    </i>
  </rowItems>
  <colFields count="1">
    <field x="0"/>
  </colFields>
  <colItems count="8">
    <i>
      <x v="4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1" cacheId="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Z4:AJ15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9"/>
        <item m="1" x="8"/>
        <item x="0"/>
        <item m="1" x="7"/>
        <item x="3"/>
        <item x="1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4"/>
        <item h="1" m="1" x="28"/>
        <item x="0"/>
        <item x="12"/>
        <item h="1" x="4"/>
        <item m="1" x="19"/>
        <item m="1" x="21"/>
        <item m="1" x="20"/>
        <item x="13"/>
        <item m="1" x="26"/>
        <item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h="1" m="1" x="27"/>
        <item x="6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1">
        <item m="1" x="106"/>
        <item x="6"/>
        <item x="15"/>
        <item x="43"/>
        <item m="1" x="48"/>
        <item m="1" x="73"/>
        <item x="1"/>
        <item m="1" x="80"/>
        <item x="4"/>
        <item x="22"/>
        <item m="1" x="65"/>
        <item x="29"/>
        <item x="9"/>
        <item x="10"/>
        <item m="1" x="64"/>
        <item x="3"/>
        <item x="25"/>
        <item x="30"/>
        <item x="40"/>
        <item m="1" x="110"/>
        <item x="39"/>
        <item m="1" x="94"/>
        <item m="1" x="75"/>
        <item m="1" x="87"/>
        <item x="5"/>
        <item m="1" x="53"/>
        <item x="38"/>
        <item m="1" x="108"/>
        <item m="1" x="105"/>
        <item m="1" x="68"/>
        <item x="44"/>
        <item m="1" x="93"/>
        <item m="1" x="74"/>
        <item x="33"/>
        <item m="1" x="47"/>
        <item m="1" x="79"/>
        <item m="1" x="54"/>
        <item m="1" x="95"/>
        <item m="1" x="49"/>
        <item m="1" x="103"/>
        <item x="2"/>
        <item x="18"/>
        <item m="1" x="109"/>
        <item x="0"/>
        <item x="42"/>
        <item x="34"/>
        <item m="1" x="102"/>
        <item x="21"/>
        <item m="1" x="101"/>
        <item m="1" x="61"/>
        <item m="1" x="97"/>
        <item x="13"/>
        <item m="1" x="45"/>
        <item m="1" x="58"/>
        <item m="1" x="50"/>
        <item m="1" x="98"/>
        <item m="1" x="99"/>
        <item m="1" x="96"/>
        <item x="19"/>
        <item x="26"/>
        <item x="7"/>
        <item x="12"/>
        <item m="1" x="57"/>
        <item x="23"/>
        <item m="1" x="86"/>
        <item x="14"/>
        <item x="27"/>
        <item m="1" x="92"/>
        <item m="1" x="60"/>
        <item m="1" x="89"/>
        <item m="1" x="100"/>
        <item m="1" x="107"/>
        <item m="1" x="72"/>
        <item m="1" x="70"/>
        <item x="28"/>
        <item m="1" x="78"/>
        <item m="1" x="83"/>
        <item m="1" x="56"/>
        <item x="41"/>
        <item m="1" x="85"/>
        <item m="1" x="104"/>
        <item m="1" x="62"/>
        <item m="1" x="91"/>
        <item m="1" x="51"/>
        <item m="1" x="63"/>
        <item m="1" x="66"/>
        <item m="1" x="76"/>
        <item m="1" x="90"/>
        <item m="1" x="52"/>
        <item m="1" x="88"/>
        <item x="24"/>
        <item m="1" x="82"/>
        <item x="16"/>
        <item x="31"/>
        <item m="1" x="81"/>
        <item m="1" x="69"/>
        <item m="1" x="84"/>
        <item m="1" x="77"/>
        <item x="20"/>
        <item x="8"/>
        <item x="11"/>
        <item x="35"/>
        <item m="1" x="71"/>
        <item m="1" x="59"/>
        <item m="1" x="67"/>
        <item x="37"/>
        <item x="32"/>
        <item m="1" x="55"/>
        <item x="36"/>
        <item x="17"/>
        <item m="1"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37"/>
        <item m="1" x="34"/>
        <item x="9"/>
        <item m="1" x="51"/>
        <item x="7"/>
        <item m="1" x="44"/>
        <item m="1" x="39"/>
        <item x="2"/>
        <item x="8"/>
        <item x="18"/>
        <item x="32"/>
        <item x="4"/>
        <item x="3"/>
        <item x="1"/>
        <item x="20"/>
        <item x="24"/>
        <item x="29"/>
        <item x="28"/>
        <item m="1" x="41"/>
        <item x="5"/>
        <item m="1" x="35"/>
        <item x="27"/>
        <item x="6"/>
        <item m="1" x="52"/>
        <item m="1" x="40"/>
        <item m="1" x="45"/>
        <item m="1" x="33"/>
        <item m="1" x="36"/>
        <item m="1" x="46"/>
        <item x="16"/>
        <item x="0"/>
        <item x="31"/>
        <item m="1" x="50"/>
        <item m="1" x="47"/>
        <item m="1" x="48"/>
        <item x="17"/>
        <item x="21"/>
        <item m="1" x="49"/>
        <item x="19"/>
        <item m="1" x="43"/>
        <item x="13"/>
        <item x="22"/>
        <item x="26"/>
        <item x="14"/>
        <item x="23"/>
        <item x="30"/>
        <item m="1" x="42"/>
        <item m="1" x="38"/>
        <item x="25"/>
        <item x="11"/>
        <item x="10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10">
    <i>
      <x v="1"/>
      <x v="1"/>
      <x v="22"/>
    </i>
    <i r="1">
      <x v="2"/>
      <x v="43"/>
    </i>
    <i r="1">
      <x v="9"/>
      <x v="9"/>
    </i>
    <i r="1">
      <x v="13"/>
      <x v="2"/>
    </i>
    <i r="1">
      <x v="43"/>
      <x v="30"/>
    </i>
    <i r="1">
      <x v="61"/>
      <x v="49"/>
    </i>
    <i r="1">
      <x v="99"/>
      <x v="4"/>
    </i>
    <i r="1">
      <x v="101"/>
      <x v="7"/>
    </i>
    <i r="1">
      <x v="106"/>
      <x v="7"/>
    </i>
    <i t="grand">
      <x/>
    </i>
  </rowItems>
  <colFields count="1">
    <field x="0"/>
  </colFields>
  <colItems count="8">
    <i>
      <x v="4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PivotTable1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4:A23" firstHeaderRow="1" firstDataRow="1" firstDataCol="1" rowPageCount="2" colPageCount="1"/>
  <pivotFields count="41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x="14"/>
        <item h="1" m="1" x="28"/>
        <item x="0"/>
        <item x="12"/>
        <item h="1" x="4"/>
        <item m="1" x="19"/>
        <item m="1" x="21"/>
        <item m="1" x="20"/>
        <item x="13"/>
        <item m="1" x="26"/>
        <item h="1" m="1" x="23"/>
        <item m="1" x="18"/>
        <item x="3"/>
        <item m="1" x="17"/>
        <item x="1"/>
        <item x="16"/>
        <item x="15"/>
        <item x="8"/>
        <item m="1" x="25"/>
        <item x="7"/>
        <item x="5"/>
        <item h="1" x="2"/>
        <item h="1" x="11"/>
        <item x="9"/>
        <item m="1" x="24"/>
        <item x="10"/>
        <item h="1" m="1" x="27"/>
        <item x="6"/>
        <item h="1"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37"/>
        <item m="1" x="34"/>
        <item x="9"/>
        <item m="1" x="51"/>
        <item x="7"/>
        <item m="1" x="44"/>
        <item m="1" x="39"/>
        <item h="1" x="2"/>
        <item x="8"/>
        <item x="18"/>
        <item x="32"/>
        <item x="4"/>
        <item x="3"/>
        <item x="1"/>
        <item x="20"/>
        <item x="24"/>
        <item x="29"/>
        <item x="28"/>
        <item m="1" x="41"/>
        <item x="5"/>
        <item m="1" x="35"/>
        <item x="27"/>
        <item x="6"/>
        <item m="1" x="52"/>
        <item m="1" x="40"/>
        <item m="1" x="45"/>
        <item m="1" x="33"/>
        <item m="1" x="36"/>
        <item m="1" x="46"/>
        <item x="16"/>
        <item x="0"/>
        <item x="31"/>
        <item m="1" x="50"/>
        <item m="1" x="47"/>
        <item m="1" x="48"/>
        <item x="17"/>
        <item x="21"/>
        <item m="1" x="49"/>
        <item x="19"/>
        <item m="1" x="43"/>
        <item x="13"/>
        <item x="22"/>
        <item x="26"/>
        <item x="14"/>
        <item x="23"/>
        <item x="30"/>
        <item m="1" x="42"/>
        <item m="1" x="38"/>
        <item x="25"/>
        <item x="11"/>
        <item x="10"/>
        <item x="12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3"/>
  </rowFields>
  <rowItems count="19">
    <i>
      <x v="2"/>
    </i>
    <i>
      <x v="4"/>
    </i>
    <i>
      <x v="8"/>
    </i>
    <i>
      <x v="11"/>
    </i>
    <i>
      <x v="12"/>
    </i>
    <i>
      <x v="13"/>
    </i>
    <i>
      <x v="15"/>
    </i>
    <i>
      <x v="17"/>
    </i>
    <i>
      <x v="22"/>
    </i>
    <i>
      <x v="29"/>
    </i>
    <i>
      <x v="30"/>
    </i>
    <i>
      <x v="35"/>
    </i>
    <i>
      <x v="41"/>
    </i>
    <i>
      <x v="43"/>
    </i>
    <i>
      <x v="45"/>
    </i>
    <i>
      <x v="48"/>
    </i>
    <i>
      <x v="50"/>
    </i>
    <i>
      <x v="51"/>
    </i>
    <i>
      <x v="52"/>
    </i>
  </rowItems>
  <colItems count="1">
    <i/>
  </colItems>
  <pageFields count="2">
    <pageField fld="1" hier="-1"/>
    <pageField fld="4" hier="-1"/>
  </page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2" unboundColumnsLeft="3">
    <queryTableFields count="41">
      <queryTableField id="41" dataBound="0" tableColumnId="39"/>
      <queryTableField id="40" dataBound="0" tableColumnId="40"/>
      <queryTableField id="39" dataBound="0" tableColumnId="41"/>
      <queryTableField id="1" name="Column1" tableColumnId="1"/>
      <queryTableField id="2" name="Status" tableColumnId="2"/>
      <queryTableField id="3" name="Depto Responsável" tableColumnId="3"/>
      <queryTableField id="4" name="Nota fiscal" tableColumnId="4"/>
      <queryTableField id="5" name="Planta" tableColumnId="5"/>
      <queryTableField id="6" name="Planejador" tableColumnId="6"/>
      <queryTableField id="7" name="Nome fornecedor" tableColumnId="7"/>
      <queryTableField id="8" name="Erro ocorrido" tableColumnId="8"/>
      <queryTableField id="9" name="Fornecedor" tableColumnId="9"/>
      <queryTableField id="10" name="Pedido" tableColumnId="10"/>
      <queryTableField id="11" name="Data do documento" tableColumnId="11"/>
      <queryTableField id="12" name="Vencimento" tableColumnId="12"/>
      <queryTableField id="13" name="Total Nota" tableColumnId="13"/>
      <queryTableField id="14" name="Upload" tableColumnId="14"/>
      <queryTableField id="15" name="Docto 103" tableColumnId="15"/>
      <queryTableField id="16" name="Ano doc.material" tableColumnId="16"/>
      <queryTableField id="17" name="Nº documento" tableColumnId="17"/>
      <queryTableField id="18" name="Reg.Serviço" tableColumnId="18"/>
      <queryTableField id="19" name="Aceite em" tableColumnId="19"/>
      <queryTableField id="20" name="Aceite por" tableColumnId="20"/>
      <queryTableField id="21" name="Recusa em" tableColumnId="21"/>
      <queryTableField id="22" name="Rec. definitiva em" tableColumnId="22"/>
      <queryTableField id="23" name="Reativação em" tableColumnId="23"/>
      <queryTableField id="24" name="Docto 105" tableColumnId="24"/>
      <queryTableField id="25" name="Ano 105" tableColumnId="25"/>
      <queryTableField id="26" name="Revisão Faturas" tableColumnId="26"/>
      <queryTableField id="27" name="Ano Revisão" tableColumnId="27"/>
      <queryTableField id="28" name="Docto NF" tableColumnId="28"/>
      <queryTableField id="29" name="Requisitante" tableColumnId="29"/>
      <queryTableField id="30" name="Aceite por_1" tableColumnId="30"/>
      <queryTableField id="31" name="Delegado" tableColumnId="31"/>
      <queryTableField id="32" name="Total Calculado" tableColumnId="32"/>
      <queryTableField id="33" name="Justificativa Recusa" tableColumnId="33"/>
      <queryTableField id="34" name="Motivo Atraso" tableColumnId="34"/>
      <queryTableField id="35" name="Cd Reinf" tableColumnId="35"/>
      <queryTableField id="36" name="Aprovador Zapl" tableColumnId="36"/>
      <queryTableField id="37" name="Centro de custo" tableColumnId="37"/>
      <queryTableField id="38" name="Conta Razão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AO238" tableType="queryTable" totalsRowShown="0">
  <autoFilter ref="A1:AO238" xr:uid="{00000000-0009-0000-0100-000001000000}"/>
  <tableColumns count="41">
    <tableColumn id="39" xr3:uid="{00000000-0010-0000-0000-000027000000}" uniqueName="39" name="Mês" queryTableFieldId="41" dataDxfId="30">
      <calculatedColumnFormula>VLOOKUP(MONTH(N2),Sheet1!$A$2:$B$13,2,0)</calculatedColumnFormula>
    </tableColumn>
    <tableColumn id="40" xr3:uid="{00000000-0010-0000-0000-000028000000}" uniqueName="40" name="E8" queryTableFieldId="40" dataDxfId="29">
      <calculatedColumnFormula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calculatedColumnFormula>
    </tableColumn>
    <tableColumn id="41" xr3:uid="{00000000-0010-0000-0000-000029000000}" uniqueName="41" name="Abertura" queryTableFieldId="39" dataDxfId="28">
      <calculatedColumnFormula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calculatedColumnFormula>
    </tableColumn>
    <tableColumn id="1" xr3:uid="{00000000-0010-0000-0000-000001000000}" uniqueName="1" name="Column1" queryTableFieldId="1" dataDxfId="27"/>
    <tableColumn id="2" xr3:uid="{00000000-0010-0000-0000-000002000000}" uniqueName="2" name="Status" queryTableFieldId="2" dataDxfId="26"/>
    <tableColumn id="3" xr3:uid="{00000000-0010-0000-0000-000003000000}" uniqueName="3" name="Depto Responsável" queryTableFieldId="3" dataDxfId="25"/>
    <tableColumn id="4" xr3:uid="{00000000-0010-0000-0000-000004000000}" uniqueName="4" name="Nota fiscal" queryTableFieldId="4"/>
    <tableColumn id="5" xr3:uid="{00000000-0010-0000-0000-000005000000}" uniqueName="5" name="Planta" queryTableFieldId="5" dataDxfId="24"/>
    <tableColumn id="6" xr3:uid="{00000000-0010-0000-0000-000006000000}" uniqueName="6" name="Planejador" queryTableFieldId="6" dataDxfId="23"/>
    <tableColumn id="7" xr3:uid="{00000000-0010-0000-0000-000007000000}" uniqueName="7" name="Nome fornecedor" queryTableFieldId="7" dataDxfId="22"/>
    <tableColumn id="8" xr3:uid="{00000000-0010-0000-0000-000008000000}" uniqueName="8" name="Erro ocorrido" queryTableFieldId="8" dataDxfId="21"/>
    <tableColumn id="9" xr3:uid="{00000000-0010-0000-0000-000009000000}" uniqueName="9" name="Fornecedor" queryTableFieldId="9"/>
    <tableColumn id="10" xr3:uid="{00000000-0010-0000-0000-00000A000000}" uniqueName="10" name="Pedido" queryTableFieldId="10"/>
    <tableColumn id="11" xr3:uid="{00000000-0010-0000-0000-00000B000000}" uniqueName="11" name="Data do documento" queryTableFieldId="11" dataDxfId="7"/>
    <tableColumn id="12" xr3:uid="{00000000-0010-0000-0000-00000C000000}" uniqueName="12" name="Vencimento" queryTableFieldId="12" dataDxfId="6"/>
    <tableColumn id="13" xr3:uid="{00000000-0010-0000-0000-00000D000000}" uniqueName="13" name="Total Nota" queryTableFieldId="13"/>
    <tableColumn id="14" xr3:uid="{00000000-0010-0000-0000-00000E000000}" uniqueName="14" name="Upload" queryTableFieldId="14" dataDxfId="5"/>
    <tableColumn id="15" xr3:uid="{00000000-0010-0000-0000-00000F000000}" uniqueName="15" name="Docto 103" queryTableFieldId="15"/>
    <tableColumn id="16" xr3:uid="{00000000-0010-0000-0000-000010000000}" uniqueName="16" name="Ano doc.material" queryTableFieldId="16"/>
    <tableColumn id="17" xr3:uid="{00000000-0010-0000-0000-000011000000}" uniqueName="17" name="Nº documento" queryTableFieldId="17"/>
    <tableColumn id="18" xr3:uid="{00000000-0010-0000-0000-000012000000}" uniqueName="18" name="Reg.Serviço" queryTableFieldId="18" dataDxfId="20"/>
    <tableColumn id="19" xr3:uid="{00000000-0010-0000-0000-000013000000}" uniqueName="19" name="Aceite em" queryTableFieldId="19" dataDxfId="4"/>
    <tableColumn id="20" xr3:uid="{00000000-0010-0000-0000-000014000000}" uniqueName="20" name="Aceite por" queryTableFieldId="20" dataDxfId="19"/>
    <tableColumn id="21" xr3:uid="{00000000-0010-0000-0000-000015000000}" uniqueName="21" name="Recusa em" queryTableFieldId="21"/>
    <tableColumn id="22" xr3:uid="{00000000-0010-0000-0000-000016000000}" uniqueName="22" name="Rec. definitiva em" queryTableFieldId="22"/>
    <tableColumn id="23" xr3:uid="{00000000-0010-0000-0000-000017000000}" uniqueName="23" name="Reativação em" queryTableFieldId="23"/>
    <tableColumn id="24" xr3:uid="{00000000-0010-0000-0000-000018000000}" uniqueName="24" name="Docto 105" queryTableFieldId="24"/>
    <tableColumn id="25" xr3:uid="{00000000-0010-0000-0000-000019000000}" uniqueName="25" name="Ano 105" queryTableFieldId="25"/>
    <tableColumn id="26" xr3:uid="{00000000-0010-0000-0000-00001A000000}" uniqueName="26" name="Revisão Faturas" queryTableFieldId="26"/>
    <tableColumn id="27" xr3:uid="{00000000-0010-0000-0000-00001B000000}" uniqueName="27" name="Ano Revisão" queryTableFieldId="27"/>
    <tableColumn id="28" xr3:uid="{00000000-0010-0000-0000-00001C000000}" uniqueName="28" name="Docto NF" queryTableFieldId="28"/>
    <tableColumn id="29" xr3:uid="{00000000-0010-0000-0000-00001D000000}" uniqueName="29" name="Requisitante" queryTableFieldId="29" dataDxfId="18"/>
    <tableColumn id="30" xr3:uid="{00000000-0010-0000-0000-00001E000000}" uniqueName="30" name="Aceite por_1" queryTableFieldId="30" dataDxfId="17"/>
    <tableColumn id="31" xr3:uid="{00000000-0010-0000-0000-00001F000000}" uniqueName="31" name="Delegado" queryTableFieldId="31" dataDxfId="16"/>
    <tableColumn id="32" xr3:uid="{00000000-0010-0000-0000-000020000000}" uniqueName="32" name="Total Calculado" queryTableFieldId="32"/>
    <tableColumn id="33" xr3:uid="{00000000-0010-0000-0000-000021000000}" uniqueName="33" name="Justificativa Recusa" queryTableFieldId="33" dataDxfId="15"/>
    <tableColumn id="34" xr3:uid="{00000000-0010-0000-0000-000022000000}" uniqueName="34" name="Motivo Atraso" queryTableFieldId="34" dataDxfId="14"/>
    <tableColumn id="35" xr3:uid="{00000000-0010-0000-0000-000023000000}" uniqueName="35" name="Cd Reinf" queryTableFieldId="35"/>
    <tableColumn id="36" xr3:uid="{00000000-0010-0000-0000-000024000000}" uniqueName="36" name="Aprovador Zapl" queryTableFieldId="36" dataDxfId="13"/>
    <tableColumn id="37" xr3:uid="{00000000-0010-0000-0000-000025000000}" uniqueName="37" name="Centro de custo" queryTableFieldId="37"/>
    <tableColumn id="38" xr3:uid="{00000000-0010-0000-0000-000026000000}" uniqueName="38" name="Conta Razão" queryTableFieldId="38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marco.honorato@pirelli.com" TargetMode="External"/><Relationship Id="rId2" Type="http://schemas.openxmlformats.org/officeDocument/2006/relationships/hyperlink" Target="mailto:helio.matui@pirelli.com" TargetMode="External"/><Relationship Id="rId1" Type="http://schemas.openxmlformats.org/officeDocument/2006/relationships/hyperlink" Target="mailto:caetano.Jose@pirelli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238"/>
  <sheetViews>
    <sheetView topLeftCell="A2" workbookViewId="0">
      <selection activeCell="C25" sqref="C25"/>
    </sheetView>
  </sheetViews>
  <sheetFormatPr defaultRowHeight="13.2" x14ac:dyDescent="0.25"/>
  <cols>
    <col min="1" max="1" width="6.6640625" bestFit="1" customWidth="1"/>
    <col min="2" max="2" width="26.5546875" bestFit="1" customWidth="1"/>
    <col min="3" max="3" width="27.77734375" bestFit="1" customWidth="1"/>
    <col min="4" max="4" width="11" bestFit="1" customWidth="1"/>
    <col min="5" max="5" width="23.6640625" bestFit="1" customWidth="1"/>
    <col min="6" max="6" width="20.33203125" bestFit="1" customWidth="1"/>
    <col min="7" max="7" width="12.33203125" bestFit="1" customWidth="1"/>
    <col min="8" max="8" width="8.88671875" bestFit="1" customWidth="1"/>
    <col min="9" max="9" width="12.88671875" bestFit="1" customWidth="1"/>
    <col min="10" max="10" width="43" bestFit="1" customWidth="1"/>
    <col min="11" max="11" width="15.109375" bestFit="1" customWidth="1"/>
    <col min="12" max="12" width="13.33203125" bestFit="1" customWidth="1"/>
    <col min="13" max="13" width="11" bestFit="1" customWidth="1"/>
    <col min="14" max="14" width="20.6640625" bestFit="1" customWidth="1"/>
    <col min="15" max="15" width="13.77734375" bestFit="1" customWidth="1"/>
    <col min="16" max="16" width="12.21875" bestFit="1" customWidth="1"/>
    <col min="17" max="17" width="10.109375" bestFit="1" customWidth="1"/>
    <col min="18" max="18" width="12" bestFit="1" customWidth="1"/>
    <col min="19" max="19" width="18.44140625" bestFit="1" customWidth="1"/>
    <col min="20" max="20" width="15.6640625" bestFit="1" customWidth="1"/>
    <col min="21" max="21" width="13.88671875" bestFit="1" customWidth="1"/>
    <col min="22" max="22" width="12.109375" bestFit="1" customWidth="1"/>
    <col min="23" max="23" width="13.21875" bestFit="1" customWidth="1"/>
    <col min="24" max="24" width="12.88671875" bestFit="1" customWidth="1"/>
    <col min="25" max="25" width="19.44140625" bestFit="1" customWidth="1"/>
    <col min="26" max="26" width="16.5546875" bestFit="1" customWidth="1"/>
    <col min="27" max="27" width="12" bestFit="1" customWidth="1"/>
    <col min="28" max="28" width="10.21875" bestFit="1" customWidth="1"/>
    <col min="29" max="29" width="17.44140625" bestFit="1" customWidth="1"/>
    <col min="30" max="30" width="14.109375" bestFit="1" customWidth="1"/>
    <col min="31" max="31" width="11.44140625" bestFit="1" customWidth="1"/>
    <col min="32" max="32" width="32.109375" bestFit="1" customWidth="1"/>
    <col min="33" max="33" width="27.21875" bestFit="1" customWidth="1"/>
    <col min="34" max="34" width="13.21875" bestFit="1" customWidth="1"/>
    <col min="35" max="35" width="17.21875" bestFit="1" customWidth="1"/>
    <col min="36" max="36" width="20.77734375" bestFit="1" customWidth="1"/>
    <col min="37" max="37" width="36.5546875" bestFit="1" customWidth="1"/>
    <col min="38" max="38" width="10.6640625" bestFit="1" customWidth="1"/>
    <col min="39" max="39" width="16.77734375" bestFit="1" customWidth="1"/>
    <col min="40" max="40" width="17.44140625" bestFit="1" customWidth="1"/>
    <col min="41" max="41" width="14.44140625" bestFit="1" customWidth="1"/>
  </cols>
  <sheetData>
    <row r="1" spans="1:41" x14ac:dyDescent="0.25">
      <c r="A1" s="6" t="s">
        <v>42</v>
      </c>
      <c r="B1" s="6" t="s">
        <v>39</v>
      </c>
      <c r="C1" s="6" t="s">
        <v>40</v>
      </c>
      <c r="D1" t="s">
        <v>82</v>
      </c>
      <c r="E1" t="s">
        <v>4</v>
      </c>
      <c r="F1" t="s">
        <v>5</v>
      </c>
      <c r="G1" t="s">
        <v>12</v>
      </c>
      <c r="H1" t="s">
        <v>7</v>
      </c>
      <c r="I1" t="s">
        <v>18</v>
      </c>
      <c r="J1" t="s">
        <v>11</v>
      </c>
      <c r="K1" t="s">
        <v>35</v>
      </c>
      <c r="L1" t="s">
        <v>10</v>
      </c>
      <c r="M1" t="s">
        <v>6</v>
      </c>
      <c r="N1" t="s">
        <v>13</v>
      </c>
      <c r="O1" t="s">
        <v>14</v>
      </c>
      <c r="P1" t="s">
        <v>15</v>
      </c>
      <c r="Q1" t="s">
        <v>8</v>
      </c>
      <c r="R1" t="s">
        <v>16</v>
      </c>
      <c r="S1" t="s">
        <v>17</v>
      </c>
      <c r="T1" t="s">
        <v>9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</v>
      </c>
      <c r="AG1" t="s">
        <v>83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36</v>
      </c>
      <c r="AN1" t="s">
        <v>37</v>
      </c>
      <c r="AO1" t="s">
        <v>38</v>
      </c>
    </row>
    <row r="2" spans="1:41" x14ac:dyDescent="0.25">
      <c r="A2" t="str">
        <f>VLOOKUP(MONTH(N2),Sheet1!$A$2:$B$13,2,0)</f>
        <v>Mai</v>
      </c>
      <c r="B2" t="str">
        <f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f>
        <v>Aluguéis</v>
      </c>
      <c r="C2" t="str">
        <f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f>
        <v>Total Outras Despesas Fixas</v>
      </c>
      <c r="D2" t="s">
        <v>46</v>
      </c>
      <c r="E2" t="s">
        <v>47</v>
      </c>
      <c r="F2" t="s">
        <v>48</v>
      </c>
      <c r="G2">
        <v>15904</v>
      </c>
      <c r="H2" t="s">
        <v>0</v>
      </c>
      <c r="I2" t="s">
        <v>108</v>
      </c>
      <c r="J2" t="s">
        <v>109</v>
      </c>
      <c r="K2" t="s">
        <v>1</v>
      </c>
      <c r="L2">
        <v>4211331860</v>
      </c>
      <c r="M2">
        <v>9001648762</v>
      </c>
      <c r="N2" s="2">
        <v>45790</v>
      </c>
      <c r="O2" s="2">
        <v>45850</v>
      </c>
      <c r="P2">
        <v>36840</v>
      </c>
      <c r="Q2" s="2">
        <v>45790</v>
      </c>
      <c r="R2">
        <v>5000718059</v>
      </c>
      <c r="S2">
        <v>2025</v>
      </c>
      <c r="T2">
        <v>333987</v>
      </c>
      <c r="U2" t="s">
        <v>1</v>
      </c>
      <c r="V2" s="2">
        <v>45791</v>
      </c>
      <c r="W2" t="s">
        <v>113</v>
      </c>
      <c r="AA2">
        <v>5000722945</v>
      </c>
      <c r="AB2">
        <v>2025</v>
      </c>
      <c r="AC2">
        <v>9003962441</v>
      </c>
      <c r="AD2">
        <v>2025</v>
      </c>
      <c r="AE2">
        <v>10233929</v>
      </c>
      <c r="AF2" t="s">
        <v>110</v>
      </c>
      <c r="AG2" t="s">
        <v>114</v>
      </c>
      <c r="AH2" t="s">
        <v>111</v>
      </c>
      <c r="AI2">
        <v>0</v>
      </c>
      <c r="AJ2" t="s">
        <v>1</v>
      </c>
      <c r="AK2" t="s">
        <v>1</v>
      </c>
      <c r="AL2">
        <v>6999999</v>
      </c>
      <c r="AM2" t="s">
        <v>112</v>
      </c>
      <c r="AN2">
        <v>9000</v>
      </c>
      <c r="AO2" t="s">
        <v>54</v>
      </c>
    </row>
    <row r="3" spans="1:41" x14ac:dyDescent="0.25">
      <c r="A3" t="str">
        <f>VLOOKUP(MONTH(N3),Sheet1!$A$2:$B$13,2,0)</f>
        <v>Ago</v>
      </c>
      <c r="B3" t="str">
        <f>IF(LEFT(AO3,1)="B","CAPEX",IF(LEFT(AO3,1)="C","STOCK",IF(MID(AO3,7,2)="JA","STAFF",IF(MID(AO3,7,1)="H","STAFF",IF(MID(AO3,7,1)="S","STAFF",IF(MID(AO3,7,2)="JV","LOG",IFERROR(VLOOKUP($AO3,[1]!Table14[[New Account Number]:[Filtro2]],9,0),VLOOKUP($AO3,[1]!Table14[[Old Account Number]:[Filtro2]],12,0))))))))</f>
        <v>Manutenção Terceiros</v>
      </c>
      <c r="C3" t="str">
        <f>IF(LEFT(AO3,1)="B","CAPEX",IF(LEFT(AO3,1)="C","STOCK",IF(MID(AO3,7,2)="JA","STAFF",IF(MID(AO3,7,1)="H","STAFF",IF(MID(AO3,7,1)="S","STAFF",IF(MID(AO3,7,2)="JV","LOG",IFERROR(VLOOKUP($AO3,[1]!Table14[[New Account Number]:[Filtro2]],10,0),VLOOKUP($AO3,[1]!Table14[[Old Account Number]:[Filtro2]],13,0))))))))</f>
        <v>Total Manutenção Fixa</v>
      </c>
      <c r="D3" t="s">
        <v>43</v>
      </c>
      <c r="E3" t="s">
        <v>2</v>
      </c>
      <c r="F3" t="s">
        <v>3</v>
      </c>
      <c r="G3">
        <v>134707</v>
      </c>
      <c r="H3" t="s">
        <v>0</v>
      </c>
      <c r="I3" t="s">
        <v>58</v>
      </c>
      <c r="J3" t="s">
        <v>62</v>
      </c>
      <c r="K3" t="s">
        <v>1</v>
      </c>
      <c r="L3">
        <v>4211315568</v>
      </c>
      <c r="M3">
        <v>9001671960</v>
      </c>
      <c r="N3" s="2">
        <v>45880</v>
      </c>
      <c r="O3" s="2">
        <v>45970</v>
      </c>
      <c r="P3">
        <v>72398.73</v>
      </c>
      <c r="Q3" s="2">
        <v>45891</v>
      </c>
      <c r="R3">
        <v>5001232052</v>
      </c>
      <c r="S3">
        <v>2025</v>
      </c>
      <c r="T3">
        <v>353681</v>
      </c>
      <c r="U3" t="s">
        <v>1</v>
      </c>
      <c r="V3" s="2"/>
      <c r="W3" t="s">
        <v>1</v>
      </c>
      <c r="AE3">
        <v>0</v>
      </c>
      <c r="AF3" t="s">
        <v>116</v>
      </c>
      <c r="AG3" t="s">
        <v>1</v>
      </c>
      <c r="AH3" t="s">
        <v>117</v>
      </c>
      <c r="AI3">
        <v>72398.73</v>
      </c>
      <c r="AJ3" t="s">
        <v>1</v>
      </c>
      <c r="AK3" t="s">
        <v>1</v>
      </c>
      <c r="AL3">
        <v>6000031</v>
      </c>
      <c r="AM3" t="s">
        <v>59</v>
      </c>
      <c r="AN3">
        <v>9000</v>
      </c>
      <c r="AO3" t="s">
        <v>100</v>
      </c>
    </row>
    <row r="4" spans="1:41" x14ac:dyDescent="0.25">
      <c r="A4" t="str">
        <f>VLOOKUP(MONTH(N4),Sheet1!$A$2:$B$13,2,0)</f>
        <v>Set</v>
      </c>
      <c r="B4" t="str">
        <f>IF(LEFT(AO4,1)="B","CAPEX",IF(LEFT(AO4,1)="C","STOCK",IF(MID(AO4,7,2)="JA","STAFF",IF(MID(AO4,7,1)="H","STAFF",IF(MID(AO4,7,1)="S","STAFF",IF(MID(AO4,7,2)="JV","LOG",IFERROR(VLOOKUP($AO4,[1]!Table14[[New Account Number]:[Filtro2]],9,0),VLOOKUP($AO4,[1]!Table14[[Old Account Number]:[Filtro2]],12,0))))))))</f>
        <v>Manutenção Terceiros</v>
      </c>
      <c r="C4" t="str">
        <f>IF(LEFT(AO4,1)="B","CAPEX",IF(LEFT(AO4,1)="C","STOCK",IF(MID(AO4,7,2)="JA","STAFF",IF(MID(AO4,7,1)="H","STAFF",IF(MID(AO4,7,1)="S","STAFF",IF(MID(AO4,7,2)="JV","LOG",IFERROR(VLOOKUP($AO4,[1]!Table14[[New Account Number]:[Filtro2]],10,0),VLOOKUP($AO4,[1]!Table14[[Old Account Number]:[Filtro2]],13,0))))))))</f>
        <v>Total Manutenção Variável</v>
      </c>
      <c r="D4" t="s">
        <v>43</v>
      </c>
      <c r="E4" t="s">
        <v>2</v>
      </c>
      <c r="F4" t="s">
        <v>3</v>
      </c>
      <c r="G4">
        <v>1103</v>
      </c>
      <c r="H4" t="s">
        <v>0</v>
      </c>
      <c r="I4" t="s">
        <v>57</v>
      </c>
      <c r="J4" t="s">
        <v>84</v>
      </c>
      <c r="K4" t="s">
        <v>1</v>
      </c>
      <c r="L4">
        <v>4211333373</v>
      </c>
      <c r="M4">
        <v>9001676786</v>
      </c>
      <c r="N4" s="2">
        <v>45908</v>
      </c>
      <c r="O4" s="2">
        <v>45998</v>
      </c>
      <c r="P4">
        <v>12000</v>
      </c>
      <c r="Q4" s="2">
        <v>45908</v>
      </c>
      <c r="R4">
        <v>5001298802</v>
      </c>
      <c r="S4">
        <v>2025</v>
      </c>
      <c r="T4">
        <v>356682</v>
      </c>
      <c r="U4" t="s">
        <v>1</v>
      </c>
      <c r="V4" s="2"/>
      <c r="W4" t="s">
        <v>1</v>
      </c>
      <c r="AE4">
        <v>0</v>
      </c>
      <c r="AF4" t="s">
        <v>87</v>
      </c>
      <c r="AG4" t="s">
        <v>1</v>
      </c>
      <c r="AH4" t="s">
        <v>1</v>
      </c>
      <c r="AI4">
        <v>12000</v>
      </c>
      <c r="AJ4" t="s">
        <v>1</v>
      </c>
      <c r="AK4" t="s">
        <v>1</v>
      </c>
      <c r="AL4">
        <v>6999999</v>
      </c>
      <c r="AM4" t="s">
        <v>59</v>
      </c>
      <c r="AN4">
        <v>9104</v>
      </c>
      <c r="AO4" t="s">
        <v>50</v>
      </c>
    </row>
    <row r="5" spans="1:41" x14ac:dyDescent="0.25">
      <c r="A5" t="str">
        <f>VLOOKUP(MONTH(N5),Sheet1!$A$2:$B$13,2,0)</f>
        <v>Jul</v>
      </c>
      <c r="B5" t="str">
        <f>IF(LEFT(AO5,1)="B","CAPEX",IF(LEFT(AO5,1)="C","STOCK",IF(MID(AO5,7,2)="JA","STAFF",IF(MID(AO5,7,1)="H","STAFF",IF(MID(AO5,7,1)="S","STAFF",IF(MID(AO5,7,2)="JV","LOG",IFERROR(VLOOKUP($AO5,[1]!Table14[[New Account Number]:[Filtro2]],9,0),VLOOKUP($AO5,[1]!Table14[[Old Account Number]:[Filtro2]],12,0))))))))</f>
        <v>Aluguéis</v>
      </c>
      <c r="C5" t="str">
        <f>IF(LEFT(AO5,1)="B","CAPEX",IF(LEFT(AO5,1)="C","STOCK",IF(MID(AO5,7,2)="JA","STAFF",IF(MID(AO5,7,1)="H","STAFF",IF(MID(AO5,7,1)="S","STAFF",IF(MID(AO5,7,2)="JV","LOG",IFERROR(VLOOKUP($AO5,[1]!Table14[[New Account Number]:[Filtro2]],10,0),VLOOKUP($AO5,[1]!Table14[[Old Account Number]:[Filtro2]],13,0))))))))</f>
        <v>Total Outras Despesas Fixas</v>
      </c>
      <c r="D5" t="s">
        <v>46</v>
      </c>
      <c r="E5" t="s">
        <v>47</v>
      </c>
      <c r="F5" t="s">
        <v>48</v>
      </c>
      <c r="G5">
        <v>15933</v>
      </c>
      <c r="H5" t="s">
        <v>0</v>
      </c>
      <c r="I5" t="s">
        <v>108</v>
      </c>
      <c r="J5" t="s">
        <v>109</v>
      </c>
      <c r="K5" t="s">
        <v>1</v>
      </c>
      <c r="L5">
        <v>4211331860</v>
      </c>
      <c r="M5">
        <v>9001657788</v>
      </c>
      <c r="N5" s="2">
        <v>45853</v>
      </c>
      <c r="O5" s="2">
        <v>45913</v>
      </c>
      <c r="P5">
        <v>36840</v>
      </c>
      <c r="Q5" s="2">
        <v>45853</v>
      </c>
      <c r="R5">
        <v>5001080856</v>
      </c>
      <c r="S5">
        <v>2025</v>
      </c>
      <c r="T5">
        <v>346485</v>
      </c>
      <c r="U5" t="s">
        <v>1</v>
      </c>
      <c r="V5" s="2">
        <v>45855</v>
      </c>
      <c r="W5" t="s">
        <v>113</v>
      </c>
      <c r="AA5">
        <v>5001090547</v>
      </c>
      <c r="AB5">
        <v>2025</v>
      </c>
      <c r="AC5">
        <v>9003981437</v>
      </c>
      <c r="AD5">
        <v>2025</v>
      </c>
      <c r="AE5">
        <v>10294041</v>
      </c>
      <c r="AF5" t="s">
        <v>110</v>
      </c>
      <c r="AG5" t="s">
        <v>114</v>
      </c>
      <c r="AH5" t="s">
        <v>111</v>
      </c>
      <c r="AI5">
        <v>0</v>
      </c>
      <c r="AJ5" t="s">
        <v>1</v>
      </c>
      <c r="AK5" t="s">
        <v>1</v>
      </c>
      <c r="AL5">
        <v>6999999</v>
      </c>
      <c r="AM5" t="s">
        <v>112</v>
      </c>
      <c r="AN5">
        <v>9000</v>
      </c>
      <c r="AO5" t="s">
        <v>54</v>
      </c>
    </row>
    <row r="6" spans="1:41" x14ac:dyDescent="0.25">
      <c r="A6" t="str">
        <f>VLOOKUP(MONTH(N6),Sheet1!$A$2:$B$13,2,0)</f>
        <v>Ago</v>
      </c>
      <c r="B6" t="str">
        <f>IF(LEFT(AO6,1)="B","CAPEX",IF(LEFT(AO6,1)="C","STOCK",IF(MID(AO6,7,2)="JA","STAFF",IF(MID(AO6,7,1)="H","STAFF",IF(MID(AO6,7,1)="S","STAFF",IF(MID(AO6,7,2)="JV","LOG",IFERROR(VLOOKUP($AO6,[1]!Table14[[New Account Number]:[Filtro2]],9,0),VLOOKUP($AO6,[1]!Table14[[Old Account Number]:[Filtro2]],12,0))))))))</f>
        <v>STAFF</v>
      </c>
      <c r="C6" t="str">
        <f>IF(LEFT(AO6,1)="B","CAPEX",IF(LEFT(AO6,1)="C","STOCK",IF(MID(AO6,7,2)="JA","STAFF",IF(MID(AO6,7,1)="H","STAFF",IF(MID(AO6,7,1)="S","STAFF",IF(MID(AO6,7,2)="JV","LOG",IFERROR(VLOOKUP($AO6,[1]!Table14[[New Account Number]:[Filtro2]],10,0),VLOOKUP($AO6,[1]!Table14[[Old Account Number]:[Filtro2]],13,0))))))))</f>
        <v>STAFF</v>
      </c>
      <c r="D6" t="s">
        <v>43</v>
      </c>
      <c r="E6" t="s">
        <v>2</v>
      </c>
      <c r="F6" t="s">
        <v>3</v>
      </c>
      <c r="G6">
        <v>27035</v>
      </c>
      <c r="H6" t="s">
        <v>0</v>
      </c>
      <c r="I6" t="s">
        <v>49</v>
      </c>
      <c r="J6" t="s">
        <v>126</v>
      </c>
      <c r="K6" t="s">
        <v>1</v>
      </c>
      <c r="L6">
        <v>4211325456</v>
      </c>
      <c r="M6">
        <v>9001672541</v>
      </c>
      <c r="N6" s="2">
        <v>45883</v>
      </c>
      <c r="O6" s="2">
        <v>45943</v>
      </c>
      <c r="P6">
        <v>289</v>
      </c>
      <c r="Q6" s="2">
        <v>45883</v>
      </c>
      <c r="R6">
        <v>5001206008</v>
      </c>
      <c r="S6">
        <v>2025</v>
      </c>
      <c r="T6">
        <v>352181</v>
      </c>
      <c r="U6" t="s">
        <v>1</v>
      </c>
      <c r="V6" s="2"/>
      <c r="W6" t="s">
        <v>1</v>
      </c>
      <c r="AE6">
        <v>0</v>
      </c>
      <c r="AF6" t="s">
        <v>131</v>
      </c>
      <c r="AG6" t="s">
        <v>1</v>
      </c>
      <c r="AH6" t="s">
        <v>132</v>
      </c>
      <c r="AI6">
        <v>289</v>
      </c>
      <c r="AJ6" t="s">
        <v>1</v>
      </c>
      <c r="AK6" t="s">
        <v>1</v>
      </c>
      <c r="AL6">
        <v>6999999</v>
      </c>
      <c r="AM6" t="s">
        <v>59</v>
      </c>
      <c r="AN6">
        <v>4802</v>
      </c>
      <c r="AO6" t="s">
        <v>133</v>
      </c>
    </row>
    <row r="7" spans="1:41" x14ac:dyDescent="0.25">
      <c r="A7" t="str">
        <f>VLOOKUP(MONTH(N7),Sheet1!$A$2:$B$13,2,0)</f>
        <v>Set</v>
      </c>
      <c r="B7" t="str">
        <f>IF(LEFT(AO7,1)="B","CAPEX",IF(LEFT(AO7,1)="C","STOCK",IF(MID(AO7,7,2)="JA","STAFF",IF(MID(AO7,7,1)="H","STAFF",IF(MID(AO7,7,1)="S","STAFF",IF(MID(AO7,7,2)="JV","LOG",IFERROR(VLOOKUP($AO7,[1]!Table14[[New Account Number]:[Filtro2]],9,0),VLOOKUP($AO7,[1]!Table14[[Old Account Number]:[Filtro2]],12,0))))))))</f>
        <v>Manutenção Terceiros</v>
      </c>
      <c r="C7" t="str">
        <f>IF(LEFT(AO7,1)="B","CAPEX",IF(LEFT(AO7,1)="C","STOCK",IF(MID(AO7,7,2)="JA","STAFF",IF(MID(AO7,7,1)="H","STAFF",IF(MID(AO7,7,1)="S","STAFF",IF(MID(AO7,7,2)="JV","LOG",IFERROR(VLOOKUP($AO7,[1]!Table14[[New Account Number]:[Filtro2]],10,0),VLOOKUP($AO7,[1]!Table14[[Old Account Number]:[Filtro2]],13,0))))))))</f>
        <v>Total Manutenção Variável</v>
      </c>
      <c r="D7" t="s">
        <v>43</v>
      </c>
      <c r="E7" t="s">
        <v>2</v>
      </c>
      <c r="F7" t="s">
        <v>3</v>
      </c>
      <c r="G7">
        <v>11350</v>
      </c>
      <c r="H7" t="s">
        <v>0</v>
      </c>
      <c r="I7" t="s">
        <v>57</v>
      </c>
      <c r="J7" t="s">
        <v>99</v>
      </c>
      <c r="K7" t="s">
        <v>1</v>
      </c>
      <c r="L7">
        <v>4211324689</v>
      </c>
      <c r="M7">
        <v>9001673363</v>
      </c>
      <c r="N7" s="2">
        <v>45901</v>
      </c>
      <c r="O7" s="2">
        <v>46021</v>
      </c>
      <c r="P7">
        <v>102118.5</v>
      </c>
      <c r="Q7" s="2">
        <v>45904</v>
      </c>
      <c r="R7">
        <v>5001286166</v>
      </c>
      <c r="S7">
        <v>2025</v>
      </c>
      <c r="T7">
        <v>355935</v>
      </c>
      <c r="U7" t="s">
        <v>1</v>
      </c>
      <c r="V7" s="2"/>
      <c r="W7" t="s">
        <v>1</v>
      </c>
      <c r="AE7">
        <v>0</v>
      </c>
      <c r="AF7" t="s">
        <v>87</v>
      </c>
      <c r="AG7" t="s">
        <v>1</v>
      </c>
      <c r="AH7" t="s">
        <v>1</v>
      </c>
      <c r="AI7">
        <v>102118.5</v>
      </c>
      <c r="AJ7" t="s">
        <v>1</v>
      </c>
      <c r="AK7" t="s">
        <v>1</v>
      </c>
      <c r="AL7">
        <v>6000020</v>
      </c>
      <c r="AM7" t="s">
        <v>59</v>
      </c>
      <c r="AN7">
        <v>9203</v>
      </c>
      <c r="AO7" t="s">
        <v>50</v>
      </c>
    </row>
    <row r="8" spans="1:41" x14ac:dyDescent="0.25">
      <c r="A8" t="str">
        <f>VLOOKUP(MONTH(N8),Sheet1!$A$2:$B$13,2,0)</f>
        <v>Jul</v>
      </c>
      <c r="B8" t="str">
        <f>IF(LEFT(AO8,1)="B","CAPEX",IF(LEFT(AO8,1)="C","STOCK",IF(MID(AO8,7,2)="JA","STAFF",IF(MID(AO8,7,1)="H","STAFF",IF(MID(AO8,7,1)="S","STAFF",IF(MID(AO8,7,2)="JV","LOG",IFERROR(VLOOKUP($AO8,[1]!Table14[[New Account Number]:[Filtro2]],9,0),VLOOKUP($AO8,[1]!Table14[[Old Account Number]:[Filtro2]],12,0))))))))</f>
        <v>Limpeza Por Terceiros</v>
      </c>
      <c r="C8" t="str">
        <f>IF(LEFT(AO8,1)="B","CAPEX",IF(LEFT(AO8,1)="C","STOCK",IF(MID(AO8,7,2)="JA","STAFF",IF(MID(AO8,7,1)="H","STAFF",IF(MID(AO8,7,1)="S","STAFF",IF(MID(AO8,7,2)="JV","LOG",IFERROR(VLOOKUP($AO8,[1]!Table14[[New Account Number]:[Filtro2]],10,0),VLOOKUP($AO8,[1]!Table14[[Old Account Number]:[Filtro2]],13,0))))))))</f>
        <v>Total Outras Despesas Fixas</v>
      </c>
      <c r="D8" t="s">
        <v>43</v>
      </c>
      <c r="E8" t="s">
        <v>2</v>
      </c>
      <c r="F8" t="s">
        <v>3</v>
      </c>
      <c r="G8">
        <v>13574</v>
      </c>
      <c r="H8" t="s">
        <v>0</v>
      </c>
      <c r="I8" t="s">
        <v>49</v>
      </c>
      <c r="J8" t="s">
        <v>124</v>
      </c>
      <c r="K8" t="s">
        <v>1</v>
      </c>
      <c r="L8">
        <v>4211333268</v>
      </c>
      <c r="M8">
        <v>2600466671</v>
      </c>
      <c r="N8" s="2">
        <v>45845</v>
      </c>
      <c r="O8" s="2">
        <v>45905</v>
      </c>
      <c r="P8">
        <v>18532.29</v>
      </c>
      <c r="Q8" s="2">
        <v>45863</v>
      </c>
      <c r="R8">
        <v>5001127444</v>
      </c>
      <c r="S8">
        <v>2025</v>
      </c>
      <c r="T8">
        <v>348657</v>
      </c>
      <c r="U8" t="s">
        <v>1</v>
      </c>
      <c r="V8" s="2"/>
      <c r="W8" t="s">
        <v>1</v>
      </c>
      <c r="AE8">
        <v>0</v>
      </c>
      <c r="AF8" t="s">
        <v>60</v>
      </c>
      <c r="AG8" t="s">
        <v>1</v>
      </c>
      <c r="AH8" t="s">
        <v>61</v>
      </c>
      <c r="AI8">
        <v>18532.29</v>
      </c>
      <c r="AJ8" t="s">
        <v>1</v>
      </c>
      <c r="AK8" t="s">
        <v>1</v>
      </c>
      <c r="AL8">
        <v>6000010</v>
      </c>
      <c r="AM8" t="s">
        <v>59</v>
      </c>
      <c r="AN8">
        <v>9000</v>
      </c>
      <c r="AO8" t="s">
        <v>122</v>
      </c>
    </row>
    <row r="9" spans="1:41" x14ac:dyDescent="0.25">
      <c r="A9" t="str">
        <f>VLOOKUP(MONTH(N9),Sheet1!$A$2:$B$13,2,0)</f>
        <v>Jul</v>
      </c>
      <c r="B9" t="str">
        <f>IF(LEFT(AO9,1)="B","CAPEX",IF(LEFT(AO9,1)="C","STOCK",IF(MID(AO9,7,2)="JA","STAFF",IF(MID(AO9,7,1)="H","STAFF",IF(MID(AO9,7,1)="S","STAFF",IF(MID(AO9,7,2)="JV","LOG",IFERROR(VLOOKUP($AO9,[1]!Table14[[New Account Number]:[Filtro2]],9,0),VLOOKUP($AO9,[1]!Table14[[Old Account Number]:[Filtro2]],12,0))))))))</f>
        <v>Limpeza Por Terceiros</v>
      </c>
      <c r="C9" t="str">
        <f>IF(LEFT(AO9,1)="B","CAPEX",IF(LEFT(AO9,1)="C","STOCK",IF(MID(AO9,7,2)="JA","STAFF",IF(MID(AO9,7,1)="H","STAFF",IF(MID(AO9,7,1)="S","STAFF",IF(MID(AO9,7,2)="JV","LOG",IFERROR(VLOOKUP($AO9,[1]!Table14[[New Account Number]:[Filtro2]],10,0),VLOOKUP($AO9,[1]!Table14[[Old Account Number]:[Filtro2]],13,0))))))))</f>
        <v>Total Outras Despesas Fixas</v>
      </c>
      <c r="D9" t="s">
        <v>43</v>
      </c>
      <c r="E9" t="s">
        <v>2</v>
      </c>
      <c r="F9" t="s">
        <v>3</v>
      </c>
      <c r="G9">
        <v>13573</v>
      </c>
      <c r="H9" t="s">
        <v>0</v>
      </c>
      <c r="I9" t="s">
        <v>49</v>
      </c>
      <c r="J9" t="s">
        <v>124</v>
      </c>
      <c r="K9" t="s">
        <v>1</v>
      </c>
      <c r="L9">
        <v>4211333268</v>
      </c>
      <c r="M9">
        <v>2600466671</v>
      </c>
      <c r="N9" s="2">
        <v>45845</v>
      </c>
      <c r="O9" s="2">
        <v>45905</v>
      </c>
      <c r="P9">
        <v>70291.149999999994</v>
      </c>
      <c r="Q9" s="2">
        <v>45863</v>
      </c>
      <c r="R9">
        <v>5001127443</v>
      </c>
      <c r="S9">
        <v>2025</v>
      </c>
      <c r="T9">
        <v>348656</v>
      </c>
      <c r="U9" t="s">
        <v>1</v>
      </c>
      <c r="V9" s="2"/>
      <c r="W9" t="s">
        <v>1</v>
      </c>
      <c r="AE9">
        <v>0</v>
      </c>
      <c r="AF9" t="s">
        <v>60</v>
      </c>
      <c r="AG9" t="s">
        <v>1</v>
      </c>
      <c r="AH9" t="s">
        <v>61</v>
      </c>
      <c r="AI9">
        <v>70291.149999999994</v>
      </c>
      <c r="AJ9" t="s">
        <v>1</v>
      </c>
      <c r="AK9" t="s">
        <v>1</v>
      </c>
      <c r="AL9">
        <v>6000001</v>
      </c>
      <c r="AM9" t="s">
        <v>59</v>
      </c>
      <c r="AN9">
        <v>9000</v>
      </c>
      <c r="AO9" t="s">
        <v>122</v>
      </c>
    </row>
    <row r="10" spans="1:41" x14ac:dyDescent="0.25">
      <c r="A10" t="str">
        <f>VLOOKUP(MONTH(N10),Sheet1!$A$2:$B$13,2,0)</f>
        <v>Out</v>
      </c>
      <c r="B10" t="str">
        <f>IF(LEFT(AO10,1)="B","CAPEX",IF(LEFT(AO10,1)="C","STOCK",IF(MID(AO10,7,2)="JA","STAFF",IF(MID(AO10,7,1)="H","STAFF",IF(MID(AO10,7,1)="S","STAFF",IF(MID(AO10,7,2)="JV","LOG",IFERROR(VLOOKUP($AO10,[1]!Table14[[New Account Number]:[Filtro2]],9,0),VLOOKUP($AO10,[1]!Table14[[Old Account Number]:[Filtro2]],12,0))))))))</f>
        <v>CAPEX</v>
      </c>
      <c r="C10" t="str">
        <f>IF(LEFT(AO10,1)="B","CAPEX",IF(LEFT(AO10,1)="C","STOCK",IF(MID(AO10,7,2)="JA","STAFF",IF(MID(AO10,7,1)="H","STAFF",IF(MID(AO10,7,1)="S","STAFF",IF(MID(AO10,7,2)="JV","LOG",IFERROR(VLOOKUP($AO10,[1]!Table14[[New Account Number]:[Filtro2]],10,0),VLOOKUP($AO10,[1]!Table14[[Old Account Number]:[Filtro2]],13,0))))))))</f>
        <v>CAPEX</v>
      </c>
      <c r="D10" t="s">
        <v>46</v>
      </c>
      <c r="E10" t="s">
        <v>47</v>
      </c>
      <c r="F10" t="s">
        <v>48</v>
      </c>
      <c r="G10">
        <v>2356</v>
      </c>
      <c r="H10" t="s">
        <v>0</v>
      </c>
      <c r="I10" t="s">
        <v>58</v>
      </c>
      <c r="J10" t="s">
        <v>228</v>
      </c>
      <c r="K10" t="s">
        <v>1</v>
      </c>
      <c r="L10">
        <v>4211317766</v>
      </c>
      <c r="M10">
        <v>2600461316</v>
      </c>
      <c r="N10" s="2">
        <v>45936</v>
      </c>
      <c r="O10" s="2">
        <v>45996</v>
      </c>
      <c r="P10">
        <v>38000</v>
      </c>
      <c r="Q10" s="2">
        <v>45936</v>
      </c>
      <c r="R10">
        <v>5001458074</v>
      </c>
      <c r="S10">
        <v>2025</v>
      </c>
      <c r="T10">
        <v>361574</v>
      </c>
      <c r="U10" t="s">
        <v>1</v>
      </c>
      <c r="V10" s="2">
        <v>45952</v>
      </c>
      <c r="W10" t="s">
        <v>233</v>
      </c>
      <c r="AA10">
        <v>5001522948</v>
      </c>
      <c r="AB10">
        <v>2025</v>
      </c>
      <c r="AC10">
        <v>9004034640</v>
      </c>
      <c r="AD10">
        <v>2025</v>
      </c>
      <c r="AE10">
        <v>10419623</v>
      </c>
      <c r="AF10" t="s">
        <v>250</v>
      </c>
      <c r="AG10" t="s">
        <v>234</v>
      </c>
      <c r="AH10" t="s">
        <v>251</v>
      </c>
      <c r="AI10">
        <v>0</v>
      </c>
      <c r="AJ10" t="s">
        <v>1</v>
      </c>
      <c r="AK10" t="s">
        <v>1</v>
      </c>
      <c r="AL10">
        <v>6999999</v>
      </c>
      <c r="AM10" t="s">
        <v>59</v>
      </c>
      <c r="AO10" t="s">
        <v>121</v>
      </c>
    </row>
    <row r="11" spans="1:41" x14ac:dyDescent="0.25">
      <c r="A11" t="str">
        <f>VLOOKUP(MONTH(N11),Sheet1!$A$2:$B$13,2,0)</f>
        <v>Set</v>
      </c>
      <c r="B11" t="str">
        <f>IF(LEFT(AO11,1)="B","CAPEX",IF(LEFT(AO11,1)="C","STOCK",IF(MID(AO11,7,2)="JA","STAFF",IF(MID(AO11,7,1)="H","STAFF",IF(MID(AO11,7,1)="S","STAFF",IF(MID(AO11,7,2)="JV","LOG",IFERROR(VLOOKUP($AO11,[1]!Table14[[New Account Number]:[Filtro2]],9,0),VLOOKUP($AO11,[1]!Table14[[Old Account Number]:[Filtro2]],12,0))))))))</f>
        <v>Manutenção Terceiros</v>
      </c>
      <c r="C11" t="str">
        <f>IF(LEFT(AO11,1)="B","CAPEX",IF(LEFT(AO11,1)="C","STOCK",IF(MID(AO11,7,2)="JA","STAFF",IF(MID(AO11,7,1)="H","STAFF",IF(MID(AO11,7,1)="S","STAFF",IF(MID(AO11,7,2)="JV","LOG",IFERROR(VLOOKUP($AO11,[1]!Table14[[New Account Number]:[Filtro2]],10,0),VLOOKUP($AO11,[1]!Table14[[Old Account Number]:[Filtro2]],13,0))))))))</f>
        <v>Total Manutenção Fixa</v>
      </c>
      <c r="D11" t="s">
        <v>43</v>
      </c>
      <c r="E11" t="s">
        <v>2</v>
      </c>
      <c r="F11" t="s">
        <v>3</v>
      </c>
      <c r="G11">
        <v>636</v>
      </c>
      <c r="H11" t="s">
        <v>0</v>
      </c>
      <c r="I11" t="s">
        <v>44</v>
      </c>
      <c r="J11" t="s">
        <v>98</v>
      </c>
      <c r="K11" t="s">
        <v>1</v>
      </c>
      <c r="L11">
        <v>4211328675</v>
      </c>
      <c r="M11">
        <v>9001636728</v>
      </c>
      <c r="N11" s="2">
        <v>45919</v>
      </c>
      <c r="O11" s="2">
        <v>45979</v>
      </c>
      <c r="P11">
        <v>15000</v>
      </c>
      <c r="Q11" s="2">
        <v>45919</v>
      </c>
      <c r="R11">
        <v>5001352425</v>
      </c>
      <c r="S11">
        <v>2025</v>
      </c>
      <c r="T11">
        <v>358753</v>
      </c>
      <c r="U11" t="s">
        <v>1</v>
      </c>
      <c r="V11" s="2"/>
      <c r="W11" t="s">
        <v>1</v>
      </c>
      <c r="AE11">
        <v>0</v>
      </c>
      <c r="AF11" t="s">
        <v>81</v>
      </c>
      <c r="AG11" t="s">
        <v>1</v>
      </c>
      <c r="AH11" t="s">
        <v>96</v>
      </c>
      <c r="AI11">
        <v>15000</v>
      </c>
      <c r="AJ11" t="s">
        <v>1</v>
      </c>
      <c r="AK11" t="s">
        <v>1</v>
      </c>
      <c r="AL11">
        <v>6999999</v>
      </c>
      <c r="AM11" t="s">
        <v>92</v>
      </c>
      <c r="AN11">
        <v>9018</v>
      </c>
      <c r="AO11" t="s">
        <v>100</v>
      </c>
    </row>
    <row r="12" spans="1:41" x14ac:dyDescent="0.25">
      <c r="A12" t="str">
        <f>VLOOKUP(MONTH(N12),Sheet1!$A$2:$B$13,2,0)</f>
        <v>Out</v>
      </c>
      <c r="B12" t="str">
        <f>IF(LEFT(AO12,1)="B","CAPEX",IF(LEFT(AO12,1)="C","STOCK",IF(MID(AO12,7,2)="JA","STAFF",IF(MID(AO12,7,1)="H","STAFF",IF(MID(AO12,7,1)="S","STAFF",IF(MID(AO12,7,2)="JV","LOG",IFERROR(VLOOKUP($AO12,[1]!Table14[[New Account Number]:[Filtro2]],9,0),VLOOKUP($AO12,[1]!Table14[[Old Account Number]:[Filtro2]],12,0))))))))</f>
        <v>Manutenção Terceiros</v>
      </c>
      <c r="C12" t="str">
        <f>IF(LEFT(AO12,1)="B","CAPEX",IF(LEFT(AO12,1)="C","STOCK",IF(MID(AO12,7,2)="JA","STAFF",IF(MID(AO12,7,1)="H","STAFF",IF(MID(AO12,7,1)="S","STAFF",IF(MID(AO12,7,2)="JV","LOG",IFERROR(VLOOKUP($AO12,[1]!Table14[[New Account Number]:[Filtro2]],10,0),VLOOKUP($AO12,[1]!Table14[[Old Account Number]:[Filtro2]],13,0))))))))</f>
        <v>Total Manutenção Variável</v>
      </c>
      <c r="D12" t="s">
        <v>43</v>
      </c>
      <c r="E12" t="s">
        <v>2</v>
      </c>
      <c r="F12" t="s">
        <v>3</v>
      </c>
      <c r="G12">
        <v>11505</v>
      </c>
      <c r="H12" t="s">
        <v>0</v>
      </c>
      <c r="I12" t="s">
        <v>57</v>
      </c>
      <c r="J12" t="s">
        <v>99</v>
      </c>
      <c r="K12" t="s">
        <v>1</v>
      </c>
      <c r="L12">
        <v>4211324689</v>
      </c>
      <c r="M12">
        <v>9001678927</v>
      </c>
      <c r="N12" s="2">
        <v>45931</v>
      </c>
      <c r="O12" s="2">
        <v>46051</v>
      </c>
      <c r="P12">
        <v>97954.61</v>
      </c>
      <c r="Q12" s="2">
        <v>45936</v>
      </c>
      <c r="R12">
        <v>5001425055</v>
      </c>
      <c r="S12">
        <v>2025</v>
      </c>
      <c r="T12">
        <v>361520</v>
      </c>
      <c r="U12" t="s">
        <v>1</v>
      </c>
      <c r="V12" s="2"/>
      <c r="W12" t="s">
        <v>1</v>
      </c>
      <c r="AE12">
        <v>0</v>
      </c>
      <c r="AF12" t="s">
        <v>87</v>
      </c>
      <c r="AG12" t="s">
        <v>1</v>
      </c>
      <c r="AH12" t="s">
        <v>1</v>
      </c>
      <c r="AI12">
        <v>97954.61</v>
      </c>
      <c r="AJ12" t="s">
        <v>1</v>
      </c>
      <c r="AK12" t="s">
        <v>1</v>
      </c>
      <c r="AL12">
        <v>6000020</v>
      </c>
      <c r="AM12" t="s">
        <v>59</v>
      </c>
      <c r="AN12">
        <v>9203</v>
      </c>
      <c r="AO12" t="s">
        <v>50</v>
      </c>
    </row>
    <row r="13" spans="1:41" x14ac:dyDescent="0.25">
      <c r="A13" t="str">
        <f>VLOOKUP(MONTH(N13),Sheet1!$A$2:$B$13,2,0)</f>
        <v>Out</v>
      </c>
      <c r="B13" t="str">
        <f>IF(LEFT(AO13,1)="B","CAPEX",IF(LEFT(AO13,1)="C","STOCK",IF(MID(AO13,7,2)="JA","STAFF",IF(MID(AO13,7,1)="H","STAFF",IF(MID(AO13,7,1)="S","STAFF",IF(MID(AO13,7,2)="JV","LOG",IFERROR(VLOOKUP($AO13,[1]!Table14[[New Account Number]:[Filtro2]],9,0),VLOOKUP($AO13,[1]!Table14[[Old Account Number]:[Filtro2]],12,0))))))))</f>
        <v>Manutenção Terceiros</v>
      </c>
      <c r="C13" t="str">
        <f>IF(LEFT(AO13,1)="B","CAPEX",IF(LEFT(AO13,1)="C","STOCK",IF(MID(AO13,7,2)="JA","STAFF",IF(MID(AO13,7,1)="H","STAFF",IF(MID(AO13,7,1)="S","STAFF",IF(MID(AO13,7,2)="JV","LOG",IFERROR(VLOOKUP($AO13,[1]!Table14[[New Account Number]:[Filtro2]],10,0),VLOOKUP($AO13,[1]!Table14[[Old Account Number]:[Filtro2]],13,0))))))))</f>
        <v>Total Manutenção Variável</v>
      </c>
      <c r="D13" t="s">
        <v>43</v>
      </c>
      <c r="E13" t="s">
        <v>2</v>
      </c>
      <c r="F13" t="s">
        <v>3</v>
      </c>
      <c r="G13">
        <v>799</v>
      </c>
      <c r="H13" t="s">
        <v>0</v>
      </c>
      <c r="I13" t="s">
        <v>49</v>
      </c>
      <c r="J13" t="s">
        <v>165</v>
      </c>
      <c r="K13" t="s">
        <v>1</v>
      </c>
      <c r="L13">
        <v>4211329278</v>
      </c>
      <c r="M13">
        <v>2600468465</v>
      </c>
      <c r="N13" s="2">
        <v>45937</v>
      </c>
      <c r="O13" s="2">
        <v>45997</v>
      </c>
      <c r="P13">
        <v>16267.06</v>
      </c>
      <c r="Q13" s="2">
        <v>45937</v>
      </c>
      <c r="R13">
        <v>5001432285</v>
      </c>
      <c r="S13">
        <v>2025</v>
      </c>
      <c r="T13">
        <v>361848</v>
      </c>
      <c r="U13" t="s">
        <v>1</v>
      </c>
      <c r="V13" s="2"/>
      <c r="W13" t="s">
        <v>1</v>
      </c>
      <c r="AE13">
        <v>0</v>
      </c>
      <c r="AF13" t="s">
        <v>166</v>
      </c>
      <c r="AG13" t="s">
        <v>1</v>
      </c>
      <c r="AH13" t="s">
        <v>1</v>
      </c>
      <c r="AI13">
        <v>16267.06</v>
      </c>
      <c r="AJ13" t="s">
        <v>1</v>
      </c>
      <c r="AK13" t="s">
        <v>1</v>
      </c>
      <c r="AL13">
        <v>6999999</v>
      </c>
      <c r="AM13" t="s">
        <v>59</v>
      </c>
      <c r="AN13">
        <v>9117</v>
      </c>
      <c r="AO13" t="s">
        <v>50</v>
      </c>
    </row>
    <row r="14" spans="1:41" x14ac:dyDescent="0.25">
      <c r="A14" t="str">
        <f>VLOOKUP(MONTH(N14),Sheet1!$A$2:$B$13,2,0)</f>
        <v>Set</v>
      </c>
      <c r="B14" t="str">
        <f>IF(LEFT(AO14,1)="B","CAPEX",IF(LEFT(AO14,1)="C","STOCK",IF(MID(AO14,7,2)="JA","STAFF",IF(MID(AO14,7,1)="H","STAFF",IF(MID(AO14,7,1)="S","STAFF",IF(MID(AO14,7,2)="JV","LOG",IFERROR(VLOOKUP($AO14,[1]!Table14[[New Account Number]:[Filtro2]],9,0),VLOOKUP($AO14,[1]!Table14[[Old Account Number]:[Filtro2]],12,0))))))))</f>
        <v>Manutenção Terceiros</v>
      </c>
      <c r="C14" t="str">
        <f>IF(LEFT(AO14,1)="B","CAPEX",IF(LEFT(AO14,1)="C","STOCK",IF(MID(AO14,7,2)="JA","STAFF",IF(MID(AO14,7,1)="H","STAFF",IF(MID(AO14,7,1)="S","STAFF",IF(MID(AO14,7,2)="JV","LOG",IFERROR(VLOOKUP($AO14,[1]!Table14[[New Account Number]:[Filtro2]],10,0),VLOOKUP($AO14,[1]!Table14[[Old Account Number]:[Filtro2]],13,0))))))))</f>
        <v>Total Manutenção Variável</v>
      </c>
      <c r="D14" t="s">
        <v>43</v>
      </c>
      <c r="E14" t="s">
        <v>2</v>
      </c>
      <c r="F14" t="s">
        <v>3</v>
      </c>
      <c r="G14">
        <v>138901</v>
      </c>
      <c r="H14" t="s">
        <v>0</v>
      </c>
      <c r="I14" t="s">
        <v>58</v>
      </c>
      <c r="J14" t="s">
        <v>62</v>
      </c>
      <c r="K14" t="s">
        <v>1</v>
      </c>
      <c r="L14">
        <v>4211315568</v>
      </c>
      <c r="M14">
        <v>9001589601</v>
      </c>
      <c r="N14" s="2">
        <v>45916</v>
      </c>
      <c r="O14" s="2">
        <v>46006</v>
      </c>
      <c r="P14">
        <v>72398.73</v>
      </c>
      <c r="Q14" s="2">
        <v>45919</v>
      </c>
      <c r="R14">
        <v>5001349558</v>
      </c>
      <c r="S14">
        <v>2025</v>
      </c>
      <c r="T14">
        <v>358705</v>
      </c>
      <c r="U14" t="s">
        <v>1</v>
      </c>
      <c r="V14" s="2"/>
      <c r="W14" t="s">
        <v>1</v>
      </c>
      <c r="AE14">
        <v>0</v>
      </c>
      <c r="AF14" t="s">
        <v>116</v>
      </c>
      <c r="AG14" t="s">
        <v>1</v>
      </c>
      <c r="AH14" t="s">
        <v>117</v>
      </c>
      <c r="AI14">
        <v>72398.73</v>
      </c>
      <c r="AJ14" t="s">
        <v>1</v>
      </c>
      <c r="AK14" t="s">
        <v>1</v>
      </c>
      <c r="AL14">
        <v>6000031</v>
      </c>
      <c r="AM14" t="s">
        <v>59</v>
      </c>
      <c r="AN14">
        <v>9000</v>
      </c>
      <c r="AO14" t="s">
        <v>50</v>
      </c>
    </row>
    <row r="15" spans="1:41" x14ac:dyDescent="0.25">
      <c r="A15" t="str">
        <f>VLOOKUP(MONTH(N15),Sheet1!$A$2:$B$13,2,0)</f>
        <v>Set</v>
      </c>
      <c r="B15" t="str">
        <f>IF(LEFT(AO15,1)="B","CAPEX",IF(LEFT(AO15,1)="C","STOCK",IF(MID(AO15,7,2)="JA","STAFF",IF(MID(AO15,7,1)="H","STAFF",IF(MID(AO15,7,1)="S","STAFF",IF(MID(AO15,7,2)="JV","LOG",IFERROR(VLOOKUP($AO15,[1]!Table14[[New Account Number]:[Filtro2]],9,0),VLOOKUP($AO15,[1]!Table14[[Old Account Number]:[Filtro2]],12,0))))))))</f>
        <v>Manutenção Terceiros</v>
      </c>
      <c r="C15" t="str">
        <f>IF(LEFT(AO15,1)="B","CAPEX",IF(LEFT(AO15,1)="C","STOCK",IF(MID(AO15,7,2)="JA","STAFF",IF(MID(AO15,7,1)="H","STAFF",IF(MID(AO15,7,1)="S","STAFF",IF(MID(AO15,7,2)="JV","LOG",IFERROR(VLOOKUP($AO15,[1]!Table14[[New Account Number]:[Filtro2]],10,0),VLOOKUP($AO15,[1]!Table14[[Old Account Number]:[Filtro2]],13,0))))))))</f>
        <v>Total Manutenção Variável</v>
      </c>
      <c r="D15" t="s">
        <v>46</v>
      </c>
      <c r="E15" t="s">
        <v>47</v>
      </c>
      <c r="F15" t="s">
        <v>48</v>
      </c>
      <c r="G15">
        <v>15170</v>
      </c>
      <c r="H15" t="s">
        <v>0</v>
      </c>
      <c r="I15" t="s">
        <v>49</v>
      </c>
      <c r="J15" t="s">
        <v>130</v>
      </c>
      <c r="K15" t="s">
        <v>1</v>
      </c>
      <c r="L15">
        <v>4211308820</v>
      </c>
      <c r="M15">
        <v>2600465945</v>
      </c>
      <c r="N15" s="2">
        <v>45902</v>
      </c>
      <c r="O15" s="2">
        <v>45962</v>
      </c>
      <c r="P15">
        <v>3938</v>
      </c>
      <c r="Q15" s="2">
        <v>45923</v>
      </c>
      <c r="R15">
        <v>5001366274</v>
      </c>
      <c r="S15">
        <v>2025</v>
      </c>
      <c r="T15">
        <v>359301</v>
      </c>
      <c r="U15" t="s">
        <v>1</v>
      </c>
      <c r="V15" s="2">
        <v>46003</v>
      </c>
      <c r="W15" t="s">
        <v>182</v>
      </c>
      <c r="AA15">
        <v>5001902854</v>
      </c>
      <c r="AB15">
        <v>2025</v>
      </c>
      <c r="AC15">
        <v>9004035272</v>
      </c>
      <c r="AD15">
        <v>2025</v>
      </c>
      <c r="AE15">
        <v>10421161</v>
      </c>
      <c r="AF15" t="s">
        <v>81</v>
      </c>
      <c r="AG15" t="s">
        <v>181</v>
      </c>
      <c r="AH15" t="s">
        <v>96</v>
      </c>
      <c r="AI15">
        <v>0</v>
      </c>
      <c r="AJ15" t="s">
        <v>1</v>
      </c>
      <c r="AK15" t="s">
        <v>1</v>
      </c>
      <c r="AL15">
        <v>6999999</v>
      </c>
      <c r="AM15" t="s">
        <v>59</v>
      </c>
      <c r="AN15">
        <v>9013</v>
      </c>
      <c r="AO15" t="s">
        <v>50</v>
      </c>
    </row>
    <row r="16" spans="1:41" x14ac:dyDescent="0.25">
      <c r="A16" t="str">
        <f>VLOOKUP(MONTH(N16),Sheet1!$A$2:$B$13,2,0)</f>
        <v>Jul</v>
      </c>
      <c r="B16" t="str">
        <f>IF(LEFT(AO16,1)="B","CAPEX",IF(LEFT(AO16,1)="C","STOCK",IF(MID(AO16,7,2)="JA","STAFF",IF(MID(AO16,7,1)="H","STAFF",IF(MID(AO16,7,1)="S","STAFF",IF(MID(AO16,7,2)="JV","LOG",IFERROR(VLOOKUP($AO16,[1]!Table14[[New Account Number]:[Filtro2]],9,0),VLOOKUP($AO16,[1]!Table14[[Old Account Number]:[Filtro2]],12,0))))))))</f>
        <v>Serv.Prof.Prestados - Serviços</v>
      </c>
      <c r="C16" t="str">
        <f>IF(LEFT(AO16,1)="B","CAPEX",IF(LEFT(AO16,1)="C","STOCK",IF(MID(AO16,7,2)="JA","STAFF",IF(MID(AO16,7,1)="H","STAFF",IF(MID(AO16,7,1)="S","STAFF",IF(MID(AO16,7,2)="JV","LOG",IFERROR(VLOOKUP($AO16,[1]!Table14[[New Account Number]:[Filtro2]],10,0),VLOOKUP($AO16,[1]!Table14[[Old Account Number]:[Filtro2]],13,0))))))))</f>
        <v>Total Outras Despesas Fixas</v>
      </c>
      <c r="D16" t="s">
        <v>43</v>
      </c>
      <c r="E16" t="s">
        <v>2</v>
      </c>
      <c r="F16" t="s">
        <v>3</v>
      </c>
      <c r="G16">
        <v>130563</v>
      </c>
      <c r="H16" t="s">
        <v>0</v>
      </c>
      <c r="I16" t="s">
        <v>49</v>
      </c>
      <c r="J16" t="s">
        <v>62</v>
      </c>
      <c r="K16" t="s">
        <v>1</v>
      </c>
      <c r="L16">
        <v>4211315568</v>
      </c>
      <c r="M16">
        <v>2600465843</v>
      </c>
      <c r="N16" s="2">
        <v>45842</v>
      </c>
      <c r="O16" s="2">
        <v>45917</v>
      </c>
      <c r="P16">
        <v>16843.54</v>
      </c>
      <c r="Q16" s="2">
        <v>45845</v>
      </c>
      <c r="R16">
        <v>5001041993</v>
      </c>
      <c r="S16">
        <v>2025</v>
      </c>
      <c r="T16">
        <v>345085</v>
      </c>
      <c r="U16" t="s">
        <v>1</v>
      </c>
      <c r="V16" s="2"/>
      <c r="W16" t="s">
        <v>1</v>
      </c>
      <c r="AE16">
        <v>0</v>
      </c>
      <c r="AF16" t="s">
        <v>116</v>
      </c>
      <c r="AG16" t="s">
        <v>1</v>
      </c>
      <c r="AH16" t="s">
        <v>117</v>
      </c>
      <c r="AI16">
        <v>16843.54</v>
      </c>
      <c r="AJ16" t="s">
        <v>1</v>
      </c>
      <c r="AK16" t="s">
        <v>1</v>
      </c>
      <c r="AL16">
        <v>6000001</v>
      </c>
      <c r="AM16" t="s">
        <v>59</v>
      </c>
      <c r="AN16">
        <v>9000</v>
      </c>
      <c r="AO16" t="s">
        <v>119</v>
      </c>
    </row>
    <row r="17" spans="1:41" x14ac:dyDescent="0.25">
      <c r="A17" t="str">
        <f>VLOOKUP(MONTH(N17),Sheet1!$A$2:$B$13,2,0)</f>
        <v>Ago</v>
      </c>
      <c r="B17" t="str">
        <f>IF(LEFT(AO17,1)="B","CAPEX",IF(LEFT(AO17,1)="C","STOCK",IF(MID(AO17,7,2)="JA","STAFF",IF(MID(AO17,7,1)="H","STAFF",IF(MID(AO17,7,1)="S","STAFF",IF(MID(AO17,7,2)="JV","LOG",IFERROR(VLOOKUP($AO17,[1]!Table14[[New Account Number]:[Filtro2]],9,0),VLOOKUP($AO17,[1]!Table14[[Old Account Number]:[Filtro2]],12,0))))))))</f>
        <v>Vigilância</v>
      </c>
      <c r="C17" t="str">
        <f>IF(LEFT(AO17,1)="B","CAPEX",IF(LEFT(AO17,1)="C","STOCK",IF(MID(AO17,7,2)="JA","STAFF",IF(MID(AO17,7,1)="H","STAFF",IF(MID(AO17,7,1)="S","STAFF",IF(MID(AO17,7,2)="JV","LOG",IFERROR(VLOOKUP($AO17,[1]!Table14[[New Account Number]:[Filtro2]],10,0),VLOOKUP($AO17,[1]!Table14[[Old Account Number]:[Filtro2]],13,0))))))))</f>
        <v>Total Outras Despesas Fixas</v>
      </c>
      <c r="D17" t="s">
        <v>46</v>
      </c>
      <c r="E17" t="s">
        <v>47</v>
      </c>
      <c r="F17" t="s">
        <v>48</v>
      </c>
      <c r="G17">
        <v>102549</v>
      </c>
      <c r="H17" t="s">
        <v>0</v>
      </c>
      <c r="I17" t="s">
        <v>44</v>
      </c>
      <c r="J17" t="s">
        <v>209</v>
      </c>
      <c r="K17" t="s">
        <v>1</v>
      </c>
      <c r="L17">
        <v>4211330448</v>
      </c>
      <c r="M17">
        <v>9001674040</v>
      </c>
      <c r="N17" s="2">
        <v>45894</v>
      </c>
      <c r="O17" s="2">
        <v>45954</v>
      </c>
      <c r="P17">
        <v>226525.23</v>
      </c>
      <c r="Q17" s="2">
        <v>45894</v>
      </c>
      <c r="R17">
        <v>5001251117</v>
      </c>
      <c r="S17">
        <v>2025</v>
      </c>
      <c r="T17">
        <v>354146</v>
      </c>
      <c r="U17" t="s">
        <v>1</v>
      </c>
      <c r="V17" s="2">
        <v>45897</v>
      </c>
      <c r="W17" t="s">
        <v>210</v>
      </c>
      <c r="AA17">
        <v>5001256873</v>
      </c>
      <c r="AB17">
        <v>2025</v>
      </c>
      <c r="AC17">
        <v>9003994042</v>
      </c>
      <c r="AD17">
        <v>2025</v>
      </c>
      <c r="AE17">
        <v>10331265</v>
      </c>
      <c r="AF17" t="s">
        <v>211</v>
      </c>
      <c r="AG17" t="s">
        <v>212</v>
      </c>
      <c r="AH17" t="s">
        <v>213</v>
      </c>
      <c r="AI17">
        <v>0</v>
      </c>
      <c r="AJ17" t="s">
        <v>1</v>
      </c>
      <c r="AK17" t="s">
        <v>1</v>
      </c>
      <c r="AL17">
        <v>6000002</v>
      </c>
      <c r="AM17" t="s">
        <v>92</v>
      </c>
      <c r="AN17">
        <v>9000</v>
      </c>
      <c r="AO17" t="s">
        <v>214</v>
      </c>
    </row>
    <row r="18" spans="1:41" x14ac:dyDescent="0.25">
      <c r="A18" t="str">
        <f>VLOOKUP(MONTH(N18),Sheet1!$A$2:$B$13,2,0)</f>
        <v>Set</v>
      </c>
      <c r="B18" t="str">
        <f>IF(LEFT(AO18,1)="B","CAPEX",IF(LEFT(AO18,1)="C","STOCK",IF(MID(AO18,7,2)="JA","STAFF",IF(MID(AO18,7,1)="H","STAFF",IF(MID(AO18,7,1)="S","STAFF",IF(MID(AO18,7,2)="JV","LOG",IFERROR(VLOOKUP($AO18,[1]!Table14[[New Account Number]:[Filtro2]],9,0),VLOOKUP($AO18,[1]!Table14[[Old Account Number]:[Filtro2]],12,0))))))))</f>
        <v>Outras Despesas</v>
      </c>
      <c r="C18" t="str">
        <f>IF(LEFT(AO18,1)="B","CAPEX",IF(LEFT(AO18,1)="C","STOCK",IF(MID(AO18,7,2)="JA","STAFF",IF(MID(AO18,7,1)="H","STAFF",IF(MID(AO18,7,1)="S","STAFF",IF(MID(AO18,7,2)="JV","LOG",IFERROR(VLOOKUP($AO18,[1]!Table14[[New Account Number]:[Filtro2]],10,0),VLOOKUP($AO18,[1]!Table14[[Old Account Number]:[Filtro2]],13,0))))))))</f>
        <v>Total Outras Despesas Variáveis</v>
      </c>
      <c r="D18" t="s">
        <v>46</v>
      </c>
      <c r="E18" t="s">
        <v>47</v>
      </c>
      <c r="F18" t="s">
        <v>48</v>
      </c>
      <c r="G18">
        <v>14019</v>
      </c>
      <c r="H18" t="s">
        <v>0</v>
      </c>
      <c r="I18" t="s">
        <v>108</v>
      </c>
      <c r="J18" t="s">
        <v>124</v>
      </c>
      <c r="K18" t="s">
        <v>1</v>
      </c>
      <c r="L18">
        <v>4211333268</v>
      </c>
      <c r="M18">
        <v>9001678942</v>
      </c>
      <c r="N18" s="2">
        <v>45923</v>
      </c>
      <c r="O18" s="2">
        <v>45983</v>
      </c>
      <c r="P18">
        <v>83480.56</v>
      </c>
      <c r="Q18" s="2">
        <v>45925</v>
      </c>
      <c r="R18">
        <v>5001377550</v>
      </c>
      <c r="S18">
        <v>2025</v>
      </c>
      <c r="T18">
        <v>359720</v>
      </c>
      <c r="U18" t="s">
        <v>1</v>
      </c>
      <c r="V18" s="2">
        <v>45988</v>
      </c>
      <c r="W18" t="s">
        <v>192</v>
      </c>
      <c r="AA18">
        <v>5001799834</v>
      </c>
      <c r="AB18">
        <v>2025</v>
      </c>
      <c r="AC18">
        <v>9004028985</v>
      </c>
      <c r="AD18">
        <v>2025</v>
      </c>
      <c r="AE18">
        <v>10406651</v>
      </c>
      <c r="AF18" t="s">
        <v>110</v>
      </c>
      <c r="AG18" t="s">
        <v>106</v>
      </c>
      <c r="AH18" t="s">
        <v>111</v>
      </c>
      <c r="AI18">
        <v>0</v>
      </c>
      <c r="AJ18" t="s">
        <v>1</v>
      </c>
      <c r="AK18" t="s">
        <v>1</v>
      </c>
      <c r="AL18">
        <v>6000031</v>
      </c>
      <c r="AM18" t="s">
        <v>112</v>
      </c>
      <c r="AN18">
        <v>9201</v>
      </c>
      <c r="AO18" t="s">
        <v>147</v>
      </c>
    </row>
    <row r="19" spans="1:41" x14ac:dyDescent="0.25">
      <c r="A19" t="str">
        <f>VLOOKUP(MONTH(N19),Sheet1!$A$2:$B$13,2,0)</f>
        <v>Out</v>
      </c>
      <c r="B19" t="str">
        <f>IF(LEFT(AO19,1)="B","CAPEX",IF(LEFT(AO19,1)="C","STOCK",IF(MID(AO19,7,2)="JA","STAFF",IF(MID(AO19,7,1)="H","STAFF",IF(MID(AO19,7,1)="S","STAFF",IF(MID(AO19,7,2)="JV","LOG",IFERROR(VLOOKUP($AO19,[1]!Table14[[New Account Number]:[Filtro2]],9,0),VLOOKUP($AO19,[1]!Table14[[Old Account Number]:[Filtro2]],12,0))))))))</f>
        <v>Mats. Escritório/Xerox</v>
      </c>
      <c r="C19" t="str">
        <f>IF(LEFT(AO19,1)="B","CAPEX",IF(LEFT(AO19,1)="C","STOCK",IF(MID(AO19,7,2)="JA","STAFF",IF(MID(AO19,7,1)="H","STAFF",IF(MID(AO19,7,1)="S","STAFF",IF(MID(AO19,7,2)="JV","LOG",IFERROR(VLOOKUP($AO19,[1]!Table14[[New Account Number]:[Filtro2]],10,0),VLOOKUP($AO19,[1]!Table14[[Old Account Number]:[Filtro2]],13,0))))))))</f>
        <v>Total Outras Despesas Fixas</v>
      </c>
      <c r="D19" t="s">
        <v>43</v>
      </c>
      <c r="E19" t="s">
        <v>2</v>
      </c>
      <c r="F19" t="s">
        <v>3</v>
      </c>
      <c r="G19">
        <v>1293</v>
      </c>
      <c r="H19" t="s">
        <v>0</v>
      </c>
      <c r="I19" t="s">
        <v>49</v>
      </c>
      <c r="J19" t="s">
        <v>167</v>
      </c>
      <c r="K19" t="s">
        <v>1</v>
      </c>
      <c r="L19">
        <v>4211314516</v>
      </c>
      <c r="M19">
        <v>2600468409</v>
      </c>
      <c r="N19" s="2">
        <v>45937</v>
      </c>
      <c r="O19" s="2">
        <v>45982</v>
      </c>
      <c r="P19">
        <v>1900</v>
      </c>
      <c r="Q19" s="2">
        <v>45937</v>
      </c>
      <c r="R19">
        <v>5001434217</v>
      </c>
      <c r="S19">
        <v>2025</v>
      </c>
      <c r="T19">
        <v>361860</v>
      </c>
      <c r="U19" t="s">
        <v>1</v>
      </c>
      <c r="V19" s="2"/>
      <c r="W19" t="s">
        <v>1</v>
      </c>
      <c r="AE19">
        <v>0</v>
      </c>
      <c r="AF19" t="s">
        <v>103</v>
      </c>
      <c r="AG19" t="s">
        <v>1</v>
      </c>
      <c r="AH19" t="s">
        <v>104</v>
      </c>
      <c r="AI19">
        <v>1900</v>
      </c>
      <c r="AJ19" t="s">
        <v>1</v>
      </c>
      <c r="AK19" t="s">
        <v>1</v>
      </c>
      <c r="AL19">
        <v>6999999</v>
      </c>
      <c r="AM19" t="s">
        <v>59</v>
      </c>
      <c r="AN19">
        <v>9000</v>
      </c>
      <c r="AO19" t="s">
        <v>168</v>
      </c>
    </row>
    <row r="20" spans="1:41" x14ac:dyDescent="0.25">
      <c r="A20" t="str">
        <f>VLOOKUP(MONTH(N20),Sheet1!$A$2:$B$13,2,0)</f>
        <v>Out</v>
      </c>
      <c r="B20" t="str">
        <f>IF(LEFT(AO20,1)="B","CAPEX",IF(LEFT(AO20,1)="C","STOCK",IF(MID(AO20,7,2)="JA","STAFF",IF(MID(AO20,7,1)="H","STAFF",IF(MID(AO20,7,1)="S","STAFF",IF(MID(AO20,7,2)="JV","LOG",IFERROR(VLOOKUP($AO20,[1]!Table14[[New Account Number]:[Filtro2]],9,0),VLOOKUP($AO20,[1]!Table14[[Old Account Number]:[Filtro2]],12,0))))))))</f>
        <v>Mats. Escritório/Xerox</v>
      </c>
      <c r="C20" t="str">
        <f>IF(LEFT(AO20,1)="B","CAPEX",IF(LEFT(AO20,1)="C","STOCK",IF(MID(AO20,7,2)="JA","STAFF",IF(MID(AO20,7,1)="H","STAFF",IF(MID(AO20,7,1)="S","STAFF",IF(MID(AO20,7,2)="JV","LOG",IFERROR(VLOOKUP($AO20,[1]!Table14[[New Account Number]:[Filtro2]],10,0),VLOOKUP($AO20,[1]!Table14[[Old Account Number]:[Filtro2]],13,0))))))))</f>
        <v>Total Outras Despesas Fixas</v>
      </c>
      <c r="D20" t="s">
        <v>43</v>
      </c>
      <c r="E20" t="s">
        <v>2</v>
      </c>
      <c r="F20" t="s">
        <v>3</v>
      </c>
      <c r="G20">
        <v>1294</v>
      </c>
      <c r="H20" t="s">
        <v>0</v>
      </c>
      <c r="I20" t="s">
        <v>49</v>
      </c>
      <c r="J20" t="s">
        <v>167</v>
      </c>
      <c r="K20" t="s">
        <v>1</v>
      </c>
      <c r="L20">
        <v>4211314516</v>
      </c>
      <c r="M20">
        <v>2600467677</v>
      </c>
      <c r="N20" s="2">
        <v>45937</v>
      </c>
      <c r="O20" s="2">
        <v>45982</v>
      </c>
      <c r="P20">
        <v>1960</v>
      </c>
      <c r="Q20" s="2">
        <v>45937</v>
      </c>
      <c r="R20">
        <v>5001434218</v>
      </c>
      <c r="S20">
        <v>2025</v>
      </c>
      <c r="T20">
        <v>361861</v>
      </c>
      <c r="U20" t="s">
        <v>1</v>
      </c>
      <c r="V20" s="2"/>
      <c r="W20" t="s">
        <v>1</v>
      </c>
      <c r="AE20">
        <v>0</v>
      </c>
      <c r="AF20" t="s">
        <v>103</v>
      </c>
      <c r="AG20" t="s">
        <v>1</v>
      </c>
      <c r="AH20" t="s">
        <v>104</v>
      </c>
      <c r="AI20">
        <v>1960</v>
      </c>
      <c r="AJ20" t="s">
        <v>1</v>
      </c>
      <c r="AK20" t="s">
        <v>1</v>
      </c>
      <c r="AL20">
        <v>6999999</v>
      </c>
      <c r="AM20" t="s">
        <v>59</v>
      </c>
      <c r="AN20">
        <v>2951</v>
      </c>
      <c r="AO20" t="s">
        <v>168</v>
      </c>
    </row>
    <row r="21" spans="1:41" x14ac:dyDescent="0.25">
      <c r="A21" t="str">
        <f>VLOOKUP(MONTH(N21),Sheet1!$A$2:$B$13,2,0)</f>
        <v>Set</v>
      </c>
      <c r="B21" t="str">
        <f>IF(LEFT(AO21,1)="B","CAPEX",IF(LEFT(AO21,1)="C","STOCK",IF(MID(AO21,7,2)="JA","STAFF",IF(MID(AO21,7,1)="H","STAFF",IF(MID(AO21,7,1)="S","STAFF",IF(MID(AO21,7,2)="JV","LOG",IFERROR(VLOOKUP($AO21,[1]!Table14[[New Account Number]:[Filtro2]],9,0),VLOOKUP($AO21,[1]!Table14[[Old Account Number]:[Filtro2]],12,0))))))))</f>
        <v>Manutenção Terceiros</v>
      </c>
      <c r="C21" t="str">
        <f>IF(LEFT(AO21,1)="B","CAPEX",IF(LEFT(AO21,1)="C","STOCK",IF(MID(AO21,7,2)="JA","STAFF",IF(MID(AO21,7,1)="H","STAFF",IF(MID(AO21,7,1)="S","STAFF",IF(MID(AO21,7,2)="JV","LOG",IFERROR(VLOOKUP($AO21,[1]!Table14[[New Account Number]:[Filtro2]],10,0),VLOOKUP($AO21,[1]!Table14[[Old Account Number]:[Filtro2]],13,0))))))))</f>
        <v>Total Manutenção Variável</v>
      </c>
      <c r="D21" t="s">
        <v>43</v>
      </c>
      <c r="E21" t="s">
        <v>2</v>
      </c>
      <c r="F21" t="s">
        <v>3</v>
      </c>
      <c r="G21">
        <v>139973</v>
      </c>
      <c r="H21" t="s">
        <v>0</v>
      </c>
      <c r="I21" t="s">
        <v>57</v>
      </c>
      <c r="J21" t="s">
        <v>62</v>
      </c>
      <c r="K21" t="s">
        <v>1</v>
      </c>
      <c r="L21">
        <v>4211315568</v>
      </c>
      <c r="M21">
        <v>9001679635</v>
      </c>
      <c r="N21" s="2">
        <v>45924</v>
      </c>
      <c r="O21" s="2">
        <v>45999</v>
      </c>
      <c r="P21">
        <v>58341.4</v>
      </c>
      <c r="Q21" s="2">
        <v>45924</v>
      </c>
      <c r="R21">
        <v>5001371988</v>
      </c>
      <c r="S21">
        <v>2025</v>
      </c>
      <c r="T21">
        <v>359527</v>
      </c>
      <c r="U21" t="s">
        <v>1</v>
      </c>
      <c r="V21" s="2"/>
      <c r="W21" t="s">
        <v>1</v>
      </c>
      <c r="AE21">
        <v>0</v>
      </c>
      <c r="AF21" t="s">
        <v>87</v>
      </c>
      <c r="AG21" t="s">
        <v>1</v>
      </c>
      <c r="AH21" t="s">
        <v>1</v>
      </c>
      <c r="AI21">
        <v>58341.4</v>
      </c>
      <c r="AJ21" t="s">
        <v>1</v>
      </c>
      <c r="AK21" t="s">
        <v>1</v>
      </c>
      <c r="AL21">
        <v>6000031</v>
      </c>
      <c r="AM21" t="s">
        <v>59</v>
      </c>
      <c r="AN21">
        <v>9203</v>
      </c>
      <c r="AO21" t="s">
        <v>50</v>
      </c>
    </row>
    <row r="22" spans="1:41" x14ac:dyDescent="0.25">
      <c r="A22" t="str">
        <f>VLOOKUP(MONTH(N22),Sheet1!$A$2:$B$13,2,0)</f>
        <v>Set</v>
      </c>
      <c r="B22" t="str">
        <f>IF(LEFT(AO22,1)="B","CAPEX",IF(LEFT(AO22,1)="C","STOCK",IF(MID(AO22,7,2)="JA","STAFF",IF(MID(AO22,7,1)="H","STAFF",IF(MID(AO22,7,1)="S","STAFF",IF(MID(AO22,7,2)="JV","LOG",IFERROR(VLOOKUP($AO22,[1]!Table14[[New Account Number]:[Filtro2]],9,0),VLOOKUP($AO22,[1]!Table14[[Old Account Number]:[Filtro2]],12,0))))))))</f>
        <v>Manutenção Terceiros</v>
      </c>
      <c r="C22" t="str">
        <f>IF(LEFT(AO22,1)="B","CAPEX",IF(LEFT(AO22,1)="C","STOCK",IF(MID(AO22,7,2)="JA","STAFF",IF(MID(AO22,7,1)="H","STAFF",IF(MID(AO22,7,1)="S","STAFF",IF(MID(AO22,7,2)="JV","LOG",IFERROR(VLOOKUP($AO22,[1]!Table14[[New Account Number]:[Filtro2]],10,0),VLOOKUP($AO22,[1]!Table14[[Old Account Number]:[Filtro2]],13,0))))))))</f>
        <v>Total Manutenção Variável</v>
      </c>
      <c r="D22" t="s">
        <v>43</v>
      </c>
      <c r="E22" t="s">
        <v>2</v>
      </c>
      <c r="F22" t="s">
        <v>3</v>
      </c>
      <c r="G22">
        <v>139975</v>
      </c>
      <c r="H22" t="s">
        <v>0</v>
      </c>
      <c r="I22" t="s">
        <v>57</v>
      </c>
      <c r="J22" t="s">
        <v>62</v>
      </c>
      <c r="K22" t="s">
        <v>1</v>
      </c>
      <c r="L22">
        <v>4211315568</v>
      </c>
      <c r="M22">
        <v>9001679177</v>
      </c>
      <c r="N22" s="2">
        <v>45924</v>
      </c>
      <c r="O22" s="2">
        <v>45999</v>
      </c>
      <c r="P22">
        <v>8779.2099999999991</v>
      </c>
      <c r="Q22" s="2">
        <v>45924</v>
      </c>
      <c r="R22">
        <v>5001371989</v>
      </c>
      <c r="S22">
        <v>2025</v>
      </c>
      <c r="T22">
        <v>359528</v>
      </c>
      <c r="U22" t="s">
        <v>1</v>
      </c>
      <c r="V22" s="2"/>
      <c r="W22" t="s">
        <v>1</v>
      </c>
      <c r="AE22">
        <v>0</v>
      </c>
      <c r="AF22" t="s">
        <v>87</v>
      </c>
      <c r="AG22" t="s">
        <v>1</v>
      </c>
      <c r="AH22" t="s">
        <v>1</v>
      </c>
      <c r="AI22">
        <v>8779.2099999999991</v>
      </c>
      <c r="AJ22" t="s">
        <v>1</v>
      </c>
      <c r="AK22" t="s">
        <v>1</v>
      </c>
      <c r="AL22">
        <v>6000031</v>
      </c>
      <c r="AM22" t="s">
        <v>59</v>
      </c>
      <c r="AN22">
        <v>9013</v>
      </c>
      <c r="AO22" t="s">
        <v>50</v>
      </c>
    </row>
    <row r="23" spans="1:41" x14ac:dyDescent="0.25">
      <c r="A23" t="str">
        <f>VLOOKUP(MONTH(N23),Sheet1!$A$2:$B$13,2,0)</f>
        <v>Set</v>
      </c>
      <c r="B23" t="str">
        <f>IF(LEFT(AO23,1)="B","CAPEX",IF(LEFT(AO23,1)="C","STOCK",IF(MID(AO23,7,2)="JA","STAFF",IF(MID(AO23,7,1)="H","STAFF",IF(MID(AO23,7,1)="S","STAFF",IF(MID(AO23,7,2)="JV","LOG",IFERROR(VLOOKUP($AO23,[1]!Table14[[New Account Number]:[Filtro2]],9,0),VLOOKUP($AO23,[1]!Table14[[Old Account Number]:[Filtro2]],12,0))))))))</f>
        <v>Manutenção Terceiros</v>
      </c>
      <c r="C23" t="str">
        <f>IF(LEFT(AO23,1)="B","CAPEX",IF(LEFT(AO23,1)="C","STOCK",IF(MID(AO23,7,2)="JA","STAFF",IF(MID(AO23,7,1)="H","STAFF",IF(MID(AO23,7,1)="S","STAFF",IF(MID(AO23,7,2)="JV","LOG",IFERROR(VLOOKUP($AO23,[1]!Table14[[New Account Number]:[Filtro2]],10,0),VLOOKUP($AO23,[1]!Table14[[Old Account Number]:[Filtro2]],13,0))))))))</f>
        <v>Total Manutenção Variável</v>
      </c>
      <c r="D23" t="s">
        <v>43</v>
      </c>
      <c r="E23" t="s">
        <v>2</v>
      </c>
      <c r="F23" t="s">
        <v>3</v>
      </c>
      <c r="G23">
        <v>139976</v>
      </c>
      <c r="H23" t="s">
        <v>0</v>
      </c>
      <c r="I23" t="s">
        <v>57</v>
      </c>
      <c r="J23" t="s">
        <v>62</v>
      </c>
      <c r="K23" t="s">
        <v>1</v>
      </c>
      <c r="L23">
        <v>4211315568</v>
      </c>
      <c r="M23">
        <v>9001679202</v>
      </c>
      <c r="N23" s="2">
        <v>45924</v>
      </c>
      <c r="O23" s="2">
        <v>45999</v>
      </c>
      <c r="P23">
        <v>40276.74</v>
      </c>
      <c r="Q23" s="2">
        <v>45924</v>
      </c>
      <c r="R23">
        <v>5001373310</v>
      </c>
      <c r="S23">
        <v>2025</v>
      </c>
      <c r="T23">
        <v>359529</v>
      </c>
      <c r="U23" t="s">
        <v>1</v>
      </c>
      <c r="V23" s="2"/>
      <c r="W23" t="s">
        <v>1</v>
      </c>
      <c r="AE23">
        <v>0</v>
      </c>
      <c r="AF23" t="s">
        <v>87</v>
      </c>
      <c r="AG23" t="s">
        <v>1</v>
      </c>
      <c r="AH23" t="s">
        <v>1</v>
      </c>
      <c r="AI23">
        <v>40276.74</v>
      </c>
      <c r="AJ23" t="s">
        <v>1</v>
      </c>
      <c r="AK23" t="s">
        <v>1</v>
      </c>
      <c r="AL23">
        <v>6000031</v>
      </c>
      <c r="AM23" t="s">
        <v>59</v>
      </c>
      <c r="AN23">
        <v>9013</v>
      </c>
      <c r="AO23" t="s">
        <v>50</v>
      </c>
    </row>
    <row r="24" spans="1:41" x14ac:dyDescent="0.25">
      <c r="A24" t="str">
        <f>VLOOKUP(MONTH(N24),Sheet1!$A$2:$B$13,2,0)</f>
        <v>Set</v>
      </c>
      <c r="B24" t="str">
        <f>IF(LEFT(AO24,1)="B","CAPEX",IF(LEFT(AO24,1)="C","STOCK",IF(MID(AO24,7,2)="JA","STAFF",IF(MID(AO24,7,1)="H","STAFF",IF(MID(AO24,7,1)="S","STAFF",IF(MID(AO24,7,2)="JV","LOG",IFERROR(VLOOKUP($AO24,[1]!Table14[[New Account Number]:[Filtro2]],9,0),VLOOKUP($AO24,[1]!Table14[[Old Account Number]:[Filtro2]],12,0))))))))</f>
        <v>Manutenção Terceiros</v>
      </c>
      <c r="C24" t="str">
        <f>IF(LEFT(AO24,1)="B","CAPEX",IF(LEFT(AO24,1)="C","STOCK",IF(MID(AO24,7,2)="JA","STAFF",IF(MID(AO24,7,1)="H","STAFF",IF(MID(AO24,7,1)="S","STAFF",IF(MID(AO24,7,2)="JV","LOG",IFERROR(VLOOKUP($AO24,[1]!Table14[[New Account Number]:[Filtro2]],10,0),VLOOKUP($AO24,[1]!Table14[[Old Account Number]:[Filtro2]],13,0))))))))</f>
        <v>Total Manutenção Variável</v>
      </c>
      <c r="D24" t="s">
        <v>43</v>
      </c>
      <c r="E24" t="s">
        <v>2</v>
      </c>
      <c r="F24" t="s">
        <v>3</v>
      </c>
      <c r="G24">
        <v>14764</v>
      </c>
      <c r="H24" t="s">
        <v>0</v>
      </c>
      <c r="I24" t="s">
        <v>49</v>
      </c>
      <c r="J24" t="s">
        <v>125</v>
      </c>
      <c r="K24" t="s">
        <v>1</v>
      </c>
      <c r="L24">
        <v>4211317321</v>
      </c>
      <c r="M24">
        <v>2600462992</v>
      </c>
      <c r="N24" s="2">
        <v>45923</v>
      </c>
      <c r="O24" s="2">
        <v>46028</v>
      </c>
      <c r="P24">
        <v>23368.94</v>
      </c>
      <c r="Q24" s="2">
        <v>45924</v>
      </c>
      <c r="R24">
        <v>5001369672</v>
      </c>
      <c r="S24">
        <v>2025</v>
      </c>
      <c r="T24">
        <v>359479</v>
      </c>
      <c r="U24" t="s">
        <v>1</v>
      </c>
      <c r="V24" s="2"/>
      <c r="W24" t="s">
        <v>1</v>
      </c>
      <c r="AE24">
        <v>0</v>
      </c>
      <c r="AF24" t="s">
        <v>51</v>
      </c>
      <c r="AG24" t="s">
        <v>1</v>
      </c>
      <c r="AH24" t="s">
        <v>52</v>
      </c>
      <c r="AI24">
        <v>23368.94</v>
      </c>
      <c r="AJ24" t="s">
        <v>1</v>
      </c>
      <c r="AK24" t="s">
        <v>1</v>
      </c>
      <c r="AL24">
        <v>6999999</v>
      </c>
      <c r="AM24" t="s">
        <v>59</v>
      </c>
      <c r="AN24">
        <v>9201</v>
      </c>
      <c r="AO24" t="s">
        <v>50</v>
      </c>
    </row>
    <row r="25" spans="1:41" x14ac:dyDescent="0.25">
      <c r="A25" t="str">
        <f>VLOOKUP(MONTH(N25),Sheet1!$A$2:$B$13,2,0)</f>
        <v>Set</v>
      </c>
      <c r="B25" t="str">
        <f>IF(LEFT(AO25,1)="B","CAPEX",IF(LEFT(AO25,1)="C","STOCK",IF(MID(AO25,7,2)="JA","STAFF",IF(MID(AO25,7,1)="H","STAFF",IF(MID(AO25,7,1)="S","STAFF",IF(MID(AO25,7,2)="JV","LOG",IFERROR(VLOOKUP($AO25,[1]!Table14[[New Account Number]:[Filtro2]],9,0),VLOOKUP($AO25,[1]!Table14[[Old Account Number]:[Filtro2]],12,0))))))))</f>
        <v>Manutenção Terceiros</v>
      </c>
      <c r="C25" t="str">
        <f>IF(LEFT(AO25,1)="B","CAPEX",IF(LEFT(AO25,1)="C","STOCK",IF(MID(AO25,7,2)="JA","STAFF",IF(MID(AO25,7,1)="H","STAFF",IF(MID(AO25,7,1)="S","STAFF",IF(MID(AO25,7,2)="JV","LOG",IFERROR(VLOOKUP($AO25,[1]!Table14[[New Account Number]:[Filtro2]],10,0),VLOOKUP($AO25,[1]!Table14[[Old Account Number]:[Filtro2]],13,0))))))))</f>
        <v>Total Manutenção Variável</v>
      </c>
      <c r="D25" t="s">
        <v>43</v>
      </c>
      <c r="E25" t="s">
        <v>2</v>
      </c>
      <c r="F25" t="s">
        <v>3</v>
      </c>
      <c r="G25">
        <v>139489</v>
      </c>
      <c r="H25" t="s">
        <v>0</v>
      </c>
      <c r="I25" t="s">
        <v>57</v>
      </c>
      <c r="J25" t="s">
        <v>62</v>
      </c>
      <c r="K25" t="s">
        <v>1</v>
      </c>
      <c r="L25">
        <v>4211315568</v>
      </c>
      <c r="M25">
        <v>9001678615</v>
      </c>
      <c r="N25" s="2">
        <v>45918</v>
      </c>
      <c r="O25" s="2">
        <v>45993</v>
      </c>
      <c r="P25">
        <v>151320</v>
      </c>
      <c r="Q25" s="2">
        <v>45924</v>
      </c>
      <c r="R25">
        <v>5001373314</v>
      </c>
      <c r="S25">
        <v>2025</v>
      </c>
      <c r="T25">
        <v>359533</v>
      </c>
      <c r="U25" t="s">
        <v>1</v>
      </c>
      <c r="V25" s="2"/>
      <c r="W25" t="s">
        <v>1</v>
      </c>
      <c r="AE25">
        <v>0</v>
      </c>
      <c r="AF25" t="s">
        <v>87</v>
      </c>
      <c r="AG25" t="s">
        <v>1</v>
      </c>
      <c r="AH25" t="s">
        <v>1</v>
      </c>
      <c r="AI25">
        <v>151320</v>
      </c>
      <c r="AJ25" t="s">
        <v>1</v>
      </c>
      <c r="AK25" t="s">
        <v>1</v>
      </c>
      <c r="AL25">
        <v>6000031</v>
      </c>
      <c r="AM25" t="s">
        <v>59</v>
      </c>
      <c r="AN25">
        <v>9203</v>
      </c>
      <c r="AO25" t="s">
        <v>50</v>
      </c>
    </row>
    <row r="26" spans="1:41" x14ac:dyDescent="0.25">
      <c r="A26" t="str">
        <f>VLOOKUP(MONTH(N26),Sheet1!$A$2:$B$13,2,0)</f>
        <v>Set</v>
      </c>
      <c r="B26" t="str">
        <f>IF(LEFT(AO26,1)="B","CAPEX",IF(LEFT(AO26,1)="C","STOCK",IF(MID(AO26,7,2)="JA","STAFF",IF(MID(AO26,7,1)="H","STAFF",IF(MID(AO26,7,1)="S","STAFF",IF(MID(AO26,7,2)="JV","LOG",IFERROR(VLOOKUP($AO26,[1]!Table14[[New Account Number]:[Filtro2]],9,0),VLOOKUP($AO26,[1]!Table14[[Old Account Number]:[Filtro2]],12,0))))))))</f>
        <v>Aluguéis</v>
      </c>
      <c r="C26" t="str">
        <f>IF(LEFT(AO26,1)="B","CAPEX",IF(LEFT(AO26,1)="C","STOCK",IF(MID(AO26,7,2)="JA","STAFF",IF(MID(AO26,7,1)="H","STAFF",IF(MID(AO26,7,1)="S","STAFF",IF(MID(AO26,7,2)="JV","LOG",IFERROR(VLOOKUP($AO26,[1]!Table14[[New Account Number]:[Filtro2]],10,0),VLOOKUP($AO26,[1]!Table14[[Old Account Number]:[Filtro2]],13,0))))))))</f>
        <v>Total Outras Despesas Fixas</v>
      </c>
      <c r="D26" t="s">
        <v>43</v>
      </c>
      <c r="E26" t="s">
        <v>2</v>
      </c>
      <c r="F26" t="s">
        <v>3</v>
      </c>
      <c r="G26">
        <v>21649</v>
      </c>
      <c r="H26" t="s">
        <v>0</v>
      </c>
      <c r="I26" t="s">
        <v>49</v>
      </c>
      <c r="J26" t="s">
        <v>143</v>
      </c>
      <c r="K26" t="s">
        <v>1</v>
      </c>
      <c r="L26">
        <v>4251304263</v>
      </c>
      <c r="M26">
        <v>2600467723</v>
      </c>
      <c r="N26" s="2">
        <v>45911</v>
      </c>
      <c r="O26" s="2">
        <v>45956</v>
      </c>
      <c r="P26">
        <v>5992</v>
      </c>
      <c r="Q26" s="2">
        <v>45911</v>
      </c>
      <c r="R26">
        <v>5001317273</v>
      </c>
      <c r="S26">
        <v>2025</v>
      </c>
      <c r="T26">
        <v>357365</v>
      </c>
      <c r="U26" t="s">
        <v>1</v>
      </c>
      <c r="V26" s="2"/>
      <c r="W26" t="s">
        <v>1</v>
      </c>
      <c r="AE26">
        <v>0</v>
      </c>
      <c r="AF26" t="s">
        <v>144</v>
      </c>
      <c r="AG26" t="s">
        <v>1</v>
      </c>
      <c r="AH26" t="s">
        <v>145</v>
      </c>
      <c r="AI26">
        <v>5992</v>
      </c>
      <c r="AJ26" t="s">
        <v>1</v>
      </c>
      <c r="AK26" t="s">
        <v>1</v>
      </c>
      <c r="AL26">
        <v>6000009</v>
      </c>
      <c r="AM26" t="s">
        <v>59</v>
      </c>
      <c r="AN26">
        <v>9000</v>
      </c>
      <c r="AO26" t="s">
        <v>146</v>
      </c>
    </row>
    <row r="27" spans="1:41" x14ac:dyDescent="0.25">
      <c r="A27" t="str">
        <f>VLOOKUP(MONTH(N27),Sheet1!$A$2:$B$13,2,0)</f>
        <v>Out</v>
      </c>
      <c r="B27" t="str">
        <f>IF(LEFT(AO27,1)="B","CAPEX",IF(LEFT(AO27,1)="C","STOCK",IF(MID(AO27,7,2)="JA","STAFF",IF(MID(AO27,7,1)="H","STAFF",IF(MID(AO27,7,1)="S","STAFF",IF(MID(AO27,7,2)="JV","LOG",IFERROR(VLOOKUP($AO27,[1]!Table14[[New Account Number]:[Filtro2]],9,0),VLOOKUP($AO27,[1]!Table14[[Old Account Number]:[Filtro2]],12,0))))))))</f>
        <v>Manutenção Terceiros</v>
      </c>
      <c r="C27" t="str">
        <f>IF(LEFT(AO27,1)="B","CAPEX",IF(LEFT(AO27,1)="C","STOCK",IF(MID(AO27,7,2)="JA","STAFF",IF(MID(AO27,7,1)="H","STAFF",IF(MID(AO27,7,1)="S","STAFF",IF(MID(AO27,7,2)="JV","LOG",IFERROR(VLOOKUP($AO27,[1]!Table14[[New Account Number]:[Filtro2]],10,0),VLOOKUP($AO27,[1]!Table14[[Old Account Number]:[Filtro2]],13,0))))))))</f>
        <v>Total Manutenção Fixa</v>
      </c>
      <c r="D27" t="s">
        <v>43</v>
      </c>
      <c r="E27" t="s">
        <v>2</v>
      </c>
      <c r="F27" t="s">
        <v>3</v>
      </c>
      <c r="G27">
        <v>640</v>
      </c>
      <c r="H27" t="s">
        <v>0</v>
      </c>
      <c r="I27" t="s">
        <v>44</v>
      </c>
      <c r="J27" t="s">
        <v>98</v>
      </c>
      <c r="K27" t="s">
        <v>1</v>
      </c>
      <c r="L27">
        <v>4211328675</v>
      </c>
      <c r="M27">
        <v>9001636728</v>
      </c>
      <c r="N27" s="2">
        <v>45937</v>
      </c>
      <c r="O27" s="2">
        <v>45997</v>
      </c>
      <c r="P27">
        <v>15000</v>
      </c>
      <c r="Q27" s="2">
        <v>45937</v>
      </c>
      <c r="R27">
        <v>5001432676</v>
      </c>
      <c r="S27">
        <v>2025</v>
      </c>
      <c r="T27">
        <v>361840</v>
      </c>
      <c r="U27" t="s">
        <v>1</v>
      </c>
      <c r="V27" s="2"/>
      <c r="W27" t="s">
        <v>1</v>
      </c>
      <c r="AE27">
        <v>0</v>
      </c>
      <c r="AF27" t="s">
        <v>81</v>
      </c>
      <c r="AG27" t="s">
        <v>1</v>
      </c>
      <c r="AH27" t="s">
        <v>96</v>
      </c>
      <c r="AI27">
        <v>15000</v>
      </c>
      <c r="AJ27" t="s">
        <v>1</v>
      </c>
      <c r="AK27" t="s">
        <v>1</v>
      </c>
      <c r="AL27">
        <v>6999999</v>
      </c>
      <c r="AM27" t="s">
        <v>92</v>
      </c>
      <c r="AN27">
        <v>9018</v>
      </c>
      <c r="AO27" t="s">
        <v>100</v>
      </c>
    </row>
    <row r="28" spans="1:41" x14ac:dyDescent="0.25">
      <c r="A28" t="str">
        <f>VLOOKUP(MONTH(N28),Sheet1!$A$2:$B$13,2,0)</f>
        <v>Set</v>
      </c>
      <c r="B28" t="str">
        <f>IF(LEFT(AO28,1)="B","CAPEX",IF(LEFT(AO28,1)="C","STOCK",IF(MID(AO28,7,2)="JA","STAFF",IF(MID(AO28,7,1)="H","STAFF",IF(MID(AO28,7,1)="S","STAFF",IF(MID(AO28,7,2)="JV","LOG",IFERROR(VLOOKUP($AO28,[1]!Table14[[New Account Number]:[Filtro2]],9,0),VLOOKUP($AO28,[1]!Table14[[Old Account Number]:[Filtro2]],12,0))))))))</f>
        <v>Manutenção Terceiros</v>
      </c>
      <c r="C28" t="str">
        <f>IF(LEFT(AO28,1)="B","CAPEX",IF(LEFT(AO28,1)="C","STOCK",IF(MID(AO28,7,2)="JA","STAFF",IF(MID(AO28,7,1)="H","STAFF",IF(MID(AO28,7,1)="S","STAFF",IF(MID(AO28,7,2)="JV","LOG",IFERROR(VLOOKUP($AO28,[1]!Table14[[New Account Number]:[Filtro2]],10,0),VLOOKUP($AO28,[1]!Table14[[Old Account Number]:[Filtro2]],13,0))))))))</f>
        <v>Total Manutenção Variável</v>
      </c>
      <c r="D28" t="s">
        <v>43</v>
      </c>
      <c r="E28" t="s">
        <v>2</v>
      </c>
      <c r="F28" t="s">
        <v>3</v>
      </c>
      <c r="G28">
        <v>139978</v>
      </c>
      <c r="H28" t="s">
        <v>0</v>
      </c>
      <c r="I28" t="s">
        <v>57</v>
      </c>
      <c r="J28" t="s">
        <v>62</v>
      </c>
      <c r="K28" t="s">
        <v>1</v>
      </c>
      <c r="L28">
        <v>4211315568</v>
      </c>
      <c r="M28">
        <v>9001679200</v>
      </c>
      <c r="N28" s="2">
        <v>45924</v>
      </c>
      <c r="O28" s="2">
        <v>45999</v>
      </c>
      <c r="P28">
        <v>16166.12</v>
      </c>
      <c r="Q28" s="2">
        <v>45924</v>
      </c>
      <c r="R28">
        <v>5001373312</v>
      </c>
      <c r="S28">
        <v>2025</v>
      </c>
      <c r="T28">
        <v>359531</v>
      </c>
      <c r="U28" t="s">
        <v>1</v>
      </c>
      <c r="V28" s="2"/>
      <c r="W28" t="s">
        <v>1</v>
      </c>
      <c r="AE28">
        <v>0</v>
      </c>
      <c r="AF28" t="s">
        <v>87</v>
      </c>
      <c r="AG28" t="s">
        <v>1</v>
      </c>
      <c r="AH28" t="s">
        <v>1</v>
      </c>
      <c r="AI28">
        <v>16166.12</v>
      </c>
      <c r="AJ28" t="s">
        <v>1</v>
      </c>
      <c r="AK28" t="s">
        <v>1</v>
      </c>
      <c r="AL28">
        <v>6000031</v>
      </c>
      <c r="AM28" t="s">
        <v>59</v>
      </c>
      <c r="AN28">
        <v>9013</v>
      </c>
      <c r="AO28" t="s">
        <v>50</v>
      </c>
    </row>
    <row r="29" spans="1:41" x14ac:dyDescent="0.25">
      <c r="A29" t="str">
        <f>VLOOKUP(MONTH(N29),Sheet1!$A$2:$B$13,2,0)</f>
        <v>Set</v>
      </c>
      <c r="B29" t="str">
        <f>IF(LEFT(AO29,1)="B","CAPEX",IF(LEFT(AO29,1)="C","STOCK",IF(MID(AO29,7,2)="JA","STAFF",IF(MID(AO29,7,1)="H","STAFF",IF(MID(AO29,7,1)="S","STAFF",IF(MID(AO29,7,2)="JV","LOG",IFERROR(VLOOKUP($AO29,[1]!Table14[[New Account Number]:[Filtro2]],9,0),VLOOKUP($AO29,[1]!Table14[[Old Account Number]:[Filtro2]],12,0))))))))</f>
        <v>Transporte de Funcionários</v>
      </c>
      <c r="C29" t="str">
        <f>IF(LEFT(AO29,1)="B","CAPEX",IF(LEFT(AO29,1)="C","STOCK",IF(MID(AO29,7,2)="JA","STAFF",IF(MID(AO29,7,1)="H","STAFF",IF(MID(AO29,7,1)="S","STAFF",IF(MID(AO29,7,2)="JV","LOG",IFERROR(VLOOKUP($AO29,[1]!Table14[[New Account Number]:[Filtro2]],10,0),VLOOKUP($AO29,[1]!Table14[[Old Account Number]:[Filtro2]],13,0))))))))</f>
        <v>Total Outras Despesas Fixas</v>
      </c>
      <c r="D29" t="s">
        <v>46</v>
      </c>
      <c r="E29" t="s">
        <v>47</v>
      </c>
      <c r="F29" t="s">
        <v>48</v>
      </c>
      <c r="G29">
        <v>24626</v>
      </c>
      <c r="H29" t="s">
        <v>0</v>
      </c>
      <c r="I29" t="s">
        <v>159</v>
      </c>
      <c r="J29" t="s">
        <v>160</v>
      </c>
      <c r="K29" t="s">
        <v>1</v>
      </c>
      <c r="L29">
        <v>4211327021</v>
      </c>
      <c r="M29">
        <v>9001680161</v>
      </c>
      <c r="N29" s="2">
        <v>45925</v>
      </c>
      <c r="O29" s="2">
        <v>45985</v>
      </c>
      <c r="P29">
        <v>43045.47</v>
      </c>
      <c r="Q29" s="2">
        <v>45925</v>
      </c>
      <c r="R29">
        <v>5001379450</v>
      </c>
      <c r="S29">
        <v>2025</v>
      </c>
      <c r="T29">
        <v>359766</v>
      </c>
      <c r="U29" t="s">
        <v>1</v>
      </c>
      <c r="V29" s="2">
        <v>45930</v>
      </c>
      <c r="W29" t="s">
        <v>161</v>
      </c>
      <c r="AA29">
        <v>5001401681</v>
      </c>
      <c r="AB29">
        <v>2025</v>
      </c>
      <c r="AC29">
        <v>9004008985</v>
      </c>
      <c r="AD29">
        <v>2025</v>
      </c>
      <c r="AE29">
        <v>10365594</v>
      </c>
      <c r="AF29" t="s">
        <v>162</v>
      </c>
      <c r="AG29" t="s">
        <v>162</v>
      </c>
      <c r="AH29" t="s">
        <v>174</v>
      </c>
      <c r="AI29">
        <v>0</v>
      </c>
      <c r="AJ29" t="s">
        <v>1</v>
      </c>
      <c r="AK29" t="s">
        <v>1</v>
      </c>
      <c r="AL29">
        <v>6000031</v>
      </c>
      <c r="AM29" t="s">
        <v>163</v>
      </c>
      <c r="AN29">
        <v>8000</v>
      </c>
      <c r="AO29" t="s">
        <v>164</v>
      </c>
    </row>
    <row r="30" spans="1:41" x14ac:dyDescent="0.25">
      <c r="A30" t="str">
        <f>VLOOKUP(MONTH(N30),Sheet1!$A$2:$B$13,2,0)</f>
        <v>Set</v>
      </c>
      <c r="B30" t="str">
        <f>IF(LEFT(AO30,1)="B","CAPEX",IF(LEFT(AO30,1)="C","STOCK",IF(MID(AO30,7,2)="JA","STAFF",IF(MID(AO30,7,1)="H","STAFF",IF(MID(AO30,7,1)="S","STAFF",IF(MID(AO30,7,2)="JV","LOG",IFERROR(VLOOKUP($AO30,[1]!Table14[[New Account Number]:[Filtro2]],9,0),VLOOKUP($AO30,[1]!Table14[[Old Account Number]:[Filtro2]],12,0))))))))</f>
        <v>Manutenção Terceiros</v>
      </c>
      <c r="C30" t="str">
        <f>IF(LEFT(AO30,1)="B","CAPEX",IF(LEFT(AO30,1)="C","STOCK",IF(MID(AO30,7,2)="JA","STAFF",IF(MID(AO30,7,1)="H","STAFF",IF(MID(AO30,7,1)="S","STAFF",IF(MID(AO30,7,2)="JV","LOG",IFERROR(VLOOKUP($AO30,[1]!Table14[[New Account Number]:[Filtro2]],10,0),VLOOKUP($AO30,[1]!Table14[[Old Account Number]:[Filtro2]],13,0))))))))</f>
        <v>Total Manutenção Variável</v>
      </c>
      <c r="D30" t="s">
        <v>46</v>
      </c>
      <c r="E30" t="s">
        <v>47</v>
      </c>
      <c r="F30" t="s">
        <v>48</v>
      </c>
      <c r="G30">
        <v>812</v>
      </c>
      <c r="H30" t="s">
        <v>0</v>
      </c>
      <c r="I30" t="s">
        <v>49</v>
      </c>
      <c r="J30" t="s">
        <v>137</v>
      </c>
      <c r="K30" t="s">
        <v>1</v>
      </c>
      <c r="L30">
        <v>4211332869</v>
      </c>
      <c r="M30">
        <v>2600459368</v>
      </c>
      <c r="N30" s="2">
        <v>45903</v>
      </c>
      <c r="O30" s="2">
        <v>45963</v>
      </c>
      <c r="P30">
        <v>7477</v>
      </c>
      <c r="Q30" s="2">
        <v>45904</v>
      </c>
      <c r="R30">
        <v>5001287103</v>
      </c>
      <c r="S30">
        <v>2025</v>
      </c>
      <c r="T30">
        <v>355985</v>
      </c>
      <c r="U30" t="s">
        <v>1</v>
      </c>
      <c r="V30" s="2">
        <v>46003</v>
      </c>
      <c r="W30" t="s">
        <v>182</v>
      </c>
      <c r="AA30">
        <v>5001902857</v>
      </c>
      <c r="AB30">
        <v>2025</v>
      </c>
      <c r="AC30">
        <v>9004035282</v>
      </c>
      <c r="AD30">
        <v>2025</v>
      </c>
      <c r="AE30">
        <v>10421169</v>
      </c>
      <c r="AF30" t="s">
        <v>81</v>
      </c>
      <c r="AG30" t="s">
        <v>181</v>
      </c>
      <c r="AH30" t="s">
        <v>96</v>
      </c>
      <c r="AI30">
        <v>0</v>
      </c>
      <c r="AJ30" t="s">
        <v>1</v>
      </c>
      <c r="AK30" t="s">
        <v>1</v>
      </c>
      <c r="AL30">
        <v>6999999</v>
      </c>
      <c r="AM30" t="s">
        <v>59</v>
      </c>
      <c r="AN30">
        <v>9013</v>
      </c>
      <c r="AO30" t="s">
        <v>50</v>
      </c>
    </row>
    <row r="31" spans="1:41" x14ac:dyDescent="0.25">
      <c r="A31" t="str">
        <f>VLOOKUP(MONTH(N31),Sheet1!$A$2:$B$13,2,0)</f>
        <v>Set</v>
      </c>
      <c r="B31" t="str">
        <f>IF(LEFT(AO31,1)="B","CAPEX",IF(LEFT(AO31,1)="C","STOCK",IF(MID(AO31,7,2)="JA","STAFF",IF(MID(AO31,7,1)="H","STAFF",IF(MID(AO31,7,1)="S","STAFF",IF(MID(AO31,7,2)="JV","LOG",IFERROR(VLOOKUP($AO31,[1]!Table14[[New Account Number]:[Filtro2]],9,0),VLOOKUP($AO31,[1]!Table14[[Old Account Number]:[Filtro2]],12,0))))))))</f>
        <v>Manutenção Terceiros</v>
      </c>
      <c r="C31" t="str">
        <f>IF(LEFT(AO31,1)="B","CAPEX",IF(LEFT(AO31,1)="C","STOCK",IF(MID(AO31,7,2)="JA","STAFF",IF(MID(AO31,7,1)="H","STAFF",IF(MID(AO31,7,1)="S","STAFF",IF(MID(AO31,7,2)="JV","LOG",IFERROR(VLOOKUP($AO31,[1]!Table14[[New Account Number]:[Filtro2]],10,0),VLOOKUP($AO31,[1]!Table14[[Old Account Number]:[Filtro2]],13,0))))))))</f>
        <v>Total Manutenção Fixa</v>
      </c>
      <c r="D31" t="s">
        <v>43</v>
      </c>
      <c r="E31" t="s">
        <v>2</v>
      </c>
      <c r="F31" t="s">
        <v>3</v>
      </c>
      <c r="G31">
        <v>138905</v>
      </c>
      <c r="H31" t="s">
        <v>0</v>
      </c>
      <c r="I31" t="s">
        <v>58</v>
      </c>
      <c r="J31" t="s">
        <v>62</v>
      </c>
      <c r="K31" t="s">
        <v>1</v>
      </c>
      <c r="L31">
        <v>4211315568</v>
      </c>
      <c r="M31">
        <v>9001660245</v>
      </c>
      <c r="N31" s="2">
        <v>45916</v>
      </c>
      <c r="O31" s="2">
        <v>46006</v>
      </c>
      <c r="P31">
        <v>72398.73</v>
      </c>
      <c r="Q31" s="2">
        <v>45919</v>
      </c>
      <c r="R31">
        <v>5001350893</v>
      </c>
      <c r="S31">
        <v>2025</v>
      </c>
      <c r="T31">
        <v>358710</v>
      </c>
      <c r="U31" t="s">
        <v>1</v>
      </c>
      <c r="V31" s="2"/>
      <c r="W31" t="s">
        <v>1</v>
      </c>
      <c r="AE31">
        <v>0</v>
      </c>
      <c r="AF31" t="s">
        <v>116</v>
      </c>
      <c r="AG31" t="s">
        <v>1</v>
      </c>
      <c r="AH31" t="s">
        <v>117</v>
      </c>
      <c r="AI31">
        <v>72398.73</v>
      </c>
      <c r="AJ31" t="s">
        <v>1</v>
      </c>
      <c r="AK31" t="s">
        <v>1</v>
      </c>
      <c r="AL31">
        <v>6000031</v>
      </c>
      <c r="AM31" t="s">
        <v>59</v>
      </c>
      <c r="AN31">
        <v>9000</v>
      </c>
      <c r="AO31" t="s">
        <v>100</v>
      </c>
    </row>
    <row r="32" spans="1:41" x14ac:dyDescent="0.25">
      <c r="A32" t="str">
        <f>VLOOKUP(MONTH(N32),Sheet1!$A$2:$B$13,2,0)</f>
        <v>Out</v>
      </c>
      <c r="B32" t="str">
        <f>IF(LEFT(AO32,1)="B","CAPEX",IF(LEFT(AO32,1)="C","STOCK",IF(MID(AO32,7,2)="JA","STAFF",IF(MID(AO32,7,1)="H","STAFF",IF(MID(AO32,7,1)="S","STAFF",IF(MID(AO32,7,2)="JV","LOG",IFERROR(VLOOKUP($AO32,[1]!Table14[[New Account Number]:[Filtro2]],9,0),VLOOKUP($AO32,[1]!Table14[[Old Account Number]:[Filtro2]],12,0))))))))</f>
        <v>Manutenção Terceiros</v>
      </c>
      <c r="C32" t="str">
        <f>IF(LEFT(AO32,1)="B","CAPEX",IF(LEFT(AO32,1)="C","STOCK",IF(MID(AO32,7,2)="JA","STAFF",IF(MID(AO32,7,1)="H","STAFF",IF(MID(AO32,7,1)="S","STAFF",IF(MID(AO32,7,2)="JV","LOG",IFERROR(VLOOKUP($AO32,[1]!Table14[[New Account Number]:[Filtro2]],10,0),VLOOKUP($AO32,[1]!Table14[[Old Account Number]:[Filtro2]],13,0))))))))</f>
        <v>Total Manutenção Variável</v>
      </c>
      <c r="D32" t="s">
        <v>43</v>
      </c>
      <c r="E32" t="s">
        <v>2</v>
      </c>
      <c r="F32" t="s">
        <v>3</v>
      </c>
      <c r="G32">
        <v>650</v>
      </c>
      <c r="H32" t="s">
        <v>0</v>
      </c>
      <c r="I32" t="s">
        <v>49</v>
      </c>
      <c r="J32" t="s">
        <v>98</v>
      </c>
      <c r="K32" t="s">
        <v>1</v>
      </c>
      <c r="L32">
        <v>4211328675</v>
      </c>
      <c r="M32">
        <v>2600467053</v>
      </c>
      <c r="N32" s="2">
        <v>45951</v>
      </c>
      <c r="O32" s="2">
        <v>46011</v>
      </c>
      <c r="P32">
        <v>7257</v>
      </c>
      <c r="Q32" s="2">
        <v>45951</v>
      </c>
      <c r="R32">
        <v>5001510489</v>
      </c>
      <c r="S32">
        <v>2025</v>
      </c>
      <c r="T32">
        <v>364012</v>
      </c>
      <c r="U32" t="s">
        <v>1</v>
      </c>
      <c r="V32" s="2"/>
      <c r="W32" t="s">
        <v>1</v>
      </c>
      <c r="AE32">
        <v>0</v>
      </c>
      <c r="AF32" t="s">
        <v>81</v>
      </c>
      <c r="AG32" t="s">
        <v>1</v>
      </c>
      <c r="AH32" t="s">
        <v>96</v>
      </c>
      <c r="AI32">
        <v>7257</v>
      </c>
      <c r="AJ32" t="s">
        <v>1</v>
      </c>
      <c r="AK32" t="s">
        <v>1</v>
      </c>
      <c r="AL32">
        <v>6999999</v>
      </c>
      <c r="AM32" t="s">
        <v>59</v>
      </c>
      <c r="AN32">
        <v>9203</v>
      </c>
      <c r="AO32" t="s">
        <v>50</v>
      </c>
    </row>
    <row r="33" spans="1:41" x14ac:dyDescent="0.25">
      <c r="A33" t="str">
        <f>VLOOKUP(MONTH(N33),Sheet1!$A$2:$B$13,2,0)</f>
        <v>Nov</v>
      </c>
      <c r="B33" t="str">
        <f>IF(LEFT(AO33,1)="B","CAPEX",IF(LEFT(AO33,1)="C","STOCK",IF(MID(AO33,7,2)="JA","STAFF",IF(MID(AO33,7,1)="H","STAFF",IF(MID(AO33,7,1)="S","STAFF",IF(MID(AO33,7,2)="JV","LOG",IFERROR(VLOOKUP($AO33,[1]!Table14[[New Account Number]:[Filtro2]],9,0),VLOOKUP($AO33,[1]!Table14[[Old Account Number]:[Filtro2]],12,0))))))))</f>
        <v>Manutenção Terceiros</v>
      </c>
      <c r="C33" t="str">
        <f>IF(LEFT(AO33,1)="B","CAPEX",IF(LEFT(AO33,1)="C","STOCK",IF(MID(AO33,7,2)="JA","STAFF",IF(MID(AO33,7,1)="H","STAFF",IF(MID(AO33,7,1)="S","STAFF",IF(MID(AO33,7,2)="JV","LOG",IFERROR(VLOOKUP($AO33,[1]!Table14[[New Account Number]:[Filtro2]],10,0),VLOOKUP($AO33,[1]!Table14[[Old Account Number]:[Filtro2]],13,0))))))))</f>
        <v>Total Manutenção Variável</v>
      </c>
      <c r="D33" t="s">
        <v>43</v>
      </c>
      <c r="E33" t="s">
        <v>2</v>
      </c>
      <c r="F33" t="s">
        <v>3</v>
      </c>
      <c r="G33">
        <v>11689</v>
      </c>
      <c r="H33" t="s">
        <v>0</v>
      </c>
      <c r="I33" t="s">
        <v>49</v>
      </c>
      <c r="J33" t="s">
        <v>99</v>
      </c>
      <c r="K33" t="s">
        <v>1</v>
      </c>
      <c r="L33">
        <v>4211324689</v>
      </c>
      <c r="M33">
        <v>9001685132</v>
      </c>
      <c r="N33" s="2">
        <v>45964</v>
      </c>
      <c r="O33" s="2">
        <v>46084</v>
      </c>
      <c r="P33">
        <v>97954.61</v>
      </c>
      <c r="Q33" s="2">
        <v>45966</v>
      </c>
      <c r="R33">
        <v>5001636008</v>
      </c>
      <c r="S33">
        <v>2025</v>
      </c>
      <c r="T33">
        <v>366412</v>
      </c>
      <c r="U33" t="s">
        <v>1</v>
      </c>
      <c r="V33" s="2"/>
      <c r="W33" t="s">
        <v>1</v>
      </c>
      <c r="AE33">
        <v>0</v>
      </c>
      <c r="AF33" t="s">
        <v>106</v>
      </c>
      <c r="AG33" t="s">
        <v>1</v>
      </c>
      <c r="AH33" t="s">
        <v>192</v>
      </c>
      <c r="AI33">
        <v>97954.61</v>
      </c>
      <c r="AJ33" t="s">
        <v>1</v>
      </c>
      <c r="AK33" t="s">
        <v>1</v>
      </c>
      <c r="AL33">
        <v>6000020</v>
      </c>
      <c r="AM33" t="s">
        <v>59</v>
      </c>
      <c r="AN33">
        <v>9204</v>
      </c>
      <c r="AO33" t="s">
        <v>50</v>
      </c>
    </row>
    <row r="34" spans="1:41" x14ac:dyDescent="0.25">
      <c r="A34" t="str">
        <f>VLOOKUP(MONTH(N34),Sheet1!$A$2:$B$13,2,0)</f>
        <v>Nov</v>
      </c>
      <c r="B34" t="str">
        <f>IF(LEFT(AO34,1)="B","CAPEX",IF(LEFT(AO34,1)="C","STOCK",IF(MID(AO34,7,2)="JA","STAFF",IF(MID(AO34,7,1)="H","STAFF",IF(MID(AO34,7,1)="S","STAFF",IF(MID(AO34,7,2)="JV","LOG",IFERROR(VLOOKUP($AO34,[1]!Table14[[New Account Number]:[Filtro2]],9,0),VLOOKUP($AO34,[1]!Table14[[Old Account Number]:[Filtro2]],12,0))))))))</f>
        <v>CAPEX</v>
      </c>
      <c r="C34" t="str">
        <f>IF(LEFT(AO34,1)="B","CAPEX",IF(LEFT(AO34,1)="C","STOCK",IF(MID(AO34,7,2)="JA","STAFF",IF(MID(AO34,7,1)="H","STAFF",IF(MID(AO34,7,1)="S","STAFF",IF(MID(AO34,7,2)="JV","LOG",IFERROR(VLOOKUP($AO34,[1]!Table14[[New Account Number]:[Filtro2]],10,0),VLOOKUP($AO34,[1]!Table14[[Old Account Number]:[Filtro2]],13,0))))))))</f>
        <v>CAPEX</v>
      </c>
      <c r="D34" t="s">
        <v>46</v>
      </c>
      <c r="E34" t="s">
        <v>47</v>
      </c>
      <c r="F34" t="s">
        <v>48</v>
      </c>
      <c r="G34">
        <v>2348</v>
      </c>
      <c r="H34" t="s">
        <v>0</v>
      </c>
      <c r="I34" t="s">
        <v>176</v>
      </c>
      <c r="J34" t="s">
        <v>193</v>
      </c>
      <c r="K34" t="s">
        <v>1</v>
      </c>
      <c r="L34">
        <v>4211324964</v>
      </c>
      <c r="M34">
        <v>2600468420</v>
      </c>
      <c r="N34" s="2">
        <v>45964</v>
      </c>
      <c r="O34" s="2">
        <v>46024</v>
      </c>
      <c r="P34">
        <v>2505</v>
      </c>
      <c r="Q34" s="2">
        <v>45966</v>
      </c>
      <c r="R34">
        <v>5001632715</v>
      </c>
      <c r="S34">
        <v>2025</v>
      </c>
      <c r="T34">
        <v>366356</v>
      </c>
      <c r="U34" t="s">
        <v>1</v>
      </c>
      <c r="V34" s="2">
        <v>45966</v>
      </c>
      <c r="W34" t="s">
        <v>173</v>
      </c>
      <c r="AA34">
        <v>5001632425</v>
      </c>
      <c r="AB34">
        <v>2025</v>
      </c>
      <c r="AC34">
        <v>9004021795</v>
      </c>
      <c r="AD34">
        <v>2025</v>
      </c>
      <c r="AE34">
        <v>10390815</v>
      </c>
      <c r="AF34" t="s">
        <v>172</v>
      </c>
      <c r="AG34" t="s">
        <v>172</v>
      </c>
      <c r="AH34" t="s">
        <v>173</v>
      </c>
      <c r="AI34">
        <v>0</v>
      </c>
      <c r="AJ34" t="s">
        <v>1</v>
      </c>
      <c r="AK34" t="s">
        <v>1</v>
      </c>
      <c r="AL34">
        <v>6000003</v>
      </c>
      <c r="AM34" t="s">
        <v>177</v>
      </c>
      <c r="AN34">
        <v>8238</v>
      </c>
      <c r="AO34" t="s">
        <v>194</v>
      </c>
    </row>
    <row r="35" spans="1:41" x14ac:dyDescent="0.25">
      <c r="A35" t="str">
        <f>VLOOKUP(MONTH(N35),Sheet1!$A$2:$B$13,2,0)</f>
        <v>Nov</v>
      </c>
      <c r="B35" t="str">
        <f>IF(LEFT(AO35,1)="B","CAPEX",IF(LEFT(AO35,1)="C","STOCK",IF(MID(AO35,7,2)="JA","STAFF",IF(MID(AO35,7,1)="H","STAFF",IF(MID(AO35,7,1)="S","STAFF",IF(MID(AO35,7,2)="JV","LOG",IFERROR(VLOOKUP($AO35,[1]!Table14[[New Account Number]:[Filtro2]],9,0),VLOOKUP($AO35,[1]!Table14[[Old Account Number]:[Filtro2]],12,0))))))))</f>
        <v>Manutenção Terceiros</v>
      </c>
      <c r="C35" t="str">
        <f>IF(LEFT(AO35,1)="B","CAPEX",IF(LEFT(AO35,1)="C","STOCK",IF(MID(AO35,7,2)="JA","STAFF",IF(MID(AO35,7,1)="H","STAFF",IF(MID(AO35,7,1)="S","STAFF",IF(MID(AO35,7,2)="JV","LOG",IFERROR(VLOOKUP($AO35,[1]!Table14[[New Account Number]:[Filtro2]],10,0),VLOOKUP($AO35,[1]!Table14[[Old Account Number]:[Filtro2]],13,0))))))))</f>
        <v>Total Manutenção Variável</v>
      </c>
      <c r="D35" t="s">
        <v>43</v>
      </c>
      <c r="E35" t="s">
        <v>2</v>
      </c>
      <c r="F35" t="s">
        <v>3</v>
      </c>
      <c r="G35">
        <v>29320</v>
      </c>
      <c r="H35" t="s">
        <v>0</v>
      </c>
      <c r="I35" t="s">
        <v>49</v>
      </c>
      <c r="J35" t="s">
        <v>136</v>
      </c>
      <c r="K35" t="s">
        <v>1</v>
      </c>
      <c r="L35">
        <v>4211331619</v>
      </c>
      <c r="M35">
        <v>2600462998</v>
      </c>
      <c r="N35" s="2">
        <v>45964</v>
      </c>
      <c r="O35" s="2">
        <v>45994</v>
      </c>
      <c r="P35">
        <v>290</v>
      </c>
      <c r="Q35" s="2">
        <v>45968</v>
      </c>
      <c r="R35">
        <v>5001649099</v>
      </c>
      <c r="S35">
        <v>2025</v>
      </c>
      <c r="T35">
        <v>367141</v>
      </c>
      <c r="U35" t="s">
        <v>1</v>
      </c>
      <c r="V35" s="2"/>
      <c r="W35" t="s">
        <v>1</v>
      </c>
      <c r="AE35">
        <v>0</v>
      </c>
      <c r="AF35" t="s">
        <v>101</v>
      </c>
      <c r="AG35" t="s">
        <v>1</v>
      </c>
      <c r="AH35" t="s">
        <v>102</v>
      </c>
      <c r="AI35">
        <v>290</v>
      </c>
      <c r="AJ35" t="s">
        <v>1</v>
      </c>
      <c r="AK35" t="s">
        <v>1</v>
      </c>
      <c r="AL35">
        <v>6999999</v>
      </c>
      <c r="AM35" t="s">
        <v>59</v>
      </c>
      <c r="AN35">
        <v>9203</v>
      </c>
      <c r="AO35" t="s">
        <v>50</v>
      </c>
    </row>
    <row r="36" spans="1:41" x14ac:dyDescent="0.25">
      <c r="A36" t="str">
        <f>VLOOKUP(MONTH(N36),Sheet1!$A$2:$B$13,2,0)</f>
        <v>Nov</v>
      </c>
      <c r="B36" t="str">
        <f>IF(LEFT(AO36,1)="B","CAPEX",IF(LEFT(AO36,1)="C","STOCK",IF(MID(AO36,7,2)="JA","STAFF",IF(MID(AO36,7,1)="H","STAFF",IF(MID(AO36,7,1)="S","STAFF",IF(MID(AO36,7,2)="JV","LOG",IFERROR(VLOOKUP($AO36,[1]!Table14[[New Account Number]:[Filtro2]],9,0),VLOOKUP($AO36,[1]!Table14[[Old Account Number]:[Filtro2]],12,0))))))))</f>
        <v>Aluguéis</v>
      </c>
      <c r="C36" t="str">
        <f>IF(LEFT(AO36,1)="B","CAPEX",IF(LEFT(AO36,1)="C","STOCK",IF(MID(AO36,7,2)="JA","STAFF",IF(MID(AO36,7,1)="H","STAFF",IF(MID(AO36,7,1)="S","STAFF",IF(MID(AO36,7,2)="JV","LOG",IFERROR(VLOOKUP($AO36,[1]!Table14[[New Account Number]:[Filtro2]],10,0),VLOOKUP($AO36,[1]!Table14[[Old Account Number]:[Filtro2]],13,0))))))))</f>
        <v>Total Outras Despesas Fixas</v>
      </c>
      <c r="D36" t="s">
        <v>43</v>
      </c>
      <c r="E36" t="s">
        <v>2</v>
      </c>
      <c r="F36" t="s">
        <v>3</v>
      </c>
      <c r="G36">
        <v>700276</v>
      </c>
      <c r="H36" t="s">
        <v>0</v>
      </c>
      <c r="I36" t="s">
        <v>49</v>
      </c>
      <c r="J36" t="s">
        <v>189</v>
      </c>
      <c r="K36" t="s">
        <v>1</v>
      </c>
      <c r="L36">
        <v>4211301181</v>
      </c>
      <c r="M36">
        <v>9001631078</v>
      </c>
      <c r="N36" s="2">
        <v>45964</v>
      </c>
      <c r="O36" s="2">
        <v>46039</v>
      </c>
      <c r="P36">
        <v>15705.2</v>
      </c>
      <c r="Q36" s="2">
        <v>45980</v>
      </c>
      <c r="R36">
        <v>5001731723</v>
      </c>
      <c r="S36">
        <v>2025</v>
      </c>
      <c r="T36">
        <v>368967</v>
      </c>
      <c r="U36" t="s">
        <v>1</v>
      </c>
      <c r="V36" s="2"/>
      <c r="W36" t="s">
        <v>1</v>
      </c>
      <c r="AE36">
        <v>0</v>
      </c>
      <c r="AF36" t="s">
        <v>184</v>
      </c>
      <c r="AG36" t="s">
        <v>1</v>
      </c>
      <c r="AH36" t="s">
        <v>1</v>
      </c>
      <c r="AI36">
        <v>15705.2</v>
      </c>
      <c r="AJ36" t="s">
        <v>1</v>
      </c>
      <c r="AK36" t="s">
        <v>1</v>
      </c>
      <c r="AL36">
        <v>6999999</v>
      </c>
      <c r="AM36" t="s">
        <v>59</v>
      </c>
      <c r="AN36">
        <v>9000</v>
      </c>
      <c r="AO36" t="s">
        <v>54</v>
      </c>
    </row>
    <row r="37" spans="1:41" x14ac:dyDescent="0.25">
      <c r="A37" t="str">
        <f>VLOOKUP(MONTH(N37),Sheet1!$A$2:$B$13,2,0)</f>
        <v>Nov</v>
      </c>
      <c r="B37" t="str">
        <f>IF(LEFT(AO37,1)="B","CAPEX",IF(LEFT(AO37,1)="C","STOCK",IF(MID(AO37,7,2)="JA","STAFF",IF(MID(AO37,7,1)="H","STAFF",IF(MID(AO37,7,1)="S","STAFF",IF(MID(AO37,7,2)="JV","LOG",IFERROR(VLOOKUP($AO37,[1]!Table14[[New Account Number]:[Filtro2]],9,0),VLOOKUP($AO37,[1]!Table14[[Old Account Number]:[Filtro2]],12,0))))))))</f>
        <v>Manutenção Terceiros</v>
      </c>
      <c r="C37" t="str">
        <f>IF(LEFT(AO37,1)="B","CAPEX",IF(LEFT(AO37,1)="C","STOCK",IF(MID(AO37,7,2)="JA","STAFF",IF(MID(AO37,7,1)="H","STAFF",IF(MID(AO37,7,1)="S","STAFF",IF(MID(AO37,7,2)="JV","LOG",IFERROR(VLOOKUP($AO37,[1]!Table14[[New Account Number]:[Filtro2]],10,0),VLOOKUP($AO37,[1]!Table14[[Old Account Number]:[Filtro2]],13,0))))))))</f>
        <v>Total Manutenção Fixa</v>
      </c>
      <c r="D37" t="s">
        <v>43</v>
      </c>
      <c r="E37" t="s">
        <v>2</v>
      </c>
      <c r="F37" t="s">
        <v>3</v>
      </c>
      <c r="G37">
        <v>147144</v>
      </c>
      <c r="H37" t="s">
        <v>0</v>
      </c>
      <c r="I37" t="s">
        <v>49</v>
      </c>
      <c r="J37" t="s">
        <v>62</v>
      </c>
      <c r="K37" t="s">
        <v>1</v>
      </c>
      <c r="L37">
        <v>4211315568</v>
      </c>
      <c r="M37">
        <v>9001690993</v>
      </c>
      <c r="N37" s="2">
        <v>45985</v>
      </c>
      <c r="O37" s="2">
        <v>46060</v>
      </c>
      <c r="P37">
        <v>44528.57</v>
      </c>
      <c r="Q37" s="2">
        <v>45985</v>
      </c>
      <c r="R37">
        <v>5001765758</v>
      </c>
      <c r="S37">
        <v>2025</v>
      </c>
      <c r="T37">
        <v>369761</v>
      </c>
      <c r="U37" t="s">
        <v>1</v>
      </c>
      <c r="V37" s="2"/>
      <c r="W37" t="s">
        <v>1</v>
      </c>
      <c r="AE37">
        <v>0</v>
      </c>
      <c r="AF37" t="s">
        <v>106</v>
      </c>
      <c r="AG37" t="s">
        <v>1</v>
      </c>
      <c r="AH37" t="s">
        <v>192</v>
      </c>
      <c r="AI37">
        <v>44528.57</v>
      </c>
      <c r="AJ37" t="s">
        <v>1</v>
      </c>
      <c r="AK37" t="s">
        <v>1</v>
      </c>
      <c r="AL37">
        <v>6000031</v>
      </c>
      <c r="AM37" t="s">
        <v>59</v>
      </c>
      <c r="AN37">
        <v>9018</v>
      </c>
      <c r="AO37" t="s">
        <v>100</v>
      </c>
    </row>
    <row r="38" spans="1:41" x14ac:dyDescent="0.25">
      <c r="A38" t="str">
        <f>VLOOKUP(MONTH(N38),Sheet1!$A$2:$B$13,2,0)</f>
        <v>Nov</v>
      </c>
      <c r="B38" t="str">
        <f>IF(LEFT(AO38,1)="B","CAPEX",IF(LEFT(AO38,1)="C","STOCK",IF(MID(AO38,7,2)="JA","STAFF",IF(MID(AO38,7,1)="H","STAFF",IF(MID(AO38,7,1)="S","STAFF",IF(MID(AO38,7,2)="JV","LOG",IFERROR(VLOOKUP($AO38,[1]!Table14[[New Account Number]:[Filtro2]],9,0),VLOOKUP($AO38,[1]!Table14[[Old Account Number]:[Filtro2]],12,0))))))))</f>
        <v>Limpeza Por Terceiros</v>
      </c>
      <c r="C38" t="str">
        <f>IF(LEFT(AO38,1)="B","CAPEX",IF(LEFT(AO38,1)="C","STOCK",IF(MID(AO38,7,2)="JA","STAFF",IF(MID(AO38,7,1)="H","STAFF",IF(MID(AO38,7,1)="S","STAFF",IF(MID(AO38,7,2)="JV","LOG",IFERROR(VLOOKUP($AO38,[1]!Table14[[New Account Number]:[Filtro2]],10,0),VLOOKUP($AO38,[1]!Table14[[Old Account Number]:[Filtro2]],13,0))))))))</f>
        <v>Total Outras Despesas Fixas</v>
      </c>
      <c r="D38" t="s">
        <v>43</v>
      </c>
      <c r="E38" t="s">
        <v>2</v>
      </c>
      <c r="F38" t="s">
        <v>3</v>
      </c>
      <c r="G38">
        <v>14357</v>
      </c>
      <c r="H38" t="s">
        <v>0</v>
      </c>
      <c r="I38" t="s">
        <v>49</v>
      </c>
      <c r="J38" t="s">
        <v>124</v>
      </c>
      <c r="K38" t="s">
        <v>1</v>
      </c>
      <c r="L38">
        <v>4211333268</v>
      </c>
      <c r="M38">
        <v>9001689718</v>
      </c>
      <c r="N38" s="2">
        <v>45978</v>
      </c>
      <c r="O38" s="2">
        <v>46038</v>
      </c>
      <c r="P38">
        <v>561103.80000000005</v>
      </c>
      <c r="Q38" s="2">
        <v>45986</v>
      </c>
      <c r="R38">
        <v>5001785053</v>
      </c>
      <c r="S38">
        <v>2025</v>
      </c>
      <c r="T38">
        <v>370043</v>
      </c>
      <c r="U38" t="s">
        <v>1</v>
      </c>
      <c r="V38" s="2"/>
      <c r="W38" t="s">
        <v>1</v>
      </c>
      <c r="AE38">
        <v>0</v>
      </c>
      <c r="AF38" t="s">
        <v>60</v>
      </c>
      <c r="AG38" t="s">
        <v>1</v>
      </c>
      <c r="AH38" t="s">
        <v>61</v>
      </c>
      <c r="AI38">
        <v>561103.92000000004</v>
      </c>
      <c r="AJ38" t="s">
        <v>1</v>
      </c>
      <c r="AK38" t="s">
        <v>1</v>
      </c>
      <c r="AL38">
        <v>6000001</v>
      </c>
      <c r="AM38" t="s">
        <v>59</v>
      </c>
      <c r="AN38">
        <v>9000</v>
      </c>
      <c r="AO38" t="s">
        <v>122</v>
      </c>
    </row>
    <row r="39" spans="1:41" x14ac:dyDescent="0.25">
      <c r="A39" t="str">
        <f>VLOOKUP(MONTH(N39),Sheet1!$A$2:$B$13,2,0)</f>
        <v>Dez</v>
      </c>
      <c r="B39" t="str">
        <f>IF(LEFT(AO39,1)="B","CAPEX",IF(LEFT(AO39,1)="C","STOCK",IF(MID(AO39,7,2)="JA","STAFF",IF(MID(AO39,7,1)="H","STAFF",IF(MID(AO39,7,1)="S","STAFF",IF(MID(AO39,7,2)="JV","LOG",IFERROR(VLOOKUP($AO39,[1]!Table14[[New Account Number]:[Filtro2]],9,0),VLOOKUP($AO39,[1]!Table14[[Old Account Number]:[Filtro2]],12,0))))))))</f>
        <v>Manutenção Terceiros</v>
      </c>
      <c r="C39" t="str">
        <f>IF(LEFT(AO39,1)="B","CAPEX",IF(LEFT(AO39,1)="C","STOCK",IF(MID(AO39,7,2)="JA","STAFF",IF(MID(AO39,7,1)="H","STAFF",IF(MID(AO39,7,1)="S","STAFF",IF(MID(AO39,7,2)="JV","LOG",IFERROR(VLOOKUP($AO39,[1]!Table14[[New Account Number]:[Filtro2]],10,0),VLOOKUP($AO39,[1]!Table14[[Old Account Number]:[Filtro2]],13,0))))))))</f>
        <v>Total Manutenção Variável</v>
      </c>
      <c r="D39" t="s">
        <v>43</v>
      </c>
      <c r="E39" t="s">
        <v>2</v>
      </c>
      <c r="F39" t="s">
        <v>3</v>
      </c>
      <c r="G39">
        <v>30589</v>
      </c>
      <c r="H39" t="s">
        <v>0</v>
      </c>
      <c r="I39" t="s">
        <v>49</v>
      </c>
      <c r="J39" t="s">
        <v>136</v>
      </c>
      <c r="K39" t="s">
        <v>1</v>
      </c>
      <c r="L39">
        <v>4211331619</v>
      </c>
      <c r="M39">
        <v>9001691005</v>
      </c>
      <c r="N39" s="2">
        <v>45992</v>
      </c>
      <c r="O39" s="2">
        <v>46022</v>
      </c>
      <c r="P39">
        <v>19150</v>
      </c>
      <c r="Q39" s="2">
        <v>45994</v>
      </c>
      <c r="R39">
        <v>5001849909</v>
      </c>
      <c r="S39">
        <v>2025</v>
      </c>
      <c r="T39">
        <v>371279</v>
      </c>
      <c r="U39" t="s">
        <v>1</v>
      </c>
      <c r="V39" s="2"/>
      <c r="W39" t="s">
        <v>1</v>
      </c>
      <c r="AE39">
        <v>0</v>
      </c>
      <c r="AF39" t="s">
        <v>106</v>
      </c>
      <c r="AG39" t="s">
        <v>1</v>
      </c>
      <c r="AH39" t="s">
        <v>192</v>
      </c>
      <c r="AI39">
        <v>19150</v>
      </c>
      <c r="AJ39" t="s">
        <v>1</v>
      </c>
      <c r="AK39" t="s">
        <v>1</v>
      </c>
      <c r="AL39">
        <v>6999999</v>
      </c>
      <c r="AM39" t="s">
        <v>59</v>
      </c>
      <c r="AN39">
        <v>9203</v>
      </c>
      <c r="AO39" t="s">
        <v>50</v>
      </c>
    </row>
    <row r="40" spans="1:41" x14ac:dyDescent="0.25">
      <c r="A40" t="str">
        <f>VLOOKUP(MONTH(N40),Sheet1!$A$2:$B$13,2,0)</f>
        <v>Dez</v>
      </c>
      <c r="B40" t="str">
        <f>IF(LEFT(AO40,1)="B","CAPEX",IF(LEFT(AO40,1)="C","STOCK",IF(MID(AO40,7,2)="JA","STAFF",IF(MID(AO40,7,1)="H","STAFF",IF(MID(AO40,7,1)="S","STAFF",IF(MID(AO40,7,2)="JV","LOG",IFERROR(VLOOKUP($AO40,[1]!Table14[[New Account Number]:[Filtro2]],9,0),VLOOKUP($AO40,[1]!Table14[[Old Account Number]:[Filtro2]],12,0))))))))</f>
        <v>Manutenção Terceiros</v>
      </c>
      <c r="C40" t="str">
        <f>IF(LEFT(AO40,1)="B","CAPEX",IF(LEFT(AO40,1)="C","STOCK",IF(MID(AO40,7,2)="JA","STAFF",IF(MID(AO40,7,1)="H","STAFF",IF(MID(AO40,7,1)="S","STAFF",IF(MID(AO40,7,2)="JV","LOG",IFERROR(VLOOKUP($AO40,[1]!Table14[[New Account Number]:[Filtro2]],10,0),VLOOKUP($AO40,[1]!Table14[[Old Account Number]:[Filtro2]],13,0))))))))</f>
        <v>Total Manutenção Variável</v>
      </c>
      <c r="D40" t="s">
        <v>43</v>
      </c>
      <c r="E40" t="s">
        <v>2</v>
      </c>
      <c r="F40" t="s">
        <v>3</v>
      </c>
      <c r="G40">
        <v>774</v>
      </c>
      <c r="H40" t="s">
        <v>0</v>
      </c>
      <c r="I40" t="s">
        <v>49</v>
      </c>
      <c r="J40" t="s">
        <v>208</v>
      </c>
      <c r="K40" t="s">
        <v>1</v>
      </c>
      <c r="L40">
        <v>4211333353</v>
      </c>
      <c r="M40">
        <v>2600469152</v>
      </c>
      <c r="N40" s="2">
        <v>45995</v>
      </c>
      <c r="O40" s="2">
        <v>46055</v>
      </c>
      <c r="P40">
        <v>15264</v>
      </c>
      <c r="Q40" s="2">
        <v>45995</v>
      </c>
      <c r="R40">
        <v>5001853639</v>
      </c>
      <c r="S40">
        <v>2025</v>
      </c>
      <c r="T40">
        <v>371557</v>
      </c>
      <c r="U40" t="s">
        <v>1</v>
      </c>
      <c r="V40" s="2"/>
      <c r="W40" t="s">
        <v>1</v>
      </c>
      <c r="AE40">
        <v>0</v>
      </c>
      <c r="AF40" t="s">
        <v>106</v>
      </c>
      <c r="AG40" t="s">
        <v>1</v>
      </c>
      <c r="AH40" t="s">
        <v>192</v>
      </c>
      <c r="AI40">
        <v>15264</v>
      </c>
      <c r="AJ40" t="s">
        <v>1</v>
      </c>
      <c r="AK40" t="s">
        <v>1</v>
      </c>
      <c r="AL40">
        <v>6999999</v>
      </c>
      <c r="AM40" t="s">
        <v>59</v>
      </c>
      <c r="AN40">
        <v>9204</v>
      </c>
      <c r="AO40" t="s">
        <v>50</v>
      </c>
    </row>
    <row r="41" spans="1:41" x14ac:dyDescent="0.25">
      <c r="A41" t="str">
        <f>VLOOKUP(MONTH(N41),Sheet1!$A$2:$B$13,2,0)</f>
        <v>Out</v>
      </c>
      <c r="B41" t="str">
        <f>IF(LEFT(AO41,1)="B","CAPEX",IF(LEFT(AO41,1)="C","STOCK",IF(MID(AO41,7,2)="JA","STAFF",IF(MID(AO41,7,1)="H","STAFF",IF(MID(AO41,7,1)="S","STAFF",IF(MID(AO41,7,2)="JV","LOG",IFERROR(VLOOKUP($AO41,[1]!Table14[[New Account Number]:[Filtro2]],9,0),VLOOKUP($AO41,[1]!Table14[[Old Account Number]:[Filtro2]],12,0))))))))</f>
        <v>Treinamento</v>
      </c>
      <c r="C41" t="str">
        <f>IF(LEFT(AO41,1)="B","CAPEX",IF(LEFT(AO41,1)="C","STOCK",IF(MID(AO41,7,2)="JA","STAFF",IF(MID(AO41,7,1)="H","STAFF",IF(MID(AO41,7,1)="S","STAFF",IF(MID(AO41,7,2)="JV","LOG",IFERROR(VLOOKUP($AO41,[1]!Table14[[New Account Number]:[Filtro2]],10,0),VLOOKUP($AO41,[1]!Table14[[Old Account Number]:[Filtro2]],13,0))))))))</f>
        <v>Total Outras Despesas Fixas</v>
      </c>
      <c r="D41" t="s">
        <v>43</v>
      </c>
      <c r="E41" t="s">
        <v>2</v>
      </c>
      <c r="F41" t="s">
        <v>3</v>
      </c>
      <c r="G41">
        <v>14843</v>
      </c>
      <c r="H41" t="s">
        <v>0</v>
      </c>
      <c r="I41" t="s">
        <v>44</v>
      </c>
      <c r="J41" t="s">
        <v>215</v>
      </c>
      <c r="K41" t="s">
        <v>1</v>
      </c>
      <c r="L41">
        <v>4211301849</v>
      </c>
      <c r="M41">
        <v>9001685016</v>
      </c>
      <c r="N41" s="2">
        <v>45951</v>
      </c>
      <c r="O41" s="2">
        <v>46011</v>
      </c>
      <c r="P41">
        <v>3400</v>
      </c>
      <c r="Q41" s="2">
        <v>45951</v>
      </c>
      <c r="R41">
        <v>5001798665</v>
      </c>
      <c r="S41">
        <v>2025</v>
      </c>
      <c r="T41">
        <v>364071</v>
      </c>
      <c r="U41" t="s">
        <v>1</v>
      </c>
      <c r="V41" s="2"/>
      <c r="W41" t="s">
        <v>1</v>
      </c>
      <c r="AE41">
        <v>0</v>
      </c>
      <c r="AF41" t="s">
        <v>216</v>
      </c>
      <c r="AG41" t="s">
        <v>1</v>
      </c>
      <c r="AH41" t="s">
        <v>217</v>
      </c>
      <c r="AI41">
        <v>3400</v>
      </c>
      <c r="AJ41" t="s">
        <v>1</v>
      </c>
      <c r="AK41" t="s">
        <v>1</v>
      </c>
      <c r="AL41">
        <v>6999999</v>
      </c>
      <c r="AM41" t="s">
        <v>92</v>
      </c>
      <c r="AN41">
        <v>2952</v>
      </c>
      <c r="AO41" t="s">
        <v>218</v>
      </c>
    </row>
    <row r="42" spans="1:41" x14ac:dyDescent="0.25">
      <c r="A42" t="str">
        <f>VLOOKUP(MONTH(N42),Sheet1!$A$2:$B$13,2,0)</f>
        <v>Out</v>
      </c>
      <c r="B42" t="str">
        <f>IF(LEFT(AO42,1)="B","CAPEX",IF(LEFT(AO42,1)="C","STOCK",IF(MID(AO42,7,2)="JA","STAFF",IF(MID(AO42,7,1)="H","STAFF",IF(MID(AO42,7,1)="S","STAFF",IF(MID(AO42,7,2)="JV","LOG",IFERROR(VLOOKUP($AO42,[1]!Table14[[New Account Number]:[Filtro2]],9,0),VLOOKUP($AO42,[1]!Table14[[Old Account Number]:[Filtro2]],12,0))))))))</f>
        <v>Treinamento</v>
      </c>
      <c r="C42" t="str">
        <f>IF(LEFT(AO42,1)="B","CAPEX",IF(LEFT(AO42,1)="C","STOCK",IF(MID(AO42,7,2)="JA","STAFF",IF(MID(AO42,7,1)="H","STAFF",IF(MID(AO42,7,1)="S","STAFF",IF(MID(AO42,7,2)="JV","LOG",IFERROR(VLOOKUP($AO42,[1]!Table14[[New Account Number]:[Filtro2]],10,0),VLOOKUP($AO42,[1]!Table14[[Old Account Number]:[Filtro2]],13,0))))))))</f>
        <v>Total Outras Despesas Fixas</v>
      </c>
      <c r="D42" t="s">
        <v>43</v>
      </c>
      <c r="E42" t="s">
        <v>2</v>
      </c>
      <c r="F42" t="s">
        <v>3</v>
      </c>
      <c r="G42">
        <v>14845</v>
      </c>
      <c r="H42" t="s">
        <v>0</v>
      </c>
      <c r="I42" t="s">
        <v>44</v>
      </c>
      <c r="J42" t="s">
        <v>215</v>
      </c>
      <c r="K42" t="s">
        <v>1</v>
      </c>
      <c r="L42">
        <v>4211301849</v>
      </c>
      <c r="M42">
        <v>9001685016</v>
      </c>
      <c r="N42" s="2">
        <v>45951</v>
      </c>
      <c r="O42" s="2">
        <v>46011</v>
      </c>
      <c r="P42">
        <v>400</v>
      </c>
      <c r="Q42" s="2">
        <v>45951</v>
      </c>
      <c r="R42">
        <v>5001798666</v>
      </c>
      <c r="S42">
        <v>2025</v>
      </c>
      <c r="T42">
        <v>364074</v>
      </c>
      <c r="U42" t="s">
        <v>1</v>
      </c>
      <c r="V42" s="2"/>
      <c r="W42" t="s">
        <v>1</v>
      </c>
      <c r="AE42">
        <v>0</v>
      </c>
      <c r="AF42" t="s">
        <v>216</v>
      </c>
      <c r="AG42" t="s">
        <v>1</v>
      </c>
      <c r="AH42" t="s">
        <v>217</v>
      </c>
      <c r="AI42">
        <v>400</v>
      </c>
      <c r="AJ42" t="s">
        <v>1</v>
      </c>
      <c r="AK42" t="s">
        <v>1</v>
      </c>
      <c r="AL42">
        <v>6999999</v>
      </c>
      <c r="AM42" t="s">
        <v>92</v>
      </c>
      <c r="AN42">
        <v>2952</v>
      </c>
      <c r="AO42" t="s">
        <v>218</v>
      </c>
    </row>
    <row r="43" spans="1:41" x14ac:dyDescent="0.25">
      <c r="A43" t="str">
        <f>VLOOKUP(MONTH(N43),Sheet1!$A$2:$B$13,2,0)</f>
        <v>Nov</v>
      </c>
      <c r="B43" t="str">
        <f>IF(LEFT(AO43,1)="B","CAPEX",IF(LEFT(AO43,1)="C","STOCK",IF(MID(AO43,7,2)="JA","STAFF",IF(MID(AO43,7,1)="H","STAFF",IF(MID(AO43,7,1)="S","STAFF",IF(MID(AO43,7,2)="JV","LOG",IFERROR(VLOOKUP($AO43,[1]!Table14[[New Account Number]:[Filtro2]],9,0),VLOOKUP($AO43,[1]!Table14[[Old Account Number]:[Filtro2]],12,0))))))))</f>
        <v>Aluguéis</v>
      </c>
      <c r="C43" t="str">
        <f>IF(LEFT(AO43,1)="B","CAPEX",IF(LEFT(AO43,1)="C","STOCK",IF(MID(AO43,7,2)="JA","STAFF",IF(MID(AO43,7,1)="H","STAFF",IF(MID(AO43,7,1)="S","STAFF",IF(MID(AO43,7,2)="JV","LOG",IFERROR(VLOOKUP($AO43,[1]!Table14[[New Account Number]:[Filtro2]],10,0),VLOOKUP($AO43,[1]!Table14[[Old Account Number]:[Filtro2]],13,0))))))))</f>
        <v>Total Outras Despesas Fixas</v>
      </c>
      <c r="D43" t="s">
        <v>43</v>
      </c>
      <c r="E43" t="s">
        <v>2</v>
      </c>
      <c r="F43" t="s">
        <v>3</v>
      </c>
      <c r="G43">
        <v>97490</v>
      </c>
      <c r="H43" t="s">
        <v>0</v>
      </c>
      <c r="I43" t="s">
        <v>58</v>
      </c>
      <c r="J43" t="s">
        <v>150</v>
      </c>
      <c r="K43" t="s">
        <v>1</v>
      </c>
      <c r="L43">
        <v>4211321579</v>
      </c>
      <c r="M43">
        <v>9001685135</v>
      </c>
      <c r="N43" s="2">
        <v>45985</v>
      </c>
      <c r="O43" s="2">
        <v>46055</v>
      </c>
      <c r="P43">
        <v>24882</v>
      </c>
      <c r="Q43" s="2">
        <v>45985</v>
      </c>
      <c r="R43">
        <v>5001772580</v>
      </c>
      <c r="S43">
        <v>2025</v>
      </c>
      <c r="T43">
        <v>369752</v>
      </c>
      <c r="U43" t="s">
        <v>1</v>
      </c>
      <c r="V43" s="2"/>
      <c r="W43" t="s">
        <v>1</v>
      </c>
      <c r="AE43">
        <v>0</v>
      </c>
      <c r="AF43" t="s">
        <v>135</v>
      </c>
      <c r="AG43" t="s">
        <v>1</v>
      </c>
      <c r="AH43" t="s">
        <v>134</v>
      </c>
      <c r="AI43">
        <v>24882</v>
      </c>
      <c r="AJ43" t="s">
        <v>1</v>
      </c>
      <c r="AK43" t="s">
        <v>1</v>
      </c>
      <c r="AL43">
        <v>6999999</v>
      </c>
      <c r="AM43" t="s">
        <v>59</v>
      </c>
      <c r="AN43">
        <v>9000</v>
      </c>
      <c r="AO43" t="s">
        <v>54</v>
      </c>
    </row>
    <row r="44" spans="1:41" x14ac:dyDescent="0.25">
      <c r="A44" t="str">
        <f>VLOOKUP(MONTH(N44),Sheet1!$A$2:$B$13,2,0)</f>
        <v>Dez</v>
      </c>
      <c r="B44" t="str">
        <f>IF(LEFT(AO44,1)="B","CAPEX",IF(LEFT(AO44,1)="C","STOCK",IF(MID(AO44,7,2)="JA","STAFF",IF(MID(AO44,7,1)="H","STAFF",IF(MID(AO44,7,1)="S","STAFF",IF(MID(AO44,7,2)="JV","LOG",IFERROR(VLOOKUP($AO44,[1]!Table14[[New Account Number]:[Filtro2]],9,0),VLOOKUP($AO44,[1]!Table14[[Old Account Number]:[Filtro2]],12,0))))))))</f>
        <v>Serv.Prof.Prestados - Serviços</v>
      </c>
      <c r="C44" t="str">
        <f>IF(LEFT(AO44,1)="B","CAPEX",IF(LEFT(AO44,1)="C","STOCK",IF(MID(AO44,7,2)="JA","STAFF",IF(MID(AO44,7,1)="H","STAFF",IF(MID(AO44,7,1)="S","STAFF",IF(MID(AO44,7,2)="JV","LOG",IFERROR(VLOOKUP($AO44,[1]!Table14[[New Account Number]:[Filtro2]],10,0),VLOOKUP($AO44,[1]!Table14[[Old Account Number]:[Filtro2]],13,0))))))))</f>
        <v>Total Outras Despesas Fixas</v>
      </c>
      <c r="D44" t="s">
        <v>43</v>
      </c>
      <c r="E44" t="s">
        <v>2</v>
      </c>
      <c r="F44" t="s">
        <v>3</v>
      </c>
      <c r="G44">
        <v>1645</v>
      </c>
      <c r="H44" t="s">
        <v>0</v>
      </c>
      <c r="I44" t="s">
        <v>97</v>
      </c>
      <c r="J44" t="s">
        <v>153</v>
      </c>
      <c r="K44" t="s">
        <v>1</v>
      </c>
      <c r="L44">
        <v>4211332489</v>
      </c>
      <c r="M44">
        <v>9001624265</v>
      </c>
      <c r="N44" s="2">
        <v>45996</v>
      </c>
      <c r="O44" s="2">
        <v>46024</v>
      </c>
      <c r="P44">
        <v>5450</v>
      </c>
      <c r="Q44" s="2">
        <v>45996</v>
      </c>
      <c r="R44">
        <v>5001860371</v>
      </c>
      <c r="S44">
        <v>2025</v>
      </c>
      <c r="T44">
        <v>371840</v>
      </c>
      <c r="U44" t="s">
        <v>1</v>
      </c>
      <c r="V44" s="2"/>
      <c r="W44" t="s">
        <v>1</v>
      </c>
      <c r="AE44">
        <v>0</v>
      </c>
      <c r="AF44" t="s">
        <v>154</v>
      </c>
      <c r="AG44" t="s">
        <v>1</v>
      </c>
      <c r="AH44" t="s">
        <v>155</v>
      </c>
      <c r="AI44">
        <v>5450</v>
      </c>
      <c r="AJ44" t="s">
        <v>1</v>
      </c>
      <c r="AK44" t="s">
        <v>1</v>
      </c>
      <c r="AL44">
        <v>6999999</v>
      </c>
      <c r="AM44" t="s">
        <v>59</v>
      </c>
      <c r="AN44">
        <v>9000</v>
      </c>
      <c r="AO44" t="s">
        <v>53</v>
      </c>
    </row>
    <row r="45" spans="1:41" x14ac:dyDescent="0.25">
      <c r="A45" t="str">
        <f>VLOOKUP(MONTH(N45),Sheet1!$A$2:$B$13,2,0)</f>
        <v>Dez</v>
      </c>
      <c r="B45" t="str">
        <f>IF(LEFT(AO45,1)="B","CAPEX",IF(LEFT(AO45,1)="C","STOCK",IF(MID(AO45,7,2)="JA","STAFF",IF(MID(AO45,7,1)="H","STAFF",IF(MID(AO45,7,1)="S","STAFF",IF(MID(AO45,7,2)="JV","LOG",IFERROR(VLOOKUP($AO45,[1]!Table14[[New Account Number]:[Filtro2]],9,0),VLOOKUP($AO45,[1]!Table14[[Old Account Number]:[Filtro2]],12,0))))))))</f>
        <v>STAFF</v>
      </c>
      <c r="C45" t="str">
        <f>IF(LEFT(AO45,1)="B","CAPEX",IF(LEFT(AO45,1)="C","STOCK",IF(MID(AO45,7,2)="JA","STAFF",IF(MID(AO45,7,1)="H","STAFF",IF(MID(AO45,7,1)="S","STAFF",IF(MID(AO45,7,2)="JV","LOG",IFERROR(VLOOKUP($AO45,[1]!Table14[[New Account Number]:[Filtro2]],10,0),VLOOKUP($AO45,[1]!Table14[[Old Account Number]:[Filtro2]],13,0))))))))</f>
        <v>STAFF</v>
      </c>
      <c r="D45" t="s">
        <v>43</v>
      </c>
      <c r="E45" t="s">
        <v>2</v>
      </c>
      <c r="F45" t="s">
        <v>3</v>
      </c>
      <c r="G45">
        <v>3</v>
      </c>
      <c r="H45" t="s">
        <v>0</v>
      </c>
      <c r="I45" t="s">
        <v>93</v>
      </c>
      <c r="J45" t="s">
        <v>269</v>
      </c>
      <c r="K45" t="s">
        <v>1</v>
      </c>
      <c r="L45">
        <v>4211333329</v>
      </c>
      <c r="M45">
        <v>2600469069</v>
      </c>
      <c r="N45" s="2">
        <v>45996</v>
      </c>
      <c r="O45" s="2">
        <v>46011</v>
      </c>
      <c r="P45">
        <v>13380</v>
      </c>
      <c r="Q45" s="2">
        <v>46002</v>
      </c>
      <c r="R45">
        <v>5001895564</v>
      </c>
      <c r="S45">
        <v>2025</v>
      </c>
      <c r="T45">
        <v>373098</v>
      </c>
      <c r="U45" t="s">
        <v>1</v>
      </c>
      <c r="V45" s="2"/>
      <c r="W45" t="s">
        <v>1</v>
      </c>
      <c r="AE45">
        <v>0</v>
      </c>
      <c r="AF45" t="s">
        <v>270</v>
      </c>
      <c r="AG45" t="s">
        <v>1</v>
      </c>
      <c r="AH45" t="s">
        <v>1</v>
      </c>
      <c r="AI45">
        <v>13380</v>
      </c>
      <c r="AJ45" t="s">
        <v>1</v>
      </c>
      <c r="AK45" t="s">
        <v>1</v>
      </c>
      <c r="AL45">
        <v>6999999</v>
      </c>
      <c r="AM45" t="s">
        <v>94</v>
      </c>
      <c r="AN45">
        <v>4719</v>
      </c>
      <c r="AO45" t="s">
        <v>247</v>
      </c>
    </row>
    <row r="46" spans="1:41" x14ac:dyDescent="0.25">
      <c r="A46" t="str">
        <f>VLOOKUP(MONTH(N46),Sheet1!$A$2:$B$13,2,0)</f>
        <v>Dez</v>
      </c>
      <c r="B46" t="str">
        <f>IF(LEFT(AO46,1)="B","CAPEX",IF(LEFT(AO46,1)="C","STOCK",IF(MID(AO46,7,2)="JA","STAFF",IF(MID(AO46,7,1)="H","STAFF",IF(MID(AO46,7,1)="S","STAFF",IF(MID(AO46,7,2)="JV","LOG",IFERROR(VLOOKUP($AO46,[1]!Table14[[New Account Number]:[Filtro2]],9,0),VLOOKUP($AO46,[1]!Table14[[Old Account Number]:[Filtro2]],12,0))))))))</f>
        <v>CAPEX</v>
      </c>
      <c r="C46" t="str">
        <f>IF(LEFT(AO46,1)="B","CAPEX",IF(LEFT(AO46,1)="C","STOCK",IF(MID(AO46,7,2)="JA","STAFF",IF(MID(AO46,7,1)="H","STAFF",IF(MID(AO46,7,1)="S","STAFF",IF(MID(AO46,7,2)="JV","LOG",IFERROR(VLOOKUP($AO46,[1]!Table14[[New Account Number]:[Filtro2]],10,0),VLOOKUP($AO46,[1]!Table14[[Old Account Number]:[Filtro2]],13,0))))))))</f>
        <v>CAPEX</v>
      </c>
      <c r="D46" t="s">
        <v>46</v>
      </c>
      <c r="E46" t="s">
        <v>47</v>
      </c>
      <c r="F46" t="s">
        <v>48</v>
      </c>
      <c r="G46">
        <v>69</v>
      </c>
      <c r="H46" t="s">
        <v>0</v>
      </c>
      <c r="I46" t="s">
        <v>58</v>
      </c>
      <c r="J46" t="s">
        <v>205</v>
      </c>
      <c r="K46" t="s">
        <v>1</v>
      </c>
      <c r="L46">
        <v>4211333386</v>
      </c>
      <c r="M46">
        <v>9001687964</v>
      </c>
      <c r="N46" s="2">
        <v>46002</v>
      </c>
      <c r="O46" s="2">
        <v>46062</v>
      </c>
      <c r="P46">
        <v>13860</v>
      </c>
      <c r="Q46" s="2">
        <v>46002</v>
      </c>
      <c r="R46">
        <v>5001895568</v>
      </c>
      <c r="S46">
        <v>2025</v>
      </c>
      <c r="T46">
        <v>373115</v>
      </c>
      <c r="U46" t="s">
        <v>1</v>
      </c>
      <c r="V46" s="2">
        <v>46003</v>
      </c>
      <c r="W46" t="s">
        <v>233</v>
      </c>
      <c r="AA46">
        <v>5001902726</v>
      </c>
      <c r="AB46">
        <v>2025</v>
      </c>
      <c r="AC46">
        <v>9004035132</v>
      </c>
      <c r="AD46">
        <v>2025</v>
      </c>
      <c r="AE46">
        <v>10420979</v>
      </c>
      <c r="AF46" t="s">
        <v>234</v>
      </c>
      <c r="AG46" t="s">
        <v>234</v>
      </c>
      <c r="AH46" t="s">
        <v>1</v>
      </c>
      <c r="AI46">
        <v>0</v>
      </c>
      <c r="AJ46" t="s">
        <v>1</v>
      </c>
      <c r="AK46" t="s">
        <v>1</v>
      </c>
      <c r="AL46">
        <v>6999999</v>
      </c>
      <c r="AM46" t="s">
        <v>59</v>
      </c>
      <c r="AO46" t="s">
        <v>121</v>
      </c>
    </row>
    <row r="47" spans="1:41" x14ac:dyDescent="0.25">
      <c r="A47" t="str">
        <f>VLOOKUP(MONTH(N47),Sheet1!$A$2:$B$13,2,0)</f>
        <v>Dez</v>
      </c>
      <c r="B47" t="str">
        <f>IF(LEFT(AO47,1)="B","CAPEX",IF(LEFT(AO47,1)="C","STOCK",IF(MID(AO47,7,2)="JA","STAFF",IF(MID(AO47,7,1)="H","STAFF",IF(MID(AO47,7,1)="S","STAFF",IF(MID(AO47,7,2)="JV","LOG",IFERROR(VLOOKUP($AO47,[1]!Table14[[New Account Number]:[Filtro2]],9,0),VLOOKUP($AO47,[1]!Table14[[Old Account Number]:[Filtro2]],12,0))))))))</f>
        <v>Aluguéis</v>
      </c>
      <c r="C47" t="str">
        <f>IF(LEFT(AO47,1)="B","CAPEX",IF(LEFT(AO47,1)="C","STOCK",IF(MID(AO47,7,2)="JA","STAFF",IF(MID(AO47,7,1)="H","STAFF",IF(MID(AO47,7,1)="S","STAFF",IF(MID(AO47,7,2)="JV","LOG",IFERROR(VLOOKUP($AO47,[1]!Table14[[New Account Number]:[Filtro2]],10,0),VLOOKUP($AO47,[1]!Table14[[Old Account Number]:[Filtro2]],13,0))))))))</f>
        <v>Total Outras Despesas Fixas</v>
      </c>
      <c r="D47" t="s">
        <v>43</v>
      </c>
      <c r="E47" t="s">
        <v>2</v>
      </c>
      <c r="F47" t="s">
        <v>3</v>
      </c>
      <c r="G47">
        <v>54879</v>
      </c>
      <c r="H47" t="s">
        <v>0</v>
      </c>
      <c r="I47" t="s">
        <v>44</v>
      </c>
      <c r="J47" t="s">
        <v>195</v>
      </c>
      <c r="K47" t="s">
        <v>1</v>
      </c>
      <c r="L47">
        <v>4211323256</v>
      </c>
      <c r="M47">
        <v>9001693768</v>
      </c>
      <c r="N47" s="2">
        <v>46000</v>
      </c>
      <c r="O47" s="2">
        <v>46030</v>
      </c>
      <c r="P47">
        <v>2295</v>
      </c>
      <c r="Q47" s="2">
        <v>46001</v>
      </c>
      <c r="R47">
        <v>5001891383</v>
      </c>
      <c r="S47">
        <v>2025</v>
      </c>
      <c r="T47">
        <v>372923</v>
      </c>
      <c r="U47" t="s">
        <v>1</v>
      </c>
      <c r="V47" s="2"/>
      <c r="W47" t="s">
        <v>1</v>
      </c>
      <c r="AE47">
        <v>0</v>
      </c>
      <c r="AF47" t="s">
        <v>211</v>
      </c>
      <c r="AG47" t="s">
        <v>1</v>
      </c>
      <c r="AH47" t="s">
        <v>213</v>
      </c>
      <c r="AI47">
        <v>2295</v>
      </c>
      <c r="AJ47" t="s">
        <v>1</v>
      </c>
      <c r="AK47" t="s">
        <v>1</v>
      </c>
      <c r="AL47">
        <v>6999999</v>
      </c>
      <c r="AM47" t="s">
        <v>92</v>
      </c>
      <c r="AN47">
        <v>9000</v>
      </c>
      <c r="AO47" t="s">
        <v>54</v>
      </c>
    </row>
    <row r="48" spans="1:41" x14ac:dyDescent="0.25">
      <c r="A48" t="str">
        <f>VLOOKUP(MONTH(N48),Sheet1!$A$2:$B$13,2,0)</f>
        <v>Out</v>
      </c>
      <c r="B48" t="str">
        <f>IF(LEFT(AO48,1)="B","CAPEX",IF(LEFT(AO48,1)="C","STOCK",IF(MID(AO48,7,2)="JA","STAFF",IF(MID(AO48,7,1)="H","STAFF",IF(MID(AO48,7,1)="S","STAFF",IF(MID(AO48,7,2)="JV","LOG",IFERROR(VLOOKUP($AO48,[1]!Table14[[New Account Number]:[Filtro2]],9,0),VLOOKUP($AO48,[1]!Table14[[Old Account Number]:[Filtro2]],12,0))))))))</f>
        <v>Manutenção Terceiros</v>
      </c>
      <c r="C48" t="str">
        <f>IF(LEFT(AO48,1)="B","CAPEX",IF(LEFT(AO48,1)="C","STOCK",IF(MID(AO48,7,2)="JA","STAFF",IF(MID(AO48,7,1)="H","STAFF",IF(MID(AO48,7,1)="S","STAFF",IF(MID(AO48,7,2)="JV","LOG",IFERROR(VLOOKUP($AO48,[1]!Table14[[New Account Number]:[Filtro2]],10,0),VLOOKUP($AO48,[1]!Table14[[Old Account Number]:[Filtro2]],13,0))))))))</f>
        <v>Total Manutenção Variável</v>
      </c>
      <c r="D48" t="s">
        <v>43</v>
      </c>
      <c r="E48" t="s">
        <v>2</v>
      </c>
      <c r="F48" t="s">
        <v>3</v>
      </c>
      <c r="G48">
        <v>143172</v>
      </c>
      <c r="H48" t="s">
        <v>0</v>
      </c>
      <c r="I48" t="s">
        <v>49</v>
      </c>
      <c r="J48" t="s">
        <v>62</v>
      </c>
      <c r="K48" t="s">
        <v>1</v>
      </c>
      <c r="L48">
        <v>4211315568</v>
      </c>
      <c r="M48">
        <v>9001684169</v>
      </c>
      <c r="N48" s="2">
        <v>45950</v>
      </c>
      <c r="O48" s="2">
        <v>46025</v>
      </c>
      <c r="P48">
        <v>7662.98</v>
      </c>
      <c r="Q48" s="2">
        <v>45950</v>
      </c>
      <c r="R48">
        <v>5001620496</v>
      </c>
      <c r="S48">
        <v>2025</v>
      </c>
      <c r="T48">
        <v>363728</v>
      </c>
      <c r="U48" t="s">
        <v>1</v>
      </c>
      <c r="V48" s="2"/>
      <c r="W48" t="s">
        <v>1</v>
      </c>
      <c r="AE48">
        <v>0</v>
      </c>
      <c r="AF48" t="s">
        <v>106</v>
      </c>
      <c r="AG48" t="s">
        <v>1</v>
      </c>
      <c r="AH48" t="s">
        <v>192</v>
      </c>
      <c r="AI48">
        <v>7662.98</v>
      </c>
      <c r="AJ48" t="s">
        <v>1</v>
      </c>
      <c r="AK48" t="s">
        <v>1</v>
      </c>
      <c r="AL48">
        <v>6000031</v>
      </c>
      <c r="AM48" t="s">
        <v>59</v>
      </c>
      <c r="AN48">
        <v>9104</v>
      </c>
      <c r="AO48" t="s">
        <v>50</v>
      </c>
    </row>
    <row r="49" spans="1:41" x14ac:dyDescent="0.25">
      <c r="A49" t="str">
        <f>VLOOKUP(MONTH(N49),Sheet1!$A$2:$B$13,2,0)</f>
        <v>Nov</v>
      </c>
      <c r="B49" t="str">
        <f>IF(LEFT(AO49,1)="B","CAPEX",IF(LEFT(AO49,1)="C","STOCK",IF(MID(AO49,7,2)="JA","STAFF",IF(MID(AO49,7,1)="H","STAFF",IF(MID(AO49,7,1)="S","STAFF",IF(MID(AO49,7,2)="JV","LOG",IFERROR(VLOOKUP($AO49,[1]!Table14[[New Account Number]:[Filtro2]],9,0),VLOOKUP($AO49,[1]!Table14[[Old Account Number]:[Filtro2]],12,0))))))))</f>
        <v>Serv.Prof.Prestados - Serviços</v>
      </c>
      <c r="C49" t="str">
        <f>IF(LEFT(AO49,1)="B","CAPEX",IF(LEFT(AO49,1)="C","STOCK",IF(MID(AO49,7,2)="JA","STAFF",IF(MID(AO49,7,1)="H","STAFF",IF(MID(AO49,7,1)="S","STAFF",IF(MID(AO49,7,2)="JV","LOG",IFERROR(VLOOKUP($AO49,[1]!Table14[[New Account Number]:[Filtro2]],10,0),VLOOKUP($AO49,[1]!Table14[[Old Account Number]:[Filtro2]],13,0))))))))</f>
        <v>Total Outras Despesas Fixas</v>
      </c>
      <c r="D49" t="s">
        <v>46</v>
      </c>
      <c r="E49" t="s">
        <v>47</v>
      </c>
      <c r="F49" t="s">
        <v>48</v>
      </c>
      <c r="G49">
        <v>24813</v>
      </c>
      <c r="H49" t="s">
        <v>0</v>
      </c>
      <c r="I49" t="s">
        <v>159</v>
      </c>
      <c r="J49" t="s">
        <v>160</v>
      </c>
      <c r="K49" t="s">
        <v>1</v>
      </c>
      <c r="L49">
        <v>4211327021</v>
      </c>
      <c r="M49">
        <v>9001686374</v>
      </c>
      <c r="N49" s="2">
        <v>45964</v>
      </c>
      <c r="O49" s="2">
        <v>46024</v>
      </c>
      <c r="P49">
        <v>28307.040000000001</v>
      </c>
      <c r="Q49" s="2">
        <v>45966</v>
      </c>
      <c r="R49">
        <v>5001632745</v>
      </c>
      <c r="S49">
        <v>2025</v>
      </c>
      <c r="T49">
        <v>366408</v>
      </c>
      <c r="U49" t="s">
        <v>1</v>
      </c>
      <c r="V49" s="2">
        <v>45978</v>
      </c>
      <c r="W49" t="s">
        <v>174</v>
      </c>
      <c r="AA49">
        <v>5001713592</v>
      </c>
      <c r="AB49">
        <v>2025</v>
      </c>
      <c r="AC49">
        <v>9004025578</v>
      </c>
      <c r="AD49">
        <v>2025</v>
      </c>
      <c r="AE49">
        <v>10398242</v>
      </c>
      <c r="AF49" t="s">
        <v>162</v>
      </c>
      <c r="AG49" t="s">
        <v>201</v>
      </c>
      <c r="AH49" t="s">
        <v>174</v>
      </c>
      <c r="AI49">
        <v>0</v>
      </c>
      <c r="AJ49" t="s">
        <v>1</v>
      </c>
      <c r="AK49" t="s">
        <v>1</v>
      </c>
      <c r="AL49">
        <v>6000031</v>
      </c>
      <c r="AM49" t="s">
        <v>163</v>
      </c>
      <c r="AN49">
        <v>8000</v>
      </c>
      <c r="AO49" t="s">
        <v>53</v>
      </c>
    </row>
    <row r="50" spans="1:41" x14ac:dyDescent="0.25">
      <c r="A50" t="str">
        <f>VLOOKUP(MONTH(N50),Sheet1!$A$2:$B$13,2,0)</f>
        <v>Dez</v>
      </c>
      <c r="B50" t="str">
        <f>IF(LEFT(AO50,1)="B","CAPEX",IF(LEFT(AO50,1)="C","STOCK",IF(MID(AO50,7,2)="JA","STAFF",IF(MID(AO50,7,1)="H","STAFF",IF(MID(AO50,7,1)="S","STAFF",IF(MID(AO50,7,2)="JV","LOG",IFERROR(VLOOKUP($AO50,[1]!Table14[[New Account Number]:[Filtro2]],9,0),VLOOKUP($AO50,[1]!Table14[[Old Account Number]:[Filtro2]],12,0))))))))</f>
        <v>Serv.Prof.Prestados - Serviços</v>
      </c>
      <c r="C50" t="str">
        <f>IF(LEFT(AO50,1)="B","CAPEX",IF(LEFT(AO50,1)="C","STOCK",IF(MID(AO50,7,2)="JA","STAFF",IF(MID(AO50,7,1)="H","STAFF",IF(MID(AO50,7,1)="S","STAFF",IF(MID(AO50,7,2)="JV","LOG",IFERROR(VLOOKUP($AO50,[1]!Table14[[New Account Number]:[Filtro2]],10,0),VLOOKUP($AO50,[1]!Table14[[Old Account Number]:[Filtro2]],13,0))))))))</f>
        <v>Total Outras Despesas Fixas</v>
      </c>
      <c r="D50" t="s">
        <v>46</v>
      </c>
      <c r="E50" t="s">
        <v>47</v>
      </c>
      <c r="F50" t="s">
        <v>48</v>
      </c>
      <c r="G50">
        <v>27232</v>
      </c>
      <c r="H50" t="s">
        <v>0</v>
      </c>
      <c r="I50" t="s">
        <v>271</v>
      </c>
      <c r="J50" t="s">
        <v>272</v>
      </c>
      <c r="K50" t="s">
        <v>1</v>
      </c>
      <c r="L50">
        <v>4211332535</v>
      </c>
      <c r="M50">
        <v>9001695678</v>
      </c>
      <c r="N50" s="2">
        <v>46000</v>
      </c>
      <c r="O50" s="2">
        <v>46060</v>
      </c>
      <c r="P50">
        <v>5945.25</v>
      </c>
      <c r="Q50" s="2">
        <v>46000</v>
      </c>
      <c r="R50">
        <v>5001879540</v>
      </c>
      <c r="S50">
        <v>2025</v>
      </c>
      <c r="T50">
        <v>372566</v>
      </c>
      <c r="U50" t="s">
        <v>1</v>
      </c>
      <c r="V50" s="2">
        <v>46000</v>
      </c>
      <c r="W50" t="s">
        <v>273</v>
      </c>
      <c r="AA50">
        <v>5001878516</v>
      </c>
      <c r="AB50">
        <v>2025</v>
      </c>
      <c r="AC50">
        <v>9004033510</v>
      </c>
      <c r="AD50">
        <v>2025</v>
      </c>
      <c r="AE50">
        <v>10417492</v>
      </c>
      <c r="AF50" t="s">
        <v>274</v>
      </c>
      <c r="AG50" t="s">
        <v>274</v>
      </c>
      <c r="AH50" t="s">
        <v>273</v>
      </c>
      <c r="AI50">
        <v>0</v>
      </c>
      <c r="AJ50" t="s">
        <v>1</v>
      </c>
      <c r="AK50" t="s">
        <v>1</v>
      </c>
      <c r="AL50">
        <v>6999999</v>
      </c>
      <c r="AM50" t="s">
        <v>275</v>
      </c>
      <c r="AN50">
        <v>2956</v>
      </c>
      <c r="AO50" t="s">
        <v>53</v>
      </c>
    </row>
    <row r="51" spans="1:41" x14ac:dyDescent="0.25">
      <c r="A51" t="str">
        <f>VLOOKUP(MONTH(N51),Sheet1!$A$2:$B$13,2,0)</f>
        <v>Dez</v>
      </c>
      <c r="B51" t="str">
        <f>IF(LEFT(AO51,1)="B","CAPEX",IF(LEFT(AO51,1)="C","STOCK",IF(MID(AO51,7,2)="JA","STAFF",IF(MID(AO51,7,1)="H","STAFF",IF(MID(AO51,7,1)="S","STAFF",IF(MID(AO51,7,2)="JV","LOG",IFERROR(VLOOKUP($AO51,[1]!Table14[[New Account Number]:[Filtro2]],9,0),VLOOKUP($AO51,[1]!Table14[[Old Account Number]:[Filtro2]],12,0))))))))</f>
        <v>Aluguéis</v>
      </c>
      <c r="C51" t="str">
        <f>IF(LEFT(AO51,1)="B","CAPEX",IF(LEFT(AO51,1)="C","STOCK",IF(MID(AO51,7,2)="JA","STAFF",IF(MID(AO51,7,1)="H","STAFF",IF(MID(AO51,7,1)="S","STAFF",IF(MID(AO51,7,2)="JV","LOG",IFERROR(VLOOKUP($AO51,[1]!Table14[[New Account Number]:[Filtro2]],10,0),VLOOKUP($AO51,[1]!Table14[[Old Account Number]:[Filtro2]],13,0))))))))</f>
        <v>Total Outras Despesas Fixas</v>
      </c>
      <c r="D51" t="s">
        <v>43</v>
      </c>
      <c r="E51" t="s">
        <v>2</v>
      </c>
      <c r="F51" t="s">
        <v>3</v>
      </c>
      <c r="G51">
        <v>54878</v>
      </c>
      <c r="H51" t="s">
        <v>0</v>
      </c>
      <c r="I51" t="s">
        <v>49</v>
      </c>
      <c r="J51" t="s">
        <v>195</v>
      </c>
      <c r="K51" t="s">
        <v>1</v>
      </c>
      <c r="L51">
        <v>4211323256</v>
      </c>
      <c r="M51">
        <v>9001691004</v>
      </c>
      <c r="N51" s="2">
        <v>46000</v>
      </c>
      <c r="O51" s="2">
        <v>46030</v>
      </c>
      <c r="P51">
        <v>5700</v>
      </c>
      <c r="Q51" s="2">
        <v>46001</v>
      </c>
      <c r="R51">
        <v>5001891384</v>
      </c>
      <c r="S51">
        <v>2025</v>
      </c>
      <c r="T51">
        <v>372921</v>
      </c>
      <c r="U51" t="s">
        <v>1</v>
      </c>
      <c r="V51" s="2"/>
      <c r="W51" t="s">
        <v>1</v>
      </c>
      <c r="AE51">
        <v>0</v>
      </c>
      <c r="AF51" t="s">
        <v>106</v>
      </c>
      <c r="AG51" t="s">
        <v>1</v>
      </c>
      <c r="AH51" t="s">
        <v>192</v>
      </c>
      <c r="AI51">
        <v>5700</v>
      </c>
      <c r="AJ51" t="s">
        <v>1</v>
      </c>
      <c r="AK51" t="s">
        <v>1</v>
      </c>
      <c r="AL51">
        <v>6999999</v>
      </c>
      <c r="AM51" t="s">
        <v>59</v>
      </c>
      <c r="AN51">
        <v>9022</v>
      </c>
      <c r="AO51" t="s">
        <v>54</v>
      </c>
    </row>
    <row r="52" spans="1:41" x14ac:dyDescent="0.25">
      <c r="A52" t="str">
        <f>VLOOKUP(MONTH(N52),Sheet1!$A$2:$B$13,2,0)</f>
        <v>Dez</v>
      </c>
      <c r="B52" t="str">
        <f>IF(LEFT(AO52,1)="B","CAPEX",IF(LEFT(AO52,1)="C","STOCK",IF(MID(AO52,7,2)="JA","STAFF",IF(MID(AO52,7,1)="H","STAFF",IF(MID(AO52,7,1)="S","STAFF",IF(MID(AO52,7,2)="JV","LOG",IFERROR(VLOOKUP($AO52,[1]!Table14[[New Account Number]:[Filtro2]],9,0),VLOOKUP($AO52,[1]!Table14[[Old Account Number]:[Filtro2]],12,0))))))))</f>
        <v>STAFF</v>
      </c>
      <c r="C52" t="str">
        <f>IF(LEFT(AO52,1)="B","CAPEX",IF(LEFT(AO52,1)="C","STOCK",IF(MID(AO52,7,2)="JA","STAFF",IF(MID(AO52,7,1)="H","STAFF",IF(MID(AO52,7,1)="S","STAFF",IF(MID(AO52,7,2)="JV","LOG",IFERROR(VLOOKUP($AO52,[1]!Table14[[New Account Number]:[Filtro2]],10,0),VLOOKUP($AO52,[1]!Table14[[Old Account Number]:[Filtro2]],13,0))))))))</f>
        <v>STAFF</v>
      </c>
      <c r="D52" t="s">
        <v>43</v>
      </c>
      <c r="E52" t="s">
        <v>2</v>
      </c>
      <c r="F52" t="s">
        <v>3</v>
      </c>
      <c r="G52">
        <v>220000</v>
      </c>
      <c r="H52" t="s">
        <v>0</v>
      </c>
      <c r="I52" t="s">
        <v>93</v>
      </c>
      <c r="J52" t="s">
        <v>276</v>
      </c>
      <c r="K52" t="s">
        <v>1</v>
      </c>
      <c r="L52">
        <v>4211332327</v>
      </c>
      <c r="M52">
        <v>9001688197</v>
      </c>
      <c r="N52" s="2">
        <v>45992</v>
      </c>
      <c r="O52" s="2">
        <v>46022</v>
      </c>
      <c r="P52">
        <v>28000</v>
      </c>
      <c r="Q52" s="2">
        <v>46001</v>
      </c>
      <c r="R52">
        <v>5001891385</v>
      </c>
      <c r="S52">
        <v>2025</v>
      </c>
      <c r="T52">
        <v>372922</v>
      </c>
      <c r="U52" t="s">
        <v>1</v>
      </c>
      <c r="V52" s="2"/>
      <c r="W52" t="s">
        <v>1</v>
      </c>
      <c r="AE52">
        <v>0</v>
      </c>
      <c r="AF52" t="s">
        <v>162</v>
      </c>
      <c r="AG52" t="s">
        <v>1</v>
      </c>
      <c r="AH52" t="s">
        <v>174</v>
      </c>
      <c r="AI52">
        <v>28000</v>
      </c>
      <c r="AJ52" t="s">
        <v>1</v>
      </c>
      <c r="AK52" t="s">
        <v>1</v>
      </c>
      <c r="AL52">
        <v>6999999</v>
      </c>
      <c r="AM52" t="s">
        <v>94</v>
      </c>
      <c r="AN52">
        <v>4000</v>
      </c>
      <c r="AO52" t="s">
        <v>231</v>
      </c>
    </row>
    <row r="53" spans="1:41" x14ac:dyDescent="0.25">
      <c r="A53" t="str">
        <f>VLOOKUP(MONTH(N53),Sheet1!$A$2:$B$13,2,0)</f>
        <v>Dez</v>
      </c>
      <c r="B53" t="str">
        <f>IF(LEFT(AO53,1)="B","CAPEX",IF(LEFT(AO53,1)="C","STOCK",IF(MID(AO53,7,2)="JA","STAFF",IF(MID(AO53,7,1)="H","STAFF",IF(MID(AO53,7,1)="S","STAFF",IF(MID(AO53,7,2)="JV","LOG",IFERROR(VLOOKUP($AO53,[1]!Table14[[New Account Number]:[Filtro2]],9,0),VLOOKUP($AO53,[1]!Table14[[Old Account Number]:[Filtro2]],12,0))))))))</f>
        <v>STAFF</v>
      </c>
      <c r="C53" t="str">
        <f>IF(LEFT(AO53,1)="B","CAPEX",IF(LEFT(AO53,1)="C","STOCK",IF(MID(AO53,7,2)="JA","STAFF",IF(MID(AO53,7,1)="H","STAFF",IF(MID(AO53,7,1)="S","STAFF",IF(MID(AO53,7,2)="JV","LOG",IFERROR(VLOOKUP($AO53,[1]!Table14[[New Account Number]:[Filtro2]],10,0),VLOOKUP($AO53,[1]!Table14[[Old Account Number]:[Filtro2]],13,0))))))))</f>
        <v>STAFF</v>
      </c>
      <c r="D53" t="s">
        <v>46</v>
      </c>
      <c r="E53" t="s">
        <v>47</v>
      </c>
      <c r="F53" t="s">
        <v>48</v>
      </c>
      <c r="G53">
        <v>54888</v>
      </c>
      <c r="H53" t="s">
        <v>0</v>
      </c>
      <c r="I53" t="s">
        <v>277</v>
      </c>
      <c r="J53" t="s">
        <v>195</v>
      </c>
      <c r="K53" t="s">
        <v>1</v>
      </c>
      <c r="L53">
        <v>4211323256</v>
      </c>
      <c r="M53">
        <v>2600469898</v>
      </c>
      <c r="N53" s="2">
        <v>46001</v>
      </c>
      <c r="O53" s="2">
        <v>46031</v>
      </c>
      <c r="P53">
        <v>2600</v>
      </c>
      <c r="Q53" s="2">
        <v>46001</v>
      </c>
      <c r="R53">
        <v>5001891386</v>
      </c>
      <c r="S53">
        <v>2025</v>
      </c>
      <c r="T53">
        <v>372924</v>
      </c>
      <c r="U53" t="s">
        <v>1</v>
      </c>
      <c r="V53" s="2">
        <v>46003</v>
      </c>
      <c r="W53" t="s">
        <v>173</v>
      </c>
      <c r="AA53">
        <v>5001902919</v>
      </c>
      <c r="AB53">
        <v>2025</v>
      </c>
      <c r="AC53">
        <v>9004035164</v>
      </c>
      <c r="AD53">
        <v>2025</v>
      </c>
      <c r="AE53">
        <v>10421038</v>
      </c>
      <c r="AF53" t="s">
        <v>172</v>
      </c>
      <c r="AG53" t="s">
        <v>172</v>
      </c>
      <c r="AH53" t="s">
        <v>173</v>
      </c>
      <c r="AI53">
        <v>0</v>
      </c>
      <c r="AJ53" t="s">
        <v>1</v>
      </c>
      <c r="AK53" t="s">
        <v>1</v>
      </c>
      <c r="AL53">
        <v>6999999</v>
      </c>
      <c r="AM53" t="s">
        <v>278</v>
      </c>
      <c r="AN53">
        <v>4050</v>
      </c>
      <c r="AO53" t="s">
        <v>279</v>
      </c>
    </row>
    <row r="54" spans="1:41" x14ac:dyDescent="0.25">
      <c r="A54" t="str">
        <f>VLOOKUP(MONTH(N54),Sheet1!$A$2:$B$13,2,0)</f>
        <v>Dez</v>
      </c>
      <c r="B54" t="str">
        <f>IF(LEFT(AO54,1)="B","CAPEX",IF(LEFT(AO54,1)="C","STOCK",IF(MID(AO54,7,2)="JA","STAFF",IF(MID(AO54,7,1)="H","STAFF",IF(MID(AO54,7,1)="S","STAFF",IF(MID(AO54,7,2)="JV","LOG",IFERROR(VLOOKUP($AO54,[1]!Table14[[New Account Number]:[Filtro2]],9,0),VLOOKUP($AO54,[1]!Table14[[Old Account Number]:[Filtro2]],12,0))))))))</f>
        <v>CAPEX</v>
      </c>
      <c r="C54" t="str">
        <f>IF(LEFT(AO54,1)="B","CAPEX",IF(LEFT(AO54,1)="C","STOCK",IF(MID(AO54,7,2)="JA","STAFF",IF(MID(AO54,7,1)="H","STAFF",IF(MID(AO54,7,1)="S","STAFF",IF(MID(AO54,7,2)="JV","LOG",IFERROR(VLOOKUP($AO54,[1]!Table14[[New Account Number]:[Filtro2]],10,0),VLOOKUP($AO54,[1]!Table14[[Old Account Number]:[Filtro2]],13,0))))))))</f>
        <v>CAPEX</v>
      </c>
      <c r="D54" t="s">
        <v>46</v>
      </c>
      <c r="E54" t="s">
        <v>47</v>
      </c>
      <c r="F54" t="s">
        <v>48</v>
      </c>
      <c r="G54">
        <v>195</v>
      </c>
      <c r="H54" t="s">
        <v>0</v>
      </c>
      <c r="I54" t="s">
        <v>58</v>
      </c>
      <c r="J54" t="s">
        <v>280</v>
      </c>
      <c r="K54" t="s">
        <v>1</v>
      </c>
      <c r="L54">
        <v>4211332900</v>
      </c>
      <c r="M54">
        <v>2600466458</v>
      </c>
      <c r="N54" s="2">
        <v>46002</v>
      </c>
      <c r="O54" s="2">
        <v>46032</v>
      </c>
      <c r="P54">
        <v>2924</v>
      </c>
      <c r="Q54" s="2">
        <v>46002</v>
      </c>
      <c r="R54">
        <v>5001894469</v>
      </c>
      <c r="S54">
        <v>2025</v>
      </c>
      <c r="T54">
        <v>373107</v>
      </c>
      <c r="U54" t="s">
        <v>1</v>
      </c>
      <c r="V54" s="2">
        <v>46003</v>
      </c>
      <c r="W54" t="s">
        <v>233</v>
      </c>
      <c r="AA54">
        <v>5001902727</v>
      </c>
      <c r="AB54">
        <v>2025</v>
      </c>
      <c r="AC54">
        <v>9004035131</v>
      </c>
      <c r="AD54">
        <v>2025</v>
      </c>
      <c r="AE54">
        <v>10420978</v>
      </c>
      <c r="AF54" t="s">
        <v>234</v>
      </c>
      <c r="AG54" t="s">
        <v>234</v>
      </c>
      <c r="AH54" t="s">
        <v>1</v>
      </c>
      <c r="AI54">
        <v>0</v>
      </c>
      <c r="AJ54" t="s">
        <v>1</v>
      </c>
      <c r="AK54" t="s">
        <v>1</v>
      </c>
      <c r="AL54">
        <v>6999999</v>
      </c>
      <c r="AM54" t="s">
        <v>59</v>
      </c>
      <c r="AO54" t="s">
        <v>121</v>
      </c>
    </row>
    <row r="55" spans="1:41" x14ac:dyDescent="0.25">
      <c r="A55" t="str">
        <f>VLOOKUP(MONTH(N55),Sheet1!$A$2:$B$13,2,0)</f>
        <v>Dez</v>
      </c>
      <c r="B55" t="str">
        <f>IF(LEFT(AO55,1)="B","CAPEX",IF(LEFT(AO55,1)="C","STOCK",IF(MID(AO55,7,2)="JA","STAFF",IF(MID(AO55,7,1)="H","STAFF",IF(MID(AO55,7,1)="S","STAFF",IF(MID(AO55,7,2)="JV","LOG",IFERROR(VLOOKUP($AO55,[1]!Table14[[New Account Number]:[Filtro2]],9,0),VLOOKUP($AO55,[1]!Table14[[Old Account Number]:[Filtro2]],12,0))))))))</f>
        <v>Manutenção Terceiros</v>
      </c>
      <c r="C55" t="str">
        <f>IF(LEFT(AO55,1)="B","CAPEX",IF(LEFT(AO55,1)="C","STOCK",IF(MID(AO55,7,2)="JA","STAFF",IF(MID(AO55,7,1)="H","STAFF",IF(MID(AO55,7,1)="S","STAFF",IF(MID(AO55,7,2)="JV","LOG",IFERROR(VLOOKUP($AO55,[1]!Table14[[New Account Number]:[Filtro2]],10,0),VLOOKUP($AO55,[1]!Table14[[Old Account Number]:[Filtro2]],13,0))))))))</f>
        <v>Total Manutenção Variável</v>
      </c>
      <c r="D55" t="s">
        <v>43</v>
      </c>
      <c r="E55" t="s">
        <v>2</v>
      </c>
      <c r="F55" t="s">
        <v>3</v>
      </c>
      <c r="G55">
        <v>210</v>
      </c>
      <c r="H55" t="s">
        <v>0</v>
      </c>
      <c r="I55" t="s">
        <v>49</v>
      </c>
      <c r="J55" t="s">
        <v>235</v>
      </c>
      <c r="K55" t="s">
        <v>1</v>
      </c>
      <c r="L55">
        <v>4211329397</v>
      </c>
      <c r="M55">
        <v>2600466880</v>
      </c>
      <c r="N55" s="2">
        <v>45996</v>
      </c>
      <c r="O55" s="2">
        <v>46024</v>
      </c>
      <c r="P55">
        <v>215000</v>
      </c>
      <c r="Q55" s="2">
        <v>45996</v>
      </c>
      <c r="R55">
        <v>5001862706</v>
      </c>
      <c r="S55">
        <v>2025</v>
      </c>
      <c r="T55">
        <v>371931</v>
      </c>
      <c r="U55" t="s">
        <v>1</v>
      </c>
      <c r="V55" s="2"/>
      <c r="W55" t="s">
        <v>1</v>
      </c>
      <c r="AE55">
        <v>0</v>
      </c>
      <c r="AF55" t="s">
        <v>51</v>
      </c>
      <c r="AG55" t="s">
        <v>1</v>
      </c>
      <c r="AH55" t="s">
        <v>52</v>
      </c>
      <c r="AI55">
        <v>215000</v>
      </c>
      <c r="AJ55" t="s">
        <v>1</v>
      </c>
      <c r="AK55" t="s">
        <v>1</v>
      </c>
      <c r="AL55">
        <v>6999999</v>
      </c>
      <c r="AM55" t="s">
        <v>59</v>
      </c>
      <c r="AN55">
        <v>9203</v>
      </c>
      <c r="AO55" t="s">
        <v>50</v>
      </c>
    </row>
    <row r="56" spans="1:41" x14ac:dyDescent="0.25">
      <c r="A56" t="str">
        <f>VLOOKUP(MONTH(N56),Sheet1!$A$2:$B$13,2,0)</f>
        <v>Dez</v>
      </c>
      <c r="B56" t="str">
        <f>IF(LEFT(AO56,1)="B","CAPEX",IF(LEFT(AO56,1)="C","STOCK",IF(MID(AO56,7,2)="JA","STAFF",IF(MID(AO56,7,1)="H","STAFF",IF(MID(AO56,7,1)="S","STAFF",IF(MID(AO56,7,2)="JV","LOG",IFERROR(VLOOKUP($AO56,[1]!Table14[[New Account Number]:[Filtro2]],9,0),VLOOKUP($AO56,[1]!Table14[[Old Account Number]:[Filtro2]],12,0))))))))</f>
        <v>Aluguéis</v>
      </c>
      <c r="C56" t="str">
        <f>IF(LEFT(AO56,1)="B","CAPEX",IF(LEFT(AO56,1)="C","STOCK",IF(MID(AO56,7,2)="JA","STAFF",IF(MID(AO56,7,1)="H","STAFF",IF(MID(AO56,7,1)="S","STAFF",IF(MID(AO56,7,2)="JV","LOG",IFERROR(VLOOKUP($AO56,[1]!Table14[[New Account Number]:[Filtro2]],10,0),VLOOKUP($AO56,[1]!Table14[[Old Account Number]:[Filtro2]],13,0))))))))</f>
        <v>Total Outras Despesas Fixas</v>
      </c>
      <c r="D56" t="s">
        <v>43</v>
      </c>
      <c r="E56" t="s">
        <v>2</v>
      </c>
      <c r="F56" t="s">
        <v>3</v>
      </c>
      <c r="G56">
        <v>9384</v>
      </c>
      <c r="H56" t="s">
        <v>0</v>
      </c>
      <c r="I56" t="s">
        <v>49</v>
      </c>
      <c r="J56" t="s">
        <v>158</v>
      </c>
      <c r="K56" t="s">
        <v>1</v>
      </c>
      <c r="L56">
        <v>4211326362</v>
      </c>
      <c r="M56">
        <v>9001696088</v>
      </c>
      <c r="N56" s="2">
        <v>46002</v>
      </c>
      <c r="O56" s="2">
        <v>46092</v>
      </c>
      <c r="P56">
        <v>169926.94</v>
      </c>
      <c r="Q56" s="2">
        <v>46002</v>
      </c>
      <c r="R56">
        <v>5001899100</v>
      </c>
      <c r="S56">
        <v>2025</v>
      </c>
      <c r="T56">
        <v>373106</v>
      </c>
      <c r="U56" t="s">
        <v>1</v>
      </c>
      <c r="V56" s="2"/>
      <c r="W56" t="s">
        <v>1</v>
      </c>
      <c r="AE56">
        <v>0</v>
      </c>
      <c r="AF56" t="s">
        <v>144</v>
      </c>
      <c r="AG56" t="s">
        <v>1</v>
      </c>
      <c r="AH56" t="s">
        <v>145</v>
      </c>
      <c r="AI56">
        <v>169926.98</v>
      </c>
      <c r="AJ56" t="s">
        <v>1</v>
      </c>
      <c r="AK56" t="s">
        <v>1</v>
      </c>
      <c r="AL56">
        <v>6999999</v>
      </c>
      <c r="AM56" t="s">
        <v>59</v>
      </c>
      <c r="AN56">
        <v>9000</v>
      </c>
      <c r="AO56" t="s">
        <v>146</v>
      </c>
    </row>
    <row r="57" spans="1:41" x14ac:dyDescent="0.25">
      <c r="A57" t="str">
        <f>VLOOKUP(MONTH(N57),Sheet1!$A$2:$B$13,2,0)</f>
        <v>Dez</v>
      </c>
      <c r="B57" t="str">
        <f>IF(LEFT(AO57,1)="B","CAPEX",IF(LEFT(AO57,1)="C","STOCK",IF(MID(AO57,7,2)="JA","STAFF",IF(MID(AO57,7,1)="H","STAFF",IF(MID(AO57,7,1)="S","STAFF",IF(MID(AO57,7,2)="JV","LOG",IFERROR(VLOOKUP($AO57,[1]!Table14[[New Account Number]:[Filtro2]],9,0),VLOOKUP($AO57,[1]!Table14[[Old Account Number]:[Filtro2]],12,0))))))))</f>
        <v>CAPEX</v>
      </c>
      <c r="C57" t="str">
        <f>IF(LEFT(AO57,1)="B","CAPEX",IF(LEFT(AO57,1)="C","STOCK",IF(MID(AO57,7,2)="JA","STAFF",IF(MID(AO57,7,1)="H","STAFF",IF(MID(AO57,7,1)="S","STAFF",IF(MID(AO57,7,2)="JV","LOG",IFERROR(VLOOKUP($AO57,[1]!Table14[[New Account Number]:[Filtro2]],10,0),VLOOKUP($AO57,[1]!Table14[[Old Account Number]:[Filtro2]],13,0))))))))</f>
        <v>CAPEX</v>
      </c>
      <c r="D57" t="s">
        <v>43</v>
      </c>
      <c r="E57" t="s">
        <v>2</v>
      </c>
      <c r="F57" t="s">
        <v>3</v>
      </c>
      <c r="G57">
        <v>21957</v>
      </c>
      <c r="H57" t="s">
        <v>0</v>
      </c>
      <c r="I57" t="s">
        <v>58</v>
      </c>
      <c r="J57" t="s">
        <v>143</v>
      </c>
      <c r="K57" t="s">
        <v>1</v>
      </c>
      <c r="L57">
        <v>4251304263</v>
      </c>
      <c r="M57">
        <v>9001696395</v>
      </c>
      <c r="N57" s="2">
        <v>46003</v>
      </c>
      <c r="O57" s="2">
        <v>46048</v>
      </c>
      <c r="P57">
        <v>66416.7</v>
      </c>
      <c r="Q57" s="2">
        <v>46003</v>
      </c>
      <c r="R57">
        <v>5001906161</v>
      </c>
      <c r="S57">
        <v>2025</v>
      </c>
      <c r="T57">
        <v>373345</v>
      </c>
      <c r="U57" t="s">
        <v>1</v>
      </c>
      <c r="V57" s="2"/>
      <c r="W57" t="s">
        <v>1</v>
      </c>
      <c r="AE57">
        <v>0</v>
      </c>
      <c r="AF57" t="s">
        <v>135</v>
      </c>
      <c r="AG57" t="s">
        <v>1</v>
      </c>
      <c r="AH57" t="s">
        <v>134</v>
      </c>
      <c r="AI57">
        <v>66416.7</v>
      </c>
      <c r="AJ57" t="s">
        <v>1</v>
      </c>
      <c r="AK57" t="s">
        <v>1</v>
      </c>
      <c r="AL57">
        <v>6000009</v>
      </c>
      <c r="AM57" t="s">
        <v>59</v>
      </c>
      <c r="AO57" t="s">
        <v>121</v>
      </c>
    </row>
    <row r="58" spans="1:41" x14ac:dyDescent="0.25">
      <c r="A58" t="str">
        <f>VLOOKUP(MONTH(N58),Sheet1!$A$2:$B$13,2,0)</f>
        <v>Dez</v>
      </c>
      <c r="B58" t="str">
        <f>IF(LEFT(AO58,1)="B","CAPEX",IF(LEFT(AO58,1)="C","STOCK",IF(MID(AO58,7,2)="JA","STAFF",IF(MID(AO58,7,1)="H","STAFF",IF(MID(AO58,7,1)="S","STAFF",IF(MID(AO58,7,2)="JV","LOG",IFERROR(VLOOKUP($AO58,[1]!Table14[[New Account Number]:[Filtro2]],9,0),VLOOKUP($AO58,[1]!Table14[[Old Account Number]:[Filtro2]],12,0))))))))</f>
        <v>CAPEX</v>
      </c>
      <c r="C58" t="str">
        <f>IF(LEFT(AO58,1)="B","CAPEX",IF(LEFT(AO58,1)="C","STOCK",IF(MID(AO58,7,2)="JA","STAFF",IF(MID(AO58,7,1)="H","STAFF",IF(MID(AO58,7,1)="S","STAFF",IF(MID(AO58,7,2)="JV","LOG",IFERROR(VLOOKUP($AO58,[1]!Table14[[New Account Number]:[Filtro2]],10,0),VLOOKUP($AO58,[1]!Table14[[Old Account Number]:[Filtro2]],13,0))))))))</f>
        <v>CAPEX</v>
      </c>
      <c r="D58" t="s">
        <v>46</v>
      </c>
      <c r="E58" t="s">
        <v>47</v>
      </c>
      <c r="F58" t="s">
        <v>48</v>
      </c>
      <c r="G58">
        <v>229</v>
      </c>
      <c r="H58" t="s">
        <v>0</v>
      </c>
      <c r="I58" t="s">
        <v>58</v>
      </c>
      <c r="J58" t="s">
        <v>281</v>
      </c>
      <c r="K58" t="s">
        <v>1</v>
      </c>
      <c r="L58">
        <v>4211327217</v>
      </c>
      <c r="M58">
        <v>2600464159</v>
      </c>
      <c r="N58" s="2">
        <v>46002</v>
      </c>
      <c r="O58" s="2">
        <v>46030</v>
      </c>
      <c r="P58">
        <v>22423.84</v>
      </c>
      <c r="Q58" s="2">
        <v>46003</v>
      </c>
      <c r="R58">
        <v>5001901920</v>
      </c>
      <c r="S58">
        <v>2025</v>
      </c>
      <c r="T58">
        <v>373295</v>
      </c>
      <c r="U58" t="s">
        <v>1</v>
      </c>
      <c r="V58" s="2">
        <v>46003</v>
      </c>
      <c r="W58" t="s">
        <v>282</v>
      </c>
      <c r="AA58">
        <v>5001900018</v>
      </c>
      <c r="AB58">
        <v>2025</v>
      </c>
      <c r="AC58">
        <v>9004034980</v>
      </c>
      <c r="AD58">
        <v>2025</v>
      </c>
      <c r="AE58">
        <v>10420628</v>
      </c>
      <c r="AF58" t="s">
        <v>283</v>
      </c>
      <c r="AG58" t="s">
        <v>283</v>
      </c>
      <c r="AH58" t="s">
        <v>282</v>
      </c>
      <c r="AI58">
        <v>0</v>
      </c>
      <c r="AJ58" t="s">
        <v>1</v>
      </c>
      <c r="AK58" t="s">
        <v>1</v>
      </c>
      <c r="AL58">
        <v>6999999</v>
      </c>
      <c r="AM58" t="s">
        <v>59</v>
      </c>
      <c r="AO58" t="s">
        <v>121</v>
      </c>
    </row>
    <row r="59" spans="1:41" x14ac:dyDescent="0.25">
      <c r="A59" t="str">
        <f>VLOOKUP(MONTH(N59),Sheet1!$A$2:$B$13,2,0)</f>
        <v>Nov</v>
      </c>
      <c r="B59" t="str">
        <f>IF(LEFT(AO59,1)="B","CAPEX",IF(LEFT(AO59,1)="C","STOCK",IF(MID(AO59,7,2)="JA","STAFF",IF(MID(AO59,7,1)="H","STAFF",IF(MID(AO59,7,1)="S","STAFF",IF(MID(AO59,7,2)="JV","LOG",IFERROR(VLOOKUP($AO59,[1]!Table14[[New Account Number]:[Filtro2]],9,0),VLOOKUP($AO59,[1]!Table14[[Old Account Number]:[Filtro2]],12,0))))))))</f>
        <v>Manutenção Terceiros</v>
      </c>
      <c r="C59" t="str">
        <f>IF(LEFT(AO59,1)="B","CAPEX",IF(LEFT(AO59,1)="C","STOCK",IF(MID(AO59,7,2)="JA","STAFF",IF(MID(AO59,7,1)="H","STAFF",IF(MID(AO59,7,1)="S","STAFF",IF(MID(AO59,7,2)="JV","LOG",IFERROR(VLOOKUP($AO59,[1]!Table14[[New Account Number]:[Filtro2]],10,0),VLOOKUP($AO59,[1]!Table14[[Old Account Number]:[Filtro2]],13,0))))))))</f>
        <v>Total Manutenção Variável</v>
      </c>
      <c r="D59" t="s">
        <v>43</v>
      </c>
      <c r="E59" t="s">
        <v>2</v>
      </c>
      <c r="F59" t="s">
        <v>3</v>
      </c>
      <c r="G59">
        <v>147158</v>
      </c>
      <c r="H59" t="s">
        <v>0</v>
      </c>
      <c r="I59" t="s">
        <v>49</v>
      </c>
      <c r="J59" t="s">
        <v>62</v>
      </c>
      <c r="K59" t="s">
        <v>1</v>
      </c>
      <c r="L59">
        <v>4211315568</v>
      </c>
      <c r="M59">
        <v>9001691007</v>
      </c>
      <c r="N59" s="2">
        <v>45985</v>
      </c>
      <c r="O59" s="2">
        <v>46060</v>
      </c>
      <c r="P59">
        <v>40276.74</v>
      </c>
      <c r="Q59" s="2">
        <v>45985</v>
      </c>
      <c r="R59">
        <v>5001772780</v>
      </c>
      <c r="S59">
        <v>2025</v>
      </c>
      <c r="T59">
        <v>369763</v>
      </c>
      <c r="U59" t="s">
        <v>1</v>
      </c>
      <c r="V59" s="2"/>
      <c r="W59" t="s">
        <v>1</v>
      </c>
      <c r="AE59">
        <v>0</v>
      </c>
      <c r="AF59" t="s">
        <v>106</v>
      </c>
      <c r="AG59" t="s">
        <v>1</v>
      </c>
      <c r="AH59" t="s">
        <v>192</v>
      </c>
      <c r="AI59">
        <v>40276.74</v>
      </c>
      <c r="AJ59" t="s">
        <v>1</v>
      </c>
      <c r="AK59" t="s">
        <v>1</v>
      </c>
      <c r="AL59">
        <v>6000031</v>
      </c>
      <c r="AM59" t="s">
        <v>59</v>
      </c>
      <c r="AN59">
        <v>9013</v>
      </c>
      <c r="AO59" t="s">
        <v>50</v>
      </c>
    </row>
    <row r="60" spans="1:41" x14ac:dyDescent="0.25">
      <c r="A60" t="str">
        <f>VLOOKUP(MONTH(N60),Sheet1!$A$2:$B$13,2,0)</f>
        <v>Dez</v>
      </c>
      <c r="B60" t="str">
        <f>IF(LEFT(AO60,1)="B","CAPEX",IF(LEFT(AO60,1)="C","STOCK",IF(MID(AO60,7,2)="JA","STAFF",IF(MID(AO60,7,1)="H","STAFF",IF(MID(AO60,7,1)="S","STAFF",IF(MID(AO60,7,2)="JV","LOG",IFERROR(VLOOKUP($AO60,[1]!Table14[[New Account Number]:[Filtro2]],9,0),VLOOKUP($AO60,[1]!Table14[[Old Account Number]:[Filtro2]],12,0))))))))</f>
        <v>STAFF</v>
      </c>
      <c r="C60" t="str">
        <f>IF(LEFT(AO60,1)="B","CAPEX",IF(LEFT(AO60,1)="C","STOCK",IF(MID(AO60,7,2)="JA","STAFF",IF(MID(AO60,7,1)="H","STAFF",IF(MID(AO60,7,1)="S","STAFF",IF(MID(AO60,7,2)="JV","LOG",IFERROR(VLOOKUP($AO60,[1]!Table14[[New Account Number]:[Filtro2]],10,0),VLOOKUP($AO60,[1]!Table14[[Old Account Number]:[Filtro2]],13,0))))))))</f>
        <v>STAFF</v>
      </c>
      <c r="D60" t="s">
        <v>43</v>
      </c>
      <c r="E60" t="s">
        <v>2</v>
      </c>
      <c r="F60" t="s">
        <v>3</v>
      </c>
      <c r="G60">
        <v>202524</v>
      </c>
      <c r="H60" t="s">
        <v>0</v>
      </c>
      <c r="I60" t="s">
        <v>93</v>
      </c>
      <c r="J60" t="s">
        <v>127</v>
      </c>
      <c r="K60" t="s">
        <v>1</v>
      </c>
      <c r="L60">
        <v>4211328145</v>
      </c>
      <c r="M60">
        <v>2600467931</v>
      </c>
      <c r="N60" s="2">
        <v>45994</v>
      </c>
      <c r="O60" s="2">
        <v>46024</v>
      </c>
      <c r="P60">
        <v>18750</v>
      </c>
      <c r="Q60" s="2">
        <v>45994</v>
      </c>
      <c r="R60">
        <v>5001847406</v>
      </c>
      <c r="S60">
        <v>2025</v>
      </c>
      <c r="T60">
        <v>371294</v>
      </c>
      <c r="U60" t="s">
        <v>1</v>
      </c>
      <c r="V60" s="2"/>
      <c r="W60" t="s">
        <v>1</v>
      </c>
      <c r="AE60">
        <v>0</v>
      </c>
      <c r="AF60" t="s">
        <v>128</v>
      </c>
      <c r="AG60" t="s">
        <v>1</v>
      </c>
      <c r="AH60" t="s">
        <v>1</v>
      </c>
      <c r="AI60">
        <v>18750</v>
      </c>
      <c r="AJ60" t="s">
        <v>1</v>
      </c>
      <c r="AK60" t="s">
        <v>1</v>
      </c>
      <c r="AL60">
        <v>6999999</v>
      </c>
      <c r="AM60" t="s">
        <v>94</v>
      </c>
      <c r="AN60">
        <v>4402</v>
      </c>
      <c r="AO60" t="s">
        <v>129</v>
      </c>
    </row>
    <row r="61" spans="1:41" x14ac:dyDescent="0.25">
      <c r="A61" t="str">
        <f>VLOOKUP(MONTH(N61),Sheet1!$A$2:$B$13,2,0)</f>
        <v>Dez</v>
      </c>
      <c r="B61" t="str">
        <f>IF(LEFT(AO61,1)="B","CAPEX",IF(LEFT(AO61,1)="C","STOCK",IF(MID(AO61,7,2)="JA","STAFF",IF(MID(AO61,7,1)="H","STAFF",IF(MID(AO61,7,1)="S","STAFF",IF(MID(AO61,7,2)="JV","LOG",IFERROR(VLOOKUP($AO61,[1]!Table14[[New Account Number]:[Filtro2]],9,0),VLOOKUP($AO61,[1]!Table14[[Old Account Number]:[Filtro2]],12,0))))))))</f>
        <v>STOCK</v>
      </c>
      <c r="C61" t="str">
        <f>IF(LEFT(AO61,1)="B","CAPEX",IF(LEFT(AO61,1)="C","STOCK",IF(MID(AO61,7,2)="JA","STAFF",IF(MID(AO61,7,1)="H","STAFF",IF(MID(AO61,7,1)="S","STAFF",IF(MID(AO61,7,2)="JV","LOG",IFERROR(VLOOKUP($AO61,[1]!Table14[[New Account Number]:[Filtro2]],10,0),VLOOKUP($AO61,[1]!Table14[[Old Account Number]:[Filtro2]],13,0))))))))</f>
        <v>STOCK</v>
      </c>
      <c r="D61" t="s">
        <v>43</v>
      </c>
      <c r="E61" t="s">
        <v>2</v>
      </c>
      <c r="F61" t="s">
        <v>3</v>
      </c>
      <c r="G61">
        <v>1866</v>
      </c>
      <c r="H61" t="s">
        <v>0</v>
      </c>
      <c r="I61" t="s">
        <v>49</v>
      </c>
      <c r="J61" t="s">
        <v>236</v>
      </c>
      <c r="K61" t="s">
        <v>1</v>
      </c>
      <c r="L61">
        <v>4211331492</v>
      </c>
      <c r="M61">
        <v>2600469482</v>
      </c>
      <c r="N61" s="2">
        <v>45995</v>
      </c>
      <c r="O61" s="2">
        <v>46025</v>
      </c>
      <c r="P61">
        <v>76755</v>
      </c>
      <c r="Q61" s="2">
        <v>45996</v>
      </c>
      <c r="R61">
        <v>5001861668</v>
      </c>
      <c r="S61">
        <v>2025</v>
      </c>
      <c r="T61">
        <v>371892</v>
      </c>
      <c r="U61" t="s">
        <v>1</v>
      </c>
      <c r="V61" s="2"/>
      <c r="W61" t="s">
        <v>1</v>
      </c>
      <c r="AE61">
        <v>0</v>
      </c>
      <c r="AF61" t="s">
        <v>103</v>
      </c>
      <c r="AG61" t="s">
        <v>1</v>
      </c>
      <c r="AH61" t="s">
        <v>104</v>
      </c>
      <c r="AI61">
        <v>76755</v>
      </c>
      <c r="AJ61" t="s">
        <v>1</v>
      </c>
      <c r="AK61" t="s">
        <v>1</v>
      </c>
      <c r="AL61">
        <v>6999999</v>
      </c>
      <c r="AM61" t="s">
        <v>59</v>
      </c>
      <c r="AN61">
        <v>9000</v>
      </c>
      <c r="AO61" t="s">
        <v>197</v>
      </c>
    </row>
    <row r="62" spans="1:41" x14ac:dyDescent="0.25">
      <c r="A62" t="str">
        <f>VLOOKUP(MONTH(N62),Sheet1!$A$2:$B$13,2,0)</f>
        <v>Dez</v>
      </c>
      <c r="B62" t="str">
        <f>IF(LEFT(AO62,1)="B","CAPEX",IF(LEFT(AO62,1)="C","STOCK",IF(MID(AO62,7,2)="JA","STAFF",IF(MID(AO62,7,1)="H","STAFF",IF(MID(AO62,7,1)="S","STAFF",IF(MID(AO62,7,2)="JV","LOG",IFERROR(VLOOKUP($AO62,[1]!Table14[[New Account Number]:[Filtro2]],9,0),VLOOKUP($AO62,[1]!Table14[[Old Account Number]:[Filtro2]],12,0))))))))</f>
        <v>STOCK</v>
      </c>
      <c r="C62" t="str">
        <f>IF(LEFT(AO62,1)="B","CAPEX",IF(LEFT(AO62,1)="C","STOCK",IF(MID(AO62,7,2)="JA","STAFF",IF(MID(AO62,7,1)="H","STAFF",IF(MID(AO62,7,1)="S","STAFF",IF(MID(AO62,7,2)="JV","LOG",IFERROR(VLOOKUP($AO62,[1]!Table14[[New Account Number]:[Filtro2]],10,0),VLOOKUP($AO62,[1]!Table14[[Old Account Number]:[Filtro2]],13,0))))))))</f>
        <v>STOCK</v>
      </c>
      <c r="D62" t="s">
        <v>43</v>
      </c>
      <c r="E62" t="s">
        <v>2</v>
      </c>
      <c r="F62" t="s">
        <v>3</v>
      </c>
      <c r="G62">
        <v>18922</v>
      </c>
      <c r="H62" t="s">
        <v>0</v>
      </c>
      <c r="I62" t="s">
        <v>44</v>
      </c>
      <c r="J62" t="s">
        <v>284</v>
      </c>
      <c r="K62" t="s">
        <v>1</v>
      </c>
      <c r="L62">
        <v>4211323772</v>
      </c>
      <c r="M62">
        <v>9001695673</v>
      </c>
      <c r="N62" s="2">
        <v>46000</v>
      </c>
      <c r="O62" s="2">
        <v>46035</v>
      </c>
      <c r="P62">
        <v>1480</v>
      </c>
      <c r="Q62" s="2">
        <v>46000</v>
      </c>
      <c r="R62">
        <v>5001875626</v>
      </c>
      <c r="S62">
        <v>2025</v>
      </c>
      <c r="T62">
        <v>372550</v>
      </c>
      <c r="U62" t="s">
        <v>1</v>
      </c>
      <c r="V62" s="2"/>
      <c r="W62" t="s">
        <v>1</v>
      </c>
      <c r="AE62">
        <v>0</v>
      </c>
      <c r="AF62" t="s">
        <v>285</v>
      </c>
      <c r="AG62" t="s">
        <v>1</v>
      </c>
      <c r="AH62" t="s">
        <v>286</v>
      </c>
      <c r="AI62">
        <v>1480</v>
      </c>
      <c r="AJ62" t="s">
        <v>1</v>
      </c>
      <c r="AK62" t="s">
        <v>1</v>
      </c>
      <c r="AL62">
        <v>6999999</v>
      </c>
      <c r="AM62" t="s">
        <v>92</v>
      </c>
      <c r="AN62">
        <v>9042</v>
      </c>
      <c r="AO62" t="s">
        <v>197</v>
      </c>
    </row>
    <row r="63" spans="1:41" x14ac:dyDescent="0.25">
      <c r="A63" t="str">
        <f>VLOOKUP(MONTH(N63),Sheet1!$A$2:$B$13,2,0)</f>
        <v>Dez</v>
      </c>
      <c r="B63" t="str">
        <f>IF(LEFT(AO63,1)="B","CAPEX",IF(LEFT(AO63,1)="C","STOCK",IF(MID(AO63,7,2)="JA","STAFF",IF(MID(AO63,7,1)="H","STAFF",IF(MID(AO63,7,1)="S","STAFF",IF(MID(AO63,7,2)="JV","LOG",IFERROR(VLOOKUP($AO63,[1]!Table14[[New Account Number]:[Filtro2]],9,0),VLOOKUP($AO63,[1]!Table14[[Old Account Number]:[Filtro2]],12,0))))))))</f>
        <v>CAPEX</v>
      </c>
      <c r="C63" t="str">
        <f>IF(LEFT(AO63,1)="B","CAPEX",IF(LEFT(AO63,1)="C","STOCK",IF(MID(AO63,7,2)="JA","STAFF",IF(MID(AO63,7,1)="H","STAFF",IF(MID(AO63,7,1)="S","STAFF",IF(MID(AO63,7,2)="JV","LOG",IFERROR(VLOOKUP($AO63,[1]!Table14[[New Account Number]:[Filtro2]],10,0),VLOOKUP($AO63,[1]!Table14[[Old Account Number]:[Filtro2]],13,0))))))))</f>
        <v>CAPEX</v>
      </c>
      <c r="D63" t="s">
        <v>43</v>
      </c>
      <c r="E63" t="s">
        <v>2</v>
      </c>
      <c r="F63" t="s">
        <v>3</v>
      </c>
      <c r="G63">
        <v>2425</v>
      </c>
      <c r="H63" t="s">
        <v>0</v>
      </c>
      <c r="I63" t="s">
        <v>58</v>
      </c>
      <c r="J63" t="s">
        <v>228</v>
      </c>
      <c r="K63" t="s">
        <v>1</v>
      </c>
      <c r="L63">
        <v>4211317766</v>
      </c>
      <c r="M63">
        <v>2600461235</v>
      </c>
      <c r="N63" s="2">
        <v>46003</v>
      </c>
      <c r="O63" s="2">
        <v>46063</v>
      </c>
      <c r="P63">
        <v>13200</v>
      </c>
      <c r="Q63" s="2">
        <v>46003</v>
      </c>
      <c r="R63">
        <v>5001906162</v>
      </c>
      <c r="S63">
        <v>2025</v>
      </c>
      <c r="T63">
        <v>373348</v>
      </c>
      <c r="U63" t="s">
        <v>1</v>
      </c>
      <c r="V63" s="2"/>
      <c r="W63" t="s">
        <v>1</v>
      </c>
      <c r="AE63">
        <v>0</v>
      </c>
      <c r="AF63" t="s">
        <v>257</v>
      </c>
      <c r="AG63" t="s">
        <v>1</v>
      </c>
      <c r="AH63" t="s">
        <v>258</v>
      </c>
      <c r="AI63">
        <v>13200</v>
      </c>
      <c r="AJ63" t="s">
        <v>1</v>
      </c>
      <c r="AK63" t="s">
        <v>1</v>
      </c>
      <c r="AL63">
        <v>6999999</v>
      </c>
      <c r="AM63" t="s">
        <v>59</v>
      </c>
      <c r="AO63" t="s">
        <v>121</v>
      </c>
    </row>
    <row r="64" spans="1:41" x14ac:dyDescent="0.25">
      <c r="A64" t="str">
        <f>VLOOKUP(MONTH(N64),Sheet1!$A$2:$B$13,2,0)</f>
        <v>Nov</v>
      </c>
      <c r="B64" t="str">
        <f>IF(LEFT(AO64,1)="B","CAPEX",IF(LEFT(AO64,1)="C","STOCK",IF(MID(AO64,7,2)="JA","STAFF",IF(MID(AO64,7,1)="H","STAFF",IF(MID(AO64,7,1)="S","STAFF",IF(MID(AO64,7,2)="JV","LOG",IFERROR(VLOOKUP($AO64,[1]!Table14[[New Account Number]:[Filtro2]],9,0),VLOOKUP($AO64,[1]!Table14[[Old Account Number]:[Filtro2]],12,0))))))))</f>
        <v>Outras Despesas</v>
      </c>
      <c r="C64" t="str">
        <f>IF(LEFT(AO64,1)="B","CAPEX",IF(LEFT(AO64,1)="C","STOCK",IF(MID(AO64,7,2)="JA","STAFF",IF(MID(AO64,7,1)="H","STAFF",IF(MID(AO64,7,1)="S","STAFF",IF(MID(AO64,7,2)="JV","LOG",IFERROR(VLOOKUP($AO64,[1]!Table14[[New Account Number]:[Filtro2]],10,0),VLOOKUP($AO64,[1]!Table14[[Old Account Number]:[Filtro2]],13,0))))))))</f>
        <v>Total Outras Despesas Variáveis</v>
      </c>
      <c r="D64" t="s">
        <v>43</v>
      </c>
      <c r="E64" t="s">
        <v>2</v>
      </c>
      <c r="F64" t="s">
        <v>3</v>
      </c>
      <c r="G64">
        <v>147145</v>
      </c>
      <c r="H64" t="s">
        <v>0</v>
      </c>
      <c r="I64" t="s">
        <v>49</v>
      </c>
      <c r="J64" t="s">
        <v>62</v>
      </c>
      <c r="K64" t="s">
        <v>1</v>
      </c>
      <c r="L64">
        <v>4211315568</v>
      </c>
      <c r="M64">
        <v>9001691008</v>
      </c>
      <c r="N64" s="2">
        <v>45985</v>
      </c>
      <c r="O64" s="2">
        <v>46060</v>
      </c>
      <c r="P64">
        <v>44163.81</v>
      </c>
      <c r="Q64" s="2">
        <v>45985</v>
      </c>
      <c r="R64">
        <v>5001772781</v>
      </c>
      <c r="S64">
        <v>2025</v>
      </c>
      <c r="T64">
        <v>369764</v>
      </c>
      <c r="U64" t="s">
        <v>1</v>
      </c>
      <c r="V64" s="2"/>
      <c r="W64" t="s">
        <v>1</v>
      </c>
      <c r="AE64">
        <v>0</v>
      </c>
      <c r="AF64" t="s">
        <v>106</v>
      </c>
      <c r="AG64" t="s">
        <v>1</v>
      </c>
      <c r="AH64" t="s">
        <v>192</v>
      </c>
      <c r="AI64">
        <v>44163.81</v>
      </c>
      <c r="AJ64" t="s">
        <v>1</v>
      </c>
      <c r="AK64" t="s">
        <v>1</v>
      </c>
      <c r="AL64">
        <v>6000031</v>
      </c>
      <c r="AM64" t="s">
        <v>59</v>
      </c>
      <c r="AN64">
        <v>9013</v>
      </c>
      <c r="AO64" t="s">
        <v>147</v>
      </c>
    </row>
    <row r="65" spans="1:41" x14ac:dyDescent="0.25">
      <c r="A65" t="str">
        <f>VLOOKUP(MONTH(N65),Sheet1!$A$2:$B$13,2,0)</f>
        <v>Dez</v>
      </c>
      <c r="B65" t="str">
        <f>IF(LEFT(AO65,1)="B","CAPEX",IF(LEFT(AO65,1)="C","STOCK",IF(MID(AO65,7,2)="JA","STAFF",IF(MID(AO65,7,1)="H","STAFF",IF(MID(AO65,7,1)="S","STAFF",IF(MID(AO65,7,2)="JV","LOG",IFERROR(VLOOKUP($AO65,[1]!Table14[[New Account Number]:[Filtro2]],9,0),VLOOKUP($AO65,[1]!Table14[[Old Account Number]:[Filtro2]],12,0))))))))</f>
        <v>Manutenção Terceiros</v>
      </c>
      <c r="C65" t="str">
        <f>IF(LEFT(AO65,1)="B","CAPEX",IF(LEFT(AO65,1)="C","STOCK",IF(MID(AO65,7,2)="JA","STAFF",IF(MID(AO65,7,1)="H","STAFF",IF(MID(AO65,7,1)="S","STAFF",IF(MID(AO65,7,2)="JV","LOG",IFERROR(VLOOKUP($AO65,[1]!Table14[[New Account Number]:[Filtro2]],10,0),VLOOKUP($AO65,[1]!Table14[[Old Account Number]:[Filtro2]],13,0))))))))</f>
        <v>Total Manutenção Fixa</v>
      </c>
      <c r="D65" t="s">
        <v>43</v>
      </c>
      <c r="E65" t="s">
        <v>2</v>
      </c>
      <c r="F65" t="s">
        <v>3</v>
      </c>
      <c r="G65">
        <v>920</v>
      </c>
      <c r="H65" t="s">
        <v>0</v>
      </c>
      <c r="I65" t="s">
        <v>97</v>
      </c>
      <c r="J65" t="s">
        <v>237</v>
      </c>
      <c r="K65" t="s">
        <v>1</v>
      </c>
      <c r="L65">
        <v>4211330443</v>
      </c>
      <c r="M65">
        <v>2600466451</v>
      </c>
      <c r="N65" s="2">
        <v>45999</v>
      </c>
      <c r="O65" s="2">
        <v>46009</v>
      </c>
      <c r="P65">
        <v>3500</v>
      </c>
      <c r="Q65" s="2">
        <v>45999</v>
      </c>
      <c r="R65">
        <v>5001871327</v>
      </c>
      <c r="S65">
        <v>2025</v>
      </c>
      <c r="T65">
        <v>372320</v>
      </c>
      <c r="U65" t="s">
        <v>1</v>
      </c>
      <c r="V65" s="2"/>
      <c r="W65" t="s">
        <v>1</v>
      </c>
      <c r="AE65">
        <v>0</v>
      </c>
      <c r="AF65" t="s">
        <v>154</v>
      </c>
      <c r="AG65" t="s">
        <v>1</v>
      </c>
      <c r="AH65" t="s">
        <v>155</v>
      </c>
      <c r="AI65">
        <v>3500</v>
      </c>
      <c r="AJ65" t="s">
        <v>1</v>
      </c>
      <c r="AK65" t="s">
        <v>1</v>
      </c>
      <c r="AL65">
        <v>6999999</v>
      </c>
      <c r="AM65" t="s">
        <v>59</v>
      </c>
      <c r="AN65">
        <v>9043</v>
      </c>
      <c r="AO65" t="s">
        <v>100</v>
      </c>
    </row>
    <row r="66" spans="1:41" x14ac:dyDescent="0.25">
      <c r="A66" t="str">
        <f>VLOOKUP(MONTH(N66),Sheet1!$A$2:$B$13,2,0)</f>
        <v>Dez</v>
      </c>
      <c r="B66" t="str">
        <f>IF(LEFT(AO66,1)="B","CAPEX",IF(LEFT(AO66,1)="C","STOCK",IF(MID(AO66,7,2)="JA","STAFF",IF(MID(AO66,7,1)="H","STAFF",IF(MID(AO66,7,1)="S","STAFF",IF(MID(AO66,7,2)="JV","LOG",IFERROR(VLOOKUP($AO66,[1]!Table14[[New Account Number]:[Filtro2]],9,0),VLOOKUP($AO66,[1]!Table14[[Old Account Number]:[Filtro2]],12,0))))))))</f>
        <v>Manutenção Terceiros</v>
      </c>
      <c r="C66" t="str">
        <f>IF(LEFT(AO66,1)="B","CAPEX",IF(LEFT(AO66,1)="C","STOCK",IF(MID(AO66,7,2)="JA","STAFF",IF(MID(AO66,7,1)="H","STAFF",IF(MID(AO66,7,1)="S","STAFF",IF(MID(AO66,7,2)="JV","LOG",IFERROR(VLOOKUP($AO66,[1]!Table14[[New Account Number]:[Filtro2]],10,0),VLOOKUP($AO66,[1]!Table14[[Old Account Number]:[Filtro2]],13,0))))))))</f>
        <v>Total Manutenção Fixa</v>
      </c>
      <c r="D66" t="s">
        <v>43</v>
      </c>
      <c r="E66" t="s">
        <v>2</v>
      </c>
      <c r="F66" t="s">
        <v>3</v>
      </c>
      <c r="G66">
        <v>4085</v>
      </c>
      <c r="H66" t="s">
        <v>0</v>
      </c>
      <c r="I66" t="s">
        <v>49</v>
      </c>
      <c r="J66" t="s">
        <v>95</v>
      </c>
      <c r="K66" t="s">
        <v>1</v>
      </c>
      <c r="L66">
        <v>4211320088</v>
      </c>
      <c r="M66">
        <v>2600468900</v>
      </c>
      <c r="N66" s="2">
        <v>46002</v>
      </c>
      <c r="O66" s="2">
        <v>46062</v>
      </c>
      <c r="P66">
        <v>24900</v>
      </c>
      <c r="Q66" s="2">
        <v>46002</v>
      </c>
      <c r="R66">
        <v>5001894306</v>
      </c>
      <c r="S66">
        <v>2025</v>
      </c>
      <c r="T66">
        <v>373083</v>
      </c>
      <c r="U66" t="s">
        <v>1</v>
      </c>
      <c r="V66" s="2"/>
      <c r="W66" t="s">
        <v>1</v>
      </c>
      <c r="AE66">
        <v>0</v>
      </c>
      <c r="AF66" t="s">
        <v>51</v>
      </c>
      <c r="AG66" t="s">
        <v>1</v>
      </c>
      <c r="AH66" t="s">
        <v>52</v>
      </c>
      <c r="AI66">
        <v>24900</v>
      </c>
      <c r="AJ66" t="s">
        <v>1</v>
      </c>
      <c r="AK66" t="s">
        <v>1</v>
      </c>
      <c r="AL66">
        <v>6999999</v>
      </c>
      <c r="AM66" t="s">
        <v>59</v>
      </c>
      <c r="AN66">
        <v>9021</v>
      </c>
      <c r="AO66" t="s">
        <v>100</v>
      </c>
    </row>
    <row r="67" spans="1:41" x14ac:dyDescent="0.25">
      <c r="A67" t="str">
        <f>VLOOKUP(MONTH(N67),Sheet1!$A$2:$B$13,2,0)</f>
        <v>Dez</v>
      </c>
      <c r="B67" t="str">
        <f>IF(LEFT(AO67,1)="B","CAPEX",IF(LEFT(AO67,1)="C","STOCK",IF(MID(AO67,7,2)="JA","STAFF",IF(MID(AO67,7,1)="H","STAFF",IF(MID(AO67,7,1)="S","STAFF",IF(MID(AO67,7,2)="JV","LOG",IFERROR(VLOOKUP($AO67,[1]!Table14[[New Account Number]:[Filtro2]],9,0),VLOOKUP($AO67,[1]!Table14[[Old Account Number]:[Filtro2]],12,0))))))))</f>
        <v>Bombeiros</v>
      </c>
      <c r="C67" t="str">
        <f>IF(LEFT(AO67,1)="B","CAPEX",IF(LEFT(AO67,1)="C","STOCK",IF(MID(AO67,7,2)="JA","STAFF",IF(MID(AO67,7,1)="H","STAFF",IF(MID(AO67,7,1)="S","STAFF",IF(MID(AO67,7,2)="JV","LOG",IFERROR(VLOOKUP($AO67,[1]!Table14[[New Account Number]:[Filtro2]],10,0),VLOOKUP($AO67,[1]!Table14[[Old Account Number]:[Filtro2]],13,0))))))))</f>
        <v>Total Outras Despesas Fixas</v>
      </c>
      <c r="D67" t="s">
        <v>43</v>
      </c>
      <c r="E67" t="s">
        <v>2</v>
      </c>
      <c r="F67" t="s">
        <v>3</v>
      </c>
      <c r="G67">
        <v>1436</v>
      </c>
      <c r="H67" t="s">
        <v>0</v>
      </c>
      <c r="I67" t="s">
        <v>57</v>
      </c>
      <c r="J67" t="s">
        <v>287</v>
      </c>
      <c r="K67" t="s">
        <v>1</v>
      </c>
      <c r="L67">
        <v>4211321665</v>
      </c>
      <c r="M67">
        <v>9001695283</v>
      </c>
      <c r="N67" s="2">
        <v>45996</v>
      </c>
      <c r="O67" s="2">
        <v>46116</v>
      </c>
      <c r="P67">
        <v>103617</v>
      </c>
      <c r="Q67" s="2">
        <v>46003</v>
      </c>
      <c r="R67">
        <v>5001905950</v>
      </c>
      <c r="S67">
        <v>2025</v>
      </c>
      <c r="T67">
        <v>373335</v>
      </c>
      <c r="U67" t="s">
        <v>1</v>
      </c>
      <c r="V67" s="2"/>
      <c r="W67" t="s">
        <v>1</v>
      </c>
      <c r="AE67">
        <v>0</v>
      </c>
      <c r="AF67" t="s">
        <v>288</v>
      </c>
      <c r="AG67" t="s">
        <v>1</v>
      </c>
      <c r="AH67" t="s">
        <v>289</v>
      </c>
      <c r="AI67">
        <v>103617</v>
      </c>
      <c r="AJ67" t="s">
        <v>1</v>
      </c>
      <c r="AK67" t="s">
        <v>1</v>
      </c>
      <c r="AL67">
        <v>6999999</v>
      </c>
      <c r="AM67" t="s">
        <v>59</v>
      </c>
      <c r="AN67">
        <v>2956</v>
      </c>
      <c r="AO67" t="s">
        <v>290</v>
      </c>
    </row>
    <row r="68" spans="1:41" x14ac:dyDescent="0.25">
      <c r="A68" t="str">
        <f>VLOOKUP(MONTH(N68),Sheet1!$A$2:$B$13,2,0)</f>
        <v>Dez</v>
      </c>
      <c r="B68" t="str">
        <f>IF(LEFT(AO68,1)="B","CAPEX",IF(LEFT(AO68,1)="C","STOCK",IF(MID(AO68,7,2)="JA","STAFF",IF(MID(AO68,7,1)="H","STAFF",IF(MID(AO68,7,1)="S","STAFF",IF(MID(AO68,7,2)="JV","LOG",IFERROR(VLOOKUP($AO68,[1]!Table14[[New Account Number]:[Filtro2]],9,0),VLOOKUP($AO68,[1]!Table14[[Old Account Number]:[Filtro2]],12,0))))))))</f>
        <v>Manutenção Terceiros</v>
      </c>
      <c r="C68" t="str">
        <f>IF(LEFT(AO68,1)="B","CAPEX",IF(LEFT(AO68,1)="C","STOCK",IF(MID(AO68,7,2)="JA","STAFF",IF(MID(AO68,7,1)="H","STAFF",IF(MID(AO68,7,1)="S","STAFF",IF(MID(AO68,7,2)="JV","LOG",IFERROR(VLOOKUP($AO68,[1]!Table14[[New Account Number]:[Filtro2]],10,0),VLOOKUP($AO68,[1]!Table14[[Old Account Number]:[Filtro2]],13,0))))))))</f>
        <v>Total Manutenção Variável</v>
      </c>
      <c r="D68" t="s">
        <v>43</v>
      </c>
      <c r="E68" t="s">
        <v>2</v>
      </c>
      <c r="F68" t="s">
        <v>3</v>
      </c>
      <c r="G68">
        <v>1438</v>
      </c>
      <c r="H68" t="s">
        <v>0</v>
      </c>
      <c r="I68" t="s">
        <v>49</v>
      </c>
      <c r="J68" t="s">
        <v>84</v>
      </c>
      <c r="K68" t="s">
        <v>1</v>
      </c>
      <c r="L68">
        <v>4211333373</v>
      </c>
      <c r="M68">
        <v>9001695121</v>
      </c>
      <c r="N68" s="2">
        <v>45997</v>
      </c>
      <c r="O68" s="2">
        <v>46087</v>
      </c>
      <c r="P68">
        <v>12000</v>
      </c>
      <c r="Q68" s="2">
        <v>45997</v>
      </c>
      <c r="R68">
        <v>5001867784</v>
      </c>
      <c r="S68">
        <v>2025</v>
      </c>
      <c r="T68">
        <v>372180</v>
      </c>
      <c r="U68" t="s">
        <v>1</v>
      </c>
      <c r="V68" s="2"/>
      <c r="W68" t="s">
        <v>1</v>
      </c>
      <c r="AE68">
        <v>0</v>
      </c>
      <c r="AF68" t="s">
        <v>106</v>
      </c>
      <c r="AG68" t="s">
        <v>1</v>
      </c>
      <c r="AH68" t="s">
        <v>192</v>
      </c>
      <c r="AI68">
        <v>12000</v>
      </c>
      <c r="AJ68" t="s">
        <v>1</v>
      </c>
      <c r="AK68" t="s">
        <v>1</v>
      </c>
      <c r="AL68">
        <v>6999999</v>
      </c>
      <c r="AM68" t="s">
        <v>59</v>
      </c>
      <c r="AN68">
        <v>9104</v>
      </c>
      <c r="AO68" t="s">
        <v>50</v>
      </c>
    </row>
    <row r="69" spans="1:41" x14ac:dyDescent="0.25">
      <c r="A69" t="str">
        <f>VLOOKUP(MONTH(N69),Sheet1!$A$2:$B$13,2,0)</f>
        <v>Out</v>
      </c>
      <c r="B69" t="str">
        <f>IF(LEFT(AO69,1)="B","CAPEX",IF(LEFT(AO69,1)="C","STOCK",IF(MID(AO69,7,2)="JA","STAFF",IF(MID(AO69,7,1)="H","STAFF",IF(MID(AO69,7,1)="S","STAFF",IF(MID(AO69,7,2)="JV","LOG",IFERROR(VLOOKUP($AO69,[1]!Table14[[New Account Number]:[Filtro2]],9,0),VLOOKUP($AO69,[1]!Table14[[Old Account Number]:[Filtro2]],12,0))))))))</f>
        <v>CAPEX</v>
      </c>
      <c r="C69" t="str">
        <f>IF(LEFT(AO69,1)="B","CAPEX",IF(LEFT(AO69,1)="C","STOCK",IF(MID(AO69,7,2)="JA","STAFF",IF(MID(AO69,7,1)="H","STAFF",IF(MID(AO69,7,1)="S","STAFF",IF(MID(AO69,7,2)="JV","LOG",IFERROR(VLOOKUP($AO69,[1]!Table14[[New Account Number]:[Filtro2]],10,0),VLOOKUP($AO69,[1]!Table14[[Old Account Number]:[Filtro2]],13,0))))))))</f>
        <v>CAPEX</v>
      </c>
      <c r="D69" t="s">
        <v>46</v>
      </c>
      <c r="E69" t="s">
        <v>47</v>
      </c>
      <c r="F69" t="s">
        <v>48</v>
      </c>
      <c r="G69">
        <v>83949</v>
      </c>
      <c r="H69" t="s">
        <v>0</v>
      </c>
      <c r="I69" t="s">
        <v>176</v>
      </c>
      <c r="J69" t="s">
        <v>238</v>
      </c>
      <c r="K69" t="s">
        <v>1</v>
      </c>
      <c r="L69">
        <v>4211328786</v>
      </c>
      <c r="M69">
        <v>2600462111</v>
      </c>
      <c r="N69" s="2">
        <v>45940</v>
      </c>
      <c r="O69" s="2">
        <v>46030</v>
      </c>
      <c r="P69">
        <v>160113.5</v>
      </c>
      <c r="Q69" s="2">
        <v>45999</v>
      </c>
      <c r="R69">
        <v>5001871328</v>
      </c>
      <c r="S69">
        <v>2025</v>
      </c>
      <c r="T69">
        <v>372321</v>
      </c>
      <c r="U69" t="s">
        <v>1</v>
      </c>
      <c r="V69" s="2">
        <v>46000</v>
      </c>
      <c r="W69" t="s">
        <v>179</v>
      </c>
      <c r="AA69">
        <v>5001879935</v>
      </c>
      <c r="AB69">
        <v>2025</v>
      </c>
      <c r="AC69">
        <v>9004033606</v>
      </c>
      <c r="AD69">
        <v>2025</v>
      </c>
      <c r="AE69">
        <v>10417669</v>
      </c>
      <c r="AF69" t="s">
        <v>178</v>
      </c>
      <c r="AG69" t="s">
        <v>248</v>
      </c>
      <c r="AH69" t="s">
        <v>179</v>
      </c>
      <c r="AI69">
        <v>0</v>
      </c>
      <c r="AJ69" t="s">
        <v>1</v>
      </c>
      <c r="AK69" t="s">
        <v>239</v>
      </c>
      <c r="AL69">
        <v>6999999</v>
      </c>
      <c r="AM69" t="s">
        <v>177</v>
      </c>
      <c r="AO69" t="s">
        <v>121</v>
      </c>
    </row>
    <row r="70" spans="1:41" x14ac:dyDescent="0.25">
      <c r="A70" t="str">
        <f>VLOOKUP(MONTH(N70),Sheet1!$A$2:$B$13,2,0)</f>
        <v>Dez</v>
      </c>
      <c r="B70" t="str">
        <f>IF(LEFT(AO70,1)="B","CAPEX",IF(LEFT(AO70,1)="C","STOCK",IF(MID(AO70,7,2)="JA","STAFF",IF(MID(AO70,7,1)="H","STAFF",IF(MID(AO70,7,1)="S","STAFF",IF(MID(AO70,7,2)="JV","LOG",IFERROR(VLOOKUP($AO70,[1]!Table14[[New Account Number]:[Filtro2]],9,0),VLOOKUP($AO70,[1]!Table14[[Old Account Number]:[Filtro2]],12,0))))))))</f>
        <v>Manutenção Terceiros</v>
      </c>
      <c r="C70" t="str">
        <f>IF(LEFT(AO70,1)="B","CAPEX",IF(LEFT(AO70,1)="C","STOCK",IF(MID(AO70,7,2)="JA","STAFF",IF(MID(AO70,7,1)="H","STAFF",IF(MID(AO70,7,1)="S","STAFF",IF(MID(AO70,7,2)="JV","LOG",IFERROR(VLOOKUP($AO70,[1]!Table14[[New Account Number]:[Filtro2]],10,0),VLOOKUP($AO70,[1]!Table14[[Old Account Number]:[Filtro2]],13,0))))))))</f>
        <v>Total Manutenção Fixa</v>
      </c>
      <c r="D70" t="s">
        <v>43</v>
      </c>
      <c r="E70" t="s">
        <v>2</v>
      </c>
      <c r="F70" t="s">
        <v>3</v>
      </c>
      <c r="G70">
        <v>602</v>
      </c>
      <c r="H70" t="s">
        <v>0</v>
      </c>
      <c r="I70" t="s">
        <v>49</v>
      </c>
      <c r="J70" t="s">
        <v>141</v>
      </c>
      <c r="K70" t="s">
        <v>1</v>
      </c>
      <c r="L70">
        <v>4211333188</v>
      </c>
      <c r="M70">
        <v>2600469557</v>
      </c>
      <c r="N70" s="2">
        <v>45993</v>
      </c>
      <c r="O70" s="2">
        <v>46053</v>
      </c>
      <c r="P70">
        <v>30000</v>
      </c>
      <c r="Q70" s="2">
        <v>46000</v>
      </c>
      <c r="R70">
        <v>5001878540</v>
      </c>
      <c r="S70">
        <v>2025</v>
      </c>
      <c r="T70">
        <v>372558</v>
      </c>
      <c r="U70" t="s">
        <v>1</v>
      </c>
      <c r="V70" s="2"/>
      <c r="W70" t="s">
        <v>1</v>
      </c>
      <c r="AE70">
        <v>0</v>
      </c>
      <c r="AF70" t="s">
        <v>51</v>
      </c>
      <c r="AG70" t="s">
        <v>1</v>
      </c>
      <c r="AH70" t="s">
        <v>52</v>
      </c>
      <c r="AI70">
        <v>30000</v>
      </c>
      <c r="AJ70" t="s">
        <v>1</v>
      </c>
      <c r="AK70" t="s">
        <v>1</v>
      </c>
      <c r="AL70">
        <v>6999999</v>
      </c>
      <c r="AM70" t="s">
        <v>59</v>
      </c>
      <c r="AN70">
        <v>9021</v>
      </c>
      <c r="AO70" t="s">
        <v>100</v>
      </c>
    </row>
    <row r="71" spans="1:41" x14ac:dyDescent="0.25">
      <c r="A71" t="str">
        <f>VLOOKUP(MONTH(N71),Sheet1!$A$2:$B$13,2,0)</f>
        <v>Dez</v>
      </c>
      <c r="B71" t="str">
        <f>IF(LEFT(AO71,1)="B","CAPEX",IF(LEFT(AO71,1)="C","STOCK",IF(MID(AO71,7,2)="JA","STAFF",IF(MID(AO71,7,1)="H","STAFF",IF(MID(AO71,7,1)="S","STAFF",IF(MID(AO71,7,2)="JV","LOG",IFERROR(VLOOKUP($AO71,[1]!Table14[[New Account Number]:[Filtro2]],9,0),VLOOKUP($AO71,[1]!Table14[[Old Account Number]:[Filtro2]],12,0))))))))</f>
        <v>Serv.Prof.Prestados - Serviços</v>
      </c>
      <c r="C71" t="str">
        <f>IF(LEFT(AO71,1)="B","CAPEX",IF(LEFT(AO71,1)="C","STOCK",IF(MID(AO71,7,2)="JA","STAFF",IF(MID(AO71,7,1)="H","STAFF",IF(MID(AO71,7,1)="S","STAFF",IF(MID(AO71,7,2)="JV","LOG",IFERROR(VLOOKUP($AO71,[1]!Table14[[New Account Number]:[Filtro2]],10,0),VLOOKUP($AO71,[1]!Table14[[Old Account Number]:[Filtro2]],13,0))))))))</f>
        <v>Total Outras Despesas Fixas</v>
      </c>
      <c r="D71" t="s">
        <v>46</v>
      </c>
      <c r="E71" t="s">
        <v>47</v>
      </c>
      <c r="F71" t="s">
        <v>48</v>
      </c>
      <c r="G71">
        <v>27231</v>
      </c>
      <c r="H71" t="s">
        <v>0</v>
      </c>
      <c r="I71" t="s">
        <v>271</v>
      </c>
      <c r="J71" t="s">
        <v>272</v>
      </c>
      <c r="K71" t="s">
        <v>1</v>
      </c>
      <c r="L71">
        <v>4211332535</v>
      </c>
      <c r="M71">
        <v>9001695710</v>
      </c>
      <c r="N71" s="2">
        <v>46000</v>
      </c>
      <c r="O71" s="2">
        <v>46060</v>
      </c>
      <c r="P71">
        <v>4755.8100000000004</v>
      </c>
      <c r="Q71" s="2">
        <v>46000</v>
      </c>
      <c r="R71">
        <v>5001878123</v>
      </c>
      <c r="S71">
        <v>2025</v>
      </c>
      <c r="T71">
        <v>372564</v>
      </c>
      <c r="U71" t="s">
        <v>1</v>
      </c>
      <c r="V71" s="2">
        <v>46000</v>
      </c>
      <c r="W71" t="s">
        <v>273</v>
      </c>
      <c r="AA71">
        <v>5001878517</v>
      </c>
      <c r="AB71">
        <v>2025</v>
      </c>
      <c r="AC71">
        <v>9004033511</v>
      </c>
      <c r="AD71">
        <v>2025</v>
      </c>
      <c r="AE71">
        <v>10417493</v>
      </c>
      <c r="AF71" t="s">
        <v>274</v>
      </c>
      <c r="AG71" t="s">
        <v>274</v>
      </c>
      <c r="AH71" t="s">
        <v>273</v>
      </c>
      <c r="AI71">
        <v>0</v>
      </c>
      <c r="AJ71" t="s">
        <v>1</v>
      </c>
      <c r="AK71" t="s">
        <v>1</v>
      </c>
      <c r="AL71">
        <v>6999999</v>
      </c>
      <c r="AM71" t="s">
        <v>275</v>
      </c>
      <c r="AN71">
        <v>2956</v>
      </c>
      <c r="AO71" t="s">
        <v>53</v>
      </c>
    </row>
    <row r="72" spans="1:41" x14ac:dyDescent="0.25">
      <c r="A72" t="str">
        <f>VLOOKUP(MONTH(N72),Sheet1!$A$2:$B$13,2,0)</f>
        <v>Dez</v>
      </c>
      <c r="B72" t="str">
        <f>IF(LEFT(AO72,1)="B","CAPEX",IF(LEFT(AO72,1)="C","STOCK",IF(MID(AO72,7,2)="JA","STAFF",IF(MID(AO72,7,1)="H","STAFF",IF(MID(AO72,7,1)="S","STAFF",IF(MID(AO72,7,2)="JV","LOG",IFERROR(VLOOKUP($AO72,[1]!Table14[[New Account Number]:[Filtro2]],9,0),VLOOKUP($AO72,[1]!Table14[[Old Account Number]:[Filtro2]],12,0))))))))</f>
        <v>Limpeza Por Terceiros</v>
      </c>
      <c r="C72" t="str">
        <f>IF(LEFT(AO72,1)="B","CAPEX",IF(LEFT(AO72,1)="C","STOCK",IF(MID(AO72,7,2)="JA","STAFF",IF(MID(AO72,7,1)="H","STAFF",IF(MID(AO72,7,1)="S","STAFF",IF(MID(AO72,7,2)="JV","LOG",IFERROR(VLOOKUP($AO72,[1]!Table14[[New Account Number]:[Filtro2]],10,0),VLOOKUP($AO72,[1]!Table14[[Old Account Number]:[Filtro2]],13,0))))))))</f>
        <v>Total Outras Despesas Fixas</v>
      </c>
      <c r="D72" t="s">
        <v>43</v>
      </c>
      <c r="E72" t="s">
        <v>2</v>
      </c>
      <c r="F72" t="s">
        <v>3</v>
      </c>
      <c r="G72">
        <v>732949</v>
      </c>
      <c r="H72" t="s">
        <v>0</v>
      </c>
      <c r="I72" t="s">
        <v>44</v>
      </c>
      <c r="J72" t="s">
        <v>291</v>
      </c>
      <c r="K72" t="s">
        <v>1</v>
      </c>
      <c r="L72">
        <v>4211315539</v>
      </c>
      <c r="M72">
        <v>9001687283</v>
      </c>
      <c r="N72" s="2">
        <v>46000</v>
      </c>
      <c r="O72" s="2">
        <v>46120</v>
      </c>
      <c r="P72">
        <v>14705.46</v>
      </c>
      <c r="Q72" s="2">
        <v>46000</v>
      </c>
      <c r="R72">
        <v>5001879982</v>
      </c>
      <c r="S72">
        <v>2025</v>
      </c>
      <c r="T72">
        <v>372573</v>
      </c>
      <c r="U72" t="s">
        <v>1</v>
      </c>
      <c r="V72" s="2"/>
      <c r="W72" t="s">
        <v>1</v>
      </c>
      <c r="AE72">
        <v>0</v>
      </c>
      <c r="AF72" t="s">
        <v>253</v>
      </c>
      <c r="AG72" t="s">
        <v>1</v>
      </c>
      <c r="AH72" t="s">
        <v>213</v>
      </c>
      <c r="AI72">
        <v>14705.46</v>
      </c>
      <c r="AJ72" t="s">
        <v>1</v>
      </c>
      <c r="AK72" t="s">
        <v>1</v>
      </c>
      <c r="AL72">
        <v>6999999</v>
      </c>
      <c r="AM72" t="s">
        <v>92</v>
      </c>
      <c r="AN72">
        <v>9000</v>
      </c>
      <c r="AO72" t="s">
        <v>122</v>
      </c>
    </row>
    <row r="73" spans="1:41" x14ac:dyDescent="0.25">
      <c r="A73" t="str">
        <f>VLOOKUP(MONTH(N73),Sheet1!$A$2:$B$13,2,0)</f>
        <v>Dez</v>
      </c>
      <c r="B73" t="str">
        <f>IF(LEFT(AO73,1)="B","CAPEX",IF(LEFT(AO73,1)="C","STOCK",IF(MID(AO73,7,2)="JA","STAFF",IF(MID(AO73,7,1)="H","STAFF",IF(MID(AO73,7,1)="S","STAFF",IF(MID(AO73,7,2)="JV","LOG",IFERROR(VLOOKUP($AO73,[1]!Table14[[New Account Number]:[Filtro2]],9,0),VLOOKUP($AO73,[1]!Table14[[Old Account Number]:[Filtro2]],12,0))))))))</f>
        <v>Aluguéis</v>
      </c>
      <c r="C73" t="str">
        <f>IF(LEFT(AO73,1)="B","CAPEX",IF(LEFT(AO73,1)="C","STOCK",IF(MID(AO73,7,2)="JA","STAFF",IF(MID(AO73,7,1)="H","STAFF",IF(MID(AO73,7,1)="S","STAFF",IF(MID(AO73,7,2)="JV","LOG",IFERROR(VLOOKUP($AO73,[1]!Table14[[New Account Number]:[Filtro2]],10,0),VLOOKUP($AO73,[1]!Table14[[Old Account Number]:[Filtro2]],13,0))))))))</f>
        <v>Total Outras Despesas Fixas</v>
      </c>
      <c r="D73" t="s">
        <v>43</v>
      </c>
      <c r="E73" t="s">
        <v>2</v>
      </c>
      <c r="F73" t="s">
        <v>3</v>
      </c>
      <c r="G73">
        <v>9382</v>
      </c>
      <c r="H73" t="s">
        <v>0</v>
      </c>
      <c r="I73" t="s">
        <v>49</v>
      </c>
      <c r="J73" t="s">
        <v>158</v>
      </c>
      <c r="K73" t="s">
        <v>1</v>
      </c>
      <c r="L73">
        <v>4211326362</v>
      </c>
      <c r="M73">
        <v>9001696071</v>
      </c>
      <c r="N73" s="2">
        <v>46002</v>
      </c>
      <c r="O73" s="2">
        <v>46092</v>
      </c>
      <c r="P73">
        <v>74128.600000000006</v>
      </c>
      <c r="Q73" s="2">
        <v>46002</v>
      </c>
      <c r="R73">
        <v>5001899102</v>
      </c>
      <c r="S73">
        <v>2025</v>
      </c>
      <c r="T73">
        <v>373104</v>
      </c>
      <c r="U73" t="s">
        <v>1</v>
      </c>
      <c r="V73" s="2"/>
      <c r="W73" t="s">
        <v>1</v>
      </c>
      <c r="AE73">
        <v>0</v>
      </c>
      <c r="AF73" t="s">
        <v>144</v>
      </c>
      <c r="AG73" t="s">
        <v>1</v>
      </c>
      <c r="AH73" t="s">
        <v>145</v>
      </c>
      <c r="AI73">
        <v>74128.600000000006</v>
      </c>
      <c r="AJ73" t="s">
        <v>1</v>
      </c>
      <c r="AK73" t="s">
        <v>1</v>
      </c>
      <c r="AL73">
        <v>6999999</v>
      </c>
      <c r="AM73" t="s">
        <v>59</v>
      </c>
      <c r="AN73">
        <v>9000</v>
      </c>
      <c r="AO73" t="s">
        <v>146</v>
      </c>
    </row>
    <row r="74" spans="1:41" x14ac:dyDescent="0.25">
      <c r="A74" t="str">
        <f>VLOOKUP(MONTH(N74),Sheet1!$A$2:$B$13,2,0)</f>
        <v>Dez</v>
      </c>
      <c r="B74" t="str">
        <f>IF(LEFT(AO74,1)="B","CAPEX",IF(LEFT(AO74,1)="C","STOCK",IF(MID(AO74,7,2)="JA","STAFF",IF(MID(AO74,7,1)="H","STAFF",IF(MID(AO74,7,1)="S","STAFF",IF(MID(AO74,7,2)="JV","LOG",IFERROR(VLOOKUP($AO74,[1]!Table14[[New Account Number]:[Filtro2]],9,0),VLOOKUP($AO74,[1]!Table14[[Old Account Number]:[Filtro2]],12,0))))))))</f>
        <v>Manutenção Terceiros</v>
      </c>
      <c r="C74" t="str">
        <f>IF(LEFT(AO74,1)="B","CAPEX",IF(LEFT(AO74,1)="C","STOCK",IF(MID(AO74,7,2)="JA","STAFF",IF(MID(AO74,7,1)="H","STAFF",IF(MID(AO74,7,1)="S","STAFF",IF(MID(AO74,7,2)="JV","LOG",IFERROR(VLOOKUP($AO74,[1]!Table14[[New Account Number]:[Filtro2]],10,0),VLOOKUP($AO74,[1]!Table14[[Old Account Number]:[Filtro2]],13,0))))))))</f>
        <v>Total Manutenção Variável</v>
      </c>
      <c r="D74" t="s">
        <v>43</v>
      </c>
      <c r="E74" t="s">
        <v>2</v>
      </c>
      <c r="F74" t="s">
        <v>3</v>
      </c>
      <c r="G74">
        <v>3244</v>
      </c>
      <c r="H74" t="s">
        <v>0</v>
      </c>
      <c r="I74" t="s">
        <v>49</v>
      </c>
      <c r="J74" t="s">
        <v>292</v>
      </c>
      <c r="K74" t="s">
        <v>1</v>
      </c>
      <c r="L74">
        <v>4211330502</v>
      </c>
      <c r="M74">
        <v>2600470104</v>
      </c>
      <c r="N74" s="2">
        <v>46002</v>
      </c>
      <c r="O74" s="2">
        <v>46072</v>
      </c>
      <c r="P74">
        <v>12420</v>
      </c>
      <c r="Q74" s="2">
        <v>46002</v>
      </c>
      <c r="R74">
        <v>5001899103</v>
      </c>
      <c r="S74">
        <v>2025</v>
      </c>
      <c r="T74">
        <v>373108</v>
      </c>
      <c r="U74" t="s">
        <v>1</v>
      </c>
      <c r="V74" s="2"/>
      <c r="W74" t="s">
        <v>1</v>
      </c>
      <c r="AE74">
        <v>0</v>
      </c>
      <c r="AF74" t="s">
        <v>106</v>
      </c>
      <c r="AG74" t="s">
        <v>1</v>
      </c>
      <c r="AH74" t="s">
        <v>192</v>
      </c>
      <c r="AI74">
        <v>12420</v>
      </c>
      <c r="AJ74" t="s">
        <v>1</v>
      </c>
      <c r="AK74" t="s">
        <v>1</v>
      </c>
      <c r="AL74">
        <v>6999999</v>
      </c>
      <c r="AM74" t="s">
        <v>59</v>
      </c>
      <c r="AN74">
        <v>9104</v>
      </c>
      <c r="AO74" t="s">
        <v>50</v>
      </c>
    </row>
    <row r="75" spans="1:41" x14ac:dyDescent="0.25">
      <c r="A75" t="str">
        <f>VLOOKUP(MONTH(N75),Sheet1!$A$2:$B$13,2,0)</f>
        <v>Out</v>
      </c>
      <c r="B75" t="str">
        <f>IF(LEFT(AO75,1)="B","CAPEX",IF(LEFT(AO75,1)="C","STOCK",IF(MID(AO75,7,2)="JA","STAFF",IF(MID(AO75,7,1)="H","STAFF",IF(MID(AO75,7,1)="S","STAFF",IF(MID(AO75,7,2)="JV","LOG",IFERROR(VLOOKUP($AO75,[1]!Table14[[New Account Number]:[Filtro2]],9,0),VLOOKUP($AO75,[1]!Table14[[Old Account Number]:[Filtro2]],12,0))))))))</f>
        <v>Manutenção Terceiros</v>
      </c>
      <c r="C75" t="str">
        <f>IF(LEFT(AO75,1)="B","CAPEX",IF(LEFT(AO75,1)="C","STOCK",IF(MID(AO75,7,2)="JA","STAFF",IF(MID(AO75,7,1)="H","STAFF",IF(MID(AO75,7,1)="S","STAFF",IF(MID(AO75,7,2)="JV","LOG",IFERROR(VLOOKUP($AO75,[1]!Table14[[New Account Number]:[Filtro2]],10,0),VLOOKUP($AO75,[1]!Table14[[Old Account Number]:[Filtro2]],13,0))))))))</f>
        <v>Total Manutenção Variável</v>
      </c>
      <c r="D75" t="s">
        <v>43</v>
      </c>
      <c r="E75" t="s">
        <v>2</v>
      </c>
      <c r="F75" t="s">
        <v>3</v>
      </c>
      <c r="G75">
        <v>645</v>
      </c>
      <c r="H75" t="s">
        <v>0</v>
      </c>
      <c r="I75" t="s">
        <v>44</v>
      </c>
      <c r="J75" t="s">
        <v>98</v>
      </c>
      <c r="K75" t="s">
        <v>1</v>
      </c>
      <c r="L75">
        <v>4211328675</v>
      </c>
      <c r="M75">
        <v>9001663316</v>
      </c>
      <c r="N75" s="2">
        <v>45950</v>
      </c>
      <c r="O75" s="2">
        <v>46010</v>
      </c>
      <c r="P75">
        <v>2145</v>
      </c>
      <c r="Q75" s="2">
        <v>45950</v>
      </c>
      <c r="R75">
        <v>5001508357</v>
      </c>
      <c r="S75">
        <v>2025</v>
      </c>
      <c r="T75">
        <v>363738</v>
      </c>
      <c r="U75" t="s">
        <v>1</v>
      </c>
      <c r="V75" s="2"/>
      <c r="W75" t="s">
        <v>1</v>
      </c>
      <c r="AE75">
        <v>0</v>
      </c>
      <c r="AF75" t="s">
        <v>81</v>
      </c>
      <c r="AG75" t="s">
        <v>1</v>
      </c>
      <c r="AH75" t="s">
        <v>96</v>
      </c>
      <c r="AI75">
        <v>2145</v>
      </c>
      <c r="AJ75" t="s">
        <v>1</v>
      </c>
      <c r="AK75" t="s">
        <v>1</v>
      </c>
      <c r="AL75">
        <v>6999999</v>
      </c>
      <c r="AM75" t="s">
        <v>92</v>
      </c>
      <c r="AN75">
        <v>9203</v>
      </c>
      <c r="AO75" t="s">
        <v>50</v>
      </c>
    </row>
    <row r="76" spans="1:41" x14ac:dyDescent="0.25">
      <c r="A76" t="str">
        <f>VLOOKUP(MONTH(N76),Sheet1!$A$2:$B$13,2,0)</f>
        <v>Out</v>
      </c>
      <c r="B76" t="str">
        <f>IF(LEFT(AO76,1)="B","CAPEX",IF(LEFT(AO76,1)="C","STOCK",IF(MID(AO76,7,2)="JA","STAFF",IF(MID(AO76,7,1)="H","STAFF",IF(MID(AO76,7,1)="S","STAFF",IF(MID(AO76,7,2)="JV","LOG",IFERROR(VLOOKUP($AO76,[1]!Table14[[New Account Number]:[Filtro2]],9,0),VLOOKUP($AO76,[1]!Table14[[Old Account Number]:[Filtro2]],12,0))))))))</f>
        <v>Manutenção Terceiros</v>
      </c>
      <c r="C76" t="str">
        <f>IF(LEFT(AO76,1)="B","CAPEX",IF(LEFT(AO76,1)="C","STOCK",IF(MID(AO76,7,2)="JA","STAFF",IF(MID(AO76,7,1)="H","STAFF",IF(MID(AO76,7,1)="S","STAFF",IF(MID(AO76,7,2)="JV","LOG",IFERROR(VLOOKUP($AO76,[1]!Table14[[New Account Number]:[Filtro2]],10,0),VLOOKUP($AO76,[1]!Table14[[Old Account Number]:[Filtro2]],13,0))))))))</f>
        <v>Total Manutenção Variável</v>
      </c>
      <c r="D76" t="s">
        <v>43</v>
      </c>
      <c r="E76" t="s">
        <v>2</v>
      </c>
      <c r="F76" t="s">
        <v>3</v>
      </c>
      <c r="G76">
        <v>4861</v>
      </c>
      <c r="H76" t="s">
        <v>0</v>
      </c>
      <c r="I76" t="s">
        <v>49</v>
      </c>
      <c r="J76" t="s">
        <v>183</v>
      </c>
      <c r="K76" t="s">
        <v>1</v>
      </c>
      <c r="L76">
        <v>4211328790</v>
      </c>
      <c r="M76">
        <v>2600468205</v>
      </c>
      <c r="N76" s="2">
        <v>45951</v>
      </c>
      <c r="O76" s="2">
        <v>46011</v>
      </c>
      <c r="P76">
        <v>37956</v>
      </c>
      <c r="Q76" s="2">
        <v>45951</v>
      </c>
      <c r="R76">
        <v>5001513068</v>
      </c>
      <c r="S76">
        <v>2025</v>
      </c>
      <c r="T76">
        <v>364048</v>
      </c>
      <c r="U76" t="s">
        <v>1</v>
      </c>
      <c r="V76" s="2"/>
      <c r="W76" t="s">
        <v>1</v>
      </c>
      <c r="AE76">
        <v>0</v>
      </c>
      <c r="AF76" t="s">
        <v>170</v>
      </c>
      <c r="AG76" t="s">
        <v>1</v>
      </c>
      <c r="AH76" t="s">
        <v>171</v>
      </c>
      <c r="AI76">
        <v>37956</v>
      </c>
      <c r="AJ76" t="s">
        <v>1</v>
      </c>
      <c r="AK76" t="s">
        <v>1</v>
      </c>
      <c r="AL76">
        <v>6999999</v>
      </c>
      <c r="AM76" t="s">
        <v>59</v>
      </c>
      <c r="AN76">
        <v>9000</v>
      </c>
      <c r="AO76" t="s">
        <v>50</v>
      </c>
    </row>
    <row r="77" spans="1:41" x14ac:dyDescent="0.25">
      <c r="A77" t="str">
        <f>VLOOKUP(MONTH(N77),Sheet1!$A$2:$B$13,2,0)</f>
        <v>Out</v>
      </c>
      <c r="B77" t="str">
        <f>IF(LEFT(AO77,1)="B","CAPEX",IF(LEFT(AO77,1)="C","STOCK",IF(MID(AO77,7,2)="JA","STAFF",IF(MID(AO77,7,1)="H","STAFF",IF(MID(AO77,7,1)="S","STAFF",IF(MID(AO77,7,2)="JV","LOG",IFERROR(VLOOKUP($AO77,[1]!Table14[[New Account Number]:[Filtro2]],9,0),VLOOKUP($AO77,[1]!Table14[[Old Account Number]:[Filtro2]],12,0))))))))</f>
        <v>Aluguéis</v>
      </c>
      <c r="C77" t="str">
        <f>IF(LEFT(AO77,1)="B","CAPEX",IF(LEFT(AO77,1)="C","STOCK",IF(MID(AO77,7,2)="JA","STAFF",IF(MID(AO77,7,1)="H","STAFF",IF(MID(AO77,7,1)="S","STAFF",IF(MID(AO77,7,2)="JV","LOG",IFERROR(VLOOKUP($AO77,[1]!Table14[[New Account Number]:[Filtro2]],10,0),VLOOKUP($AO77,[1]!Table14[[Old Account Number]:[Filtro2]],13,0))))))))</f>
        <v>Total Outras Despesas Fixas</v>
      </c>
      <c r="D77" t="s">
        <v>43</v>
      </c>
      <c r="E77" t="s">
        <v>2</v>
      </c>
      <c r="F77" t="s">
        <v>3</v>
      </c>
      <c r="G77">
        <v>644073</v>
      </c>
      <c r="H77" t="s">
        <v>0</v>
      </c>
      <c r="I77" t="s">
        <v>49</v>
      </c>
      <c r="J77" t="s">
        <v>189</v>
      </c>
      <c r="K77" t="s">
        <v>1</v>
      </c>
      <c r="L77">
        <v>4211301181</v>
      </c>
      <c r="M77">
        <v>9001631078</v>
      </c>
      <c r="N77" s="2">
        <v>45931</v>
      </c>
      <c r="O77" s="2">
        <v>46006</v>
      </c>
      <c r="P77">
        <v>872.01</v>
      </c>
      <c r="Q77" s="2">
        <v>45954</v>
      </c>
      <c r="R77">
        <v>5001546222</v>
      </c>
      <c r="S77">
        <v>2025</v>
      </c>
      <c r="T77">
        <v>364757</v>
      </c>
      <c r="U77" t="s">
        <v>1</v>
      </c>
      <c r="V77" s="2"/>
      <c r="W77" t="s">
        <v>1</v>
      </c>
      <c r="AE77">
        <v>0</v>
      </c>
      <c r="AF77" t="s">
        <v>184</v>
      </c>
      <c r="AG77" t="s">
        <v>1</v>
      </c>
      <c r="AH77" t="s">
        <v>1</v>
      </c>
      <c r="AI77">
        <v>872.01</v>
      </c>
      <c r="AJ77" t="s">
        <v>1</v>
      </c>
      <c r="AK77" t="s">
        <v>1</v>
      </c>
      <c r="AL77">
        <v>6999999</v>
      </c>
      <c r="AM77" t="s">
        <v>59</v>
      </c>
      <c r="AN77">
        <v>9000</v>
      </c>
      <c r="AO77" t="s">
        <v>54</v>
      </c>
    </row>
    <row r="78" spans="1:41" x14ac:dyDescent="0.25">
      <c r="A78" t="str">
        <f>VLOOKUP(MONTH(N78),Sheet1!$A$2:$B$13,2,0)</f>
        <v>Nov</v>
      </c>
      <c r="B78" t="str">
        <f>IF(LEFT(AO78,1)="B","CAPEX",IF(LEFT(AO78,1)="C","STOCK",IF(MID(AO78,7,2)="JA","STAFF",IF(MID(AO78,7,1)="H","STAFF",IF(MID(AO78,7,1)="S","STAFF",IF(MID(AO78,7,2)="JV","LOG",IFERROR(VLOOKUP($AO78,[1]!Table14[[New Account Number]:[Filtro2]],9,0),VLOOKUP($AO78,[1]!Table14[[Old Account Number]:[Filtro2]],12,0))))))))</f>
        <v>STOCK</v>
      </c>
      <c r="C78" t="str">
        <f>IF(LEFT(AO78,1)="B","CAPEX",IF(LEFT(AO78,1)="C","STOCK",IF(MID(AO78,7,2)="JA","STAFF",IF(MID(AO78,7,1)="H","STAFF",IF(MID(AO78,7,1)="S","STAFF",IF(MID(AO78,7,2)="JV","LOG",IFERROR(VLOOKUP($AO78,[1]!Table14[[New Account Number]:[Filtro2]],10,0),VLOOKUP($AO78,[1]!Table14[[Old Account Number]:[Filtro2]],13,0))))))))</f>
        <v>STOCK</v>
      </c>
      <c r="D78" t="s">
        <v>43</v>
      </c>
      <c r="E78" t="s">
        <v>2</v>
      </c>
      <c r="F78" t="s">
        <v>3</v>
      </c>
      <c r="G78">
        <v>4766</v>
      </c>
      <c r="H78" t="s">
        <v>0</v>
      </c>
      <c r="I78" t="s">
        <v>49</v>
      </c>
      <c r="J78" t="s">
        <v>199</v>
      </c>
      <c r="K78" t="s">
        <v>1</v>
      </c>
      <c r="L78">
        <v>4211332423</v>
      </c>
      <c r="M78">
        <v>9001689831</v>
      </c>
      <c r="N78" s="2">
        <v>45974</v>
      </c>
      <c r="O78" s="2">
        <v>46034</v>
      </c>
      <c r="P78">
        <v>4004.1</v>
      </c>
      <c r="Q78" s="2">
        <v>45974</v>
      </c>
      <c r="R78">
        <v>5001691710</v>
      </c>
      <c r="S78">
        <v>2025</v>
      </c>
      <c r="T78">
        <v>368122</v>
      </c>
      <c r="U78" t="s">
        <v>1</v>
      </c>
      <c r="V78" s="2"/>
      <c r="W78" t="s">
        <v>1</v>
      </c>
      <c r="AE78">
        <v>0</v>
      </c>
      <c r="AF78" t="s">
        <v>144</v>
      </c>
      <c r="AG78" t="s">
        <v>1</v>
      </c>
      <c r="AH78" t="s">
        <v>145</v>
      </c>
      <c r="AI78">
        <v>4004.1</v>
      </c>
      <c r="AJ78" t="s">
        <v>1</v>
      </c>
      <c r="AK78" t="s">
        <v>1</v>
      </c>
      <c r="AL78">
        <v>6999999</v>
      </c>
      <c r="AM78" t="s">
        <v>59</v>
      </c>
      <c r="AN78">
        <v>9042</v>
      </c>
      <c r="AO78" t="s">
        <v>197</v>
      </c>
    </row>
    <row r="79" spans="1:41" x14ac:dyDescent="0.25">
      <c r="A79" t="str">
        <f>VLOOKUP(MONTH(N79),Sheet1!$A$2:$B$13,2,0)</f>
        <v>Nov</v>
      </c>
      <c r="B79" t="str">
        <f>IF(LEFT(AO79,1)="B","CAPEX",IF(LEFT(AO79,1)="C","STOCK",IF(MID(AO79,7,2)="JA","STAFF",IF(MID(AO79,7,1)="H","STAFF",IF(MID(AO79,7,1)="S","STAFF",IF(MID(AO79,7,2)="JV","LOG",IFERROR(VLOOKUP($AO79,[1]!Table14[[New Account Number]:[Filtro2]],9,0),VLOOKUP($AO79,[1]!Table14[[Old Account Number]:[Filtro2]],12,0))))))))</f>
        <v>Aluguéis</v>
      </c>
      <c r="C79" t="str">
        <f>IF(LEFT(AO79,1)="B","CAPEX",IF(LEFT(AO79,1)="C","STOCK",IF(MID(AO79,7,2)="JA","STAFF",IF(MID(AO79,7,1)="H","STAFF",IF(MID(AO79,7,1)="S","STAFF",IF(MID(AO79,7,2)="JV","LOG",IFERROR(VLOOKUP($AO79,[1]!Table14[[New Account Number]:[Filtro2]],10,0),VLOOKUP($AO79,[1]!Table14[[Old Account Number]:[Filtro2]],13,0))))))))</f>
        <v>Total Outras Despesas Fixas</v>
      </c>
      <c r="D79" t="s">
        <v>43</v>
      </c>
      <c r="E79" t="s">
        <v>2</v>
      </c>
      <c r="F79" t="s">
        <v>3</v>
      </c>
      <c r="G79">
        <v>9172</v>
      </c>
      <c r="H79" t="s">
        <v>0</v>
      </c>
      <c r="I79" t="s">
        <v>49</v>
      </c>
      <c r="J79" t="s">
        <v>158</v>
      </c>
      <c r="K79" t="s">
        <v>1</v>
      </c>
      <c r="L79">
        <v>4211326362</v>
      </c>
      <c r="M79">
        <v>9001689245</v>
      </c>
      <c r="N79" s="2">
        <v>45976</v>
      </c>
      <c r="O79" s="2">
        <v>46066</v>
      </c>
      <c r="P79">
        <v>8822.6299999999992</v>
      </c>
      <c r="Q79" s="2">
        <v>45978</v>
      </c>
      <c r="R79">
        <v>5001714366</v>
      </c>
      <c r="S79">
        <v>2025</v>
      </c>
      <c r="T79">
        <v>368572</v>
      </c>
      <c r="U79" t="s">
        <v>1</v>
      </c>
      <c r="V79" s="2"/>
      <c r="W79" t="s">
        <v>1</v>
      </c>
      <c r="AE79">
        <v>0</v>
      </c>
      <c r="AF79" t="s">
        <v>144</v>
      </c>
      <c r="AG79" t="s">
        <v>1</v>
      </c>
      <c r="AH79" t="s">
        <v>145</v>
      </c>
      <c r="AI79">
        <v>8822.6299999999992</v>
      </c>
      <c r="AJ79" t="s">
        <v>1</v>
      </c>
      <c r="AK79" t="s">
        <v>1</v>
      </c>
      <c r="AL79">
        <v>6999999</v>
      </c>
      <c r="AM79" t="s">
        <v>59</v>
      </c>
      <c r="AN79">
        <v>9000</v>
      </c>
      <c r="AO79" t="s">
        <v>54</v>
      </c>
    </row>
    <row r="80" spans="1:41" x14ac:dyDescent="0.25">
      <c r="A80" t="str">
        <f>VLOOKUP(MONTH(N80),Sheet1!$A$2:$B$13,2,0)</f>
        <v>Nov</v>
      </c>
      <c r="B80" t="str">
        <f>IF(LEFT(AO80,1)="B","CAPEX",IF(LEFT(AO80,1)="C","STOCK",IF(MID(AO80,7,2)="JA","STAFF",IF(MID(AO80,7,1)="H","STAFF",IF(MID(AO80,7,1)="S","STAFF",IF(MID(AO80,7,2)="JV","LOG",IFERROR(VLOOKUP($AO80,[1]!Table14[[New Account Number]:[Filtro2]],9,0),VLOOKUP($AO80,[1]!Table14[[Old Account Number]:[Filtro2]],12,0))))))))</f>
        <v>Aluguéis</v>
      </c>
      <c r="C80" t="str">
        <f>IF(LEFT(AO80,1)="B","CAPEX",IF(LEFT(AO80,1)="C","STOCK",IF(MID(AO80,7,2)="JA","STAFF",IF(MID(AO80,7,1)="H","STAFF",IF(MID(AO80,7,1)="S","STAFF",IF(MID(AO80,7,2)="JV","LOG",IFERROR(VLOOKUP($AO80,[1]!Table14[[New Account Number]:[Filtro2]],10,0),VLOOKUP($AO80,[1]!Table14[[Old Account Number]:[Filtro2]],13,0))))))))</f>
        <v>Total Outras Despesas Fixas</v>
      </c>
      <c r="D80" t="s">
        <v>43</v>
      </c>
      <c r="E80" t="s">
        <v>2</v>
      </c>
      <c r="F80" t="s">
        <v>3</v>
      </c>
      <c r="G80">
        <v>9173</v>
      </c>
      <c r="H80" t="s">
        <v>0</v>
      </c>
      <c r="I80" t="s">
        <v>49</v>
      </c>
      <c r="J80" t="s">
        <v>158</v>
      </c>
      <c r="K80" t="s">
        <v>1</v>
      </c>
      <c r="L80">
        <v>4211326362</v>
      </c>
      <c r="M80">
        <v>9001689397</v>
      </c>
      <c r="N80" s="2">
        <v>45976</v>
      </c>
      <c r="O80" s="2">
        <v>46066</v>
      </c>
      <c r="P80">
        <v>74128.600000000006</v>
      </c>
      <c r="Q80" s="2">
        <v>45978</v>
      </c>
      <c r="R80">
        <v>5001714367</v>
      </c>
      <c r="S80">
        <v>2025</v>
      </c>
      <c r="T80">
        <v>368573</v>
      </c>
      <c r="U80" t="s">
        <v>1</v>
      </c>
      <c r="V80" s="2"/>
      <c r="W80" t="s">
        <v>1</v>
      </c>
      <c r="AE80">
        <v>0</v>
      </c>
      <c r="AF80" t="s">
        <v>144</v>
      </c>
      <c r="AG80" t="s">
        <v>1</v>
      </c>
      <c r="AH80" t="s">
        <v>145</v>
      </c>
      <c r="AI80">
        <v>74128.600000000006</v>
      </c>
      <c r="AJ80" t="s">
        <v>1</v>
      </c>
      <c r="AK80" t="s">
        <v>1</v>
      </c>
      <c r="AL80">
        <v>6999999</v>
      </c>
      <c r="AM80" t="s">
        <v>59</v>
      </c>
      <c r="AN80">
        <v>9000</v>
      </c>
      <c r="AO80" t="s">
        <v>146</v>
      </c>
    </row>
    <row r="81" spans="1:41" x14ac:dyDescent="0.25">
      <c r="A81" t="str">
        <f>VLOOKUP(MONTH(N81),Sheet1!$A$2:$B$13,2,0)</f>
        <v>Dez</v>
      </c>
      <c r="B81" t="str">
        <f>IF(LEFT(AO81,1)="B","CAPEX",IF(LEFT(AO81,1)="C","STOCK",IF(MID(AO81,7,2)="JA","STAFF",IF(MID(AO81,7,1)="H","STAFF",IF(MID(AO81,7,1)="S","STAFF",IF(MID(AO81,7,2)="JV","LOG",IFERROR(VLOOKUP($AO81,[1]!Table14[[New Account Number]:[Filtro2]],9,0),VLOOKUP($AO81,[1]!Table14[[Old Account Number]:[Filtro2]],12,0))))))))</f>
        <v>Serv.Prof.Prestados - Serviços</v>
      </c>
      <c r="C81" t="str">
        <f>IF(LEFT(AO81,1)="B","CAPEX",IF(LEFT(AO81,1)="C","STOCK",IF(MID(AO81,7,2)="JA","STAFF",IF(MID(AO81,7,1)="H","STAFF",IF(MID(AO81,7,1)="S","STAFF",IF(MID(AO81,7,2)="JV","LOG",IFERROR(VLOOKUP($AO81,[1]!Table14[[New Account Number]:[Filtro2]],10,0),VLOOKUP($AO81,[1]!Table14[[Old Account Number]:[Filtro2]],13,0))))))))</f>
        <v>Total Outras Despesas Fixas</v>
      </c>
      <c r="D81" t="s">
        <v>46</v>
      </c>
      <c r="E81" t="s">
        <v>47</v>
      </c>
      <c r="F81" t="s">
        <v>48</v>
      </c>
      <c r="G81">
        <v>89294</v>
      </c>
      <c r="H81" t="s">
        <v>0</v>
      </c>
      <c r="I81" t="s">
        <v>271</v>
      </c>
      <c r="J81" t="s">
        <v>293</v>
      </c>
      <c r="K81" t="s">
        <v>1</v>
      </c>
      <c r="L81">
        <v>4211315715</v>
      </c>
      <c r="M81">
        <v>9001691906</v>
      </c>
      <c r="N81" s="2">
        <v>45992</v>
      </c>
      <c r="O81" s="2">
        <v>46047</v>
      </c>
      <c r="P81">
        <v>10360.030000000001</v>
      </c>
      <c r="Q81" s="2">
        <v>46000</v>
      </c>
      <c r="R81">
        <v>5001878541</v>
      </c>
      <c r="S81">
        <v>2025</v>
      </c>
      <c r="T81">
        <v>372555</v>
      </c>
      <c r="U81" t="s">
        <v>1</v>
      </c>
      <c r="V81" s="2">
        <v>46000</v>
      </c>
      <c r="W81" t="s">
        <v>273</v>
      </c>
      <c r="AA81">
        <v>5001878512</v>
      </c>
      <c r="AB81">
        <v>2025</v>
      </c>
      <c r="AC81">
        <v>9004033465</v>
      </c>
      <c r="AD81">
        <v>2025</v>
      </c>
      <c r="AE81">
        <v>10417416</v>
      </c>
      <c r="AF81" t="s">
        <v>274</v>
      </c>
      <c r="AG81" t="s">
        <v>274</v>
      </c>
      <c r="AH81" t="s">
        <v>273</v>
      </c>
      <c r="AI81">
        <v>0</v>
      </c>
      <c r="AJ81" t="s">
        <v>1</v>
      </c>
      <c r="AK81" t="s">
        <v>1</v>
      </c>
      <c r="AL81">
        <v>6999999</v>
      </c>
      <c r="AM81" t="s">
        <v>275</v>
      </c>
      <c r="AN81">
        <v>2956</v>
      </c>
      <c r="AO81" t="s">
        <v>53</v>
      </c>
    </row>
    <row r="82" spans="1:41" x14ac:dyDescent="0.25">
      <c r="A82" t="str">
        <f>VLOOKUP(MONTH(N82),Sheet1!$A$2:$B$13,2,0)</f>
        <v>Out</v>
      </c>
      <c r="B82" t="str">
        <f>IF(LEFT(AO82,1)="B","CAPEX",IF(LEFT(AO82,1)="C","STOCK",IF(MID(AO82,7,2)="JA","STAFF",IF(MID(AO82,7,1)="H","STAFF",IF(MID(AO82,7,1)="S","STAFF",IF(MID(AO82,7,2)="JV","LOG",IFERROR(VLOOKUP($AO82,[1]!Table14[[New Account Number]:[Filtro2]],9,0),VLOOKUP($AO82,[1]!Table14[[Old Account Number]:[Filtro2]],12,0))))))))</f>
        <v>Treinamento</v>
      </c>
      <c r="C82" t="str">
        <f>IF(LEFT(AO82,1)="B","CAPEX",IF(LEFT(AO82,1)="C","STOCK",IF(MID(AO82,7,2)="JA","STAFF",IF(MID(AO82,7,1)="H","STAFF",IF(MID(AO82,7,1)="S","STAFF",IF(MID(AO82,7,2)="JV","LOG",IFERROR(VLOOKUP($AO82,[1]!Table14[[New Account Number]:[Filtro2]],10,0),VLOOKUP($AO82,[1]!Table14[[Old Account Number]:[Filtro2]],13,0))))))))</f>
        <v>Total Outras Despesas Fixas</v>
      </c>
      <c r="D82" t="s">
        <v>43</v>
      </c>
      <c r="E82" t="s">
        <v>2</v>
      </c>
      <c r="F82" t="s">
        <v>3</v>
      </c>
      <c r="G82">
        <v>14835</v>
      </c>
      <c r="H82" t="s">
        <v>0</v>
      </c>
      <c r="I82" t="s">
        <v>44</v>
      </c>
      <c r="J82" t="s">
        <v>215</v>
      </c>
      <c r="K82" t="s">
        <v>1</v>
      </c>
      <c r="L82">
        <v>4211301849</v>
      </c>
      <c r="M82">
        <v>9001683832</v>
      </c>
      <c r="N82" s="2">
        <v>45951</v>
      </c>
      <c r="O82" s="2">
        <v>46011</v>
      </c>
      <c r="P82">
        <v>4600</v>
      </c>
      <c r="Q82" s="2">
        <v>45951</v>
      </c>
      <c r="R82">
        <v>5001798667</v>
      </c>
      <c r="S82">
        <v>2025</v>
      </c>
      <c r="T82">
        <v>364049</v>
      </c>
      <c r="U82" t="s">
        <v>1</v>
      </c>
      <c r="V82" s="2"/>
      <c r="W82" t="s">
        <v>1</v>
      </c>
      <c r="AE82">
        <v>0</v>
      </c>
      <c r="AF82" t="s">
        <v>216</v>
      </c>
      <c r="AG82" t="s">
        <v>1</v>
      </c>
      <c r="AH82" t="s">
        <v>217</v>
      </c>
      <c r="AI82">
        <v>4600</v>
      </c>
      <c r="AJ82" t="s">
        <v>1</v>
      </c>
      <c r="AK82" t="s">
        <v>1</v>
      </c>
      <c r="AL82">
        <v>6999999</v>
      </c>
      <c r="AM82" t="s">
        <v>92</v>
      </c>
      <c r="AN82">
        <v>2952</v>
      </c>
      <c r="AO82" t="s">
        <v>218</v>
      </c>
    </row>
    <row r="83" spans="1:41" x14ac:dyDescent="0.25">
      <c r="A83" t="str">
        <f>VLOOKUP(MONTH(N83),Sheet1!$A$2:$B$13,2,0)</f>
        <v>Nov</v>
      </c>
      <c r="B83" t="str">
        <f>IF(LEFT(AO83,1)="B","CAPEX",IF(LEFT(AO83,1)="C","STOCK",IF(MID(AO83,7,2)="JA","STAFF",IF(MID(AO83,7,1)="H","STAFF",IF(MID(AO83,7,1)="S","STAFF",IF(MID(AO83,7,2)="JV","LOG",IFERROR(VLOOKUP($AO83,[1]!Table14[[New Account Number]:[Filtro2]],9,0),VLOOKUP($AO83,[1]!Table14[[Old Account Number]:[Filtro2]],12,0))))))))</f>
        <v>Manutenção Terceiros</v>
      </c>
      <c r="C83" t="str">
        <f>IF(LEFT(AO83,1)="B","CAPEX",IF(LEFT(AO83,1)="C","STOCK",IF(MID(AO83,7,2)="JA","STAFF",IF(MID(AO83,7,1)="H","STAFF",IF(MID(AO83,7,1)="S","STAFF",IF(MID(AO83,7,2)="JV","LOG",IFERROR(VLOOKUP($AO83,[1]!Table14[[New Account Number]:[Filtro2]],10,0),VLOOKUP($AO83,[1]!Table14[[Old Account Number]:[Filtro2]],13,0))))))))</f>
        <v>Total Manutenção Variável</v>
      </c>
      <c r="D83" t="s">
        <v>43</v>
      </c>
      <c r="E83" t="s">
        <v>2</v>
      </c>
      <c r="F83" t="s">
        <v>3</v>
      </c>
      <c r="G83">
        <v>58</v>
      </c>
      <c r="H83" t="s">
        <v>0</v>
      </c>
      <c r="I83" t="s">
        <v>49</v>
      </c>
      <c r="J83" t="s">
        <v>205</v>
      </c>
      <c r="K83" t="s">
        <v>1</v>
      </c>
      <c r="L83">
        <v>4211333386</v>
      </c>
      <c r="M83">
        <v>2600469577</v>
      </c>
      <c r="N83" s="2">
        <v>45981</v>
      </c>
      <c r="O83" s="2">
        <v>46041</v>
      </c>
      <c r="P83">
        <v>6640.63</v>
      </c>
      <c r="Q83" s="2">
        <v>45981</v>
      </c>
      <c r="R83">
        <v>5001743631</v>
      </c>
      <c r="S83">
        <v>2025</v>
      </c>
      <c r="T83">
        <v>369229</v>
      </c>
      <c r="U83" t="s">
        <v>1</v>
      </c>
      <c r="V83" s="2"/>
      <c r="W83" t="s">
        <v>1</v>
      </c>
      <c r="AE83">
        <v>0</v>
      </c>
      <c r="AF83" t="s">
        <v>106</v>
      </c>
      <c r="AG83" t="s">
        <v>1</v>
      </c>
      <c r="AH83" t="s">
        <v>192</v>
      </c>
      <c r="AI83">
        <v>6640.63</v>
      </c>
      <c r="AJ83" t="s">
        <v>1</v>
      </c>
      <c r="AK83" t="s">
        <v>1</v>
      </c>
      <c r="AL83">
        <v>6999999</v>
      </c>
      <c r="AM83" t="s">
        <v>59</v>
      </c>
      <c r="AN83">
        <v>9203</v>
      </c>
      <c r="AO83" t="s">
        <v>50</v>
      </c>
    </row>
    <row r="84" spans="1:41" x14ac:dyDescent="0.25">
      <c r="A84" t="str">
        <f>VLOOKUP(MONTH(N84),Sheet1!$A$2:$B$13,2,0)</f>
        <v>Nov</v>
      </c>
      <c r="B84" t="str">
        <f>IF(LEFT(AO84,1)="B","CAPEX",IF(LEFT(AO84,1)="C","STOCK",IF(MID(AO84,7,2)="JA","STAFF",IF(MID(AO84,7,1)="H","STAFF",IF(MID(AO84,7,1)="S","STAFF",IF(MID(AO84,7,2)="JV","LOG",IFERROR(VLOOKUP($AO84,[1]!Table14[[New Account Number]:[Filtro2]],9,0),VLOOKUP($AO84,[1]!Table14[[Old Account Number]:[Filtro2]],12,0))))))))</f>
        <v>Outras Despesas</v>
      </c>
      <c r="C84" t="str">
        <f>IF(LEFT(AO84,1)="B","CAPEX",IF(LEFT(AO84,1)="C","STOCK",IF(MID(AO84,7,2)="JA","STAFF",IF(MID(AO84,7,1)="H","STAFF",IF(MID(AO84,7,1)="S","STAFF",IF(MID(AO84,7,2)="JV","LOG",IFERROR(VLOOKUP($AO84,[1]!Table14[[New Account Number]:[Filtro2]],10,0),VLOOKUP($AO84,[1]!Table14[[Old Account Number]:[Filtro2]],13,0))))))))</f>
        <v>Total Outras Despesas Variáveis</v>
      </c>
      <c r="D84" t="s">
        <v>43</v>
      </c>
      <c r="E84" t="s">
        <v>2</v>
      </c>
      <c r="F84" t="s">
        <v>3</v>
      </c>
      <c r="G84">
        <v>147130</v>
      </c>
      <c r="H84" t="s">
        <v>0</v>
      </c>
      <c r="I84" t="s">
        <v>49</v>
      </c>
      <c r="J84" t="s">
        <v>62</v>
      </c>
      <c r="K84" t="s">
        <v>1</v>
      </c>
      <c r="L84">
        <v>4211315568</v>
      </c>
      <c r="M84">
        <v>9001690905</v>
      </c>
      <c r="N84" s="2">
        <v>45985</v>
      </c>
      <c r="O84" s="2">
        <v>46075</v>
      </c>
      <c r="P84">
        <v>36513.370000000003</v>
      </c>
      <c r="Q84" s="2">
        <v>45985</v>
      </c>
      <c r="R84">
        <v>5001772587</v>
      </c>
      <c r="S84">
        <v>2025</v>
      </c>
      <c r="T84">
        <v>369759</v>
      </c>
      <c r="U84" t="s">
        <v>1</v>
      </c>
      <c r="V84" s="2"/>
      <c r="W84" t="s">
        <v>1</v>
      </c>
      <c r="AE84">
        <v>0</v>
      </c>
      <c r="AF84" t="s">
        <v>106</v>
      </c>
      <c r="AG84" t="s">
        <v>1</v>
      </c>
      <c r="AH84" t="s">
        <v>192</v>
      </c>
      <c r="AI84">
        <v>36513.370000000003</v>
      </c>
      <c r="AJ84" t="s">
        <v>1</v>
      </c>
      <c r="AK84" t="s">
        <v>1</v>
      </c>
      <c r="AL84">
        <v>6000031</v>
      </c>
      <c r="AM84" t="s">
        <v>59</v>
      </c>
      <c r="AN84">
        <v>9013</v>
      </c>
      <c r="AO84" t="s">
        <v>147</v>
      </c>
    </row>
    <row r="85" spans="1:41" x14ac:dyDescent="0.25">
      <c r="A85" t="str">
        <f>VLOOKUP(MONTH(N85),Sheet1!$A$2:$B$13,2,0)</f>
        <v>Nov</v>
      </c>
      <c r="B85" t="str">
        <f>IF(LEFT(AO85,1)="B","CAPEX",IF(LEFT(AO85,1)="C","STOCK",IF(MID(AO85,7,2)="JA","STAFF",IF(MID(AO85,7,1)="H","STAFF",IF(MID(AO85,7,1)="S","STAFF",IF(MID(AO85,7,2)="JV","LOG",IFERROR(VLOOKUP($AO85,[1]!Table14[[New Account Number]:[Filtro2]],9,0),VLOOKUP($AO85,[1]!Table14[[Old Account Number]:[Filtro2]],12,0))))))))</f>
        <v>Outras Despesas</v>
      </c>
      <c r="C85" t="str">
        <f>IF(LEFT(AO85,1)="B","CAPEX",IF(LEFT(AO85,1)="C","STOCK",IF(MID(AO85,7,2)="JA","STAFF",IF(MID(AO85,7,1)="H","STAFF",IF(MID(AO85,7,1)="S","STAFF",IF(MID(AO85,7,2)="JV","LOG",IFERROR(VLOOKUP($AO85,[1]!Table14[[New Account Number]:[Filtro2]],10,0),VLOOKUP($AO85,[1]!Table14[[Old Account Number]:[Filtro2]],13,0))))))))</f>
        <v>Total Outras Despesas Variáveis</v>
      </c>
      <c r="D85" t="s">
        <v>43</v>
      </c>
      <c r="E85" t="s">
        <v>2</v>
      </c>
      <c r="F85" t="s">
        <v>3</v>
      </c>
      <c r="G85">
        <v>14355</v>
      </c>
      <c r="H85" t="s">
        <v>0</v>
      </c>
      <c r="I85" t="s">
        <v>108</v>
      </c>
      <c r="J85" t="s">
        <v>124</v>
      </c>
      <c r="K85" t="s">
        <v>1</v>
      </c>
      <c r="L85">
        <v>4211333268</v>
      </c>
      <c r="M85">
        <v>9001678942</v>
      </c>
      <c r="N85" s="2">
        <v>45978</v>
      </c>
      <c r="O85" s="2">
        <v>46038</v>
      </c>
      <c r="P85">
        <v>83480.56</v>
      </c>
      <c r="Q85" s="2">
        <v>45986</v>
      </c>
      <c r="R85">
        <v>5001785055</v>
      </c>
      <c r="S85">
        <v>2025</v>
      </c>
      <c r="T85">
        <v>370044</v>
      </c>
      <c r="U85" t="s">
        <v>1</v>
      </c>
      <c r="V85" s="2"/>
      <c r="W85" t="s">
        <v>1</v>
      </c>
      <c r="AE85">
        <v>0</v>
      </c>
      <c r="AF85" t="s">
        <v>110</v>
      </c>
      <c r="AG85" t="s">
        <v>1</v>
      </c>
      <c r="AH85" t="s">
        <v>111</v>
      </c>
      <c r="AI85">
        <v>83480.56</v>
      </c>
      <c r="AJ85" t="s">
        <v>1</v>
      </c>
      <c r="AK85" t="s">
        <v>1</v>
      </c>
      <c r="AL85">
        <v>6000031</v>
      </c>
      <c r="AM85" t="s">
        <v>112</v>
      </c>
      <c r="AN85">
        <v>9201</v>
      </c>
      <c r="AO85" t="s">
        <v>147</v>
      </c>
    </row>
    <row r="86" spans="1:41" x14ac:dyDescent="0.25">
      <c r="A86" t="str">
        <f>VLOOKUP(MONTH(N86),Sheet1!$A$2:$B$13,2,0)</f>
        <v>Dez</v>
      </c>
      <c r="B86" t="str">
        <f>IF(LEFT(AO86,1)="B","CAPEX",IF(LEFT(AO86,1)="C","STOCK",IF(MID(AO86,7,2)="JA","STAFF",IF(MID(AO86,7,1)="H","STAFF",IF(MID(AO86,7,1)="S","STAFF",IF(MID(AO86,7,2)="JV","LOG",IFERROR(VLOOKUP($AO86,[1]!Table14[[New Account Number]:[Filtro2]],9,0),VLOOKUP($AO86,[1]!Table14[[Old Account Number]:[Filtro2]],12,0))))))))</f>
        <v>Serv.Prof.Prestados - Serviços</v>
      </c>
      <c r="C86" t="str">
        <f>IF(LEFT(AO86,1)="B","CAPEX",IF(LEFT(AO86,1)="C","STOCK",IF(MID(AO86,7,2)="JA","STAFF",IF(MID(AO86,7,1)="H","STAFF",IF(MID(AO86,7,1)="S","STAFF",IF(MID(AO86,7,2)="JV","LOG",IFERROR(VLOOKUP($AO86,[1]!Table14[[New Account Number]:[Filtro2]],10,0),VLOOKUP($AO86,[1]!Table14[[Old Account Number]:[Filtro2]],13,0))))))))</f>
        <v>Total Outras Despesas Fixas</v>
      </c>
      <c r="D86" t="s">
        <v>43</v>
      </c>
      <c r="E86" t="s">
        <v>2</v>
      </c>
      <c r="F86" t="s">
        <v>3</v>
      </c>
      <c r="G86">
        <v>77072</v>
      </c>
      <c r="H86" t="s">
        <v>0</v>
      </c>
      <c r="I86" t="s">
        <v>49</v>
      </c>
      <c r="J86" t="s">
        <v>249</v>
      </c>
      <c r="K86" t="s">
        <v>1</v>
      </c>
      <c r="L86">
        <v>4211326778</v>
      </c>
      <c r="M86">
        <v>9001695686</v>
      </c>
      <c r="N86" s="2">
        <v>46000</v>
      </c>
      <c r="O86" s="2">
        <v>46045</v>
      </c>
      <c r="P86">
        <v>32374.06</v>
      </c>
      <c r="Q86" s="2">
        <v>46003</v>
      </c>
      <c r="R86">
        <v>5001906166</v>
      </c>
      <c r="S86">
        <v>2025</v>
      </c>
      <c r="T86">
        <v>373350</v>
      </c>
      <c r="U86" t="s">
        <v>1</v>
      </c>
      <c r="V86" s="2"/>
      <c r="W86" t="s">
        <v>1</v>
      </c>
      <c r="AE86">
        <v>0</v>
      </c>
      <c r="AF86" t="s">
        <v>229</v>
      </c>
      <c r="AG86" t="s">
        <v>1</v>
      </c>
      <c r="AH86" t="s">
        <v>230</v>
      </c>
      <c r="AI86">
        <v>32374.06</v>
      </c>
      <c r="AJ86" t="s">
        <v>1</v>
      </c>
      <c r="AK86" t="s">
        <v>1</v>
      </c>
      <c r="AL86">
        <v>6999999</v>
      </c>
      <c r="AM86" t="s">
        <v>59</v>
      </c>
      <c r="AN86">
        <v>9000</v>
      </c>
      <c r="AO86" t="s">
        <v>119</v>
      </c>
    </row>
    <row r="87" spans="1:41" x14ac:dyDescent="0.25">
      <c r="A87" t="str">
        <f>VLOOKUP(MONTH(N87),Sheet1!$A$2:$B$13,2,0)</f>
        <v>Dez</v>
      </c>
      <c r="B87" t="str">
        <f>IF(LEFT(AO87,1)="B","CAPEX",IF(LEFT(AO87,1)="C","STOCK",IF(MID(AO87,7,2)="JA","STAFF",IF(MID(AO87,7,1)="H","STAFF",IF(MID(AO87,7,1)="S","STAFF",IF(MID(AO87,7,2)="JV","LOG",IFERROR(VLOOKUP($AO87,[1]!Table14[[New Account Number]:[Filtro2]],9,0),VLOOKUP($AO87,[1]!Table14[[Old Account Number]:[Filtro2]],12,0))))))))</f>
        <v>Manutenção Terceiros</v>
      </c>
      <c r="C87" t="str">
        <f>IF(LEFT(AO87,1)="B","CAPEX",IF(LEFT(AO87,1)="C","STOCK",IF(MID(AO87,7,2)="JA","STAFF",IF(MID(AO87,7,1)="H","STAFF",IF(MID(AO87,7,1)="S","STAFF",IF(MID(AO87,7,2)="JV","LOG",IFERROR(VLOOKUP($AO87,[1]!Table14[[New Account Number]:[Filtro2]],10,0),VLOOKUP($AO87,[1]!Table14[[Old Account Number]:[Filtro2]],13,0))))))))</f>
        <v>Total Manutenção Variável</v>
      </c>
      <c r="D87" t="s">
        <v>43</v>
      </c>
      <c r="E87" t="s">
        <v>2</v>
      </c>
      <c r="F87" t="s">
        <v>3</v>
      </c>
      <c r="G87">
        <v>606</v>
      </c>
      <c r="H87" t="s">
        <v>0</v>
      </c>
      <c r="I87" t="s">
        <v>49</v>
      </c>
      <c r="J87" t="s">
        <v>141</v>
      </c>
      <c r="K87" t="s">
        <v>1</v>
      </c>
      <c r="L87">
        <v>4211333188</v>
      </c>
      <c r="M87">
        <v>2600470010</v>
      </c>
      <c r="N87" s="2">
        <v>46000</v>
      </c>
      <c r="O87" s="2">
        <v>46060</v>
      </c>
      <c r="P87">
        <v>19790</v>
      </c>
      <c r="Q87" s="2">
        <v>46000</v>
      </c>
      <c r="R87">
        <v>5001878124</v>
      </c>
      <c r="S87">
        <v>2025</v>
      </c>
      <c r="T87">
        <v>372560</v>
      </c>
      <c r="U87" t="s">
        <v>1</v>
      </c>
      <c r="V87" s="2"/>
      <c r="W87" t="s">
        <v>1</v>
      </c>
      <c r="AE87">
        <v>0</v>
      </c>
      <c r="AF87" t="s">
        <v>51</v>
      </c>
      <c r="AG87" t="s">
        <v>1</v>
      </c>
      <c r="AH87" t="s">
        <v>52</v>
      </c>
      <c r="AI87">
        <v>19790</v>
      </c>
      <c r="AJ87" t="s">
        <v>1</v>
      </c>
      <c r="AK87" t="s">
        <v>1</v>
      </c>
      <c r="AL87">
        <v>6999999</v>
      </c>
      <c r="AM87" t="s">
        <v>59</v>
      </c>
      <c r="AN87">
        <v>9203</v>
      </c>
      <c r="AO87" t="s">
        <v>50</v>
      </c>
    </row>
    <row r="88" spans="1:41" x14ac:dyDescent="0.25">
      <c r="A88" t="str">
        <f>VLOOKUP(MONTH(N88),Sheet1!$A$2:$B$13,2,0)</f>
        <v>Dez</v>
      </c>
      <c r="B88" t="str">
        <f>IF(LEFT(AO88,1)="B","CAPEX",IF(LEFT(AO88,1)="C","STOCK",IF(MID(AO88,7,2)="JA","STAFF",IF(MID(AO88,7,1)="H","STAFF",IF(MID(AO88,7,1)="S","STAFF",IF(MID(AO88,7,2)="JV","LOG",IFERROR(VLOOKUP($AO88,[1]!Table14[[New Account Number]:[Filtro2]],9,0),VLOOKUP($AO88,[1]!Table14[[Old Account Number]:[Filtro2]],12,0))))))))</f>
        <v>Manutenção Terceiros</v>
      </c>
      <c r="C88" t="str">
        <f>IF(LEFT(AO88,1)="B","CAPEX",IF(LEFT(AO88,1)="C","STOCK",IF(MID(AO88,7,2)="JA","STAFF",IF(MID(AO88,7,1)="H","STAFF",IF(MID(AO88,7,1)="S","STAFF",IF(MID(AO88,7,2)="JV","LOG",IFERROR(VLOOKUP($AO88,[1]!Table14[[New Account Number]:[Filtro2]],10,0),VLOOKUP($AO88,[1]!Table14[[Old Account Number]:[Filtro2]],13,0))))))))</f>
        <v>Total Manutenção Fixa</v>
      </c>
      <c r="D88" t="s">
        <v>43</v>
      </c>
      <c r="E88" t="s">
        <v>2</v>
      </c>
      <c r="F88" t="s">
        <v>3</v>
      </c>
      <c r="G88">
        <v>2120</v>
      </c>
      <c r="H88" t="s">
        <v>0</v>
      </c>
      <c r="I88" t="s">
        <v>97</v>
      </c>
      <c r="J88" t="s">
        <v>294</v>
      </c>
      <c r="K88" t="s">
        <v>1</v>
      </c>
      <c r="L88">
        <v>4211329568</v>
      </c>
      <c r="M88">
        <v>2600470295</v>
      </c>
      <c r="N88" s="2">
        <v>46003</v>
      </c>
      <c r="O88" s="2">
        <v>46018</v>
      </c>
      <c r="P88">
        <v>29800</v>
      </c>
      <c r="Q88" s="2">
        <v>46003</v>
      </c>
      <c r="R88">
        <v>5001905938</v>
      </c>
      <c r="S88">
        <v>2025</v>
      </c>
      <c r="T88">
        <v>373338</v>
      </c>
      <c r="U88" t="s">
        <v>1</v>
      </c>
      <c r="V88" s="2"/>
      <c r="W88" t="s">
        <v>1</v>
      </c>
      <c r="AE88">
        <v>0</v>
      </c>
      <c r="AF88" t="s">
        <v>51</v>
      </c>
      <c r="AG88" t="s">
        <v>1</v>
      </c>
      <c r="AH88" t="s">
        <v>52</v>
      </c>
      <c r="AI88">
        <v>29800</v>
      </c>
      <c r="AJ88" t="s">
        <v>1</v>
      </c>
      <c r="AK88" t="s">
        <v>1</v>
      </c>
      <c r="AL88">
        <v>6000020</v>
      </c>
      <c r="AM88" t="s">
        <v>59</v>
      </c>
      <c r="AN88">
        <v>9021</v>
      </c>
      <c r="AO88" t="s">
        <v>100</v>
      </c>
    </row>
    <row r="89" spans="1:41" x14ac:dyDescent="0.25">
      <c r="A89" t="str">
        <f>VLOOKUP(MONTH(N89),Sheet1!$A$2:$B$13,2,0)</f>
        <v>Dez</v>
      </c>
      <c r="B89" t="str">
        <f>IF(LEFT(AO89,1)="B","CAPEX",IF(LEFT(AO89,1)="C","STOCK",IF(MID(AO89,7,2)="JA","STAFF",IF(MID(AO89,7,1)="H","STAFF",IF(MID(AO89,7,1)="S","STAFF",IF(MID(AO89,7,2)="JV","LOG",IFERROR(VLOOKUP($AO89,[1]!Table14[[New Account Number]:[Filtro2]],9,0),VLOOKUP($AO89,[1]!Table14[[Old Account Number]:[Filtro2]],12,0))))))))</f>
        <v>CAPEX</v>
      </c>
      <c r="C89" t="str">
        <f>IF(LEFT(AO89,1)="B","CAPEX",IF(LEFT(AO89,1)="C","STOCK",IF(MID(AO89,7,2)="JA","STAFF",IF(MID(AO89,7,1)="H","STAFF",IF(MID(AO89,7,1)="S","STAFF",IF(MID(AO89,7,2)="JV","LOG",IFERROR(VLOOKUP($AO89,[1]!Table14[[New Account Number]:[Filtro2]],10,0),VLOOKUP($AO89,[1]!Table14[[Old Account Number]:[Filtro2]],13,0))))))))</f>
        <v>CAPEX</v>
      </c>
      <c r="D89" t="s">
        <v>46</v>
      </c>
      <c r="E89" t="s">
        <v>47</v>
      </c>
      <c r="F89" t="s">
        <v>48</v>
      </c>
      <c r="G89">
        <v>687</v>
      </c>
      <c r="H89" t="s">
        <v>0</v>
      </c>
      <c r="I89" t="s">
        <v>58</v>
      </c>
      <c r="J89" t="s">
        <v>295</v>
      </c>
      <c r="K89" t="s">
        <v>1</v>
      </c>
      <c r="L89">
        <v>4211330336</v>
      </c>
      <c r="M89">
        <v>2600462052</v>
      </c>
      <c r="N89" s="2">
        <v>46003</v>
      </c>
      <c r="O89" s="2">
        <v>46033</v>
      </c>
      <c r="P89">
        <v>4456.2</v>
      </c>
      <c r="Q89" s="2">
        <v>46003</v>
      </c>
      <c r="R89">
        <v>5001905939</v>
      </c>
      <c r="S89">
        <v>2025</v>
      </c>
      <c r="T89">
        <v>373339</v>
      </c>
      <c r="U89" t="s">
        <v>1</v>
      </c>
      <c r="V89" s="2">
        <v>46003</v>
      </c>
      <c r="W89" t="s">
        <v>282</v>
      </c>
      <c r="AA89">
        <v>5001903182</v>
      </c>
      <c r="AB89">
        <v>2025</v>
      </c>
      <c r="AC89">
        <v>9004035279</v>
      </c>
      <c r="AD89">
        <v>2025</v>
      </c>
      <c r="AE89">
        <v>10421166</v>
      </c>
      <c r="AF89" t="s">
        <v>283</v>
      </c>
      <c r="AG89" t="s">
        <v>283</v>
      </c>
      <c r="AH89" t="s">
        <v>282</v>
      </c>
      <c r="AI89">
        <v>0</v>
      </c>
      <c r="AJ89" t="s">
        <v>1</v>
      </c>
      <c r="AK89" t="s">
        <v>1</v>
      </c>
      <c r="AL89">
        <v>6000020</v>
      </c>
      <c r="AM89" t="s">
        <v>59</v>
      </c>
      <c r="AO89" t="s">
        <v>121</v>
      </c>
    </row>
    <row r="90" spans="1:41" x14ac:dyDescent="0.25">
      <c r="A90" t="str">
        <f>VLOOKUP(MONTH(N90),Sheet1!$A$2:$B$13,2,0)</f>
        <v>Nov</v>
      </c>
      <c r="B90" t="str">
        <f>IF(LEFT(AO90,1)="B","CAPEX",IF(LEFT(AO90,1)="C","STOCK",IF(MID(AO90,7,2)="JA","STAFF",IF(MID(AO90,7,1)="H","STAFF",IF(MID(AO90,7,1)="S","STAFF",IF(MID(AO90,7,2)="JV","LOG",IFERROR(VLOOKUP($AO90,[1]!Table14[[New Account Number]:[Filtro2]],9,0),VLOOKUP($AO90,[1]!Table14[[Old Account Number]:[Filtro2]],12,0))))))))</f>
        <v>Aluguéis</v>
      </c>
      <c r="C90" t="str">
        <f>IF(LEFT(AO90,1)="B","CAPEX",IF(LEFT(AO90,1)="C","STOCK",IF(MID(AO90,7,2)="JA","STAFF",IF(MID(AO90,7,1)="H","STAFF",IF(MID(AO90,7,1)="S","STAFF",IF(MID(AO90,7,2)="JV","LOG",IFERROR(VLOOKUP($AO90,[1]!Table14[[New Account Number]:[Filtro2]],10,0),VLOOKUP($AO90,[1]!Table14[[Old Account Number]:[Filtro2]],13,0))))))))</f>
        <v>Total Outras Despesas Fixas</v>
      </c>
      <c r="D90" t="s">
        <v>43</v>
      </c>
      <c r="E90" t="s">
        <v>2</v>
      </c>
      <c r="F90" t="s">
        <v>3</v>
      </c>
      <c r="G90">
        <v>700268</v>
      </c>
      <c r="H90" t="s">
        <v>0</v>
      </c>
      <c r="I90" t="s">
        <v>49</v>
      </c>
      <c r="J90" t="s">
        <v>189</v>
      </c>
      <c r="K90" t="s">
        <v>1</v>
      </c>
      <c r="L90">
        <v>4211301181</v>
      </c>
      <c r="M90">
        <v>9001631078</v>
      </c>
      <c r="N90" s="2">
        <v>45964</v>
      </c>
      <c r="O90" s="2">
        <v>46039</v>
      </c>
      <c r="P90">
        <v>1665.22</v>
      </c>
      <c r="Q90" s="2">
        <v>45980</v>
      </c>
      <c r="R90">
        <v>5001731725</v>
      </c>
      <c r="S90">
        <v>2025</v>
      </c>
      <c r="T90">
        <v>368964</v>
      </c>
      <c r="U90" t="s">
        <v>1</v>
      </c>
      <c r="V90" s="2"/>
      <c r="W90" t="s">
        <v>1</v>
      </c>
      <c r="AE90">
        <v>0</v>
      </c>
      <c r="AF90" t="s">
        <v>184</v>
      </c>
      <c r="AG90" t="s">
        <v>1</v>
      </c>
      <c r="AH90" t="s">
        <v>1</v>
      </c>
      <c r="AI90">
        <v>1665.49</v>
      </c>
      <c r="AJ90" t="s">
        <v>1</v>
      </c>
      <c r="AK90" t="s">
        <v>1</v>
      </c>
      <c r="AL90">
        <v>6999999</v>
      </c>
      <c r="AM90" t="s">
        <v>59</v>
      </c>
      <c r="AN90">
        <v>9000</v>
      </c>
      <c r="AO90" t="s">
        <v>54</v>
      </c>
    </row>
    <row r="91" spans="1:41" x14ac:dyDescent="0.25">
      <c r="A91" t="str">
        <f>VLOOKUP(MONTH(N91),Sheet1!$A$2:$B$13,2,0)</f>
        <v>Dez</v>
      </c>
      <c r="B91" t="str">
        <f>IF(LEFT(AO91,1)="B","CAPEX",IF(LEFT(AO91,1)="C","STOCK",IF(MID(AO91,7,2)="JA","STAFF",IF(MID(AO91,7,1)="H","STAFF",IF(MID(AO91,7,1)="S","STAFF",IF(MID(AO91,7,2)="JV","LOG",IFERROR(VLOOKUP($AO91,[1]!Table14[[New Account Number]:[Filtro2]],9,0),VLOOKUP($AO91,[1]!Table14[[Old Account Number]:[Filtro2]],12,0))))))))</f>
        <v>Manutenção Terceiros</v>
      </c>
      <c r="C91" t="str">
        <f>IF(LEFT(AO91,1)="B","CAPEX",IF(LEFT(AO91,1)="C","STOCK",IF(MID(AO91,7,2)="JA","STAFF",IF(MID(AO91,7,1)="H","STAFF",IF(MID(AO91,7,1)="S","STAFF",IF(MID(AO91,7,2)="JV","LOG",IFERROR(VLOOKUP($AO91,[1]!Table14[[New Account Number]:[Filtro2]],10,0),VLOOKUP($AO91,[1]!Table14[[Old Account Number]:[Filtro2]],13,0))))))))</f>
        <v>Total Manutenção Variável</v>
      </c>
      <c r="D91" t="s">
        <v>43</v>
      </c>
      <c r="E91" t="s">
        <v>2</v>
      </c>
      <c r="F91" t="s">
        <v>3</v>
      </c>
      <c r="G91">
        <v>30590</v>
      </c>
      <c r="H91" t="s">
        <v>0</v>
      </c>
      <c r="I91" t="s">
        <v>49</v>
      </c>
      <c r="J91" t="s">
        <v>136</v>
      </c>
      <c r="K91" t="s">
        <v>1</v>
      </c>
      <c r="L91">
        <v>4211331619</v>
      </c>
      <c r="M91">
        <v>2600462998</v>
      </c>
      <c r="N91" s="2">
        <v>45992</v>
      </c>
      <c r="O91" s="2">
        <v>46022</v>
      </c>
      <c r="P91">
        <v>290</v>
      </c>
      <c r="Q91" s="2">
        <v>45994</v>
      </c>
      <c r="R91">
        <v>5001849973</v>
      </c>
      <c r="S91">
        <v>2025</v>
      </c>
      <c r="T91">
        <v>371277</v>
      </c>
      <c r="U91" t="s">
        <v>1</v>
      </c>
      <c r="V91" s="2"/>
      <c r="W91" t="s">
        <v>1</v>
      </c>
      <c r="AE91">
        <v>0</v>
      </c>
      <c r="AF91" t="s">
        <v>101</v>
      </c>
      <c r="AG91" t="s">
        <v>1</v>
      </c>
      <c r="AH91" t="s">
        <v>102</v>
      </c>
      <c r="AI91">
        <v>290</v>
      </c>
      <c r="AJ91" t="s">
        <v>1</v>
      </c>
      <c r="AK91" t="s">
        <v>1</v>
      </c>
      <c r="AL91">
        <v>6999999</v>
      </c>
      <c r="AM91" t="s">
        <v>59</v>
      </c>
      <c r="AN91">
        <v>9203</v>
      </c>
      <c r="AO91" t="s">
        <v>50</v>
      </c>
    </row>
    <row r="92" spans="1:41" x14ac:dyDescent="0.25">
      <c r="A92" t="str">
        <f>VLOOKUP(MONTH(N92),Sheet1!$A$2:$B$13,2,0)</f>
        <v>Out</v>
      </c>
      <c r="B92" t="str">
        <f>IF(LEFT(AO92,1)="B","CAPEX",IF(LEFT(AO92,1)="C","STOCK",IF(MID(AO92,7,2)="JA","STAFF",IF(MID(AO92,7,1)="H","STAFF",IF(MID(AO92,7,1)="S","STAFF",IF(MID(AO92,7,2)="JV","LOG",IFERROR(VLOOKUP($AO92,[1]!Table14[[New Account Number]:[Filtro2]],9,0),VLOOKUP($AO92,[1]!Table14[[Old Account Number]:[Filtro2]],12,0))))))))</f>
        <v>Manutenção Terceiros</v>
      </c>
      <c r="C92" t="str">
        <f>IF(LEFT(AO92,1)="B","CAPEX",IF(LEFT(AO92,1)="C","STOCK",IF(MID(AO92,7,2)="JA","STAFF",IF(MID(AO92,7,1)="H","STAFF",IF(MID(AO92,7,1)="S","STAFF",IF(MID(AO92,7,2)="JV","LOG",IFERROR(VLOOKUP($AO92,[1]!Table14[[New Account Number]:[Filtro2]],10,0),VLOOKUP($AO92,[1]!Table14[[Old Account Number]:[Filtro2]],13,0))))))))</f>
        <v>Total Manutenção Variável</v>
      </c>
      <c r="D92" t="s">
        <v>43</v>
      </c>
      <c r="E92" t="s">
        <v>2</v>
      </c>
      <c r="F92" t="s">
        <v>3</v>
      </c>
      <c r="G92">
        <v>11561</v>
      </c>
      <c r="H92" t="s">
        <v>0</v>
      </c>
      <c r="I92" t="s">
        <v>49</v>
      </c>
      <c r="J92" t="s">
        <v>99</v>
      </c>
      <c r="K92" t="s">
        <v>1</v>
      </c>
      <c r="L92">
        <v>4211324689</v>
      </c>
      <c r="M92">
        <v>9001681910</v>
      </c>
      <c r="N92" s="2">
        <v>45938</v>
      </c>
      <c r="O92" s="2">
        <v>46058</v>
      </c>
      <c r="P92">
        <v>3922.2</v>
      </c>
      <c r="Q92" s="2">
        <v>45940</v>
      </c>
      <c r="R92">
        <v>5001450286</v>
      </c>
      <c r="S92">
        <v>2025</v>
      </c>
      <c r="T92">
        <v>362435</v>
      </c>
      <c r="U92" t="s">
        <v>1</v>
      </c>
      <c r="V92" s="2"/>
      <c r="W92" t="s">
        <v>1</v>
      </c>
      <c r="AE92">
        <v>0</v>
      </c>
      <c r="AF92" t="s">
        <v>101</v>
      </c>
      <c r="AG92" t="s">
        <v>1</v>
      </c>
      <c r="AH92" t="s">
        <v>102</v>
      </c>
      <c r="AI92">
        <v>3922.2</v>
      </c>
      <c r="AJ92" t="s">
        <v>1</v>
      </c>
      <c r="AK92" t="s">
        <v>1</v>
      </c>
      <c r="AL92">
        <v>6000020</v>
      </c>
      <c r="AM92" t="s">
        <v>59</v>
      </c>
      <c r="AN92">
        <v>9203</v>
      </c>
      <c r="AO92" t="s">
        <v>50</v>
      </c>
    </row>
    <row r="93" spans="1:41" x14ac:dyDescent="0.25">
      <c r="A93" t="str">
        <f>VLOOKUP(MONTH(N93),Sheet1!$A$2:$B$13,2,0)</f>
        <v>Out</v>
      </c>
      <c r="B93" t="str">
        <f>IF(LEFT(AO93,1)="B","CAPEX",IF(LEFT(AO93,1)="C","STOCK",IF(MID(AO93,7,2)="JA","STAFF",IF(MID(AO93,7,1)="H","STAFF",IF(MID(AO93,7,1)="S","STAFF",IF(MID(AO93,7,2)="JV","LOG",IFERROR(VLOOKUP($AO93,[1]!Table14[[New Account Number]:[Filtro2]],9,0),VLOOKUP($AO93,[1]!Table14[[Old Account Number]:[Filtro2]],12,0))))))))</f>
        <v>Manutenção Terceiros</v>
      </c>
      <c r="C93" t="str">
        <f>IF(LEFT(AO93,1)="B","CAPEX",IF(LEFT(AO93,1)="C","STOCK",IF(MID(AO93,7,2)="JA","STAFF",IF(MID(AO93,7,1)="H","STAFF",IF(MID(AO93,7,1)="S","STAFF",IF(MID(AO93,7,2)="JV","LOG",IFERROR(VLOOKUP($AO93,[1]!Table14[[New Account Number]:[Filtro2]],10,0),VLOOKUP($AO93,[1]!Table14[[Old Account Number]:[Filtro2]],13,0))))))))</f>
        <v>Total Manutenção Variável</v>
      </c>
      <c r="D93" t="s">
        <v>43</v>
      </c>
      <c r="E93" t="s">
        <v>2</v>
      </c>
      <c r="F93" t="s">
        <v>3</v>
      </c>
      <c r="G93">
        <v>1228</v>
      </c>
      <c r="H93" t="s">
        <v>0</v>
      </c>
      <c r="I93" t="s">
        <v>49</v>
      </c>
      <c r="J93" t="s">
        <v>84</v>
      </c>
      <c r="K93" t="s">
        <v>1</v>
      </c>
      <c r="L93">
        <v>4211333373</v>
      </c>
      <c r="M93">
        <v>9001684170</v>
      </c>
      <c r="N93" s="2">
        <v>45946</v>
      </c>
      <c r="O93" s="2">
        <v>46036</v>
      </c>
      <c r="P93">
        <v>12000</v>
      </c>
      <c r="Q93" s="2">
        <v>45946</v>
      </c>
      <c r="R93">
        <v>5001622261</v>
      </c>
      <c r="S93">
        <v>2025</v>
      </c>
      <c r="T93">
        <v>363346</v>
      </c>
      <c r="U93" t="s">
        <v>1</v>
      </c>
      <c r="V93" s="2"/>
      <c r="W93" t="s">
        <v>1</v>
      </c>
      <c r="AE93">
        <v>0</v>
      </c>
      <c r="AF93" t="s">
        <v>106</v>
      </c>
      <c r="AG93" t="s">
        <v>1</v>
      </c>
      <c r="AH93" t="s">
        <v>192</v>
      </c>
      <c r="AI93">
        <v>12000</v>
      </c>
      <c r="AJ93" t="s">
        <v>1</v>
      </c>
      <c r="AK93" t="s">
        <v>1</v>
      </c>
      <c r="AL93">
        <v>6999999</v>
      </c>
      <c r="AM93" t="s">
        <v>59</v>
      </c>
      <c r="AN93">
        <v>9104</v>
      </c>
      <c r="AO93" t="s">
        <v>50</v>
      </c>
    </row>
    <row r="94" spans="1:41" x14ac:dyDescent="0.25">
      <c r="A94" t="str">
        <f>VLOOKUP(MONTH(N94),Sheet1!$A$2:$B$13,2,0)</f>
        <v>Out</v>
      </c>
      <c r="B94" t="str">
        <f>IF(LEFT(AO94,1)="B","CAPEX",IF(LEFT(AO94,1)="C","STOCK",IF(MID(AO94,7,2)="JA","STAFF",IF(MID(AO94,7,1)="H","STAFF",IF(MID(AO94,7,1)="S","STAFF",IF(MID(AO94,7,2)="JV","LOG",IFERROR(VLOOKUP($AO94,[1]!Table14[[New Account Number]:[Filtro2]],9,0),VLOOKUP($AO94,[1]!Table14[[Old Account Number]:[Filtro2]],12,0))))))))</f>
        <v>CAPEX</v>
      </c>
      <c r="C94" t="str">
        <f>IF(LEFT(AO94,1)="B","CAPEX",IF(LEFT(AO94,1)="C","STOCK",IF(MID(AO94,7,2)="JA","STAFF",IF(MID(AO94,7,1)="H","STAFF",IF(MID(AO94,7,1)="S","STAFF",IF(MID(AO94,7,2)="JV","LOG",IFERROR(VLOOKUP($AO94,[1]!Table14[[New Account Number]:[Filtro2]],10,0),VLOOKUP($AO94,[1]!Table14[[Old Account Number]:[Filtro2]],13,0))))))))</f>
        <v>CAPEX</v>
      </c>
      <c r="D94" t="s">
        <v>46</v>
      </c>
      <c r="E94" t="s">
        <v>47</v>
      </c>
      <c r="F94" t="s">
        <v>48</v>
      </c>
      <c r="G94">
        <v>2364</v>
      </c>
      <c r="H94" t="s">
        <v>0</v>
      </c>
      <c r="I94" t="s">
        <v>58</v>
      </c>
      <c r="J94" t="s">
        <v>228</v>
      </c>
      <c r="K94" t="s">
        <v>1</v>
      </c>
      <c r="L94">
        <v>4211317766</v>
      </c>
      <c r="M94">
        <v>2600460473</v>
      </c>
      <c r="N94" s="2">
        <v>45954</v>
      </c>
      <c r="O94" s="2">
        <v>46014</v>
      </c>
      <c r="P94">
        <v>92000</v>
      </c>
      <c r="Q94" s="2">
        <v>45954</v>
      </c>
      <c r="R94">
        <v>5001540456</v>
      </c>
      <c r="S94">
        <v>2025</v>
      </c>
      <c r="T94">
        <v>364738</v>
      </c>
      <c r="U94" t="s">
        <v>1</v>
      </c>
      <c r="V94" s="2">
        <v>45957</v>
      </c>
      <c r="W94" t="s">
        <v>251</v>
      </c>
      <c r="AA94">
        <v>5001553763</v>
      </c>
      <c r="AB94">
        <v>2025</v>
      </c>
      <c r="AC94">
        <v>9004034639</v>
      </c>
      <c r="AD94">
        <v>2025</v>
      </c>
      <c r="AE94">
        <v>10419622</v>
      </c>
      <c r="AF94" t="s">
        <v>250</v>
      </c>
      <c r="AG94" t="s">
        <v>250</v>
      </c>
      <c r="AH94" t="s">
        <v>251</v>
      </c>
      <c r="AI94">
        <v>0</v>
      </c>
      <c r="AJ94" t="s">
        <v>1</v>
      </c>
      <c r="AK94" t="s">
        <v>1</v>
      </c>
      <c r="AL94">
        <v>6999999</v>
      </c>
      <c r="AM94" t="s">
        <v>59</v>
      </c>
      <c r="AO94" t="s">
        <v>242</v>
      </c>
    </row>
    <row r="95" spans="1:41" x14ac:dyDescent="0.25">
      <c r="A95" t="str">
        <f>VLOOKUP(MONTH(N95),Sheet1!$A$2:$B$13,2,0)</f>
        <v>Out</v>
      </c>
      <c r="B95" t="str">
        <f>IF(LEFT(AO95,1)="B","CAPEX",IF(LEFT(AO95,1)="C","STOCK",IF(MID(AO95,7,2)="JA","STAFF",IF(MID(AO95,7,1)="H","STAFF",IF(MID(AO95,7,1)="S","STAFF",IF(MID(AO95,7,2)="JV","LOG",IFERROR(VLOOKUP($AO95,[1]!Table14[[New Account Number]:[Filtro2]],9,0),VLOOKUP($AO95,[1]!Table14[[Old Account Number]:[Filtro2]],12,0))))))))</f>
        <v>Manutenção Terceiros</v>
      </c>
      <c r="C95" t="str">
        <f>IF(LEFT(AO95,1)="B","CAPEX",IF(LEFT(AO95,1)="C","STOCK",IF(MID(AO95,7,2)="JA","STAFF",IF(MID(AO95,7,1)="H","STAFF",IF(MID(AO95,7,1)="S","STAFF",IF(MID(AO95,7,2)="JV","LOG",IFERROR(VLOOKUP($AO95,[1]!Table14[[New Account Number]:[Filtro2]],10,0),VLOOKUP($AO95,[1]!Table14[[Old Account Number]:[Filtro2]],13,0))))))))</f>
        <v>Total Manutenção Variável</v>
      </c>
      <c r="D95" t="s">
        <v>43</v>
      </c>
      <c r="E95" t="s">
        <v>2</v>
      </c>
      <c r="F95" t="s">
        <v>3</v>
      </c>
      <c r="G95">
        <v>143853</v>
      </c>
      <c r="H95" t="s">
        <v>0</v>
      </c>
      <c r="I95" t="s">
        <v>49</v>
      </c>
      <c r="J95" t="s">
        <v>62</v>
      </c>
      <c r="K95" t="s">
        <v>1</v>
      </c>
      <c r="L95">
        <v>4211315568</v>
      </c>
      <c r="M95">
        <v>9001685448</v>
      </c>
      <c r="N95" s="2">
        <v>45954</v>
      </c>
      <c r="O95" s="2">
        <v>46029</v>
      </c>
      <c r="P95">
        <v>40276.74</v>
      </c>
      <c r="Q95" s="2">
        <v>45954</v>
      </c>
      <c r="R95">
        <v>5001622264</v>
      </c>
      <c r="S95">
        <v>2025</v>
      </c>
      <c r="T95">
        <v>364746</v>
      </c>
      <c r="U95" t="s">
        <v>1</v>
      </c>
      <c r="V95" s="2"/>
      <c r="W95" t="s">
        <v>1</v>
      </c>
      <c r="AE95">
        <v>0</v>
      </c>
      <c r="AF95" t="s">
        <v>106</v>
      </c>
      <c r="AG95" t="s">
        <v>1</v>
      </c>
      <c r="AH95" t="s">
        <v>192</v>
      </c>
      <c r="AI95">
        <v>40276.74</v>
      </c>
      <c r="AJ95" t="s">
        <v>1</v>
      </c>
      <c r="AK95" t="s">
        <v>1</v>
      </c>
      <c r="AL95">
        <v>6000031</v>
      </c>
      <c r="AM95" t="s">
        <v>59</v>
      </c>
      <c r="AN95">
        <v>9013</v>
      </c>
      <c r="AO95" t="s">
        <v>50</v>
      </c>
    </row>
    <row r="96" spans="1:41" x14ac:dyDescent="0.25">
      <c r="A96" t="str">
        <f>VLOOKUP(MONTH(N96),Sheet1!$A$2:$B$13,2,0)</f>
        <v>Out</v>
      </c>
      <c r="B96" t="str">
        <f>IF(LEFT(AO96,1)="B","CAPEX",IF(LEFT(AO96,1)="C","STOCK",IF(MID(AO96,7,2)="JA","STAFF",IF(MID(AO96,7,1)="H","STAFF",IF(MID(AO96,7,1)="S","STAFF",IF(MID(AO96,7,2)="JV","LOG",IFERROR(VLOOKUP($AO96,[1]!Table14[[New Account Number]:[Filtro2]],9,0),VLOOKUP($AO96,[1]!Table14[[Old Account Number]:[Filtro2]],12,0))))))))</f>
        <v>Manutenção Terceiros</v>
      </c>
      <c r="C96" t="str">
        <f>IF(LEFT(AO96,1)="B","CAPEX",IF(LEFT(AO96,1)="C","STOCK",IF(MID(AO96,7,2)="JA","STAFF",IF(MID(AO96,7,1)="H","STAFF",IF(MID(AO96,7,1)="S","STAFF",IF(MID(AO96,7,2)="JV","LOG",IFERROR(VLOOKUP($AO96,[1]!Table14[[New Account Number]:[Filtro2]],10,0),VLOOKUP($AO96,[1]!Table14[[Old Account Number]:[Filtro2]],13,0))))))))</f>
        <v>Total Manutenção Variável</v>
      </c>
      <c r="D96" t="s">
        <v>43</v>
      </c>
      <c r="E96" t="s">
        <v>2</v>
      </c>
      <c r="F96" t="s">
        <v>3</v>
      </c>
      <c r="G96">
        <v>33018</v>
      </c>
      <c r="H96" t="s">
        <v>0</v>
      </c>
      <c r="I96" t="s">
        <v>57</v>
      </c>
      <c r="J96" t="s">
        <v>190</v>
      </c>
      <c r="K96" t="s">
        <v>1</v>
      </c>
      <c r="L96">
        <v>4211301275</v>
      </c>
      <c r="M96">
        <v>2600468408</v>
      </c>
      <c r="N96" s="2">
        <v>45954</v>
      </c>
      <c r="O96" s="2">
        <v>46024</v>
      </c>
      <c r="P96">
        <v>11044.04</v>
      </c>
      <c r="Q96" s="2">
        <v>45954</v>
      </c>
      <c r="R96">
        <v>5001546462</v>
      </c>
      <c r="S96">
        <v>2025</v>
      </c>
      <c r="T96">
        <v>364771</v>
      </c>
      <c r="U96" t="s">
        <v>1</v>
      </c>
      <c r="V96" s="2"/>
      <c r="W96" t="s">
        <v>1</v>
      </c>
      <c r="AE96">
        <v>0</v>
      </c>
      <c r="AF96" t="s">
        <v>103</v>
      </c>
      <c r="AG96" t="s">
        <v>1</v>
      </c>
      <c r="AH96" t="s">
        <v>104</v>
      </c>
      <c r="AI96">
        <v>11044.04</v>
      </c>
      <c r="AJ96" t="s">
        <v>1</v>
      </c>
      <c r="AK96" t="s">
        <v>1</v>
      </c>
      <c r="AL96">
        <v>6999999</v>
      </c>
      <c r="AM96" t="s">
        <v>59</v>
      </c>
      <c r="AN96">
        <v>9203</v>
      </c>
      <c r="AO96" t="s">
        <v>50</v>
      </c>
    </row>
    <row r="97" spans="1:41" x14ac:dyDescent="0.25">
      <c r="A97" t="str">
        <f>VLOOKUP(MONTH(N97),Sheet1!$A$2:$B$13,2,0)</f>
        <v>Nov</v>
      </c>
      <c r="B97" t="str">
        <f>IF(LEFT(AO97,1)="B","CAPEX",IF(LEFT(AO97,1)="C","STOCK",IF(MID(AO97,7,2)="JA","STAFF",IF(MID(AO97,7,1)="H","STAFF",IF(MID(AO97,7,1)="S","STAFF",IF(MID(AO97,7,2)="JV","LOG",IFERROR(VLOOKUP($AO97,[1]!Table14[[New Account Number]:[Filtro2]],9,0),VLOOKUP($AO97,[1]!Table14[[Old Account Number]:[Filtro2]],12,0))))))))</f>
        <v>Manutenção Terceiros</v>
      </c>
      <c r="C97" t="str">
        <f>IF(LEFT(AO97,1)="B","CAPEX",IF(LEFT(AO97,1)="C","STOCK",IF(MID(AO97,7,2)="JA","STAFF",IF(MID(AO97,7,1)="H","STAFF",IF(MID(AO97,7,1)="S","STAFF",IF(MID(AO97,7,2)="JV","LOG",IFERROR(VLOOKUP($AO97,[1]!Table14[[New Account Number]:[Filtro2]],10,0),VLOOKUP($AO97,[1]!Table14[[Old Account Number]:[Filtro2]],13,0))))))))</f>
        <v>Total Manutenção Fixa</v>
      </c>
      <c r="D97" t="s">
        <v>43</v>
      </c>
      <c r="E97" t="s">
        <v>2</v>
      </c>
      <c r="F97" t="s">
        <v>3</v>
      </c>
      <c r="G97">
        <v>659</v>
      </c>
      <c r="H97" t="s">
        <v>0</v>
      </c>
      <c r="I97" t="s">
        <v>44</v>
      </c>
      <c r="J97" t="s">
        <v>98</v>
      </c>
      <c r="K97" t="s">
        <v>1</v>
      </c>
      <c r="L97">
        <v>4211328675</v>
      </c>
      <c r="M97">
        <v>9001636728</v>
      </c>
      <c r="N97" s="2">
        <v>45967</v>
      </c>
      <c r="O97" s="2">
        <v>46027</v>
      </c>
      <c r="P97">
        <v>15000</v>
      </c>
      <c r="Q97" s="2">
        <v>45967</v>
      </c>
      <c r="R97">
        <v>5001640882</v>
      </c>
      <c r="S97">
        <v>2025</v>
      </c>
      <c r="T97">
        <v>366743</v>
      </c>
      <c r="U97" t="s">
        <v>1</v>
      </c>
      <c r="V97" s="2"/>
      <c r="W97" t="s">
        <v>1</v>
      </c>
      <c r="AE97">
        <v>0</v>
      </c>
      <c r="AF97" t="s">
        <v>81</v>
      </c>
      <c r="AG97" t="s">
        <v>1</v>
      </c>
      <c r="AH97" t="s">
        <v>96</v>
      </c>
      <c r="AI97">
        <v>15000</v>
      </c>
      <c r="AJ97" t="s">
        <v>1</v>
      </c>
      <c r="AK97" t="s">
        <v>1</v>
      </c>
      <c r="AL97">
        <v>6999999</v>
      </c>
      <c r="AM97" t="s">
        <v>92</v>
      </c>
      <c r="AN97">
        <v>9018</v>
      </c>
      <c r="AO97" t="s">
        <v>100</v>
      </c>
    </row>
    <row r="98" spans="1:41" x14ac:dyDescent="0.25">
      <c r="A98" t="str">
        <f>VLOOKUP(MONTH(N98),Sheet1!$A$2:$B$13,2,0)</f>
        <v>Nov</v>
      </c>
      <c r="B98" t="str">
        <f>IF(LEFT(AO98,1)="B","CAPEX",IF(LEFT(AO98,1)="C","STOCK",IF(MID(AO98,7,2)="JA","STAFF",IF(MID(AO98,7,1)="H","STAFF",IF(MID(AO98,7,1)="S","STAFF",IF(MID(AO98,7,2)="JV","LOG",IFERROR(VLOOKUP($AO98,[1]!Table14[[New Account Number]:[Filtro2]],9,0),VLOOKUP($AO98,[1]!Table14[[Old Account Number]:[Filtro2]],12,0))))))))</f>
        <v>Manutenção Terceiros</v>
      </c>
      <c r="C98" t="str">
        <f>IF(LEFT(AO98,1)="B","CAPEX",IF(LEFT(AO98,1)="C","STOCK",IF(MID(AO98,7,2)="JA","STAFF",IF(MID(AO98,7,1)="H","STAFF",IF(MID(AO98,7,1)="S","STAFF",IF(MID(AO98,7,2)="JV","LOG",IFERROR(VLOOKUP($AO98,[1]!Table14[[New Account Number]:[Filtro2]],10,0),VLOOKUP($AO98,[1]!Table14[[Old Account Number]:[Filtro2]],13,0))))))))</f>
        <v>Total Manutenção Variável</v>
      </c>
      <c r="D98" t="s">
        <v>43</v>
      </c>
      <c r="E98" t="s">
        <v>2</v>
      </c>
      <c r="F98" t="s">
        <v>3</v>
      </c>
      <c r="G98">
        <v>207</v>
      </c>
      <c r="H98" t="s">
        <v>0</v>
      </c>
      <c r="I98" t="s">
        <v>49</v>
      </c>
      <c r="J98" t="s">
        <v>196</v>
      </c>
      <c r="K98" t="s">
        <v>1</v>
      </c>
      <c r="L98">
        <v>4211333094</v>
      </c>
      <c r="M98">
        <v>2600469253</v>
      </c>
      <c r="N98" s="2">
        <v>45971</v>
      </c>
      <c r="O98" s="2">
        <v>46031</v>
      </c>
      <c r="P98">
        <v>8400</v>
      </c>
      <c r="Q98" s="2">
        <v>45971</v>
      </c>
      <c r="R98">
        <v>5001669170</v>
      </c>
      <c r="S98">
        <v>2025</v>
      </c>
      <c r="T98">
        <v>367567</v>
      </c>
      <c r="U98" t="s">
        <v>1</v>
      </c>
      <c r="V98" s="2"/>
      <c r="W98" t="s">
        <v>1</v>
      </c>
      <c r="AE98">
        <v>0</v>
      </c>
      <c r="AF98" t="s">
        <v>106</v>
      </c>
      <c r="AG98" t="s">
        <v>1</v>
      </c>
      <c r="AH98" t="s">
        <v>192</v>
      </c>
      <c r="AI98">
        <v>8400</v>
      </c>
      <c r="AJ98" t="s">
        <v>1</v>
      </c>
      <c r="AK98" t="s">
        <v>1</v>
      </c>
      <c r="AL98">
        <v>6999999</v>
      </c>
      <c r="AM98" t="s">
        <v>59</v>
      </c>
      <c r="AN98">
        <v>9203</v>
      </c>
      <c r="AO98" t="s">
        <v>50</v>
      </c>
    </row>
    <row r="99" spans="1:41" x14ac:dyDescent="0.25">
      <c r="A99" t="str">
        <f>VLOOKUP(MONTH(N99),Sheet1!$A$2:$B$13,2,0)</f>
        <v>Nov</v>
      </c>
      <c r="B99" t="str">
        <f>IF(LEFT(AO99,1)="B","CAPEX",IF(LEFT(AO99,1)="C","STOCK",IF(MID(AO99,7,2)="JA","STAFF",IF(MID(AO99,7,1)="H","STAFF",IF(MID(AO99,7,1)="S","STAFF",IF(MID(AO99,7,2)="JV","LOG",IFERROR(VLOOKUP($AO99,[1]!Table14[[New Account Number]:[Filtro2]],9,0),VLOOKUP($AO99,[1]!Table14[[Old Account Number]:[Filtro2]],12,0))))))))</f>
        <v>Aluguéis</v>
      </c>
      <c r="C99" t="str">
        <f>IF(LEFT(AO99,1)="B","CAPEX",IF(LEFT(AO99,1)="C","STOCK",IF(MID(AO99,7,2)="JA","STAFF",IF(MID(AO99,7,1)="H","STAFF",IF(MID(AO99,7,1)="S","STAFF",IF(MID(AO99,7,2)="JV","LOG",IFERROR(VLOOKUP($AO99,[1]!Table14[[New Account Number]:[Filtro2]],10,0),VLOOKUP($AO99,[1]!Table14[[Old Account Number]:[Filtro2]],13,0))))))))</f>
        <v>Total Outras Despesas Fixas</v>
      </c>
      <c r="D99" t="s">
        <v>43</v>
      </c>
      <c r="E99" t="s">
        <v>2</v>
      </c>
      <c r="F99" t="s">
        <v>3</v>
      </c>
      <c r="G99">
        <v>700269</v>
      </c>
      <c r="H99" t="s">
        <v>0</v>
      </c>
      <c r="I99" t="s">
        <v>49</v>
      </c>
      <c r="J99" t="s">
        <v>189</v>
      </c>
      <c r="K99" t="s">
        <v>1</v>
      </c>
      <c r="L99">
        <v>4211301181</v>
      </c>
      <c r="M99">
        <v>9001631078</v>
      </c>
      <c r="N99" s="2">
        <v>45964</v>
      </c>
      <c r="O99" s="2">
        <v>46039</v>
      </c>
      <c r="P99">
        <v>111.89</v>
      </c>
      <c r="Q99" s="2">
        <v>45980</v>
      </c>
      <c r="R99">
        <v>5001731726</v>
      </c>
      <c r="S99">
        <v>2025</v>
      </c>
      <c r="T99">
        <v>368965</v>
      </c>
      <c r="U99" t="s">
        <v>1</v>
      </c>
      <c r="V99" s="2"/>
      <c r="W99" t="s">
        <v>1</v>
      </c>
      <c r="AE99">
        <v>0</v>
      </c>
      <c r="AF99" t="s">
        <v>184</v>
      </c>
      <c r="AG99" t="s">
        <v>1</v>
      </c>
      <c r="AH99" t="s">
        <v>1</v>
      </c>
      <c r="AI99">
        <v>111.84</v>
      </c>
      <c r="AJ99" t="s">
        <v>1</v>
      </c>
      <c r="AK99" t="s">
        <v>1</v>
      </c>
      <c r="AL99">
        <v>6999999</v>
      </c>
      <c r="AM99" t="s">
        <v>59</v>
      </c>
      <c r="AN99">
        <v>9000</v>
      </c>
      <c r="AO99" t="s">
        <v>54</v>
      </c>
    </row>
    <row r="100" spans="1:41" x14ac:dyDescent="0.25">
      <c r="A100" t="str">
        <f>VLOOKUP(MONTH(N100),Sheet1!$A$2:$B$13,2,0)</f>
        <v>Out</v>
      </c>
      <c r="B100" t="str">
        <f>IF(LEFT(AO100,1)="B","CAPEX",IF(LEFT(AO100,1)="C","STOCK",IF(MID(AO100,7,2)="JA","STAFF",IF(MID(AO100,7,1)="H","STAFF",IF(MID(AO100,7,1)="S","STAFF",IF(MID(AO100,7,2)="JV","LOG",IFERROR(VLOOKUP($AO100,[1]!Table14[[New Account Number]:[Filtro2]],9,0),VLOOKUP($AO100,[1]!Table14[[Old Account Number]:[Filtro2]],12,0))))))))</f>
        <v>Treinamento</v>
      </c>
      <c r="C100" t="str">
        <f>IF(LEFT(AO100,1)="B","CAPEX",IF(LEFT(AO100,1)="C","STOCK",IF(MID(AO100,7,2)="JA","STAFF",IF(MID(AO100,7,1)="H","STAFF",IF(MID(AO100,7,1)="S","STAFF",IF(MID(AO100,7,2)="JV","LOG",IFERROR(VLOOKUP($AO100,[1]!Table14[[New Account Number]:[Filtro2]],10,0),VLOOKUP($AO100,[1]!Table14[[Old Account Number]:[Filtro2]],13,0))))))))</f>
        <v>Total Outras Despesas Fixas</v>
      </c>
      <c r="D100" t="s">
        <v>43</v>
      </c>
      <c r="E100" t="s">
        <v>2</v>
      </c>
      <c r="F100" t="s">
        <v>3</v>
      </c>
      <c r="G100">
        <v>14844</v>
      </c>
      <c r="H100" t="s">
        <v>0</v>
      </c>
      <c r="I100" t="s">
        <v>44</v>
      </c>
      <c r="J100" t="s">
        <v>215</v>
      </c>
      <c r="K100" t="s">
        <v>1</v>
      </c>
      <c r="L100">
        <v>4211301849</v>
      </c>
      <c r="M100">
        <v>9001685016</v>
      </c>
      <c r="N100" s="2">
        <v>45951</v>
      </c>
      <c r="O100" s="2">
        <v>46011</v>
      </c>
      <c r="P100">
        <v>1000</v>
      </c>
      <c r="Q100" s="2">
        <v>45951</v>
      </c>
      <c r="R100">
        <v>5001798668</v>
      </c>
      <c r="S100">
        <v>2025</v>
      </c>
      <c r="T100">
        <v>364072</v>
      </c>
      <c r="U100" t="s">
        <v>1</v>
      </c>
      <c r="V100" s="2"/>
      <c r="W100" t="s">
        <v>1</v>
      </c>
      <c r="AE100">
        <v>0</v>
      </c>
      <c r="AF100" t="s">
        <v>216</v>
      </c>
      <c r="AG100" t="s">
        <v>1</v>
      </c>
      <c r="AH100" t="s">
        <v>217</v>
      </c>
      <c r="AI100">
        <v>1000</v>
      </c>
      <c r="AJ100" t="s">
        <v>1</v>
      </c>
      <c r="AK100" t="s">
        <v>1</v>
      </c>
      <c r="AL100">
        <v>6999999</v>
      </c>
      <c r="AM100" t="s">
        <v>92</v>
      </c>
      <c r="AN100">
        <v>2952</v>
      </c>
      <c r="AO100" t="s">
        <v>218</v>
      </c>
    </row>
    <row r="101" spans="1:41" x14ac:dyDescent="0.25">
      <c r="A101" t="str">
        <f>VLOOKUP(MONTH(N101),Sheet1!$A$2:$B$13,2,0)</f>
        <v>Nov</v>
      </c>
      <c r="B101" t="str">
        <f>IF(LEFT(AO101,1)="B","CAPEX",IF(LEFT(AO101,1)="C","STOCK",IF(MID(AO101,7,2)="JA","STAFF",IF(MID(AO101,7,1)="H","STAFF",IF(MID(AO101,7,1)="S","STAFF",IF(MID(AO101,7,2)="JV","LOG",IFERROR(VLOOKUP($AO101,[1]!Table14[[New Account Number]:[Filtro2]],9,0),VLOOKUP($AO101,[1]!Table14[[Old Account Number]:[Filtro2]],12,0))))))))</f>
        <v>Manutenção Terceiros</v>
      </c>
      <c r="C101" t="str">
        <f>IF(LEFT(AO101,1)="B","CAPEX",IF(LEFT(AO101,1)="C","STOCK",IF(MID(AO101,7,2)="JA","STAFF",IF(MID(AO101,7,1)="H","STAFF",IF(MID(AO101,7,1)="S","STAFF",IF(MID(AO101,7,2)="JV","LOG",IFERROR(VLOOKUP($AO101,[1]!Table14[[New Account Number]:[Filtro2]],10,0),VLOOKUP($AO101,[1]!Table14[[Old Account Number]:[Filtro2]],13,0))))))))</f>
        <v>Total Manutenção Variável</v>
      </c>
      <c r="D101" t="s">
        <v>43</v>
      </c>
      <c r="E101" t="s">
        <v>2</v>
      </c>
      <c r="F101" t="s">
        <v>3</v>
      </c>
      <c r="G101">
        <v>21842</v>
      </c>
      <c r="H101" t="s">
        <v>0</v>
      </c>
      <c r="I101" t="s">
        <v>49</v>
      </c>
      <c r="J101" t="s">
        <v>143</v>
      </c>
      <c r="K101" t="s">
        <v>1</v>
      </c>
      <c r="L101">
        <v>4251304263</v>
      </c>
      <c r="M101">
        <v>9001691000</v>
      </c>
      <c r="N101" s="2">
        <v>45980</v>
      </c>
      <c r="O101" s="2">
        <v>46025</v>
      </c>
      <c r="P101">
        <v>28728.080000000002</v>
      </c>
      <c r="Q101" s="2">
        <v>45980</v>
      </c>
      <c r="R101">
        <v>5001731778</v>
      </c>
      <c r="S101">
        <v>2025</v>
      </c>
      <c r="T101">
        <v>368946</v>
      </c>
      <c r="U101" t="s">
        <v>1</v>
      </c>
      <c r="V101" s="2"/>
      <c r="W101" t="s">
        <v>1</v>
      </c>
      <c r="AE101">
        <v>0</v>
      </c>
      <c r="AF101" t="s">
        <v>106</v>
      </c>
      <c r="AG101" t="s">
        <v>1</v>
      </c>
      <c r="AH101" t="s">
        <v>192</v>
      </c>
      <c r="AI101">
        <v>28728.080000000002</v>
      </c>
      <c r="AJ101" t="s">
        <v>1</v>
      </c>
      <c r="AK101" t="s">
        <v>1</v>
      </c>
      <c r="AL101">
        <v>6000009</v>
      </c>
      <c r="AM101" t="s">
        <v>59</v>
      </c>
      <c r="AN101">
        <v>9117</v>
      </c>
      <c r="AO101" t="s">
        <v>50</v>
      </c>
    </row>
    <row r="102" spans="1:41" x14ac:dyDescent="0.25">
      <c r="A102" t="str">
        <f>VLOOKUP(MONTH(N102),Sheet1!$A$2:$B$13,2,0)</f>
        <v>Dez</v>
      </c>
      <c r="B102" t="str">
        <f>IF(LEFT(AO102,1)="B","CAPEX",IF(LEFT(AO102,1)="C","STOCK",IF(MID(AO102,7,2)="JA","STAFF",IF(MID(AO102,7,1)="H","STAFF",IF(MID(AO102,7,1)="S","STAFF",IF(MID(AO102,7,2)="JV","LOG",IFERROR(VLOOKUP($AO102,[1]!Table14[[New Account Number]:[Filtro2]],9,0),VLOOKUP($AO102,[1]!Table14[[Old Account Number]:[Filtro2]],12,0))))))))</f>
        <v>Outras Despesas</v>
      </c>
      <c r="C102" t="str">
        <f>IF(LEFT(AO102,1)="B","CAPEX",IF(LEFT(AO102,1)="C","STOCK",IF(MID(AO102,7,2)="JA","STAFF",IF(MID(AO102,7,1)="H","STAFF",IF(MID(AO102,7,1)="S","STAFF",IF(MID(AO102,7,2)="JV","LOG",IFERROR(VLOOKUP($AO102,[1]!Table14[[New Account Number]:[Filtro2]],10,0),VLOOKUP($AO102,[1]!Table14[[Old Account Number]:[Filtro2]],13,0))))))))</f>
        <v>Total Outras Despesas Variáveis</v>
      </c>
      <c r="D102" t="s">
        <v>46</v>
      </c>
      <c r="E102" t="s">
        <v>47</v>
      </c>
      <c r="F102" t="s">
        <v>48</v>
      </c>
      <c r="G102">
        <v>69940</v>
      </c>
      <c r="H102" t="s">
        <v>0</v>
      </c>
      <c r="I102" t="s">
        <v>108</v>
      </c>
      <c r="J102" t="s">
        <v>296</v>
      </c>
      <c r="K102" t="s">
        <v>1</v>
      </c>
      <c r="L102">
        <v>4211325624</v>
      </c>
      <c r="M102">
        <v>2600470313</v>
      </c>
      <c r="N102" s="2">
        <v>46003</v>
      </c>
      <c r="O102" s="2">
        <v>46010</v>
      </c>
      <c r="P102">
        <v>67082.240000000005</v>
      </c>
      <c r="Q102" s="2">
        <v>46003</v>
      </c>
      <c r="R102">
        <v>5001902875</v>
      </c>
      <c r="S102">
        <v>2025</v>
      </c>
      <c r="T102">
        <v>373321</v>
      </c>
      <c r="U102" t="s">
        <v>1</v>
      </c>
      <c r="V102" s="2">
        <v>46003</v>
      </c>
      <c r="W102" t="s">
        <v>297</v>
      </c>
      <c r="AA102">
        <v>5001902916</v>
      </c>
      <c r="AB102">
        <v>2025</v>
      </c>
      <c r="AC102">
        <v>9004035123</v>
      </c>
      <c r="AD102">
        <v>2025</v>
      </c>
      <c r="AE102">
        <v>10420970</v>
      </c>
      <c r="AF102" t="s">
        <v>298</v>
      </c>
      <c r="AG102" t="s">
        <v>298</v>
      </c>
      <c r="AH102" t="s">
        <v>1</v>
      </c>
      <c r="AI102">
        <v>0</v>
      </c>
      <c r="AJ102" t="s">
        <v>1</v>
      </c>
      <c r="AK102" t="s">
        <v>1</v>
      </c>
      <c r="AL102">
        <v>6999999</v>
      </c>
      <c r="AM102" t="s">
        <v>112</v>
      </c>
      <c r="AN102">
        <v>9350</v>
      </c>
      <c r="AO102" t="s">
        <v>299</v>
      </c>
    </row>
    <row r="103" spans="1:41" x14ac:dyDescent="0.25">
      <c r="A103" t="str">
        <f>VLOOKUP(MONTH(N103),Sheet1!$A$2:$B$13,2,0)</f>
        <v>Out</v>
      </c>
      <c r="B103" t="str">
        <f>IF(LEFT(AO103,1)="B","CAPEX",IF(LEFT(AO103,1)="C","STOCK",IF(MID(AO103,7,2)="JA","STAFF",IF(MID(AO103,7,1)="H","STAFF",IF(MID(AO103,7,1)="S","STAFF",IF(MID(AO103,7,2)="JV","LOG",IFERROR(VLOOKUP($AO103,[1]!Table14[[New Account Number]:[Filtro2]],9,0),VLOOKUP($AO103,[1]!Table14[[Old Account Number]:[Filtro2]],12,0))))))))</f>
        <v>CAPEX</v>
      </c>
      <c r="C103" t="str">
        <f>IF(LEFT(AO103,1)="B","CAPEX",IF(LEFT(AO103,1)="C","STOCK",IF(MID(AO103,7,2)="JA","STAFF",IF(MID(AO103,7,1)="H","STAFF",IF(MID(AO103,7,1)="S","STAFF",IF(MID(AO103,7,2)="JV","LOG",IFERROR(VLOOKUP($AO103,[1]!Table14[[New Account Number]:[Filtro2]],10,0),VLOOKUP($AO103,[1]!Table14[[Old Account Number]:[Filtro2]],13,0))))))))</f>
        <v>CAPEX</v>
      </c>
      <c r="D103" t="s">
        <v>43</v>
      </c>
      <c r="E103" t="s">
        <v>2</v>
      </c>
      <c r="F103" t="s">
        <v>3</v>
      </c>
      <c r="G103">
        <v>143180</v>
      </c>
      <c r="H103" t="s">
        <v>0</v>
      </c>
      <c r="I103" t="s">
        <v>57</v>
      </c>
      <c r="J103" t="s">
        <v>62</v>
      </c>
      <c r="K103" t="s">
        <v>1</v>
      </c>
      <c r="L103">
        <v>4211315568</v>
      </c>
      <c r="M103">
        <v>9001674981</v>
      </c>
      <c r="N103" s="2">
        <v>45950</v>
      </c>
      <c r="O103" s="2">
        <v>46025</v>
      </c>
      <c r="P103">
        <v>15536.02</v>
      </c>
      <c r="Q103" s="2">
        <v>45950</v>
      </c>
      <c r="R103">
        <v>5001503908</v>
      </c>
      <c r="S103">
        <v>2025</v>
      </c>
      <c r="T103">
        <v>363724</v>
      </c>
      <c r="U103" t="s">
        <v>1</v>
      </c>
      <c r="V103" s="2"/>
      <c r="W103" t="s">
        <v>1</v>
      </c>
      <c r="AE103">
        <v>0</v>
      </c>
      <c r="AF103" t="s">
        <v>87</v>
      </c>
      <c r="AG103" t="s">
        <v>1</v>
      </c>
      <c r="AH103" t="s">
        <v>1</v>
      </c>
      <c r="AI103">
        <v>15536.02</v>
      </c>
      <c r="AJ103" t="s">
        <v>1</v>
      </c>
      <c r="AK103" t="s">
        <v>1</v>
      </c>
      <c r="AL103">
        <v>6000031</v>
      </c>
      <c r="AM103" t="s">
        <v>59</v>
      </c>
      <c r="AO103" t="s">
        <v>121</v>
      </c>
    </row>
    <row r="104" spans="1:41" x14ac:dyDescent="0.25">
      <c r="A104" t="str">
        <f>VLOOKUP(MONTH(N104),Sheet1!$A$2:$B$13,2,0)</f>
        <v>Out</v>
      </c>
      <c r="B104" t="str">
        <f>IF(LEFT(AO104,1)="B","CAPEX",IF(LEFT(AO104,1)="C","STOCK",IF(MID(AO104,7,2)="JA","STAFF",IF(MID(AO104,7,1)="H","STAFF",IF(MID(AO104,7,1)="S","STAFF",IF(MID(AO104,7,2)="JV","LOG",IFERROR(VLOOKUP($AO104,[1]!Table14[[New Account Number]:[Filtro2]],9,0),VLOOKUP($AO104,[1]!Table14[[Old Account Number]:[Filtro2]],12,0))))))))</f>
        <v>Manutenção Terceiros</v>
      </c>
      <c r="C104" t="str">
        <f>IF(LEFT(AO104,1)="B","CAPEX",IF(LEFT(AO104,1)="C","STOCK",IF(MID(AO104,7,2)="JA","STAFF",IF(MID(AO104,7,1)="H","STAFF",IF(MID(AO104,7,1)="S","STAFF",IF(MID(AO104,7,2)="JV","LOG",IFERROR(VLOOKUP($AO104,[1]!Table14[[New Account Number]:[Filtro2]],10,0),VLOOKUP($AO104,[1]!Table14[[Old Account Number]:[Filtro2]],13,0))))))))</f>
        <v>Total Manutenção Variável</v>
      </c>
      <c r="D104" t="s">
        <v>43</v>
      </c>
      <c r="E104" t="s">
        <v>2</v>
      </c>
      <c r="F104" t="s">
        <v>3</v>
      </c>
      <c r="G104">
        <v>644</v>
      </c>
      <c r="H104" t="s">
        <v>0</v>
      </c>
      <c r="I104" t="s">
        <v>44</v>
      </c>
      <c r="J104" t="s">
        <v>98</v>
      </c>
      <c r="K104" t="s">
        <v>1</v>
      </c>
      <c r="L104">
        <v>4211328675</v>
      </c>
      <c r="M104">
        <v>9001661033</v>
      </c>
      <c r="N104" s="2">
        <v>45950</v>
      </c>
      <c r="O104" s="2">
        <v>46010</v>
      </c>
      <c r="P104">
        <v>3575</v>
      </c>
      <c r="Q104" s="2">
        <v>45950</v>
      </c>
      <c r="R104">
        <v>5001508590</v>
      </c>
      <c r="S104">
        <v>2025</v>
      </c>
      <c r="T104">
        <v>363737</v>
      </c>
      <c r="U104" t="s">
        <v>1</v>
      </c>
      <c r="V104" s="2"/>
      <c r="W104" t="s">
        <v>1</v>
      </c>
      <c r="AE104">
        <v>0</v>
      </c>
      <c r="AF104" t="s">
        <v>81</v>
      </c>
      <c r="AG104" t="s">
        <v>1</v>
      </c>
      <c r="AH104" t="s">
        <v>96</v>
      </c>
      <c r="AI104">
        <v>3575</v>
      </c>
      <c r="AJ104" t="s">
        <v>1</v>
      </c>
      <c r="AK104" t="s">
        <v>1</v>
      </c>
      <c r="AL104">
        <v>6999999</v>
      </c>
      <c r="AM104" t="s">
        <v>92</v>
      </c>
      <c r="AN104">
        <v>9203</v>
      </c>
      <c r="AO104" t="s">
        <v>50</v>
      </c>
    </row>
    <row r="105" spans="1:41" x14ac:dyDescent="0.25">
      <c r="A105" t="str">
        <f>VLOOKUP(MONTH(N105),Sheet1!$A$2:$B$13,2,0)</f>
        <v>Dez</v>
      </c>
      <c r="B105" t="str">
        <f>IF(LEFT(AO105,1)="B","CAPEX",IF(LEFT(AO105,1)="C","STOCK",IF(MID(AO105,7,2)="JA","STAFF",IF(MID(AO105,7,1)="H","STAFF",IF(MID(AO105,7,1)="S","STAFF",IF(MID(AO105,7,2)="JV","LOG",IFERROR(VLOOKUP($AO105,[1]!Table14[[New Account Number]:[Filtro2]],9,0),VLOOKUP($AO105,[1]!Table14[[Old Account Number]:[Filtro2]],12,0))))))))</f>
        <v>STAFF</v>
      </c>
      <c r="C105" t="str">
        <f>IF(LEFT(AO105,1)="B","CAPEX",IF(LEFT(AO105,1)="C","STOCK",IF(MID(AO105,7,2)="JA","STAFF",IF(MID(AO105,7,1)="H","STAFF",IF(MID(AO105,7,1)="S","STAFF",IF(MID(AO105,7,2)="JV","LOG",IFERROR(VLOOKUP($AO105,[1]!Table14[[New Account Number]:[Filtro2]],10,0),VLOOKUP($AO105,[1]!Table14[[Old Account Number]:[Filtro2]],13,0))))))))</f>
        <v>STAFF</v>
      </c>
      <c r="D105" t="s">
        <v>43</v>
      </c>
      <c r="E105" t="s">
        <v>2</v>
      </c>
      <c r="F105" t="s">
        <v>3</v>
      </c>
      <c r="G105">
        <v>28108</v>
      </c>
      <c r="H105" t="s">
        <v>0</v>
      </c>
      <c r="I105" t="s">
        <v>93</v>
      </c>
      <c r="J105" t="s">
        <v>126</v>
      </c>
      <c r="K105" t="s">
        <v>1</v>
      </c>
      <c r="L105">
        <v>4211325456</v>
      </c>
      <c r="M105">
        <v>9001692377</v>
      </c>
      <c r="N105" s="2">
        <v>46003</v>
      </c>
      <c r="O105" s="2">
        <v>46063</v>
      </c>
      <c r="P105">
        <v>446</v>
      </c>
      <c r="Q105" s="2">
        <v>46003</v>
      </c>
      <c r="R105">
        <v>5001901922</v>
      </c>
      <c r="S105">
        <v>2025</v>
      </c>
      <c r="T105">
        <v>373298</v>
      </c>
      <c r="U105" t="s">
        <v>1</v>
      </c>
      <c r="V105" s="2"/>
      <c r="W105" t="s">
        <v>1</v>
      </c>
      <c r="AE105">
        <v>0</v>
      </c>
      <c r="AF105" t="s">
        <v>300</v>
      </c>
      <c r="AG105" t="s">
        <v>1</v>
      </c>
      <c r="AH105" t="s">
        <v>301</v>
      </c>
      <c r="AI105">
        <v>446</v>
      </c>
      <c r="AJ105" t="s">
        <v>1</v>
      </c>
      <c r="AK105" t="s">
        <v>1</v>
      </c>
      <c r="AL105">
        <v>6999999</v>
      </c>
      <c r="AM105" t="s">
        <v>94</v>
      </c>
      <c r="AN105">
        <v>4727</v>
      </c>
      <c r="AO105" t="s">
        <v>207</v>
      </c>
    </row>
    <row r="106" spans="1:41" x14ac:dyDescent="0.25">
      <c r="A106" t="str">
        <f>VLOOKUP(MONTH(N106),Sheet1!$A$2:$B$13,2,0)</f>
        <v>Dez</v>
      </c>
      <c r="B106" t="str">
        <f>IF(LEFT(AO106,1)="B","CAPEX",IF(LEFT(AO106,1)="C","STOCK",IF(MID(AO106,7,2)="JA","STAFF",IF(MID(AO106,7,1)="H","STAFF",IF(MID(AO106,7,1)="S","STAFF",IF(MID(AO106,7,2)="JV","LOG",IFERROR(VLOOKUP($AO106,[1]!Table14[[New Account Number]:[Filtro2]],9,0),VLOOKUP($AO106,[1]!Table14[[Old Account Number]:[Filtro2]],12,0))))))))</f>
        <v>CAPEX</v>
      </c>
      <c r="C106" t="str">
        <f>IF(LEFT(AO106,1)="B","CAPEX",IF(LEFT(AO106,1)="C","STOCK",IF(MID(AO106,7,2)="JA","STAFF",IF(MID(AO106,7,1)="H","STAFF",IF(MID(AO106,7,1)="S","STAFF",IF(MID(AO106,7,2)="JV","LOG",IFERROR(VLOOKUP($AO106,[1]!Table14[[New Account Number]:[Filtro2]],10,0),VLOOKUP($AO106,[1]!Table14[[Old Account Number]:[Filtro2]],13,0))))))))</f>
        <v>CAPEX</v>
      </c>
      <c r="D106" t="s">
        <v>46</v>
      </c>
      <c r="E106" t="s">
        <v>47</v>
      </c>
      <c r="F106" t="s">
        <v>48</v>
      </c>
      <c r="G106">
        <v>653</v>
      </c>
      <c r="H106" t="s">
        <v>0</v>
      </c>
      <c r="I106" t="s">
        <v>176</v>
      </c>
      <c r="J106" t="s">
        <v>240</v>
      </c>
      <c r="K106" t="s">
        <v>1</v>
      </c>
      <c r="L106">
        <v>4211331522</v>
      </c>
      <c r="M106">
        <v>2600469450</v>
      </c>
      <c r="N106" s="2">
        <v>45996</v>
      </c>
      <c r="O106" s="2">
        <v>46026</v>
      </c>
      <c r="P106">
        <v>29197.13</v>
      </c>
      <c r="Q106" s="2">
        <v>45996</v>
      </c>
      <c r="R106">
        <v>5001861328</v>
      </c>
      <c r="S106">
        <v>2025</v>
      </c>
      <c r="T106">
        <v>371947</v>
      </c>
      <c r="U106" t="s">
        <v>1</v>
      </c>
      <c r="V106" s="2">
        <v>46000</v>
      </c>
      <c r="W106" t="s">
        <v>179</v>
      </c>
      <c r="AA106">
        <v>5001879937</v>
      </c>
      <c r="AB106">
        <v>2025</v>
      </c>
      <c r="AC106">
        <v>9004033608</v>
      </c>
      <c r="AD106">
        <v>2025</v>
      </c>
      <c r="AE106">
        <v>10417671</v>
      </c>
      <c r="AF106" t="s">
        <v>178</v>
      </c>
      <c r="AG106" t="s">
        <v>248</v>
      </c>
      <c r="AH106" t="s">
        <v>179</v>
      </c>
      <c r="AI106">
        <v>0</v>
      </c>
      <c r="AJ106" t="s">
        <v>1</v>
      </c>
      <c r="AK106" t="s">
        <v>1</v>
      </c>
      <c r="AL106">
        <v>6999999</v>
      </c>
      <c r="AM106" t="s">
        <v>177</v>
      </c>
      <c r="AO106" t="s">
        <v>244</v>
      </c>
    </row>
    <row r="107" spans="1:41" x14ac:dyDescent="0.25">
      <c r="A107" t="str">
        <f>VLOOKUP(MONTH(N107),Sheet1!$A$2:$B$13,2,0)</f>
        <v>Nov</v>
      </c>
      <c r="B107" t="str">
        <f>IF(LEFT(AO107,1)="B","CAPEX",IF(LEFT(AO107,1)="C","STOCK",IF(MID(AO107,7,2)="JA","STAFF",IF(MID(AO107,7,1)="H","STAFF",IF(MID(AO107,7,1)="S","STAFF",IF(MID(AO107,7,2)="JV","LOG",IFERROR(VLOOKUP($AO107,[1]!Table14[[New Account Number]:[Filtro2]],9,0),VLOOKUP($AO107,[1]!Table14[[Old Account Number]:[Filtro2]],12,0))))))))</f>
        <v>Manutenção Terceiros</v>
      </c>
      <c r="C107" t="str">
        <f>IF(LEFT(AO107,1)="B","CAPEX",IF(LEFT(AO107,1)="C","STOCK",IF(MID(AO107,7,2)="JA","STAFF",IF(MID(AO107,7,1)="H","STAFF",IF(MID(AO107,7,1)="S","STAFF",IF(MID(AO107,7,2)="JV","LOG",IFERROR(VLOOKUP($AO107,[1]!Table14[[New Account Number]:[Filtro2]],10,0),VLOOKUP($AO107,[1]!Table14[[Old Account Number]:[Filtro2]],13,0))))))))</f>
        <v>Total Manutenção Variável</v>
      </c>
      <c r="D107" t="s">
        <v>43</v>
      </c>
      <c r="E107" t="s">
        <v>2</v>
      </c>
      <c r="F107" t="s">
        <v>3</v>
      </c>
      <c r="G107">
        <v>2057</v>
      </c>
      <c r="H107" t="s">
        <v>0</v>
      </c>
      <c r="I107" t="s">
        <v>49</v>
      </c>
      <c r="J107" t="s">
        <v>138</v>
      </c>
      <c r="K107" t="s">
        <v>1</v>
      </c>
      <c r="L107">
        <v>4211318490</v>
      </c>
      <c r="M107">
        <v>2600468547</v>
      </c>
      <c r="N107" s="2">
        <v>45967</v>
      </c>
      <c r="O107" s="2">
        <v>45995</v>
      </c>
      <c r="P107">
        <v>22500</v>
      </c>
      <c r="Q107" s="2">
        <v>45967</v>
      </c>
      <c r="R107">
        <v>5001640484</v>
      </c>
      <c r="S107">
        <v>2025</v>
      </c>
      <c r="T107">
        <v>366729</v>
      </c>
      <c r="U107" t="s">
        <v>1</v>
      </c>
      <c r="V107" s="2"/>
      <c r="W107" t="s">
        <v>1</v>
      </c>
      <c r="AE107">
        <v>0</v>
      </c>
      <c r="AF107" t="s">
        <v>51</v>
      </c>
      <c r="AG107" t="s">
        <v>1</v>
      </c>
      <c r="AH107" t="s">
        <v>52</v>
      </c>
      <c r="AI107">
        <v>22500</v>
      </c>
      <c r="AJ107" t="s">
        <v>1</v>
      </c>
      <c r="AK107" t="s">
        <v>1</v>
      </c>
      <c r="AL107">
        <v>6999999</v>
      </c>
      <c r="AM107" t="s">
        <v>59</v>
      </c>
      <c r="AN107">
        <v>9203</v>
      </c>
      <c r="AO107" t="s">
        <v>50</v>
      </c>
    </row>
    <row r="108" spans="1:41" x14ac:dyDescent="0.25">
      <c r="A108" t="str">
        <f>VLOOKUP(MONTH(N108),Sheet1!$A$2:$B$13,2,0)</f>
        <v>Nov</v>
      </c>
      <c r="B108" t="str">
        <f>IF(LEFT(AO108,1)="B","CAPEX",IF(LEFT(AO108,1)="C","STOCK",IF(MID(AO108,7,2)="JA","STAFF",IF(MID(AO108,7,1)="H","STAFF",IF(MID(AO108,7,1)="S","STAFF",IF(MID(AO108,7,2)="JV","LOG",IFERROR(VLOOKUP($AO108,[1]!Table14[[New Account Number]:[Filtro2]],9,0),VLOOKUP($AO108,[1]!Table14[[Old Account Number]:[Filtro2]],12,0))))))))</f>
        <v>Manutenção Terceiros</v>
      </c>
      <c r="C108" t="str">
        <f>IF(LEFT(AO108,1)="B","CAPEX",IF(LEFT(AO108,1)="C","STOCK",IF(MID(AO108,7,2)="JA","STAFF",IF(MID(AO108,7,1)="H","STAFF",IF(MID(AO108,7,1)="S","STAFF",IF(MID(AO108,7,2)="JV","LOG",IFERROR(VLOOKUP($AO108,[1]!Table14[[New Account Number]:[Filtro2]],10,0),VLOOKUP($AO108,[1]!Table14[[Old Account Number]:[Filtro2]],13,0))))))))</f>
        <v>Total Manutenção Fixa</v>
      </c>
      <c r="D108" t="s">
        <v>43</v>
      </c>
      <c r="E108" t="s">
        <v>2</v>
      </c>
      <c r="F108" t="s">
        <v>3</v>
      </c>
      <c r="G108">
        <v>2647</v>
      </c>
      <c r="H108" t="s">
        <v>0</v>
      </c>
      <c r="I108" t="s">
        <v>49</v>
      </c>
      <c r="J108" t="s">
        <v>157</v>
      </c>
      <c r="K108" t="s">
        <v>1</v>
      </c>
      <c r="L108">
        <v>4211328480</v>
      </c>
      <c r="M108">
        <v>2600468814</v>
      </c>
      <c r="N108" s="2">
        <v>45964</v>
      </c>
      <c r="O108" s="2">
        <v>45994</v>
      </c>
      <c r="P108">
        <v>29500</v>
      </c>
      <c r="Q108" s="2">
        <v>45969</v>
      </c>
      <c r="R108">
        <v>5001656974</v>
      </c>
      <c r="S108">
        <v>2025</v>
      </c>
      <c r="T108">
        <v>367423</v>
      </c>
      <c r="U108" t="s">
        <v>1</v>
      </c>
      <c r="V108" s="2"/>
      <c r="W108" t="s">
        <v>1</v>
      </c>
      <c r="AE108">
        <v>0</v>
      </c>
      <c r="AF108" t="s">
        <v>51</v>
      </c>
      <c r="AG108" t="s">
        <v>1</v>
      </c>
      <c r="AH108" t="s">
        <v>52</v>
      </c>
      <c r="AI108">
        <v>29500</v>
      </c>
      <c r="AJ108" t="s">
        <v>1</v>
      </c>
      <c r="AK108" t="s">
        <v>1</v>
      </c>
      <c r="AL108">
        <v>6999999</v>
      </c>
      <c r="AM108" t="s">
        <v>59</v>
      </c>
      <c r="AN108">
        <v>9021</v>
      </c>
      <c r="AO108" t="s">
        <v>100</v>
      </c>
    </row>
    <row r="109" spans="1:41" x14ac:dyDescent="0.25">
      <c r="A109" t="str">
        <f>VLOOKUP(MONTH(N109),Sheet1!$A$2:$B$13,2,0)</f>
        <v>Dez</v>
      </c>
      <c r="B109" t="str">
        <f>IF(LEFT(AO109,1)="B","CAPEX",IF(LEFT(AO109,1)="C","STOCK",IF(MID(AO109,7,2)="JA","STAFF",IF(MID(AO109,7,1)="H","STAFF",IF(MID(AO109,7,1)="S","STAFF",IF(MID(AO109,7,2)="JV","LOG",IFERROR(VLOOKUP($AO109,[1]!Table14[[New Account Number]:[Filtro2]],9,0),VLOOKUP($AO109,[1]!Table14[[Old Account Number]:[Filtro2]],12,0))))))))</f>
        <v>CAPEX</v>
      </c>
      <c r="C109" t="str">
        <f>IF(LEFT(AO109,1)="B","CAPEX",IF(LEFT(AO109,1)="C","STOCK",IF(MID(AO109,7,2)="JA","STAFF",IF(MID(AO109,7,1)="H","STAFF",IF(MID(AO109,7,1)="S","STAFF",IF(MID(AO109,7,2)="JV","LOG",IFERROR(VLOOKUP($AO109,[1]!Table14[[New Account Number]:[Filtro2]],10,0),VLOOKUP($AO109,[1]!Table14[[Old Account Number]:[Filtro2]],13,0))))))))</f>
        <v>CAPEX</v>
      </c>
      <c r="D109" t="s">
        <v>46</v>
      </c>
      <c r="E109" t="s">
        <v>47</v>
      </c>
      <c r="F109" t="s">
        <v>48</v>
      </c>
      <c r="G109">
        <v>2398</v>
      </c>
      <c r="H109" t="s">
        <v>0</v>
      </c>
      <c r="I109" t="s">
        <v>58</v>
      </c>
      <c r="J109" t="s">
        <v>228</v>
      </c>
      <c r="K109" t="s">
        <v>1</v>
      </c>
      <c r="L109">
        <v>4211317766</v>
      </c>
      <c r="M109">
        <v>9001690236</v>
      </c>
      <c r="N109" s="2">
        <v>45995</v>
      </c>
      <c r="O109" s="2">
        <v>46055</v>
      </c>
      <c r="P109">
        <v>38000</v>
      </c>
      <c r="Q109" s="2">
        <v>45995</v>
      </c>
      <c r="R109">
        <v>5001857865</v>
      </c>
      <c r="S109">
        <v>2025</v>
      </c>
      <c r="T109">
        <v>371597</v>
      </c>
      <c r="U109" t="s">
        <v>1</v>
      </c>
      <c r="V109" s="2">
        <v>45996</v>
      </c>
      <c r="W109" t="s">
        <v>233</v>
      </c>
      <c r="AA109">
        <v>5001862271</v>
      </c>
      <c r="AB109">
        <v>2025</v>
      </c>
      <c r="AC109">
        <v>9004034637</v>
      </c>
      <c r="AD109">
        <v>2025</v>
      </c>
      <c r="AE109">
        <v>10419620</v>
      </c>
      <c r="AF109" t="s">
        <v>234</v>
      </c>
      <c r="AG109" t="s">
        <v>234</v>
      </c>
      <c r="AH109" t="s">
        <v>1</v>
      </c>
      <c r="AI109">
        <v>0</v>
      </c>
      <c r="AJ109" t="s">
        <v>1</v>
      </c>
      <c r="AK109" t="s">
        <v>1</v>
      </c>
      <c r="AL109">
        <v>6999999</v>
      </c>
      <c r="AM109" t="s">
        <v>59</v>
      </c>
      <c r="AO109" t="s">
        <v>121</v>
      </c>
    </row>
    <row r="110" spans="1:41" x14ac:dyDescent="0.25">
      <c r="A110" t="str">
        <f>VLOOKUP(MONTH(N110),Sheet1!$A$2:$B$13,2,0)</f>
        <v>Nov</v>
      </c>
      <c r="B110" t="str">
        <f>IF(LEFT(AO110,1)="B","CAPEX",IF(LEFT(AO110,1)="C","STOCK",IF(MID(AO110,7,2)="JA","STAFF",IF(MID(AO110,7,1)="H","STAFF",IF(MID(AO110,7,1)="S","STAFF",IF(MID(AO110,7,2)="JV","LOG",IFERROR(VLOOKUP($AO110,[1]!Table14[[New Account Number]:[Filtro2]],9,0),VLOOKUP($AO110,[1]!Table14[[Old Account Number]:[Filtro2]],12,0))))))))</f>
        <v>Manutenção Terceiros</v>
      </c>
      <c r="C110" t="str">
        <f>IF(LEFT(AO110,1)="B","CAPEX",IF(LEFT(AO110,1)="C","STOCK",IF(MID(AO110,7,2)="JA","STAFF",IF(MID(AO110,7,1)="H","STAFF",IF(MID(AO110,7,1)="S","STAFF",IF(MID(AO110,7,2)="JV","LOG",IFERROR(VLOOKUP($AO110,[1]!Table14[[New Account Number]:[Filtro2]],10,0),VLOOKUP($AO110,[1]!Table14[[Old Account Number]:[Filtro2]],13,0))))))))</f>
        <v>Total Manutenção Variável</v>
      </c>
      <c r="D110" t="s">
        <v>43</v>
      </c>
      <c r="E110" t="s">
        <v>2</v>
      </c>
      <c r="F110" t="s">
        <v>3</v>
      </c>
      <c r="G110">
        <v>569</v>
      </c>
      <c r="H110" t="s">
        <v>0</v>
      </c>
      <c r="I110" t="s">
        <v>49</v>
      </c>
      <c r="J110" t="s">
        <v>141</v>
      </c>
      <c r="K110" t="s">
        <v>1</v>
      </c>
      <c r="L110">
        <v>4211333188</v>
      </c>
      <c r="M110">
        <v>2600469242</v>
      </c>
      <c r="N110" s="2">
        <v>45967</v>
      </c>
      <c r="O110" s="2">
        <v>46027</v>
      </c>
      <c r="P110">
        <v>48000</v>
      </c>
      <c r="Q110" s="2">
        <v>45967</v>
      </c>
      <c r="R110">
        <v>5001645056</v>
      </c>
      <c r="S110">
        <v>2025</v>
      </c>
      <c r="T110">
        <v>366761</v>
      </c>
      <c r="U110" t="s">
        <v>1</v>
      </c>
      <c r="V110" s="2"/>
      <c r="W110" t="s">
        <v>1</v>
      </c>
      <c r="AE110">
        <v>0</v>
      </c>
      <c r="AF110" t="s">
        <v>51</v>
      </c>
      <c r="AG110" t="s">
        <v>1</v>
      </c>
      <c r="AH110" t="s">
        <v>52</v>
      </c>
      <c r="AI110">
        <v>48000</v>
      </c>
      <c r="AJ110" t="s">
        <v>1</v>
      </c>
      <c r="AK110" t="s">
        <v>1</v>
      </c>
      <c r="AL110">
        <v>6999999</v>
      </c>
      <c r="AM110" t="s">
        <v>59</v>
      </c>
      <c r="AN110">
        <v>9117</v>
      </c>
      <c r="AO110" t="s">
        <v>50</v>
      </c>
    </row>
    <row r="111" spans="1:41" x14ac:dyDescent="0.25">
      <c r="A111" t="str">
        <f>VLOOKUP(MONTH(N111),Sheet1!$A$2:$B$13,2,0)</f>
        <v>Dez</v>
      </c>
      <c r="B111" t="str">
        <f>IF(LEFT(AO111,1)="B","CAPEX",IF(LEFT(AO111,1)="C","STOCK",IF(MID(AO111,7,2)="JA","STAFF",IF(MID(AO111,7,1)="H","STAFF",IF(MID(AO111,7,1)="S","STAFF",IF(MID(AO111,7,2)="JV","LOG",IFERROR(VLOOKUP($AO111,[1]!Table14[[New Account Number]:[Filtro2]],9,0),VLOOKUP($AO111,[1]!Table14[[Old Account Number]:[Filtro2]],12,0))))))))</f>
        <v>CAPEX</v>
      </c>
      <c r="C111" t="str">
        <f>IF(LEFT(AO111,1)="B","CAPEX",IF(LEFT(AO111,1)="C","STOCK",IF(MID(AO111,7,2)="JA","STAFF",IF(MID(AO111,7,1)="H","STAFF",IF(MID(AO111,7,1)="S","STAFF",IF(MID(AO111,7,2)="JV","LOG",IFERROR(VLOOKUP($AO111,[1]!Table14[[New Account Number]:[Filtro2]],10,0),VLOOKUP($AO111,[1]!Table14[[Old Account Number]:[Filtro2]],13,0))))))))</f>
        <v>CAPEX</v>
      </c>
      <c r="D111" t="s">
        <v>46</v>
      </c>
      <c r="E111" t="s">
        <v>47</v>
      </c>
      <c r="F111" t="s">
        <v>48</v>
      </c>
      <c r="G111">
        <v>227</v>
      </c>
      <c r="H111" t="s">
        <v>0</v>
      </c>
      <c r="I111" t="s">
        <v>58</v>
      </c>
      <c r="J111" t="s">
        <v>281</v>
      </c>
      <c r="K111" t="s">
        <v>1</v>
      </c>
      <c r="L111">
        <v>4211327217</v>
      </c>
      <c r="M111">
        <v>2600470006</v>
      </c>
      <c r="N111" s="2">
        <v>45996</v>
      </c>
      <c r="O111" s="2">
        <v>46024</v>
      </c>
      <c r="P111">
        <v>373272.68</v>
      </c>
      <c r="Q111" s="2">
        <v>46003</v>
      </c>
      <c r="R111">
        <v>5001901921</v>
      </c>
      <c r="S111">
        <v>2025</v>
      </c>
      <c r="T111">
        <v>373294</v>
      </c>
      <c r="U111" t="s">
        <v>1</v>
      </c>
      <c r="V111" s="2">
        <v>46003</v>
      </c>
      <c r="W111" t="s">
        <v>259</v>
      </c>
      <c r="AA111">
        <v>5001901076</v>
      </c>
      <c r="AB111">
        <v>2025</v>
      </c>
      <c r="AC111">
        <v>9004034981</v>
      </c>
      <c r="AD111">
        <v>2025</v>
      </c>
      <c r="AE111">
        <v>10420629</v>
      </c>
      <c r="AF111" t="s">
        <v>245</v>
      </c>
      <c r="AG111" t="s">
        <v>245</v>
      </c>
      <c r="AH111" t="s">
        <v>1</v>
      </c>
      <c r="AI111">
        <v>0</v>
      </c>
      <c r="AJ111" t="s">
        <v>1</v>
      </c>
      <c r="AK111" t="s">
        <v>1</v>
      </c>
      <c r="AL111">
        <v>6999999</v>
      </c>
      <c r="AM111" t="s">
        <v>59</v>
      </c>
      <c r="AO111" t="s">
        <v>121</v>
      </c>
    </row>
    <row r="112" spans="1:41" x14ac:dyDescent="0.25">
      <c r="A112" t="str">
        <f>VLOOKUP(MONTH(N112),Sheet1!$A$2:$B$13,2,0)</f>
        <v>Out</v>
      </c>
      <c r="B112" t="str">
        <f>IF(LEFT(AO112,1)="B","CAPEX",IF(LEFT(AO112,1)="C","STOCK",IF(MID(AO112,7,2)="JA","STAFF",IF(MID(AO112,7,1)="H","STAFF",IF(MID(AO112,7,1)="S","STAFF",IF(MID(AO112,7,2)="JV","LOG",IFERROR(VLOOKUP($AO112,[1]!Table14[[New Account Number]:[Filtro2]],9,0),VLOOKUP($AO112,[1]!Table14[[Old Account Number]:[Filtro2]],12,0))))))))</f>
        <v>Treinamento</v>
      </c>
      <c r="C112" t="str">
        <f>IF(LEFT(AO112,1)="B","CAPEX",IF(LEFT(AO112,1)="C","STOCK",IF(MID(AO112,7,2)="JA","STAFF",IF(MID(AO112,7,1)="H","STAFF",IF(MID(AO112,7,1)="S","STAFF",IF(MID(AO112,7,2)="JV","LOG",IFERROR(VLOOKUP($AO112,[1]!Table14[[New Account Number]:[Filtro2]],10,0),VLOOKUP($AO112,[1]!Table14[[Old Account Number]:[Filtro2]],13,0))))))))</f>
        <v>Total Outras Despesas Fixas</v>
      </c>
      <c r="D112" t="s">
        <v>43</v>
      </c>
      <c r="E112" t="s">
        <v>2</v>
      </c>
      <c r="F112" t="s">
        <v>3</v>
      </c>
      <c r="G112">
        <v>3315</v>
      </c>
      <c r="H112" t="s">
        <v>0</v>
      </c>
      <c r="I112" t="s">
        <v>44</v>
      </c>
      <c r="J112" t="s">
        <v>219</v>
      </c>
      <c r="K112" t="s">
        <v>1</v>
      </c>
      <c r="L112">
        <v>4211330236</v>
      </c>
      <c r="M112">
        <v>9001686007</v>
      </c>
      <c r="N112" s="2">
        <v>45954</v>
      </c>
      <c r="O112" s="2">
        <v>46014</v>
      </c>
      <c r="P112">
        <v>61090</v>
      </c>
      <c r="Q112" s="2">
        <v>45954</v>
      </c>
      <c r="R112">
        <v>5001798669</v>
      </c>
      <c r="S112">
        <v>2025</v>
      </c>
      <c r="T112">
        <v>364766</v>
      </c>
      <c r="U112" t="s">
        <v>1</v>
      </c>
      <c r="V112" s="2"/>
      <c r="W112" t="s">
        <v>1</v>
      </c>
      <c r="AE112">
        <v>0</v>
      </c>
      <c r="AF112" t="s">
        <v>216</v>
      </c>
      <c r="AG112" t="s">
        <v>1</v>
      </c>
      <c r="AH112" t="s">
        <v>217</v>
      </c>
      <c r="AI112">
        <v>61090</v>
      </c>
      <c r="AJ112" t="s">
        <v>1</v>
      </c>
      <c r="AK112" t="s">
        <v>1</v>
      </c>
      <c r="AL112">
        <v>6999999</v>
      </c>
      <c r="AM112" t="s">
        <v>92</v>
      </c>
      <c r="AN112">
        <v>2952</v>
      </c>
      <c r="AO112" t="s">
        <v>218</v>
      </c>
    </row>
    <row r="113" spans="1:41" x14ac:dyDescent="0.25">
      <c r="A113" t="str">
        <f>VLOOKUP(MONTH(N113),Sheet1!$A$2:$B$13,2,0)</f>
        <v>Nov</v>
      </c>
      <c r="B113" t="str">
        <f>IF(LEFT(AO113,1)="B","CAPEX",IF(LEFT(AO113,1)="C","STOCK",IF(MID(AO113,7,2)="JA","STAFF",IF(MID(AO113,7,1)="H","STAFF",IF(MID(AO113,7,1)="S","STAFF",IF(MID(AO113,7,2)="JV","LOG",IFERROR(VLOOKUP($AO113,[1]!Table14[[New Account Number]:[Filtro2]],9,0),VLOOKUP($AO113,[1]!Table14[[Old Account Number]:[Filtro2]],12,0))))))))</f>
        <v>Manutenção Terceiros</v>
      </c>
      <c r="C113" t="str">
        <f>IF(LEFT(AO113,1)="B","CAPEX",IF(LEFT(AO113,1)="C","STOCK",IF(MID(AO113,7,2)="JA","STAFF",IF(MID(AO113,7,1)="H","STAFF",IF(MID(AO113,7,1)="S","STAFF",IF(MID(AO113,7,2)="JV","LOG",IFERROR(VLOOKUP($AO113,[1]!Table14[[New Account Number]:[Filtro2]],10,0),VLOOKUP($AO113,[1]!Table14[[Old Account Number]:[Filtro2]],13,0))))))))</f>
        <v>Total Manutenção Variável</v>
      </c>
      <c r="D113" t="s">
        <v>43</v>
      </c>
      <c r="E113" t="s">
        <v>2</v>
      </c>
      <c r="F113" t="s">
        <v>3</v>
      </c>
      <c r="G113">
        <v>570</v>
      </c>
      <c r="H113" t="s">
        <v>0</v>
      </c>
      <c r="I113" t="s">
        <v>97</v>
      </c>
      <c r="J113" t="s">
        <v>141</v>
      </c>
      <c r="K113" t="s">
        <v>1</v>
      </c>
      <c r="L113">
        <v>4211333188</v>
      </c>
      <c r="M113">
        <v>2600469023</v>
      </c>
      <c r="N113" s="2">
        <v>45967</v>
      </c>
      <c r="O113" s="2">
        <v>45997</v>
      </c>
      <c r="P113">
        <v>12212.3</v>
      </c>
      <c r="Q113" s="2">
        <v>45967</v>
      </c>
      <c r="R113">
        <v>5001645055</v>
      </c>
      <c r="S113">
        <v>2025</v>
      </c>
      <c r="T113">
        <v>366759</v>
      </c>
      <c r="U113" t="s">
        <v>1</v>
      </c>
      <c r="V113" s="2"/>
      <c r="W113" t="s">
        <v>1</v>
      </c>
      <c r="AE113">
        <v>0</v>
      </c>
      <c r="AF113" t="s">
        <v>51</v>
      </c>
      <c r="AG113" t="s">
        <v>1</v>
      </c>
      <c r="AH113" t="s">
        <v>52</v>
      </c>
      <c r="AI113">
        <v>12212.3</v>
      </c>
      <c r="AJ113" t="s">
        <v>1</v>
      </c>
      <c r="AK113" t="s">
        <v>1</v>
      </c>
      <c r="AL113">
        <v>6999999</v>
      </c>
      <c r="AM113" t="s">
        <v>59</v>
      </c>
      <c r="AN113">
        <v>9201</v>
      </c>
      <c r="AO113" t="s">
        <v>50</v>
      </c>
    </row>
    <row r="114" spans="1:41" x14ac:dyDescent="0.25">
      <c r="A114" t="str">
        <f>VLOOKUP(MONTH(N114),Sheet1!$A$2:$B$13,2,0)</f>
        <v>Dez</v>
      </c>
      <c r="B114" t="str">
        <f>IF(LEFT(AO114,1)="B","CAPEX",IF(LEFT(AO114,1)="C","STOCK",IF(MID(AO114,7,2)="JA","STAFF",IF(MID(AO114,7,1)="H","STAFF",IF(MID(AO114,7,1)="S","STAFF",IF(MID(AO114,7,2)="JV","LOG",IFERROR(VLOOKUP($AO114,[1]!Table14[[New Account Number]:[Filtro2]],9,0),VLOOKUP($AO114,[1]!Table14[[Old Account Number]:[Filtro2]],12,0))))))))</f>
        <v>Despesas Sociais</v>
      </c>
      <c r="C114" t="str">
        <f>IF(LEFT(AO114,1)="B","CAPEX",IF(LEFT(AO114,1)="C","STOCK",IF(MID(AO114,7,2)="JA","STAFF",IF(MID(AO114,7,1)="H","STAFF",IF(MID(AO114,7,1)="S","STAFF",IF(MID(AO114,7,2)="JV","LOG",IFERROR(VLOOKUP($AO114,[1]!Table14[[New Account Number]:[Filtro2]],10,0),VLOOKUP($AO114,[1]!Table14[[Old Account Number]:[Filtro2]],13,0))))))))</f>
        <v>Total Outras Despesas Fixas</v>
      </c>
      <c r="D114" t="s">
        <v>43</v>
      </c>
      <c r="E114" t="s">
        <v>2</v>
      </c>
      <c r="F114" t="s">
        <v>3</v>
      </c>
      <c r="G114">
        <v>35</v>
      </c>
      <c r="H114" t="s">
        <v>0</v>
      </c>
      <c r="I114" t="s">
        <v>49</v>
      </c>
      <c r="J114" t="s">
        <v>302</v>
      </c>
      <c r="K114" t="s">
        <v>1</v>
      </c>
      <c r="L114">
        <v>4211333475</v>
      </c>
      <c r="M114">
        <v>2600470177</v>
      </c>
      <c r="N114" s="2">
        <v>46001</v>
      </c>
      <c r="O114" s="2">
        <v>46061</v>
      </c>
      <c r="P114">
        <v>2500</v>
      </c>
      <c r="Q114" s="2">
        <v>46001</v>
      </c>
      <c r="R114">
        <v>5001892001</v>
      </c>
      <c r="S114">
        <v>2025</v>
      </c>
      <c r="T114">
        <v>372936</v>
      </c>
      <c r="U114" t="s">
        <v>1</v>
      </c>
      <c r="V114" s="2"/>
      <c r="W114" t="s">
        <v>1</v>
      </c>
      <c r="AE114">
        <v>0</v>
      </c>
      <c r="AF114" t="s">
        <v>229</v>
      </c>
      <c r="AG114" t="s">
        <v>1</v>
      </c>
      <c r="AH114" t="s">
        <v>230</v>
      </c>
      <c r="AI114">
        <v>2500</v>
      </c>
      <c r="AJ114" t="s">
        <v>1</v>
      </c>
      <c r="AK114" t="s">
        <v>1</v>
      </c>
      <c r="AL114">
        <v>6999999</v>
      </c>
      <c r="AM114" t="s">
        <v>59</v>
      </c>
      <c r="AN114">
        <v>2956</v>
      </c>
      <c r="AO114" t="s">
        <v>254</v>
      </c>
    </row>
    <row r="115" spans="1:41" x14ac:dyDescent="0.25">
      <c r="A115" t="str">
        <f>VLOOKUP(MONTH(N115),Sheet1!$A$2:$B$13,2,0)</f>
        <v>Nov</v>
      </c>
      <c r="B115" t="str">
        <f>IF(LEFT(AO115,1)="B","CAPEX",IF(LEFT(AO115,1)="C","STOCK",IF(MID(AO115,7,2)="JA","STAFF",IF(MID(AO115,7,1)="H","STAFF",IF(MID(AO115,7,1)="S","STAFF",IF(MID(AO115,7,2)="JV","LOG",IFERROR(VLOOKUP($AO115,[1]!Table14[[New Account Number]:[Filtro2]],9,0),VLOOKUP($AO115,[1]!Table14[[Old Account Number]:[Filtro2]],12,0))))))))</f>
        <v>Manutenção Terceiros</v>
      </c>
      <c r="C115" t="str">
        <f>IF(LEFT(AO115,1)="B","CAPEX",IF(LEFT(AO115,1)="C","STOCK",IF(MID(AO115,7,2)="JA","STAFF",IF(MID(AO115,7,1)="H","STAFF",IF(MID(AO115,7,1)="S","STAFF",IF(MID(AO115,7,2)="JV","LOG",IFERROR(VLOOKUP($AO115,[1]!Table14[[New Account Number]:[Filtro2]],10,0),VLOOKUP($AO115,[1]!Table14[[Old Account Number]:[Filtro2]],13,0))))))))</f>
        <v>Total Manutenção Variável</v>
      </c>
      <c r="D115" t="s">
        <v>43</v>
      </c>
      <c r="E115" t="s">
        <v>2</v>
      </c>
      <c r="F115" t="s">
        <v>3</v>
      </c>
      <c r="G115">
        <v>78631</v>
      </c>
      <c r="H115" t="s">
        <v>0</v>
      </c>
      <c r="I115" t="s">
        <v>49</v>
      </c>
      <c r="J115" t="s">
        <v>198</v>
      </c>
      <c r="K115" t="s">
        <v>1</v>
      </c>
      <c r="L115">
        <v>4211322980</v>
      </c>
      <c r="M115">
        <v>2600468659</v>
      </c>
      <c r="N115" s="2">
        <v>45967</v>
      </c>
      <c r="O115" s="2">
        <v>45995</v>
      </c>
      <c r="P115">
        <v>2077</v>
      </c>
      <c r="Q115" s="2">
        <v>45967</v>
      </c>
      <c r="R115">
        <v>5001637099</v>
      </c>
      <c r="S115">
        <v>2025</v>
      </c>
      <c r="T115">
        <v>366735</v>
      </c>
      <c r="U115" t="s">
        <v>1</v>
      </c>
      <c r="V115" s="2"/>
      <c r="W115" t="s">
        <v>1</v>
      </c>
      <c r="AE115">
        <v>0</v>
      </c>
      <c r="AF115" t="s">
        <v>170</v>
      </c>
      <c r="AG115" t="s">
        <v>1</v>
      </c>
      <c r="AH115" t="s">
        <v>171</v>
      </c>
      <c r="AI115">
        <v>2077</v>
      </c>
      <c r="AJ115" t="s">
        <v>1</v>
      </c>
      <c r="AK115" t="s">
        <v>1</v>
      </c>
      <c r="AL115">
        <v>6999999</v>
      </c>
      <c r="AM115" t="s">
        <v>59</v>
      </c>
      <c r="AN115">
        <v>9104</v>
      </c>
      <c r="AO115" t="s">
        <v>50</v>
      </c>
    </row>
    <row r="116" spans="1:41" x14ac:dyDescent="0.25">
      <c r="A116" t="str">
        <f>VLOOKUP(MONTH(N116),Sheet1!$A$2:$B$13,2,0)</f>
        <v>Dez</v>
      </c>
      <c r="B116" t="str">
        <f>IF(LEFT(AO116,1)="B","CAPEX",IF(LEFT(AO116,1)="C","STOCK",IF(MID(AO116,7,2)="JA","STAFF",IF(MID(AO116,7,1)="H","STAFF",IF(MID(AO116,7,1)="S","STAFF",IF(MID(AO116,7,2)="JV","LOG",IFERROR(VLOOKUP($AO116,[1]!Table14[[New Account Number]:[Filtro2]],9,0),VLOOKUP($AO116,[1]!Table14[[Old Account Number]:[Filtro2]],12,0))))))))</f>
        <v>Manutenção Terceiros</v>
      </c>
      <c r="C116" t="str">
        <f>IF(LEFT(AO116,1)="B","CAPEX",IF(LEFT(AO116,1)="C","STOCK",IF(MID(AO116,7,2)="JA","STAFF",IF(MID(AO116,7,1)="H","STAFF",IF(MID(AO116,7,1)="S","STAFF",IF(MID(AO116,7,2)="JV","LOG",IFERROR(VLOOKUP($AO116,[1]!Table14[[New Account Number]:[Filtro2]],10,0),VLOOKUP($AO116,[1]!Table14[[Old Account Number]:[Filtro2]],13,0))))))))</f>
        <v>Total Manutenção Variável</v>
      </c>
      <c r="D116" t="s">
        <v>43</v>
      </c>
      <c r="E116" t="s">
        <v>2</v>
      </c>
      <c r="F116" t="s">
        <v>3</v>
      </c>
      <c r="G116">
        <v>63</v>
      </c>
      <c r="H116" t="s">
        <v>0</v>
      </c>
      <c r="I116" t="s">
        <v>49</v>
      </c>
      <c r="J116" t="s">
        <v>205</v>
      </c>
      <c r="K116" t="s">
        <v>1</v>
      </c>
      <c r="L116">
        <v>4211333386</v>
      </c>
      <c r="M116">
        <v>9001687863</v>
      </c>
      <c r="N116" s="2">
        <v>45995</v>
      </c>
      <c r="O116" s="2">
        <v>46055</v>
      </c>
      <c r="P116">
        <v>18831.89</v>
      </c>
      <c r="Q116" s="2">
        <v>45995</v>
      </c>
      <c r="R116">
        <v>5001858710</v>
      </c>
      <c r="S116">
        <v>2025</v>
      </c>
      <c r="T116">
        <v>371617</v>
      </c>
      <c r="U116" t="s">
        <v>1</v>
      </c>
      <c r="V116" s="2"/>
      <c r="W116" t="s">
        <v>1</v>
      </c>
      <c r="AE116">
        <v>0</v>
      </c>
      <c r="AF116" t="s">
        <v>106</v>
      </c>
      <c r="AG116" t="s">
        <v>1</v>
      </c>
      <c r="AH116" t="s">
        <v>192</v>
      </c>
      <c r="AI116">
        <v>18831.89</v>
      </c>
      <c r="AJ116" t="s">
        <v>1</v>
      </c>
      <c r="AK116" t="s">
        <v>1</v>
      </c>
      <c r="AL116">
        <v>6999999</v>
      </c>
      <c r="AM116" t="s">
        <v>59</v>
      </c>
      <c r="AN116">
        <v>9203</v>
      </c>
      <c r="AO116" t="s">
        <v>50</v>
      </c>
    </row>
    <row r="117" spans="1:41" x14ac:dyDescent="0.25">
      <c r="A117" t="str">
        <f>VLOOKUP(MONTH(N117),Sheet1!$A$2:$B$13,2,0)</f>
        <v>Dez</v>
      </c>
      <c r="B117" t="str">
        <f>IF(LEFT(AO117,1)="B","CAPEX",IF(LEFT(AO117,1)="C","STOCK",IF(MID(AO117,7,2)="JA","STAFF",IF(MID(AO117,7,1)="H","STAFF",IF(MID(AO117,7,1)="S","STAFF",IF(MID(AO117,7,2)="JV","LOG",IFERROR(VLOOKUP($AO117,[1]!Table14[[New Account Number]:[Filtro2]],9,0),VLOOKUP($AO117,[1]!Table14[[Old Account Number]:[Filtro2]],12,0))))))))</f>
        <v>STOCK</v>
      </c>
      <c r="C117" t="str">
        <f>IF(LEFT(AO117,1)="B","CAPEX",IF(LEFT(AO117,1)="C","STOCK",IF(MID(AO117,7,2)="JA","STAFF",IF(MID(AO117,7,1)="H","STAFF",IF(MID(AO117,7,1)="S","STAFF",IF(MID(AO117,7,2)="JV","LOG",IFERROR(VLOOKUP($AO117,[1]!Table14[[New Account Number]:[Filtro2]],10,0),VLOOKUP($AO117,[1]!Table14[[Old Account Number]:[Filtro2]],13,0))))))))</f>
        <v>STOCK</v>
      </c>
      <c r="D117" t="s">
        <v>43</v>
      </c>
      <c r="E117" t="s">
        <v>2</v>
      </c>
      <c r="F117" t="s">
        <v>3</v>
      </c>
      <c r="G117">
        <v>15273</v>
      </c>
      <c r="H117" t="s">
        <v>0</v>
      </c>
      <c r="I117" t="s">
        <v>44</v>
      </c>
      <c r="J117" t="s">
        <v>206</v>
      </c>
      <c r="K117" t="s">
        <v>1</v>
      </c>
      <c r="L117">
        <v>4211332596</v>
      </c>
      <c r="M117">
        <v>9001695675</v>
      </c>
      <c r="N117" s="2">
        <v>45996</v>
      </c>
      <c r="O117" s="2">
        <v>46024</v>
      </c>
      <c r="P117">
        <v>2920</v>
      </c>
      <c r="Q117" s="2">
        <v>46000</v>
      </c>
      <c r="R117">
        <v>5001877894</v>
      </c>
      <c r="S117">
        <v>2025</v>
      </c>
      <c r="T117">
        <v>372546</v>
      </c>
      <c r="U117" t="s">
        <v>1</v>
      </c>
      <c r="V117" s="2"/>
      <c r="W117" t="s">
        <v>1</v>
      </c>
      <c r="AE117">
        <v>0</v>
      </c>
      <c r="AF117" t="s">
        <v>285</v>
      </c>
      <c r="AG117" t="s">
        <v>1</v>
      </c>
      <c r="AH117" t="s">
        <v>286</v>
      </c>
      <c r="AI117">
        <v>2920</v>
      </c>
      <c r="AJ117" t="s">
        <v>1</v>
      </c>
      <c r="AK117" t="s">
        <v>1</v>
      </c>
      <c r="AL117">
        <v>6999999</v>
      </c>
      <c r="AM117" t="s">
        <v>92</v>
      </c>
      <c r="AN117">
        <v>9042</v>
      </c>
      <c r="AO117" t="s">
        <v>197</v>
      </c>
    </row>
    <row r="118" spans="1:41" x14ac:dyDescent="0.25">
      <c r="A118" t="str">
        <f>VLOOKUP(MONTH(N118),Sheet1!$A$2:$B$13,2,0)</f>
        <v>Dez</v>
      </c>
      <c r="B118" t="str">
        <f>IF(LEFT(AO118,1)="B","CAPEX",IF(LEFT(AO118,1)="C","STOCK",IF(MID(AO118,7,2)="JA","STAFF",IF(MID(AO118,7,1)="H","STAFF",IF(MID(AO118,7,1)="S","STAFF",IF(MID(AO118,7,2)="JV","LOG",IFERROR(VLOOKUP($AO118,[1]!Table14[[New Account Number]:[Filtro2]],9,0),VLOOKUP($AO118,[1]!Table14[[Old Account Number]:[Filtro2]],12,0))))))))</f>
        <v>Água e Esgoto</v>
      </c>
      <c r="C118" t="str">
        <f>IF(LEFT(AO118,1)="B","CAPEX",IF(LEFT(AO118,1)="C","STOCK",IF(MID(AO118,7,2)="JA","STAFF",IF(MID(AO118,7,1)="H","STAFF",IF(MID(AO118,7,1)="S","STAFF",IF(MID(AO118,7,2)="JV","LOG",IFERROR(VLOOKUP($AO118,[1]!Table14[[New Account Number]:[Filtro2]],10,0),VLOOKUP($AO118,[1]!Table14[[Old Account Number]:[Filtro2]],13,0))))))))</f>
        <v>Total Energéticos Variáveis</v>
      </c>
      <c r="D118" t="s">
        <v>43</v>
      </c>
      <c r="E118" t="s">
        <v>2</v>
      </c>
      <c r="F118" t="s">
        <v>3</v>
      </c>
      <c r="G118">
        <v>35374</v>
      </c>
      <c r="H118" t="s">
        <v>0</v>
      </c>
      <c r="I118" t="s">
        <v>44</v>
      </c>
      <c r="J118" t="s">
        <v>303</v>
      </c>
      <c r="K118" t="s">
        <v>1</v>
      </c>
      <c r="L118">
        <v>4211327212</v>
      </c>
      <c r="M118">
        <v>9001622082</v>
      </c>
      <c r="N118" s="2">
        <v>46000</v>
      </c>
      <c r="O118" s="2">
        <v>46030</v>
      </c>
      <c r="P118">
        <v>703.65</v>
      </c>
      <c r="Q118" s="2">
        <v>46000</v>
      </c>
      <c r="R118">
        <v>5001878542</v>
      </c>
      <c r="S118">
        <v>2025</v>
      </c>
      <c r="T118">
        <v>372556</v>
      </c>
      <c r="U118" t="s">
        <v>1</v>
      </c>
      <c r="V118" s="2"/>
      <c r="W118" t="s">
        <v>1</v>
      </c>
      <c r="AE118">
        <v>0</v>
      </c>
      <c r="AF118" t="s">
        <v>81</v>
      </c>
      <c r="AG118" t="s">
        <v>1</v>
      </c>
      <c r="AH118" t="s">
        <v>96</v>
      </c>
      <c r="AI118">
        <v>703.65</v>
      </c>
      <c r="AJ118" t="s">
        <v>1</v>
      </c>
      <c r="AK118" t="s">
        <v>1</v>
      </c>
      <c r="AL118">
        <v>6999999</v>
      </c>
      <c r="AM118" t="s">
        <v>92</v>
      </c>
      <c r="AN118">
        <v>9104</v>
      </c>
      <c r="AO118" t="s">
        <v>304</v>
      </c>
    </row>
    <row r="119" spans="1:41" x14ac:dyDescent="0.25">
      <c r="A119" t="str">
        <f>VLOOKUP(MONTH(N119),Sheet1!$A$2:$B$13,2,0)</f>
        <v>Ago</v>
      </c>
      <c r="B119" t="str">
        <f>IF(LEFT(AO119,1)="B","CAPEX",IF(LEFT(AO119,1)="C","STOCK",IF(MID(AO119,7,2)="JA","STAFF",IF(MID(AO119,7,1)="H","STAFF",IF(MID(AO119,7,1)="S","STAFF",IF(MID(AO119,7,2)="JV","LOG",IFERROR(VLOOKUP($AO119,[1]!Table14[[New Account Number]:[Filtro2]],9,0),VLOOKUP($AO119,[1]!Table14[[Old Account Number]:[Filtro2]],12,0))))))))</f>
        <v>Manutenção Terceiros</v>
      </c>
      <c r="C119" t="str">
        <f>IF(LEFT(AO119,1)="B","CAPEX",IF(LEFT(AO119,1)="C","STOCK",IF(MID(AO119,7,2)="JA","STAFF",IF(MID(AO119,7,1)="H","STAFF",IF(MID(AO119,7,1)="S","STAFF",IF(MID(AO119,7,2)="JV","LOG",IFERROR(VLOOKUP($AO119,[1]!Table14[[New Account Number]:[Filtro2]],10,0),VLOOKUP($AO119,[1]!Table14[[Old Account Number]:[Filtro2]],13,0))))))))</f>
        <v>Total Manutenção Variável</v>
      </c>
      <c r="D119" t="s">
        <v>46</v>
      </c>
      <c r="E119" t="s">
        <v>47</v>
      </c>
      <c r="F119" t="s">
        <v>48</v>
      </c>
      <c r="G119">
        <v>134698</v>
      </c>
      <c r="H119" t="s">
        <v>0</v>
      </c>
      <c r="I119" t="s">
        <v>44</v>
      </c>
      <c r="J119" t="s">
        <v>62</v>
      </c>
      <c r="K119" t="s">
        <v>1</v>
      </c>
      <c r="L119">
        <v>4211315568</v>
      </c>
      <c r="M119">
        <v>9001631471</v>
      </c>
      <c r="N119" s="2">
        <v>45880</v>
      </c>
      <c r="O119" s="2">
        <v>45955</v>
      </c>
      <c r="P119">
        <v>44528.57</v>
      </c>
      <c r="Q119" s="2">
        <v>45891</v>
      </c>
      <c r="R119">
        <v>5001231911</v>
      </c>
      <c r="S119">
        <v>2025</v>
      </c>
      <c r="T119">
        <v>353670</v>
      </c>
      <c r="U119" t="s">
        <v>1</v>
      </c>
      <c r="V119" s="2">
        <v>46003</v>
      </c>
      <c r="W119" t="s">
        <v>182</v>
      </c>
      <c r="AA119">
        <v>5001902858</v>
      </c>
      <c r="AB119">
        <v>2025</v>
      </c>
      <c r="AC119">
        <v>9004035274</v>
      </c>
      <c r="AD119">
        <v>2025</v>
      </c>
      <c r="AE119">
        <v>10421163</v>
      </c>
      <c r="AF119" t="s">
        <v>81</v>
      </c>
      <c r="AG119" t="s">
        <v>181</v>
      </c>
      <c r="AH119" t="s">
        <v>96</v>
      </c>
      <c r="AI119">
        <v>0</v>
      </c>
      <c r="AJ119" t="s">
        <v>1</v>
      </c>
      <c r="AK119" t="s">
        <v>1</v>
      </c>
      <c r="AL119">
        <v>6000020</v>
      </c>
      <c r="AM119" t="s">
        <v>92</v>
      </c>
      <c r="AN119">
        <v>9013</v>
      </c>
      <c r="AO119" t="s">
        <v>50</v>
      </c>
    </row>
    <row r="120" spans="1:41" x14ac:dyDescent="0.25">
      <c r="A120" t="str">
        <f>VLOOKUP(MONTH(N120),Sheet1!$A$2:$B$13,2,0)</f>
        <v>Nov</v>
      </c>
      <c r="B120" t="str">
        <f>IF(LEFT(AO120,1)="B","CAPEX",IF(LEFT(AO120,1)="C","STOCK",IF(MID(AO120,7,2)="JA","STAFF",IF(MID(AO120,7,1)="H","STAFF",IF(MID(AO120,7,1)="S","STAFF",IF(MID(AO120,7,2)="JV","LOG",IFERROR(VLOOKUP($AO120,[1]!Table14[[New Account Number]:[Filtro2]],9,0),VLOOKUP($AO120,[1]!Table14[[Old Account Number]:[Filtro2]],12,0))))))))</f>
        <v>Manutenção Terceiros</v>
      </c>
      <c r="C120" t="str">
        <f>IF(LEFT(AO120,1)="B","CAPEX",IF(LEFT(AO120,1)="C","STOCK",IF(MID(AO120,7,2)="JA","STAFF",IF(MID(AO120,7,1)="H","STAFF",IF(MID(AO120,7,1)="S","STAFF",IF(MID(AO120,7,2)="JV","LOG",IFERROR(VLOOKUP($AO120,[1]!Table14[[New Account Number]:[Filtro2]],10,0),VLOOKUP($AO120,[1]!Table14[[Old Account Number]:[Filtro2]],13,0))))))))</f>
        <v>Total Manutenção Variável</v>
      </c>
      <c r="D120" t="s">
        <v>43</v>
      </c>
      <c r="E120" t="s">
        <v>2</v>
      </c>
      <c r="F120" t="s">
        <v>3</v>
      </c>
      <c r="G120">
        <v>144975</v>
      </c>
      <c r="H120" t="s">
        <v>0</v>
      </c>
      <c r="I120" t="s">
        <v>57</v>
      </c>
      <c r="J120" t="s">
        <v>62</v>
      </c>
      <c r="K120" t="s">
        <v>1</v>
      </c>
      <c r="L120">
        <v>4211315568</v>
      </c>
      <c r="M120">
        <v>9001679956</v>
      </c>
      <c r="N120" s="2">
        <v>45966</v>
      </c>
      <c r="O120" s="2">
        <v>46041</v>
      </c>
      <c r="P120">
        <v>7662.98</v>
      </c>
      <c r="Q120" s="2">
        <v>45968</v>
      </c>
      <c r="R120">
        <v>5001649090</v>
      </c>
      <c r="S120">
        <v>2025</v>
      </c>
      <c r="T120">
        <v>367113</v>
      </c>
      <c r="U120" t="s">
        <v>1</v>
      </c>
      <c r="V120" s="2"/>
      <c r="W120" t="s">
        <v>1</v>
      </c>
      <c r="AE120">
        <v>0</v>
      </c>
      <c r="AF120" t="s">
        <v>87</v>
      </c>
      <c r="AG120" t="s">
        <v>1</v>
      </c>
      <c r="AH120" t="s">
        <v>1</v>
      </c>
      <c r="AI120">
        <v>7662.98</v>
      </c>
      <c r="AJ120" t="s">
        <v>1</v>
      </c>
      <c r="AK120" t="s">
        <v>1</v>
      </c>
      <c r="AL120">
        <v>6000031</v>
      </c>
      <c r="AM120" t="s">
        <v>59</v>
      </c>
      <c r="AN120">
        <v>9104</v>
      </c>
      <c r="AO120" t="s">
        <v>50</v>
      </c>
    </row>
    <row r="121" spans="1:41" x14ac:dyDescent="0.25">
      <c r="A121" t="str">
        <f>VLOOKUP(MONTH(N121),Sheet1!$A$2:$B$13,2,0)</f>
        <v>Out</v>
      </c>
      <c r="B121" t="str">
        <f>IF(LEFT(AO121,1)="B","CAPEX",IF(LEFT(AO121,1)="C","STOCK",IF(MID(AO121,7,2)="JA","STAFF",IF(MID(AO121,7,1)="H","STAFF",IF(MID(AO121,7,1)="S","STAFF",IF(MID(AO121,7,2)="JV","LOG",IFERROR(VLOOKUP($AO121,[1]!Table14[[New Account Number]:[Filtro2]],9,0),VLOOKUP($AO121,[1]!Table14[[Old Account Number]:[Filtro2]],12,0))))))))</f>
        <v>Manutenção Terceiros</v>
      </c>
      <c r="C121" t="str">
        <f>IF(LEFT(AO121,1)="B","CAPEX",IF(LEFT(AO121,1)="C","STOCK",IF(MID(AO121,7,2)="JA","STAFF",IF(MID(AO121,7,1)="H","STAFF",IF(MID(AO121,7,1)="S","STAFF",IF(MID(AO121,7,2)="JV","LOG",IFERROR(VLOOKUP($AO121,[1]!Table14[[New Account Number]:[Filtro2]],10,0),VLOOKUP($AO121,[1]!Table14[[Old Account Number]:[Filtro2]],13,0))))))))</f>
        <v>Total Manutenção Variável</v>
      </c>
      <c r="D121" t="s">
        <v>46</v>
      </c>
      <c r="E121" t="s">
        <v>47</v>
      </c>
      <c r="F121" t="s">
        <v>48</v>
      </c>
      <c r="G121">
        <v>2614</v>
      </c>
      <c r="H121" t="s">
        <v>0</v>
      </c>
      <c r="I121" t="s">
        <v>97</v>
      </c>
      <c r="J121" t="s">
        <v>157</v>
      </c>
      <c r="K121" t="s">
        <v>1</v>
      </c>
      <c r="L121">
        <v>4211328480</v>
      </c>
      <c r="M121">
        <v>2600467804</v>
      </c>
      <c r="N121" s="2">
        <v>45937</v>
      </c>
      <c r="O121" s="2">
        <v>45967</v>
      </c>
      <c r="P121">
        <v>30000</v>
      </c>
      <c r="Q121" s="2">
        <v>45937</v>
      </c>
      <c r="R121">
        <v>5001433289</v>
      </c>
      <c r="S121">
        <v>2025</v>
      </c>
      <c r="T121">
        <v>361886</v>
      </c>
      <c r="U121" t="s">
        <v>1</v>
      </c>
      <c r="V121" s="2">
        <v>46003</v>
      </c>
      <c r="W121" t="s">
        <v>182</v>
      </c>
      <c r="AA121">
        <v>5001902859</v>
      </c>
      <c r="AB121">
        <v>2025</v>
      </c>
      <c r="AC121">
        <v>9004035278</v>
      </c>
      <c r="AD121">
        <v>2025</v>
      </c>
      <c r="AE121">
        <v>10421165</v>
      </c>
      <c r="AF121" t="s">
        <v>51</v>
      </c>
      <c r="AG121" t="s">
        <v>181</v>
      </c>
      <c r="AH121" t="s">
        <v>52</v>
      </c>
      <c r="AI121">
        <v>0</v>
      </c>
      <c r="AJ121" t="s">
        <v>1</v>
      </c>
      <c r="AK121" t="s">
        <v>1</v>
      </c>
      <c r="AL121">
        <v>6999999</v>
      </c>
      <c r="AM121" t="s">
        <v>59</v>
      </c>
      <c r="AN121">
        <v>9013</v>
      </c>
      <c r="AO121" t="s">
        <v>50</v>
      </c>
    </row>
    <row r="122" spans="1:41" x14ac:dyDescent="0.25">
      <c r="A122" t="str">
        <f>VLOOKUP(MONTH(N122),Sheet1!$A$2:$B$13,2,0)</f>
        <v>Nov</v>
      </c>
      <c r="B122" t="str">
        <f>IF(LEFT(AO122,1)="B","CAPEX",IF(LEFT(AO122,1)="C","STOCK",IF(MID(AO122,7,2)="JA","STAFF",IF(MID(AO122,7,1)="H","STAFF",IF(MID(AO122,7,1)="S","STAFF",IF(MID(AO122,7,2)="JV","LOG",IFERROR(VLOOKUP($AO122,[1]!Table14[[New Account Number]:[Filtro2]],9,0),VLOOKUP($AO122,[1]!Table14[[Old Account Number]:[Filtro2]],12,0))))))))</f>
        <v>Manutenção Terceiros</v>
      </c>
      <c r="C122" t="str">
        <f>IF(LEFT(AO122,1)="B","CAPEX",IF(LEFT(AO122,1)="C","STOCK",IF(MID(AO122,7,2)="JA","STAFF",IF(MID(AO122,7,1)="H","STAFF",IF(MID(AO122,7,1)="S","STAFF",IF(MID(AO122,7,2)="JV","LOG",IFERROR(VLOOKUP($AO122,[1]!Table14[[New Account Number]:[Filtro2]],10,0),VLOOKUP($AO122,[1]!Table14[[Old Account Number]:[Filtro2]],13,0))))))))</f>
        <v>Total Manutenção Variável</v>
      </c>
      <c r="D122" t="s">
        <v>43</v>
      </c>
      <c r="E122" t="s">
        <v>2</v>
      </c>
      <c r="F122" t="s">
        <v>3</v>
      </c>
      <c r="G122">
        <v>29642</v>
      </c>
      <c r="H122" t="s">
        <v>0</v>
      </c>
      <c r="I122" t="s">
        <v>49</v>
      </c>
      <c r="J122" t="s">
        <v>136</v>
      </c>
      <c r="K122" t="s">
        <v>1</v>
      </c>
      <c r="L122">
        <v>4211331619</v>
      </c>
      <c r="M122">
        <v>9001684162</v>
      </c>
      <c r="N122" s="2">
        <v>45968</v>
      </c>
      <c r="O122" s="2">
        <v>45998</v>
      </c>
      <c r="P122">
        <v>19150</v>
      </c>
      <c r="Q122" s="2">
        <v>45968</v>
      </c>
      <c r="R122">
        <v>5001654425</v>
      </c>
      <c r="S122">
        <v>2025</v>
      </c>
      <c r="T122">
        <v>367142</v>
      </c>
      <c r="U122" t="s">
        <v>1</v>
      </c>
      <c r="V122" s="2"/>
      <c r="W122" t="s">
        <v>1</v>
      </c>
      <c r="AE122">
        <v>0</v>
      </c>
      <c r="AF122" t="s">
        <v>106</v>
      </c>
      <c r="AG122" t="s">
        <v>1</v>
      </c>
      <c r="AH122" t="s">
        <v>192</v>
      </c>
      <c r="AI122">
        <v>19150</v>
      </c>
      <c r="AJ122" t="s">
        <v>1</v>
      </c>
      <c r="AK122" t="s">
        <v>1</v>
      </c>
      <c r="AL122">
        <v>6999999</v>
      </c>
      <c r="AM122" t="s">
        <v>59</v>
      </c>
      <c r="AN122">
        <v>9117</v>
      </c>
      <c r="AO122" t="s">
        <v>50</v>
      </c>
    </row>
    <row r="123" spans="1:41" x14ac:dyDescent="0.25">
      <c r="A123" t="str">
        <f>VLOOKUP(MONTH(N123),Sheet1!$A$2:$B$13,2,0)</f>
        <v>Nov</v>
      </c>
      <c r="B123" t="str">
        <f>IF(LEFT(AO123,1)="B","CAPEX",IF(LEFT(AO123,1)="C","STOCK",IF(MID(AO123,7,2)="JA","STAFF",IF(MID(AO123,7,1)="H","STAFF",IF(MID(AO123,7,1)="S","STAFF",IF(MID(AO123,7,2)="JV","LOG",IFERROR(VLOOKUP($AO123,[1]!Table14[[New Account Number]:[Filtro2]],9,0),VLOOKUP($AO123,[1]!Table14[[Old Account Number]:[Filtro2]],12,0))))))))</f>
        <v>Outras Despesas</v>
      </c>
      <c r="C123" t="str">
        <f>IF(LEFT(AO123,1)="B","CAPEX",IF(LEFT(AO123,1)="C","STOCK",IF(MID(AO123,7,2)="JA","STAFF",IF(MID(AO123,7,1)="H","STAFF",IF(MID(AO123,7,1)="S","STAFF",IF(MID(AO123,7,2)="JV","LOG",IFERROR(VLOOKUP($AO123,[1]!Table14[[New Account Number]:[Filtro2]],10,0),VLOOKUP($AO123,[1]!Table14[[Old Account Number]:[Filtro2]],13,0))))))))</f>
        <v>Total Outras Despesas Variáveis</v>
      </c>
      <c r="D123" t="s">
        <v>46</v>
      </c>
      <c r="E123" t="s">
        <v>47</v>
      </c>
      <c r="F123" t="s">
        <v>48</v>
      </c>
      <c r="G123">
        <v>14351</v>
      </c>
      <c r="H123" t="s">
        <v>0</v>
      </c>
      <c r="I123" t="s">
        <v>220</v>
      </c>
      <c r="J123" t="s">
        <v>124</v>
      </c>
      <c r="K123" t="s">
        <v>1</v>
      </c>
      <c r="L123">
        <v>4211333268</v>
      </c>
      <c r="M123">
        <v>9001689738</v>
      </c>
      <c r="N123" s="2">
        <v>45978</v>
      </c>
      <c r="O123" s="2">
        <v>46038</v>
      </c>
      <c r="P123">
        <v>265094.7</v>
      </c>
      <c r="Q123" s="2">
        <v>45986</v>
      </c>
      <c r="R123">
        <v>5001785056</v>
      </c>
      <c r="S123">
        <v>2025</v>
      </c>
      <c r="T123">
        <v>370038</v>
      </c>
      <c r="U123" t="s">
        <v>1</v>
      </c>
      <c r="V123" s="2">
        <v>45988</v>
      </c>
      <c r="W123" t="s">
        <v>221</v>
      </c>
      <c r="AA123">
        <v>5001800262</v>
      </c>
      <c r="AB123">
        <v>2025</v>
      </c>
      <c r="AC123">
        <v>9004028984</v>
      </c>
      <c r="AD123">
        <v>2025</v>
      </c>
      <c r="AE123">
        <v>10406649</v>
      </c>
      <c r="AF123" t="s">
        <v>222</v>
      </c>
      <c r="AG123" t="s">
        <v>222</v>
      </c>
      <c r="AH123" t="s">
        <v>1</v>
      </c>
      <c r="AI123">
        <v>0</v>
      </c>
      <c r="AJ123" t="s">
        <v>1</v>
      </c>
      <c r="AK123" t="s">
        <v>1</v>
      </c>
      <c r="AL123">
        <v>6000031</v>
      </c>
      <c r="AM123" t="s">
        <v>1</v>
      </c>
      <c r="AN123">
        <v>9201</v>
      </c>
      <c r="AO123" t="s">
        <v>147</v>
      </c>
    </row>
    <row r="124" spans="1:41" x14ac:dyDescent="0.25">
      <c r="A124" t="str">
        <f>VLOOKUP(MONTH(N124),Sheet1!$A$2:$B$13,2,0)</f>
        <v>Out</v>
      </c>
      <c r="B124" t="str">
        <f>IF(LEFT(AO124,1)="B","CAPEX",IF(LEFT(AO124,1)="C","STOCK",IF(MID(AO124,7,2)="JA","STAFF",IF(MID(AO124,7,1)="H","STAFF",IF(MID(AO124,7,1)="S","STAFF",IF(MID(AO124,7,2)="JV","LOG",IFERROR(VLOOKUP($AO124,[1]!Table14[[New Account Number]:[Filtro2]],9,0),VLOOKUP($AO124,[1]!Table14[[Old Account Number]:[Filtro2]],12,0))))))))</f>
        <v>Manutenção Terceiros</v>
      </c>
      <c r="C124" t="str">
        <f>IF(LEFT(AO124,1)="B","CAPEX",IF(LEFT(AO124,1)="C","STOCK",IF(MID(AO124,7,2)="JA","STAFF",IF(MID(AO124,7,1)="H","STAFF",IF(MID(AO124,7,1)="S","STAFF",IF(MID(AO124,7,2)="JV","LOG",IFERROR(VLOOKUP($AO124,[1]!Table14[[New Account Number]:[Filtro2]],10,0),VLOOKUP($AO124,[1]!Table14[[Old Account Number]:[Filtro2]],13,0))))))))</f>
        <v>Total Manutenção Variável</v>
      </c>
      <c r="D124" t="s">
        <v>43</v>
      </c>
      <c r="E124" t="s">
        <v>2</v>
      </c>
      <c r="F124" t="s">
        <v>3</v>
      </c>
      <c r="G124">
        <v>143177</v>
      </c>
      <c r="H124" t="s">
        <v>0</v>
      </c>
      <c r="I124" t="s">
        <v>49</v>
      </c>
      <c r="J124" t="s">
        <v>62</v>
      </c>
      <c r="K124" t="s">
        <v>1</v>
      </c>
      <c r="L124">
        <v>4211315568</v>
      </c>
      <c r="M124">
        <v>2600468723</v>
      </c>
      <c r="N124" s="2">
        <v>45950</v>
      </c>
      <c r="O124" s="2">
        <v>46025</v>
      </c>
      <c r="P124">
        <v>12391.65</v>
      </c>
      <c r="Q124" s="2">
        <v>45950</v>
      </c>
      <c r="R124">
        <v>5001503909</v>
      </c>
      <c r="S124">
        <v>2025</v>
      </c>
      <c r="T124">
        <v>363726</v>
      </c>
      <c r="U124" t="s">
        <v>1</v>
      </c>
      <c r="V124" s="2"/>
      <c r="W124" t="s">
        <v>1</v>
      </c>
      <c r="AE124">
        <v>0</v>
      </c>
      <c r="AF124" t="s">
        <v>87</v>
      </c>
      <c r="AG124" t="s">
        <v>1</v>
      </c>
      <c r="AH124" t="s">
        <v>1</v>
      </c>
      <c r="AI124">
        <v>12391.65</v>
      </c>
      <c r="AJ124" t="s">
        <v>1</v>
      </c>
      <c r="AK124" t="s">
        <v>1</v>
      </c>
      <c r="AL124">
        <v>6000031</v>
      </c>
      <c r="AM124" t="s">
        <v>59</v>
      </c>
      <c r="AN124">
        <v>9203</v>
      </c>
      <c r="AO124" t="s">
        <v>50</v>
      </c>
    </row>
    <row r="125" spans="1:41" x14ac:dyDescent="0.25">
      <c r="A125" t="str">
        <f>VLOOKUP(MONTH(N125),Sheet1!$A$2:$B$13,2,0)</f>
        <v>Nov</v>
      </c>
      <c r="B125" t="str">
        <f>IF(LEFT(AO125,1)="B","CAPEX",IF(LEFT(AO125,1)="C","STOCK",IF(MID(AO125,7,2)="JA","STAFF",IF(MID(AO125,7,1)="H","STAFF",IF(MID(AO125,7,1)="S","STAFF",IF(MID(AO125,7,2)="JV","LOG",IFERROR(VLOOKUP($AO125,[1]!Table14[[New Account Number]:[Filtro2]],9,0),VLOOKUP($AO125,[1]!Table14[[Old Account Number]:[Filtro2]],12,0))))))))</f>
        <v>Outras Despesas</v>
      </c>
      <c r="C125" t="str">
        <f>IF(LEFT(AO125,1)="B","CAPEX",IF(LEFT(AO125,1)="C","STOCK",IF(MID(AO125,7,2)="JA","STAFF",IF(MID(AO125,7,1)="H","STAFF",IF(MID(AO125,7,1)="S","STAFF",IF(MID(AO125,7,2)="JV","LOG",IFERROR(VLOOKUP($AO125,[1]!Table14[[New Account Number]:[Filtro2]],10,0),VLOOKUP($AO125,[1]!Table14[[Old Account Number]:[Filtro2]],13,0))))))))</f>
        <v>Total Outras Despesas Variáveis</v>
      </c>
      <c r="D125" t="s">
        <v>43</v>
      </c>
      <c r="E125" t="s">
        <v>2</v>
      </c>
      <c r="F125" t="s">
        <v>3</v>
      </c>
      <c r="G125">
        <v>14356</v>
      </c>
      <c r="H125" t="s">
        <v>0</v>
      </c>
      <c r="I125" t="s">
        <v>49</v>
      </c>
      <c r="J125" t="s">
        <v>124</v>
      </c>
      <c r="K125" t="s">
        <v>1</v>
      </c>
      <c r="L125">
        <v>4211333268</v>
      </c>
      <c r="M125">
        <v>9001689740</v>
      </c>
      <c r="N125" s="2">
        <v>45978</v>
      </c>
      <c r="O125" s="2">
        <v>46038</v>
      </c>
      <c r="P125">
        <v>265094.7</v>
      </c>
      <c r="Q125" s="2">
        <v>45986</v>
      </c>
      <c r="R125">
        <v>5001785058</v>
      </c>
      <c r="S125">
        <v>2025</v>
      </c>
      <c r="T125">
        <v>370037</v>
      </c>
      <c r="U125" t="s">
        <v>1</v>
      </c>
      <c r="V125" s="2"/>
      <c r="W125" t="s">
        <v>1</v>
      </c>
      <c r="AE125">
        <v>0</v>
      </c>
      <c r="AF125" t="s">
        <v>60</v>
      </c>
      <c r="AG125" t="s">
        <v>1</v>
      </c>
      <c r="AH125" t="s">
        <v>61</v>
      </c>
      <c r="AI125">
        <v>265094.7</v>
      </c>
      <c r="AJ125" t="s">
        <v>1</v>
      </c>
      <c r="AK125" t="s">
        <v>1</v>
      </c>
      <c r="AL125">
        <v>6000031</v>
      </c>
      <c r="AM125" t="s">
        <v>59</v>
      </c>
      <c r="AN125">
        <v>9201</v>
      </c>
      <c r="AO125" t="s">
        <v>147</v>
      </c>
    </row>
    <row r="126" spans="1:41" x14ac:dyDescent="0.25">
      <c r="A126" t="str">
        <f>VLOOKUP(MONTH(N126),Sheet1!$A$2:$B$13,2,0)</f>
        <v>Nov</v>
      </c>
      <c r="B126" t="str">
        <f>IF(LEFT(AO126,1)="B","CAPEX",IF(LEFT(AO126,1)="C","STOCK",IF(MID(AO126,7,2)="JA","STAFF",IF(MID(AO126,7,1)="H","STAFF",IF(MID(AO126,7,1)="S","STAFF",IF(MID(AO126,7,2)="JV","LOG",IFERROR(VLOOKUP($AO126,[1]!Table14[[New Account Number]:[Filtro2]],9,0),VLOOKUP($AO126,[1]!Table14[[Old Account Number]:[Filtro2]],12,0))))))))</f>
        <v>Outras Despesas</v>
      </c>
      <c r="C126" t="str">
        <f>IF(LEFT(AO126,1)="B","CAPEX",IF(LEFT(AO126,1)="C","STOCK",IF(MID(AO126,7,2)="JA","STAFF",IF(MID(AO126,7,1)="H","STAFF",IF(MID(AO126,7,1)="S","STAFF",IF(MID(AO126,7,2)="JV","LOG",IFERROR(VLOOKUP($AO126,[1]!Table14[[New Account Number]:[Filtro2]],10,0),VLOOKUP($AO126,[1]!Table14[[Old Account Number]:[Filtro2]],13,0))))))))</f>
        <v>Total Outras Despesas Variáveis</v>
      </c>
      <c r="D126" t="s">
        <v>43</v>
      </c>
      <c r="E126" t="s">
        <v>2</v>
      </c>
      <c r="F126" t="s">
        <v>3</v>
      </c>
      <c r="G126">
        <v>14348</v>
      </c>
      <c r="H126" t="s">
        <v>0</v>
      </c>
      <c r="I126" t="s">
        <v>49</v>
      </c>
      <c r="J126" t="s">
        <v>124</v>
      </c>
      <c r="K126" t="s">
        <v>1</v>
      </c>
      <c r="L126">
        <v>4211333268</v>
      </c>
      <c r="M126">
        <v>9001689740</v>
      </c>
      <c r="N126" s="2">
        <v>45978</v>
      </c>
      <c r="O126" s="2">
        <v>46038</v>
      </c>
      <c r="P126">
        <v>265094.7</v>
      </c>
      <c r="Q126" s="2">
        <v>45986</v>
      </c>
      <c r="R126">
        <v>5001785059</v>
      </c>
      <c r="S126">
        <v>2025</v>
      </c>
      <c r="T126">
        <v>370040</v>
      </c>
      <c r="U126" t="s">
        <v>1</v>
      </c>
      <c r="V126" s="2"/>
      <c r="W126" t="s">
        <v>1</v>
      </c>
      <c r="AE126">
        <v>0</v>
      </c>
      <c r="AF126" t="s">
        <v>60</v>
      </c>
      <c r="AG126" t="s">
        <v>1</v>
      </c>
      <c r="AH126" t="s">
        <v>61</v>
      </c>
      <c r="AI126">
        <v>265094.7</v>
      </c>
      <c r="AJ126" t="s">
        <v>1</v>
      </c>
      <c r="AK126" t="s">
        <v>1</v>
      </c>
      <c r="AL126">
        <v>6000031</v>
      </c>
      <c r="AM126" t="s">
        <v>59</v>
      </c>
      <c r="AN126">
        <v>9201</v>
      </c>
      <c r="AO126" t="s">
        <v>147</v>
      </c>
    </row>
    <row r="127" spans="1:41" x14ac:dyDescent="0.25">
      <c r="A127" t="str">
        <f>VLOOKUP(MONTH(N127),Sheet1!$A$2:$B$13,2,0)</f>
        <v>Dez</v>
      </c>
      <c r="B127" t="str">
        <f>IF(LEFT(AO127,1)="B","CAPEX",IF(LEFT(AO127,1)="C","STOCK",IF(MID(AO127,7,2)="JA","STAFF",IF(MID(AO127,7,1)="H","STAFF",IF(MID(AO127,7,1)="S","STAFF",IF(MID(AO127,7,2)="JV","LOG",IFERROR(VLOOKUP($AO127,[1]!Table14[[New Account Number]:[Filtro2]],9,0),VLOOKUP($AO127,[1]!Table14[[Old Account Number]:[Filtro2]],12,0))))))))</f>
        <v>Aluguéis</v>
      </c>
      <c r="C127" t="str">
        <f>IF(LEFT(AO127,1)="B","CAPEX",IF(LEFT(AO127,1)="C","STOCK",IF(MID(AO127,7,2)="JA","STAFF",IF(MID(AO127,7,1)="H","STAFF",IF(MID(AO127,7,1)="S","STAFF",IF(MID(AO127,7,2)="JV","LOG",IFERROR(VLOOKUP($AO127,[1]!Table14[[New Account Number]:[Filtro2]],10,0),VLOOKUP($AO127,[1]!Table14[[Old Account Number]:[Filtro2]],13,0))))))))</f>
        <v>Total Outras Despesas Fixas</v>
      </c>
      <c r="D127" t="s">
        <v>43</v>
      </c>
      <c r="E127" t="s">
        <v>2</v>
      </c>
      <c r="F127" t="s">
        <v>3</v>
      </c>
      <c r="G127">
        <v>746569</v>
      </c>
      <c r="H127" t="s">
        <v>0</v>
      </c>
      <c r="I127" t="s">
        <v>49</v>
      </c>
      <c r="J127" t="s">
        <v>189</v>
      </c>
      <c r="K127" t="s">
        <v>1</v>
      </c>
      <c r="L127">
        <v>4211301181</v>
      </c>
      <c r="M127">
        <v>9001631078</v>
      </c>
      <c r="N127" s="2">
        <v>45992</v>
      </c>
      <c r="O127" s="2">
        <v>46067</v>
      </c>
      <c r="P127">
        <v>1665.22</v>
      </c>
      <c r="Q127" s="2">
        <v>45994</v>
      </c>
      <c r="R127">
        <v>5001846353</v>
      </c>
      <c r="S127">
        <v>2025</v>
      </c>
      <c r="T127">
        <v>371242</v>
      </c>
      <c r="U127" t="s">
        <v>1</v>
      </c>
      <c r="V127" s="2"/>
      <c r="W127" t="s">
        <v>1</v>
      </c>
      <c r="AE127">
        <v>0</v>
      </c>
      <c r="AF127" t="s">
        <v>184</v>
      </c>
      <c r="AG127" t="s">
        <v>1</v>
      </c>
      <c r="AH127" t="s">
        <v>1</v>
      </c>
      <c r="AI127">
        <v>1665.49</v>
      </c>
      <c r="AJ127" t="s">
        <v>1</v>
      </c>
      <c r="AK127" t="s">
        <v>1</v>
      </c>
      <c r="AL127">
        <v>6999999</v>
      </c>
      <c r="AM127" t="s">
        <v>59</v>
      </c>
      <c r="AN127">
        <v>9000</v>
      </c>
      <c r="AO127" t="s">
        <v>54</v>
      </c>
    </row>
    <row r="128" spans="1:41" x14ac:dyDescent="0.25">
      <c r="A128" t="str">
        <f>VLOOKUP(MONTH(N128),Sheet1!$A$2:$B$13,2,0)</f>
        <v>Dez</v>
      </c>
      <c r="B128" t="str">
        <f>IF(LEFT(AO128,1)="B","CAPEX",IF(LEFT(AO128,1)="C","STOCK",IF(MID(AO128,7,2)="JA","STAFF",IF(MID(AO128,7,1)="H","STAFF",IF(MID(AO128,7,1)="S","STAFF",IF(MID(AO128,7,2)="JV","LOG",IFERROR(VLOOKUP($AO128,[1]!Table14[[New Account Number]:[Filtro2]],9,0),VLOOKUP($AO128,[1]!Table14[[Old Account Number]:[Filtro2]],12,0))))))))</f>
        <v>Manutenção Terceiros</v>
      </c>
      <c r="C128" t="str">
        <f>IF(LEFT(AO128,1)="B","CAPEX",IF(LEFT(AO128,1)="C","STOCK",IF(MID(AO128,7,2)="JA","STAFF",IF(MID(AO128,7,1)="H","STAFF",IF(MID(AO128,7,1)="S","STAFF",IF(MID(AO128,7,2)="JV","LOG",IFERROR(VLOOKUP($AO128,[1]!Table14[[New Account Number]:[Filtro2]],10,0),VLOOKUP($AO128,[1]!Table14[[Old Account Number]:[Filtro2]],13,0))))))))</f>
        <v>Total Manutenção Variável</v>
      </c>
      <c r="D128" t="s">
        <v>43</v>
      </c>
      <c r="E128" t="s">
        <v>2</v>
      </c>
      <c r="F128" t="s">
        <v>3</v>
      </c>
      <c r="G128">
        <v>441</v>
      </c>
      <c r="H128" t="s">
        <v>0</v>
      </c>
      <c r="I128" t="s">
        <v>49</v>
      </c>
      <c r="J128" t="s">
        <v>246</v>
      </c>
      <c r="K128" t="s">
        <v>1</v>
      </c>
      <c r="L128">
        <v>4211317491</v>
      </c>
      <c r="M128">
        <v>2600467128</v>
      </c>
      <c r="N128" s="2">
        <v>45995</v>
      </c>
      <c r="O128" s="2">
        <v>46005</v>
      </c>
      <c r="P128">
        <v>25720</v>
      </c>
      <c r="Q128" s="2">
        <v>45995</v>
      </c>
      <c r="R128">
        <v>5001853450</v>
      </c>
      <c r="S128">
        <v>2025</v>
      </c>
      <c r="T128">
        <v>371519</v>
      </c>
      <c r="U128" t="s">
        <v>1</v>
      </c>
      <c r="V128" s="2"/>
      <c r="W128" t="s">
        <v>1</v>
      </c>
      <c r="AE128">
        <v>0</v>
      </c>
      <c r="AF128" t="s">
        <v>170</v>
      </c>
      <c r="AG128" t="s">
        <v>1</v>
      </c>
      <c r="AH128" t="s">
        <v>171</v>
      </c>
      <c r="AI128">
        <v>25720</v>
      </c>
      <c r="AJ128" t="s">
        <v>1</v>
      </c>
      <c r="AK128" t="s">
        <v>1</v>
      </c>
      <c r="AL128">
        <v>6999999</v>
      </c>
      <c r="AM128" t="s">
        <v>59</v>
      </c>
      <c r="AN128">
        <v>9104</v>
      </c>
      <c r="AO128" t="s">
        <v>50</v>
      </c>
    </row>
    <row r="129" spans="1:41" x14ac:dyDescent="0.25">
      <c r="A129" t="str">
        <f>VLOOKUP(MONTH(N129),Sheet1!$A$2:$B$13,2,0)</f>
        <v>Out</v>
      </c>
      <c r="B129" t="str">
        <f>IF(LEFT(AO129,1)="B","CAPEX",IF(LEFT(AO129,1)="C","STOCK",IF(MID(AO129,7,2)="JA","STAFF",IF(MID(AO129,7,1)="H","STAFF",IF(MID(AO129,7,1)="S","STAFF",IF(MID(AO129,7,2)="JV","LOG",IFERROR(VLOOKUP($AO129,[1]!Table14[[New Account Number]:[Filtro2]],9,0),VLOOKUP($AO129,[1]!Table14[[Old Account Number]:[Filtro2]],12,0))))))))</f>
        <v>Manutenção Terceiros</v>
      </c>
      <c r="C129" t="str">
        <f>IF(LEFT(AO129,1)="B","CAPEX",IF(LEFT(AO129,1)="C","STOCK",IF(MID(AO129,7,2)="JA","STAFF",IF(MID(AO129,7,1)="H","STAFF",IF(MID(AO129,7,1)="S","STAFF",IF(MID(AO129,7,2)="JV","LOG",IFERROR(VLOOKUP($AO129,[1]!Table14[[New Account Number]:[Filtro2]],10,0),VLOOKUP($AO129,[1]!Table14[[Old Account Number]:[Filtro2]],13,0))))))))</f>
        <v>Total Manutenção Variável</v>
      </c>
      <c r="D129" t="s">
        <v>43</v>
      </c>
      <c r="E129" t="s">
        <v>2</v>
      </c>
      <c r="F129" t="s">
        <v>3</v>
      </c>
      <c r="G129">
        <v>143179</v>
      </c>
      <c r="H129" t="s">
        <v>0</v>
      </c>
      <c r="I129" t="s">
        <v>49</v>
      </c>
      <c r="J129" t="s">
        <v>62</v>
      </c>
      <c r="K129" t="s">
        <v>1</v>
      </c>
      <c r="L129">
        <v>4211315568</v>
      </c>
      <c r="M129">
        <v>9001684173</v>
      </c>
      <c r="N129" s="2">
        <v>45950</v>
      </c>
      <c r="O129" s="2">
        <v>46025</v>
      </c>
      <c r="P129">
        <v>16166.12</v>
      </c>
      <c r="Q129" s="2">
        <v>45950</v>
      </c>
      <c r="R129">
        <v>5001622266</v>
      </c>
      <c r="S129">
        <v>2025</v>
      </c>
      <c r="T129">
        <v>363725</v>
      </c>
      <c r="U129" t="s">
        <v>1</v>
      </c>
      <c r="V129" s="2"/>
      <c r="W129" t="s">
        <v>1</v>
      </c>
      <c r="AE129">
        <v>0</v>
      </c>
      <c r="AF129" t="s">
        <v>106</v>
      </c>
      <c r="AG129" t="s">
        <v>1</v>
      </c>
      <c r="AH129" t="s">
        <v>192</v>
      </c>
      <c r="AI129">
        <v>16166.12</v>
      </c>
      <c r="AJ129" t="s">
        <v>1</v>
      </c>
      <c r="AK129" t="s">
        <v>1</v>
      </c>
      <c r="AL129">
        <v>6000031</v>
      </c>
      <c r="AM129" t="s">
        <v>59</v>
      </c>
      <c r="AN129">
        <v>9013</v>
      </c>
      <c r="AO129" t="s">
        <v>50</v>
      </c>
    </row>
    <row r="130" spans="1:41" x14ac:dyDescent="0.25">
      <c r="A130" t="str">
        <f>VLOOKUP(MONTH(N130),Sheet1!$A$2:$B$13,2,0)</f>
        <v>Nov</v>
      </c>
      <c r="B130" t="str">
        <f>IF(LEFT(AO130,1)="B","CAPEX",IF(LEFT(AO130,1)="C","STOCK",IF(MID(AO130,7,2)="JA","STAFF",IF(MID(AO130,7,1)="H","STAFF",IF(MID(AO130,7,1)="S","STAFF",IF(MID(AO130,7,2)="JV","LOG",IFERROR(VLOOKUP($AO130,[1]!Table14[[New Account Number]:[Filtro2]],9,0),VLOOKUP($AO130,[1]!Table14[[Old Account Number]:[Filtro2]],12,0))))))))</f>
        <v>STAFF</v>
      </c>
      <c r="C130" t="str">
        <f>IF(LEFT(AO130,1)="B","CAPEX",IF(LEFT(AO130,1)="C","STOCK",IF(MID(AO130,7,2)="JA","STAFF",IF(MID(AO130,7,1)="H","STAFF",IF(MID(AO130,7,1)="S","STAFF",IF(MID(AO130,7,2)="JV","LOG",IFERROR(VLOOKUP($AO130,[1]!Table14[[New Account Number]:[Filtro2]],10,0),VLOOKUP($AO130,[1]!Table14[[Old Account Number]:[Filtro2]],13,0))))))))</f>
        <v>STAFF</v>
      </c>
      <c r="D130" t="s">
        <v>43</v>
      </c>
      <c r="E130" t="s">
        <v>2</v>
      </c>
      <c r="F130" t="s">
        <v>3</v>
      </c>
      <c r="G130">
        <v>202523</v>
      </c>
      <c r="H130" t="s">
        <v>0</v>
      </c>
      <c r="I130" t="s">
        <v>93</v>
      </c>
      <c r="J130" t="s">
        <v>127</v>
      </c>
      <c r="K130" t="s">
        <v>1</v>
      </c>
      <c r="L130">
        <v>4211328145</v>
      </c>
      <c r="M130">
        <v>2600468010</v>
      </c>
      <c r="N130" s="2">
        <v>45966</v>
      </c>
      <c r="O130" s="2">
        <v>46026</v>
      </c>
      <c r="P130">
        <v>18750</v>
      </c>
      <c r="Q130" s="2">
        <v>45967</v>
      </c>
      <c r="R130">
        <v>5001639594</v>
      </c>
      <c r="S130">
        <v>2025</v>
      </c>
      <c r="T130">
        <v>366712</v>
      </c>
      <c r="U130" t="s">
        <v>1</v>
      </c>
      <c r="V130" s="2"/>
      <c r="W130" t="s">
        <v>1</v>
      </c>
      <c r="AE130">
        <v>0</v>
      </c>
      <c r="AF130" t="s">
        <v>128</v>
      </c>
      <c r="AG130" t="s">
        <v>1</v>
      </c>
      <c r="AH130" t="s">
        <v>1</v>
      </c>
      <c r="AI130">
        <v>18750</v>
      </c>
      <c r="AJ130" t="s">
        <v>1</v>
      </c>
      <c r="AK130" t="s">
        <v>1</v>
      </c>
      <c r="AL130">
        <v>6999999</v>
      </c>
      <c r="AM130" t="s">
        <v>94</v>
      </c>
      <c r="AN130">
        <v>4402</v>
      </c>
      <c r="AO130" t="s">
        <v>129</v>
      </c>
    </row>
    <row r="131" spans="1:41" x14ac:dyDescent="0.25">
      <c r="A131" t="str">
        <f>VLOOKUP(MONTH(N131),Sheet1!$A$2:$B$13,2,0)</f>
        <v>Nov</v>
      </c>
      <c r="B131" t="str">
        <f>IF(LEFT(AO131,1)="B","CAPEX",IF(LEFT(AO131,1)="C","STOCK",IF(MID(AO131,7,2)="JA","STAFF",IF(MID(AO131,7,1)="H","STAFF",IF(MID(AO131,7,1)="S","STAFF",IF(MID(AO131,7,2)="JV","LOG",IFERROR(VLOOKUP($AO131,[1]!Table14[[New Account Number]:[Filtro2]],9,0),VLOOKUP($AO131,[1]!Table14[[Old Account Number]:[Filtro2]],12,0))))))))</f>
        <v>CAPEX</v>
      </c>
      <c r="C131" t="str">
        <f>IF(LEFT(AO131,1)="B","CAPEX",IF(LEFT(AO131,1)="C","STOCK",IF(MID(AO131,7,2)="JA","STAFF",IF(MID(AO131,7,1)="H","STAFF",IF(MID(AO131,7,1)="S","STAFF",IF(MID(AO131,7,2)="JV","LOG",IFERROR(VLOOKUP($AO131,[1]!Table14[[New Account Number]:[Filtro2]],10,0),VLOOKUP($AO131,[1]!Table14[[Old Account Number]:[Filtro2]],13,0))))))))</f>
        <v>CAPEX</v>
      </c>
      <c r="D131" t="s">
        <v>46</v>
      </c>
      <c r="E131" t="s">
        <v>47</v>
      </c>
      <c r="F131" t="s">
        <v>48</v>
      </c>
      <c r="G131">
        <v>2371</v>
      </c>
      <c r="H131" t="s">
        <v>0</v>
      </c>
      <c r="I131" t="s">
        <v>58</v>
      </c>
      <c r="J131" t="s">
        <v>228</v>
      </c>
      <c r="K131" t="s">
        <v>1</v>
      </c>
      <c r="L131">
        <v>4211317766</v>
      </c>
      <c r="M131">
        <v>2600460471</v>
      </c>
      <c r="N131" s="2">
        <v>45973</v>
      </c>
      <c r="O131" s="2">
        <v>46033</v>
      </c>
      <c r="P131">
        <v>50000</v>
      </c>
      <c r="Q131" s="2">
        <v>45973</v>
      </c>
      <c r="R131">
        <v>5001683583</v>
      </c>
      <c r="S131">
        <v>2025</v>
      </c>
      <c r="T131">
        <v>367914</v>
      </c>
      <c r="U131" t="s">
        <v>1</v>
      </c>
      <c r="V131" s="2">
        <v>45985</v>
      </c>
      <c r="W131" t="s">
        <v>251</v>
      </c>
      <c r="AA131">
        <v>5001766178</v>
      </c>
      <c r="AB131">
        <v>2025</v>
      </c>
      <c r="AC131">
        <v>9004034638</v>
      </c>
      <c r="AD131">
        <v>2025</v>
      </c>
      <c r="AE131">
        <v>10419621</v>
      </c>
      <c r="AF131" t="s">
        <v>232</v>
      </c>
      <c r="AG131" t="s">
        <v>250</v>
      </c>
      <c r="AH131" t="s">
        <v>1</v>
      </c>
      <c r="AI131">
        <v>0</v>
      </c>
      <c r="AJ131" t="s">
        <v>1</v>
      </c>
      <c r="AK131" t="s">
        <v>1</v>
      </c>
      <c r="AL131">
        <v>6999999</v>
      </c>
      <c r="AM131" t="s">
        <v>59</v>
      </c>
      <c r="AO131" t="s">
        <v>121</v>
      </c>
    </row>
    <row r="132" spans="1:41" x14ac:dyDescent="0.25">
      <c r="A132" t="str">
        <f>VLOOKUP(MONTH(N132),Sheet1!$A$2:$B$13,2,0)</f>
        <v>Nov</v>
      </c>
      <c r="B132" t="str">
        <f>IF(LEFT(AO132,1)="B","CAPEX",IF(LEFT(AO132,1)="C","STOCK",IF(MID(AO132,7,2)="JA","STAFF",IF(MID(AO132,7,1)="H","STAFF",IF(MID(AO132,7,1)="S","STAFF",IF(MID(AO132,7,2)="JV","LOG",IFERROR(VLOOKUP($AO132,[1]!Table14[[New Account Number]:[Filtro2]],9,0),VLOOKUP($AO132,[1]!Table14[[Old Account Number]:[Filtro2]],12,0))))))))</f>
        <v>Aluguéis</v>
      </c>
      <c r="C132" t="str">
        <f>IF(LEFT(AO132,1)="B","CAPEX",IF(LEFT(AO132,1)="C","STOCK",IF(MID(AO132,7,2)="JA","STAFF",IF(MID(AO132,7,1)="H","STAFF",IF(MID(AO132,7,1)="S","STAFF",IF(MID(AO132,7,2)="JV","LOG",IFERROR(VLOOKUP($AO132,[1]!Table14[[New Account Number]:[Filtro2]],10,0),VLOOKUP($AO132,[1]!Table14[[Old Account Number]:[Filtro2]],13,0))))))))</f>
        <v>Total Outras Despesas Fixas</v>
      </c>
      <c r="D132" t="s">
        <v>43</v>
      </c>
      <c r="E132" t="s">
        <v>2</v>
      </c>
      <c r="F132" t="s">
        <v>3</v>
      </c>
      <c r="G132">
        <v>9175</v>
      </c>
      <c r="H132" t="s">
        <v>0</v>
      </c>
      <c r="I132" t="s">
        <v>49</v>
      </c>
      <c r="J132" t="s">
        <v>158</v>
      </c>
      <c r="K132" t="s">
        <v>1</v>
      </c>
      <c r="L132">
        <v>4211326362</v>
      </c>
      <c r="M132">
        <v>9001689713</v>
      </c>
      <c r="N132" s="2">
        <v>45978</v>
      </c>
      <c r="O132" s="2">
        <v>46068</v>
      </c>
      <c r="P132">
        <v>169926.94</v>
      </c>
      <c r="Q132" s="2">
        <v>45978</v>
      </c>
      <c r="R132">
        <v>5001714881</v>
      </c>
      <c r="S132">
        <v>2025</v>
      </c>
      <c r="T132">
        <v>368576</v>
      </c>
      <c r="U132" t="s">
        <v>1</v>
      </c>
      <c r="V132" s="2"/>
      <c r="W132" t="s">
        <v>1</v>
      </c>
      <c r="AE132">
        <v>0</v>
      </c>
      <c r="AF132" t="s">
        <v>144</v>
      </c>
      <c r="AG132" t="s">
        <v>1</v>
      </c>
      <c r="AH132" t="s">
        <v>145</v>
      </c>
      <c r="AI132">
        <v>169926.98</v>
      </c>
      <c r="AJ132" t="s">
        <v>1</v>
      </c>
      <c r="AK132" t="s">
        <v>1</v>
      </c>
      <c r="AL132">
        <v>6999999</v>
      </c>
      <c r="AM132" t="s">
        <v>59</v>
      </c>
      <c r="AN132">
        <v>9000</v>
      </c>
      <c r="AO132" t="s">
        <v>146</v>
      </c>
    </row>
    <row r="133" spans="1:41" x14ac:dyDescent="0.25">
      <c r="A133" t="str">
        <f>VLOOKUP(MONTH(N133),Sheet1!$A$2:$B$13,2,0)</f>
        <v>Dez</v>
      </c>
      <c r="B133" t="str">
        <f>IF(LEFT(AO133,1)="B","CAPEX",IF(LEFT(AO133,1)="C","STOCK",IF(MID(AO133,7,2)="JA","STAFF",IF(MID(AO133,7,1)="H","STAFF",IF(MID(AO133,7,1)="S","STAFF",IF(MID(AO133,7,2)="JV","LOG",IFERROR(VLOOKUP($AO133,[1]!Table14[[New Account Number]:[Filtro2]],9,0),VLOOKUP($AO133,[1]!Table14[[Old Account Number]:[Filtro2]],12,0))))))))</f>
        <v>Manutenção Terceiros</v>
      </c>
      <c r="C133" t="str">
        <f>IF(LEFT(AO133,1)="B","CAPEX",IF(LEFT(AO133,1)="C","STOCK",IF(MID(AO133,7,2)="JA","STAFF",IF(MID(AO133,7,1)="H","STAFF",IF(MID(AO133,7,1)="S","STAFF",IF(MID(AO133,7,2)="JV","LOG",IFERROR(VLOOKUP($AO133,[1]!Table14[[New Account Number]:[Filtro2]],10,0),VLOOKUP($AO133,[1]!Table14[[Old Account Number]:[Filtro2]],13,0))))))))</f>
        <v>Total Manutenção Variável</v>
      </c>
      <c r="D133" t="s">
        <v>43</v>
      </c>
      <c r="E133" t="s">
        <v>2</v>
      </c>
      <c r="F133" t="s">
        <v>3</v>
      </c>
      <c r="G133">
        <v>313</v>
      </c>
      <c r="H133" t="s">
        <v>0</v>
      </c>
      <c r="I133" t="s">
        <v>49</v>
      </c>
      <c r="J133" t="s">
        <v>224</v>
      </c>
      <c r="K133" t="s">
        <v>1</v>
      </c>
      <c r="L133">
        <v>4211331625</v>
      </c>
      <c r="M133">
        <v>2600469211</v>
      </c>
      <c r="N133" s="2">
        <v>45999</v>
      </c>
      <c r="O133" s="2">
        <v>46059</v>
      </c>
      <c r="P133">
        <v>4725</v>
      </c>
      <c r="Q133" s="2">
        <v>45999</v>
      </c>
      <c r="R133">
        <v>5001872366</v>
      </c>
      <c r="S133">
        <v>2025</v>
      </c>
      <c r="T133">
        <v>372259</v>
      </c>
      <c r="U133" t="s">
        <v>1</v>
      </c>
      <c r="V133" s="2"/>
      <c r="W133" t="s">
        <v>1</v>
      </c>
      <c r="AE133">
        <v>0</v>
      </c>
      <c r="AF133" t="s">
        <v>106</v>
      </c>
      <c r="AG133" t="s">
        <v>1</v>
      </c>
      <c r="AH133" t="s">
        <v>192</v>
      </c>
      <c r="AI133">
        <v>4725</v>
      </c>
      <c r="AJ133" t="s">
        <v>1</v>
      </c>
      <c r="AK133" t="s">
        <v>1</v>
      </c>
      <c r="AL133">
        <v>6999999</v>
      </c>
      <c r="AM133" t="s">
        <v>59</v>
      </c>
      <c r="AN133">
        <v>9204</v>
      </c>
      <c r="AO133" t="s">
        <v>50</v>
      </c>
    </row>
    <row r="134" spans="1:41" x14ac:dyDescent="0.25">
      <c r="A134" t="str">
        <f>VLOOKUP(MONTH(N134),Sheet1!$A$2:$B$13,2,0)</f>
        <v>Out</v>
      </c>
      <c r="B134" t="str">
        <f>IF(LEFT(AO134,1)="B","CAPEX",IF(LEFT(AO134,1)="C","STOCK",IF(MID(AO134,7,2)="JA","STAFF",IF(MID(AO134,7,1)="H","STAFF",IF(MID(AO134,7,1)="S","STAFF",IF(MID(AO134,7,2)="JV","LOG",IFERROR(VLOOKUP($AO134,[1]!Table14[[New Account Number]:[Filtro2]],9,0),VLOOKUP($AO134,[1]!Table14[[Old Account Number]:[Filtro2]],12,0))))))))</f>
        <v>Manutenção Terceiros</v>
      </c>
      <c r="C134" t="str">
        <f>IF(LEFT(AO134,1)="B","CAPEX",IF(LEFT(AO134,1)="C","STOCK",IF(MID(AO134,7,2)="JA","STAFF",IF(MID(AO134,7,1)="H","STAFF",IF(MID(AO134,7,1)="S","STAFF",IF(MID(AO134,7,2)="JV","LOG",IFERROR(VLOOKUP($AO134,[1]!Table14[[New Account Number]:[Filtro2]],10,0),VLOOKUP($AO134,[1]!Table14[[Old Account Number]:[Filtro2]],13,0))))))))</f>
        <v>Total Manutenção Variável</v>
      </c>
      <c r="D134" t="s">
        <v>43</v>
      </c>
      <c r="E134" t="s">
        <v>2</v>
      </c>
      <c r="F134" t="s">
        <v>3</v>
      </c>
      <c r="G134">
        <v>1219</v>
      </c>
      <c r="H134" t="s">
        <v>0</v>
      </c>
      <c r="I134" t="s">
        <v>49</v>
      </c>
      <c r="J134" t="s">
        <v>84</v>
      </c>
      <c r="K134" t="s">
        <v>1</v>
      </c>
      <c r="L134">
        <v>4211333373</v>
      </c>
      <c r="M134">
        <v>2600468424</v>
      </c>
      <c r="N134" s="2">
        <v>45938</v>
      </c>
      <c r="O134" s="2">
        <v>46028</v>
      </c>
      <c r="P134">
        <v>15500</v>
      </c>
      <c r="Q134" s="2">
        <v>45938</v>
      </c>
      <c r="R134">
        <v>5001440065</v>
      </c>
      <c r="S134">
        <v>2025</v>
      </c>
      <c r="T134">
        <v>362117</v>
      </c>
      <c r="U134" t="s">
        <v>1</v>
      </c>
      <c r="V134" s="2"/>
      <c r="W134" t="s">
        <v>1</v>
      </c>
      <c r="AE134">
        <v>0</v>
      </c>
      <c r="AF134" t="s">
        <v>170</v>
      </c>
      <c r="AG134" t="s">
        <v>1</v>
      </c>
      <c r="AH134" t="s">
        <v>171</v>
      </c>
      <c r="AI134">
        <v>15500</v>
      </c>
      <c r="AJ134" t="s">
        <v>1</v>
      </c>
      <c r="AK134" t="s">
        <v>1</v>
      </c>
      <c r="AL134">
        <v>6999999</v>
      </c>
      <c r="AM134" t="s">
        <v>59</v>
      </c>
      <c r="AN134">
        <v>9104</v>
      </c>
      <c r="AO134" t="s">
        <v>50</v>
      </c>
    </row>
    <row r="135" spans="1:41" x14ac:dyDescent="0.25">
      <c r="A135" t="str">
        <f>VLOOKUP(MONTH(N135),Sheet1!$A$2:$B$13,2,0)</f>
        <v>Out</v>
      </c>
      <c r="B135" t="str">
        <f>IF(LEFT(AO135,1)="B","CAPEX",IF(LEFT(AO135,1)="C","STOCK",IF(MID(AO135,7,2)="JA","STAFF",IF(MID(AO135,7,1)="H","STAFF",IF(MID(AO135,7,1)="S","STAFF",IF(MID(AO135,7,2)="JV","LOG",IFERROR(VLOOKUP($AO135,[1]!Table14[[New Account Number]:[Filtro2]],9,0),VLOOKUP($AO135,[1]!Table14[[Old Account Number]:[Filtro2]],12,0))))))))</f>
        <v>Manutenção Terceiros</v>
      </c>
      <c r="C135" t="str">
        <f>IF(LEFT(AO135,1)="B","CAPEX",IF(LEFT(AO135,1)="C","STOCK",IF(MID(AO135,7,2)="JA","STAFF",IF(MID(AO135,7,1)="H","STAFF",IF(MID(AO135,7,1)="S","STAFF",IF(MID(AO135,7,2)="JV","LOG",IFERROR(VLOOKUP($AO135,[1]!Table14[[New Account Number]:[Filtro2]],10,0),VLOOKUP($AO135,[1]!Table14[[Old Account Number]:[Filtro2]],13,0))))))))</f>
        <v>Total Manutenção Variável</v>
      </c>
      <c r="D135" t="s">
        <v>43</v>
      </c>
      <c r="E135" t="s">
        <v>2</v>
      </c>
      <c r="F135" t="s">
        <v>3</v>
      </c>
      <c r="G135">
        <v>141124</v>
      </c>
      <c r="H135" t="s">
        <v>0</v>
      </c>
      <c r="I135" t="s">
        <v>49</v>
      </c>
      <c r="J135" t="s">
        <v>62</v>
      </c>
      <c r="K135" t="s">
        <v>1</v>
      </c>
      <c r="L135">
        <v>4211315568</v>
      </c>
      <c r="M135">
        <v>2600468437</v>
      </c>
      <c r="N135" s="2">
        <v>45939</v>
      </c>
      <c r="O135" s="2">
        <v>46014</v>
      </c>
      <c r="P135">
        <v>9415.08</v>
      </c>
      <c r="Q135" s="2">
        <v>45939</v>
      </c>
      <c r="R135">
        <v>5001446256</v>
      </c>
      <c r="S135">
        <v>2025</v>
      </c>
      <c r="T135">
        <v>362331</v>
      </c>
      <c r="U135" t="s">
        <v>1</v>
      </c>
      <c r="V135" s="2"/>
      <c r="W135" t="s">
        <v>1</v>
      </c>
      <c r="AE135">
        <v>0</v>
      </c>
      <c r="AF135" t="s">
        <v>87</v>
      </c>
      <c r="AG135" t="s">
        <v>1</v>
      </c>
      <c r="AH135" t="s">
        <v>1</v>
      </c>
      <c r="AI135">
        <v>9415.08</v>
      </c>
      <c r="AJ135" t="s">
        <v>1</v>
      </c>
      <c r="AK135" t="s">
        <v>1</v>
      </c>
      <c r="AL135">
        <v>6000031</v>
      </c>
      <c r="AM135" t="s">
        <v>59</v>
      </c>
      <c r="AN135">
        <v>9203</v>
      </c>
      <c r="AO135" t="s">
        <v>50</v>
      </c>
    </row>
    <row r="136" spans="1:41" x14ac:dyDescent="0.25">
      <c r="A136" t="str">
        <f>VLOOKUP(MONTH(N136),Sheet1!$A$2:$B$13,2,0)</f>
        <v>Nov</v>
      </c>
      <c r="B136" t="str">
        <f>IF(LEFT(AO136,1)="B","CAPEX",IF(LEFT(AO136,1)="C","STOCK",IF(MID(AO136,7,2)="JA","STAFF",IF(MID(AO136,7,1)="H","STAFF",IF(MID(AO136,7,1)="S","STAFF",IF(MID(AO136,7,2)="JV","LOG",IFERROR(VLOOKUP($AO136,[1]!Table14[[New Account Number]:[Filtro2]],9,0),VLOOKUP($AO136,[1]!Table14[[Old Account Number]:[Filtro2]],12,0))))))))</f>
        <v>STOCK</v>
      </c>
      <c r="C136" t="str">
        <f>IF(LEFT(AO136,1)="B","CAPEX",IF(LEFT(AO136,1)="C","STOCK",IF(MID(AO136,7,2)="JA","STAFF",IF(MID(AO136,7,1)="H","STAFF",IF(MID(AO136,7,1)="S","STAFF",IF(MID(AO136,7,2)="JV","LOG",IFERROR(VLOOKUP($AO136,[1]!Table14[[New Account Number]:[Filtro2]],10,0),VLOOKUP($AO136,[1]!Table14[[Old Account Number]:[Filtro2]],13,0))))))))</f>
        <v>STOCK</v>
      </c>
      <c r="D136" t="s">
        <v>43</v>
      </c>
      <c r="E136" t="s">
        <v>2</v>
      </c>
      <c r="F136" t="s">
        <v>3</v>
      </c>
      <c r="G136">
        <v>4765</v>
      </c>
      <c r="H136" t="s">
        <v>0</v>
      </c>
      <c r="I136" t="s">
        <v>49</v>
      </c>
      <c r="J136" t="s">
        <v>199</v>
      </c>
      <c r="K136" t="s">
        <v>1</v>
      </c>
      <c r="L136">
        <v>4211332423</v>
      </c>
      <c r="M136">
        <v>9001689831</v>
      </c>
      <c r="N136" s="2">
        <v>45974</v>
      </c>
      <c r="O136" s="2">
        <v>46034</v>
      </c>
      <c r="P136">
        <v>3385.58</v>
      </c>
      <c r="Q136" s="2">
        <v>45974</v>
      </c>
      <c r="R136">
        <v>5001691711</v>
      </c>
      <c r="S136">
        <v>2025</v>
      </c>
      <c r="T136">
        <v>368123</v>
      </c>
      <c r="U136" t="s">
        <v>1</v>
      </c>
      <c r="V136" s="2"/>
      <c r="W136" t="s">
        <v>1</v>
      </c>
      <c r="AE136">
        <v>0</v>
      </c>
      <c r="AF136" t="s">
        <v>144</v>
      </c>
      <c r="AG136" t="s">
        <v>1</v>
      </c>
      <c r="AH136" t="s">
        <v>145</v>
      </c>
      <c r="AI136">
        <v>3385.58</v>
      </c>
      <c r="AJ136" t="s">
        <v>1</v>
      </c>
      <c r="AK136" t="s">
        <v>1</v>
      </c>
      <c r="AL136">
        <v>6999999</v>
      </c>
      <c r="AM136" t="s">
        <v>59</v>
      </c>
      <c r="AN136">
        <v>9042</v>
      </c>
      <c r="AO136" t="s">
        <v>197</v>
      </c>
    </row>
    <row r="137" spans="1:41" x14ac:dyDescent="0.25">
      <c r="A137" t="str">
        <f>VLOOKUP(MONTH(N137),Sheet1!$A$2:$B$13,2,0)</f>
        <v>Dez</v>
      </c>
      <c r="B137" t="str">
        <f>IF(LEFT(AO137,1)="B","CAPEX",IF(LEFT(AO137,1)="C","STOCK",IF(MID(AO137,7,2)="JA","STAFF",IF(MID(AO137,7,1)="H","STAFF",IF(MID(AO137,7,1)="S","STAFF",IF(MID(AO137,7,2)="JV","LOG",IFERROR(VLOOKUP($AO137,[1]!Table14[[New Account Number]:[Filtro2]],9,0),VLOOKUP($AO137,[1]!Table14[[Old Account Number]:[Filtro2]],12,0))))))))</f>
        <v>STAFF</v>
      </c>
      <c r="C137" t="str">
        <f>IF(LEFT(AO137,1)="B","CAPEX",IF(LEFT(AO137,1)="C","STOCK",IF(MID(AO137,7,2)="JA","STAFF",IF(MID(AO137,7,1)="H","STAFF",IF(MID(AO137,7,1)="S","STAFF",IF(MID(AO137,7,2)="JV","LOG",IFERROR(VLOOKUP($AO137,[1]!Table14[[New Account Number]:[Filtro2]],10,0),VLOOKUP($AO137,[1]!Table14[[Old Account Number]:[Filtro2]],13,0))))))))</f>
        <v>STAFF</v>
      </c>
      <c r="D137" t="s">
        <v>43</v>
      </c>
      <c r="E137" t="s">
        <v>2</v>
      </c>
      <c r="F137" t="s">
        <v>3</v>
      </c>
      <c r="G137">
        <v>28107</v>
      </c>
      <c r="H137" t="s">
        <v>0</v>
      </c>
      <c r="I137" t="s">
        <v>93</v>
      </c>
      <c r="J137" t="s">
        <v>126</v>
      </c>
      <c r="K137" t="s">
        <v>1</v>
      </c>
      <c r="L137">
        <v>4211325456</v>
      </c>
      <c r="M137">
        <v>9001692377</v>
      </c>
      <c r="N137" s="2">
        <v>46003</v>
      </c>
      <c r="O137" s="2">
        <v>46063</v>
      </c>
      <c r="P137">
        <v>892</v>
      </c>
      <c r="Q137" s="2">
        <v>46003</v>
      </c>
      <c r="R137">
        <v>5001896437</v>
      </c>
      <c r="S137">
        <v>2025</v>
      </c>
      <c r="T137">
        <v>373289</v>
      </c>
      <c r="U137" t="s">
        <v>1</v>
      </c>
      <c r="V137" s="2"/>
      <c r="W137" t="s">
        <v>1</v>
      </c>
      <c r="AE137">
        <v>0</v>
      </c>
      <c r="AF137" t="s">
        <v>300</v>
      </c>
      <c r="AG137" t="s">
        <v>1</v>
      </c>
      <c r="AH137" t="s">
        <v>301</v>
      </c>
      <c r="AI137">
        <v>892</v>
      </c>
      <c r="AJ137" t="s">
        <v>1</v>
      </c>
      <c r="AK137" t="s">
        <v>1</v>
      </c>
      <c r="AL137">
        <v>6999999</v>
      </c>
      <c r="AM137" t="s">
        <v>94</v>
      </c>
      <c r="AN137">
        <v>4727</v>
      </c>
      <c r="AO137" t="s">
        <v>207</v>
      </c>
    </row>
    <row r="138" spans="1:41" x14ac:dyDescent="0.25">
      <c r="A138" t="str">
        <f>VLOOKUP(MONTH(N138),Sheet1!$A$2:$B$13,2,0)</f>
        <v>Out</v>
      </c>
      <c r="B138" t="str">
        <f>IF(LEFT(AO138,1)="B","CAPEX",IF(LEFT(AO138,1)="C","STOCK",IF(MID(AO138,7,2)="JA","STAFF",IF(MID(AO138,7,1)="H","STAFF",IF(MID(AO138,7,1)="S","STAFF",IF(MID(AO138,7,2)="JV","LOG",IFERROR(VLOOKUP($AO138,[1]!Table14[[New Account Number]:[Filtro2]],9,0),VLOOKUP($AO138,[1]!Table14[[Old Account Number]:[Filtro2]],12,0))))))))</f>
        <v>Manutenção Terceiros</v>
      </c>
      <c r="C138" t="str">
        <f>IF(LEFT(AO138,1)="B","CAPEX",IF(LEFT(AO138,1)="C","STOCK",IF(MID(AO138,7,2)="JA","STAFF",IF(MID(AO138,7,1)="H","STAFF",IF(MID(AO138,7,1)="S","STAFF",IF(MID(AO138,7,2)="JV","LOG",IFERROR(VLOOKUP($AO138,[1]!Table14[[New Account Number]:[Filtro2]],10,0),VLOOKUP($AO138,[1]!Table14[[Old Account Number]:[Filtro2]],13,0))))))))</f>
        <v>Total Manutenção Variável</v>
      </c>
      <c r="D138" t="s">
        <v>43</v>
      </c>
      <c r="E138" t="s">
        <v>2</v>
      </c>
      <c r="F138" t="s">
        <v>3</v>
      </c>
      <c r="G138">
        <v>11593</v>
      </c>
      <c r="H138" t="s">
        <v>0</v>
      </c>
      <c r="I138" t="s">
        <v>49</v>
      </c>
      <c r="J138" t="s">
        <v>99</v>
      </c>
      <c r="K138" t="s">
        <v>1</v>
      </c>
      <c r="L138">
        <v>4211324689</v>
      </c>
      <c r="M138">
        <v>9001684172</v>
      </c>
      <c r="N138" s="2">
        <v>45946</v>
      </c>
      <c r="O138" s="2">
        <v>46066</v>
      </c>
      <c r="P138">
        <v>526.86</v>
      </c>
      <c r="Q138" s="2">
        <v>45947</v>
      </c>
      <c r="R138">
        <v>5001622265</v>
      </c>
      <c r="S138">
        <v>2025</v>
      </c>
      <c r="T138">
        <v>363483</v>
      </c>
      <c r="U138" t="s">
        <v>1</v>
      </c>
      <c r="V138" s="2"/>
      <c r="W138" t="s">
        <v>1</v>
      </c>
      <c r="AE138">
        <v>0</v>
      </c>
      <c r="AF138" t="s">
        <v>106</v>
      </c>
      <c r="AG138" t="s">
        <v>1</v>
      </c>
      <c r="AH138" t="s">
        <v>192</v>
      </c>
      <c r="AI138">
        <v>526.86</v>
      </c>
      <c r="AJ138" t="s">
        <v>1</v>
      </c>
      <c r="AK138" t="s">
        <v>1</v>
      </c>
      <c r="AL138">
        <v>6000020</v>
      </c>
      <c r="AM138" t="s">
        <v>59</v>
      </c>
      <c r="AN138">
        <v>9117</v>
      </c>
      <c r="AO138" t="s">
        <v>50</v>
      </c>
    </row>
    <row r="139" spans="1:41" x14ac:dyDescent="0.25">
      <c r="A139" t="str">
        <f>VLOOKUP(MONTH(N139),Sheet1!$A$2:$B$13,2,0)</f>
        <v>Nov</v>
      </c>
      <c r="B139" t="str">
        <f>IF(LEFT(AO139,1)="B","CAPEX",IF(LEFT(AO139,1)="C","STOCK",IF(MID(AO139,7,2)="JA","STAFF",IF(MID(AO139,7,1)="H","STAFF",IF(MID(AO139,7,1)="S","STAFF",IF(MID(AO139,7,2)="JV","LOG",IFERROR(VLOOKUP($AO139,[1]!Table14[[New Account Number]:[Filtro2]],9,0),VLOOKUP($AO139,[1]!Table14[[Old Account Number]:[Filtro2]],12,0))))))))</f>
        <v>Manutenção Terceiros</v>
      </c>
      <c r="C139" t="str">
        <f>IF(LEFT(AO139,1)="B","CAPEX",IF(LEFT(AO139,1)="C","STOCK",IF(MID(AO139,7,2)="JA","STAFF",IF(MID(AO139,7,1)="H","STAFF",IF(MID(AO139,7,1)="S","STAFF",IF(MID(AO139,7,2)="JV","LOG",IFERROR(VLOOKUP($AO139,[1]!Table14[[New Account Number]:[Filtro2]],10,0),VLOOKUP($AO139,[1]!Table14[[Old Account Number]:[Filtro2]],13,0))))))))</f>
        <v>Total Manutenção Variável</v>
      </c>
      <c r="D139" t="s">
        <v>43</v>
      </c>
      <c r="E139" t="s">
        <v>2</v>
      </c>
      <c r="F139" t="s">
        <v>3</v>
      </c>
      <c r="G139">
        <v>147147</v>
      </c>
      <c r="H139" t="s">
        <v>0</v>
      </c>
      <c r="I139" t="s">
        <v>49</v>
      </c>
      <c r="J139" t="s">
        <v>62</v>
      </c>
      <c r="K139" t="s">
        <v>1</v>
      </c>
      <c r="L139">
        <v>4211315568</v>
      </c>
      <c r="M139">
        <v>9001690907</v>
      </c>
      <c r="N139" s="2">
        <v>45985</v>
      </c>
      <c r="O139" s="2">
        <v>46060</v>
      </c>
      <c r="P139">
        <v>7662.98</v>
      </c>
      <c r="Q139" s="2">
        <v>45985</v>
      </c>
      <c r="R139">
        <v>5001772589</v>
      </c>
      <c r="S139">
        <v>2025</v>
      </c>
      <c r="T139">
        <v>369760</v>
      </c>
      <c r="U139" t="s">
        <v>1</v>
      </c>
      <c r="V139" s="2"/>
      <c r="W139" t="s">
        <v>1</v>
      </c>
      <c r="AE139">
        <v>0</v>
      </c>
      <c r="AF139" t="s">
        <v>106</v>
      </c>
      <c r="AG139" t="s">
        <v>1</v>
      </c>
      <c r="AH139" t="s">
        <v>192</v>
      </c>
      <c r="AI139">
        <v>7662.98</v>
      </c>
      <c r="AJ139" t="s">
        <v>1</v>
      </c>
      <c r="AK139" t="s">
        <v>1</v>
      </c>
      <c r="AL139">
        <v>6000031</v>
      </c>
      <c r="AM139" t="s">
        <v>59</v>
      </c>
      <c r="AN139">
        <v>9104</v>
      </c>
      <c r="AO139" t="s">
        <v>50</v>
      </c>
    </row>
    <row r="140" spans="1:41" x14ac:dyDescent="0.25">
      <c r="A140" t="str">
        <f>VLOOKUP(MONTH(N140),Sheet1!$A$2:$B$13,2,0)</f>
        <v>Dez</v>
      </c>
      <c r="B140" t="str">
        <f>IF(LEFT(AO140,1)="B","CAPEX",IF(LEFT(AO140,1)="C","STOCK",IF(MID(AO140,7,2)="JA","STAFF",IF(MID(AO140,7,1)="H","STAFF",IF(MID(AO140,7,1)="S","STAFF",IF(MID(AO140,7,2)="JV","LOG",IFERROR(VLOOKUP($AO140,[1]!Table14[[New Account Number]:[Filtro2]],9,0),VLOOKUP($AO140,[1]!Table14[[Old Account Number]:[Filtro2]],12,0))))))))</f>
        <v>Manutenção Terceiros</v>
      </c>
      <c r="C140" t="str">
        <f>IF(LEFT(AO140,1)="B","CAPEX",IF(LEFT(AO140,1)="C","STOCK",IF(MID(AO140,7,2)="JA","STAFF",IF(MID(AO140,7,1)="H","STAFF",IF(MID(AO140,7,1)="S","STAFF",IF(MID(AO140,7,2)="JV","LOG",IFERROR(VLOOKUP($AO140,[1]!Table14[[New Account Number]:[Filtro2]],10,0),VLOOKUP($AO140,[1]!Table14[[Old Account Number]:[Filtro2]],13,0))))))))</f>
        <v>Total Manutenção Fixa</v>
      </c>
      <c r="D140" t="s">
        <v>43</v>
      </c>
      <c r="E140" t="s">
        <v>2</v>
      </c>
      <c r="F140" t="s">
        <v>3</v>
      </c>
      <c r="G140">
        <v>665</v>
      </c>
      <c r="H140" t="s">
        <v>0</v>
      </c>
      <c r="I140" t="s">
        <v>44</v>
      </c>
      <c r="J140" t="s">
        <v>98</v>
      </c>
      <c r="K140" t="s">
        <v>1</v>
      </c>
      <c r="L140">
        <v>4211328675</v>
      </c>
      <c r="M140">
        <v>9001636728</v>
      </c>
      <c r="N140" s="2">
        <v>45999</v>
      </c>
      <c r="O140" s="2">
        <v>46059</v>
      </c>
      <c r="P140">
        <v>15000</v>
      </c>
      <c r="Q140" s="2">
        <v>45999</v>
      </c>
      <c r="R140">
        <v>5001873339</v>
      </c>
      <c r="S140">
        <v>2025</v>
      </c>
      <c r="T140">
        <v>372280</v>
      </c>
      <c r="U140" t="s">
        <v>1</v>
      </c>
      <c r="V140" s="2"/>
      <c r="W140" t="s">
        <v>1</v>
      </c>
      <c r="AE140">
        <v>0</v>
      </c>
      <c r="AF140" t="s">
        <v>81</v>
      </c>
      <c r="AG140" t="s">
        <v>1</v>
      </c>
      <c r="AH140" t="s">
        <v>96</v>
      </c>
      <c r="AI140">
        <v>15000</v>
      </c>
      <c r="AJ140" t="s">
        <v>1</v>
      </c>
      <c r="AK140" t="s">
        <v>1</v>
      </c>
      <c r="AL140">
        <v>6999999</v>
      </c>
      <c r="AM140" t="s">
        <v>92</v>
      </c>
      <c r="AN140">
        <v>9018</v>
      </c>
      <c r="AO140" t="s">
        <v>100</v>
      </c>
    </row>
    <row r="141" spans="1:41" x14ac:dyDescent="0.25">
      <c r="A141" t="str">
        <f>VLOOKUP(MONTH(N141),Sheet1!$A$2:$B$13,2,0)</f>
        <v>Dez</v>
      </c>
      <c r="B141" t="str">
        <f>IF(LEFT(AO141,1)="B","CAPEX",IF(LEFT(AO141,1)="C","STOCK",IF(MID(AO141,7,2)="JA","STAFF",IF(MID(AO141,7,1)="H","STAFF",IF(MID(AO141,7,1)="S","STAFF",IF(MID(AO141,7,2)="JV","LOG",IFERROR(VLOOKUP($AO141,[1]!Table14[[New Account Number]:[Filtro2]],9,0),VLOOKUP($AO141,[1]!Table14[[Old Account Number]:[Filtro2]],12,0))))))))</f>
        <v>CAPEX</v>
      </c>
      <c r="C141" t="str">
        <f>IF(LEFT(AO141,1)="B","CAPEX",IF(LEFT(AO141,1)="C","STOCK",IF(MID(AO141,7,2)="JA","STAFF",IF(MID(AO141,7,1)="H","STAFF",IF(MID(AO141,7,1)="S","STAFF",IF(MID(AO141,7,2)="JV","LOG",IFERROR(VLOOKUP($AO141,[1]!Table14[[New Account Number]:[Filtro2]],10,0),VLOOKUP($AO141,[1]!Table14[[Old Account Number]:[Filtro2]],13,0))))))))</f>
        <v>CAPEX</v>
      </c>
      <c r="D141" t="s">
        <v>46</v>
      </c>
      <c r="E141" t="s">
        <v>47</v>
      </c>
      <c r="F141" t="s">
        <v>48</v>
      </c>
      <c r="G141">
        <v>1765</v>
      </c>
      <c r="H141" t="s">
        <v>0</v>
      </c>
      <c r="I141" t="s">
        <v>58</v>
      </c>
      <c r="J141" t="s">
        <v>241</v>
      </c>
      <c r="K141" t="s">
        <v>1</v>
      </c>
      <c r="L141">
        <v>4211328971</v>
      </c>
      <c r="M141">
        <v>2600469428</v>
      </c>
      <c r="N141" s="2">
        <v>46003</v>
      </c>
      <c r="O141" s="2">
        <v>46093</v>
      </c>
      <c r="P141">
        <v>41834.370000000003</v>
      </c>
      <c r="Q141" s="2">
        <v>46003</v>
      </c>
      <c r="R141">
        <v>5001899689</v>
      </c>
      <c r="S141">
        <v>2025</v>
      </c>
      <c r="T141">
        <v>373304</v>
      </c>
      <c r="U141" t="s">
        <v>1</v>
      </c>
      <c r="V141" s="2">
        <v>46003</v>
      </c>
      <c r="W141" t="s">
        <v>134</v>
      </c>
      <c r="AA141">
        <v>5001902945</v>
      </c>
      <c r="AB141">
        <v>2025</v>
      </c>
      <c r="AC141">
        <v>9004035166</v>
      </c>
      <c r="AD141">
        <v>2025</v>
      </c>
      <c r="AE141">
        <v>10421039</v>
      </c>
      <c r="AF141" t="s">
        <v>135</v>
      </c>
      <c r="AG141" t="s">
        <v>135</v>
      </c>
      <c r="AH141" t="s">
        <v>134</v>
      </c>
      <c r="AI141">
        <v>0</v>
      </c>
      <c r="AJ141" t="s">
        <v>1</v>
      </c>
      <c r="AK141" t="s">
        <v>1</v>
      </c>
      <c r="AL141">
        <v>6999999</v>
      </c>
      <c r="AM141" t="s">
        <v>59</v>
      </c>
      <c r="AO141" t="s">
        <v>242</v>
      </c>
    </row>
    <row r="142" spans="1:41" x14ac:dyDescent="0.25">
      <c r="A142" t="str">
        <f>VLOOKUP(MONTH(N142),Sheet1!$A$2:$B$13,2,0)</f>
        <v>Dez</v>
      </c>
      <c r="B142" t="str">
        <f>IF(LEFT(AO142,1)="B","CAPEX",IF(LEFT(AO142,1)="C","STOCK",IF(MID(AO142,7,2)="JA","STAFF",IF(MID(AO142,7,1)="H","STAFF",IF(MID(AO142,7,1)="S","STAFF",IF(MID(AO142,7,2)="JV","LOG",IFERROR(VLOOKUP($AO142,[1]!Table14[[New Account Number]:[Filtro2]],9,0),VLOOKUP($AO142,[1]!Table14[[Old Account Number]:[Filtro2]],12,0))))))))</f>
        <v>Serv.Prof.Prestados - Serviços</v>
      </c>
      <c r="C142" t="str">
        <f>IF(LEFT(AO142,1)="B","CAPEX",IF(LEFT(AO142,1)="C","STOCK",IF(MID(AO142,7,2)="JA","STAFF",IF(MID(AO142,7,1)="H","STAFF",IF(MID(AO142,7,1)="S","STAFF",IF(MID(AO142,7,2)="JV","LOG",IFERROR(VLOOKUP($AO142,[1]!Table14[[New Account Number]:[Filtro2]],10,0),VLOOKUP($AO142,[1]!Table14[[Old Account Number]:[Filtro2]],13,0))))))))</f>
        <v>Total Outras Despesas Fixas</v>
      </c>
      <c r="D142" t="s">
        <v>43</v>
      </c>
      <c r="E142" t="s">
        <v>2</v>
      </c>
      <c r="F142" t="s">
        <v>3</v>
      </c>
      <c r="G142">
        <v>77073</v>
      </c>
      <c r="H142" t="s">
        <v>0</v>
      </c>
      <c r="I142" t="s">
        <v>49</v>
      </c>
      <c r="J142" t="s">
        <v>249</v>
      </c>
      <c r="K142" t="s">
        <v>1</v>
      </c>
      <c r="L142">
        <v>4211326778</v>
      </c>
      <c r="M142">
        <v>9001695686</v>
      </c>
      <c r="N142" s="2">
        <v>46000</v>
      </c>
      <c r="O142" s="2">
        <v>46045</v>
      </c>
      <c r="P142">
        <v>17056</v>
      </c>
      <c r="Q142" s="2">
        <v>46003</v>
      </c>
      <c r="R142">
        <v>5001906167</v>
      </c>
      <c r="S142">
        <v>2025</v>
      </c>
      <c r="T142">
        <v>373351</v>
      </c>
      <c r="U142" t="s">
        <v>1</v>
      </c>
      <c r="V142" s="2"/>
      <c r="W142" t="s">
        <v>1</v>
      </c>
      <c r="AE142">
        <v>0</v>
      </c>
      <c r="AF142" t="s">
        <v>229</v>
      </c>
      <c r="AG142" t="s">
        <v>1</v>
      </c>
      <c r="AH142" t="s">
        <v>230</v>
      </c>
      <c r="AI142">
        <v>17056</v>
      </c>
      <c r="AJ142" t="s">
        <v>1</v>
      </c>
      <c r="AK142" t="s">
        <v>1</v>
      </c>
      <c r="AL142">
        <v>6999999</v>
      </c>
      <c r="AM142" t="s">
        <v>59</v>
      </c>
      <c r="AN142">
        <v>9000</v>
      </c>
      <c r="AO142" t="s">
        <v>119</v>
      </c>
    </row>
    <row r="143" spans="1:41" x14ac:dyDescent="0.25">
      <c r="A143" t="str">
        <f>VLOOKUP(MONTH(N143),Sheet1!$A$2:$B$13,2,0)</f>
        <v>Ago</v>
      </c>
      <c r="B143" t="str">
        <f>IF(LEFT(AO143,1)="B","CAPEX",IF(LEFT(AO143,1)="C","STOCK",IF(MID(AO143,7,2)="JA","STAFF",IF(MID(AO143,7,1)="H","STAFF",IF(MID(AO143,7,1)="S","STAFF",IF(MID(AO143,7,2)="JV","LOG",IFERROR(VLOOKUP($AO143,[1]!Table14[[New Account Number]:[Filtro2]],9,0),VLOOKUP($AO143,[1]!Table14[[Old Account Number]:[Filtro2]],12,0))))))))</f>
        <v>Manutenção Terceiros</v>
      </c>
      <c r="C143" t="str">
        <f>IF(LEFT(AO143,1)="B","CAPEX",IF(LEFT(AO143,1)="C","STOCK",IF(MID(AO143,7,2)="JA","STAFF",IF(MID(AO143,7,1)="H","STAFF",IF(MID(AO143,7,1)="S","STAFF",IF(MID(AO143,7,2)="JV","LOG",IFERROR(VLOOKUP($AO143,[1]!Table14[[New Account Number]:[Filtro2]],10,0),VLOOKUP($AO143,[1]!Table14[[Old Account Number]:[Filtro2]],13,0))))))))</f>
        <v>Total Manutenção Variável</v>
      </c>
      <c r="D143" t="s">
        <v>46</v>
      </c>
      <c r="E143" t="s">
        <v>47</v>
      </c>
      <c r="F143" t="s">
        <v>48</v>
      </c>
      <c r="G143">
        <v>15125</v>
      </c>
      <c r="H143" t="s">
        <v>0</v>
      </c>
      <c r="I143" t="s">
        <v>49</v>
      </c>
      <c r="J143" t="s">
        <v>130</v>
      </c>
      <c r="K143" t="s">
        <v>1</v>
      </c>
      <c r="L143">
        <v>4211308820</v>
      </c>
      <c r="M143">
        <v>2600465945</v>
      </c>
      <c r="N143" s="2">
        <v>45881</v>
      </c>
      <c r="O143" s="2">
        <v>45941</v>
      </c>
      <c r="P143">
        <v>5872</v>
      </c>
      <c r="Q143" s="2">
        <v>45881</v>
      </c>
      <c r="R143">
        <v>5001201100</v>
      </c>
      <c r="S143">
        <v>2025</v>
      </c>
      <c r="T143">
        <v>351744</v>
      </c>
      <c r="U143" t="s">
        <v>1</v>
      </c>
      <c r="V143" s="2">
        <v>46003</v>
      </c>
      <c r="W143" t="s">
        <v>182</v>
      </c>
      <c r="AA143">
        <v>5001902853</v>
      </c>
      <c r="AB143">
        <v>2025</v>
      </c>
      <c r="AC143">
        <v>9004035273</v>
      </c>
      <c r="AD143">
        <v>2025</v>
      </c>
      <c r="AE143">
        <v>10421162</v>
      </c>
      <c r="AF143" t="s">
        <v>81</v>
      </c>
      <c r="AG143" t="s">
        <v>181</v>
      </c>
      <c r="AH143" t="s">
        <v>96</v>
      </c>
      <c r="AI143">
        <v>0</v>
      </c>
      <c r="AJ143" t="s">
        <v>1</v>
      </c>
      <c r="AK143" t="s">
        <v>1</v>
      </c>
      <c r="AL143">
        <v>6999999</v>
      </c>
      <c r="AM143" t="s">
        <v>59</v>
      </c>
      <c r="AN143">
        <v>9013</v>
      </c>
      <c r="AO143" t="s">
        <v>50</v>
      </c>
    </row>
    <row r="144" spans="1:41" x14ac:dyDescent="0.25">
      <c r="A144" t="str">
        <f>VLOOKUP(MONTH(N144),Sheet1!$A$2:$B$13,2,0)</f>
        <v>Dez</v>
      </c>
      <c r="B144" t="str">
        <f>IF(LEFT(AO144,1)="B","CAPEX",IF(LEFT(AO144,1)="C","STOCK",IF(MID(AO144,7,2)="JA","STAFF",IF(MID(AO144,7,1)="H","STAFF",IF(MID(AO144,7,1)="S","STAFF",IF(MID(AO144,7,2)="JV","LOG",IFERROR(VLOOKUP($AO144,[1]!Table14[[New Account Number]:[Filtro2]],9,0),VLOOKUP($AO144,[1]!Table14[[Old Account Number]:[Filtro2]],12,0))))))))</f>
        <v>Serv.Prof.Prestados - Serviços</v>
      </c>
      <c r="C144" t="str">
        <f>IF(LEFT(AO144,1)="B","CAPEX",IF(LEFT(AO144,1)="C","STOCK",IF(MID(AO144,7,2)="JA","STAFF",IF(MID(AO144,7,1)="H","STAFF",IF(MID(AO144,7,1)="S","STAFF",IF(MID(AO144,7,2)="JV","LOG",IFERROR(VLOOKUP($AO144,[1]!Table14[[New Account Number]:[Filtro2]],10,0),VLOOKUP($AO144,[1]!Table14[[Old Account Number]:[Filtro2]],13,0))))))))</f>
        <v>Total Outras Despesas Fixas</v>
      </c>
      <c r="D144" t="s">
        <v>43</v>
      </c>
      <c r="E144" t="s">
        <v>2</v>
      </c>
      <c r="F144" t="s">
        <v>3</v>
      </c>
      <c r="G144">
        <v>70442</v>
      </c>
      <c r="H144" t="s">
        <v>0</v>
      </c>
      <c r="I144" t="s">
        <v>49</v>
      </c>
      <c r="J144" t="s">
        <v>305</v>
      </c>
      <c r="K144" t="s">
        <v>1</v>
      </c>
      <c r="L144">
        <v>4211326779</v>
      </c>
      <c r="M144">
        <v>9001692989</v>
      </c>
      <c r="N144" s="2">
        <v>45992</v>
      </c>
      <c r="O144" s="2">
        <v>46037</v>
      </c>
      <c r="P144">
        <v>126.96</v>
      </c>
      <c r="Q144" s="2">
        <v>46003</v>
      </c>
      <c r="R144">
        <v>5001906168</v>
      </c>
      <c r="S144">
        <v>2025</v>
      </c>
      <c r="T144">
        <v>373352</v>
      </c>
      <c r="U144" t="s">
        <v>1</v>
      </c>
      <c r="V144" s="2"/>
      <c r="W144" t="s">
        <v>1</v>
      </c>
      <c r="AE144">
        <v>0</v>
      </c>
      <c r="AF144" t="s">
        <v>229</v>
      </c>
      <c r="AG144" t="s">
        <v>1</v>
      </c>
      <c r="AH144" t="s">
        <v>230</v>
      </c>
      <c r="AI144">
        <v>126.96</v>
      </c>
      <c r="AJ144" t="s">
        <v>1</v>
      </c>
      <c r="AK144" t="s">
        <v>1</v>
      </c>
      <c r="AL144">
        <v>6999999</v>
      </c>
      <c r="AM144" t="s">
        <v>59</v>
      </c>
      <c r="AN144">
        <v>9104</v>
      </c>
      <c r="AO144" t="s">
        <v>119</v>
      </c>
    </row>
    <row r="145" spans="1:41" x14ac:dyDescent="0.25">
      <c r="A145" t="str">
        <f>VLOOKUP(MONTH(N145),Sheet1!$A$2:$B$13,2,0)</f>
        <v>Nov</v>
      </c>
      <c r="B145" t="str">
        <f>IF(LEFT(AO145,1)="B","CAPEX",IF(LEFT(AO145,1)="C","STOCK",IF(MID(AO145,7,2)="JA","STAFF",IF(MID(AO145,7,1)="H","STAFF",IF(MID(AO145,7,1)="S","STAFF",IF(MID(AO145,7,2)="JV","LOG",IFERROR(VLOOKUP($AO145,[1]!Table14[[New Account Number]:[Filtro2]],9,0),VLOOKUP($AO145,[1]!Table14[[Old Account Number]:[Filtro2]],12,0))))))))</f>
        <v>Aluguéis</v>
      </c>
      <c r="C145" t="str">
        <f>IF(LEFT(AO145,1)="B","CAPEX",IF(LEFT(AO145,1)="C","STOCK",IF(MID(AO145,7,2)="JA","STAFF",IF(MID(AO145,7,1)="H","STAFF",IF(MID(AO145,7,1)="S","STAFF",IF(MID(AO145,7,2)="JV","LOG",IFERROR(VLOOKUP($AO145,[1]!Table14[[New Account Number]:[Filtro2]],10,0),VLOOKUP($AO145,[1]!Table14[[Old Account Number]:[Filtro2]],13,0))))))))</f>
        <v>Total Outras Despesas Fixas</v>
      </c>
      <c r="D145" t="s">
        <v>43</v>
      </c>
      <c r="E145" t="s">
        <v>2</v>
      </c>
      <c r="F145" t="s">
        <v>3</v>
      </c>
      <c r="G145">
        <v>1117</v>
      </c>
      <c r="H145" t="s">
        <v>0</v>
      </c>
      <c r="I145" t="s">
        <v>49</v>
      </c>
      <c r="J145" t="s">
        <v>139</v>
      </c>
      <c r="K145" t="s">
        <v>1</v>
      </c>
      <c r="L145">
        <v>4211326911</v>
      </c>
      <c r="M145">
        <v>9001676632</v>
      </c>
      <c r="N145" s="2">
        <v>45973</v>
      </c>
      <c r="O145" s="2">
        <v>46003</v>
      </c>
      <c r="P145">
        <v>268512.96000000002</v>
      </c>
      <c r="Q145" s="2">
        <v>45973</v>
      </c>
      <c r="R145">
        <v>5001683585</v>
      </c>
      <c r="S145">
        <v>2025</v>
      </c>
      <c r="T145">
        <v>367911</v>
      </c>
      <c r="U145" t="s">
        <v>1</v>
      </c>
      <c r="V145" s="2"/>
      <c r="W145" t="s">
        <v>1</v>
      </c>
      <c r="AE145">
        <v>0</v>
      </c>
      <c r="AF145" t="s">
        <v>51</v>
      </c>
      <c r="AG145" t="s">
        <v>1</v>
      </c>
      <c r="AH145" t="s">
        <v>52</v>
      </c>
      <c r="AI145">
        <v>268512.96000000002</v>
      </c>
      <c r="AJ145" t="s">
        <v>1</v>
      </c>
      <c r="AK145" t="s">
        <v>1</v>
      </c>
      <c r="AL145">
        <v>6999999</v>
      </c>
      <c r="AM145" t="s">
        <v>59</v>
      </c>
      <c r="AN145">
        <v>9000</v>
      </c>
      <c r="AO145" t="s">
        <v>54</v>
      </c>
    </row>
    <row r="146" spans="1:41" x14ac:dyDescent="0.25">
      <c r="A146" t="str">
        <f>VLOOKUP(MONTH(N146),Sheet1!$A$2:$B$13,2,0)</f>
        <v>Dez</v>
      </c>
      <c r="B146" t="str">
        <f>IF(LEFT(AO146,1)="B","CAPEX",IF(LEFT(AO146,1)="C","STOCK",IF(MID(AO146,7,2)="JA","STAFF",IF(MID(AO146,7,1)="H","STAFF",IF(MID(AO146,7,1)="S","STAFF",IF(MID(AO146,7,2)="JV","LOG",IFERROR(VLOOKUP($AO146,[1]!Table14[[New Account Number]:[Filtro2]],9,0),VLOOKUP($AO146,[1]!Table14[[Old Account Number]:[Filtro2]],12,0))))))))</f>
        <v>STAFF</v>
      </c>
      <c r="C146" t="str">
        <f>IF(LEFT(AO146,1)="B","CAPEX",IF(LEFT(AO146,1)="C","STOCK",IF(MID(AO146,7,2)="JA","STAFF",IF(MID(AO146,7,1)="H","STAFF",IF(MID(AO146,7,1)="S","STAFF",IF(MID(AO146,7,2)="JV","LOG",IFERROR(VLOOKUP($AO146,[1]!Table14[[New Account Number]:[Filtro2]],10,0),VLOOKUP($AO146,[1]!Table14[[Old Account Number]:[Filtro2]],13,0))))))))</f>
        <v>STAFF</v>
      </c>
      <c r="D146" t="s">
        <v>46</v>
      </c>
      <c r="E146" t="s">
        <v>47</v>
      </c>
      <c r="F146" t="s">
        <v>48</v>
      </c>
      <c r="G146">
        <v>139522</v>
      </c>
      <c r="H146" t="s">
        <v>0</v>
      </c>
      <c r="I146" t="s">
        <v>88</v>
      </c>
      <c r="J146" t="s">
        <v>306</v>
      </c>
      <c r="K146" t="s">
        <v>1</v>
      </c>
      <c r="L146">
        <v>4251318732</v>
      </c>
      <c r="M146">
        <v>2600469463</v>
      </c>
      <c r="N146" s="2">
        <v>45992</v>
      </c>
      <c r="O146" s="2">
        <v>46082</v>
      </c>
      <c r="P146">
        <v>211500</v>
      </c>
      <c r="Q146" s="2">
        <v>46002</v>
      </c>
      <c r="R146">
        <v>5001894493</v>
      </c>
      <c r="S146">
        <v>2025</v>
      </c>
      <c r="T146">
        <v>373088</v>
      </c>
      <c r="U146" t="s">
        <v>1</v>
      </c>
      <c r="V146" s="2">
        <v>46002</v>
      </c>
      <c r="W146" t="s">
        <v>90</v>
      </c>
      <c r="AA146">
        <v>5001896168</v>
      </c>
      <c r="AB146">
        <v>2025</v>
      </c>
      <c r="AC146">
        <v>9004034652</v>
      </c>
      <c r="AD146">
        <v>2025</v>
      </c>
      <c r="AE146">
        <v>10419630</v>
      </c>
      <c r="AF146" t="s">
        <v>307</v>
      </c>
      <c r="AG146" t="s">
        <v>89</v>
      </c>
      <c r="AH146" t="s">
        <v>1</v>
      </c>
      <c r="AI146">
        <v>0</v>
      </c>
      <c r="AJ146" t="s">
        <v>1</v>
      </c>
      <c r="AK146" t="s">
        <v>1</v>
      </c>
      <c r="AL146">
        <v>6999999</v>
      </c>
      <c r="AM146" t="s">
        <v>91</v>
      </c>
      <c r="AN146">
        <v>8238</v>
      </c>
      <c r="AO146" t="s">
        <v>308</v>
      </c>
    </row>
    <row r="147" spans="1:41" x14ac:dyDescent="0.25">
      <c r="A147" t="str">
        <f>VLOOKUP(MONTH(N147),Sheet1!$A$2:$B$13,2,0)</f>
        <v>Nov</v>
      </c>
      <c r="B147" t="str">
        <f>IF(LEFT(AO147,1)="B","CAPEX",IF(LEFT(AO147,1)="C","STOCK",IF(MID(AO147,7,2)="JA","STAFF",IF(MID(AO147,7,1)="H","STAFF",IF(MID(AO147,7,1)="S","STAFF",IF(MID(AO147,7,2)="JV","LOG",IFERROR(VLOOKUP($AO147,[1]!Table14[[New Account Number]:[Filtro2]],9,0),VLOOKUP($AO147,[1]!Table14[[Old Account Number]:[Filtro2]],12,0))))))))</f>
        <v>Manutenção Terceiros</v>
      </c>
      <c r="C147" t="str">
        <f>IF(LEFT(AO147,1)="B","CAPEX",IF(LEFT(AO147,1)="C","STOCK",IF(MID(AO147,7,2)="JA","STAFF",IF(MID(AO147,7,1)="H","STAFF",IF(MID(AO147,7,1)="S","STAFF",IF(MID(AO147,7,2)="JV","LOG",IFERROR(VLOOKUP($AO147,[1]!Table14[[New Account Number]:[Filtro2]],10,0),VLOOKUP($AO147,[1]!Table14[[Old Account Number]:[Filtro2]],13,0))))))))</f>
        <v>Total Manutenção Variável</v>
      </c>
      <c r="D147" t="s">
        <v>43</v>
      </c>
      <c r="E147" t="s">
        <v>2</v>
      </c>
      <c r="F147" t="s">
        <v>3</v>
      </c>
      <c r="G147">
        <v>147161</v>
      </c>
      <c r="H147" t="s">
        <v>0</v>
      </c>
      <c r="I147" t="s">
        <v>49</v>
      </c>
      <c r="J147" t="s">
        <v>62</v>
      </c>
      <c r="K147" t="s">
        <v>1</v>
      </c>
      <c r="L147">
        <v>4211315568</v>
      </c>
      <c r="M147">
        <v>9001691311</v>
      </c>
      <c r="N147" s="2">
        <v>45985</v>
      </c>
      <c r="O147" s="2">
        <v>46060</v>
      </c>
      <c r="P147">
        <v>29965.59</v>
      </c>
      <c r="Q147" s="2">
        <v>45985</v>
      </c>
      <c r="R147">
        <v>5001772783</v>
      </c>
      <c r="S147">
        <v>2025</v>
      </c>
      <c r="T147">
        <v>369766</v>
      </c>
      <c r="U147" t="s">
        <v>1</v>
      </c>
      <c r="V147" s="2"/>
      <c r="W147" t="s">
        <v>1</v>
      </c>
      <c r="AE147">
        <v>0</v>
      </c>
      <c r="AF147" t="s">
        <v>106</v>
      </c>
      <c r="AG147" t="s">
        <v>1</v>
      </c>
      <c r="AH147" t="s">
        <v>192</v>
      </c>
      <c r="AI147">
        <v>29965.59</v>
      </c>
      <c r="AJ147" t="s">
        <v>1</v>
      </c>
      <c r="AK147" t="s">
        <v>1</v>
      </c>
      <c r="AL147">
        <v>6000031</v>
      </c>
      <c r="AM147" t="s">
        <v>59</v>
      </c>
      <c r="AN147">
        <v>9203</v>
      </c>
      <c r="AO147" t="s">
        <v>50</v>
      </c>
    </row>
    <row r="148" spans="1:41" x14ac:dyDescent="0.25">
      <c r="A148" t="str">
        <f>VLOOKUP(MONTH(N148),Sheet1!$A$2:$B$13,2,0)</f>
        <v>Nov</v>
      </c>
      <c r="B148" t="str">
        <f>IF(LEFT(AO148,1)="B","CAPEX",IF(LEFT(AO148,1)="C","STOCK",IF(MID(AO148,7,2)="JA","STAFF",IF(MID(AO148,7,1)="H","STAFF",IF(MID(AO148,7,1)="S","STAFF",IF(MID(AO148,7,2)="JV","LOG",IFERROR(VLOOKUP($AO148,[1]!Table14[[New Account Number]:[Filtro2]],9,0),VLOOKUP($AO148,[1]!Table14[[Old Account Number]:[Filtro2]],12,0))))))))</f>
        <v>Outras Despesas</v>
      </c>
      <c r="C148" t="str">
        <f>IF(LEFT(AO148,1)="B","CAPEX",IF(LEFT(AO148,1)="C","STOCK",IF(MID(AO148,7,2)="JA","STAFF",IF(MID(AO148,7,1)="H","STAFF",IF(MID(AO148,7,1)="S","STAFF",IF(MID(AO148,7,2)="JV","LOG",IFERROR(VLOOKUP($AO148,[1]!Table14[[New Account Number]:[Filtro2]],10,0),VLOOKUP($AO148,[1]!Table14[[Old Account Number]:[Filtro2]],13,0))))))))</f>
        <v>Total Outras Despesas Variáveis</v>
      </c>
      <c r="D148" t="s">
        <v>43</v>
      </c>
      <c r="E148" t="s">
        <v>2</v>
      </c>
      <c r="F148" t="s">
        <v>3</v>
      </c>
      <c r="G148">
        <v>147128</v>
      </c>
      <c r="H148" t="s">
        <v>0</v>
      </c>
      <c r="I148" t="s">
        <v>49</v>
      </c>
      <c r="J148" t="s">
        <v>62</v>
      </c>
      <c r="K148" t="s">
        <v>1</v>
      </c>
      <c r="L148">
        <v>4211315568</v>
      </c>
      <c r="M148">
        <v>9001691318</v>
      </c>
      <c r="N148" s="2">
        <v>45985</v>
      </c>
      <c r="O148" s="2">
        <v>46075</v>
      </c>
      <c r="P148">
        <v>123504.79</v>
      </c>
      <c r="Q148" s="2">
        <v>45985</v>
      </c>
      <c r="R148">
        <v>5001772784</v>
      </c>
      <c r="S148">
        <v>2025</v>
      </c>
      <c r="T148">
        <v>369767</v>
      </c>
      <c r="U148" t="s">
        <v>1</v>
      </c>
      <c r="V148" s="2"/>
      <c r="W148" t="s">
        <v>1</v>
      </c>
      <c r="AE148">
        <v>0</v>
      </c>
      <c r="AF148" t="s">
        <v>106</v>
      </c>
      <c r="AG148" t="s">
        <v>1</v>
      </c>
      <c r="AH148" t="s">
        <v>192</v>
      </c>
      <c r="AI148">
        <v>123504.79</v>
      </c>
      <c r="AJ148" t="s">
        <v>1</v>
      </c>
      <c r="AK148" t="s">
        <v>1</v>
      </c>
      <c r="AL148">
        <v>6000031</v>
      </c>
      <c r="AM148" t="s">
        <v>59</v>
      </c>
      <c r="AN148">
        <v>9013</v>
      </c>
      <c r="AO148" t="s">
        <v>147</v>
      </c>
    </row>
    <row r="149" spans="1:41" x14ac:dyDescent="0.25">
      <c r="A149" t="str">
        <f>VLOOKUP(MONTH(N149),Sheet1!$A$2:$B$13,2,0)</f>
        <v>Dez</v>
      </c>
      <c r="B149" t="str">
        <f>IF(LEFT(AO149,1)="B","CAPEX",IF(LEFT(AO149,1)="C","STOCK",IF(MID(AO149,7,2)="JA","STAFF",IF(MID(AO149,7,1)="H","STAFF",IF(MID(AO149,7,1)="S","STAFF",IF(MID(AO149,7,2)="JV","LOG",IFERROR(VLOOKUP($AO149,[1]!Table14[[New Account Number]:[Filtro2]],9,0),VLOOKUP($AO149,[1]!Table14[[Old Account Number]:[Filtro2]],12,0))))))))</f>
        <v>Despesas Sociais</v>
      </c>
      <c r="C149" t="str">
        <f>IF(LEFT(AO149,1)="B","CAPEX",IF(LEFT(AO149,1)="C","STOCK",IF(MID(AO149,7,2)="JA","STAFF",IF(MID(AO149,7,1)="H","STAFF",IF(MID(AO149,7,1)="S","STAFF",IF(MID(AO149,7,2)="JV","LOG",IFERROR(VLOOKUP($AO149,[1]!Table14[[New Account Number]:[Filtro2]],10,0),VLOOKUP($AO149,[1]!Table14[[Old Account Number]:[Filtro2]],13,0))))))))</f>
        <v>Total Outras Despesas Fixas</v>
      </c>
      <c r="D149" t="s">
        <v>43</v>
      </c>
      <c r="E149" t="s">
        <v>2</v>
      </c>
      <c r="F149" t="s">
        <v>3</v>
      </c>
      <c r="G149">
        <v>193</v>
      </c>
      <c r="H149" t="s">
        <v>0</v>
      </c>
      <c r="I149" t="s">
        <v>44</v>
      </c>
      <c r="J149" t="s">
        <v>252</v>
      </c>
      <c r="K149" t="s">
        <v>1</v>
      </c>
      <c r="L149">
        <v>4211330628</v>
      </c>
      <c r="M149">
        <v>2600469928</v>
      </c>
      <c r="N149" s="2">
        <v>45999</v>
      </c>
      <c r="O149" s="2">
        <v>46027</v>
      </c>
      <c r="P149">
        <v>9330</v>
      </c>
      <c r="Q149" s="2">
        <v>45999</v>
      </c>
      <c r="R149">
        <v>5001872949</v>
      </c>
      <c r="S149">
        <v>2025</v>
      </c>
      <c r="T149">
        <v>372303</v>
      </c>
      <c r="U149" t="s">
        <v>1</v>
      </c>
      <c r="V149" s="2"/>
      <c r="W149" t="s">
        <v>1</v>
      </c>
      <c r="AE149">
        <v>0</v>
      </c>
      <c r="AF149" t="s">
        <v>253</v>
      </c>
      <c r="AG149" t="s">
        <v>1</v>
      </c>
      <c r="AH149" t="s">
        <v>213</v>
      </c>
      <c r="AI149">
        <v>9330</v>
      </c>
      <c r="AJ149" t="s">
        <v>1</v>
      </c>
      <c r="AK149" t="s">
        <v>1</v>
      </c>
      <c r="AL149">
        <v>6999999</v>
      </c>
      <c r="AM149" t="s">
        <v>92</v>
      </c>
      <c r="AN149">
        <v>2953</v>
      </c>
      <c r="AO149" t="s">
        <v>254</v>
      </c>
    </row>
    <row r="150" spans="1:41" x14ac:dyDescent="0.25">
      <c r="A150" t="str">
        <f>VLOOKUP(MONTH(N150),Sheet1!$A$2:$B$13,2,0)</f>
        <v>Nov</v>
      </c>
      <c r="B150" t="str">
        <f>IF(LEFT(AO150,1)="B","CAPEX",IF(LEFT(AO150,1)="C","STOCK",IF(MID(AO150,7,2)="JA","STAFF",IF(MID(AO150,7,1)="H","STAFF",IF(MID(AO150,7,1)="S","STAFF",IF(MID(AO150,7,2)="JV","LOG",IFERROR(VLOOKUP($AO150,[1]!Table14[[New Account Number]:[Filtro2]],9,0),VLOOKUP($AO150,[1]!Table14[[Old Account Number]:[Filtro2]],12,0))))))))</f>
        <v>Manutenção Terceiros</v>
      </c>
      <c r="C150" t="str">
        <f>IF(LEFT(AO150,1)="B","CAPEX",IF(LEFT(AO150,1)="C","STOCK",IF(MID(AO150,7,2)="JA","STAFF",IF(MID(AO150,7,1)="H","STAFF",IF(MID(AO150,7,1)="S","STAFF",IF(MID(AO150,7,2)="JV","LOG",IFERROR(VLOOKUP($AO150,[1]!Table14[[New Account Number]:[Filtro2]],10,0),VLOOKUP($AO150,[1]!Table14[[Old Account Number]:[Filtro2]],13,0))))))))</f>
        <v>Total Manutenção Variável</v>
      </c>
      <c r="D150" t="s">
        <v>43</v>
      </c>
      <c r="E150" t="s">
        <v>2</v>
      </c>
      <c r="F150" t="s">
        <v>3</v>
      </c>
      <c r="G150">
        <v>1537</v>
      </c>
      <c r="H150" t="s">
        <v>0</v>
      </c>
      <c r="I150" t="s">
        <v>49</v>
      </c>
      <c r="J150" t="s">
        <v>202</v>
      </c>
      <c r="K150" t="s">
        <v>1</v>
      </c>
      <c r="L150">
        <v>4211320791</v>
      </c>
      <c r="M150">
        <v>9001682980</v>
      </c>
      <c r="N150" s="2">
        <v>45975</v>
      </c>
      <c r="O150" s="2">
        <v>46020</v>
      </c>
      <c r="P150">
        <v>2319.6</v>
      </c>
      <c r="Q150" s="2">
        <v>45978</v>
      </c>
      <c r="R150">
        <v>5001712348</v>
      </c>
      <c r="S150">
        <v>2025</v>
      </c>
      <c r="T150">
        <v>368550</v>
      </c>
      <c r="U150" t="s">
        <v>1</v>
      </c>
      <c r="V150" s="2"/>
      <c r="W150" t="s">
        <v>1</v>
      </c>
      <c r="AE150">
        <v>0</v>
      </c>
      <c r="AF150" t="s">
        <v>103</v>
      </c>
      <c r="AG150" t="s">
        <v>1</v>
      </c>
      <c r="AH150" t="s">
        <v>104</v>
      </c>
      <c r="AI150">
        <v>2319.6</v>
      </c>
      <c r="AJ150" t="s">
        <v>1</v>
      </c>
      <c r="AK150" t="s">
        <v>1</v>
      </c>
      <c r="AL150">
        <v>6999999</v>
      </c>
      <c r="AM150" t="s">
        <v>59</v>
      </c>
      <c r="AN150">
        <v>9117</v>
      </c>
      <c r="AO150" t="s">
        <v>50</v>
      </c>
    </row>
    <row r="151" spans="1:41" x14ac:dyDescent="0.25">
      <c r="A151" t="str">
        <f>VLOOKUP(MONTH(N151),Sheet1!$A$2:$B$13,2,0)</f>
        <v>Nov</v>
      </c>
      <c r="B151" t="str">
        <f>IF(LEFT(AO151,1)="B","CAPEX",IF(LEFT(AO151,1)="C","STOCK",IF(MID(AO151,7,2)="JA","STAFF",IF(MID(AO151,7,1)="H","STAFF",IF(MID(AO151,7,1)="S","STAFF",IF(MID(AO151,7,2)="JV","LOG",IFERROR(VLOOKUP($AO151,[1]!Table14[[New Account Number]:[Filtro2]],9,0),VLOOKUP($AO151,[1]!Table14[[Old Account Number]:[Filtro2]],12,0))))))))</f>
        <v>Aluguéis</v>
      </c>
      <c r="C151" t="str">
        <f>IF(LEFT(AO151,1)="B","CAPEX",IF(LEFT(AO151,1)="C","STOCK",IF(MID(AO151,7,2)="JA","STAFF",IF(MID(AO151,7,1)="H","STAFF",IF(MID(AO151,7,1)="S","STAFF",IF(MID(AO151,7,2)="JV","LOG",IFERROR(VLOOKUP($AO151,[1]!Table14[[New Account Number]:[Filtro2]],10,0),VLOOKUP($AO151,[1]!Table14[[Old Account Number]:[Filtro2]],13,0))))))))</f>
        <v>Total Outras Despesas Fixas</v>
      </c>
      <c r="D151" t="s">
        <v>43</v>
      </c>
      <c r="E151" t="s">
        <v>2</v>
      </c>
      <c r="F151" t="s">
        <v>3</v>
      </c>
      <c r="G151">
        <v>700275</v>
      </c>
      <c r="H151" t="s">
        <v>0</v>
      </c>
      <c r="I151" t="s">
        <v>49</v>
      </c>
      <c r="J151" t="s">
        <v>189</v>
      </c>
      <c r="K151" t="s">
        <v>1</v>
      </c>
      <c r="L151">
        <v>4211301181</v>
      </c>
      <c r="M151">
        <v>9001631078</v>
      </c>
      <c r="N151" s="2">
        <v>45964</v>
      </c>
      <c r="O151" s="2">
        <v>46039</v>
      </c>
      <c r="P151">
        <v>872.01</v>
      </c>
      <c r="Q151" s="2">
        <v>45980</v>
      </c>
      <c r="R151">
        <v>5001731728</v>
      </c>
      <c r="S151">
        <v>2025</v>
      </c>
      <c r="T151">
        <v>368966</v>
      </c>
      <c r="U151" t="s">
        <v>1</v>
      </c>
      <c r="V151" s="2"/>
      <c r="W151" t="s">
        <v>1</v>
      </c>
      <c r="AE151">
        <v>0</v>
      </c>
      <c r="AF151" t="s">
        <v>184</v>
      </c>
      <c r="AG151" t="s">
        <v>1</v>
      </c>
      <c r="AH151" t="s">
        <v>1</v>
      </c>
      <c r="AI151">
        <v>872.01</v>
      </c>
      <c r="AJ151" t="s">
        <v>1</v>
      </c>
      <c r="AK151" t="s">
        <v>1</v>
      </c>
      <c r="AL151">
        <v>6999999</v>
      </c>
      <c r="AM151" t="s">
        <v>59</v>
      </c>
      <c r="AN151">
        <v>9000</v>
      </c>
      <c r="AO151" t="s">
        <v>54</v>
      </c>
    </row>
    <row r="152" spans="1:41" x14ac:dyDescent="0.25">
      <c r="A152" t="str">
        <f>VLOOKUP(MONTH(N152),Sheet1!$A$2:$B$13,2,0)</f>
        <v>Nov</v>
      </c>
      <c r="B152" t="str">
        <f>IF(LEFT(AO152,1)="B","CAPEX",IF(LEFT(AO152,1)="C","STOCK",IF(MID(AO152,7,2)="JA","STAFF",IF(MID(AO152,7,1)="H","STAFF",IF(MID(AO152,7,1)="S","STAFF",IF(MID(AO152,7,2)="JV","LOG",IFERROR(VLOOKUP($AO152,[1]!Table14[[New Account Number]:[Filtro2]],9,0),VLOOKUP($AO152,[1]!Table14[[Old Account Number]:[Filtro2]],12,0))))))))</f>
        <v>Manutenção Terceiros</v>
      </c>
      <c r="C152" t="str">
        <f>IF(LEFT(AO152,1)="B","CAPEX",IF(LEFT(AO152,1)="C","STOCK",IF(MID(AO152,7,2)="JA","STAFF",IF(MID(AO152,7,1)="H","STAFF",IF(MID(AO152,7,1)="S","STAFF",IF(MID(AO152,7,2)="JV","LOG",IFERROR(VLOOKUP($AO152,[1]!Table14[[New Account Number]:[Filtro2]],10,0),VLOOKUP($AO152,[1]!Table14[[Old Account Number]:[Filtro2]],13,0))))))))</f>
        <v>Total Manutenção Variável</v>
      </c>
      <c r="D152" t="s">
        <v>43</v>
      </c>
      <c r="E152" t="s">
        <v>2</v>
      </c>
      <c r="F152" t="s">
        <v>3</v>
      </c>
      <c r="G152">
        <v>1536</v>
      </c>
      <c r="H152" t="s">
        <v>0</v>
      </c>
      <c r="I152" t="s">
        <v>49</v>
      </c>
      <c r="J152" t="s">
        <v>202</v>
      </c>
      <c r="K152" t="s">
        <v>1</v>
      </c>
      <c r="L152">
        <v>4211320791</v>
      </c>
      <c r="M152">
        <v>9001682989</v>
      </c>
      <c r="N152" s="2">
        <v>45975</v>
      </c>
      <c r="O152" s="2">
        <v>46020</v>
      </c>
      <c r="P152">
        <v>2232</v>
      </c>
      <c r="Q152" s="2">
        <v>45978</v>
      </c>
      <c r="R152">
        <v>5001713650</v>
      </c>
      <c r="S152">
        <v>2025</v>
      </c>
      <c r="T152">
        <v>368552</v>
      </c>
      <c r="U152" t="s">
        <v>1</v>
      </c>
      <c r="V152" s="2"/>
      <c r="W152" t="s">
        <v>1</v>
      </c>
      <c r="AE152">
        <v>0</v>
      </c>
      <c r="AF152" t="s">
        <v>103</v>
      </c>
      <c r="AG152" t="s">
        <v>1</v>
      </c>
      <c r="AH152" t="s">
        <v>104</v>
      </c>
      <c r="AI152">
        <v>2232</v>
      </c>
      <c r="AJ152" t="s">
        <v>1</v>
      </c>
      <c r="AK152" t="s">
        <v>1</v>
      </c>
      <c r="AL152">
        <v>6999999</v>
      </c>
      <c r="AM152" t="s">
        <v>59</v>
      </c>
      <c r="AN152">
        <v>9117</v>
      </c>
      <c r="AO152" t="s">
        <v>50</v>
      </c>
    </row>
    <row r="153" spans="1:41" x14ac:dyDescent="0.25">
      <c r="A153" t="str">
        <f>VLOOKUP(MONTH(N153),Sheet1!$A$2:$B$13,2,0)</f>
        <v>Nov</v>
      </c>
      <c r="B153" t="str">
        <f>IF(LEFT(AO153,1)="B","CAPEX",IF(LEFT(AO153,1)="C","STOCK",IF(MID(AO153,7,2)="JA","STAFF",IF(MID(AO153,7,1)="H","STAFF",IF(MID(AO153,7,1)="S","STAFF",IF(MID(AO153,7,2)="JV","LOG",IFERROR(VLOOKUP($AO153,[1]!Table14[[New Account Number]:[Filtro2]],9,0),VLOOKUP($AO153,[1]!Table14[[Old Account Number]:[Filtro2]],12,0))))))))</f>
        <v>STAFF</v>
      </c>
      <c r="C153" t="str">
        <f>IF(LEFT(AO153,1)="B","CAPEX",IF(LEFT(AO153,1)="C","STOCK",IF(MID(AO153,7,2)="JA","STAFF",IF(MID(AO153,7,1)="H","STAFF",IF(MID(AO153,7,1)="S","STAFF",IF(MID(AO153,7,2)="JV","LOG",IFERROR(VLOOKUP($AO153,[1]!Table14[[New Account Number]:[Filtro2]],10,0),VLOOKUP($AO153,[1]!Table14[[Old Account Number]:[Filtro2]],13,0))))))))</f>
        <v>STAFF</v>
      </c>
      <c r="D153" t="s">
        <v>43</v>
      </c>
      <c r="E153" t="s">
        <v>2</v>
      </c>
      <c r="F153" t="s">
        <v>3</v>
      </c>
      <c r="G153">
        <v>15045</v>
      </c>
      <c r="H153" t="s">
        <v>0</v>
      </c>
      <c r="I153" t="s">
        <v>49</v>
      </c>
      <c r="J153" t="s">
        <v>206</v>
      </c>
      <c r="K153" t="s">
        <v>1</v>
      </c>
      <c r="L153">
        <v>4211332596</v>
      </c>
      <c r="M153">
        <v>9001689852</v>
      </c>
      <c r="N153" s="2">
        <v>45967</v>
      </c>
      <c r="O153" s="2">
        <v>45995</v>
      </c>
      <c r="P153">
        <v>790</v>
      </c>
      <c r="Q153" s="2">
        <v>45982</v>
      </c>
      <c r="R153">
        <v>5001752544</v>
      </c>
      <c r="S153">
        <v>2025</v>
      </c>
      <c r="T153">
        <v>369321</v>
      </c>
      <c r="U153" t="s">
        <v>1</v>
      </c>
      <c r="V153" s="2"/>
      <c r="W153" t="s">
        <v>1</v>
      </c>
      <c r="AE153">
        <v>0</v>
      </c>
      <c r="AF153" t="s">
        <v>131</v>
      </c>
      <c r="AG153" t="s">
        <v>1</v>
      </c>
      <c r="AH153" t="s">
        <v>132</v>
      </c>
      <c r="AI153">
        <v>790</v>
      </c>
      <c r="AJ153" t="s">
        <v>1</v>
      </c>
      <c r="AK153" t="s">
        <v>1</v>
      </c>
      <c r="AL153">
        <v>6999999</v>
      </c>
      <c r="AM153" t="s">
        <v>59</v>
      </c>
      <c r="AN153">
        <v>4711</v>
      </c>
      <c r="AO153" t="s">
        <v>207</v>
      </c>
    </row>
    <row r="154" spans="1:41" x14ac:dyDescent="0.25">
      <c r="A154" t="str">
        <f>VLOOKUP(MONTH(N154),Sheet1!$A$2:$B$13,2,0)</f>
        <v>Out</v>
      </c>
      <c r="B154" t="str">
        <f>IF(LEFT(AO154,1)="B","CAPEX",IF(LEFT(AO154,1)="C","STOCK",IF(MID(AO154,7,2)="JA","STAFF",IF(MID(AO154,7,1)="H","STAFF",IF(MID(AO154,7,1)="S","STAFF",IF(MID(AO154,7,2)="JV","LOG",IFERROR(VLOOKUP($AO154,[1]!Table14[[New Account Number]:[Filtro2]],9,0),VLOOKUP($AO154,[1]!Table14[[Old Account Number]:[Filtro2]],12,0))))))))</f>
        <v>Treinamento</v>
      </c>
      <c r="C154" t="str">
        <f>IF(LEFT(AO154,1)="B","CAPEX",IF(LEFT(AO154,1)="C","STOCK",IF(MID(AO154,7,2)="JA","STAFF",IF(MID(AO154,7,1)="H","STAFF",IF(MID(AO154,7,1)="S","STAFF",IF(MID(AO154,7,2)="JV","LOG",IFERROR(VLOOKUP($AO154,[1]!Table14[[New Account Number]:[Filtro2]],10,0),VLOOKUP($AO154,[1]!Table14[[Old Account Number]:[Filtro2]],13,0))))))))</f>
        <v>Total Outras Despesas Fixas</v>
      </c>
      <c r="D154" t="s">
        <v>43</v>
      </c>
      <c r="E154" t="s">
        <v>2</v>
      </c>
      <c r="F154" t="s">
        <v>3</v>
      </c>
      <c r="G154">
        <v>14834</v>
      </c>
      <c r="H154" t="s">
        <v>0</v>
      </c>
      <c r="I154" t="s">
        <v>44</v>
      </c>
      <c r="J154" t="s">
        <v>215</v>
      </c>
      <c r="K154" t="s">
        <v>1</v>
      </c>
      <c r="L154">
        <v>4211301849</v>
      </c>
      <c r="M154">
        <v>9001683832</v>
      </c>
      <c r="N154" s="2">
        <v>45951</v>
      </c>
      <c r="O154" s="2">
        <v>46011</v>
      </c>
      <c r="P154">
        <v>6200</v>
      </c>
      <c r="Q154" s="2">
        <v>45951</v>
      </c>
      <c r="R154">
        <v>5001799921</v>
      </c>
      <c r="S154">
        <v>2025</v>
      </c>
      <c r="T154">
        <v>364043</v>
      </c>
      <c r="U154" t="s">
        <v>1</v>
      </c>
      <c r="V154" s="2"/>
      <c r="W154" t="s">
        <v>1</v>
      </c>
      <c r="AE154">
        <v>0</v>
      </c>
      <c r="AF154" t="s">
        <v>216</v>
      </c>
      <c r="AG154" t="s">
        <v>1</v>
      </c>
      <c r="AH154" t="s">
        <v>217</v>
      </c>
      <c r="AI154">
        <v>6200</v>
      </c>
      <c r="AJ154" t="s">
        <v>1</v>
      </c>
      <c r="AK154" t="s">
        <v>1</v>
      </c>
      <c r="AL154">
        <v>6999999</v>
      </c>
      <c r="AM154" t="s">
        <v>92</v>
      </c>
      <c r="AN154">
        <v>2952</v>
      </c>
      <c r="AO154" t="s">
        <v>218</v>
      </c>
    </row>
    <row r="155" spans="1:41" x14ac:dyDescent="0.25">
      <c r="A155" t="str">
        <f>VLOOKUP(MONTH(N155),Sheet1!$A$2:$B$13,2,0)</f>
        <v>Out</v>
      </c>
      <c r="B155" t="str">
        <f>IF(LEFT(AO155,1)="B","CAPEX",IF(LEFT(AO155,1)="C","STOCK",IF(MID(AO155,7,2)="JA","STAFF",IF(MID(AO155,7,1)="H","STAFF",IF(MID(AO155,7,1)="S","STAFF",IF(MID(AO155,7,2)="JV","LOG",IFERROR(VLOOKUP($AO155,[1]!Table14[[New Account Number]:[Filtro2]],9,0),VLOOKUP($AO155,[1]!Table14[[Old Account Number]:[Filtro2]],12,0))))))))</f>
        <v>Aluguéis</v>
      </c>
      <c r="C155" t="str">
        <f>IF(LEFT(AO155,1)="B","CAPEX",IF(LEFT(AO155,1)="C","STOCK",IF(MID(AO155,7,2)="JA","STAFF",IF(MID(AO155,7,1)="H","STAFF",IF(MID(AO155,7,1)="S","STAFF",IF(MID(AO155,7,2)="JV","LOG",IFERROR(VLOOKUP($AO155,[1]!Table14[[New Account Number]:[Filtro2]],10,0),VLOOKUP($AO155,[1]!Table14[[Old Account Number]:[Filtro2]],13,0))))))))</f>
        <v>Total Outras Despesas Fixas</v>
      </c>
      <c r="D155" t="s">
        <v>43</v>
      </c>
      <c r="E155" t="s">
        <v>2</v>
      </c>
      <c r="F155" t="s">
        <v>3</v>
      </c>
      <c r="G155">
        <v>644071</v>
      </c>
      <c r="H155" t="s">
        <v>0</v>
      </c>
      <c r="I155" t="s">
        <v>49</v>
      </c>
      <c r="J155" t="s">
        <v>189</v>
      </c>
      <c r="K155" t="s">
        <v>1</v>
      </c>
      <c r="L155">
        <v>4211301181</v>
      </c>
      <c r="M155">
        <v>9001631078</v>
      </c>
      <c r="N155" s="2">
        <v>45931</v>
      </c>
      <c r="O155" s="2">
        <v>46006</v>
      </c>
      <c r="P155">
        <v>1665.22</v>
      </c>
      <c r="Q155" s="2">
        <v>45954</v>
      </c>
      <c r="R155">
        <v>5001546224</v>
      </c>
      <c r="S155">
        <v>2025</v>
      </c>
      <c r="T155">
        <v>364754</v>
      </c>
      <c r="U155" t="s">
        <v>1</v>
      </c>
      <c r="V155" s="2"/>
      <c r="W155" t="s">
        <v>1</v>
      </c>
      <c r="AE155">
        <v>0</v>
      </c>
      <c r="AF155" t="s">
        <v>184</v>
      </c>
      <c r="AG155" t="s">
        <v>1</v>
      </c>
      <c r="AH155" t="s">
        <v>1</v>
      </c>
      <c r="AI155">
        <v>1665.49</v>
      </c>
      <c r="AJ155" t="s">
        <v>1</v>
      </c>
      <c r="AK155" t="s">
        <v>1</v>
      </c>
      <c r="AL155">
        <v>6999999</v>
      </c>
      <c r="AM155" t="s">
        <v>59</v>
      </c>
      <c r="AN155">
        <v>9000</v>
      </c>
      <c r="AO155" t="s">
        <v>54</v>
      </c>
    </row>
    <row r="156" spans="1:41" x14ac:dyDescent="0.25">
      <c r="A156" t="str">
        <f>VLOOKUP(MONTH(N156),Sheet1!$A$2:$B$13,2,0)</f>
        <v>Out</v>
      </c>
      <c r="B156" t="str">
        <f>IF(LEFT(AO156,1)="B","CAPEX",IF(LEFT(AO156,1)="C","STOCK",IF(MID(AO156,7,2)="JA","STAFF",IF(MID(AO156,7,1)="H","STAFF",IF(MID(AO156,7,1)="S","STAFF",IF(MID(AO156,7,2)="JV","LOG",IFERROR(VLOOKUP($AO156,[1]!Table14[[New Account Number]:[Filtro2]],9,0),VLOOKUP($AO156,[1]!Table14[[Old Account Number]:[Filtro2]],12,0))))))))</f>
        <v>Aluguéis</v>
      </c>
      <c r="C156" t="str">
        <f>IF(LEFT(AO156,1)="B","CAPEX",IF(LEFT(AO156,1)="C","STOCK",IF(MID(AO156,7,2)="JA","STAFF",IF(MID(AO156,7,1)="H","STAFF",IF(MID(AO156,7,1)="S","STAFF",IF(MID(AO156,7,2)="JV","LOG",IFERROR(VLOOKUP($AO156,[1]!Table14[[New Account Number]:[Filtro2]],10,0),VLOOKUP($AO156,[1]!Table14[[Old Account Number]:[Filtro2]],13,0))))))))</f>
        <v>Total Outras Despesas Fixas</v>
      </c>
      <c r="D156" t="s">
        <v>43</v>
      </c>
      <c r="E156" t="s">
        <v>2</v>
      </c>
      <c r="F156" t="s">
        <v>3</v>
      </c>
      <c r="G156">
        <v>644072</v>
      </c>
      <c r="H156" t="s">
        <v>0</v>
      </c>
      <c r="I156" t="s">
        <v>49</v>
      </c>
      <c r="J156" t="s">
        <v>189</v>
      </c>
      <c r="K156" t="s">
        <v>1</v>
      </c>
      <c r="L156">
        <v>4211301181</v>
      </c>
      <c r="M156">
        <v>9001631078</v>
      </c>
      <c r="N156" s="2">
        <v>45931</v>
      </c>
      <c r="O156" s="2">
        <v>46006</v>
      </c>
      <c r="P156">
        <v>111.89</v>
      </c>
      <c r="Q156" s="2">
        <v>45954</v>
      </c>
      <c r="R156">
        <v>5001546225</v>
      </c>
      <c r="S156">
        <v>2025</v>
      </c>
      <c r="T156">
        <v>364756</v>
      </c>
      <c r="U156" t="s">
        <v>1</v>
      </c>
      <c r="V156" s="2"/>
      <c r="W156" t="s">
        <v>1</v>
      </c>
      <c r="AE156">
        <v>0</v>
      </c>
      <c r="AF156" t="s">
        <v>184</v>
      </c>
      <c r="AG156" t="s">
        <v>1</v>
      </c>
      <c r="AH156" t="s">
        <v>1</v>
      </c>
      <c r="AI156">
        <v>111.84</v>
      </c>
      <c r="AJ156" t="s">
        <v>1</v>
      </c>
      <c r="AK156" t="s">
        <v>1</v>
      </c>
      <c r="AL156">
        <v>6999999</v>
      </c>
      <c r="AM156" t="s">
        <v>59</v>
      </c>
      <c r="AN156">
        <v>9000</v>
      </c>
      <c r="AO156" t="s">
        <v>54</v>
      </c>
    </row>
    <row r="157" spans="1:41" x14ac:dyDescent="0.25">
      <c r="A157" t="str">
        <f>VLOOKUP(MONTH(N157),Sheet1!$A$2:$B$13,2,0)</f>
        <v>Nov</v>
      </c>
      <c r="B157" t="str">
        <f>IF(LEFT(AO157,1)="B","CAPEX",IF(LEFT(AO157,1)="C","STOCK",IF(MID(AO157,7,2)="JA","STAFF",IF(MID(AO157,7,1)="H","STAFF",IF(MID(AO157,7,1)="S","STAFF",IF(MID(AO157,7,2)="JV","LOG",IFERROR(VLOOKUP($AO157,[1]!Table14[[New Account Number]:[Filtro2]],9,0),VLOOKUP($AO157,[1]!Table14[[Old Account Number]:[Filtro2]],12,0))))))))</f>
        <v>Manutenção Terceiros</v>
      </c>
      <c r="C157" t="str">
        <f>IF(LEFT(AO157,1)="B","CAPEX",IF(LEFT(AO157,1)="C","STOCK",IF(MID(AO157,7,2)="JA","STAFF",IF(MID(AO157,7,1)="H","STAFF",IF(MID(AO157,7,1)="S","STAFF",IF(MID(AO157,7,2)="JV","LOG",IFERROR(VLOOKUP($AO157,[1]!Table14[[New Account Number]:[Filtro2]],10,0),VLOOKUP($AO157,[1]!Table14[[Old Account Number]:[Filtro2]],13,0))))))))</f>
        <v>Total Manutenção Variável</v>
      </c>
      <c r="D157" t="s">
        <v>43</v>
      </c>
      <c r="E157" t="s">
        <v>2</v>
      </c>
      <c r="F157" t="s">
        <v>3</v>
      </c>
      <c r="G157">
        <v>732</v>
      </c>
      <c r="H157" t="s">
        <v>0</v>
      </c>
      <c r="I157" t="s">
        <v>49</v>
      </c>
      <c r="J157" t="s">
        <v>208</v>
      </c>
      <c r="K157" t="s">
        <v>1</v>
      </c>
      <c r="L157">
        <v>4211333353</v>
      </c>
      <c r="M157">
        <v>2600469497</v>
      </c>
      <c r="N157" s="2">
        <v>45980</v>
      </c>
      <c r="O157" s="2">
        <v>46040</v>
      </c>
      <c r="P157">
        <v>13992</v>
      </c>
      <c r="Q157" s="2">
        <v>45980</v>
      </c>
      <c r="R157">
        <v>5001739100</v>
      </c>
      <c r="S157">
        <v>2025</v>
      </c>
      <c r="T157">
        <v>369000</v>
      </c>
      <c r="U157" t="s">
        <v>1</v>
      </c>
      <c r="V157" s="2"/>
      <c r="W157" t="s">
        <v>1</v>
      </c>
      <c r="AE157">
        <v>0</v>
      </c>
      <c r="AF157" t="s">
        <v>106</v>
      </c>
      <c r="AG157" t="s">
        <v>1</v>
      </c>
      <c r="AH157" t="s">
        <v>192</v>
      </c>
      <c r="AI157">
        <v>13992</v>
      </c>
      <c r="AJ157" t="s">
        <v>1</v>
      </c>
      <c r="AK157" t="s">
        <v>1</v>
      </c>
      <c r="AL157">
        <v>6999999</v>
      </c>
      <c r="AM157" t="s">
        <v>59</v>
      </c>
      <c r="AN157">
        <v>9201</v>
      </c>
      <c r="AO157" t="s">
        <v>50</v>
      </c>
    </row>
    <row r="158" spans="1:41" x14ac:dyDescent="0.25">
      <c r="A158" t="str">
        <f>VLOOKUP(MONTH(N158),Sheet1!$A$2:$B$13,2,0)</f>
        <v>Nov</v>
      </c>
      <c r="B158" t="str">
        <f>IF(LEFT(AO158,1)="B","CAPEX",IF(LEFT(AO158,1)="C","STOCK",IF(MID(AO158,7,2)="JA","STAFF",IF(MID(AO158,7,1)="H","STAFF",IF(MID(AO158,7,1)="S","STAFF",IF(MID(AO158,7,2)="JV","LOG",IFERROR(VLOOKUP($AO158,[1]!Table14[[New Account Number]:[Filtro2]],9,0),VLOOKUP($AO158,[1]!Table14[[Old Account Number]:[Filtro2]],12,0))))))))</f>
        <v>Outras Despesas</v>
      </c>
      <c r="C158" t="str">
        <f>IF(LEFT(AO158,1)="B","CAPEX",IF(LEFT(AO158,1)="C","STOCK",IF(MID(AO158,7,2)="JA","STAFF",IF(MID(AO158,7,1)="H","STAFF",IF(MID(AO158,7,1)="S","STAFF",IF(MID(AO158,7,2)="JV","LOG",IFERROR(VLOOKUP($AO158,[1]!Table14[[New Account Number]:[Filtro2]],10,0),VLOOKUP($AO158,[1]!Table14[[Old Account Number]:[Filtro2]],13,0))))))))</f>
        <v>Total Outras Despesas Variáveis</v>
      </c>
      <c r="D158" t="s">
        <v>43</v>
      </c>
      <c r="E158" t="s">
        <v>2</v>
      </c>
      <c r="F158" t="s">
        <v>3</v>
      </c>
      <c r="G158">
        <v>14352</v>
      </c>
      <c r="H158" t="s">
        <v>0</v>
      </c>
      <c r="I158" t="s">
        <v>49</v>
      </c>
      <c r="J158" t="s">
        <v>124</v>
      </c>
      <c r="K158" t="s">
        <v>1</v>
      </c>
      <c r="L158">
        <v>4211333268</v>
      </c>
      <c r="M158">
        <v>9001689740</v>
      </c>
      <c r="N158" s="2">
        <v>45978</v>
      </c>
      <c r="O158" s="2">
        <v>46038</v>
      </c>
      <c r="P158">
        <v>265094.7</v>
      </c>
      <c r="Q158" s="2">
        <v>45986</v>
      </c>
      <c r="R158">
        <v>5001785057</v>
      </c>
      <c r="S158">
        <v>2025</v>
      </c>
      <c r="T158">
        <v>370036</v>
      </c>
      <c r="U158" t="s">
        <v>1</v>
      </c>
      <c r="V158" s="2"/>
      <c r="W158" t="s">
        <v>1</v>
      </c>
      <c r="AE158">
        <v>0</v>
      </c>
      <c r="AF158" t="s">
        <v>60</v>
      </c>
      <c r="AG158" t="s">
        <v>1</v>
      </c>
      <c r="AH158" t="s">
        <v>61</v>
      </c>
      <c r="AI158">
        <v>265094.7</v>
      </c>
      <c r="AJ158" t="s">
        <v>1</v>
      </c>
      <c r="AK158" t="s">
        <v>1</v>
      </c>
      <c r="AL158">
        <v>6000031</v>
      </c>
      <c r="AM158" t="s">
        <v>59</v>
      </c>
      <c r="AN158">
        <v>9201</v>
      </c>
      <c r="AO158" t="s">
        <v>147</v>
      </c>
    </row>
    <row r="159" spans="1:41" x14ac:dyDescent="0.25">
      <c r="A159" t="str">
        <f>VLOOKUP(MONTH(N159),Sheet1!$A$2:$B$13,2,0)</f>
        <v>Dez</v>
      </c>
      <c r="B159" t="str">
        <f>IF(LEFT(AO159,1)="B","CAPEX",IF(LEFT(AO159,1)="C","STOCK",IF(MID(AO159,7,2)="JA","STAFF",IF(MID(AO159,7,1)="H","STAFF",IF(MID(AO159,7,1)="S","STAFF",IF(MID(AO159,7,2)="JV","LOG",IFERROR(VLOOKUP($AO159,[1]!Table14[[New Account Number]:[Filtro2]],9,0),VLOOKUP($AO159,[1]!Table14[[Old Account Number]:[Filtro2]],12,0))))))))</f>
        <v>STAFF</v>
      </c>
      <c r="C159" t="str">
        <f>IF(LEFT(AO159,1)="B","CAPEX",IF(LEFT(AO159,1)="C","STOCK",IF(MID(AO159,7,2)="JA","STAFF",IF(MID(AO159,7,1)="H","STAFF",IF(MID(AO159,7,1)="S","STAFF",IF(MID(AO159,7,2)="JV","LOG",IFERROR(VLOOKUP($AO159,[1]!Table14[[New Account Number]:[Filtro2]],10,0),VLOOKUP($AO159,[1]!Table14[[Old Account Number]:[Filtro2]],13,0))))))))</f>
        <v>STAFF</v>
      </c>
      <c r="D159" t="s">
        <v>43</v>
      </c>
      <c r="E159" t="s">
        <v>2</v>
      </c>
      <c r="F159" t="s">
        <v>3</v>
      </c>
      <c r="G159">
        <v>35376</v>
      </c>
      <c r="H159" t="s">
        <v>0</v>
      </c>
      <c r="I159" t="s">
        <v>44</v>
      </c>
      <c r="J159" t="s">
        <v>303</v>
      </c>
      <c r="K159" t="s">
        <v>1</v>
      </c>
      <c r="L159">
        <v>4211327212</v>
      </c>
      <c r="M159">
        <v>9001678814</v>
      </c>
      <c r="N159" s="2">
        <v>46000</v>
      </c>
      <c r="O159" s="2">
        <v>46030</v>
      </c>
      <c r="P159">
        <v>3332.94</v>
      </c>
      <c r="Q159" s="2">
        <v>46000</v>
      </c>
      <c r="R159">
        <v>5001878544</v>
      </c>
      <c r="S159">
        <v>2025</v>
      </c>
      <c r="T159">
        <v>372559</v>
      </c>
      <c r="U159" t="s">
        <v>1</v>
      </c>
      <c r="V159" s="2"/>
      <c r="W159" t="s">
        <v>1</v>
      </c>
      <c r="AE159">
        <v>0</v>
      </c>
      <c r="AF159" t="s">
        <v>81</v>
      </c>
      <c r="AG159" t="s">
        <v>1</v>
      </c>
      <c r="AH159" t="s">
        <v>96</v>
      </c>
      <c r="AI159">
        <v>3332.94</v>
      </c>
      <c r="AJ159" t="s">
        <v>1</v>
      </c>
      <c r="AK159" t="s">
        <v>1</v>
      </c>
      <c r="AL159">
        <v>6999999</v>
      </c>
      <c r="AM159" t="s">
        <v>92</v>
      </c>
      <c r="AN159">
        <v>8240</v>
      </c>
      <c r="AO159" t="s">
        <v>309</v>
      </c>
    </row>
    <row r="160" spans="1:41" x14ac:dyDescent="0.25">
      <c r="A160" t="str">
        <f>VLOOKUP(MONTH(N160),Sheet1!$A$2:$B$13,2,0)</f>
        <v>Dez</v>
      </c>
      <c r="B160" t="str">
        <f>IF(LEFT(AO160,1)="B","CAPEX",IF(LEFT(AO160,1)="C","STOCK",IF(MID(AO160,7,2)="JA","STAFF",IF(MID(AO160,7,1)="H","STAFF",IF(MID(AO160,7,1)="S","STAFF",IF(MID(AO160,7,2)="JV","LOG",IFERROR(VLOOKUP($AO160,[1]!Table14[[New Account Number]:[Filtro2]],9,0),VLOOKUP($AO160,[1]!Table14[[Old Account Number]:[Filtro2]],12,0))))))))</f>
        <v>STAFF</v>
      </c>
      <c r="C160" t="str">
        <f>IF(LEFT(AO160,1)="B","CAPEX",IF(LEFT(AO160,1)="C","STOCK",IF(MID(AO160,7,2)="JA","STAFF",IF(MID(AO160,7,1)="H","STAFF",IF(MID(AO160,7,1)="S","STAFF",IF(MID(AO160,7,2)="JV","LOG",IFERROR(VLOOKUP($AO160,[1]!Table14[[New Account Number]:[Filtro2]],10,0),VLOOKUP($AO160,[1]!Table14[[Old Account Number]:[Filtro2]],13,0))))))))</f>
        <v>STAFF</v>
      </c>
      <c r="D160" t="s">
        <v>43</v>
      </c>
      <c r="E160" t="s">
        <v>2</v>
      </c>
      <c r="F160" t="s">
        <v>3</v>
      </c>
      <c r="G160">
        <v>21936</v>
      </c>
      <c r="H160" t="s">
        <v>0</v>
      </c>
      <c r="I160" t="s">
        <v>93</v>
      </c>
      <c r="J160" t="s">
        <v>143</v>
      </c>
      <c r="K160" t="s">
        <v>1</v>
      </c>
      <c r="L160">
        <v>4251304263</v>
      </c>
      <c r="M160">
        <v>2600470091</v>
      </c>
      <c r="N160" s="2">
        <v>46000</v>
      </c>
      <c r="O160" s="2">
        <v>46045</v>
      </c>
      <c r="P160">
        <v>2489.9699999999998</v>
      </c>
      <c r="Q160" s="2">
        <v>46000</v>
      </c>
      <c r="R160">
        <v>5001879983</v>
      </c>
      <c r="S160">
        <v>2025</v>
      </c>
      <c r="T160">
        <v>372574</v>
      </c>
      <c r="U160" t="s">
        <v>1</v>
      </c>
      <c r="V160" s="2"/>
      <c r="W160" t="s">
        <v>1</v>
      </c>
      <c r="AE160">
        <v>0</v>
      </c>
      <c r="AF160" t="s">
        <v>310</v>
      </c>
      <c r="AG160" t="s">
        <v>1</v>
      </c>
      <c r="AH160" t="s">
        <v>311</v>
      </c>
      <c r="AI160">
        <v>2489.9699999999998</v>
      </c>
      <c r="AJ160" t="s">
        <v>1</v>
      </c>
      <c r="AK160" t="s">
        <v>1</v>
      </c>
      <c r="AL160">
        <v>6000009</v>
      </c>
      <c r="AM160" t="s">
        <v>94</v>
      </c>
      <c r="AN160">
        <v>4726</v>
      </c>
      <c r="AO160" t="s">
        <v>312</v>
      </c>
    </row>
    <row r="161" spans="1:41" x14ac:dyDescent="0.25">
      <c r="A161" t="str">
        <f>VLOOKUP(MONTH(N161),Sheet1!$A$2:$B$13,2,0)</f>
        <v>Dez</v>
      </c>
      <c r="B161" t="str">
        <f>IF(LEFT(AO161,1)="B","CAPEX",IF(LEFT(AO161,1)="C","STOCK",IF(MID(AO161,7,2)="JA","STAFF",IF(MID(AO161,7,1)="H","STAFF",IF(MID(AO161,7,1)="S","STAFF",IF(MID(AO161,7,2)="JV","LOG",IFERROR(VLOOKUP($AO161,[1]!Table14[[New Account Number]:[Filtro2]],9,0),VLOOKUP($AO161,[1]!Table14[[Old Account Number]:[Filtro2]],12,0))))))))</f>
        <v>Serv.Prof.Prestados - Serviços</v>
      </c>
      <c r="C161" t="str">
        <f>IF(LEFT(AO161,1)="B","CAPEX",IF(LEFT(AO161,1)="C","STOCK",IF(MID(AO161,7,2)="JA","STAFF",IF(MID(AO161,7,1)="H","STAFF",IF(MID(AO161,7,1)="S","STAFF",IF(MID(AO161,7,2)="JV","LOG",IFERROR(VLOOKUP($AO161,[1]!Table14[[New Account Number]:[Filtro2]],10,0),VLOOKUP($AO161,[1]!Table14[[Old Account Number]:[Filtro2]],13,0))))))))</f>
        <v>Total Outras Despesas Fixas</v>
      </c>
      <c r="D161" t="s">
        <v>43</v>
      </c>
      <c r="E161" t="s">
        <v>2</v>
      </c>
      <c r="F161" t="s">
        <v>3</v>
      </c>
      <c r="G161">
        <v>22131</v>
      </c>
      <c r="H161" t="s">
        <v>0</v>
      </c>
      <c r="I161" t="s">
        <v>44</v>
      </c>
      <c r="J161" t="s">
        <v>313</v>
      </c>
      <c r="K161" t="s">
        <v>1</v>
      </c>
      <c r="L161">
        <v>4211332745</v>
      </c>
      <c r="M161">
        <v>9001569146</v>
      </c>
      <c r="N161" s="2">
        <v>46003</v>
      </c>
      <c r="O161" s="2">
        <v>46033</v>
      </c>
      <c r="P161">
        <v>12410.63</v>
      </c>
      <c r="Q161" s="2">
        <v>46003</v>
      </c>
      <c r="R161">
        <v>5001906052</v>
      </c>
      <c r="S161">
        <v>2025</v>
      </c>
      <c r="T161">
        <v>373341</v>
      </c>
      <c r="U161" t="s">
        <v>1</v>
      </c>
      <c r="V161" s="2"/>
      <c r="W161" t="s">
        <v>1</v>
      </c>
      <c r="AE161">
        <v>0</v>
      </c>
      <c r="AF161" t="s">
        <v>314</v>
      </c>
      <c r="AG161" t="s">
        <v>1</v>
      </c>
      <c r="AH161" t="s">
        <v>315</v>
      </c>
      <c r="AI161">
        <v>12410.63</v>
      </c>
      <c r="AJ161" t="s">
        <v>1</v>
      </c>
      <c r="AK161" t="s">
        <v>1</v>
      </c>
      <c r="AL161">
        <v>6999999</v>
      </c>
      <c r="AM161" t="s">
        <v>92</v>
      </c>
      <c r="AN161">
        <v>9035</v>
      </c>
      <c r="AO161" t="s">
        <v>53</v>
      </c>
    </row>
    <row r="162" spans="1:41" x14ac:dyDescent="0.25">
      <c r="A162" t="str">
        <f>VLOOKUP(MONTH(N162),Sheet1!$A$2:$B$13,2,0)</f>
        <v>Ago</v>
      </c>
      <c r="B162" t="str">
        <f>IF(LEFT(AO162,1)="B","CAPEX",IF(LEFT(AO162,1)="C","STOCK",IF(MID(AO162,7,2)="JA","STAFF",IF(MID(AO162,7,1)="H","STAFF",IF(MID(AO162,7,1)="S","STAFF",IF(MID(AO162,7,2)="JV","LOG",IFERROR(VLOOKUP($AO162,[1]!Table14[[New Account Number]:[Filtro2]],9,0),VLOOKUP($AO162,[1]!Table14[[Old Account Number]:[Filtro2]],12,0))))))))</f>
        <v>Manutenção Terceiros</v>
      </c>
      <c r="C162" t="str">
        <f>IF(LEFT(AO162,1)="B","CAPEX",IF(LEFT(AO162,1)="C","STOCK",IF(MID(AO162,7,2)="JA","STAFF",IF(MID(AO162,7,1)="H","STAFF",IF(MID(AO162,7,1)="S","STAFF",IF(MID(AO162,7,2)="JV","LOG",IFERROR(VLOOKUP($AO162,[1]!Table14[[New Account Number]:[Filtro2]],10,0),VLOOKUP($AO162,[1]!Table14[[Old Account Number]:[Filtro2]],13,0))))))))</f>
        <v>Total Manutenção Variável</v>
      </c>
      <c r="D162" t="s">
        <v>46</v>
      </c>
      <c r="E162" t="s">
        <v>47</v>
      </c>
      <c r="F162" t="s">
        <v>48</v>
      </c>
      <c r="G162">
        <v>15119</v>
      </c>
      <c r="H162" t="s">
        <v>0</v>
      </c>
      <c r="I162" t="s">
        <v>49</v>
      </c>
      <c r="J162" t="s">
        <v>130</v>
      </c>
      <c r="K162" t="s">
        <v>1</v>
      </c>
      <c r="L162">
        <v>4211308820</v>
      </c>
      <c r="M162">
        <v>2600465945</v>
      </c>
      <c r="N162" s="2">
        <v>45880</v>
      </c>
      <c r="O162" s="2">
        <v>45940</v>
      </c>
      <c r="P162">
        <v>5191.5</v>
      </c>
      <c r="Q162" s="2">
        <v>45880</v>
      </c>
      <c r="R162">
        <v>5001197539</v>
      </c>
      <c r="S162">
        <v>2025</v>
      </c>
      <c r="T162">
        <v>351643</v>
      </c>
      <c r="U162" t="s">
        <v>1</v>
      </c>
      <c r="V162" s="2">
        <v>46003</v>
      </c>
      <c r="W162" t="s">
        <v>182</v>
      </c>
      <c r="AA162">
        <v>5001902856</v>
      </c>
      <c r="AB162">
        <v>2025</v>
      </c>
      <c r="AC162">
        <v>9004035270</v>
      </c>
      <c r="AD162">
        <v>2025</v>
      </c>
      <c r="AE162">
        <v>10421159</v>
      </c>
      <c r="AF162" t="s">
        <v>81</v>
      </c>
      <c r="AG162" t="s">
        <v>181</v>
      </c>
      <c r="AH162" t="s">
        <v>96</v>
      </c>
      <c r="AI162">
        <v>0</v>
      </c>
      <c r="AJ162" t="s">
        <v>1</v>
      </c>
      <c r="AK162" t="s">
        <v>1</v>
      </c>
      <c r="AL162">
        <v>6999999</v>
      </c>
      <c r="AM162" t="s">
        <v>59</v>
      </c>
      <c r="AN162">
        <v>9013</v>
      </c>
      <c r="AO162" t="s">
        <v>50</v>
      </c>
    </row>
    <row r="163" spans="1:41" x14ac:dyDescent="0.25">
      <c r="A163" t="str">
        <f>VLOOKUP(MONTH(N163),Sheet1!$A$2:$B$13,2,0)</f>
        <v>Out</v>
      </c>
      <c r="B163" t="str">
        <f>IF(LEFT(AO163,1)="B","CAPEX",IF(LEFT(AO163,1)="C","STOCK",IF(MID(AO163,7,2)="JA","STAFF",IF(MID(AO163,7,1)="H","STAFF",IF(MID(AO163,7,1)="S","STAFF",IF(MID(AO163,7,2)="JV","LOG",IFERROR(VLOOKUP($AO163,[1]!Table14[[New Account Number]:[Filtro2]],9,0),VLOOKUP($AO163,[1]!Table14[[Old Account Number]:[Filtro2]],12,0))))))))</f>
        <v>Serv.Prof.Prestados - Serviços</v>
      </c>
      <c r="C163" t="str">
        <f>IF(LEFT(AO163,1)="B","CAPEX",IF(LEFT(AO163,1)="C","STOCK",IF(MID(AO163,7,2)="JA","STAFF",IF(MID(AO163,7,1)="H","STAFF",IF(MID(AO163,7,1)="S","STAFF",IF(MID(AO163,7,2)="JV","LOG",IFERROR(VLOOKUP($AO163,[1]!Table14[[New Account Number]:[Filtro2]],10,0),VLOOKUP($AO163,[1]!Table14[[Old Account Number]:[Filtro2]],13,0))))))))</f>
        <v>Total Outras Despesas Fixas</v>
      </c>
      <c r="D163" t="s">
        <v>43</v>
      </c>
      <c r="E163" t="s">
        <v>2</v>
      </c>
      <c r="F163" t="s">
        <v>3</v>
      </c>
      <c r="G163">
        <v>10663</v>
      </c>
      <c r="H163" t="s">
        <v>0</v>
      </c>
      <c r="I163" t="s">
        <v>44</v>
      </c>
      <c r="J163" t="s">
        <v>223</v>
      </c>
      <c r="K163" t="s">
        <v>1</v>
      </c>
      <c r="L163">
        <v>4211331198</v>
      </c>
      <c r="M163">
        <v>9001684418</v>
      </c>
      <c r="N163" s="2">
        <v>45950</v>
      </c>
      <c r="O163" s="2">
        <v>45950</v>
      </c>
      <c r="P163">
        <v>50000.9</v>
      </c>
      <c r="Q163" s="2">
        <v>45950</v>
      </c>
      <c r="R163">
        <v>5001799920</v>
      </c>
      <c r="S163">
        <v>2025</v>
      </c>
      <c r="T163">
        <v>363734</v>
      </c>
      <c r="U163" t="s">
        <v>1</v>
      </c>
      <c r="V163" s="2"/>
      <c r="W163" t="s">
        <v>1</v>
      </c>
      <c r="AE163">
        <v>0</v>
      </c>
      <c r="AF163" t="s">
        <v>216</v>
      </c>
      <c r="AG163" t="s">
        <v>1</v>
      </c>
      <c r="AH163" t="s">
        <v>217</v>
      </c>
      <c r="AI163">
        <v>50000.9</v>
      </c>
      <c r="AJ163" t="s">
        <v>1</v>
      </c>
      <c r="AK163" t="s">
        <v>1</v>
      </c>
      <c r="AL163">
        <v>6999999</v>
      </c>
      <c r="AM163" t="s">
        <v>92</v>
      </c>
      <c r="AN163">
        <v>2952</v>
      </c>
      <c r="AO163" t="s">
        <v>53</v>
      </c>
    </row>
    <row r="164" spans="1:41" x14ac:dyDescent="0.25">
      <c r="A164" t="str">
        <f>VLOOKUP(MONTH(N164),Sheet1!$A$2:$B$13,2,0)</f>
        <v>Out</v>
      </c>
      <c r="B164" t="str">
        <f>IF(LEFT(AO164,1)="B","CAPEX",IF(LEFT(AO164,1)="C","STOCK",IF(MID(AO164,7,2)="JA","STAFF",IF(MID(AO164,7,1)="H","STAFF",IF(MID(AO164,7,1)="S","STAFF",IF(MID(AO164,7,2)="JV","LOG",IFERROR(VLOOKUP($AO164,[1]!Table14[[New Account Number]:[Filtro2]],9,0),VLOOKUP($AO164,[1]!Table14[[Old Account Number]:[Filtro2]],12,0))))))))</f>
        <v>Manutenção Terceiros</v>
      </c>
      <c r="C164" t="str">
        <f>IF(LEFT(AO164,1)="B","CAPEX",IF(LEFT(AO164,1)="C","STOCK",IF(MID(AO164,7,2)="JA","STAFF",IF(MID(AO164,7,1)="H","STAFF",IF(MID(AO164,7,1)="S","STAFF",IF(MID(AO164,7,2)="JV","LOG",IFERROR(VLOOKUP($AO164,[1]!Table14[[New Account Number]:[Filtro2]],10,0),VLOOKUP($AO164,[1]!Table14[[Old Account Number]:[Filtro2]],13,0))))))))</f>
        <v>Total Manutenção Variável</v>
      </c>
      <c r="D164" t="s">
        <v>43</v>
      </c>
      <c r="E164" t="s">
        <v>2</v>
      </c>
      <c r="F164" t="s">
        <v>3</v>
      </c>
      <c r="G164">
        <v>646</v>
      </c>
      <c r="H164" t="s">
        <v>0</v>
      </c>
      <c r="I164" t="s">
        <v>49</v>
      </c>
      <c r="J164" t="s">
        <v>98</v>
      </c>
      <c r="K164" t="s">
        <v>1</v>
      </c>
      <c r="L164">
        <v>4211328675</v>
      </c>
      <c r="M164">
        <v>2600468354</v>
      </c>
      <c r="N164" s="2">
        <v>45950</v>
      </c>
      <c r="O164" s="2">
        <v>46010</v>
      </c>
      <c r="P164">
        <v>10050</v>
      </c>
      <c r="Q164" s="2">
        <v>45950</v>
      </c>
      <c r="R164">
        <v>5001508593</v>
      </c>
      <c r="S164">
        <v>2025</v>
      </c>
      <c r="T164">
        <v>363743</v>
      </c>
      <c r="U164" t="s">
        <v>1</v>
      </c>
      <c r="V164" s="2"/>
      <c r="W164" t="s">
        <v>1</v>
      </c>
      <c r="AE164">
        <v>0</v>
      </c>
      <c r="AF164" t="s">
        <v>81</v>
      </c>
      <c r="AG164" t="s">
        <v>1</v>
      </c>
      <c r="AH164" t="s">
        <v>96</v>
      </c>
      <c r="AI164">
        <v>10050</v>
      </c>
      <c r="AJ164" t="s">
        <v>1</v>
      </c>
      <c r="AK164" t="s">
        <v>1</v>
      </c>
      <c r="AL164">
        <v>6999999</v>
      </c>
      <c r="AM164" t="s">
        <v>59</v>
      </c>
      <c r="AN164">
        <v>9203</v>
      </c>
      <c r="AO164" t="s">
        <v>50</v>
      </c>
    </row>
    <row r="165" spans="1:41" x14ac:dyDescent="0.25">
      <c r="A165" t="str">
        <f>VLOOKUP(MONTH(N165),Sheet1!$A$2:$B$13,2,0)</f>
        <v>Nov</v>
      </c>
      <c r="B165" t="str">
        <f>IF(LEFT(AO165,1)="B","CAPEX",IF(LEFT(AO165,1)="C","STOCK",IF(MID(AO165,7,2)="JA","STAFF",IF(MID(AO165,7,1)="H","STAFF",IF(MID(AO165,7,1)="S","STAFF",IF(MID(AO165,7,2)="JV","LOG",IFERROR(VLOOKUP($AO165,[1]!Table14[[New Account Number]:[Filtro2]],9,0),VLOOKUP($AO165,[1]!Table14[[Old Account Number]:[Filtro2]],12,0))))))))</f>
        <v>Manutenção Terceiros</v>
      </c>
      <c r="C165" t="str">
        <f>IF(LEFT(AO165,1)="B","CAPEX",IF(LEFT(AO165,1)="C","STOCK",IF(MID(AO165,7,2)="JA","STAFF",IF(MID(AO165,7,1)="H","STAFF",IF(MID(AO165,7,1)="S","STAFF",IF(MID(AO165,7,2)="JV","LOG",IFERROR(VLOOKUP($AO165,[1]!Table14[[New Account Number]:[Filtro2]],10,0),VLOOKUP($AO165,[1]!Table14[[Old Account Number]:[Filtro2]],13,0))))))))</f>
        <v>Total Manutenção Variável</v>
      </c>
      <c r="D165" t="s">
        <v>43</v>
      </c>
      <c r="E165" t="s">
        <v>2</v>
      </c>
      <c r="F165" t="s">
        <v>3</v>
      </c>
      <c r="G165">
        <v>1038</v>
      </c>
      <c r="H165" t="s">
        <v>0</v>
      </c>
      <c r="I165" t="s">
        <v>97</v>
      </c>
      <c r="J165" t="s">
        <v>203</v>
      </c>
      <c r="K165" t="s">
        <v>1</v>
      </c>
      <c r="L165">
        <v>4211324028</v>
      </c>
      <c r="M165">
        <v>2600469395</v>
      </c>
      <c r="N165" s="2">
        <v>45974</v>
      </c>
      <c r="O165" s="2">
        <v>46034</v>
      </c>
      <c r="P165">
        <v>3400</v>
      </c>
      <c r="Q165" s="2">
        <v>45975</v>
      </c>
      <c r="R165">
        <v>5001698399</v>
      </c>
      <c r="S165">
        <v>2025</v>
      </c>
      <c r="T165">
        <v>368363</v>
      </c>
      <c r="U165" t="s">
        <v>1</v>
      </c>
      <c r="V165" s="2"/>
      <c r="W165" t="s">
        <v>1</v>
      </c>
      <c r="AE165">
        <v>0</v>
      </c>
      <c r="AF165" t="s">
        <v>166</v>
      </c>
      <c r="AG165" t="s">
        <v>1</v>
      </c>
      <c r="AH165" t="s">
        <v>1</v>
      </c>
      <c r="AI165">
        <v>3400</v>
      </c>
      <c r="AJ165" t="s">
        <v>1</v>
      </c>
      <c r="AK165" t="s">
        <v>1</v>
      </c>
      <c r="AL165">
        <v>6999999</v>
      </c>
      <c r="AM165" t="s">
        <v>59</v>
      </c>
      <c r="AN165">
        <v>9203</v>
      </c>
      <c r="AO165" t="s">
        <v>50</v>
      </c>
    </row>
    <row r="166" spans="1:41" x14ac:dyDescent="0.25">
      <c r="A166" t="str">
        <f>VLOOKUP(MONTH(N166),Sheet1!$A$2:$B$13,2,0)</f>
        <v>Nov</v>
      </c>
      <c r="B166" t="str">
        <f>IF(LEFT(AO166,1)="B","CAPEX",IF(LEFT(AO166,1)="C","STOCK",IF(MID(AO166,7,2)="JA","STAFF",IF(MID(AO166,7,1)="H","STAFF",IF(MID(AO166,7,1)="S","STAFF",IF(MID(AO166,7,2)="JV","LOG",IFERROR(VLOOKUP($AO166,[1]!Table14[[New Account Number]:[Filtro2]],9,0),VLOOKUP($AO166,[1]!Table14[[Old Account Number]:[Filtro2]],12,0))))))))</f>
        <v>Limpeza Por Terceiros</v>
      </c>
      <c r="C166" t="str">
        <f>IF(LEFT(AO166,1)="B","CAPEX",IF(LEFT(AO166,1)="C","STOCK",IF(MID(AO166,7,2)="JA","STAFF",IF(MID(AO166,7,1)="H","STAFF",IF(MID(AO166,7,1)="S","STAFF",IF(MID(AO166,7,2)="JV","LOG",IFERROR(VLOOKUP($AO166,[1]!Table14[[New Account Number]:[Filtro2]],10,0),VLOOKUP($AO166,[1]!Table14[[Old Account Number]:[Filtro2]],13,0))))))))</f>
        <v>Total Outras Despesas Fixas</v>
      </c>
      <c r="D166" t="s">
        <v>43</v>
      </c>
      <c r="E166" t="s">
        <v>2</v>
      </c>
      <c r="F166" t="s">
        <v>3</v>
      </c>
      <c r="G166">
        <v>225633</v>
      </c>
      <c r="H166" t="s">
        <v>0</v>
      </c>
      <c r="I166" t="s">
        <v>49</v>
      </c>
      <c r="J166" t="s">
        <v>200</v>
      </c>
      <c r="K166" t="s">
        <v>1</v>
      </c>
      <c r="L166">
        <v>4211302912</v>
      </c>
      <c r="M166">
        <v>9001689724</v>
      </c>
      <c r="N166" s="2">
        <v>45979</v>
      </c>
      <c r="O166" s="2">
        <v>46039</v>
      </c>
      <c r="P166">
        <v>403712.61</v>
      </c>
      <c r="Q166" s="2">
        <v>45979</v>
      </c>
      <c r="R166">
        <v>5001729011</v>
      </c>
      <c r="S166">
        <v>2025</v>
      </c>
      <c r="T166">
        <v>368733</v>
      </c>
      <c r="U166" t="s">
        <v>1</v>
      </c>
      <c r="V166" s="2"/>
      <c r="W166" t="s">
        <v>1</v>
      </c>
      <c r="AE166">
        <v>0</v>
      </c>
      <c r="AF166" t="s">
        <v>60</v>
      </c>
      <c r="AG166" t="s">
        <v>1</v>
      </c>
      <c r="AH166" t="s">
        <v>61</v>
      </c>
      <c r="AI166">
        <v>403712.61</v>
      </c>
      <c r="AJ166" t="s">
        <v>1</v>
      </c>
      <c r="AK166" t="s">
        <v>1</v>
      </c>
      <c r="AL166">
        <v>6000001</v>
      </c>
      <c r="AM166" t="s">
        <v>59</v>
      </c>
      <c r="AN166">
        <v>9000</v>
      </c>
      <c r="AO166" t="s">
        <v>122</v>
      </c>
    </row>
    <row r="167" spans="1:41" x14ac:dyDescent="0.25">
      <c r="A167" t="str">
        <f>VLOOKUP(MONTH(N167),Sheet1!$A$2:$B$13,2,0)</f>
        <v>Nov</v>
      </c>
      <c r="B167" t="str">
        <f>IF(LEFT(AO167,1)="B","CAPEX",IF(LEFT(AO167,1)="C","STOCK",IF(MID(AO167,7,2)="JA","STAFF",IF(MID(AO167,7,1)="H","STAFF",IF(MID(AO167,7,1)="S","STAFF",IF(MID(AO167,7,2)="JV","LOG",IFERROR(VLOOKUP($AO167,[1]!Table14[[New Account Number]:[Filtro2]],9,0),VLOOKUP($AO167,[1]!Table14[[Old Account Number]:[Filtro2]],12,0))))))))</f>
        <v>Outras Despesas</v>
      </c>
      <c r="C167" t="str">
        <f>IF(LEFT(AO167,1)="B","CAPEX",IF(LEFT(AO167,1)="C","STOCK",IF(MID(AO167,7,2)="JA","STAFF",IF(MID(AO167,7,1)="H","STAFF",IF(MID(AO167,7,1)="S","STAFF",IF(MID(AO167,7,2)="JV","LOG",IFERROR(VLOOKUP($AO167,[1]!Table14[[New Account Number]:[Filtro2]],10,0),VLOOKUP($AO167,[1]!Table14[[Old Account Number]:[Filtro2]],13,0))))))))</f>
        <v>Total Outras Despesas Variáveis</v>
      </c>
      <c r="D167" t="s">
        <v>46</v>
      </c>
      <c r="E167" t="s">
        <v>47</v>
      </c>
      <c r="F167" t="s">
        <v>48</v>
      </c>
      <c r="G167">
        <v>14354</v>
      </c>
      <c r="H167" t="s">
        <v>0</v>
      </c>
      <c r="I167" t="s">
        <v>220</v>
      </c>
      <c r="J167" t="s">
        <v>124</v>
      </c>
      <c r="K167" t="s">
        <v>1</v>
      </c>
      <c r="L167">
        <v>4211333268</v>
      </c>
      <c r="M167">
        <v>9001689739</v>
      </c>
      <c r="N167" s="2">
        <v>45978</v>
      </c>
      <c r="O167" s="2">
        <v>46038</v>
      </c>
      <c r="P167">
        <v>265094.7</v>
      </c>
      <c r="Q167" s="2">
        <v>45986</v>
      </c>
      <c r="R167">
        <v>5001786160</v>
      </c>
      <c r="S167">
        <v>2025</v>
      </c>
      <c r="T167">
        <v>370039</v>
      </c>
      <c r="U167" t="s">
        <v>1</v>
      </c>
      <c r="V167" s="2">
        <v>45988</v>
      </c>
      <c r="W167" t="s">
        <v>221</v>
      </c>
      <c r="AA167">
        <v>5001800263</v>
      </c>
      <c r="AB167">
        <v>2025</v>
      </c>
      <c r="AC167">
        <v>9004028983</v>
      </c>
      <c r="AD167">
        <v>2025</v>
      </c>
      <c r="AE167">
        <v>10406648</v>
      </c>
      <c r="AF167" t="s">
        <v>222</v>
      </c>
      <c r="AG167" t="s">
        <v>222</v>
      </c>
      <c r="AH167" t="s">
        <v>1</v>
      </c>
      <c r="AI167">
        <v>0</v>
      </c>
      <c r="AJ167" t="s">
        <v>1</v>
      </c>
      <c r="AK167" t="s">
        <v>1</v>
      </c>
      <c r="AL167">
        <v>6000031</v>
      </c>
      <c r="AM167" t="s">
        <v>1</v>
      </c>
      <c r="AN167">
        <v>9201</v>
      </c>
      <c r="AO167" t="s">
        <v>147</v>
      </c>
    </row>
    <row r="168" spans="1:41" x14ac:dyDescent="0.25">
      <c r="A168" t="str">
        <f>VLOOKUP(MONTH(N168),Sheet1!$A$2:$B$13,2,0)</f>
        <v>Nov</v>
      </c>
      <c r="B168" t="str">
        <f>IF(LEFT(AO168,1)="B","CAPEX",IF(LEFT(AO168,1)="C","STOCK",IF(MID(AO168,7,2)="JA","STAFF",IF(MID(AO168,7,1)="H","STAFF",IF(MID(AO168,7,1)="S","STAFF",IF(MID(AO168,7,2)="JV","LOG",IFERROR(VLOOKUP($AO168,[1]!Table14[[New Account Number]:[Filtro2]],9,0),VLOOKUP($AO168,[1]!Table14[[Old Account Number]:[Filtro2]],12,0))))))))</f>
        <v>Outras Despesas</v>
      </c>
      <c r="C168" t="str">
        <f>IF(LEFT(AO168,1)="B","CAPEX",IF(LEFT(AO168,1)="C","STOCK",IF(MID(AO168,7,2)="JA","STAFF",IF(MID(AO168,7,1)="H","STAFF",IF(MID(AO168,7,1)="S","STAFF",IF(MID(AO168,7,2)="JV","LOG",IFERROR(VLOOKUP($AO168,[1]!Table14[[New Account Number]:[Filtro2]],10,0),VLOOKUP($AO168,[1]!Table14[[Old Account Number]:[Filtro2]],13,0))))))))</f>
        <v>Total Outras Despesas Variáveis</v>
      </c>
      <c r="D168" t="s">
        <v>43</v>
      </c>
      <c r="E168" t="s">
        <v>2</v>
      </c>
      <c r="F168" t="s">
        <v>3</v>
      </c>
      <c r="G168">
        <v>14346</v>
      </c>
      <c r="H168" t="s">
        <v>0</v>
      </c>
      <c r="I168" t="s">
        <v>49</v>
      </c>
      <c r="J168" t="s">
        <v>124</v>
      </c>
      <c r="K168" t="s">
        <v>1</v>
      </c>
      <c r="L168">
        <v>4211333268</v>
      </c>
      <c r="M168">
        <v>9001689740</v>
      </c>
      <c r="N168" s="2">
        <v>45978</v>
      </c>
      <c r="O168" s="2">
        <v>46038</v>
      </c>
      <c r="P168">
        <v>265094.7</v>
      </c>
      <c r="Q168" s="2">
        <v>45986</v>
      </c>
      <c r="R168">
        <v>5001786161</v>
      </c>
      <c r="S168">
        <v>2025</v>
      </c>
      <c r="T168">
        <v>370041</v>
      </c>
      <c r="U168" t="s">
        <v>1</v>
      </c>
      <c r="V168" s="2"/>
      <c r="W168" t="s">
        <v>1</v>
      </c>
      <c r="AE168">
        <v>0</v>
      </c>
      <c r="AF168" t="s">
        <v>60</v>
      </c>
      <c r="AG168" t="s">
        <v>1</v>
      </c>
      <c r="AH168" t="s">
        <v>61</v>
      </c>
      <c r="AI168">
        <v>265094.7</v>
      </c>
      <c r="AJ168" t="s">
        <v>1</v>
      </c>
      <c r="AK168" t="s">
        <v>1</v>
      </c>
      <c r="AL168">
        <v>6000031</v>
      </c>
      <c r="AM168" t="s">
        <v>59</v>
      </c>
      <c r="AN168">
        <v>9201</v>
      </c>
      <c r="AO168" t="s">
        <v>147</v>
      </c>
    </row>
    <row r="169" spans="1:41" x14ac:dyDescent="0.25">
      <c r="A169" t="str">
        <f>VLOOKUP(MONTH(N169),Sheet1!$A$2:$B$13,2,0)</f>
        <v>Dez</v>
      </c>
      <c r="B169" t="str">
        <f>IF(LEFT(AO169,1)="B","CAPEX",IF(LEFT(AO169,1)="C","STOCK",IF(MID(AO169,7,2)="JA","STAFF",IF(MID(AO169,7,1)="H","STAFF",IF(MID(AO169,7,1)="S","STAFF",IF(MID(AO169,7,2)="JV","LOG",IFERROR(VLOOKUP($AO169,[1]!Table14[[New Account Number]:[Filtro2]],9,0),VLOOKUP($AO169,[1]!Table14[[Old Account Number]:[Filtro2]],12,0))))))))</f>
        <v>CAPEX</v>
      </c>
      <c r="C169" t="str">
        <f>IF(LEFT(AO169,1)="B","CAPEX",IF(LEFT(AO169,1)="C","STOCK",IF(MID(AO169,7,2)="JA","STAFF",IF(MID(AO169,7,1)="H","STAFF",IF(MID(AO169,7,1)="S","STAFF",IF(MID(AO169,7,2)="JV","LOG",IFERROR(VLOOKUP($AO169,[1]!Table14[[New Account Number]:[Filtro2]],10,0),VLOOKUP($AO169,[1]!Table14[[Old Account Number]:[Filtro2]],13,0))))))))</f>
        <v>CAPEX</v>
      </c>
      <c r="D169" t="s">
        <v>46</v>
      </c>
      <c r="E169" t="s">
        <v>47</v>
      </c>
      <c r="F169" t="s">
        <v>48</v>
      </c>
      <c r="G169">
        <v>62</v>
      </c>
      <c r="H169" t="s">
        <v>0</v>
      </c>
      <c r="I169" t="s">
        <v>58</v>
      </c>
      <c r="J169" t="s">
        <v>205</v>
      </c>
      <c r="K169" t="s">
        <v>1</v>
      </c>
      <c r="L169">
        <v>4211333386</v>
      </c>
      <c r="M169">
        <v>9001694774</v>
      </c>
      <c r="N169" s="2">
        <v>45995</v>
      </c>
      <c r="O169" s="2">
        <v>46055</v>
      </c>
      <c r="P169">
        <v>12320</v>
      </c>
      <c r="Q169" s="2">
        <v>45995</v>
      </c>
      <c r="R169">
        <v>5001857889</v>
      </c>
      <c r="S169">
        <v>2025</v>
      </c>
      <c r="T169">
        <v>371616</v>
      </c>
      <c r="U169" t="s">
        <v>1</v>
      </c>
      <c r="V169" s="2">
        <v>45996</v>
      </c>
      <c r="W169" t="s">
        <v>233</v>
      </c>
      <c r="AA169">
        <v>5001862272</v>
      </c>
      <c r="AB169">
        <v>2025</v>
      </c>
      <c r="AC169">
        <v>9004034650</v>
      </c>
      <c r="AD169">
        <v>2025</v>
      </c>
      <c r="AE169">
        <v>10419629</v>
      </c>
      <c r="AF169" t="s">
        <v>234</v>
      </c>
      <c r="AG169" t="s">
        <v>234</v>
      </c>
      <c r="AH169" t="s">
        <v>1</v>
      </c>
      <c r="AI169">
        <v>0</v>
      </c>
      <c r="AJ169" t="s">
        <v>1</v>
      </c>
      <c r="AK169" t="s">
        <v>1</v>
      </c>
      <c r="AL169">
        <v>6999999</v>
      </c>
      <c r="AM169" t="s">
        <v>59</v>
      </c>
      <c r="AO169" t="s">
        <v>121</v>
      </c>
    </row>
    <row r="170" spans="1:41" x14ac:dyDescent="0.25">
      <c r="A170" t="str">
        <f>VLOOKUP(MONTH(N170),Sheet1!$A$2:$B$13,2,0)</f>
        <v>Ago</v>
      </c>
      <c r="B170" t="str">
        <f>IF(LEFT(AO170,1)="B","CAPEX",IF(LEFT(AO170,1)="C","STOCK",IF(MID(AO170,7,2)="JA","STAFF",IF(MID(AO170,7,1)="H","STAFF",IF(MID(AO170,7,1)="S","STAFF",IF(MID(AO170,7,2)="JV","LOG",IFERROR(VLOOKUP($AO170,[1]!Table14[[New Account Number]:[Filtro2]],9,0),VLOOKUP($AO170,[1]!Table14[[Old Account Number]:[Filtro2]],12,0))))))))</f>
        <v>Aluguéis</v>
      </c>
      <c r="C170" t="str">
        <f>IF(LEFT(AO170,1)="B","CAPEX",IF(LEFT(AO170,1)="C","STOCK",IF(MID(AO170,7,2)="JA","STAFF",IF(MID(AO170,7,1)="H","STAFF",IF(MID(AO170,7,1)="S","STAFF",IF(MID(AO170,7,2)="JV","LOG",IFERROR(VLOOKUP($AO170,[1]!Table14[[New Account Number]:[Filtro2]],10,0),VLOOKUP($AO170,[1]!Table14[[Old Account Number]:[Filtro2]],13,0))))))))</f>
        <v>Total Outras Despesas Fixas</v>
      </c>
      <c r="D170" t="s">
        <v>43</v>
      </c>
      <c r="E170" t="s">
        <v>2</v>
      </c>
      <c r="F170" t="s">
        <v>3</v>
      </c>
      <c r="G170">
        <v>8637</v>
      </c>
      <c r="H170" t="s">
        <v>0</v>
      </c>
      <c r="I170" t="s">
        <v>57</v>
      </c>
      <c r="J170" t="s">
        <v>158</v>
      </c>
      <c r="K170" t="s">
        <v>1</v>
      </c>
      <c r="L170">
        <v>4211326362</v>
      </c>
      <c r="M170">
        <v>9001674982</v>
      </c>
      <c r="N170" s="2">
        <v>45884</v>
      </c>
      <c r="O170" s="2">
        <v>45974</v>
      </c>
      <c r="P170">
        <v>8822.6299999999992</v>
      </c>
      <c r="Q170" s="2">
        <v>45950</v>
      </c>
      <c r="R170">
        <v>5001502909</v>
      </c>
      <c r="S170">
        <v>2025</v>
      </c>
      <c r="T170">
        <v>363708</v>
      </c>
      <c r="U170" t="s">
        <v>1</v>
      </c>
      <c r="V170" s="2"/>
      <c r="W170" t="s">
        <v>1</v>
      </c>
      <c r="AE170">
        <v>0</v>
      </c>
      <c r="AF170" t="s">
        <v>87</v>
      </c>
      <c r="AG170" t="s">
        <v>1</v>
      </c>
      <c r="AH170" t="s">
        <v>1</v>
      </c>
      <c r="AI170">
        <v>8822.6299999999992</v>
      </c>
      <c r="AJ170" t="s">
        <v>1</v>
      </c>
      <c r="AK170" t="s">
        <v>120</v>
      </c>
      <c r="AL170">
        <v>6999999</v>
      </c>
      <c r="AM170" t="s">
        <v>59</v>
      </c>
      <c r="AN170">
        <v>9000</v>
      </c>
      <c r="AO170" t="s">
        <v>54</v>
      </c>
    </row>
    <row r="171" spans="1:41" x14ac:dyDescent="0.25">
      <c r="A171" t="str">
        <f>VLOOKUP(MONTH(N171),Sheet1!$A$2:$B$13,2,0)</f>
        <v>Out</v>
      </c>
      <c r="B171" t="str">
        <f>IF(LEFT(AO171,1)="B","CAPEX",IF(LEFT(AO171,1)="C","STOCK",IF(MID(AO171,7,2)="JA","STAFF",IF(MID(AO171,7,1)="H","STAFF",IF(MID(AO171,7,1)="S","STAFF",IF(MID(AO171,7,2)="JV","LOG",IFERROR(VLOOKUP($AO171,[1]!Table14[[New Account Number]:[Filtro2]],9,0),VLOOKUP($AO171,[1]!Table14[[Old Account Number]:[Filtro2]],12,0))))))))</f>
        <v>Treinamento</v>
      </c>
      <c r="C171" t="str">
        <f>IF(LEFT(AO171,1)="B","CAPEX",IF(LEFT(AO171,1)="C","STOCK",IF(MID(AO171,7,2)="JA","STAFF",IF(MID(AO171,7,1)="H","STAFF",IF(MID(AO171,7,1)="S","STAFF",IF(MID(AO171,7,2)="JV","LOG",IFERROR(VLOOKUP($AO171,[1]!Table14[[New Account Number]:[Filtro2]],10,0),VLOOKUP($AO171,[1]!Table14[[Old Account Number]:[Filtro2]],13,0))))))))</f>
        <v>Total Outras Despesas Fixas</v>
      </c>
      <c r="D171" t="s">
        <v>43</v>
      </c>
      <c r="E171" t="s">
        <v>2</v>
      </c>
      <c r="F171" t="s">
        <v>3</v>
      </c>
      <c r="G171">
        <v>14836</v>
      </c>
      <c r="H171" t="s">
        <v>0</v>
      </c>
      <c r="I171" t="s">
        <v>44</v>
      </c>
      <c r="J171" t="s">
        <v>215</v>
      </c>
      <c r="K171" t="s">
        <v>1</v>
      </c>
      <c r="L171">
        <v>4211301849</v>
      </c>
      <c r="M171">
        <v>9001683832</v>
      </c>
      <c r="N171" s="2">
        <v>45951</v>
      </c>
      <c r="O171" s="2">
        <v>46011</v>
      </c>
      <c r="P171">
        <v>8400</v>
      </c>
      <c r="Q171" s="2">
        <v>45951</v>
      </c>
      <c r="R171">
        <v>5001799922</v>
      </c>
      <c r="S171">
        <v>2025</v>
      </c>
      <c r="T171">
        <v>364052</v>
      </c>
      <c r="U171" t="s">
        <v>1</v>
      </c>
      <c r="V171" s="2"/>
      <c r="W171" t="s">
        <v>1</v>
      </c>
      <c r="AE171">
        <v>0</v>
      </c>
      <c r="AF171" t="s">
        <v>216</v>
      </c>
      <c r="AG171" t="s">
        <v>1</v>
      </c>
      <c r="AH171" t="s">
        <v>217</v>
      </c>
      <c r="AI171">
        <v>8400</v>
      </c>
      <c r="AJ171" t="s">
        <v>1</v>
      </c>
      <c r="AK171" t="s">
        <v>1</v>
      </c>
      <c r="AL171">
        <v>6999999</v>
      </c>
      <c r="AM171" t="s">
        <v>92</v>
      </c>
      <c r="AN171">
        <v>2952</v>
      </c>
      <c r="AO171" t="s">
        <v>218</v>
      </c>
    </row>
    <row r="172" spans="1:41" x14ac:dyDescent="0.25">
      <c r="A172" t="str">
        <f>VLOOKUP(MONTH(N172),Sheet1!$A$2:$B$13,2,0)</f>
        <v>Nov</v>
      </c>
      <c r="B172" t="str">
        <f>IF(LEFT(AO172,1)="B","CAPEX",IF(LEFT(AO172,1)="C","STOCK",IF(MID(AO172,7,2)="JA","STAFF",IF(MID(AO172,7,1)="H","STAFF",IF(MID(AO172,7,1)="S","STAFF",IF(MID(AO172,7,2)="JV","LOG",IFERROR(VLOOKUP($AO172,[1]!Table14[[New Account Number]:[Filtro2]],9,0),VLOOKUP($AO172,[1]!Table14[[Old Account Number]:[Filtro2]],12,0))))))))</f>
        <v>Aluguéis</v>
      </c>
      <c r="C172" t="str">
        <f>IF(LEFT(AO172,1)="B","CAPEX",IF(LEFT(AO172,1)="C","STOCK",IF(MID(AO172,7,2)="JA","STAFF",IF(MID(AO172,7,1)="H","STAFF",IF(MID(AO172,7,1)="S","STAFF",IF(MID(AO172,7,2)="JV","LOG",IFERROR(VLOOKUP($AO172,[1]!Table14[[New Account Number]:[Filtro2]],10,0),VLOOKUP($AO172,[1]!Table14[[Old Account Number]:[Filtro2]],13,0))))))))</f>
        <v>Total Outras Despesas Fixas</v>
      </c>
      <c r="D172" t="s">
        <v>43</v>
      </c>
      <c r="E172" t="s">
        <v>2</v>
      </c>
      <c r="F172" t="s">
        <v>3</v>
      </c>
      <c r="G172">
        <v>9174</v>
      </c>
      <c r="H172" t="s">
        <v>0</v>
      </c>
      <c r="I172" t="s">
        <v>49</v>
      </c>
      <c r="J172" t="s">
        <v>158</v>
      </c>
      <c r="K172" t="s">
        <v>1</v>
      </c>
      <c r="L172">
        <v>4211326362</v>
      </c>
      <c r="M172">
        <v>9001689276</v>
      </c>
      <c r="N172" s="2">
        <v>45976</v>
      </c>
      <c r="O172" s="2">
        <v>46066</v>
      </c>
      <c r="P172">
        <v>27903.39</v>
      </c>
      <c r="Q172" s="2">
        <v>45978</v>
      </c>
      <c r="R172">
        <v>5001714369</v>
      </c>
      <c r="S172">
        <v>2025</v>
      </c>
      <c r="T172">
        <v>368574</v>
      </c>
      <c r="U172" t="s">
        <v>1</v>
      </c>
      <c r="V172" s="2"/>
      <c r="W172" t="s">
        <v>1</v>
      </c>
      <c r="AE172">
        <v>0</v>
      </c>
      <c r="AF172" t="s">
        <v>144</v>
      </c>
      <c r="AG172" t="s">
        <v>1</v>
      </c>
      <c r="AH172" t="s">
        <v>145</v>
      </c>
      <c r="AI172">
        <v>27903.39</v>
      </c>
      <c r="AJ172" t="s">
        <v>1</v>
      </c>
      <c r="AK172" t="s">
        <v>1</v>
      </c>
      <c r="AL172">
        <v>6999999</v>
      </c>
      <c r="AM172" t="s">
        <v>59</v>
      </c>
      <c r="AN172">
        <v>9000</v>
      </c>
      <c r="AO172" t="s">
        <v>146</v>
      </c>
    </row>
    <row r="173" spans="1:41" x14ac:dyDescent="0.25">
      <c r="A173" t="str">
        <f>VLOOKUP(MONTH(N173),Sheet1!$A$2:$B$13,2,0)</f>
        <v>Out</v>
      </c>
      <c r="B173" t="str">
        <f>IF(LEFT(AO173,1)="B","CAPEX",IF(LEFT(AO173,1)="C","STOCK",IF(MID(AO173,7,2)="JA","STAFF",IF(MID(AO173,7,1)="H","STAFF",IF(MID(AO173,7,1)="S","STAFF",IF(MID(AO173,7,2)="JV","LOG",IFERROR(VLOOKUP($AO173,[1]!Table14[[New Account Number]:[Filtro2]],9,0),VLOOKUP($AO173,[1]!Table14[[Old Account Number]:[Filtro2]],12,0))))))))</f>
        <v>Manutenção Terceiros</v>
      </c>
      <c r="C173" t="str">
        <f>IF(LEFT(AO173,1)="B","CAPEX",IF(LEFT(AO173,1)="C","STOCK",IF(MID(AO173,7,2)="JA","STAFF",IF(MID(AO173,7,1)="H","STAFF",IF(MID(AO173,7,1)="S","STAFF",IF(MID(AO173,7,2)="JV","LOG",IFERROR(VLOOKUP($AO173,[1]!Table14[[New Account Number]:[Filtro2]],10,0),VLOOKUP($AO173,[1]!Table14[[Old Account Number]:[Filtro2]],13,0))))))))</f>
        <v>Total Manutenção Variável</v>
      </c>
      <c r="D173" t="s">
        <v>43</v>
      </c>
      <c r="E173" t="s">
        <v>2</v>
      </c>
      <c r="F173" t="s">
        <v>3</v>
      </c>
      <c r="G173">
        <v>94</v>
      </c>
      <c r="H173" t="s">
        <v>0</v>
      </c>
      <c r="I173" t="s">
        <v>49</v>
      </c>
      <c r="J173" t="s">
        <v>107</v>
      </c>
      <c r="K173" t="s">
        <v>1</v>
      </c>
      <c r="L173">
        <v>4211318663</v>
      </c>
      <c r="M173">
        <v>2600469016</v>
      </c>
      <c r="N173" s="2">
        <v>45953</v>
      </c>
      <c r="O173" s="2">
        <v>46013</v>
      </c>
      <c r="P173">
        <v>5846.5</v>
      </c>
      <c r="Q173" s="2">
        <v>45953</v>
      </c>
      <c r="R173">
        <v>5001537161</v>
      </c>
      <c r="S173">
        <v>2025</v>
      </c>
      <c r="T173">
        <v>364456</v>
      </c>
      <c r="U173" t="s">
        <v>1</v>
      </c>
      <c r="V173" s="2"/>
      <c r="W173" t="s">
        <v>1</v>
      </c>
      <c r="AE173">
        <v>0</v>
      </c>
      <c r="AF173" t="s">
        <v>87</v>
      </c>
      <c r="AG173" t="s">
        <v>1</v>
      </c>
      <c r="AH173" t="s">
        <v>1</v>
      </c>
      <c r="AI173">
        <v>5846.5</v>
      </c>
      <c r="AJ173" t="s">
        <v>1</v>
      </c>
      <c r="AK173" t="s">
        <v>1</v>
      </c>
      <c r="AL173">
        <v>6999999</v>
      </c>
      <c r="AM173" t="s">
        <v>59</v>
      </c>
      <c r="AN173">
        <v>9013</v>
      </c>
      <c r="AO173" t="s">
        <v>50</v>
      </c>
    </row>
    <row r="174" spans="1:41" x14ac:dyDescent="0.25">
      <c r="A174" t="str">
        <f>VLOOKUP(MONTH(N174),Sheet1!$A$2:$B$13,2,0)</f>
        <v>Nov</v>
      </c>
      <c r="B174" t="str">
        <f>IF(LEFT(AO174,1)="B","CAPEX",IF(LEFT(AO174,1)="C","STOCK",IF(MID(AO174,7,2)="JA","STAFF",IF(MID(AO174,7,1)="H","STAFF",IF(MID(AO174,7,1)="S","STAFF",IF(MID(AO174,7,2)="JV","LOG",IFERROR(VLOOKUP($AO174,[1]!Table14[[New Account Number]:[Filtro2]],9,0),VLOOKUP($AO174,[1]!Table14[[Old Account Number]:[Filtro2]],12,0))))))))</f>
        <v>Aluguéis</v>
      </c>
      <c r="C174" t="str">
        <f>IF(LEFT(AO174,1)="B","CAPEX",IF(LEFT(AO174,1)="C","STOCK",IF(MID(AO174,7,2)="JA","STAFF",IF(MID(AO174,7,1)="H","STAFF",IF(MID(AO174,7,1)="S","STAFF",IF(MID(AO174,7,2)="JV","LOG",IFERROR(VLOOKUP($AO174,[1]!Table14[[New Account Number]:[Filtro2]],10,0),VLOOKUP($AO174,[1]!Table14[[Old Account Number]:[Filtro2]],13,0))))))))</f>
        <v>Total Outras Despesas Fixas</v>
      </c>
      <c r="D174" t="s">
        <v>43</v>
      </c>
      <c r="E174" t="s">
        <v>2</v>
      </c>
      <c r="F174" t="s">
        <v>3</v>
      </c>
      <c r="G174">
        <v>15090</v>
      </c>
      <c r="H174" t="s">
        <v>0</v>
      </c>
      <c r="I174" t="s">
        <v>49</v>
      </c>
      <c r="J174" t="s">
        <v>206</v>
      </c>
      <c r="K174" t="s">
        <v>1</v>
      </c>
      <c r="L174">
        <v>4211332596</v>
      </c>
      <c r="M174">
        <v>9001689835</v>
      </c>
      <c r="N174" s="2">
        <v>45971</v>
      </c>
      <c r="O174" s="2">
        <v>45999</v>
      </c>
      <c r="P174">
        <v>790</v>
      </c>
      <c r="Q174" s="2">
        <v>45982</v>
      </c>
      <c r="R174">
        <v>5001752546</v>
      </c>
      <c r="S174">
        <v>2025</v>
      </c>
      <c r="T174">
        <v>369324</v>
      </c>
      <c r="U174" t="s">
        <v>1</v>
      </c>
      <c r="V174" s="2"/>
      <c r="W174" t="s">
        <v>1</v>
      </c>
      <c r="AE174">
        <v>0</v>
      </c>
      <c r="AF174" t="s">
        <v>131</v>
      </c>
      <c r="AG174" t="s">
        <v>1</v>
      </c>
      <c r="AH174" t="s">
        <v>132</v>
      </c>
      <c r="AI174">
        <v>790</v>
      </c>
      <c r="AJ174" t="s">
        <v>1</v>
      </c>
      <c r="AK174" t="s">
        <v>1</v>
      </c>
      <c r="AL174">
        <v>6999999</v>
      </c>
      <c r="AM174" t="s">
        <v>59</v>
      </c>
      <c r="AN174">
        <v>9530</v>
      </c>
      <c r="AO174" t="s">
        <v>54</v>
      </c>
    </row>
    <row r="175" spans="1:41" x14ac:dyDescent="0.25">
      <c r="A175" t="str">
        <f>VLOOKUP(MONTH(N175),Sheet1!$A$2:$B$13,2,0)</f>
        <v>Nov</v>
      </c>
      <c r="B175" t="str">
        <f>IF(LEFT(AO175,1)="B","CAPEX",IF(LEFT(AO175,1)="C","STOCK",IF(MID(AO175,7,2)="JA","STAFF",IF(MID(AO175,7,1)="H","STAFF",IF(MID(AO175,7,1)="S","STAFF",IF(MID(AO175,7,2)="JV","LOG",IFERROR(VLOOKUP($AO175,[1]!Table14[[New Account Number]:[Filtro2]],9,0),VLOOKUP($AO175,[1]!Table14[[Old Account Number]:[Filtro2]],12,0))))))))</f>
        <v>Aluguéis</v>
      </c>
      <c r="C175" t="str">
        <f>IF(LEFT(AO175,1)="B","CAPEX",IF(LEFT(AO175,1)="C","STOCK",IF(MID(AO175,7,2)="JA","STAFF",IF(MID(AO175,7,1)="H","STAFF",IF(MID(AO175,7,1)="S","STAFF",IF(MID(AO175,7,2)="JV","LOG",IFERROR(VLOOKUP($AO175,[1]!Table14[[New Account Number]:[Filtro2]],10,0),VLOOKUP($AO175,[1]!Table14[[Old Account Number]:[Filtro2]],13,0))))))))</f>
        <v>Total Outras Despesas Fixas</v>
      </c>
      <c r="D175" t="s">
        <v>43</v>
      </c>
      <c r="E175" t="s">
        <v>2</v>
      </c>
      <c r="F175" t="s">
        <v>3</v>
      </c>
      <c r="G175">
        <v>54620</v>
      </c>
      <c r="H175" t="s">
        <v>0</v>
      </c>
      <c r="I175" t="s">
        <v>49</v>
      </c>
      <c r="J175" t="s">
        <v>195</v>
      </c>
      <c r="K175" t="s">
        <v>1</v>
      </c>
      <c r="L175">
        <v>4211323256</v>
      </c>
      <c r="M175">
        <v>9001689243</v>
      </c>
      <c r="N175" s="2">
        <v>45971</v>
      </c>
      <c r="O175" s="2">
        <v>46001</v>
      </c>
      <c r="P175">
        <v>5700</v>
      </c>
      <c r="Q175" s="2">
        <v>45971</v>
      </c>
      <c r="R175">
        <v>5001668161</v>
      </c>
      <c r="S175">
        <v>2025</v>
      </c>
      <c r="T175">
        <v>367551</v>
      </c>
      <c r="U175" t="s">
        <v>1</v>
      </c>
      <c r="V175" s="2"/>
      <c r="W175" t="s">
        <v>1</v>
      </c>
      <c r="AE175">
        <v>0</v>
      </c>
      <c r="AF175" t="s">
        <v>144</v>
      </c>
      <c r="AG175" t="s">
        <v>1</v>
      </c>
      <c r="AH175" t="s">
        <v>145</v>
      </c>
      <c r="AI175">
        <v>5700</v>
      </c>
      <c r="AJ175" t="s">
        <v>1</v>
      </c>
      <c r="AK175" t="s">
        <v>1</v>
      </c>
      <c r="AL175">
        <v>6999999</v>
      </c>
      <c r="AM175" t="s">
        <v>59</v>
      </c>
      <c r="AN175">
        <v>9022</v>
      </c>
      <c r="AO175" t="s">
        <v>54</v>
      </c>
    </row>
    <row r="176" spans="1:41" x14ac:dyDescent="0.25">
      <c r="A176" t="str">
        <f>VLOOKUP(MONTH(N176),Sheet1!$A$2:$B$13,2,0)</f>
        <v>Nov</v>
      </c>
      <c r="B176" t="str">
        <f>IF(LEFT(AO176,1)="B","CAPEX",IF(LEFT(AO176,1)="C","STOCK",IF(MID(AO176,7,2)="JA","STAFF",IF(MID(AO176,7,1)="H","STAFF",IF(MID(AO176,7,1)="S","STAFF",IF(MID(AO176,7,2)="JV","LOG",IFERROR(VLOOKUP($AO176,[1]!Table14[[New Account Number]:[Filtro2]],9,0),VLOOKUP($AO176,[1]!Table14[[Old Account Number]:[Filtro2]],12,0))))))))</f>
        <v>Manutenção Terceiros</v>
      </c>
      <c r="C176" t="str">
        <f>IF(LEFT(AO176,1)="B","CAPEX",IF(LEFT(AO176,1)="C","STOCK",IF(MID(AO176,7,2)="JA","STAFF",IF(MID(AO176,7,1)="H","STAFF",IF(MID(AO176,7,1)="S","STAFF",IF(MID(AO176,7,2)="JV","LOG",IFERROR(VLOOKUP($AO176,[1]!Table14[[New Account Number]:[Filtro2]],10,0),VLOOKUP($AO176,[1]!Table14[[Old Account Number]:[Filtro2]],13,0))))))))</f>
        <v>Total Manutenção Variável</v>
      </c>
      <c r="D176" t="s">
        <v>43</v>
      </c>
      <c r="E176" t="s">
        <v>2</v>
      </c>
      <c r="F176" t="s">
        <v>3</v>
      </c>
      <c r="G176">
        <v>59</v>
      </c>
      <c r="H176" t="s">
        <v>0</v>
      </c>
      <c r="I176" t="s">
        <v>49</v>
      </c>
      <c r="J176" t="s">
        <v>205</v>
      </c>
      <c r="K176" t="s">
        <v>1</v>
      </c>
      <c r="L176">
        <v>4211333386</v>
      </c>
      <c r="M176">
        <v>9001687838</v>
      </c>
      <c r="N176" s="2">
        <v>45981</v>
      </c>
      <c r="O176" s="2">
        <v>46041</v>
      </c>
      <c r="P176">
        <v>17975.96</v>
      </c>
      <c r="Q176" s="2">
        <v>45981</v>
      </c>
      <c r="R176">
        <v>5001743632</v>
      </c>
      <c r="S176">
        <v>2025</v>
      </c>
      <c r="T176">
        <v>369230</v>
      </c>
      <c r="U176" t="s">
        <v>1</v>
      </c>
      <c r="V176" s="2"/>
      <c r="W176" t="s">
        <v>1</v>
      </c>
      <c r="AE176">
        <v>0</v>
      </c>
      <c r="AF176" t="s">
        <v>106</v>
      </c>
      <c r="AG176" t="s">
        <v>1</v>
      </c>
      <c r="AH176" t="s">
        <v>192</v>
      </c>
      <c r="AI176">
        <v>17975.96</v>
      </c>
      <c r="AJ176" t="s">
        <v>1</v>
      </c>
      <c r="AK176" t="s">
        <v>1</v>
      </c>
      <c r="AL176">
        <v>6999999</v>
      </c>
      <c r="AM176" t="s">
        <v>59</v>
      </c>
      <c r="AN176">
        <v>9203</v>
      </c>
      <c r="AO176" t="s">
        <v>50</v>
      </c>
    </row>
    <row r="177" spans="1:41" x14ac:dyDescent="0.25">
      <c r="A177" t="str">
        <f>VLOOKUP(MONTH(N177),Sheet1!$A$2:$B$13,2,0)</f>
        <v>Dez</v>
      </c>
      <c r="B177" t="str">
        <f>IF(LEFT(AO177,1)="B","CAPEX",IF(LEFT(AO177,1)="C","STOCK",IF(MID(AO177,7,2)="JA","STAFF",IF(MID(AO177,7,1)="H","STAFF",IF(MID(AO177,7,1)="S","STAFF",IF(MID(AO177,7,2)="JV","LOG",IFERROR(VLOOKUP($AO177,[1]!Table14[[New Account Number]:[Filtro2]],9,0),VLOOKUP($AO177,[1]!Table14[[Old Account Number]:[Filtro2]],12,0))))))))</f>
        <v>Materiais Indiretos</v>
      </c>
      <c r="C177" t="str">
        <f>IF(LEFT(AO177,1)="B","CAPEX",IF(LEFT(AO177,1)="C","STOCK",IF(MID(AO177,7,2)="JA","STAFF",IF(MID(AO177,7,1)="H","STAFF",IF(MID(AO177,7,1)="S","STAFF",IF(MID(AO177,7,2)="JV","LOG",IFERROR(VLOOKUP($AO177,[1]!Table14[[New Account Number]:[Filtro2]],10,0),VLOOKUP($AO177,[1]!Table14[[Old Account Number]:[Filtro2]],13,0))))))))</f>
        <v>Materials</v>
      </c>
      <c r="D177" t="s">
        <v>46</v>
      </c>
      <c r="E177" t="s">
        <v>47</v>
      </c>
      <c r="F177" t="s">
        <v>48</v>
      </c>
      <c r="G177">
        <v>1469</v>
      </c>
      <c r="H177" t="s">
        <v>0</v>
      </c>
      <c r="I177" t="s">
        <v>49</v>
      </c>
      <c r="J177" t="s">
        <v>255</v>
      </c>
      <c r="K177" t="s">
        <v>1</v>
      </c>
      <c r="L177">
        <v>4211332094</v>
      </c>
      <c r="M177">
        <v>9001644807</v>
      </c>
      <c r="N177" s="2">
        <v>45999</v>
      </c>
      <c r="O177" s="2">
        <v>46013</v>
      </c>
      <c r="P177">
        <v>131600</v>
      </c>
      <c r="Q177" s="2">
        <v>45999</v>
      </c>
      <c r="R177">
        <v>5001874541</v>
      </c>
      <c r="S177">
        <v>2025</v>
      </c>
      <c r="T177">
        <v>372319</v>
      </c>
      <c r="U177" t="s">
        <v>1</v>
      </c>
      <c r="V177" s="2">
        <v>46004</v>
      </c>
      <c r="W177" t="s">
        <v>192</v>
      </c>
      <c r="AA177">
        <v>5001906018</v>
      </c>
      <c r="AB177">
        <v>2025</v>
      </c>
      <c r="AC177">
        <v>9004035467</v>
      </c>
      <c r="AD177">
        <v>2025</v>
      </c>
      <c r="AE177">
        <v>10421397</v>
      </c>
      <c r="AF177" t="s">
        <v>101</v>
      </c>
      <c r="AG177" t="s">
        <v>106</v>
      </c>
      <c r="AH177" t="s">
        <v>102</v>
      </c>
      <c r="AI177">
        <v>0</v>
      </c>
      <c r="AJ177" t="s">
        <v>1</v>
      </c>
      <c r="AK177" t="s">
        <v>1</v>
      </c>
      <c r="AL177">
        <v>6000011</v>
      </c>
      <c r="AM177" t="s">
        <v>59</v>
      </c>
      <c r="AN177">
        <v>9104</v>
      </c>
      <c r="AO177" t="s">
        <v>256</v>
      </c>
    </row>
    <row r="178" spans="1:41" x14ac:dyDescent="0.25">
      <c r="A178" t="str">
        <f>VLOOKUP(MONTH(N178),Sheet1!$A$2:$B$13,2,0)</f>
        <v>Dez</v>
      </c>
      <c r="B178" t="str">
        <f>IF(LEFT(AO178,1)="B","CAPEX",IF(LEFT(AO178,1)="C","STOCK",IF(MID(AO178,7,2)="JA","STAFF",IF(MID(AO178,7,1)="H","STAFF",IF(MID(AO178,7,1)="S","STAFF",IF(MID(AO178,7,2)="JV","LOG",IFERROR(VLOOKUP($AO178,[1]!Table14[[New Account Number]:[Filtro2]],9,0),VLOOKUP($AO178,[1]!Table14[[Old Account Number]:[Filtro2]],12,0))))))))</f>
        <v>STAFF</v>
      </c>
      <c r="C178" t="str">
        <f>IF(LEFT(AO178,1)="B","CAPEX",IF(LEFT(AO178,1)="C","STOCK",IF(MID(AO178,7,2)="JA","STAFF",IF(MID(AO178,7,1)="H","STAFF",IF(MID(AO178,7,1)="S","STAFF",IF(MID(AO178,7,2)="JV","LOG",IFERROR(VLOOKUP($AO178,[1]!Table14[[New Account Number]:[Filtro2]],10,0),VLOOKUP($AO178,[1]!Table14[[Old Account Number]:[Filtro2]],13,0))))))))</f>
        <v>STAFF</v>
      </c>
      <c r="D178" t="s">
        <v>46</v>
      </c>
      <c r="E178" t="s">
        <v>47</v>
      </c>
      <c r="F178" t="s">
        <v>48</v>
      </c>
      <c r="G178">
        <v>15427</v>
      </c>
      <c r="H178" t="s">
        <v>0</v>
      </c>
      <c r="I178" t="s">
        <v>88</v>
      </c>
      <c r="J178" t="s">
        <v>316</v>
      </c>
      <c r="K178" t="s">
        <v>1</v>
      </c>
      <c r="L178">
        <v>4251318946</v>
      </c>
      <c r="M178">
        <v>9001682123</v>
      </c>
      <c r="N178" s="2">
        <v>46002</v>
      </c>
      <c r="O178" s="2">
        <v>46122</v>
      </c>
      <c r="P178">
        <v>18200</v>
      </c>
      <c r="Q178" s="2">
        <v>46002</v>
      </c>
      <c r="R178">
        <v>5001894811</v>
      </c>
      <c r="S178">
        <v>2025</v>
      </c>
      <c r="T178">
        <v>373071</v>
      </c>
      <c r="U178" t="s">
        <v>1</v>
      </c>
      <c r="V178" s="2">
        <v>46002</v>
      </c>
      <c r="W178" t="s">
        <v>90</v>
      </c>
      <c r="AA178">
        <v>5001896169</v>
      </c>
      <c r="AB178">
        <v>2025</v>
      </c>
      <c r="AC178">
        <v>9004034653</v>
      </c>
      <c r="AD178">
        <v>2025</v>
      </c>
      <c r="AE178">
        <v>10419631</v>
      </c>
      <c r="AF178" t="s">
        <v>89</v>
      </c>
      <c r="AG178" t="s">
        <v>89</v>
      </c>
      <c r="AH178" t="s">
        <v>90</v>
      </c>
      <c r="AI178">
        <v>0</v>
      </c>
      <c r="AJ178" t="s">
        <v>1</v>
      </c>
      <c r="AK178" t="s">
        <v>1</v>
      </c>
      <c r="AL178">
        <v>6999999</v>
      </c>
      <c r="AM178" t="s">
        <v>91</v>
      </c>
      <c r="AN178">
        <v>8210</v>
      </c>
      <c r="AO178" t="s">
        <v>247</v>
      </c>
    </row>
    <row r="179" spans="1:41" x14ac:dyDescent="0.25">
      <c r="A179" t="str">
        <f>VLOOKUP(MONTH(N179),Sheet1!$A$2:$B$13,2,0)</f>
        <v>Out</v>
      </c>
      <c r="B179" t="str">
        <f>IF(LEFT(AO179,1)="B","CAPEX",IF(LEFT(AO179,1)="C","STOCK",IF(MID(AO179,7,2)="JA","STAFF",IF(MID(AO179,7,1)="H","STAFF",IF(MID(AO179,7,1)="S","STAFF",IF(MID(AO179,7,2)="JV","LOG",IFERROR(VLOOKUP($AO179,[1]!Table14[[New Account Number]:[Filtro2]],9,0),VLOOKUP($AO179,[1]!Table14[[Old Account Number]:[Filtro2]],12,0))))))))</f>
        <v>Mats. Escritório/Xerox</v>
      </c>
      <c r="C179" t="str">
        <f>IF(LEFT(AO179,1)="B","CAPEX",IF(LEFT(AO179,1)="C","STOCK",IF(MID(AO179,7,2)="JA","STAFF",IF(MID(AO179,7,1)="H","STAFF",IF(MID(AO179,7,1)="S","STAFF",IF(MID(AO179,7,2)="JV","LOG",IFERROR(VLOOKUP($AO179,[1]!Table14[[New Account Number]:[Filtro2]],10,0),VLOOKUP($AO179,[1]!Table14[[Old Account Number]:[Filtro2]],13,0))))))))</f>
        <v>Total Outras Despesas Fixas</v>
      </c>
      <c r="D179" t="s">
        <v>43</v>
      </c>
      <c r="E179" t="s">
        <v>2</v>
      </c>
      <c r="F179" t="s">
        <v>3</v>
      </c>
      <c r="G179">
        <v>1303</v>
      </c>
      <c r="H179" t="s">
        <v>0</v>
      </c>
      <c r="I179" t="s">
        <v>49</v>
      </c>
      <c r="J179" t="s">
        <v>167</v>
      </c>
      <c r="K179" t="s">
        <v>1</v>
      </c>
      <c r="L179">
        <v>4211314516</v>
      </c>
      <c r="M179">
        <v>2600468410</v>
      </c>
      <c r="N179" s="2">
        <v>45943</v>
      </c>
      <c r="O179" s="2">
        <v>45988</v>
      </c>
      <c r="P179">
        <v>2200</v>
      </c>
      <c r="Q179" s="2">
        <v>45943</v>
      </c>
      <c r="R179">
        <v>5001459644</v>
      </c>
      <c r="S179">
        <v>2025</v>
      </c>
      <c r="T179">
        <v>362763</v>
      </c>
      <c r="U179" t="s">
        <v>1</v>
      </c>
      <c r="V179" s="2"/>
      <c r="W179" t="s">
        <v>1</v>
      </c>
      <c r="AE179">
        <v>0</v>
      </c>
      <c r="AF179" t="s">
        <v>103</v>
      </c>
      <c r="AG179" t="s">
        <v>1</v>
      </c>
      <c r="AH179" t="s">
        <v>104</v>
      </c>
      <c r="AI179">
        <v>2200</v>
      </c>
      <c r="AJ179" t="s">
        <v>1</v>
      </c>
      <c r="AK179" t="s">
        <v>1</v>
      </c>
      <c r="AL179">
        <v>6999999</v>
      </c>
      <c r="AM179" t="s">
        <v>59</v>
      </c>
      <c r="AN179">
        <v>9000</v>
      </c>
      <c r="AO179" t="s">
        <v>168</v>
      </c>
    </row>
    <row r="180" spans="1:41" x14ac:dyDescent="0.25">
      <c r="A180" t="str">
        <f>VLOOKUP(MONTH(N180),Sheet1!$A$2:$B$13,2,0)</f>
        <v>Out</v>
      </c>
      <c r="B180" t="str">
        <f>IF(LEFT(AO180,1)="B","CAPEX",IF(LEFT(AO180,1)="C","STOCK",IF(MID(AO180,7,2)="JA","STAFF",IF(MID(AO180,7,1)="H","STAFF",IF(MID(AO180,7,1)="S","STAFF",IF(MID(AO180,7,2)="JV","LOG",IFERROR(VLOOKUP($AO180,[1]!Table14[[New Account Number]:[Filtro2]],9,0),VLOOKUP($AO180,[1]!Table14[[Old Account Number]:[Filtro2]],12,0))))))))</f>
        <v>Manutenção Terceiros</v>
      </c>
      <c r="C180" t="str">
        <f>IF(LEFT(AO180,1)="B","CAPEX",IF(LEFT(AO180,1)="C","STOCK",IF(MID(AO180,7,2)="JA","STAFF",IF(MID(AO180,7,1)="H","STAFF",IF(MID(AO180,7,1)="S","STAFF",IF(MID(AO180,7,2)="JV","LOG",IFERROR(VLOOKUP($AO180,[1]!Table14[[New Account Number]:[Filtro2]],10,0),VLOOKUP($AO180,[1]!Table14[[Old Account Number]:[Filtro2]],13,0))))))))</f>
        <v>Total Manutenção Variável</v>
      </c>
      <c r="D180" t="s">
        <v>43</v>
      </c>
      <c r="E180" t="s">
        <v>2</v>
      </c>
      <c r="F180" t="s">
        <v>3</v>
      </c>
      <c r="G180">
        <v>649</v>
      </c>
      <c r="H180" t="s">
        <v>0</v>
      </c>
      <c r="I180" t="s">
        <v>97</v>
      </c>
      <c r="J180" t="s">
        <v>98</v>
      </c>
      <c r="K180" t="s">
        <v>1</v>
      </c>
      <c r="L180">
        <v>4211328675</v>
      </c>
      <c r="M180">
        <v>2600465964</v>
      </c>
      <c r="N180" s="2">
        <v>45950</v>
      </c>
      <c r="O180" s="2">
        <v>46010</v>
      </c>
      <c r="P180">
        <v>7257</v>
      </c>
      <c r="Q180" s="2">
        <v>45950</v>
      </c>
      <c r="R180">
        <v>5001508682</v>
      </c>
      <c r="S180">
        <v>2025</v>
      </c>
      <c r="T180">
        <v>363749</v>
      </c>
      <c r="U180" t="s">
        <v>1</v>
      </c>
      <c r="V180" s="2"/>
      <c r="W180" t="s">
        <v>1</v>
      </c>
      <c r="AE180">
        <v>0</v>
      </c>
      <c r="AF180" t="s">
        <v>181</v>
      </c>
      <c r="AG180" t="s">
        <v>1</v>
      </c>
      <c r="AH180" t="s">
        <v>182</v>
      </c>
      <c r="AI180">
        <v>7257</v>
      </c>
      <c r="AJ180" t="s">
        <v>1</v>
      </c>
      <c r="AK180" t="s">
        <v>1</v>
      </c>
      <c r="AL180">
        <v>6999999</v>
      </c>
      <c r="AM180" t="s">
        <v>59</v>
      </c>
      <c r="AN180">
        <v>9203</v>
      </c>
      <c r="AO180" t="s">
        <v>50</v>
      </c>
    </row>
    <row r="181" spans="1:41" x14ac:dyDescent="0.25">
      <c r="A181" t="str">
        <f>VLOOKUP(MONTH(N181),Sheet1!$A$2:$B$13,2,0)</f>
        <v>Nov</v>
      </c>
      <c r="B181" t="str">
        <f>IF(LEFT(AO181,1)="B","CAPEX",IF(LEFT(AO181,1)="C","STOCK",IF(MID(AO181,7,2)="JA","STAFF",IF(MID(AO181,7,1)="H","STAFF",IF(MID(AO181,7,1)="S","STAFF",IF(MID(AO181,7,2)="JV","LOG",IFERROR(VLOOKUP($AO181,[1]!Table14[[New Account Number]:[Filtro2]],9,0),VLOOKUP($AO181,[1]!Table14[[Old Account Number]:[Filtro2]],12,0))))))))</f>
        <v>Manutenção Terceiros</v>
      </c>
      <c r="C181" t="str">
        <f>IF(LEFT(AO181,1)="B","CAPEX",IF(LEFT(AO181,1)="C","STOCK",IF(MID(AO181,7,2)="JA","STAFF",IF(MID(AO181,7,1)="H","STAFF",IF(MID(AO181,7,1)="S","STAFF",IF(MID(AO181,7,2)="JV","LOG",IFERROR(VLOOKUP($AO181,[1]!Table14[[New Account Number]:[Filtro2]],10,0),VLOOKUP($AO181,[1]!Table14[[Old Account Number]:[Filtro2]],13,0))))))))</f>
        <v>Total Manutenção Variável</v>
      </c>
      <c r="D181" t="s">
        <v>43</v>
      </c>
      <c r="E181" t="s">
        <v>2</v>
      </c>
      <c r="F181" t="s">
        <v>3</v>
      </c>
      <c r="G181">
        <v>147149</v>
      </c>
      <c r="H181" t="s">
        <v>0</v>
      </c>
      <c r="I181" t="s">
        <v>49</v>
      </c>
      <c r="J181" t="s">
        <v>62</v>
      </c>
      <c r="K181" t="s">
        <v>1</v>
      </c>
      <c r="L181">
        <v>4211315568</v>
      </c>
      <c r="M181">
        <v>9001691002</v>
      </c>
      <c r="N181" s="2">
        <v>45985</v>
      </c>
      <c r="O181" s="2">
        <v>46060</v>
      </c>
      <c r="P181">
        <v>16166.12</v>
      </c>
      <c r="Q181" s="2">
        <v>45985</v>
      </c>
      <c r="R181">
        <v>5001772787</v>
      </c>
      <c r="S181">
        <v>2025</v>
      </c>
      <c r="T181">
        <v>369762</v>
      </c>
      <c r="U181" t="s">
        <v>1</v>
      </c>
      <c r="V181" s="2"/>
      <c r="W181" t="s">
        <v>1</v>
      </c>
      <c r="AE181">
        <v>0</v>
      </c>
      <c r="AF181" t="s">
        <v>106</v>
      </c>
      <c r="AG181" t="s">
        <v>1</v>
      </c>
      <c r="AH181" t="s">
        <v>192</v>
      </c>
      <c r="AI181">
        <v>16166.12</v>
      </c>
      <c r="AJ181" t="s">
        <v>1</v>
      </c>
      <c r="AK181" t="s">
        <v>1</v>
      </c>
      <c r="AL181">
        <v>6000031</v>
      </c>
      <c r="AM181" t="s">
        <v>59</v>
      </c>
      <c r="AN181">
        <v>9013</v>
      </c>
      <c r="AO181" t="s">
        <v>50</v>
      </c>
    </row>
    <row r="182" spans="1:41" x14ac:dyDescent="0.25">
      <c r="A182" t="str">
        <f>VLOOKUP(MONTH(N182),Sheet1!$A$2:$B$13,2,0)</f>
        <v>Dez</v>
      </c>
      <c r="B182" t="str">
        <f>IF(LEFT(AO182,1)="B","CAPEX",IF(LEFT(AO182,1)="C","STOCK",IF(MID(AO182,7,2)="JA","STAFF",IF(MID(AO182,7,1)="H","STAFF",IF(MID(AO182,7,1)="S","STAFF",IF(MID(AO182,7,2)="JV","LOG",IFERROR(VLOOKUP($AO182,[1]!Table14[[New Account Number]:[Filtro2]],9,0),VLOOKUP($AO182,[1]!Table14[[Old Account Number]:[Filtro2]],12,0))))))))</f>
        <v>CAPEX</v>
      </c>
      <c r="C182" t="str">
        <f>IF(LEFT(AO182,1)="B","CAPEX",IF(LEFT(AO182,1)="C","STOCK",IF(MID(AO182,7,2)="JA","STAFF",IF(MID(AO182,7,1)="H","STAFF",IF(MID(AO182,7,1)="S","STAFF",IF(MID(AO182,7,2)="JV","LOG",IFERROR(VLOOKUP($AO182,[1]!Table14[[New Account Number]:[Filtro2]],10,0),VLOOKUP($AO182,[1]!Table14[[Old Account Number]:[Filtro2]],13,0))))))))</f>
        <v>CAPEX</v>
      </c>
      <c r="D182" t="s">
        <v>43</v>
      </c>
      <c r="E182" t="s">
        <v>2</v>
      </c>
      <c r="F182" t="s">
        <v>3</v>
      </c>
      <c r="G182">
        <v>2395</v>
      </c>
      <c r="H182" t="s">
        <v>0</v>
      </c>
      <c r="I182" t="s">
        <v>58</v>
      </c>
      <c r="J182" t="s">
        <v>228</v>
      </c>
      <c r="K182" t="s">
        <v>1</v>
      </c>
      <c r="L182">
        <v>4211317766</v>
      </c>
      <c r="M182">
        <v>2600467260</v>
      </c>
      <c r="N182" s="2">
        <v>45995</v>
      </c>
      <c r="O182" s="2">
        <v>46055</v>
      </c>
      <c r="P182">
        <v>28600</v>
      </c>
      <c r="Q182" s="2">
        <v>45995</v>
      </c>
      <c r="R182">
        <v>5001858096</v>
      </c>
      <c r="S182">
        <v>2025</v>
      </c>
      <c r="T182">
        <v>371593</v>
      </c>
      <c r="U182" t="s">
        <v>1</v>
      </c>
      <c r="V182" s="2"/>
      <c r="W182" t="s">
        <v>1</v>
      </c>
      <c r="AE182">
        <v>0</v>
      </c>
      <c r="AF182" t="s">
        <v>257</v>
      </c>
      <c r="AG182" t="s">
        <v>1</v>
      </c>
      <c r="AH182" t="s">
        <v>258</v>
      </c>
      <c r="AI182">
        <v>28600</v>
      </c>
      <c r="AJ182" t="s">
        <v>1</v>
      </c>
      <c r="AK182" t="s">
        <v>1</v>
      </c>
      <c r="AL182">
        <v>6999999</v>
      </c>
      <c r="AM182" t="s">
        <v>59</v>
      </c>
      <c r="AO182" t="s">
        <v>121</v>
      </c>
    </row>
    <row r="183" spans="1:41" x14ac:dyDescent="0.25">
      <c r="A183" t="str">
        <f>VLOOKUP(MONTH(N183),Sheet1!$A$2:$B$13,2,0)</f>
        <v>Nov</v>
      </c>
      <c r="B183" t="str">
        <f>IF(LEFT(AO183,1)="B","CAPEX",IF(LEFT(AO183,1)="C","STOCK",IF(MID(AO183,7,2)="JA","STAFF",IF(MID(AO183,7,1)="H","STAFF",IF(MID(AO183,7,1)="S","STAFF",IF(MID(AO183,7,2)="JV","LOG",IFERROR(VLOOKUP($AO183,[1]!Table14[[New Account Number]:[Filtro2]],9,0),VLOOKUP($AO183,[1]!Table14[[Old Account Number]:[Filtro2]],12,0))))))))</f>
        <v>Aluguéis</v>
      </c>
      <c r="C183" t="str">
        <f>IF(LEFT(AO183,1)="B","CAPEX",IF(LEFT(AO183,1)="C","STOCK",IF(MID(AO183,7,2)="JA","STAFF",IF(MID(AO183,7,1)="H","STAFF",IF(MID(AO183,7,1)="S","STAFF",IF(MID(AO183,7,2)="JV","LOG",IFERROR(VLOOKUP($AO183,[1]!Table14[[New Account Number]:[Filtro2]],10,0),VLOOKUP($AO183,[1]!Table14[[Old Account Number]:[Filtro2]],13,0))))))))</f>
        <v>Total Outras Despesas Fixas</v>
      </c>
      <c r="D183" t="s">
        <v>43</v>
      </c>
      <c r="E183" t="s">
        <v>2</v>
      </c>
      <c r="F183" t="s">
        <v>3</v>
      </c>
      <c r="G183">
        <v>901119</v>
      </c>
      <c r="H183" t="s">
        <v>0</v>
      </c>
      <c r="I183" t="s">
        <v>49</v>
      </c>
      <c r="J183" t="s">
        <v>142</v>
      </c>
      <c r="K183" t="s">
        <v>1</v>
      </c>
      <c r="L183">
        <v>4211328965</v>
      </c>
      <c r="M183">
        <v>9001676842</v>
      </c>
      <c r="N183" s="2">
        <v>45978</v>
      </c>
      <c r="O183" s="2">
        <v>46008</v>
      </c>
      <c r="P183">
        <v>13439.08</v>
      </c>
      <c r="Q183" s="2">
        <v>45978</v>
      </c>
      <c r="R183">
        <v>5001719947</v>
      </c>
      <c r="S183">
        <v>2025</v>
      </c>
      <c r="T183">
        <v>368593</v>
      </c>
      <c r="U183" t="s">
        <v>1</v>
      </c>
      <c r="V183" s="2"/>
      <c r="W183" t="s">
        <v>1</v>
      </c>
      <c r="AE183">
        <v>0</v>
      </c>
      <c r="AF183" t="s">
        <v>51</v>
      </c>
      <c r="AG183" t="s">
        <v>1</v>
      </c>
      <c r="AH183" t="s">
        <v>52</v>
      </c>
      <c r="AI183">
        <v>13439.08</v>
      </c>
      <c r="AJ183" t="s">
        <v>1</v>
      </c>
      <c r="AK183" t="s">
        <v>1</v>
      </c>
      <c r="AL183">
        <v>6999999</v>
      </c>
      <c r="AM183" t="s">
        <v>59</v>
      </c>
      <c r="AN183">
        <v>9000</v>
      </c>
      <c r="AO183" t="s">
        <v>54</v>
      </c>
    </row>
    <row r="184" spans="1:41" x14ac:dyDescent="0.25">
      <c r="A184" t="str">
        <f>VLOOKUP(MONTH(N184),Sheet1!$A$2:$B$13,2,0)</f>
        <v>Nov</v>
      </c>
      <c r="B184" t="str">
        <f>IF(LEFT(AO184,1)="B","CAPEX",IF(LEFT(AO184,1)="C","STOCK",IF(MID(AO184,7,2)="JA","STAFF",IF(MID(AO184,7,1)="H","STAFF",IF(MID(AO184,7,1)="S","STAFF",IF(MID(AO184,7,2)="JV","LOG",IFERROR(VLOOKUP($AO184,[1]!Table14[[New Account Number]:[Filtro2]],9,0),VLOOKUP($AO184,[1]!Table14[[Old Account Number]:[Filtro2]],12,0))))))))</f>
        <v>Outras Despesas</v>
      </c>
      <c r="C184" t="str">
        <f>IF(LEFT(AO184,1)="B","CAPEX",IF(LEFT(AO184,1)="C","STOCK",IF(MID(AO184,7,2)="JA","STAFF",IF(MID(AO184,7,1)="H","STAFF",IF(MID(AO184,7,1)="S","STAFF",IF(MID(AO184,7,2)="JV","LOG",IFERROR(VLOOKUP($AO184,[1]!Table14[[New Account Number]:[Filtro2]],10,0),VLOOKUP($AO184,[1]!Table14[[Old Account Number]:[Filtro2]],13,0))))))))</f>
        <v>Total Outras Despesas Variáveis</v>
      </c>
      <c r="D184" t="s">
        <v>43</v>
      </c>
      <c r="E184" t="s">
        <v>2</v>
      </c>
      <c r="F184" t="s">
        <v>3</v>
      </c>
      <c r="G184">
        <v>14353</v>
      </c>
      <c r="H184" t="s">
        <v>0</v>
      </c>
      <c r="I184" t="s">
        <v>108</v>
      </c>
      <c r="J184" t="s">
        <v>124</v>
      </c>
      <c r="K184" t="s">
        <v>1</v>
      </c>
      <c r="L184">
        <v>4211333268</v>
      </c>
      <c r="M184">
        <v>9001678942</v>
      </c>
      <c r="N184" s="2">
        <v>45978</v>
      </c>
      <c r="O184" s="2">
        <v>46038</v>
      </c>
      <c r="P184">
        <v>83480.56</v>
      </c>
      <c r="Q184" s="2">
        <v>45984</v>
      </c>
      <c r="R184">
        <v>5001759519</v>
      </c>
      <c r="S184">
        <v>2025</v>
      </c>
      <c r="T184">
        <v>369634</v>
      </c>
      <c r="U184" t="s">
        <v>1</v>
      </c>
      <c r="V184" s="2"/>
      <c r="W184" t="s">
        <v>1</v>
      </c>
      <c r="AE184">
        <v>0</v>
      </c>
      <c r="AF184" t="s">
        <v>110</v>
      </c>
      <c r="AG184" t="s">
        <v>1</v>
      </c>
      <c r="AH184" t="s">
        <v>111</v>
      </c>
      <c r="AI184">
        <v>83480.56</v>
      </c>
      <c r="AJ184" t="s">
        <v>1</v>
      </c>
      <c r="AK184" t="s">
        <v>1</v>
      </c>
      <c r="AL184">
        <v>6000031</v>
      </c>
      <c r="AM184" t="s">
        <v>112</v>
      </c>
      <c r="AN184">
        <v>9201</v>
      </c>
      <c r="AO184" t="s">
        <v>147</v>
      </c>
    </row>
    <row r="185" spans="1:41" x14ac:dyDescent="0.25">
      <c r="A185" t="str">
        <f>VLOOKUP(MONTH(N185),Sheet1!$A$2:$B$13,2,0)</f>
        <v>Dez</v>
      </c>
      <c r="B185" t="str">
        <f>IF(LEFT(AO185,1)="B","CAPEX",IF(LEFT(AO185,1)="C","STOCK",IF(MID(AO185,7,2)="JA","STAFF",IF(MID(AO185,7,1)="H","STAFF",IF(MID(AO185,7,1)="S","STAFF",IF(MID(AO185,7,2)="JV","LOG",IFERROR(VLOOKUP($AO185,[1]!Table14[[New Account Number]:[Filtro2]],9,0),VLOOKUP($AO185,[1]!Table14[[Old Account Number]:[Filtro2]],12,0))))))))</f>
        <v>Manutenção Terceiros</v>
      </c>
      <c r="C185" t="str">
        <f>IF(LEFT(AO185,1)="B","CAPEX",IF(LEFT(AO185,1)="C","STOCK",IF(MID(AO185,7,2)="JA","STAFF",IF(MID(AO185,7,1)="H","STAFF",IF(MID(AO185,7,1)="S","STAFF",IF(MID(AO185,7,2)="JV","LOG",IFERROR(VLOOKUP($AO185,[1]!Table14[[New Account Number]:[Filtro2]],10,0),VLOOKUP($AO185,[1]!Table14[[Old Account Number]:[Filtro2]],13,0))))))))</f>
        <v>Total Manutenção Variável</v>
      </c>
      <c r="D185" t="s">
        <v>43</v>
      </c>
      <c r="E185" t="s">
        <v>2</v>
      </c>
      <c r="F185" t="s">
        <v>3</v>
      </c>
      <c r="G185">
        <v>3243</v>
      </c>
      <c r="H185" t="s">
        <v>0</v>
      </c>
      <c r="I185" t="s">
        <v>49</v>
      </c>
      <c r="J185" t="s">
        <v>292</v>
      </c>
      <c r="K185" t="s">
        <v>1</v>
      </c>
      <c r="L185">
        <v>4211330502</v>
      </c>
      <c r="M185">
        <v>2600469846</v>
      </c>
      <c r="N185" s="2">
        <v>46001</v>
      </c>
      <c r="O185" s="2">
        <v>46071</v>
      </c>
      <c r="P185">
        <v>5090</v>
      </c>
      <c r="Q185" s="2">
        <v>46001</v>
      </c>
      <c r="R185">
        <v>5001891473</v>
      </c>
      <c r="S185">
        <v>2025</v>
      </c>
      <c r="T185">
        <v>372900</v>
      </c>
      <c r="U185" t="s">
        <v>1</v>
      </c>
      <c r="V185" s="2"/>
      <c r="W185" t="s">
        <v>1</v>
      </c>
      <c r="AE185">
        <v>0</v>
      </c>
      <c r="AF185" t="s">
        <v>106</v>
      </c>
      <c r="AG185" t="s">
        <v>1</v>
      </c>
      <c r="AH185" t="s">
        <v>192</v>
      </c>
      <c r="AI185">
        <v>5090</v>
      </c>
      <c r="AJ185" t="s">
        <v>1</v>
      </c>
      <c r="AK185" t="s">
        <v>1</v>
      </c>
      <c r="AL185">
        <v>6999999</v>
      </c>
      <c r="AM185" t="s">
        <v>59</v>
      </c>
      <c r="AN185">
        <v>9104</v>
      </c>
      <c r="AO185" t="s">
        <v>50</v>
      </c>
    </row>
    <row r="186" spans="1:41" x14ac:dyDescent="0.25">
      <c r="A186" t="str">
        <f>VLOOKUP(MONTH(N186),Sheet1!$A$2:$B$13,2,0)</f>
        <v>Out</v>
      </c>
      <c r="B186" t="str">
        <f>IF(LEFT(AO186,1)="B","CAPEX",IF(LEFT(AO186,1)="C","STOCK",IF(MID(AO186,7,2)="JA","STAFF",IF(MID(AO186,7,1)="H","STAFF",IF(MID(AO186,7,1)="S","STAFF",IF(MID(AO186,7,2)="JV","LOG",IFERROR(VLOOKUP($AO186,[1]!Table14[[New Account Number]:[Filtro2]],9,0),VLOOKUP($AO186,[1]!Table14[[Old Account Number]:[Filtro2]],12,0))))))))</f>
        <v>Aluguéis</v>
      </c>
      <c r="C186" t="str">
        <f>IF(LEFT(AO186,1)="B","CAPEX",IF(LEFT(AO186,1)="C","STOCK",IF(MID(AO186,7,2)="JA","STAFF",IF(MID(AO186,7,1)="H","STAFF",IF(MID(AO186,7,1)="S","STAFF",IF(MID(AO186,7,2)="JV","LOG",IFERROR(VLOOKUP($AO186,[1]!Table14[[New Account Number]:[Filtro2]],10,0),VLOOKUP($AO186,[1]!Table14[[Old Account Number]:[Filtro2]],13,0))))))))</f>
        <v>Total Outras Despesas Fixas</v>
      </c>
      <c r="D186" t="s">
        <v>43</v>
      </c>
      <c r="E186" t="s">
        <v>2</v>
      </c>
      <c r="F186" t="s">
        <v>3</v>
      </c>
      <c r="G186">
        <v>644074</v>
      </c>
      <c r="H186" t="s">
        <v>0</v>
      </c>
      <c r="I186" t="s">
        <v>49</v>
      </c>
      <c r="J186" t="s">
        <v>189</v>
      </c>
      <c r="K186" t="s">
        <v>1</v>
      </c>
      <c r="L186">
        <v>4211301181</v>
      </c>
      <c r="M186">
        <v>9001631078</v>
      </c>
      <c r="N186" s="2">
        <v>45931</v>
      </c>
      <c r="O186" s="2">
        <v>46006</v>
      </c>
      <c r="P186">
        <v>15705.2</v>
      </c>
      <c r="Q186" s="2">
        <v>45954</v>
      </c>
      <c r="R186">
        <v>5001546226</v>
      </c>
      <c r="S186">
        <v>2025</v>
      </c>
      <c r="T186">
        <v>364758</v>
      </c>
      <c r="U186" t="s">
        <v>1</v>
      </c>
      <c r="V186" s="2"/>
      <c r="W186" t="s">
        <v>1</v>
      </c>
      <c r="AE186">
        <v>0</v>
      </c>
      <c r="AF186" t="s">
        <v>184</v>
      </c>
      <c r="AG186" t="s">
        <v>1</v>
      </c>
      <c r="AH186" t="s">
        <v>1</v>
      </c>
      <c r="AI186">
        <v>15705.2</v>
      </c>
      <c r="AJ186" t="s">
        <v>1</v>
      </c>
      <c r="AK186" t="s">
        <v>1</v>
      </c>
      <c r="AL186">
        <v>6999999</v>
      </c>
      <c r="AM186" t="s">
        <v>59</v>
      </c>
      <c r="AN186">
        <v>9000</v>
      </c>
      <c r="AO186" t="s">
        <v>54</v>
      </c>
    </row>
    <row r="187" spans="1:41" x14ac:dyDescent="0.25">
      <c r="A187" t="str">
        <f>VLOOKUP(MONTH(N187),Sheet1!$A$2:$B$13,2,0)</f>
        <v>Nov</v>
      </c>
      <c r="B187" t="str">
        <f>IF(LEFT(AO187,1)="B","CAPEX",IF(LEFT(AO187,1)="C","STOCK",IF(MID(AO187,7,2)="JA","STAFF",IF(MID(AO187,7,1)="H","STAFF",IF(MID(AO187,7,1)="S","STAFF",IF(MID(AO187,7,2)="JV","LOG",IFERROR(VLOOKUP($AO187,[1]!Table14[[New Account Number]:[Filtro2]],9,0),VLOOKUP($AO187,[1]!Table14[[Old Account Number]:[Filtro2]],12,0))))))))</f>
        <v>Manutenção Terceiros</v>
      </c>
      <c r="C187" t="str">
        <f>IF(LEFT(AO187,1)="B","CAPEX",IF(LEFT(AO187,1)="C","STOCK",IF(MID(AO187,7,2)="JA","STAFF",IF(MID(AO187,7,1)="H","STAFF",IF(MID(AO187,7,1)="S","STAFF",IF(MID(AO187,7,2)="JV","LOG",IFERROR(VLOOKUP($AO187,[1]!Table14[[New Account Number]:[Filtro2]],10,0),VLOOKUP($AO187,[1]!Table14[[Old Account Number]:[Filtro2]],13,0))))))))</f>
        <v>Total Manutenção Variável</v>
      </c>
      <c r="D187" t="s">
        <v>43</v>
      </c>
      <c r="E187" t="s">
        <v>2</v>
      </c>
      <c r="F187" t="s">
        <v>3</v>
      </c>
      <c r="G187">
        <v>589</v>
      </c>
      <c r="H187" t="s">
        <v>0</v>
      </c>
      <c r="I187" t="s">
        <v>49</v>
      </c>
      <c r="J187" t="s">
        <v>141</v>
      </c>
      <c r="K187" t="s">
        <v>1</v>
      </c>
      <c r="L187">
        <v>4211333188</v>
      </c>
      <c r="M187">
        <v>2600468760</v>
      </c>
      <c r="N187" s="2">
        <v>45980</v>
      </c>
      <c r="O187" s="2">
        <v>45995</v>
      </c>
      <c r="P187">
        <v>8100</v>
      </c>
      <c r="Q187" s="2">
        <v>45980</v>
      </c>
      <c r="R187">
        <v>5001731683</v>
      </c>
      <c r="S187">
        <v>2025</v>
      </c>
      <c r="T187">
        <v>368953</v>
      </c>
      <c r="U187" t="s">
        <v>1</v>
      </c>
      <c r="V187" s="2"/>
      <c r="W187" t="s">
        <v>1</v>
      </c>
      <c r="AE187">
        <v>0</v>
      </c>
      <c r="AF187" t="s">
        <v>51</v>
      </c>
      <c r="AG187" t="s">
        <v>1</v>
      </c>
      <c r="AH187" t="s">
        <v>52</v>
      </c>
      <c r="AI187">
        <v>8100</v>
      </c>
      <c r="AJ187" t="s">
        <v>1</v>
      </c>
      <c r="AK187" t="s">
        <v>1</v>
      </c>
      <c r="AL187">
        <v>6999999</v>
      </c>
      <c r="AM187" t="s">
        <v>59</v>
      </c>
      <c r="AN187">
        <v>9203</v>
      </c>
      <c r="AO187" t="s">
        <v>50</v>
      </c>
    </row>
    <row r="188" spans="1:41" x14ac:dyDescent="0.25">
      <c r="A188" t="str">
        <f>VLOOKUP(MONTH(N188),Sheet1!$A$2:$B$13,2,0)</f>
        <v>Nov</v>
      </c>
      <c r="B188" t="str">
        <f>IF(LEFT(AO188,1)="B","CAPEX",IF(LEFT(AO188,1)="C","STOCK",IF(MID(AO188,7,2)="JA","STAFF",IF(MID(AO188,7,1)="H","STAFF",IF(MID(AO188,7,1)="S","STAFF",IF(MID(AO188,7,2)="JV","LOG",IFERROR(VLOOKUP($AO188,[1]!Table14[[New Account Number]:[Filtro2]],9,0),VLOOKUP($AO188,[1]!Table14[[Old Account Number]:[Filtro2]],12,0))))))))</f>
        <v>Serv.Prof.Prestados - Serviços</v>
      </c>
      <c r="C188" t="str">
        <f>IF(LEFT(AO188,1)="B","CAPEX",IF(LEFT(AO188,1)="C","STOCK",IF(MID(AO188,7,2)="JA","STAFF",IF(MID(AO188,7,1)="H","STAFF",IF(MID(AO188,7,1)="S","STAFF",IF(MID(AO188,7,2)="JV","LOG",IFERROR(VLOOKUP($AO188,[1]!Table14[[New Account Number]:[Filtro2]],10,0),VLOOKUP($AO188,[1]!Table14[[Old Account Number]:[Filtro2]],13,0))))))))</f>
        <v>Total Outras Despesas Fixas</v>
      </c>
      <c r="D188" t="s">
        <v>43</v>
      </c>
      <c r="E188" t="s">
        <v>2</v>
      </c>
      <c r="F188" t="s">
        <v>3</v>
      </c>
      <c r="G188">
        <v>30155</v>
      </c>
      <c r="H188" t="s">
        <v>0</v>
      </c>
      <c r="I188" t="s">
        <v>49</v>
      </c>
      <c r="J188" t="s">
        <v>180</v>
      </c>
      <c r="K188" t="s">
        <v>1</v>
      </c>
      <c r="L188">
        <v>4211319719</v>
      </c>
      <c r="M188">
        <v>9001686454</v>
      </c>
      <c r="N188" s="2">
        <v>45965</v>
      </c>
      <c r="O188" s="2">
        <v>46010</v>
      </c>
      <c r="P188">
        <v>3120.87</v>
      </c>
      <c r="Q188" s="2">
        <v>45986</v>
      </c>
      <c r="R188">
        <v>5001780687</v>
      </c>
      <c r="S188">
        <v>2025</v>
      </c>
      <c r="T188">
        <v>369976</v>
      </c>
      <c r="U188" t="s">
        <v>1</v>
      </c>
      <c r="V188" s="2"/>
      <c r="W188" t="s">
        <v>1</v>
      </c>
      <c r="AE188">
        <v>0</v>
      </c>
      <c r="AF188" t="s">
        <v>103</v>
      </c>
      <c r="AG188" t="s">
        <v>1</v>
      </c>
      <c r="AH188" t="s">
        <v>104</v>
      </c>
      <c r="AI188">
        <v>3120.87</v>
      </c>
      <c r="AJ188" t="s">
        <v>1</v>
      </c>
      <c r="AK188" t="s">
        <v>1</v>
      </c>
      <c r="AL188">
        <v>6999999</v>
      </c>
      <c r="AM188" t="s">
        <v>59</v>
      </c>
      <c r="AN188">
        <v>9117</v>
      </c>
      <c r="AO188" t="s">
        <v>53</v>
      </c>
    </row>
    <row r="189" spans="1:41" x14ac:dyDescent="0.25">
      <c r="A189" t="str">
        <f>VLOOKUP(MONTH(N189),Sheet1!$A$2:$B$13,2,0)</f>
        <v>Nov</v>
      </c>
      <c r="B189" t="str">
        <f>IF(LEFT(AO189,1)="B","CAPEX",IF(LEFT(AO189,1)="C","STOCK",IF(MID(AO189,7,2)="JA","STAFF",IF(MID(AO189,7,1)="H","STAFF",IF(MID(AO189,7,1)="S","STAFF",IF(MID(AO189,7,2)="JV","LOG",IFERROR(VLOOKUP($AO189,[1]!Table14[[New Account Number]:[Filtro2]],9,0),VLOOKUP($AO189,[1]!Table14[[Old Account Number]:[Filtro2]],12,0))))))))</f>
        <v>Serv.Prof.Prestados - Serviços</v>
      </c>
      <c r="C189" t="str">
        <f>IF(LEFT(AO189,1)="B","CAPEX",IF(LEFT(AO189,1)="C","STOCK",IF(MID(AO189,7,2)="JA","STAFF",IF(MID(AO189,7,1)="H","STAFF",IF(MID(AO189,7,1)="S","STAFF",IF(MID(AO189,7,2)="JV","LOG",IFERROR(VLOOKUP($AO189,[1]!Table14[[New Account Number]:[Filtro2]],10,0),VLOOKUP($AO189,[1]!Table14[[Old Account Number]:[Filtro2]],13,0))))))))</f>
        <v>Total Outras Despesas Fixas</v>
      </c>
      <c r="D189" t="s">
        <v>43</v>
      </c>
      <c r="E189" t="s">
        <v>2</v>
      </c>
      <c r="F189" t="s">
        <v>3</v>
      </c>
      <c r="G189">
        <v>30213</v>
      </c>
      <c r="H189" t="s">
        <v>0</v>
      </c>
      <c r="I189" t="s">
        <v>49</v>
      </c>
      <c r="J189" t="s">
        <v>180</v>
      </c>
      <c r="K189" t="s">
        <v>1</v>
      </c>
      <c r="L189">
        <v>4211319719</v>
      </c>
      <c r="M189">
        <v>9001690502</v>
      </c>
      <c r="N189" s="2">
        <v>45986</v>
      </c>
      <c r="O189" s="2">
        <v>46031</v>
      </c>
      <c r="P189">
        <v>7218.8</v>
      </c>
      <c r="Q189" s="2">
        <v>45986</v>
      </c>
      <c r="R189">
        <v>5001785144</v>
      </c>
      <c r="S189">
        <v>2025</v>
      </c>
      <c r="T189">
        <v>370014</v>
      </c>
      <c r="U189" t="s">
        <v>1</v>
      </c>
      <c r="V189" s="2"/>
      <c r="W189" t="s">
        <v>1</v>
      </c>
      <c r="AE189">
        <v>0</v>
      </c>
      <c r="AF189" t="s">
        <v>103</v>
      </c>
      <c r="AG189" t="s">
        <v>1</v>
      </c>
      <c r="AH189" t="s">
        <v>104</v>
      </c>
      <c r="AI189">
        <v>7218.8</v>
      </c>
      <c r="AJ189" t="s">
        <v>1</v>
      </c>
      <c r="AK189" t="s">
        <v>1</v>
      </c>
      <c r="AL189">
        <v>6999999</v>
      </c>
      <c r="AM189" t="s">
        <v>59</v>
      </c>
      <c r="AN189">
        <v>9117</v>
      </c>
      <c r="AO189" t="s">
        <v>53</v>
      </c>
    </row>
    <row r="190" spans="1:41" x14ac:dyDescent="0.25">
      <c r="A190" t="str">
        <f>VLOOKUP(MONTH(N190),Sheet1!$A$2:$B$13,2,0)</f>
        <v>Nov</v>
      </c>
      <c r="B190" t="str">
        <f>IF(LEFT(AO190,1)="B","CAPEX",IF(LEFT(AO190,1)="C","STOCK",IF(MID(AO190,7,2)="JA","STAFF",IF(MID(AO190,7,1)="H","STAFF",IF(MID(AO190,7,1)="S","STAFF",IF(MID(AO190,7,2)="JV","LOG",IFERROR(VLOOKUP($AO190,[1]!Table14[[New Account Number]:[Filtro2]],9,0),VLOOKUP($AO190,[1]!Table14[[Old Account Number]:[Filtro2]],12,0))))))))</f>
        <v>Serv.Prof.Prestados - Serviços</v>
      </c>
      <c r="C190" t="str">
        <f>IF(LEFT(AO190,1)="B","CAPEX",IF(LEFT(AO190,1)="C","STOCK",IF(MID(AO190,7,2)="JA","STAFF",IF(MID(AO190,7,1)="H","STAFF",IF(MID(AO190,7,1)="S","STAFF",IF(MID(AO190,7,2)="JV","LOG",IFERROR(VLOOKUP($AO190,[1]!Table14[[New Account Number]:[Filtro2]],10,0),VLOOKUP($AO190,[1]!Table14[[Old Account Number]:[Filtro2]],13,0))))))))</f>
        <v>Total Outras Despesas Fixas</v>
      </c>
      <c r="D190" t="s">
        <v>43</v>
      </c>
      <c r="E190" t="s">
        <v>2</v>
      </c>
      <c r="F190" t="s">
        <v>3</v>
      </c>
      <c r="G190">
        <v>30214</v>
      </c>
      <c r="H190" t="s">
        <v>0</v>
      </c>
      <c r="I190" t="s">
        <v>49</v>
      </c>
      <c r="J190" t="s">
        <v>180</v>
      </c>
      <c r="K190" t="s">
        <v>1</v>
      </c>
      <c r="L190">
        <v>4211319719</v>
      </c>
      <c r="M190">
        <v>9001692533</v>
      </c>
      <c r="N190" s="2">
        <v>45986</v>
      </c>
      <c r="O190" s="2">
        <v>46031</v>
      </c>
      <c r="P190">
        <v>4565.41</v>
      </c>
      <c r="Q190" s="2">
        <v>45986</v>
      </c>
      <c r="R190">
        <v>5001785145</v>
      </c>
      <c r="S190">
        <v>2025</v>
      </c>
      <c r="T190">
        <v>370015</v>
      </c>
      <c r="U190" t="s">
        <v>1</v>
      </c>
      <c r="V190" s="2"/>
      <c r="W190" t="s">
        <v>1</v>
      </c>
      <c r="AE190">
        <v>0</v>
      </c>
      <c r="AF190" t="s">
        <v>103</v>
      </c>
      <c r="AG190" t="s">
        <v>1</v>
      </c>
      <c r="AH190" t="s">
        <v>104</v>
      </c>
      <c r="AI190">
        <v>4565.41</v>
      </c>
      <c r="AJ190" t="s">
        <v>1</v>
      </c>
      <c r="AK190" t="s">
        <v>1</v>
      </c>
      <c r="AL190">
        <v>6999999</v>
      </c>
      <c r="AM190" t="s">
        <v>59</v>
      </c>
      <c r="AN190">
        <v>9117</v>
      </c>
      <c r="AO190" t="s">
        <v>53</v>
      </c>
    </row>
    <row r="191" spans="1:41" x14ac:dyDescent="0.25">
      <c r="A191" t="str">
        <f>VLOOKUP(MONTH(N191),Sheet1!$A$2:$B$13,2,0)</f>
        <v>Dez</v>
      </c>
      <c r="B191" t="str">
        <f>IF(LEFT(AO191,1)="B","CAPEX",IF(LEFT(AO191,1)="C","STOCK",IF(MID(AO191,7,2)="JA","STAFF",IF(MID(AO191,7,1)="H","STAFF",IF(MID(AO191,7,1)="S","STAFF",IF(MID(AO191,7,2)="JV","LOG",IFERROR(VLOOKUP($AO191,[1]!Table14[[New Account Number]:[Filtro2]],9,0),VLOOKUP($AO191,[1]!Table14[[Old Account Number]:[Filtro2]],12,0))))))))</f>
        <v>CAPEX</v>
      </c>
      <c r="C191" t="str">
        <f>IF(LEFT(AO191,1)="B","CAPEX",IF(LEFT(AO191,1)="C","STOCK",IF(MID(AO191,7,2)="JA","STAFF",IF(MID(AO191,7,1)="H","STAFF",IF(MID(AO191,7,1)="S","STAFF",IF(MID(AO191,7,2)="JV","LOG",IFERROR(VLOOKUP($AO191,[1]!Table14[[New Account Number]:[Filtro2]],10,0),VLOOKUP($AO191,[1]!Table14[[Old Account Number]:[Filtro2]],13,0))))))))</f>
        <v>CAPEX</v>
      </c>
      <c r="D191" t="s">
        <v>46</v>
      </c>
      <c r="E191" t="s">
        <v>47</v>
      </c>
      <c r="F191" t="s">
        <v>48</v>
      </c>
      <c r="G191">
        <v>1279</v>
      </c>
      <c r="H191" t="s">
        <v>0</v>
      </c>
      <c r="I191" t="s">
        <v>317</v>
      </c>
      <c r="J191" t="s">
        <v>318</v>
      </c>
      <c r="K191" t="s">
        <v>1</v>
      </c>
      <c r="L191">
        <v>4211332993</v>
      </c>
      <c r="M191">
        <v>2600467487</v>
      </c>
      <c r="N191" s="2">
        <v>46001</v>
      </c>
      <c r="O191" s="2">
        <v>46031</v>
      </c>
      <c r="P191">
        <v>30930</v>
      </c>
      <c r="Q191" s="2">
        <v>46001</v>
      </c>
      <c r="R191">
        <v>5001888412</v>
      </c>
      <c r="S191">
        <v>2025</v>
      </c>
      <c r="T191">
        <v>372890</v>
      </c>
      <c r="U191" t="s">
        <v>1</v>
      </c>
      <c r="V191" s="2">
        <v>46002</v>
      </c>
      <c r="W191" t="s">
        <v>319</v>
      </c>
      <c r="AA191">
        <v>5001894315</v>
      </c>
      <c r="AB191">
        <v>2025</v>
      </c>
      <c r="AC191">
        <v>9004034295</v>
      </c>
      <c r="AD191">
        <v>2025</v>
      </c>
      <c r="AE191">
        <v>10419169</v>
      </c>
      <c r="AF191" t="s">
        <v>320</v>
      </c>
      <c r="AG191" t="s">
        <v>320</v>
      </c>
      <c r="AH191" t="s">
        <v>319</v>
      </c>
      <c r="AI191">
        <v>0</v>
      </c>
      <c r="AJ191" t="s">
        <v>1</v>
      </c>
      <c r="AK191" t="s">
        <v>1</v>
      </c>
      <c r="AL191">
        <v>6999999</v>
      </c>
      <c r="AM191" t="s">
        <v>94</v>
      </c>
      <c r="AO191" t="s">
        <v>244</v>
      </c>
    </row>
    <row r="192" spans="1:41" x14ac:dyDescent="0.25">
      <c r="A192" t="str">
        <f>VLOOKUP(MONTH(N192),Sheet1!$A$2:$B$13,2,0)</f>
        <v>Dez</v>
      </c>
      <c r="B192" t="str">
        <f>IF(LEFT(AO192,1)="B","CAPEX",IF(LEFT(AO192,1)="C","STOCK",IF(MID(AO192,7,2)="JA","STAFF",IF(MID(AO192,7,1)="H","STAFF",IF(MID(AO192,7,1)="S","STAFF",IF(MID(AO192,7,2)="JV","LOG",IFERROR(VLOOKUP($AO192,[1]!Table14[[New Account Number]:[Filtro2]],9,0),VLOOKUP($AO192,[1]!Table14[[Old Account Number]:[Filtro2]],12,0))))))))</f>
        <v>Aluguéis</v>
      </c>
      <c r="C192" t="str">
        <f>IF(LEFT(AO192,1)="B","CAPEX",IF(LEFT(AO192,1)="C","STOCK",IF(MID(AO192,7,2)="JA","STAFF",IF(MID(AO192,7,1)="H","STAFF",IF(MID(AO192,7,1)="S","STAFF",IF(MID(AO192,7,2)="JV","LOG",IFERROR(VLOOKUP($AO192,[1]!Table14[[New Account Number]:[Filtro2]],10,0),VLOOKUP($AO192,[1]!Table14[[Old Account Number]:[Filtro2]],13,0))))))))</f>
        <v>Total Outras Despesas Fixas</v>
      </c>
      <c r="D192" t="s">
        <v>43</v>
      </c>
      <c r="E192" t="s">
        <v>2</v>
      </c>
      <c r="F192" t="s">
        <v>3</v>
      </c>
      <c r="G192">
        <v>1122</v>
      </c>
      <c r="H192" t="s">
        <v>0</v>
      </c>
      <c r="I192" t="s">
        <v>49</v>
      </c>
      <c r="J192" t="s">
        <v>139</v>
      </c>
      <c r="K192" t="s">
        <v>1</v>
      </c>
      <c r="L192">
        <v>4211326911</v>
      </c>
      <c r="M192">
        <v>9001676632</v>
      </c>
      <c r="N192" s="2">
        <v>46002</v>
      </c>
      <c r="O192" s="2">
        <v>46032</v>
      </c>
      <c r="P192">
        <v>268512.96000000002</v>
      </c>
      <c r="Q192" s="2">
        <v>46002</v>
      </c>
      <c r="R192">
        <v>5001895659</v>
      </c>
      <c r="S192">
        <v>2025</v>
      </c>
      <c r="T192">
        <v>373116</v>
      </c>
      <c r="U192" t="s">
        <v>1</v>
      </c>
      <c r="V192" s="2"/>
      <c r="W192" t="s">
        <v>1</v>
      </c>
      <c r="AE192">
        <v>0</v>
      </c>
      <c r="AF192" t="s">
        <v>51</v>
      </c>
      <c r="AG192" t="s">
        <v>1</v>
      </c>
      <c r="AH192" t="s">
        <v>52</v>
      </c>
      <c r="AI192">
        <v>268512.96000000002</v>
      </c>
      <c r="AJ192" t="s">
        <v>1</v>
      </c>
      <c r="AK192" t="s">
        <v>1</v>
      </c>
      <c r="AL192">
        <v>6999999</v>
      </c>
      <c r="AM192" t="s">
        <v>59</v>
      </c>
      <c r="AN192">
        <v>9000</v>
      </c>
      <c r="AO192" t="s">
        <v>54</v>
      </c>
    </row>
    <row r="193" spans="1:41" x14ac:dyDescent="0.25">
      <c r="A193" t="str">
        <f>VLOOKUP(MONTH(N193),Sheet1!$A$2:$B$13,2,0)</f>
        <v>Nov</v>
      </c>
      <c r="B193" t="str">
        <f>IF(LEFT(AO193,1)="B","CAPEX",IF(LEFT(AO193,1)="C","STOCK",IF(MID(AO193,7,2)="JA","STAFF",IF(MID(AO193,7,1)="H","STAFF",IF(MID(AO193,7,1)="S","STAFF",IF(MID(AO193,7,2)="JV","LOG",IFERROR(VLOOKUP($AO193,[1]!Table14[[New Account Number]:[Filtro2]],9,0),VLOOKUP($AO193,[1]!Table14[[Old Account Number]:[Filtro2]],12,0))))))))</f>
        <v>Manutenção Terceiros</v>
      </c>
      <c r="C193" t="str">
        <f>IF(LEFT(AO193,1)="B","CAPEX",IF(LEFT(AO193,1)="C","STOCK",IF(MID(AO193,7,2)="JA","STAFF",IF(MID(AO193,7,1)="H","STAFF",IF(MID(AO193,7,1)="S","STAFF",IF(MID(AO193,7,2)="JV","LOG",IFERROR(VLOOKUP($AO193,[1]!Table14[[New Account Number]:[Filtro2]],10,0),VLOOKUP($AO193,[1]!Table14[[Old Account Number]:[Filtro2]],13,0))))))))</f>
        <v>Total Manutenção Fixa</v>
      </c>
      <c r="D193" t="s">
        <v>43</v>
      </c>
      <c r="E193" t="s">
        <v>2</v>
      </c>
      <c r="F193" t="s">
        <v>3</v>
      </c>
      <c r="G193">
        <v>2618</v>
      </c>
      <c r="H193" t="s">
        <v>0</v>
      </c>
      <c r="I193" t="s">
        <v>44</v>
      </c>
      <c r="J193" t="s">
        <v>151</v>
      </c>
      <c r="K193" t="s">
        <v>1</v>
      </c>
      <c r="L193">
        <v>4211324446</v>
      </c>
      <c r="M193">
        <v>9001628055</v>
      </c>
      <c r="N193" s="2">
        <v>45974</v>
      </c>
      <c r="O193" s="2">
        <v>46004</v>
      </c>
      <c r="P193">
        <v>2900</v>
      </c>
      <c r="Q193" s="2">
        <v>45974</v>
      </c>
      <c r="R193">
        <v>5001690863</v>
      </c>
      <c r="S193">
        <v>2025</v>
      </c>
      <c r="T193">
        <v>368126</v>
      </c>
      <c r="U193" t="s">
        <v>1</v>
      </c>
      <c r="V193" s="2"/>
      <c r="W193" t="s">
        <v>1</v>
      </c>
      <c r="AE193">
        <v>0</v>
      </c>
      <c r="AF193" t="s">
        <v>81</v>
      </c>
      <c r="AG193" t="s">
        <v>1</v>
      </c>
      <c r="AH193" t="s">
        <v>96</v>
      </c>
      <c r="AI193">
        <v>2900</v>
      </c>
      <c r="AJ193" t="s">
        <v>1</v>
      </c>
      <c r="AK193" t="s">
        <v>1</v>
      </c>
      <c r="AL193">
        <v>6999999</v>
      </c>
      <c r="AM193" t="s">
        <v>92</v>
      </c>
      <c r="AN193">
        <v>9018</v>
      </c>
      <c r="AO193" t="s">
        <v>100</v>
      </c>
    </row>
    <row r="194" spans="1:41" x14ac:dyDescent="0.25">
      <c r="A194" t="str">
        <f>VLOOKUP(MONTH(N194),Sheet1!$A$2:$B$13,2,0)</f>
        <v>Dez</v>
      </c>
      <c r="B194" t="str">
        <f>IF(LEFT(AO194,1)="B","CAPEX",IF(LEFT(AO194,1)="C","STOCK",IF(MID(AO194,7,2)="JA","STAFF",IF(MID(AO194,7,1)="H","STAFF",IF(MID(AO194,7,1)="S","STAFF",IF(MID(AO194,7,2)="JV","LOG",IFERROR(VLOOKUP($AO194,[1]!Table14[[New Account Number]:[Filtro2]],9,0),VLOOKUP($AO194,[1]!Table14[[Old Account Number]:[Filtro2]],12,0))))))))</f>
        <v>STOCK</v>
      </c>
      <c r="C194" t="str">
        <f>IF(LEFT(AO194,1)="B","CAPEX",IF(LEFT(AO194,1)="C","STOCK",IF(MID(AO194,7,2)="JA","STAFF",IF(MID(AO194,7,1)="H","STAFF",IF(MID(AO194,7,1)="S","STAFF",IF(MID(AO194,7,2)="JV","LOG",IFERROR(VLOOKUP($AO194,[1]!Table14[[New Account Number]:[Filtro2]],10,0),VLOOKUP($AO194,[1]!Table14[[Old Account Number]:[Filtro2]],13,0))))))))</f>
        <v>STOCK</v>
      </c>
      <c r="D194" t="s">
        <v>43</v>
      </c>
      <c r="E194" t="s">
        <v>2</v>
      </c>
      <c r="F194" t="s">
        <v>3</v>
      </c>
      <c r="G194">
        <v>4834</v>
      </c>
      <c r="H194" t="s">
        <v>0</v>
      </c>
      <c r="I194" t="s">
        <v>49</v>
      </c>
      <c r="J194" t="s">
        <v>199</v>
      </c>
      <c r="K194" t="s">
        <v>1</v>
      </c>
      <c r="L194">
        <v>4211332423</v>
      </c>
      <c r="M194">
        <v>9001696035</v>
      </c>
      <c r="N194" s="2">
        <v>46001</v>
      </c>
      <c r="O194" s="2">
        <v>46061</v>
      </c>
      <c r="P194">
        <v>4004.1</v>
      </c>
      <c r="Q194" s="2">
        <v>46001</v>
      </c>
      <c r="R194">
        <v>5001888030</v>
      </c>
      <c r="S194">
        <v>2025</v>
      </c>
      <c r="T194">
        <v>372869</v>
      </c>
      <c r="U194" t="s">
        <v>1</v>
      </c>
      <c r="V194" s="2"/>
      <c r="W194" t="s">
        <v>1</v>
      </c>
      <c r="AE194">
        <v>0</v>
      </c>
      <c r="AF194" t="s">
        <v>144</v>
      </c>
      <c r="AG194" t="s">
        <v>1</v>
      </c>
      <c r="AH194" t="s">
        <v>145</v>
      </c>
      <c r="AI194">
        <v>4004.1</v>
      </c>
      <c r="AJ194" t="s">
        <v>1</v>
      </c>
      <c r="AK194" t="s">
        <v>1</v>
      </c>
      <c r="AL194">
        <v>6999999</v>
      </c>
      <c r="AM194" t="s">
        <v>59</v>
      </c>
      <c r="AN194">
        <v>9042</v>
      </c>
      <c r="AO194" t="s">
        <v>197</v>
      </c>
    </row>
    <row r="195" spans="1:41" x14ac:dyDescent="0.25">
      <c r="A195" t="str">
        <f>VLOOKUP(MONTH(N195),Sheet1!$A$2:$B$13,2,0)</f>
        <v>Dez</v>
      </c>
      <c r="B195" t="str">
        <f>IF(LEFT(AO195,1)="B","CAPEX",IF(LEFT(AO195,1)="C","STOCK",IF(MID(AO195,7,2)="JA","STAFF",IF(MID(AO195,7,1)="H","STAFF",IF(MID(AO195,7,1)="S","STAFF",IF(MID(AO195,7,2)="JV","LOG",IFERROR(VLOOKUP($AO195,[1]!Table14[[New Account Number]:[Filtro2]],9,0),VLOOKUP($AO195,[1]!Table14[[Old Account Number]:[Filtro2]],12,0))))))))</f>
        <v>Serv.Prof.Prestados - Serviços</v>
      </c>
      <c r="C195" t="str">
        <f>IF(LEFT(AO195,1)="B","CAPEX",IF(LEFT(AO195,1)="C","STOCK",IF(MID(AO195,7,2)="JA","STAFF",IF(MID(AO195,7,1)="H","STAFF",IF(MID(AO195,7,1)="S","STAFF",IF(MID(AO195,7,2)="JV","LOG",IFERROR(VLOOKUP($AO195,[1]!Table14[[New Account Number]:[Filtro2]],10,0),VLOOKUP($AO195,[1]!Table14[[Old Account Number]:[Filtro2]],13,0))))))))</f>
        <v>Total Outras Despesas Fixas</v>
      </c>
      <c r="D195" t="s">
        <v>43</v>
      </c>
      <c r="E195" t="s">
        <v>2</v>
      </c>
      <c r="F195" t="s">
        <v>3</v>
      </c>
      <c r="G195">
        <v>30251</v>
      </c>
      <c r="H195" t="s">
        <v>0</v>
      </c>
      <c r="I195" t="s">
        <v>49</v>
      </c>
      <c r="J195" t="s">
        <v>180</v>
      </c>
      <c r="K195" t="s">
        <v>1</v>
      </c>
      <c r="L195">
        <v>4211319719</v>
      </c>
      <c r="M195">
        <v>9001693730</v>
      </c>
      <c r="N195" s="2">
        <v>45995</v>
      </c>
      <c r="O195" s="2">
        <v>46040</v>
      </c>
      <c r="P195">
        <v>8392.11</v>
      </c>
      <c r="Q195" s="2">
        <v>46002</v>
      </c>
      <c r="R195">
        <v>5001895566</v>
      </c>
      <c r="S195">
        <v>2025</v>
      </c>
      <c r="T195">
        <v>373097</v>
      </c>
      <c r="U195" t="s">
        <v>1</v>
      </c>
      <c r="V195" s="2"/>
      <c r="W195" t="s">
        <v>1</v>
      </c>
      <c r="AE195">
        <v>0</v>
      </c>
      <c r="AF195" t="s">
        <v>103</v>
      </c>
      <c r="AG195" t="s">
        <v>1</v>
      </c>
      <c r="AH195" t="s">
        <v>104</v>
      </c>
      <c r="AI195">
        <v>8392.11</v>
      </c>
      <c r="AJ195" t="s">
        <v>1</v>
      </c>
      <c r="AK195" t="s">
        <v>1</v>
      </c>
      <c r="AL195">
        <v>6999999</v>
      </c>
      <c r="AM195" t="s">
        <v>59</v>
      </c>
      <c r="AN195">
        <v>9117</v>
      </c>
      <c r="AO195" t="s">
        <v>53</v>
      </c>
    </row>
    <row r="196" spans="1:41" x14ac:dyDescent="0.25">
      <c r="A196" t="str">
        <f>VLOOKUP(MONTH(N196),Sheet1!$A$2:$B$13,2,0)</f>
        <v>Nov</v>
      </c>
      <c r="B196" t="str">
        <f>IF(LEFT(AO196,1)="B","CAPEX",IF(LEFT(AO196,1)="C","STOCK",IF(MID(AO196,7,2)="JA","STAFF",IF(MID(AO196,7,1)="H","STAFF",IF(MID(AO196,7,1)="S","STAFF",IF(MID(AO196,7,2)="JV","LOG",IFERROR(VLOOKUP($AO196,[1]!Table14[[New Account Number]:[Filtro2]],9,0),VLOOKUP($AO196,[1]!Table14[[Old Account Number]:[Filtro2]],12,0))))))))</f>
        <v>CAPEX</v>
      </c>
      <c r="C196" t="str">
        <f>IF(LEFT(AO196,1)="B","CAPEX",IF(LEFT(AO196,1)="C","STOCK",IF(MID(AO196,7,2)="JA","STAFF",IF(MID(AO196,7,1)="H","STAFF",IF(MID(AO196,7,1)="S","STAFF",IF(MID(AO196,7,2)="JV","LOG",IFERROR(VLOOKUP($AO196,[1]!Table14[[New Account Number]:[Filtro2]],10,0),VLOOKUP($AO196,[1]!Table14[[Old Account Number]:[Filtro2]],13,0))))))))</f>
        <v>CAPEX</v>
      </c>
      <c r="D196" t="s">
        <v>43</v>
      </c>
      <c r="E196" t="s">
        <v>2</v>
      </c>
      <c r="F196" t="s">
        <v>3</v>
      </c>
      <c r="G196">
        <v>144973</v>
      </c>
      <c r="H196" t="s">
        <v>0</v>
      </c>
      <c r="I196" t="s">
        <v>57</v>
      </c>
      <c r="J196" t="s">
        <v>62</v>
      </c>
      <c r="K196" t="s">
        <v>1</v>
      </c>
      <c r="L196">
        <v>4211315568</v>
      </c>
      <c r="M196">
        <v>9001674981</v>
      </c>
      <c r="N196" s="2">
        <v>45966</v>
      </c>
      <c r="O196" s="2">
        <v>46041</v>
      </c>
      <c r="P196">
        <v>31072.04</v>
      </c>
      <c r="Q196" s="2">
        <v>45968</v>
      </c>
      <c r="R196">
        <v>5001649091</v>
      </c>
      <c r="S196">
        <v>2025</v>
      </c>
      <c r="T196">
        <v>367114</v>
      </c>
      <c r="U196" t="s">
        <v>1</v>
      </c>
      <c r="V196" s="2"/>
      <c r="W196" t="s">
        <v>1</v>
      </c>
      <c r="AE196">
        <v>0</v>
      </c>
      <c r="AF196" t="s">
        <v>87</v>
      </c>
      <c r="AG196" t="s">
        <v>1</v>
      </c>
      <c r="AH196" t="s">
        <v>1</v>
      </c>
      <c r="AI196">
        <v>31072.04</v>
      </c>
      <c r="AJ196" t="s">
        <v>1</v>
      </c>
      <c r="AK196" t="s">
        <v>1</v>
      </c>
      <c r="AL196">
        <v>6000031</v>
      </c>
      <c r="AM196" t="s">
        <v>59</v>
      </c>
      <c r="AO196" t="s">
        <v>121</v>
      </c>
    </row>
    <row r="197" spans="1:41" x14ac:dyDescent="0.25">
      <c r="A197" t="str">
        <f>VLOOKUP(MONTH(N197),Sheet1!$A$2:$B$13,2,0)</f>
        <v>Dez</v>
      </c>
      <c r="B197" t="str">
        <f>IF(LEFT(AO197,1)="B","CAPEX",IF(LEFT(AO197,1)="C","STOCK",IF(MID(AO197,7,2)="JA","STAFF",IF(MID(AO197,7,1)="H","STAFF",IF(MID(AO197,7,1)="S","STAFF",IF(MID(AO197,7,2)="JV","LOG",IFERROR(VLOOKUP($AO197,[1]!Table14[[New Account Number]:[Filtro2]],9,0),VLOOKUP($AO197,[1]!Table14[[Old Account Number]:[Filtro2]],12,0))))))))</f>
        <v>CAPEX</v>
      </c>
      <c r="C197" t="str">
        <f>IF(LEFT(AO197,1)="B","CAPEX",IF(LEFT(AO197,1)="C","STOCK",IF(MID(AO197,7,2)="JA","STAFF",IF(MID(AO197,7,1)="H","STAFF",IF(MID(AO197,7,1)="S","STAFF",IF(MID(AO197,7,2)="JV","LOG",IFERROR(VLOOKUP($AO197,[1]!Table14[[New Account Number]:[Filtro2]],10,0),VLOOKUP($AO197,[1]!Table14[[Old Account Number]:[Filtro2]],13,0))))))))</f>
        <v>CAPEX</v>
      </c>
      <c r="D197" t="s">
        <v>46</v>
      </c>
      <c r="E197" t="s">
        <v>47</v>
      </c>
      <c r="F197" t="s">
        <v>48</v>
      </c>
      <c r="G197">
        <v>2358</v>
      </c>
      <c r="H197" t="s">
        <v>0</v>
      </c>
      <c r="I197" t="s">
        <v>176</v>
      </c>
      <c r="J197" t="s">
        <v>193</v>
      </c>
      <c r="K197" t="s">
        <v>1</v>
      </c>
      <c r="L197">
        <v>4211324964</v>
      </c>
      <c r="M197">
        <v>2600470096</v>
      </c>
      <c r="N197" s="2">
        <v>45996</v>
      </c>
      <c r="O197" s="2">
        <v>46056</v>
      </c>
      <c r="P197">
        <v>11850</v>
      </c>
      <c r="Q197" s="2">
        <v>45996</v>
      </c>
      <c r="R197">
        <v>5001861311</v>
      </c>
      <c r="S197">
        <v>2025</v>
      </c>
      <c r="T197">
        <v>371864</v>
      </c>
      <c r="U197" t="s">
        <v>1</v>
      </c>
      <c r="V197" s="2">
        <v>45996</v>
      </c>
      <c r="W197" t="s">
        <v>260</v>
      </c>
      <c r="AA197">
        <v>5001862351</v>
      </c>
      <c r="AB197">
        <v>2025</v>
      </c>
      <c r="AC197">
        <v>9004032071</v>
      </c>
      <c r="AD197">
        <v>2025</v>
      </c>
      <c r="AE197">
        <v>10415619</v>
      </c>
      <c r="AF197" t="s">
        <v>172</v>
      </c>
      <c r="AG197" t="s">
        <v>261</v>
      </c>
      <c r="AH197" t="s">
        <v>173</v>
      </c>
      <c r="AI197">
        <v>0</v>
      </c>
      <c r="AJ197" t="s">
        <v>1</v>
      </c>
      <c r="AK197" t="s">
        <v>1</v>
      </c>
      <c r="AL197">
        <v>6000003</v>
      </c>
      <c r="AM197" t="s">
        <v>177</v>
      </c>
      <c r="AO197" t="s">
        <v>262</v>
      </c>
    </row>
    <row r="198" spans="1:41" x14ac:dyDescent="0.25">
      <c r="A198" t="str">
        <f>VLOOKUP(MONTH(N198),Sheet1!$A$2:$B$13,2,0)</f>
        <v>Dez</v>
      </c>
      <c r="B198" t="str">
        <f>IF(LEFT(AO198,1)="B","CAPEX",IF(LEFT(AO198,1)="C","STOCK",IF(MID(AO198,7,2)="JA","STAFF",IF(MID(AO198,7,1)="H","STAFF",IF(MID(AO198,7,1)="S","STAFF",IF(MID(AO198,7,2)="JV","LOG",IFERROR(VLOOKUP($AO198,[1]!Table14[[New Account Number]:[Filtro2]],9,0),VLOOKUP($AO198,[1]!Table14[[Old Account Number]:[Filtro2]],12,0))))))))</f>
        <v>Limpeza Por Terceiros</v>
      </c>
      <c r="C198" t="str">
        <f>IF(LEFT(AO198,1)="B","CAPEX",IF(LEFT(AO198,1)="C","STOCK",IF(MID(AO198,7,2)="JA","STAFF",IF(MID(AO198,7,1)="H","STAFF",IF(MID(AO198,7,1)="S","STAFF",IF(MID(AO198,7,2)="JV","LOG",IFERROR(VLOOKUP($AO198,[1]!Table14[[New Account Number]:[Filtro2]],10,0),VLOOKUP($AO198,[1]!Table14[[Old Account Number]:[Filtro2]],13,0))))))))</f>
        <v>Total Outras Despesas Fixas</v>
      </c>
      <c r="D198" t="s">
        <v>43</v>
      </c>
      <c r="E198" t="s">
        <v>2</v>
      </c>
      <c r="F198" t="s">
        <v>3</v>
      </c>
      <c r="G198">
        <v>9967</v>
      </c>
      <c r="H198" t="s">
        <v>0</v>
      </c>
      <c r="I198" t="s">
        <v>49</v>
      </c>
      <c r="J198" t="s">
        <v>263</v>
      </c>
      <c r="K198" t="s">
        <v>1</v>
      </c>
      <c r="L198">
        <v>4211331382</v>
      </c>
      <c r="M198">
        <v>2600462416</v>
      </c>
      <c r="N198" s="2">
        <v>45993</v>
      </c>
      <c r="O198" s="2">
        <v>46008</v>
      </c>
      <c r="P198">
        <v>900</v>
      </c>
      <c r="Q198" s="2">
        <v>45994</v>
      </c>
      <c r="R198">
        <v>5001850473</v>
      </c>
      <c r="S198">
        <v>2025</v>
      </c>
      <c r="T198">
        <v>371289</v>
      </c>
      <c r="U198" t="s">
        <v>1</v>
      </c>
      <c r="V198" s="2"/>
      <c r="W198" t="s">
        <v>1</v>
      </c>
      <c r="AE198">
        <v>0</v>
      </c>
      <c r="AF198" t="s">
        <v>60</v>
      </c>
      <c r="AG198" t="s">
        <v>1</v>
      </c>
      <c r="AH198" t="s">
        <v>61</v>
      </c>
      <c r="AI198">
        <v>900</v>
      </c>
      <c r="AJ198" t="s">
        <v>1</v>
      </c>
      <c r="AK198" t="s">
        <v>1</v>
      </c>
      <c r="AL198">
        <v>6999999</v>
      </c>
      <c r="AM198" t="s">
        <v>59</v>
      </c>
      <c r="AN198">
        <v>9000</v>
      </c>
      <c r="AO198" t="s">
        <v>122</v>
      </c>
    </row>
    <row r="199" spans="1:41" x14ac:dyDescent="0.25">
      <c r="A199" t="str">
        <f>VLOOKUP(MONTH(N199),Sheet1!$A$2:$B$13,2,0)</f>
        <v>Out</v>
      </c>
      <c r="B199" t="str">
        <f>IF(LEFT(AO199,1)="B","CAPEX",IF(LEFT(AO199,1)="C","STOCK",IF(MID(AO199,7,2)="JA","STAFF",IF(MID(AO199,7,1)="H","STAFF",IF(MID(AO199,7,1)="S","STAFF",IF(MID(AO199,7,2)="JV","LOG",IFERROR(VLOOKUP($AO199,[1]!Table14[[New Account Number]:[Filtro2]],9,0),VLOOKUP($AO199,[1]!Table14[[Old Account Number]:[Filtro2]],12,0))))))))</f>
        <v>Manutenção Terceiros</v>
      </c>
      <c r="C199" t="str">
        <f>IF(LEFT(AO199,1)="B","CAPEX",IF(LEFT(AO199,1)="C","STOCK",IF(MID(AO199,7,2)="JA","STAFF",IF(MID(AO199,7,1)="H","STAFF",IF(MID(AO199,7,1)="S","STAFF",IF(MID(AO199,7,2)="JV","LOG",IFERROR(VLOOKUP($AO199,[1]!Table14[[New Account Number]:[Filtro2]],10,0),VLOOKUP($AO199,[1]!Table14[[Old Account Number]:[Filtro2]],13,0))))))))</f>
        <v>Total Manutenção Variável</v>
      </c>
      <c r="D199" t="s">
        <v>43</v>
      </c>
      <c r="E199" t="s">
        <v>2</v>
      </c>
      <c r="F199" t="s">
        <v>3</v>
      </c>
      <c r="G199">
        <v>311</v>
      </c>
      <c r="H199" t="s">
        <v>0</v>
      </c>
      <c r="I199" t="s">
        <v>49</v>
      </c>
      <c r="J199" t="s">
        <v>224</v>
      </c>
      <c r="K199" t="s">
        <v>1</v>
      </c>
      <c r="L199">
        <v>4211331625</v>
      </c>
      <c r="M199">
        <v>2600469172</v>
      </c>
      <c r="N199" s="2">
        <v>45960</v>
      </c>
      <c r="O199" s="2">
        <v>46020</v>
      </c>
      <c r="P199">
        <v>6500</v>
      </c>
      <c r="Q199" s="2">
        <v>45986</v>
      </c>
      <c r="R199">
        <v>5001772974</v>
      </c>
      <c r="S199">
        <v>2025</v>
      </c>
      <c r="T199">
        <v>369929</v>
      </c>
      <c r="U199" t="s">
        <v>1</v>
      </c>
      <c r="V199" s="2"/>
      <c r="W199" t="s">
        <v>1</v>
      </c>
      <c r="AE199">
        <v>0</v>
      </c>
      <c r="AF199" t="s">
        <v>106</v>
      </c>
      <c r="AG199" t="s">
        <v>1</v>
      </c>
      <c r="AH199" t="s">
        <v>192</v>
      </c>
      <c r="AI199">
        <v>6500</v>
      </c>
      <c r="AJ199" t="s">
        <v>1</v>
      </c>
      <c r="AK199" t="s">
        <v>225</v>
      </c>
      <c r="AL199">
        <v>6999999</v>
      </c>
      <c r="AM199" t="s">
        <v>59</v>
      </c>
      <c r="AN199">
        <v>9204</v>
      </c>
      <c r="AO199" t="s">
        <v>50</v>
      </c>
    </row>
    <row r="200" spans="1:41" x14ac:dyDescent="0.25">
      <c r="A200" t="str">
        <f>VLOOKUP(MONTH(N200),Sheet1!$A$2:$B$13,2,0)</f>
        <v>Dez</v>
      </c>
      <c r="B200" t="str">
        <f>IF(LEFT(AO200,1)="B","CAPEX",IF(LEFT(AO200,1)="C","STOCK",IF(MID(AO200,7,2)="JA","STAFF",IF(MID(AO200,7,1)="H","STAFF",IF(MID(AO200,7,1)="S","STAFF",IF(MID(AO200,7,2)="JV","LOG",IFERROR(VLOOKUP($AO200,[1]!Table14[[New Account Number]:[Filtro2]],9,0),VLOOKUP($AO200,[1]!Table14[[Old Account Number]:[Filtro2]],12,0))))))))</f>
        <v>Aluguéis</v>
      </c>
      <c r="C200" t="str">
        <f>IF(LEFT(AO200,1)="B","CAPEX",IF(LEFT(AO200,1)="C","STOCK",IF(MID(AO200,7,2)="JA","STAFF",IF(MID(AO200,7,1)="H","STAFF",IF(MID(AO200,7,1)="S","STAFF",IF(MID(AO200,7,2)="JV","LOG",IFERROR(VLOOKUP($AO200,[1]!Table14[[New Account Number]:[Filtro2]],10,0),VLOOKUP($AO200,[1]!Table14[[Old Account Number]:[Filtro2]],13,0))))))))</f>
        <v>Total Outras Despesas Fixas</v>
      </c>
      <c r="D200" t="s">
        <v>43</v>
      </c>
      <c r="E200" t="s">
        <v>2</v>
      </c>
      <c r="F200" t="s">
        <v>3</v>
      </c>
      <c r="G200">
        <v>746572</v>
      </c>
      <c r="H200" t="s">
        <v>0</v>
      </c>
      <c r="I200" t="s">
        <v>49</v>
      </c>
      <c r="J200" t="s">
        <v>189</v>
      </c>
      <c r="K200" t="s">
        <v>1</v>
      </c>
      <c r="L200">
        <v>4211301181</v>
      </c>
      <c r="M200">
        <v>9001631078</v>
      </c>
      <c r="N200" s="2">
        <v>45992</v>
      </c>
      <c r="O200" s="2">
        <v>46067</v>
      </c>
      <c r="P200">
        <v>15705.2</v>
      </c>
      <c r="Q200" s="2">
        <v>45995</v>
      </c>
      <c r="R200">
        <v>5001855145</v>
      </c>
      <c r="S200">
        <v>2025</v>
      </c>
      <c r="T200">
        <v>371610</v>
      </c>
      <c r="U200" t="s">
        <v>1</v>
      </c>
      <c r="V200" s="2"/>
      <c r="W200" t="s">
        <v>1</v>
      </c>
      <c r="AE200">
        <v>0</v>
      </c>
      <c r="AF200" t="s">
        <v>184</v>
      </c>
      <c r="AG200" t="s">
        <v>1</v>
      </c>
      <c r="AH200" t="s">
        <v>1</v>
      </c>
      <c r="AI200">
        <v>15705.2</v>
      </c>
      <c r="AJ200" t="s">
        <v>1</v>
      </c>
      <c r="AK200" t="s">
        <v>1</v>
      </c>
      <c r="AL200">
        <v>6999999</v>
      </c>
      <c r="AM200" t="s">
        <v>59</v>
      </c>
      <c r="AN200">
        <v>9000</v>
      </c>
      <c r="AO200" t="s">
        <v>54</v>
      </c>
    </row>
    <row r="201" spans="1:41" x14ac:dyDescent="0.25">
      <c r="A201" t="str">
        <f>VLOOKUP(MONTH(N201),Sheet1!$A$2:$B$13,2,0)</f>
        <v>Dez</v>
      </c>
      <c r="B201" t="str">
        <f>IF(LEFT(AO201,1)="B","CAPEX",IF(LEFT(AO201,1)="C","STOCK",IF(MID(AO201,7,2)="JA","STAFF",IF(MID(AO201,7,1)="H","STAFF",IF(MID(AO201,7,1)="S","STAFF",IF(MID(AO201,7,2)="JV","LOG",IFERROR(VLOOKUP($AO201,[1]!Table14[[New Account Number]:[Filtro2]],9,0),VLOOKUP($AO201,[1]!Table14[[Old Account Number]:[Filtro2]],12,0))))))))</f>
        <v>CAPEX</v>
      </c>
      <c r="C201" t="str">
        <f>IF(LEFT(AO201,1)="B","CAPEX",IF(LEFT(AO201,1)="C","STOCK",IF(MID(AO201,7,2)="JA","STAFF",IF(MID(AO201,7,1)="H","STAFF",IF(MID(AO201,7,1)="S","STAFF",IF(MID(AO201,7,2)="JV","LOG",IFERROR(VLOOKUP($AO201,[1]!Table14[[New Account Number]:[Filtro2]],10,0),VLOOKUP($AO201,[1]!Table14[[Old Account Number]:[Filtro2]],13,0))))))))</f>
        <v>CAPEX</v>
      </c>
      <c r="D201" t="s">
        <v>46</v>
      </c>
      <c r="E201" t="s">
        <v>47</v>
      </c>
      <c r="F201" t="s">
        <v>48</v>
      </c>
      <c r="G201">
        <v>2357</v>
      </c>
      <c r="H201" t="s">
        <v>0</v>
      </c>
      <c r="I201" t="s">
        <v>176</v>
      </c>
      <c r="J201" t="s">
        <v>193</v>
      </c>
      <c r="K201" t="s">
        <v>1</v>
      </c>
      <c r="L201">
        <v>4211324964</v>
      </c>
      <c r="M201">
        <v>2600461821</v>
      </c>
      <c r="N201" s="2">
        <v>45996</v>
      </c>
      <c r="O201" s="2">
        <v>46056</v>
      </c>
      <c r="P201">
        <v>19600</v>
      </c>
      <c r="Q201" s="2">
        <v>45996</v>
      </c>
      <c r="R201">
        <v>5001861313</v>
      </c>
      <c r="S201">
        <v>2025</v>
      </c>
      <c r="T201">
        <v>371863</v>
      </c>
      <c r="U201" t="s">
        <v>1</v>
      </c>
      <c r="V201" s="2">
        <v>45996</v>
      </c>
      <c r="W201" t="s">
        <v>260</v>
      </c>
      <c r="AA201">
        <v>5001862352</v>
      </c>
      <c r="AB201">
        <v>2025</v>
      </c>
      <c r="AC201">
        <v>9004032072</v>
      </c>
      <c r="AD201">
        <v>2025</v>
      </c>
      <c r="AE201">
        <v>10415620</v>
      </c>
      <c r="AF201" t="s">
        <v>261</v>
      </c>
      <c r="AG201" t="s">
        <v>261</v>
      </c>
      <c r="AH201" t="s">
        <v>260</v>
      </c>
      <c r="AI201">
        <v>0</v>
      </c>
      <c r="AJ201" t="s">
        <v>1</v>
      </c>
      <c r="AK201" t="s">
        <v>1</v>
      </c>
      <c r="AL201">
        <v>6000003</v>
      </c>
      <c r="AM201" t="s">
        <v>177</v>
      </c>
      <c r="AO201" t="s">
        <v>262</v>
      </c>
    </row>
    <row r="202" spans="1:41" x14ac:dyDescent="0.25">
      <c r="A202" t="str">
        <f>VLOOKUP(MONTH(N202),Sheet1!$A$2:$B$13,2,0)</f>
        <v>Dez</v>
      </c>
      <c r="B202" t="str">
        <f>IF(LEFT(AO202,1)="B","CAPEX",IF(LEFT(AO202,1)="C","STOCK",IF(MID(AO202,7,2)="JA","STAFF",IF(MID(AO202,7,1)="H","STAFF",IF(MID(AO202,7,1)="S","STAFF",IF(MID(AO202,7,2)="JV","LOG",IFERROR(VLOOKUP($AO202,[1]!Table14[[New Account Number]:[Filtro2]],9,0),VLOOKUP($AO202,[1]!Table14[[Old Account Number]:[Filtro2]],12,0))))))))</f>
        <v>STAFF</v>
      </c>
      <c r="C202" t="str">
        <f>IF(LEFT(AO202,1)="B","CAPEX",IF(LEFT(AO202,1)="C","STOCK",IF(MID(AO202,7,2)="JA","STAFF",IF(MID(AO202,7,1)="H","STAFF",IF(MID(AO202,7,1)="S","STAFF",IF(MID(AO202,7,2)="JV","LOG",IFERROR(VLOOKUP($AO202,[1]!Table14[[New Account Number]:[Filtro2]],10,0),VLOOKUP($AO202,[1]!Table14[[Old Account Number]:[Filtro2]],13,0))))))))</f>
        <v>STAFF</v>
      </c>
      <c r="D202" t="s">
        <v>46</v>
      </c>
      <c r="E202" t="s">
        <v>47</v>
      </c>
      <c r="F202" t="s">
        <v>48</v>
      </c>
      <c r="G202">
        <v>9378</v>
      </c>
      <c r="H202" t="s">
        <v>0</v>
      </c>
      <c r="I202" t="s">
        <v>88</v>
      </c>
      <c r="J202" t="s">
        <v>158</v>
      </c>
      <c r="K202" t="s">
        <v>1</v>
      </c>
      <c r="L202">
        <v>4211326362</v>
      </c>
      <c r="M202">
        <v>9001693267</v>
      </c>
      <c r="N202" s="2">
        <v>46002</v>
      </c>
      <c r="O202" s="2">
        <v>46092</v>
      </c>
      <c r="P202">
        <v>8661.86</v>
      </c>
      <c r="Q202" s="2">
        <v>46002</v>
      </c>
      <c r="R202">
        <v>5001899105</v>
      </c>
      <c r="S202">
        <v>2025</v>
      </c>
      <c r="T202">
        <v>373100</v>
      </c>
      <c r="U202" t="s">
        <v>1</v>
      </c>
      <c r="V202" s="2">
        <v>46002</v>
      </c>
      <c r="W202" t="s">
        <v>90</v>
      </c>
      <c r="AA202">
        <v>5001896258</v>
      </c>
      <c r="AB202">
        <v>2025</v>
      </c>
      <c r="AC202">
        <v>9004034766</v>
      </c>
      <c r="AD202">
        <v>2025</v>
      </c>
      <c r="AE202">
        <v>10419821</v>
      </c>
      <c r="AF202" t="s">
        <v>89</v>
      </c>
      <c r="AG202" t="s">
        <v>89</v>
      </c>
      <c r="AH202" t="s">
        <v>90</v>
      </c>
      <c r="AI202">
        <v>0</v>
      </c>
      <c r="AJ202" t="s">
        <v>1</v>
      </c>
      <c r="AK202" t="s">
        <v>1</v>
      </c>
      <c r="AL202">
        <v>6999999</v>
      </c>
      <c r="AM202" t="s">
        <v>91</v>
      </c>
      <c r="AN202">
        <v>8240</v>
      </c>
      <c r="AO202" t="s">
        <v>243</v>
      </c>
    </row>
    <row r="203" spans="1:41" x14ac:dyDescent="0.25">
      <c r="A203" t="str">
        <f>VLOOKUP(MONTH(N203),Sheet1!$A$2:$B$13,2,0)</f>
        <v>Out</v>
      </c>
      <c r="B203" t="str">
        <f>IF(LEFT(AO203,1)="B","CAPEX",IF(LEFT(AO203,1)="C","STOCK",IF(MID(AO203,7,2)="JA","STAFF",IF(MID(AO203,7,1)="H","STAFF",IF(MID(AO203,7,1)="S","STAFF",IF(MID(AO203,7,2)="JV","LOG",IFERROR(VLOOKUP($AO203,[1]!Table14[[New Account Number]:[Filtro2]],9,0),VLOOKUP($AO203,[1]!Table14[[Old Account Number]:[Filtro2]],12,0))))))))</f>
        <v>Treinamento</v>
      </c>
      <c r="C203" t="str">
        <f>IF(LEFT(AO203,1)="B","CAPEX",IF(LEFT(AO203,1)="C","STOCK",IF(MID(AO203,7,2)="JA","STAFF",IF(MID(AO203,7,1)="H","STAFF",IF(MID(AO203,7,1)="S","STAFF",IF(MID(AO203,7,2)="JV","LOG",IFERROR(VLOOKUP($AO203,[1]!Table14[[New Account Number]:[Filtro2]],10,0),VLOOKUP($AO203,[1]!Table14[[Old Account Number]:[Filtro2]],13,0))))))))</f>
        <v>Total Outras Despesas Fixas</v>
      </c>
      <c r="D203" t="s">
        <v>43</v>
      </c>
      <c r="E203" t="s">
        <v>2</v>
      </c>
      <c r="F203" t="s">
        <v>3</v>
      </c>
      <c r="G203">
        <v>14841</v>
      </c>
      <c r="H203" t="s">
        <v>0</v>
      </c>
      <c r="I203" t="s">
        <v>44</v>
      </c>
      <c r="J203" t="s">
        <v>215</v>
      </c>
      <c r="K203" t="s">
        <v>1</v>
      </c>
      <c r="L203">
        <v>4211301849</v>
      </c>
      <c r="M203">
        <v>9001685016</v>
      </c>
      <c r="N203" s="2">
        <v>45951</v>
      </c>
      <c r="O203" s="2">
        <v>46011</v>
      </c>
      <c r="P203">
        <v>800</v>
      </c>
      <c r="Q203" s="2">
        <v>45951</v>
      </c>
      <c r="R203">
        <v>5001799923</v>
      </c>
      <c r="S203">
        <v>2025</v>
      </c>
      <c r="T203">
        <v>364065</v>
      </c>
      <c r="U203" t="s">
        <v>1</v>
      </c>
      <c r="V203" s="2"/>
      <c r="W203" t="s">
        <v>1</v>
      </c>
      <c r="AE203">
        <v>0</v>
      </c>
      <c r="AF203" t="s">
        <v>216</v>
      </c>
      <c r="AG203" t="s">
        <v>1</v>
      </c>
      <c r="AH203" t="s">
        <v>217</v>
      </c>
      <c r="AI203">
        <v>800</v>
      </c>
      <c r="AJ203" t="s">
        <v>1</v>
      </c>
      <c r="AK203" t="s">
        <v>1</v>
      </c>
      <c r="AL203">
        <v>6999999</v>
      </c>
      <c r="AM203" t="s">
        <v>92</v>
      </c>
      <c r="AN203">
        <v>2952</v>
      </c>
      <c r="AO203" t="s">
        <v>218</v>
      </c>
    </row>
    <row r="204" spans="1:41" x14ac:dyDescent="0.25">
      <c r="A204" t="str">
        <f>VLOOKUP(MONTH(N204),Sheet1!$A$2:$B$13,2,0)</f>
        <v>Dez</v>
      </c>
      <c r="B204" t="str">
        <f>IF(LEFT(AO204,1)="B","CAPEX",IF(LEFT(AO204,1)="C","STOCK",IF(MID(AO204,7,2)="JA","STAFF",IF(MID(AO204,7,1)="H","STAFF",IF(MID(AO204,7,1)="S","STAFF",IF(MID(AO204,7,2)="JV","LOG",IFERROR(VLOOKUP($AO204,[1]!Table14[[New Account Number]:[Filtro2]],9,0),VLOOKUP($AO204,[1]!Table14[[Old Account Number]:[Filtro2]],12,0))))))))</f>
        <v>Mão de Obra Temporária</v>
      </c>
      <c r="C204" t="str">
        <f>IF(LEFT(AO204,1)="B","CAPEX",IF(LEFT(AO204,1)="C","STOCK",IF(MID(AO204,7,2)="JA","STAFF",IF(MID(AO204,7,1)="H","STAFF",IF(MID(AO204,7,1)="S","STAFF",IF(MID(AO204,7,2)="JV","LOG",IFERROR(VLOOKUP($AO204,[1]!Table14[[New Account Number]:[Filtro2]],10,0),VLOOKUP($AO204,[1]!Table14[[Old Account Number]:[Filtro2]],13,0))))))))</f>
        <v>Total Outras Despesas Fixas</v>
      </c>
      <c r="D204" t="s">
        <v>43</v>
      </c>
      <c r="E204" t="s">
        <v>2</v>
      </c>
      <c r="F204" t="s">
        <v>3</v>
      </c>
      <c r="G204">
        <v>234</v>
      </c>
      <c r="H204" t="s">
        <v>0</v>
      </c>
      <c r="I204" t="s">
        <v>44</v>
      </c>
      <c r="J204" t="s">
        <v>264</v>
      </c>
      <c r="K204" t="s">
        <v>1</v>
      </c>
      <c r="L204">
        <v>4211330573</v>
      </c>
      <c r="M204">
        <v>9001690759</v>
      </c>
      <c r="N204" s="2">
        <v>45994</v>
      </c>
      <c r="O204" s="2">
        <v>46024</v>
      </c>
      <c r="P204">
        <v>24367.32</v>
      </c>
      <c r="Q204" s="2">
        <v>45999</v>
      </c>
      <c r="R204">
        <v>5001874723</v>
      </c>
      <c r="S204">
        <v>2025</v>
      </c>
      <c r="T204">
        <v>372336</v>
      </c>
      <c r="U204" t="s">
        <v>1</v>
      </c>
      <c r="V204" s="2"/>
      <c r="W204" t="s">
        <v>1</v>
      </c>
      <c r="AE204">
        <v>0</v>
      </c>
      <c r="AF204" t="s">
        <v>253</v>
      </c>
      <c r="AG204" t="s">
        <v>1</v>
      </c>
      <c r="AH204" t="s">
        <v>213</v>
      </c>
      <c r="AI204">
        <v>24367.32</v>
      </c>
      <c r="AJ204" t="s">
        <v>1</v>
      </c>
      <c r="AK204" t="s">
        <v>1</v>
      </c>
      <c r="AL204">
        <v>6999999</v>
      </c>
      <c r="AM204" t="s">
        <v>92</v>
      </c>
      <c r="AN204">
        <v>2952</v>
      </c>
      <c r="AO204" t="s">
        <v>265</v>
      </c>
    </row>
    <row r="205" spans="1:41" x14ac:dyDescent="0.25">
      <c r="A205" t="str">
        <f>VLOOKUP(MONTH(N205),Sheet1!$A$2:$B$13,2,0)</f>
        <v>Dez</v>
      </c>
      <c r="B205" t="str">
        <f>IF(LEFT(AO205,1)="B","CAPEX",IF(LEFT(AO205,1)="C","STOCK",IF(MID(AO205,7,2)="JA","STAFF",IF(MID(AO205,7,1)="H","STAFF",IF(MID(AO205,7,1)="S","STAFF",IF(MID(AO205,7,2)="JV","LOG",IFERROR(VLOOKUP($AO205,[1]!Table14[[New Account Number]:[Filtro2]],9,0),VLOOKUP($AO205,[1]!Table14[[Old Account Number]:[Filtro2]],12,0))))))))</f>
        <v>Aluguéis</v>
      </c>
      <c r="C205" t="str">
        <f>IF(LEFT(AO205,1)="B","CAPEX",IF(LEFT(AO205,1)="C","STOCK",IF(MID(AO205,7,2)="JA","STAFF",IF(MID(AO205,7,1)="H","STAFF",IF(MID(AO205,7,1)="S","STAFF",IF(MID(AO205,7,2)="JV","LOG",IFERROR(VLOOKUP($AO205,[1]!Table14[[New Account Number]:[Filtro2]],10,0),VLOOKUP($AO205,[1]!Table14[[Old Account Number]:[Filtro2]],13,0))))))))</f>
        <v>Total Outras Despesas Fixas</v>
      </c>
      <c r="D205" t="s">
        <v>43</v>
      </c>
      <c r="E205" t="s">
        <v>2</v>
      </c>
      <c r="F205" t="s">
        <v>3</v>
      </c>
      <c r="G205">
        <v>9383</v>
      </c>
      <c r="H205" t="s">
        <v>0</v>
      </c>
      <c r="I205" t="s">
        <v>49</v>
      </c>
      <c r="J205" t="s">
        <v>158</v>
      </c>
      <c r="K205" t="s">
        <v>1</v>
      </c>
      <c r="L205">
        <v>4211326362</v>
      </c>
      <c r="M205">
        <v>9001696037</v>
      </c>
      <c r="N205" s="2">
        <v>46002</v>
      </c>
      <c r="O205" s="2">
        <v>46092</v>
      </c>
      <c r="P205">
        <v>27903.39</v>
      </c>
      <c r="Q205" s="2">
        <v>46002</v>
      </c>
      <c r="R205">
        <v>5001899106</v>
      </c>
      <c r="S205">
        <v>2025</v>
      </c>
      <c r="T205">
        <v>373105</v>
      </c>
      <c r="U205" t="s">
        <v>1</v>
      </c>
      <c r="V205" s="2"/>
      <c r="W205" t="s">
        <v>1</v>
      </c>
      <c r="AE205">
        <v>0</v>
      </c>
      <c r="AF205" t="s">
        <v>144</v>
      </c>
      <c r="AG205" t="s">
        <v>1</v>
      </c>
      <c r="AH205" t="s">
        <v>145</v>
      </c>
      <c r="AI205">
        <v>27903.39</v>
      </c>
      <c r="AJ205" t="s">
        <v>1</v>
      </c>
      <c r="AK205" t="s">
        <v>1</v>
      </c>
      <c r="AL205">
        <v>6999999</v>
      </c>
      <c r="AM205" t="s">
        <v>59</v>
      </c>
      <c r="AN205">
        <v>9000</v>
      </c>
      <c r="AO205" t="s">
        <v>146</v>
      </c>
    </row>
    <row r="206" spans="1:41" x14ac:dyDescent="0.25">
      <c r="A206" t="str">
        <f>VLOOKUP(MONTH(N206),Sheet1!$A$2:$B$13,2,0)</f>
        <v>Dez</v>
      </c>
      <c r="B206" t="str">
        <f>IF(LEFT(AO206,1)="B","CAPEX",IF(LEFT(AO206,1)="C","STOCK",IF(MID(AO206,7,2)="JA","STAFF",IF(MID(AO206,7,1)="H","STAFF",IF(MID(AO206,7,1)="S","STAFF",IF(MID(AO206,7,2)="JV","LOG",IFERROR(VLOOKUP($AO206,[1]!Table14[[New Account Number]:[Filtro2]],9,0),VLOOKUP($AO206,[1]!Table14[[Old Account Number]:[Filtro2]],12,0))))))))</f>
        <v>Aluguéis</v>
      </c>
      <c r="C206" t="str">
        <f>IF(LEFT(AO206,1)="B","CAPEX",IF(LEFT(AO206,1)="C","STOCK",IF(MID(AO206,7,2)="JA","STAFF",IF(MID(AO206,7,1)="H","STAFF",IF(MID(AO206,7,1)="S","STAFF",IF(MID(AO206,7,2)="JV","LOG",IFERROR(VLOOKUP($AO206,[1]!Table14[[New Account Number]:[Filtro2]],10,0),VLOOKUP($AO206,[1]!Table14[[Old Account Number]:[Filtro2]],13,0))))))))</f>
        <v>Total Outras Despesas Fixas</v>
      </c>
      <c r="D206" t="s">
        <v>43</v>
      </c>
      <c r="E206" t="s">
        <v>2</v>
      </c>
      <c r="F206" t="s">
        <v>3</v>
      </c>
      <c r="G206">
        <v>746570</v>
      </c>
      <c r="H206" t="s">
        <v>0</v>
      </c>
      <c r="I206" t="s">
        <v>49</v>
      </c>
      <c r="J206" t="s">
        <v>189</v>
      </c>
      <c r="K206" t="s">
        <v>1</v>
      </c>
      <c r="L206">
        <v>4211301181</v>
      </c>
      <c r="M206">
        <v>9001631078</v>
      </c>
      <c r="N206" s="2">
        <v>45992</v>
      </c>
      <c r="O206" s="2">
        <v>46067</v>
      </c>
      <c r="P206">
        <v>111.89</v>
      </c>
      <c r="Q206" s="2">
        <v>45995</v>
      </c>
      <c r="R206">
        <v>5001855146</v>
      </c>
      <c r="S206">
        <v>2025</v>
      </c>
      <c r="T206">
        <v>371607</v>
      </c>
      <c r="U206" t="s">
        <v>1</v>
      </c>
      <c r="V206" s="2"/>
      <c r="W206" t="s">
        <v>1</v>
      </c>
      <c r="AE206">
        <v>0</v>
      </c>
      <c r="AF206" t="s">
        <v>184</v>
      </c>
      <c r="AG206" t="s">
        <v>1</v>
      </c>
      <c r="AH206" t="s">
        <v>1</v>
      </c>
      <c r="AI206">
        <v>111.84</v>
      </c>
      <c r="AJ206" t="s">
        <v>1</v>
      </c>
      <c r="AK206" t="s">
        <v>1</v>
      </c>
      <c r="AL206">
        <v>6999999</v>
      </c>
      <c r="AM206" t="s">
        <v>59</v>
      </c>
      <c r="AN206">
        <v>9000</v>
      </c>
      <c r="AO206" t="s">
        <v>54</v>
      </c>
    </row>
    <row r="207" spans="1:41" x14ac:dyDescent="0.25">
      <c r="A207" t="str">
        <f>VLOOKUP(MONTH(N207),Sheet1!$A$2:$B$13,2,0)</f>
        <v>Nov</v>
      </c>
      <c r="B207" t="str">
        <f>IF(LEFT(AO207,1)="B","CAPEX",IF(LEFT(AO207,1)="C","STOCK",IF(MID(AO207,7,2)="JA","STAFF",IF(MID(AO207,7,1)="H","STAFF",IF(MID(AO207,7,1)="S","STAFF",IF(MID(AO207,7,2)="JV","LOG",IFERROR(VLOOKUP($AO207,[1]!Table14[[New Account Number]:[Filtro2]],9,0),VLOOKUP($AO207,[1]!Table14[[Old Account Number]:[Filtro2]],12,0))))))))</f>
        <v>Manutenção Terceiros</v>
      </c>
      <c r="C207" t="str">
        <f>IF(LEFT(AO207,1)="B","CAPEX",IF(LEFT(AO207,1)="C","STOCK",IF(MID(AO207,7,2)="JA","STAFF",IF(MID(AO207,7,1)="H","STAFF",IF(MID(AO207,7,1)="S","STAFF",IF(MID(AO207,7,2)="JV","LOG",IFERROR(VLOOKUP($AO207,[1]!Table14[[New Account Number]:[Filtro2]],10,0),VLOOKUP($AO207,[1]!Table14[[Old Account Number]:[Filtro2]],13,0))))))))</f>
        <v>Total Manutenção Variável</v>
      </c>
      <c r="D207" t="s">
        <v>43</v>
      </c>
      <c r="E207" t="s">
        <v>2</v>
      </c>
      <c r="F207" t="s">
        <v>3</v>
      </c>
      <c r="G207">
        <v>9576</v>
      </c>
      <c r="H207" t="s">
        <v>0</v>
      </c>
      <c r="I207" t="s">
        <v>49</v>
      </c>
      <c r="J207" t="s">
        <v>204</v>
      </c>
      <c r="K207" t="s">
        <v>1</v>
      </c>
      <c r="L207">
        <v>4211331436</v>
      </c>
      <c r="M207">
        <v>2600465994</v>
      </c>
      <c r="N207" s="2">
        <v>45978</v>
      </c>
      <c r="O207" s="2">
        <v>45999</v>
      </c>
      <c r="P207">
        <v>3800</v>
      </c>
      <c r="Q207" s="2">
        <v>45978</v>
      </c>
      <c r="R207">
        <v>5001714883</v>
      </c>
      <c r="S207">
        <v>2025</v>
      </c>
      <c r="T207">
        <v>368585</v>
      </c>
      <c r="U207" t="s">
        <v>1</v>
      </c>
      <c r="V207" s="2"/>
      <c r="W207" t="s">
        <v>1</v>
      </c>
      <c r="AE207">
        <v>0</v>
      </c>
      <c r="AF207" t="s">
        <v>81</v>
      </c>
      <c r="AG207" t="s">
        <v>1</v>
      </c>
      <c r="AH207" t="s">
        <v>96</v>
      </c>
      <c r="AI207">
        <v>3800</v>
      </c>
      <c r="AJ207" t="s">
        <v>1</v>
      </c>
      <c r="AK207" t="s">
        <v>1</v>
      </c>
      <c r="AL207">
        <v>6999999</v>
      </c>
      <c r="AM207" t="s">
        <v>59</v>
      </c>
      <c r="AN207">
        <v>9013</v>
      </c>
      <c r="AO207" t="s">
        <v>50</v>
      </c>
    </row>
    <row r="208" spans="1:41" x14ac:dyDescent="0.25">
      <c r="A208" t="str">
        <f>VLOOKUP(MONTH(N208),Sheet1!$A$2:$B$13,2,0)</f>
        <v>Out</v>
      </c>
      <c r="B208" t="str">
        <f>IF(LEFT(AO208,1)="B","CAPEX",IF(LEFT(AO208,1)="C","STOCK",IF(MID(AO208,7,2)="JA","STAFF",IF(MID(AO208,7,1)="H","STAFF",IF(MID(AO208,7,1)="S","STAFF",IF(MID(AO208,7,2)="JV","LOG",IFERROR(VLOOKUP($AO208,[1]!Table14[[New Account Number]:[Filtro2]],9,0),VLOOKUP($AO208,[1]!Table14[[Old Account Number]:[Filtro2]],12,0))))))))</f>
        <v>Manutenção Terceiros</v>
      </c>
      <c r="C208" t="str">
        <f>IF(LEFT(AO208,1)="B","CAPEX",IF(LEFT(AO208,1)="C","STOCK",IF(MID(AO208,7,2)="JA","STAFF",IF(MID(AO208,7,1)="H","STAFF",IF(MID(AO208,7,1)="S","STAFF",IF(MID(AO208,7,2)="JV","LOG",IFERROR(VLOOKUP($AO208,[1]!Table14[[New Account Number]:[Filtro2]],10,0),VLOOKUP($AO208,[1]!Table14[[Old Account Number]:[Filtro2]],13,0))))))))</f>
        <v>Total Manutenção Variável</v>
      </c>
      <c r="D208" t="s">
        <v>43</v>
      </c>
      <c r="E208" t="s">
        <v>2</v>
      </c>
      <c r="F208" t="s">
        <v>3</v>
      </c>
      <c r="G208">
        <v>4312</v>
      </c>
      <c r="H208" t="s">
        <v>0</v>
      </c>
      <c r="I208" t="s">
        <v>49</v>
      </c>
      <c r="J208" t="s">
        <v>115</v>
      </c>
      <c r="K208" t="s">
        <v>1</v>
      </c>
      <c r="L208">
        <v>4211326400</v>
      </c>
      <c r="M208">
        <v>9001684419</v>
      </c>
      <c r="N208" s="2">
        <v>45950</v>
      </c>
      <c r="O208" s="2">
        <v>46020</v>
      </c>
      <c r="P208">
        <v>53900</v>
      </c>
      <c r="Q208" s="2">
        <v>45951</v>
      </c>
      <c r="R208">
        <v>5001622271</v>
      </c>
      <c r="S208">
        <v>2025</v>
      </c>
      <c r="T208">
        <v>364077</v>
      </c>
      <c r="U208" t="s">
        <v>1</v>
      </c>
      <c r="V208" s="2"/>
      <c r="W208" t="s">
        <v>1</v>
      </c>
      <c r="AE208">
        <v>0</v>
      </c>
      <c r="AF208" t="s">
        <v>106</v>
      </c>
      <c r="AG208" t="s">
        <v>1</v>
      </c>
      <c r="AH208" t="s">
        <v>192</v>
      </c>
      <c r="AI208">
        <v>53900</v>
      </c>
      <c r="AJ208" t="s">
        <v>1</v>
      </c>
      <c r="AK208" t="s">
        <v>1</v>
      </c>
      <c r="AL208">
        <v>6999999</v>
      </c>
      <c r="AM208" t="s">
        <v>59</v>
      </c>
      <c r="AN208">
        <v>9201</v>
      </c>
      <c r="AO208" t="s">
        <v>50</v>
      </c>
    </row>
    <row r="209" spans="1:41" x14ac:dyDescent="0.25">
      <c r="A209" t="str">
        <f>VLOOKUP(MONTH(N209),Sheet1!$A$2:$B$13,2,0)</f>
        <v>Out</v>
      </c>
      <c r="B209" t="str">
        <f>IF(LEFT(AO209,1)="B","CAPEX",IF(LEFT(AO209,1)="C","STOCK",IF(MID(AO209,7,2)="JA","STAFF",IF(MID(AO209,7,1)="H","STAFF",IF(MID(AO209,7,1)="S","STAFF",IF(MID(AO209,7,2)="JV","LOG",IFERROR(VLOOKUP($AO209,[1]!Table14[[New Account Number]:[Filtro2]],9,0),VLOOKUP($AO209,[1]!Table14[[Old Account Number]:[Filtro2]],12,0))))))))</f>
        <v>Aluguéis</v>
      </c>
      <c r="C209" t="str">
        <f>IF(LEFT(AO209,1)="B","CAPEX",IF(LEFT(AO209,1)="C","STOCK",IF(MID(AO209,7,2)="JA","STAFF",IF(MID(AO209,7,1)="H","STAFF",IF(MID(AO209,7,1)="S","STAFF",IF(MID(AO209,7,2)="JV","LOG",IFERROR(VLOOKUP($AO209,[1]!Table14[[New Account Number]:[Filtro2]],10,0),VLOOKUP($AO209,[1]!Table14[[Old Account Number]:[Filtro2]],13,0))))))))</f>
        <v>Total Outras Despesas Fixas</v>
      </c>
      <c r="D209" t="s">
        <v>43</v>
      </c>
      <c r="E209" t="s">
        <v>2</v>
      </c>
      <c r="F209" t="s">
        <v>3</v>
      </c>
      <c r="G209">
        <v>901118</v>
      </c>
      <c r="H209" t="s">
        <v>0</v>
      </c>
      <c r="I209" t="s">
        <v>49</v>
      </c>
      <c r="J209" t="s">
        <v>142</v>
      </c>
      <c r="K209" t="s">
        <v>1</v>
      </c>
      <c r="L209">
        <v>4211328965</v>
      </c>
      <c r="M209">
        <v>9001676803</v>
      </c>
      <c r="N209" s="2">
        <v>45943</v>
      </c>
      <c r="O209" s="2">
        <v>45973</v>
      </c>
      <c r="P209">
        <v>13439.08</v>
      </c>
      <c r="Q209" s="2">
        <v>45943</v>
      </c>
      <c r="R209">
        <v>5001461618</v>
      </c>
      <c r="S209">
        <v>2025</v>
      </c>
      <c r="T209">
        <v>362775</v>
      </c>
      <c r="U209" t="s">
        <v>1</v>
      </c>
      <c r="V209" s="2"/>
      <c r="W209" t="s">
        <v>1</v>
      </c>
      <c r="AE209">
        <v>0</v>
      </c>
      <c r="AF209" t="s">
        <v>51</v>
      </c>
      <c r="AG209" t="s">
        <v>1</v>
      </c>
      <c r="AH209" t="s">
        <v>52</v>
      </c>
      <c r="AI209">
        <v>13439.08</v>
      </c>
      <c r="AJ209" t="s">
        <v>1</v>
      </c>
      <c r="AK209" t="s">
        <v>1</v>
      </c>
      <c r="AL209">
        <v>6999999</v>
      </c>
      <c r="AM209" t="s">
        <v>59</v>
      </c>
      <c r="AN209">
        <v>9000</v>
      </c>
      <c r="AO209" t="s">
        <v>54</v>
      </c>
    </row>
    <row r="210" spans="1:41" x14ac:dyDescent="0.25">
      <c r="A210" t="str">
        <f>VLOOKUP(MONTH(N210),Sheet1!$A$2:$B$13,2,0)</f>
        <v>Ago</v>
      </c>
      <c r="B210" t="str">
        <f>IF(LEFT(AO210,1)="B","CAPEX",IF(LEFT(AO210,1)="C","STOCK",IF(MID(AO210,7,2)="JA","STAFF",IF(MID(AO210,7,1)="H","STAFF",IF(MID(AO210,7,1)="S","STAFF",IF(MID(AO210,7,2)="JV","LOG",IFERROR(VLOOKUP($AO210,[1]!Table14[[New Account Number]:[Filtro2]],9,0),VLOOKUP($AO210,[1]!Table14[[Old Account Number]:[Filtro2]],12,0))))))))</f>
        <v>Manutenção Terceiros</v>
      </c>
      <c r="C210" t="str">
        <f>IF(LEFT(AO210,1)="B","CAPEX",IF(LEFT(AO210,1)="C","STOCK",IF(MID(AO210,7,2)="JA","STAFF",IF(MID(AO210,7,1)="H","STAFF",IF(MID(AO210,7,1)="S","STAFF",IF(MID(AO210,7,2)="JV","LOG",IFERROR(VLOOKUP($AO210,[1]!Table14[[New Account Number]:[Filtro2]],10,0),VLOOKUP($AO210,[1]!Table14[[Old Account Number]:[Filtro2]],13,0))))))))</f>
        <v>Total Manutenção Variável</v>
      </c>
      <c r="D210" t="s">
        <v>46</v>
      </c>
      <c r="E210" t="s">
        <v>47</v>
      </c>
      <c r="F210" t="s">
        <v>48</v>
      </c>
      <c r="G210">
        <v>15120</v>
      </c>
      <c r="H210" t="s">
        <v>0</v>
      </c>
      <c r="I210" t="s">
        <v>49</v>
      </c>
      <c r="J210" t="s">
        <v>130</v>
      </c>
      <c r="K210" t="s">
        <v>1</v>
      </c>
      <c r="L210">
        <v>4211308820</v>
      </c>
      <c r="M210">
        <v>2600465945</v>
      </c>
      <c r="N210" s="2">
        <v>45880</v>
      </c>
      <c r="O210" s="2">
        <v>45940</v>
      </c>
      <c r="P210">
        <v>4831</v>
      </c>
      <c r="Q210" s="2">
        <v>45880</v>
      </c>
      <c r="R210">
        <v>5001198800</v>
      </c>
      <c r="S210">
        <v>2025</v>
      </c>
      <c r="T210">
        <v>351644</v>
      </c>
      <c r="U210" t="s">
        <v>1</v>
      </c>
      <c r="V210" s="2">
        <v>46003</v>
      </c>
      <c r="W210" t="s">
        <v>182</v>
      </c>
      <c r="AA210">
        <v>5001902855</v>
      </c>
      <c r="AB210">
        <v>2025</v>
      </c>
      <c r="AC210">
        <v>9004035271</v>
      </c>
      <c r="AD210">
        <v>2025</v>
      </c>
      <c r="AE210">
        <v>10421160</v>
      </c>
      <c r="AF210" t="s">
        <v>81</v>
      </c>
      <c r="AG210" t="s">
        <v>181</v>
      </c>
      <c r="AH210" t="s">
        <v>96</v>
      </c>
      <c r="AI210">
        <v>0</v>
      </c>
      <c r="AJ210" t="s">
        <v>1</v>
      </c>
      <c r="AK210" t="s">
        <v>1</v>
      </c>
      <c r="AL210">
        <v>6999999</v>
      </c>
      <c r="AM210" t="s">
        <v>59</v>
      </c>
      <c r="AN210">
        <v>9013</v>
      </c>
      <c r="AO210" t="s">
        <v>50</v>
      </c>
    </row>
    <row r="211" spans="1:41" x14ac:dyDescent="0.25">
      <c r="A211" t="str">
        <f>VLOOKUP(MONTH(N211),Sheet1!$A$2:$B$13,2,0)</f>
        <v>Nov</v>
      </c>
      <c r="B211" t="str">
        <f>IF(LEFT(AO211,1)="B","CAPEX",IF(LEFT(AO211,1)="C","STOCK",IF(MID(AO211,7,2)="JA","STAFF",IF(MID(AO211,7,1)="H","STAFF",IF(MID(AO211,7,1)="S","STAFF",IF(MID(AO211,7,2)="JV","LOG",IFERROR(VLOOKUP($AO211,[1]!Table14[[New Account Number]:[Filtro2]],9,0),VLOOKUP($AO211,[1]!Table14[[Old Account Number]:[Filtro2]],12,0))))))))</f>
        <v>Manutenção Terceiros</v>
      </c>
      <c r="C211" t="str">
        <f>IF(LEFT(AO211,1)="B","CAPEX",IF(LEFT(AO211,1)="C","STOCK",IF(MID(AO211,7,2)="JA","STAFF",IF(MID(AO211,7,1)="H","STAFF",IF(MID(AO211,7,1)="S","STAFF",IF(MID(AO211,7,2)="JV","LOG",IFERROR(VLOOKUP($AO211,[1]!Table14[[New Account Number]:[Filtro2]],10,0),VLOOKUP($AO211,[1]!Table14[[Old Account Number]:[Filtro2]],13,0))))))))</f>
        <v>Total Manutenção Variável</v>
      </c>
      <c r="D211" t="s">
        <v>43</v>
      </c>
      <c r="E211" t="s">
        <v>2</v>
      </c>
      <c r="F211" t="s">
        <v>3</v>
      </c>
      <c r="G211">
        <v>11728</v>
      </c>
      <c r="H211" t="s">
        <v>0</v>
      </c>
      <c r="I211" t="s">
        <v>49</v>
      </c>
      <c r="J211" t="s">
        <v>99</v>
      </c>
      <c r="K211" t="s">
        <v>1</v>
      </c>
      <c r="L211">
        <v>4211324689</v>
      </c>
      <c r="M211">
        <v>9001687932</v>
      </c>
      <c r="N211" s="2">
        <v>45965</v>
      </c>
      <c r="O211" s="2">
        <v>46085</v>
      </c>
      <c r="P211">
        <v>1633.05</v>
      </c>
      <c r="Q211" s="2">
        <v>45966</v>
      </c>
      <c r="R211">
        <v>5001636931</v>
      </c>
      <c r="S211">
        <v>2025</v>
      </c>
      <c r="T211">
        <v>366414</v>
      </c>
      <c r="U211" t="s">
        <v>1</v>
      </c>
      <c r="V211" s="2"/>
      <c r="W211" t="s">
        <v>1</v>
      </c>
      <c r="AE211">
        <v>0</v>
      </c>
      <c r="AF211" t="s">
        <v>106</v>
      </c>
      <c r="AG211" t="s">
        <v>1</v>
      </c>
      <c r="AH211" t="s">
        <v>192</v>
      </c>
      <c r="AI211">
        <v>1633.05</v>
      </c>
      <c r="AJ211" t="s">
        <v>1</v>
      </c>
      <c r="AK211" t="s">
        <v>1</v>
      </c>
      <c r="AL211">
        <v>6000020</v>
      </c>
      <c r="AM211" t="s">
        <v>59</v>
      </c>
      <c r="AN211">
        <v>9104</v>
      </c>
      <c r="AO211" t="s">
        <v>50</v>
      </c>
    </row>
    <row r="212" spans="1:41" x14ac:dyDescent="0.25">
      <c r="A212" t="str">
        <f>VLOOKUP(MONTH(N212),Sheet1!$A$2:$B$13,2,0)</f>
        <v>Out</v>
      </c>
      <c r="B212" t="str">
        <f>IF(LEFT(AO212,1)="B","CAPEX",IF(LEFT(AO212,1)="C","STOCK",IF(MID(AO212,7,2)="JA","STAFF",IF(MID(AO212,7,1)="H","STAFF",IF(MID(AO212,7,1)="S","STAFF",IF(MID(AO212,7,2)="JV","LOG",IFERROR(VLOOKUP($AO212,[1]!Table14[[New Account Number]:[Filtro2]],9,0),VLOOKUP($AO212,[1]!Table14[[Old Account Number]:[Filtro2]],12,0))))))))</f>
        <v>Aluguéis</v>
      </c>
      <c r="C212" t="str">
        <f>IF(LEFT(AO212,1)="B","CAPEX",IF(LEFT(AO212,1)="C","STOCK",IF(MID(AO212,7,2)="JA","STAFF",IF(MID(AO212,7,1)="H","STAFF",IF(MID(AO212,7,1)="S","STAFF",IF(MID(AO212,7,2)="JV","LOG",IFERROR(VLOOKUP($AO212,[1]!Table14[[New Account Number]:[Filtro2]],10,0),VLOOKUP($AO212,[1]!Table14[[Old Account Number]:[Filtro2]],13,0))))))))</f>
        <v>Total Outras Despesas Fixas</v>
      </c>
      <c r="D212" t="s">
        <v>43</v>
      </c>
      <c r="E212" t="s">
        <v>2</v>
      </c>
      <c r="F212" t="s">
        <v>3</v>
      </c>
      <c r="G212">
        <v>21725</v>
      </c>
      <c r="H212" t="s">
        <v>0</v>
      </c>
      <c r="I212" t="s">
        <v>49</v>
      </c>
      <c r="J212" t="s">
        <v>143</v>
      </c>
      <c r="K212" t="s">
        <v>1</v>
      </c>
      <c r="L212">
        <v>4251304263</v>
      </c>
      <c r="M212">
        <v>2600467858</v>
      </c>
      <c r="N212" s="2">
        <v>45939</v>
      </c>
      <c r="O212" s="2">
        <v>45984</v>
      </c>
      <c r="P212">
        <v>5992</v>
      </c>
      <c r="Q212" s="2">
        <v>45939</v>
      </c>
      <c r="R212">
        <v>5001443824</v>
      </c>
      <c r="S212">
        <v>2025</v>
      </c>
      <c r="T212">
        <v>362293</v>
      </c>
      <c r="U212" t="s">
        <v>1</v>
      </c>
      <c r="V212" s="2"/>
      <c r="W212" t="s">
        <v>1</v>
      </c>
      <c r="AE212">
        <v>0</v>
      </c>
      <c r="AF212" t="s">
        <v>144</v>
      </c>
      <c r="AG212" t="s">
        <v>1</v>
      </c>
      <c r="AH212" t="s">
        <v>145</v>
      </c>
      <c r="AI212">
        <v>5992</v>
      </c>
      <c r="AJ212" t="s">
        <v>1</v>
      </c>
      <c r="AK212" t="s">
        <v>1</v>
      </c>
      <c r="AL212">
        <v>6000009</v>
      </c>
      <c r="AM212" t="s">
        <v>59</v>
      </c>
      <c r="AN212">
        <v>9000</v>
      </c>
      <c r="AO212" t="s">
        <v>146</v>
      </c>
    </row>
    <row r="213" spans="1:41" x14ac:dyDescent="0.25">
      <c r="A213" t="str">
        <f>VLOOKUP(MONTH(N213),Sheet1!$A$2:$B$13,2,0)</f>
        <v>Out</v>
      </c>
      <c r="B213" t="str">
        <f>IF(LEFT(AO213,1)="B","CAPEX",IF(LEFT(AO213,1)="C","STOCK",IF(MID(AO213,7,2)="JA","STAFF",IF(MID(AO213,7,1)="H","STAFF",IF(MID(AO213,7,1)="S","STAFF",IF(MID(AO213,7,2)="JV","LOG",IFERROR(VLOOKUP($AO213,[1]!Table14[[New Account Number]:[Filtro2]],9,0),VLOOKUP($AO213,[1]!Table14[[Old Account Number]:[Filtro2]],12,0))))))))</f>
        <v>Manutenção Terceiros</v>
      </c>
      <c r="C213" t="str">
        <f>IF(LEFT(AO213,1)="B","CAPEX",IF(LEFT(AO213,1)="C","STOCK",IF(MID(AO213,7,2)="JA","STAFF",IF(MID(AO213,7,1)="H","STAFF",IF(MID(AO213,7,1)="S","STAFF",IF(MID(AO213,7,2)="JV","LOG",IFERROR(VLOOKUP($AO213,[1]!Table14[[New Account Number]:[Filtro2]],10,0),VLOOKUP($AO213,[1]!Table14[[Old Account Number]:[Filtro2]],13,0))))))))</f>
        <v>Total Manutenção Variável</v>
      </c>
      <c r="D213" t="s">
        <v>43</v>
      </c>
      <c r="E213" t="s">
        <v>2</v>
      </c>
      <c r="F213" t="s">
        <v>3</v>
      </c>
      <c r="G213">
        <v>102</v>
      </c>
      <c r="H213" t="s">
        <v>0</v>
      </c>
      <c r="I213" t="s">
        <v>49</v>
      </c>
      <c r="J213" t="s">
        <v>175</v>
      </c>
      <c r="K213" t="s">
        <v>1</v>
      </c>
      <c r="L213">
        <v>4211302205</v>
      </c>
      <c r="M213">
        <v>2600468295</v>
      </c>
      <c r="N213" s="2">
        <v>45944</v>
      </c>
      <c r="O213" s="2">
        <v>46014</v>
      </c>
      <c r="P213">
        <v>4481</v>
      </c>
      <c r="Q213" s="2">
        <v>45944</v>
      </c>
      <c r="R213">
        <v>5001469673</v>
      </c>
      <c r="S213">
        <v>2025</v>
      </c>
      <c r="T213">
        <v>362915</v>
      </c>
      <c r="U213" t="s">
        <v>1</v>
      </c>
      <c r="V213" s="2"/>
      <c r="W213" t="s">
        <v>1</v>
      </c>
      <c r="AE213">
        <v>0</v>
      </c>
      <c r="AF213" t="s">
        <v>166</v>
      </c>
      <c r="AG213" t="s">
        <v>1</v>
      </c>
      <c r="AH213" t="s">
        <v>1</v>
      </c>
      <c r="AI213">
        <v>4481</v>
      </c>
      <c r="AJ213" t="s">
        <v>1</v>
      </c>
      <c r="AK213" t="s">
        <v>1</v>
      </c>
      <c r="AL213">
        <v>6999999</v>
      </c>
      <c r="AM213" t="s">
        <v>59</v>
      </c>
      <c r="AN213">
        <v>9117</v>
      </c>
      <c r="AO213" t="s">
        <v>50</v>
      </c>
    </row>
    <row r="214" spans="1:41" x14ac:dyDescent="0.25">
      <c r="A214" t="str">
        <f>VLOOKUP(MONTH(N214),Sheet1!$A$2:$B$13,2,0)</f>
        <v>Out</v>
      </c>
      <c r="B214" t="str">
        <f>IF(LEFT(AO214,1)="B","CAPEX",IF(LEFT(AO214,1)="C","STOCK",IF(MID(AO214,7,2)="JA","STAFF",IF(MID(AO214,7,1)="H","STAFF",IF(MID(AO214,7,1)="S","STAFF",IF(MID(AO214,7,2)="JV","LOG",IFERROR(VLOOKUP($AO214,[1]!Table14[[New Account Number]:[Filtro2]],9,0),VLOOKUP($AO214,[1]!Table14[[Old Account Number]:[Filtro2]],12,0))))))))</f>
        <v>Manutenção Terceiros</v>
      </c>
      <c r="C214" t="str">
        <f>IF(LEFT(AO214,1)="B","CAPEX",IF(LEFT(AO214,1)="C","STOCK",IF(MID(AO214,7,2)="JA","STAFF",IF(MID(AO214,7,1)="H","STAFF",IF(MID(AO214,7,1)="S","STAFF",IF(MID(AO214,7,2)="JV","LOG",IFERROR(VLOOKUP($AO214,[1]!Table14[[New Account Number]:[Filtro2]],10,0),VLOOKUP($AO214,[1]!Table14[[Old Account Number]:[Filtro2]],13,0))))))))</f>
        <v>Total Manutenção Variável</v>
      </c>
      <c r="D214" t="s">
        <v>43</v>
      </c>
      <c r="E214" t="s">
        <v>2</v>
      </c>
      <c r="F214" t="s">
        <v>3</v>
      </c>
      <c r="G214">
        <v>103</v>
      </c>
      <c r="H214" t="s">
        <v>0</v>
      </c>
      <c r="I214" t="s">
        <v>49</v>
      </c>
      <c r="J214" t="s">
        <v>175</v>
      </c>
      <c r="K214" t="s">
        <v>1</v>
      </c>
      <c r="L214">
        <v>4211302205</v>
      </c>
      <c r="M214">
        <v>2600468289</v>
      </c>
      <c r="N214" s="2">
        <v>45944</v>
      </c>
      <c r="O214" s="2">
        <v>46014</v>
      </c>
      <c r="P214">
        <v>493</v>
      </c>
      <c r="Q214" s="2">
        <v>45944</v>
      </c>
      <c r="R214">
        <v>5001469674</v>
      </c>
      <c r="S214">
        <v>2025</v>
      </c>
      <c r="T214">
        <v>362916</v>
      </c>
      <c r="U214" t="s">
        <v>1</v>
      </c>
      <c r="V214" s="2"/>
      <c r="W214" t="s">
        <v>1</v>
      </c>
      <c r="AE214">
        <v>0</v>
      </c>
      <c r="AF214" t="s">
        <v>184</v>
      </c>
      <c r="AG214" t="s">
        <v>1</v>
      </c>
      <c r="AH214" t="s">
        <v>1</v>
      </c>
      <c r="AI214">
        <v>493</v>
      </c>
      <c r="AJ214" t="s">
        <v>1</v>
      </c>
      <c r="AK214" t="s">
        <v>1</v>
      </c>
      <c r="AL214">
        <v>6999999</v>
      </c>
      <c r="AM214" t="s">
        <v>59</v>
      </c>
      <c r="AN214">
        <v>9117</v>
      </c>
      <c r="AO214" t="s">
        <v>50</v>
      </c>
    </row>
    <row r="215" spans="1:41" x14ac:dyDescent="0.25">
      <c r="A215" t="str">
        <f>VLOOKUP(MONTH(N215),Sheet1!$A$2:$B$13,2,0)</f>
        <v>Out</v>
      </c>
      <c r="B215" t="str">
        <f>IF(LEFT(AO215,1)="B","CAPEX",IF(LEFT(AO215,1)="C","STOCK",IF(MID(AO215,7,2)="JA","STAFF",IF(MID(AO215,7,1)="H","STAFF",IF(MID(AO215,7,1)="S","STAFF",IF(MID(AO215,7,2)="JV","LOG",IFERROR(VLOOKUP($AO215,[1]!Table14[[New Account Number]:[Filtro2]],9,0),VLOOKUP($AO215,[1]!Table14[[Old Account Number]:[Filtro2]],12,0))))))))</f>
        <v>STAFF</v>
      </c>
      <c r="C215" t="str">
        <f>IF(LEFT(AO215,1)="B","CAPEX",IF(LEFT(AO215,1)="C","STOCK",IF(MID(AO215,7,2)="JA","STAFF",IF(MID(AO215,7,1)="H","STAFF",IF(MID(AO215,7,1)="S","STAFF",IF(MID(AO215,7,2)="JV","LOG",IFERROR(VLOOKUP($AO215,[1]!Table14[[New Account Number]:[Filtro2]],10,0),VLOOKUP($AO215,[1]!Table14[[Old Account Number]:[Filtro2]],13,0))))))))</f>
        <v>STAFF</v>
      </c>
      <c r="D215" t="s">
        <v>46</v>
      </c>
      <c r="E215" t="s">
        <v>47</v>
      </c>
      <c r="F215" t="s">
        <v>48</v>
      </c>
      <c r="G215">
        <v>987</v>
      </c>
      <c r="H215" t="s">
        <v>0</v>
      </c>
      <c r="I215" t="s">
        <v>108</v>
      </c>
      <c r="J215" t="s">
        <v>185</v>
      </c>
      <c r="K215" t="s">
        <v>1</v>
      </c>
      <c r="L215">
        <v>4211333372</v>
      </c>
      <c r="M215">
        <v>2600459321</v>
      </c>
      <c r="N215" s="2">
        <v>45952</v>
      </c>
      <c r="O215" s="2">
        <v>46022</v>
      </c>
      <c r="P215">
        <v>2043.98</v>
      </c>
      <c r="Q215" s="2">
        <v>45952</v>
      </c>
      <c r="R215">
        <v>5001527909</v>
      </c>
      <c r="S215">
        <v>2025</v>
      </c>
      <c r="T215">
        <v>364289</v>
      </c>
      <c r="U215" t="s">
        <v>1</v>
      </c>
      <c r="V215" s="2">
        <v>45959</v>
      </c>
      <c r="W215" t="s">
        <v>191</v>
      </c>
      <c r="AA215">
        <v>5001577298</v>
      </c>
      <c r="AB215">
        <v>2025</v>
      </c>
      <c r="AC215">
        <v>9004018707</v>
      </c>
      <c r="AD215">
        <v>2025</v>
      </c>
      <c r="AE215">
        <v>10383362</v>
      </c>
      <c r="AF215" t="s">
        <v>186</v>
      </c>
      <c r="AG215" t="s">
        <v>186</v>
      </c>
      <c r="AH215" t="s">
        <v>1</v>
      </c>
      <c r="AI215">
        <v>0</v>
      </c>
      <c r="AJ215" t="s">
        <v>1</v>
      </c>
      <c r="AK215" t="s">
        <v>1</v>
      </c>
      <c r="AL215">
        <v>6999999</v>
      </c>
      <c r="AM215" t="s">
        <v>112</v>
      </c>
      <c r="AN215">
        <v>4806</v>
      </c>
      <c r="AO215" t="s">
        <v>187</v>
      </c>
    </row>
    <row r="216" spans="1:41" x14ac:dyDescent="0.25">
      <c r="A216" t="str">
        <f>VLOOKUP(MONTH(N216),Sheet1!$A$2:$B$13,2,0)</f>
        <v>Out</v>
      </c>
      <c r="B216" t="str">
        <f>IF(LEFT(AO216,1)="B","CAPEX",IF(LEFT(AO216,1)="C","STOCK",IF(MID(AO216,7,2)="JA","STAFF",IF(MID(AO216,7,1)="H","STAFF",IF(MID(AO216,7,1)="S","STAFF",IF(MID(AO216,7,2)="JV","LOG",IFERROR(VLOOKUP($AO216,[1]!Table14[[New Account Number]:[Filtro2]],9,0),VLOOKUP($AO216,[1]!Table14[[Old Account Number]:[Filtro2]],12,0))))))))</f>
        <v>Manutenção Terceiros</v>
      </c>
      <c r="C216" t="str">
        <f>IF(LEFT(AO216,1)="B","CAPEX",IF(LEFT(AO216,1)="C","STOCK",IF(MID(AO216,7,2)="JA","STAFF",IF(MID(AO216,7,1)="H","STAFF",IF(MID(AO216,7,1)="S","STAFF",IF(MID(AO216,7,2)="JV","LOG",IFERROR(VLOOKUP($AO216,[1]!Table14[[New Account Number]:[Filtro2]],10,0),VLOOKUP($AO216,[1]!Table14[[Old Account Number]:[Filtro2]],13,0))))))))</f>
        <v>Total Manutenção Variável</v>
      </c>
      <c r="D216" t="s">
        <v>43</v>
      </c>
      <c r="E216" t="s">
        <v>2</v>
      </c>
      <c r="F216" t="s">
        <v>3</v>
      </c>
      <c r="G216">
        <v>4355</v>
      </c>
      <c r="H216" t="s">
        <v>0</v>
      </c>
      <c r="I216" t="s">
        <v>49</v>
      </c>
      <c r="J216" t="s">
        <v>188</v>
      </c>
      <c r="K216" t="s">
        <v>1</v>
      </c>
      <c r="L216">
        <v>4211300552</v>
      </c>
      <c r="M216">
        <v>2600466649</v>
      </c>
      <c r="N216" s="2">
        <v>45946</v>
      </c>
      <c r="O216" s="2">
        <v>46066</v>
      </c>
      <c r="P216">
        <v>4105.4799999999996</v>
      </c>
      <c r="Q216" s="2">
        <v>45952</v>
      </c>
      <c r="R216">
        <v>5001522546</v>
      </c>
      <c r="S216">
        <v>2025</v>
      </c>
      <c r="T216">
        <v>364265</v>
      </c>
      <c r="U216" t="s">
        <v>1</v>
      </c>
      <c r="V216" s="2"/>
      <c r="W216" t="s">
        <v>1</v>
      </c>
      <c r="AE216">
        <v>0</v>
      </c>
      <c r="AF216" t="s">
        <v>184</v>
      </c>
      <c r="AG216" t="s">
        <v>1</v>
      </c>
      <c r="AH216" t="s">
        <v>1</v>
      </c>
      <c r="AI216">
        <v>4105.4799999999996</v>
      </c>
      <c r="AJ216" t="s">
        <v>1</v>
      </c>
      <c r="AK216" t="s">
        <v>1</v>
      </c>
      <c r="AL216">
        <v>6999999</v>
      </c>
      <c r="AM216" t="s">
        <v>59</v>
      </c>
      <c r="AN216">
        <v>9117</v>
      </c>
      <c r="AO216" t="s">
        <v>50</v>
      </c>
    </row>
    <row r="217" spans="1:41" x14ac:dyDescent="0.25">
      <c r="A217" t="str">
        <f>VLOOKUP(MONTH(N217),Sheet1!$A$2:$B$13,2,0)</f>
        <v>Out</v>
      </c>
      <c r="B217" t="str">
        <f>IF(LEFT(AO217,1)="B","CAPEX",IF(LEFT(AO217,1)="C","STOCK",IF(MID(AO217,7,2)="JA","STAFF",IF(MID(AO217,7,1)="H","STAFF",IF(MID(AO217,7,1)="S","STAFF",IF(MID(AO217,7,2)="JV","LOG",IFERROR(VLOOKUP($AO217,[1]!Table14[[New Account Number]:[Filtro2]],9,0),VLOOKUP($AO217,[1]!Table14[[Old Account Number]:[Filtro2]],12,0))))))))</f>
        <v>Manutenção Terceiros</v>
      </c>
      <c r="C217" t="str">
        <f>IF(LEFT(AO217,1)="B","CAPEX",IF(LEFT(AO217,1)="C","STOCK",IF(MID(AO217,7,2)="JA","STAFF",IF(MID(AO217,7,1)="H","STAFF",IF(MID(AO217,7,1)="S","STAFF",IF(MID(AO217,7,2)="JV","LOG",IFERROR(VLOOKUP($AO217,[1]!Table14[[New Account Number]:[Filtro2]],10,0),VLOOKUP($AO217,[1]!Table14[[Old Account Number]:[Filtro2]],13,0))))))))</f>
        <v>Total Manutenção Variável</v>
      </c>
      <c r="D217" t="s">
        <v>43</v>
      </c>
      <c r="E217" t="s">
        <v>2</v>
      </c>
      <c r="F217" t="s">
        <v>3</v>
      </c>
      <c r="G217">
        <v>648</v>
      </c>
      <c r="H217" t="s">
        <v>0</v>
      </c>
      <c r="I217" t="s">
        <v>49</v>
      </c>
      <c r="J217" t="s">
        <v>98</v>
      </c>
      <c r="K217" t="s">
        <v>1</v>
      </c>
      <c r="L217">
        <v>4211328675</v>
      </c>
      <c r="M217">
        <v>2600465964</v>
      </c>
      <c r="N217" s="2">
        <v>45950</v>
      </c>
      <c r="O217" s="2">
        <v>46010</v>
      </c>
      <c r="P217">
        <v>5500</v>
      </c>
      <c r="Q217" s="2">
        <v>45950</v>
      </c>
      <c r="R217">
        <v>5001508683</v>
      </c>
      <c r="S217">
        <v>2025</v>
      </c>
      <c r="T217">
        <v>363747</v>
      </c>
      <c r="U217" t="s">
        <v>1</v>
      </c>
      <c r="V217" s="2"/>
      <c r="W217" t="s">
        <v>1</v>
      </c>
      <c r="AE217">
        <v>0</v>
      </c>
      <c r="AF217" t="s">
        <v>81</v>
      </c>
      <c r="AG217" t="s">
        <v>1</v>
      </c>
      <c r="AH217" t="s">
        <v>96</v>
      </c>
      <c r="AI217">
        <v>5500</v>
      </c>
      <c r="AJ217" t="s">
        <v>1</v>
      </c>
      <c r="AK217" t="s">
        <v>1</v>
      </c>
      <c r="AL217">
        <v>6999999</v>
      </c>
      <c r="AM217" t="s">
        <v>59</v>
      </c>
      <c r="AN217">
        <v>9203</v>
      </c>
      <c r="AO217" t="s">
        <v>50</v>
      </c>
    </row>
    <row r="218" spans="1:41" x14ac:dyDescent="0.25">
      <c r="A218" t="str">
        <f>VLOOKUP(MONTH(N218),Sheet1!$A$2:$B$13,2,0)</f>
        <v>Out</v>
      </c>
      <c r="B218" t="str">
        <f>IF(LEFT(AO218,1)="B","CAPEX",IF(LEFT(AO218,1)="C","STOCK",IF(MID(AO218,7,2)="JA","STAFF",IF(MID(AO218,7,1)="H","STAFF",IF(MID(AO218,7,1)="S","STAFF",IF(MID(AO218,7,2)="JV","LOG",IFERROR(VLOOKUP($AO218,[1]!Table14[[New Account Number]:[Filtro2]],9,0),VLOOKUP($AO218,[1]!Table14[[Old Account Number]:[Filtro2]],12,0))))))))</f>
        <v>Treinamento</v>
      </c>
      <c r="C218" t="str">
        <f>IF(LEFT(AO218,1)="B","CAPEX",IF(LEFT(AO218,1)="C","STOCK",IF(MID(AO218,7,2)="JA","STAFF",IF(MID(AO218,7,1)="H","STAFF",IF(MID(AO218,7,1)="S","STAFF",IF(MID(AO218,7,2)="JV","LOG",IFERROR(VLOOKUP($AO218,[1]!Table14[[New Account Number]:[Filtro2]],10,0),VLOOKUP($AO218,[1]!Table14[[Old Account Number]:[Filtro2]],13,0))))))))</f>
        <v>Total Outras Despesas Fixas</v>
      </c>
      <c r="D218" t="s">
        <v>43</v>
      </c>
      <c r="E218" t="s">
        <v>2</v>
      </c>
      <c r="F218" t="s">
        <v>3</v>
      </c>
      <c r="G218">
        <v>14842</v>
      </c>
      <c r="H218" t="s">
        <v>0</v>
      </c>
      <c r="I218" t="s">
        <v>44</v>
      </c>
      <c r="J218" t="s">
        <v>215</v>
      </c>
      <c r="K218" t="s">
        <v>1</v>
      </c>
      <c r="L218">
        <v>4211301849</v>
      </c>
      <c r="M218">
        <v>9001685016</v>
      </c>
      <c r="N218" s="2">
        <v>45951</v>
      </c>
      <c r="O218" s="2">
        <v>46011</v>
      </c>
      <c r="P218">
        <v>1000</v>
      </c>
      <c r="Q218" s="2">
        <v>45951</v>
      </c>
      <c r="R218">
        <v>5001799924</v>
      </c>
      <c r="S218">
        <v>2025</v>
      </c>
      <c r="T218">
        <v>364067</v>
      </c>
      <c r="U218" t="s">
        <v>1</v>
      </c>
      <c r="V218" s="2"/>
      <c r="W218" t="s">
        <v>1</v>
      </c>
      <c r="AE218">
        <v>0</v>
      </c>
      <c r="AF218" t="s">
        <v>216</v>
      </c>
      <c r="AG218" t="s">
        <v>1</v>
      </c>
      <c r="AH218" t="s">
        <v>217</v>
      </c>
      <c r="AI218">
        <v>1000</v>
      </c>
      <c r="AJ218" t="s">
        <v>1</v>
      </c>
      <c r="AK218" t="s">
        <v>1</v>
      </c>
      <c r="AL218">
        <v>6999999</v>
      </c>
      <c r="AM218" t="s">
        <v>92</v>
      </c>
      <c r="AN218">
        <v>2952</v>
      </c>
      <c r="AO218" t="s">
        <v>218</v>
      </c>
    </row>
    <row r="219" spans="1:41" x14ac:dyDescent="0.25">
      <c r="A219" t="str">
        <f>VLOOKUP(MONTH(N219),Sheet1!$A$2:$B$13,2,0)</f>
        <v>Nov</v>
      </c>
      <c r="B219" t="str">
        <f>IF(LEFT(AO219,1)="B","CAPEX",IF(LEFT(AO219,1)="C","STOCK",IF(MID(AO219,7,2)="JA","STAFF",IF(MID(AO219,7,1)="H","STAFF",IF(MID(AO219,7,1)="S","STAFF",IF(MID(AO219,7,2)="JV","LOG",IFERROR(VLOOKUP($AO219,[1]!Table14[[New Account Number]:[Filtro2]],9,0),VLOOKUP($AO219,[1]!Table14[[Old Account Number]:[Filtro2]],12,0))))))))</f>
        <v>Manutenção Terceiros</v>
      </c>
      <c r="C219" t="str">
        <f>IF(LEFT(AO219,1)="B","CAPEX",IF(LEFT(AO219,1)="C","STOCK",IF(MID(AO219,7,2)="JA","STAFF",IF(MID(AO219,7,1)="H","STAFF",IF(MID(AO219,7,1)="S","STAFF",IF(MID(AO219,7,2)="JV","LOG",IFERROR(VLOOKUP($AO219,[1]!Table14[[New Account Number]:[Filtro2]],10,0),VLOOKUP($AO219,[1]!Table14[[Old Account Number]:[Filtro2]],13,0))))))))</f>
        <v>Total Manutenção Fixa</v>
      </c>
      <c r="D219" t="s">
        <v>43</v>
      </c>
      <c r="E219" t="s">
        <v>2</v>
      </c>
      <c r="F219" t="s">
        <v>3</v>
      </c>
      <c r="G219">
        <v>144980</v>
      </c>
      <c r="H219" t="s">
        <v>0</v>
      </c>
      <c r="I219" t="s">
        <v>49</v>
      </c>
      <c r="J219" t="s">
        <v>62</v>
      </c>
      <c r="K219" t="s">
        <v>1</v>
      </c>
      <c r="L219">
        <v>4211315568</v>
      </c>
      <c r="M219">
        <v>9001685436</v>
      </c>
      <c r="N219" s="2">
        <v>45966</v>
      </c>
      <c r="O219" s="2">
        <v>46041</v>
      </c>
      <c r="P219">
        <v>44528.27</v>
      </c>
      <c r="Q219" s="2">
        <v>45968</v>
      </c>
      <c r="R219">
        <v>5001649093</v>
      </c>
      <c r="S219">
        <v>2025</v>
      </c>
      <c r="T219">
        <v>367109</v>
      </c>
      <c r="U219" t="s">
        <v>1</v>
      </c>
      <c r="V219" s="2"/>
      <c r="W219" t="s">
        <v>1</v>
      </c>
      <c r="AE219">
        <v>0</v>
      </c>
      <c r="AF219" t="s">
        <v>106</v>
      </c>
      <c r="AG219" t="s">
        <v>1</v>
      </c>
      <c r="AH219" t="s">
        <v>192</v>
      </c>
      <c r="AI219">
        <v>44528.57</v>
      </c>
      <c r="AJ219" t="s">
        <v>1</v>
      </c>
      <c r="AK219" t="s">
        <v>1</v>
      </c>
      <c r="AL219">
        <v>6000001</v>
      </c>
      <c r="AM219" t="s">
        <v>59</v>
      </c>
      <c r="AN219">
        <v>9018</v>
      </c>
      <c r="AO219" t="s">
        <v>100</v>
      </c>
    </row>
    <row r="220" spans="1:41" x14ac:dyDescent="0.25">
      <c r="A220" t="str">
        <f>VLOOKUP(MONTH(N220),Sheet1!$A$2:$B$13,2,0)</f>
        <v>Nov</v>
      </c>
      <c r="B220" t="str">
        <f>IF(LEFT(AO220,1)="B","CAPEX",IF(LEFT(AO220,1)="C","STOCK",IF(MID(AO220,7,2)="JA","STAFF",IF(MID(AO220,7,1)="H","STAFF",IF(MID(AO220,7,1)="S","STAFF",IF(MID(AO220,7,2)="JV","LOG",IFERROR(VLOOKUP($AO220,[1]!Table14[[New Account Number]:[Filtro2]],9,0),VLOOKUP($AO220,[1]!Table14[[Old Account Number]:[Filtro2]],12,0))))))))</f>
        <v>Manutenção Terceiros</v>
      </c>
      <c r="C220" t="str">
        <f>IF(LEFT(AO220,1)="B","CAPEX",IF(LEFT(AO220,1)="C","STOCK",IF(MID(AO220,7,2)="JA","STAFF",IF(MID(AO220,7,1)="H","STAFF",IF(MID(AO220,7,1)="S","STAFF",IF(MID(AO220,7,2)="JV","LOG",IFERROR(VLOOKUP($AO220,[1]!Table14[[New Account Number]:[Filtro2]],10,0),VLOOKUP($AO220,[1]!Table14[[Old Account Number]:[Filtro2]],13,0))))))))</f>
        <v>Total Manutenção Variável</v>
      </c>
      <c r="D220" t="s">
        <v>43</v>
      </c>
      <c r="E220" t="s">
        <v>2</v>
      </c>
      <c r="F220" t="s">
        <v>3</v>
      </c>
      <c r="G220">
        <v>95</v>
      </c>
      <c r="H220" t="s">
        <v>0</v>
      </c>
      <c r="I220" t="s">
        <v>49</v>
      </c>
      <c r="J220" t="s">
        <v>107</v>
      </c>
      <c r="K220" t="s">
        <v>1</v>
      </c>
      <c r="L220">
        <v>4211318663</v>
      </c>
      <c r="M220">
        <v>2600469808</v>
      </c>
      <c r="N220" s="2">
        <v>45986</v>
      </c>
      <c r="O220" s="2">
        <v>46046</v>
      </c>
      <c r="P220">
        <v>5846.5</v>
      </c>
      <c r="Q220" s="2">
        <v>45986</v>
      </c>
      <c r="R220">
        <v>5001785148</v>
      </c>
      <c r="S220">
        <v>2025</v>
      </c>
      <c r="T220">
        <v>370011</v>
      </c>
      <c r="U220" t="s">
        <v>1</v>
      </c>
      <c r="V220" s="2"/>
      <c r="W220" t="s">
        <v>1</v>
      </c>
      <c r="AE220">
        <v>0</v>
      </c>
      <c r="AF220" t="s">
        <v>106</v>
      </c>
      <c r="AG220" t="s">
        <v>1</v>
      </c>
      <c r="AH220" t="s">
        <v>192</v>
      </c>
      <c r="AI220">
        <v>5846.5</v>
      </c>
      <c r="AJ220" t="s">
        <v>1</v>
      </c>
      <c r="AK220" t="s">
        <v>1</v>
      </c>
      <c r="AL220">
        <v>6999999</v>
      </c>
      <c r="AM220" t="s">
        <v>59</v>
      </c>
      <c r="AN220">
        <v>9013</v>
      </c>
      <c r="AO220" t="s">
        <v>50</v>
      </c>
    </row>
    <row r="221" spans="1:41" x14ac:dyDescent="0.25">
      <c r="A221" t="str">
        <f>VLOOKUP(MONTH(N221),Sheet1!$A$2:$B$13,2,0)</f>
        <v>Dez</v>
      </c>
      <c r="B221" t="str">
        <f>IF(LEFT(AO221,1)="B","CAPEX",IF(LEFT(AO221,1)="C","STOCK",IF(MID(AO221,7,2)="JA","STAFF",IF(MID(AO221,7,1)="H","STAFF",IF(MID(AO221,7,1)="S","STAFF",IF(MID(AO221,7,2)="JV","LOG",IFERROR(VLOOKUP($AO221,[1]!Table14[[New Account Number]:[Filtro2]],9,0),VLOOKUP($AO221,[1]!Table14[[Old Account Number]:[Filtro2]],12,0))))))))</f>
        <v>STAFF</v>
      </c>
      <c r="C221" t="str">
        <f>IF(LEFT(AO221,1)="B","CAPEX",IF(LEFT(AO221,1)="C","STOCK",IF(MID(AO221,7,2)="JA","STAFF",IF(MID(AO221,7,1)="H","STAFF",IF(MID(AO221,7,1)="S","STAFF",IF(MID(AO221,7,2)="JV","LOG",IFERROR(VLOOKUP($AO221,[1]!Table14[[New Account Number]:[Filtro2]],10,0),VLOOKUP($AO221,[1]!Table14[[Old Account Number]:[Filtro2]],13,0))))))))</f>
        <v>STAFF</v>
      </c>
      <c r="D221" t="s">
        <v>46</v>
      </c>
      <c r="E221" t="s">
        <v>47</v>
      </c>
      <c r="F221" t="s">
        <v>48</v>
      </c>
      <c r="G221">
        <v>9379</v>
      </c>
      <c r="H221" t="s">
        <v>0</v>
      </c>
      <c r="I221" t="s">
        <v>88</v>
      </c>
      <c r="J221" t="s">
        <v>158</v>
      </c>
      <c r="K221" t="s">
        <v>1</v>
      </c>
      <c r="L221">
        <v>4211326362</v>
      </c>
      <c r="M221">
        <v>9001693267</v>
      </c>
      <c r="N221" s="2">
        <v>46002</v>
      </c>
      <c r="O221" s="2">
        <v>46092</v>
      </c>
      <c r="P221">
        <v>2995.11</v>
      </c>
      <c r="Q221" s="2">
        <v>46002</v>
      </c>
      <c r="R221">
        <v>5001899108</v>
      </c>
      <c r="S221">
        <v>2025</v>
      </c>
      <c r="T221">
        <v>373101</v>
      </c>
      <c r="U221" t="s">
        <v>1</v>
      </c>
      <c r="V221" s="2">
        <v>46002</v>
      </c>
      <c r="W221" t="s">
        <v>90</v>
      </c>
      <c r="AA221">
        <v>5001896259</v>
      </c>
      <c r="AB221">
        <v>2025</v>
      </c>
      <c r="AC221">
        <v>9004034767</v>
      </c>
      <c r="AD221">
        <v>2025</v>
      </c>
      <c r="AE221">
        <v>10419822</v>
      </c>
      <c r="AF221" t="s">
        <v>89</v>
      </c>
      <c r="AG221" t="s">
        <v>89</v>
      </c>
      <c r="AH221" t="s">
        <v>90</v>
      </c>
      <c r="AI221">
        <v>0</v>
      </c>
      <c r="AJ221" t="s">
        <v>1</v>
      </c>
      <c r="AK221" t="s">
        <v>1</v>
      </c>
      <c r="AL221">
        <v>6999999</v>
      </c>
      <c r="AM221" t="s">
        <v>91</v>
      </c>
      <c r="AN221">
        <v>8240</v>
      </c>
      <c r="AO221" t="s">
        <v>243</v>
      </c>
    </row>
    <row r="222" spans="1:41" x14ac:dyDescent="0.25">
      <c r="A222" t="str">
        <f>VLOOKUP(MONTH(N222),Sheet1!$A$2:$B$13,2,0)</f>
        <v>Out</v>
      </c>
      <c r="B222" t="str">
        <f>IF(LEFT(AO222,1)="B","CAPEX",IF(LEFT(AO222,1)="C","STOCK",IF(MID(AO222,7,2)="JA","STAFF",IF(MID(AO222,7,1)="H","STAFF",IF(MID(AO222,7,1)="S","STAFF",IF(MID(AO222,7,2)="JV","LOG",IFERROR(VLOOKUP($AO222,[1]!Table14[[New Account Number]:[Filtro2]],9,0),VLOOKUP($AO222,[1]!Table14[[Old Account Number]:[Filtro2]],12,0))))))))</f>
        <v>Manutenção Terceiros</v>
      </c>
      <c r="C222" t="str">
        <f>IF(LEFT(AO222,1)="B","CAPEX",IF(LEFT(AO222,1)="C","STOCK",IF(MID(AO222,7,2)="JA","STAFF",IF(MID(AO222,7,1)="H","STAFF",IF(MID(AO222,7,1)="S","STAFF",IF(MID(AO222,7,2)="JV","LOG",IFERROR(VLOOKUP($AO222,[1]!Table14[[New Account Number]:[Filtro2]],10,0),VLOOKUP($AO222,[1]!Table14[[Old Account Number]:[Filtro2]],13,0))))))))</f>
        <v>Total Manutenção Variável</v>
      </c>
      <c r="D222" t="s">
        <v>43</v>
      </c>
      <c r="E222" t="s">
        <v>2</v>
      </c>
      <c r="F222" t="s">
        <v>3</v>
      </c>
      <c r="G222">
        <v>101</v>
      </c>
      <c r="H222" t="s">
        <v>0</v>
      </c>
      <c r="I222" t="s">
        <v>49</v>
      </c>
      <c r="J222" t="s">
        <v>175</v>
      </c>
      <c r="K222" t="s">
        <v>1</v>
      </c>
      <c r="L222">
        <v>4211302205</v>
      </c>
      <c r="M222">
        <v>2600468195</v>
      </c>
      <c r="N222" s="2">
        <v>45944</v>
      </c>
      <c r="O222" s="2">
        <v>46014</v>
      </c>
      <c r="P222">
        <v>1870</v>
      </c>
      <c r="Q222" s="2">
        <v>45944</v>
      </c>
      <c r="R222">
        <v>5001469672</v>
      </c>
      <c r="S222">
        <v>2025</v>
      </c>
      <c r="T222">
        <v>362914</v>
      </c>
      <c r="U222" t="s">
        <v>1</v>
      </c>
      <c r="V222" s="2"/>
      <c r="W222" t="s">
        <v>1</v>
      </c>
      <c r="AE222">
        <v>0</v>
      </c>
      <c r="AF222" t="s">
        <v>184</v>
      </c>
      <c r="AG222" t="s">
        <v>1</v>
      </c>
      <c r="AH222" t="s">
        <v>1</v>
      </c>
      <c r="AI222">
        <v>1870</v>
      </c>
      <c r="AJ222" t="s">
        <v>1</v>
      </c>
      <c r="AK222" t="s">
        <v>1</v>
      </c>
      <c r="AL222">
        <v>6999999</v>
      </c>
      <c r="AM222" t="s">
        <v>59</v>
      </c>
      <c r="AN222">
        <v>9117</v>
      </c>
      <c r="AO222" t="s">
        <v>50</v>
      </c>
    </row>
    <row r="223" spans="1:41" x14ac:dyDescent="0.25">
      <c r="A223" t="str">
        <f>VLOOKUP(MONTH(N223),Sheet1!$A$2:$B$13,2,0)</f>
        <v>Out</v>
      </c>
      <c r="B223" t="str">
        <f>IF(LEFT(AO223,1)="B","CAPEX",IF(LEFT(AO223,1)="C","STOCK",IF(MID(AO223,7,2)="JA","STAFF",IF(MID(AO223,7,1)="H","STAFF",IF(MID(AO223,7,1)="S","STAFF",IF(MID(AO223,7,2)="JV","LOG",IFERROR(VLOOKUP($AO223,[1]!Table14[[New Account Number]:[Filtro2]],9,0),VLOOKUP($AO223,[1]!Table14[[Old Account Number]:[Filtro2]],12,0))))))))</f>
        <v>Treinamento</v>
      </c>
      <c r="C223" t="str">
        <f>IF(LEFT(AO223,1)="B","CAPEX",IF(LEFT(AO223,1)="C","STOCK",IF(MID(AO223,7,2)="JA","STAFF",IF(MID(AO223,7,1)="H","STAFF",IF(MID(AO223,7,1)="S","STAFF",IF(MID(AO223,7,2)="JV","LOG",IFERROR(VLOOKUP($AO223,[1]!Table14[[New Account Number]:[Filtro2]],10,0),VLOOKUP($AO223,[1]!Table14[[Old Account Number]:[Filtro2]],13,0))))))))</f>
        <v>Total Outras Despesas Fixas</v>
      </c>
      <c r="D223" t="s">
        <v>43</v>
      </c>
      <c r="E223" t="s">
        <v>2</v>
      </c>
      <c r="F223" t="s">
        <v>3</v>
      </c>
      <c r="G223">
        <v>14840</v>
      </c>
      <c r="H223" t="s">
        <v>0</v>
      </c>
      <c r="I223" t="s">
        <v>44</v>
      </c>
      <c r="J223" t="s">
        <v>215</v>
      </c>
      <c r="K223" t="s">
        <v>1</v>
      </c>
      <c r="L223">
        <v>4211301849</v>
      </c>
      <c r="M223">
        <v>9001685016</v>
      </c>
      <c r="N223" s="2">
        <v>45951</v>
      </c>
      <c r="O223" s="2">
        <v>46011</v>
      </c>
      <c r="P223">
        <v>2200</v>
      </c>
      <c r="Q223" s="2">
        <v>45951</v>
      </c>
      <c r="R223">
        <v>5001799925</v>
      </c>
      <c r="S223">
        <v>2025</v>
      </c>
      <c r="T223">
        <v>364069</v>
      </c>
      <c r="U223" t="s">
        <v>1</v>
      </c>
      <c r="V223" s="2"/>
      <c r="W223" t="s">
        <v>1</v>
      </c>
      <c r="AE223">
        <v>0</v>
      </c>
      <c r="AF223" t="s">
        <v>216</v>
      </c>
      <c r="AG223" t="s">
        <v>1</v>
      </c>
      <c r="AH223" t="s">
        <v>217</v>
      </c>
      <c r="AI223">
        <v>2200</v>
      </c>
      <c r="AJ223" t="s">
        <v>1</v>
      </c>
      <c r="AK223" t="s">
        <v>1</v>
      </c>
      <c r="AL223">
        <v>6999999</v>
      </c>
      <c r="AM223" t="s">
        <v>92</v>
      </c>
      <c r="AN223">
        <v>2952</v>
      </c>
      <c r="AO223" t="s">
        <v>218</v>
      </c>
    </row>
    <row r="224" spans="1:41" x14ac:dyDescent="0.25">
      <c r="A224" t="str">
        <f>VLOOKUP(MONTH(N224),Sheet1!$A$2:$B$13,2,0)</f>
        <v>Out</v>
      </c>
      <c r="B224" t="str">
        <f>IF(LEFT(AO224,1)="B","CAPEX",IF(LEFT(AO224,1)="C","STOCK",IF(MID(AO224,7,2)="JA","STAFF",IF(MID(AO224,7,1)="H","STAFF",IF(MID(AO224,7,1)="S","STAFF",IF(MID(AO224,7,2)="JV","LOG",IFERROR(VLOOKUP($AO224,[1]!Table14[[New Account Number]:[Filtro2]],9,0),VLOOKUP($AO224,[1]!Table14[[Old Account Number]:[Filtro2]],12,0))))))))</f>
        <v>Treinamento</v>
      </c>
      <c r="C224" t="str">
        <f>IF(LEFT(AO224,1)="B","CAPEX",IF(LEFT(AO224,1)="C","STOCK",IF(MID(AO224,7,2)="JA","STAFF",IF(MID(AO224,7,1)="H","STAFF",IF(MID(AO224,7,1)="S","STAFF",IF(MID(AO224,7,2)="JV","LOG",IFERROR(VLOOKUP($AO224,[1]!Table14[[New Account Number]:[Filtro2]],10,0),VLOOKUP($AO224,[1]!Table14[[Old Account Number]:[Filtro2]],13,0))))))))</f>
        <v>Total Outras Despesas Fixas</v>
      </c>
      <c r="D224" t="s">
        <v>43</v>
      </c>
      <c r="E224" t="s">
        <v>2</v>
      </c>
      <c r="F224" t="s">
        <v>3</v>
      </c>
      <c r="G224">
        <v>14846</v>
      </c>
      <c r="H224" t="s">
        <v>0</v>
      </c>
      <c r="I224" t="s">
        <v>44</v>
      </c>
      <c r="J224" t="s">
        <v>215</v>
      </c>
      <c r="K224" t="s">
        <v>1</v>
      </c>
      <c r="L224">
        <v>4211301849</v>
      </c>
      <c r="M224">
        <v>9001685016</v>
      </c>
      <c r="N224" s="2">
        <v>45951</v>
      </c>
      <c r="O224" s="2">
        <v>46011</v>
      </c>
      <c r="P224">
        <v>2600</v>
      </c>
      <c r="Q224" s="2">
        <v>45951</v>
      </c>
      <c r="R224">
        <v>5001799926</v>
      </c>
      <c r="S224">
        <v>2025</v>
      </c>
      <c r="T224">
        <v>364076</v>
      </c>
      <c r="U224" t="s">
        <v>1</v>
      </c>
      <c r="V224" s="2"/>
      <c r="W224" t="s">
        <v>1</v>
      </c>
      <c r="AE224">
        <v>0</v>
      </c>
      <c r="AF224" t="s">
        <v>216</v>
      </c>
      <c r="AG224" t="s">
        <v>1</v>
      </c>
      <c r="AH224" t="s">
        <v>217</v>
      </c>
      <c r="AI224">
        <v>2600</v>
      </c>
      <c r="AJ224" t="s">
        <v>1</v>
      </c>
      <c r="AK224" t="s">
        <v>1</v>
      </c>
      <c r="AL224">
        <v>6999999</v>
      </c>
      <c r="AM224" t="s">
        <v>92</v>
      </c>
      <c r="AN224">
        <v>2952</v>
      </c>
      <c r="AO224" t="s">
        <v>218</v>
      </c>
    </row>
    <row r="225" spans="1:41" x14ac:dyDescent="0.25">
      <c r="A225" t="str">
        <f>VLOOKUP(MONTH(N225),Sheet1!$A$2:$B$13,2,0)</f>
        <v>Nov</v>
      </c>
      <c r="B225" t="str">
        <f>IF(LEFT(AO225,1)="B","CAPEX",IF(LEFT(AO225,1)="C","STOCK",IF(MID(AO225,7,2)="JA","STAFF",IF(MID(AO225,7,1)="H","STAFF",IF(MID(AO225,7,1)="S","STAFF",IF(MID(AO225,7,2)="JV","LOG",IFERROR(VLOOKUP($AO225,[1]!Table14[[New Account Number]:[Filtro2]],9,0),VLOOKUP($AO225,[1]!Table14[[Old Account Number]:[Filtro2]],12,0))))))))</f>
        <v>Manutenção Terceiros</v>
      </c>
      <c r="C225" t="str">
        <f>IF(LEFT(AO225,1)="B","CAPEX",IF(LEFT(AO225,1)="C","STOCK",IF(MID(AO225,7,2)="JA","STAFF",IF(MID(AO225,7,1)="H","STAFF",IF(MID(AO225,7,1)="S","STAFF",IF(MID(AO225,7,2)="JV","LOG",IFERROR(VLOOKUP($AO225,[1]!Table14[[New Account Number]:[Filtro2]],10,0),VLOOKUP($AO225,[1]!Table14[[Old Account Number]:[Filtro2]],13,0))))))))</f>
        <v>Total Manutenção Variável</v>
      </c>
      <c r="D225" t="s">
        <v>43</v>
      </c>
      <c r="E225" t="s">
        <v>2</v>
      </c>
      <c r="F225" t="s">
        <v>3</v>
      </c>
      <c r="G225">
        <v>4396</v>
      </c>
      <c r="H225" t="s">
        <v>0</v>
      </c>
      <c r="I225" t="s">
        <v>49</v>
      </c>
      <c r="J225" t="s">
        <v>188</v>
      </c>
      <c r="K225" t="s">
        <v>1</v>
      </c>
      <c r="L225">
        <v>4211300552</v>
      </c>
      <c r="M225">
        <v>2600469822</v>
      </c>
      <c r="N225" s="2">
        <v>45986</v>
      </c>
      <c r="O225" s="2">
        <v>46106</v>
      </c>
      <c r="P225">
        <v>4537.5</v>
      </c>
      <c r="Q225" s="2">
        <v>45986</v>
      </c>
      <c r="R225">
        <v>5001785791</v>
      </c>
      <c r="S225">
        <v>2025</v>
      </c>
      <c r="T225">
        <v>370023</v>
      </c>
      <c r="U225" t="s">
        <v>1</v>
      </c>
      <c r="V225" s="2"/>
      <c r="W225" t="s">
        <v>1</v>
      </c>
      <c r="AE225">
        <v>0</v>
      </c>
      <c r="AF225" t="s">
        <v>106</v>
      </c>
      <c r="AG225" t="s">
        <v>1</v>
      </c>
      <c r="AH225" t="s">
        <v>192</v>
      </c>
      <c r="AI225">
        <v>4537.5</v>
      </c>
      <c r="AJ225" t="s">
        <v>1</v>
      </c>
      <c r="AK225" t="s">
        <v>1</v>
      </c>
      <c r="AL225">
        <v>6999999</v>
      </c>
      <c r="AM225" t="s">
        <v>59</v>
      </c>
      <c r="AN225">
        <v>9117</v>
      </c>
      <c r="AO225" t="s">
        <v>50</v>
      </c>
    </row>
    <row r="226" spans="1:41" x14ac:dyDescent="0.25">
      <c r="A226" t="str">
        <f>VLOOKUP(MONTH(N226),Sheet1!$A$2:$B$13,2,0)</f>
        <v>Out</v>
      </c>
      <c r="B226" t="str">
        <f>IF(LEFT(AO226,1)="B","CAPEX",IF(LEFT(AO226,1)="C","STOCK",IF(MID(AO226,7,2)="JA","STAFF",IF(MID(AO226,7,1)="H","STAFF",IF(MID(AO226,7,1)="S","STAFF",IF(MID(AO226,7,2)="JV","LOG",IFERROR(VLOOKUP($AO226,[1]!Table14[[New Account Number]:[Filtro2]],9,0),VLOOKUP($AO226,[1]!Table14[[Old Account Number]:[Filtro2]],12,0))))))))</f>
        <v>Manutenção Terceiros</v>
      </c>
      <c r="C226" t="str">
        <f>IF(LEFT(AO226,1)="B","CAPEX",IF(LEFT(AO226,1)="C","STOCK",IF(MID(AO226,7,2)="JA","STAFF",IF(MID(AO226,7,1)="H","STAFF",IF(MID(AO226,7,1)="S","STAFF",IF(MID(AO226,7,2)="JV","LOG",IFERROR(VLOOKUP($AO226,[1]!Table14[[New Account Number]:[Filtro2]],10,0),VLOOKUP($AO226,[1]!Table14[[Old Account Number]:[Filtro2]],13,0))))))))</f>
        <v>Total Manutenção Variável</v>
      </c>
      <c r="D226" t="s">
        <v>43</v>
      </c>
      <c r="E226" t="s">
        <v>2</v>
      </c>
      <c r="F226" t="s">
        <v>3</v>
      </c>
      <c r="G226">
        <v>93</v>
      </c>
      <c r="H226" t="s">
        <v>0</v>
      </c>
      <c r="I226" t="s">
        <v>49</v>
      </c>
      <c r="J226" t="s">
        <v>107</v>
      </c>
      <c r="K226" t="s">
        <v>1</v>
      </c>
      <c r="L226">
        <v>4211318663</v>
      </c>
      <c r="M226">
        <v>2600469016</v>
      </c>
      <c r="N226" s="2">
        <v>45953</v>
      </c>
      <c r="O226" s="2">
        <v>46013</v>
      </c>
      <c r="P226">
        <v>1434.32</v>
      </c>
      <c r="Q226" s="2">
        <v>45953</v>
      </c>
      <c r="R226">
        <v>5001537164</v>
      </c>
      <c r="S226">
        <v>2025</v>
      </c>
      <c r="T226">
        <v>364454</v>
      </c>
      <c r="U226" t="s">
        <v>1</v>
      </c>
      <c r="V226" s="2"/>
      <c r="W226" t="s">
        <v>1</v>
      </c>
      <c r="AE226">
        <v>0</v>
      </c>
      <c r="AF226" t="s">
        <v>87</v>
      </c>
      <c r="AG226" t="s">
        <v>1</v>
      </c>
      <c r="AH226" t="s">
        <v>1</v>
      </c>
      <c r="AI226">
        <v>1434.32</v>
      </c>
      <c r="AJ226" t="s">
        <v>1</v>
      </c>
      <c r="AK226" t="s">
        <v>1</v>
      </c>
      <c r="AL226">
        <v>6999999</v>
      </c>
      <c r="AM226" t="s">
        <v>59</v>
      </c>
      <c r="AN226">
        <v>9013</v>
      </c>
      <c r="AO226" t="s">
        <v>50</v>
      </c>
    </row>
    <row r="227" spans="1:41" x14ac:dyDescent="0.25">
      <c r="A227" t="str">
        <f>VLOOKUP(MONTH(N227),Sheet1!$A$2:$B$13,2,0)</f>
        <v>Nov</v>
      </c>
      <c r="B227" t="str">
        <f>IF(LEFT(AO227,1)="B","CAPEX",IF(LEFT(AO227,1)="C","STOCK",IF(MID(AO227,7,2)="JA","STAFF",IF(MID(AO227,7,1)="H","STAFF",IF(MID(AO227,7,1)="S","STAFF",IF(MID(AO227,7,2)="JV","LOG",IFERROR(VLOOKUP($AO227,[1]!Table14[[New Account Number]:[Filtro2]],9,0),VLOOKUP($AO227,[1]!Table14[[Old Account Number]:[Filtro2]],12,0))))))))</f>
        <v>Serv.Prof.Prestados - Serviços</v>
      </c>
      <c r="C227" t="str">
        <f>IF(LEFT(AO227,1)="B","CAPEX",IF(LEFT(AO227,1)="C","STOCK",IF(MID(AO227,7,2)="JA","STAFF",IF(MID(AO227,7,1)="H","STAFF",IF(MID(AO227,7,1)="S","STAFF",IF(MID(AO227,7,2)="JV","LOG",IFERROR(VLOOKUP($AO227,[1]!Table14[[New Account Number]:[Filtro2]],10,0),VLOOKUP($AO227,[1]!Table14[[Old Account Number]:[Filtro2]],13,0))))))))</f>
        <v>Total Outras Despesas Fixas</v>
      </c>
      <c r="D227" t="s">
        <v>43</v>
      </c>
      <c r="E227" t="s">
        <v>2</v>
      </c>
      <c r="F227" t="s">
        <v>3</v>
      </c>
      <c r="G227">
        <v>30158</v>
      </c>
      <c r="H227" t="s">
        <v>0</v>
      </c>
      <c r="I227" t="s">
        <v>49</v>
      </c>
      <c r="J227" t="s">
        <v>180</v>
      </c>
      <c r="K227" t="s">
        <v>1</v>
      </c>
      <c r="L227">
        <v>4211319719</v>
      </c>
      <c r="M227">
        <v>9001686449</v>
      </c>
      <c r="N227" s="2">
        <v>45965</v>
      </c>
      <c r="O227" s="2">
        <v>46010</v>
      </c>
      <c r="P227">
        <v>9090.07</v>
      </c>
      <c r="Q227" s="2">
        <v>45986</v>
      </c>
      <c r="R227">
        <v>5001780693</v>
      </c>
      <c r="S227">
        <v>2025</v>
      </c>
      <c r="T227">
        <v>369975</v>
      </c>
      <c r="U227" t="s">
        <v>1</v>
      </c>
      <c r="V227" s="2"/>
      <c r="W227" t="s">
        <v>1</v>
      </c>
      <c r="AE227">
        <v>0</v>
      </c>
      <c r="AF227" t="s">
        <v>103</v>
      </c>
      <c r="AG227" t="s">
        <v>1</v>
      </c>
      <c r="AH227" t="s">
        <v>104</v>
      </c>
      <c r="AI227">
        <v>9090.07</v>
      </c>
      <c r="AJ227" t="s">
        <v>1</v>
      </c>
      <c r="AK227" t="s">
        <v>1</v>
      </c>
      <c r="AL227">
        <v>6999999</v>
      </c>
      <c r="AM227" t="s">
        <v>59</v>
      </c>
      <c r="AN227">
        <v>9117</v>
      </c>
      <c r="AO227" t="s">
        <v>53</v>
      </c>
    </row>
    <row r="228" spans="1:41" x14ac:dyDescent="0.25">
      <c r="A228" t="str">
        <f>VLOOKUP(MONTH(N228),Sheet1!$A$2:$B$13,2,0)</f>
        <v>Dez</v>
      </c>
      <c r="B228" t="str">
        <f>IF(LEFT(AO228,1)="B","CAPEX",IF(LEFT(AO228,1)="C","STOCK",IF(MID(AO228,7,2)="JA","STAFF",IF(MID(AO228,7,1)="H","STAFF",IF(MID(AO228,7,1)="S","STAFF",IF(MID(AO228,7,2)="JV","LOG",IFERROR(VLOOKUP($AO228,[1]!Table14[[New Account Number]:[Filtro2]],9,0),VLOOKUP($AO228,[1]!Table14[[Old Account Number]:[Filtro2]],12,0))))))))</f>
        <v>Limpeza Por Terceiros</v>
      </c>
      <c r="C228" t="str">
        <f>IF(LEFT(AO228,1)="B","CAPEX",IF(LEFT(AO228,1)="C","STOCK",IF(MID(AO228,7,2)="JA","STAFF",IF(MID(AO228,7,1)="H","STAFF",IF(MID(AO228,7,1)="S","STAFF",IF(MID(AO228,7,2)="JV","LOG",IFERROR(VLOOKUP($AO228,[1]!Table14[[New Account Number]:[Filtro2]],10,0),VLOOKUP($AO228,[1]!Table14[[Old Account Number]:[Filtro2]],13,0))))))))</f>
        <v>Total Outras Despesas Fixas</v>
      </c>
      <c r="D228" t="s">
        <v>43</v>
      </c>
      <c r="E228" t="s">
        <v>2</v>
      </c>
      <c r="F228" t="s">
        <v>3</v>
      </c>
      <c r="G228">
        <v>9966</v>
      </c>
      <c r="H228" t="s">
        <v>0</v>
      </c>
      <c r="I228" t="s">
        <v>49</v>
      </c>
      <c r="J228" t="s">
        <v>263</v>
      </c>
      <c r="K228" t="s">
        <v>1</v>
      </c>
      <c r="L228">
        <v>4211331382</v>
      </c>
      <c r="M228">
        <v>2600462416</v>
      </c>
      <c r="N228" s="2">
        <v>45993</v>
      </c>
      <c r="O228" s="2">
        <v>46008</v>
      </c>
      <c r="P228">
        <v>1053.23</v>
      </c>
      <c r="Q228" s="2">
        <v>45994</v>
      </c>
      <c r="R228">
        <v>5001850474</v>
      </c>
      <c r="S228">
        <v>2025</v>
      </c>
      <c r="T228">
        <v>371288</v>
      </c>
      <c r="U228" t="s">
        <v>1</v>
      </c>
      <c r="V228" s="2"/>
      <c r="W228" t="s">
        <v>1</v>
      </c>
      <c r="AE228">
        <v>0</v>
      </c>
      <c r="AF228" t="s">
        <v>60</v>
      </c>
      <c r="AG228" t="s">
        <v>1</v>
      </c>
      <c r="AH228" t="s">
        <v>61</v>
      </c>
      <c r="AI228">
        <v>1053.23</v>
      </c>
      <c r="AJ228" t="s">
        <v>1</v>
      </c>
      <c r="AK228" t="s">
        <v>1</v>
      </c>
      <c r="AL228">
        <v>6999999</v>
      </c>
      <c r="AM228" t="s">
        <v>59</v>
      </c>
      <c r="AN228">
        <v>9000</v>
      </c>
      <c r="AO228" t="s">
        <v>122</v>
      </c>
    </row>
    <row r="229" spans="1:41" x14ac:dyDescent="0.25">
      <c r="A229" t="str">
        <f>VLOOKUP(MONTH(N229),Sheet1!$A$2:$B$13,2,0)</f>
        <v>Dez</v>
      </c>
      <c r="B229" t="str">
        <f>IF(LEFT(AO229,1)="B","CAPEX",IF(LEFT(AO229,1)="C","STOCK",IF(MID(AO229,7,2)="JA","STAFF",IF(MID(AO229,7,1)="H","STAFF",IF(MID(AO229,7,1)="S","STAFF",IF(MID(AO229,7,2)="JV","LOG",IFERROR(VLOOKUP($AO229,[1]!Table14[[New Account Number]:[Filtro2]],9,0),VLOOKUP($AO229,[1]!Table14[[Old Account Number]:[Filtro2]],12,0))))))))</f>
        <v>Aluguéis</v>
      </c>
      <c r="C229" t="str">
        <f>IF(LEFT(AO229,1)="B","CAPEX",IF(LEFT(AO229,1)="C","STOCK",IF(MID(AO229,7,2)="JA","STAFF",IF(MID(AO229,7,1)="H","STAFF",IF(MID(AO229,7,1)="S","STAFF",IF(MID(AO229,7,2)="JV","LOG",IFERROR(VLOOKUP($AO229,[1]!Table14[[New Account Number]:[Filtro2]],10,0),VLOOKUP($AO229,[1]!Table14[[Old Account Number]:[Filtro2]],13,0))))))))</f>
        <v>Total Outras Despesas Fixas</v>
      </c>
      <c r="D229" t="s">
        <v>43</v>
      </c>
      <c r="E229" t="s">
        <v>2</v>
      </c>
      <c r="F229" t="s">
        <v>3</v>
      </c>
      <c r="G229">
        <v>746571</v>
      </c>
      <c r="H229" t="s">
        <v>0</v>
      </c>
      <c r="I229" t="s">
        <v>49</v>
      </c>
      <c r="J229" t="s">
        <v>189</v>
      </c>
      <c r="K229" t="s">
        <v>1</v>
      </c>
      <c r="L229">
        <v>4211301181</v>
      </c>
      <c r="M229">
        <v>9001631078</v>
      </c>
      <c r="N229" s="2">
        <v>45992</v>
      </c>
      <c r="O229" s="2">
        <v>46067</v>
      </c>
      <c r="P229">
        <v>872.01</v>
      </c>
      <c r="Q229" s="2">
        <v>45995</v>
      </c>
      <c r="R229">
        <v>5001855147</v>
      </c>
      <c r="S229">
        <v>2025</v>
      </c>
      <c r="T229">
        <v>371608</v>
      </c>
      <c r="U229" t="s">
        <v>1</v>
      </c>
      <c r="V229" s="2"/>
      <c r="W229" t="s">
        <v>1</v>
      </c>
      <c r="AE229">
        <v>0</v>
      </c>
      <c r="AF229" t="s">
        <v>184</v>
      </c>
      <c r="AG229" t="s">
        <v>1</v>
      </c>
      <c r="AH229" t="s">
        <v>1</v>
      </c>
      <c r="AI229">
        <v>872.01</v>
      </c>
      <c r="AJ229" t="s">
        <v>1</v>
      </c>
      <c r="AK229" t="s">
        <v>1</v>
      </c>
      <c r="AL229">
        <v>6999999</v>
      </c>
      <c r="AM229" t="s">
        <v>59</v>
      </c>
      <c r="AN229">
        <v>9000</v>
      </c>
      <c r="AO229" t="s">
        <v>54</v>
      </c>
    </row>
    <row r="230" spans="1:41" x14ac:dyDescent="0.25">
      <c r="A230" t="str">
        <f>VLOOKUP(MONTH(N230),Sheet1!$A$2:$B$13,2,0)</f>
        <v>Nov</v>
      </c>
      <c r="B230" t="str">
        <f>IF(LEFT(AO230,1)="B","CAPEX",IF(LEFT(AO230,1)="C","STOCK",IF(MID(AO230,7,2)="JA","STAFF",IF(MID(AO230,7,1)="H","STAFF",IF(MID(AO230,7,1)="S","STAFF",IF(MID(AO230,7,2)="JV","LOG",IFERROR(VLOOKUP($AO230,[1]!Table14[[New Account Number]:[Filtro2]],9,0),VLOOKUP($AO230,[1]!Table14[[Old Account Number]:[Filtro2]],12,0))))))))</f>
        <v>Serv.Prof.Prestados - Serviços</v>
      </c>
      <c r="C230" t="str">
        <f>IF(LEFT(AO230,1)="B","CAPEX",IF(LEFT(AO230,1)="C","STOCK",IF(MID(AO230,7,2)="JA","STAFF",IF(MID(AO230,7,1)="H","STAFF",IF(MID(AO230,7,1)="S","STAFF",IF(MID(AO230,7,2)="JV","LOG",IFERROR(VLOOKUP($AO230,[1]!Table14[[New Account Number]:[Filtro2]],10,0),VLOOKUP($AO230,[1]!Table14[[Old Account Number]:[Filtro2]],13,0))))))))</f>
        <v>Total Outras Despesas Fixas</v>
      </c>
      <c r="D230" t="s">
        <v>43</v>
      </c>
      <c r="E230" t="s">
        <v>2</v>
      </c>
      <c r="F230" t="s">
        <v>3</v>
      </c>
      <c r="G230">
        <v>30193</v>
      </c>
      <c r="H230" t="s">
        <v>0</v>
      </c>
      <c r="I230" t="s">
        <v>49</v>
      </c>
      <c r="J230" t="s">
        <v>180</v>
      </c>
      <c r="K230" t="s">
        <v>1</v>
      </c>
      <c r="L230">
        <v>4211319719</v>
      </c>
      <c r="M230">
        <v>9001689242</v>
      </c>
      <c r="N230" s="2">
        <v>45975</v>
      </c>
      <c r="O230" s="2">
        <v>46020</v>
      </c>
      <c r="P230">
        <v>3498.84</v>
      </c>
      <c r="Q230" s="2">
        <v>45986</v>
      </c>
      <c r="R230">
        <v>5001780692</v>
      </c>
      <c r="S230">
        <v>2025</v>
      </c>
      <c r="T230">
        <v>369974</v>
      </c>
      <c r="U230" t="s">
        <v>1</v>
      </c>
      <c r="V230" s="2"/>
      <c r="W230" t="s">
        <v>1</v>
      </c>
      <c r="AE230">
        <v>0</v>
      </c>
      <c r="AF230" t="s">
        <v>103</v>
      </c>
      <c r="AG230" t="s">
        <v>1</v>
      </c>
      <c r="AH230" t="s">
        <v>104</v>
      </c>
      <c r="AI230">
        <v>3498.84</v>
      </c>
      <c r="AJ230" t="s">
        <v>1</v>
      </c>
      <c r="AK230" t="s">
        <v>1</v>
      </c>
      <c r="AL230">
        <v>6999999</v>
      </c>
      <c r="AM230" t="s">
        <v>59</v>
      </c>
      <c r="AN230">
        <v>9117</v>
      </c>
      <c r="AO230" t="s">
        <v>53</v>
      </c>
    </row>
    <row r="231" spans="1:41" x14ac:dyDescent="0.25">
      <c r="A231" t="str">
        <f>VLOOKUP(MONTH(N231),Sheet1!$A$2:$B$13,2,0)</f>
        <v>Dez</v>
      </c>
      <c r="B231" t="str">
        <f>IF(LEFT(AO231,1)="B","CAPEX",IF(LEFT(AO231,1)="C","STOCK",IF(MID(AO231,7,2)="JA","STAFF",IF(MID(AO231,7,1)="H","STAFF",IF(MID(AO231,7,1)="S","STAFF",IF(MID(AO231,7,2)="JV","LOG",IFERROR(VLOOKUP($AO231,[1]!Table14[[New Account Number]:[Filtro2]],9,0),VLOOKUP($AO231,[1]!Table14[[Old Account Number]:[Filtro2]],12,0))))))))</f>
        <v>Manutenção Terceiros</v>
      </c>
      <c r="C231" t="str">
        <f>IF(LEFT(AO231,1)="B","CAPEX",IF(LEFT(AO231,1)="C","STOCK",IF(MID(AO231,7,2)="JA","STAFF",IF(MID(AO231,7,1)="H","STAFF",IF(MID(AO231,7,1)="S","STAFF",IF(MID(AO231,7,2)="JV","LOG",IFERROR(VLOOKUP($AO231,[1]!Table14[[New Account Number]:[Filtro2]],10,0),VLOOKUP($AO231,[1]!Table14[[Old Account Number]:[Filtro2]],13,0))))))))</f>
        <v>Total Manutenção Variável</v>
      </c>
      <c r="D231" t="s">
        <v>43</v>
      </c>
      <c r="E231" t="s">
        <v>2</v>
      </c>
      <c r="F231" t="s">
        <v>3</v>
      </c>
      <c r="G231">
        <v>4333</v>
      </c>
      <c r="H231" t="s">
        <v>0</v>
      </c>
      <c r="I231" t="s">
        <v>49</v>
      </c>
      <c r="J231" t="s">
        <v>115</v>
      </c>
      <c r="K231" t="s">
        <v>1</v>
      </c>
      <c r="L231">
        <v>4211326400</v>
      </c>
      <c r="M231">
        <v>9001691314</v>
      </c>
      <c r="N231" s="2">
        <v>46000</v>
      </c>
      <c r="O231" s="2">
        <v>46070</v>
      </c>
      <c r="P231">
        <v>66000</v>
      </c>
      <c r="Q231" s="2">
        <v>46002</v>
      </c>
      <c r="R231">
        <v>5001899107</v>
      </c>
      <c r="S231">
        <v>2025</v>
      </c>
      <c r="T231">
        <v>373099</v>
      </c>
      <c r="U231" t="s">
        <v>1</v>
      </c>
      <c r="V231" s="2"/>
      <c r="W231" t="s">
        <v>1</v>
      </c>
      <c r="AE231">
        <v>0</v>
      </c>
      <c r="AF231" t="s">
        <v>106</v>
      </c>
      <c r="AG231" t="s">
        <v>1</v>
      </c>
      <c r="AH231" t="s">
        <v>192</v>
      </c>
      <c r="AI231">
        <v>66000</v>
      </c>
      <c r="AJ231" t="s">
        <v>1</v>
      </c>
      <c r="AK231" t="s">
        <v>1</v>
      </c>
      <c r="AL231">
        <v>6999999</v>
      </c>
      <c r="AM231" t="s">
        <v>59</v>
      </c>
      <c r="AN231">
        <v>9201</v>
      </c>
      <c r="AO231" t="s">
        <v>50</v>
      </c>
    </row>
    <row r="232" spans="1:41" x14ac:dyDescent="0.25">
      <c r="A232" t="str">
        <f>VLOOKUP(MONTH(N232),Sheet1!$A$2:$B$13,2,0)</f>
        <v>Dez</v>
      </c>
      <c r="B232" t="str">
        <f>IF(LEFT(AO232,1)="B","CAPEX",IF(LEFT(AO232,1)="C","STOCK",IF(MID(AO232,7,2)="JA","STAFF",IF(MID(AO232,7,1)="H","STAFF",IF(MID(AO232,7,1)="S","STAFF",IF(MID(AO232,7,2)="JV","LOG",IFERROR(VLOOKUP($AO232,[1]!Table14[[New Account Number]:[Filtro2]],9,0),VLOOKUP($AO232,[1]!Table14[[Old Account Number]:[Filtro2]],12,0))))))))</f>
        <v>STAFF</v>
      </c>
      <c r="C232" t="str">
        <f>IF(LEFT(AO232,1)="B","CAPEX",IF(LEFT(AO232,1)="C","STOCK",IF(MID(AO232,7,2)="JA","STAFF",IF(MID(AO232,7,1)="H","STAFF",IF(MID(AO232,7,1)="S","STAFF",IF(MID(AO232,7,2)="JV","LOG",IFERROR(VLOOKUP($AO232,[1]!Table14[[New Account Number]:[Filtro2]],10,0),VLOOKUP($AO232,[1]!Table14[[Old Account Number]:[Filtro2]],13,0))))))))</f>
        <v>STAFF</v>
      </c>
      <c r="D232" t="s">
        <v>46</v>
      </c>
      <c r="E232" t="s">
        <v>47</v>
      </c>
      <c r="F232" t="s">
        <v>48</v>
      </c>
      <c r="G232">
        <v>9380</v>
      </c>
      <c r="H232" t="s">
        <v>0</v>
      </c>
      <c r="I232" t="s">
        <v>88</v>
      </c>
      <c r="J232" t="s">
        <v>158</v>
      </c>
      <c r="K232" t="s">
        <v>1</v>
      </c>
      <c r="L232">
        <v>4211326362</v>
      </c>
      <c r="M232">
        <v>9001693267</v>
      </c>
      <c r="N232" s="2">
        <v>46002</v>
      </c>
      <c r="O232" s="2">
        <v>46092</v>
      </c>
      <c r="P232">
        <v>9850.23</v>
      </c>
      <c r="Q232" s="2">
        <v>46002</v>
      </c>
      <c r="R232">
        <v>5001899109</v>
      </c>
      <c r="S232">
        <v>2025</v>
      </c>
      <c r="T232">
        <v>373102</v>
      </c>
      <c r="U232" t="s">
        <v>1</v>
      </c>
      <c r="V232" s="2">
        <v>46002</v>
      </c>
      <c r="W232" t="s">
        <v>90</v>
      </c>
      <c r="AA232">
        <v>5001899230</v>
      </c>
      <c r="AB232">
        <v>2025</v>
      </c>
      <c r="AC232">
        <v>9004034768</v>
      </c>
      <c r="AD232">
        <v>2025</v>
      </c>
      <c r="AE232">
        <v>10419823</v>
      </c>
      <c r="AF232" t="s">
        <v>89</v>
      </c>
      <c r="AG232" t="s">
        <v>89</v>
      </c>
      <c r="AH232" t="s">
        <v>90</v>
      </c>
      <c r="AI232">
        <v>0</v>
      </c>
      <c r="AJ232" t="s">
        <v>1</v>
      </c>
      <c r="AK232" t="s">
        <v>1</v>
      </c>
      <c r="AL232">
        <v>6999999</v>
      </c>
      <c r="AM232" t="s">
        <v>91</v>
      </c>
      <c r="AN232">
        <v>8240</v>
      </c>
      <c r="AO232" t="s">
        <v>243</v>
      </c>
    </row>
    <row r="233" spans="1:41" x14ac:dyDescent="0.25">
      <c r="A233" t="str">
        <f>VLOOKUP(MONTH(N233),Sheet1!$A$2:$B$13,2,0)</f>
        <v>Dez</v>
      </c>
      <c r="B233" t="str">
        <f>IF(LEFT(AO233,1)="B","CAPEX",IF(LEFT(AO233,1)="C","STOCK",IF(MID(AO233,7,2)="JA","STAFF",IF(MID(AO233,7,1)="H","STAFF",IF(MID(AO233,7,1)="S","STAFF",IF(MID(AO233,7,2)="JV","LOG",IFERROR(VLOOKUP($AO233,[1]!Table14[[New Account Number]:[Filtro2]],9,0),VLOOKUP($AO233,[1]!Table14[[Old Account Number]:[Filtro2]],12,0))))))))</f>
        <v>Manutenção Terceiros</v>
      </c>
      <c r="C233" t="str">
        <f>IF(LEFT(AO233,1)="B","CAPEX",IF(LEFT(AO233,1)="C","STOCK",IF(MID(AO233,7,2)="JA","STAFF",IF(MID(AO233,7,1)="H","STAFF",IF(MID(AO233,7,1)="S","STAFF",IF(MID(AO233,7,2)="JV","LOG",IFERROR(VLOOKUP($AO233,[1]!Table14[[New Account Number]:[Filtro2]],10,0),VLOOKUP($AO233,[1]!Table14[[Old Account Number]:[Filtro2]],13,0))))))))</f>
        <v>Total Manutenção Variável</v>
      </c>
      <c r="D233" t="s">
        <v>43</v>
      </c>
      <c r="E233" t="s">
        <v>2</v>
      </c>
      <c r="F233" t="s">
        <v>3</v>
      </c>
      <c r="G233">
        <v>14129</v>
      </c>
      <c r="H233" t="s">
        <v>0</v>
      </c>
      <c r="I233" t="s">
        <v>49</v>
      </c>
      <c r="J233" t="s">
        <v>156</v>
      </c>
      <c r="K233" t="s">
        <v>1</v>
      </c>
      <c r="L233">
        <v>4211327382</v>
      </c>
      <c r="M233">
        <v>2600469760</v>
      </c>
      <c r="N233" s="2">
        <v>45996</v>
      </c>
      <c r="O233" s="2">
        <v>46056</v>
      </c>
      <c r="P233">
        <v>28740</v>
      </c>
      <c r="Q233" s="2">
        <v>45996</v>
      </c>
      <c r="R233">
        <v>5001861628</v>
      </c>
      <c r="S233">
        <v>2025</v>
      </c>
      <c r="T233">
        <v>371873</v>
      </c>
      <c r="U233" t="s">
        <v>1</v>
      </c>
      <c r="V233" s="2"/>
      <c r="W233" t="s">
        <v>1</v>
      </c>
      <c r="AE233">
        <v>0</v>
      </c>
      <c r="AF233" t="s">
        <v>51</v>
      </c>
      <c r="AG233" t="s">
        <v>1</v>
      </c>
      <c r="AH233" t="s">
        <v>52</v>
      </c>
      <c r="AI233">
        <v>28740</v>
      </c>
      <c r="AJ233" t="s">
        <v>1</v>
      </c>
      <c r="AK233" t="s">
        <v>1</v>
      </c>
      <c r="AL233">
        <v>6999999</v>
      </c>
      <c r="AM233" t="s">
        <v>59</v>
      </c>
      <c r="AN233">
        <v>9203</v>
      </c>
      <c r="AO233" t="s">
        <v>50</v>
      </c>
    </row>
    <row r="234" spans="1:41" x14ac:dyDescent="0.25">
      <c r="A234" t="str">
        <f>VLOOKUP(MONTH(N234),Sheet1!$A$2:$B$13,2,0)</f>
        <v>Nov</v>
      </c>
      <c r="B234" t="str">
        <f>IF(LEFT(AO234,1)="B","CAPEX",IF(LEFT(AO234,1)="C","STOCK",IF(MID(AO234,7,2)="JA","STAFF",IF(MID(AO234,7,1)="H","STAFF",IF(MID(AO234,7,1)="S","STAFF",IF(MID(AO234,7,2)="JV","LOG",IFERROR(VLOOKUP($AO234,[1]!Table14[[New Account Number]:[Filtro2]],9,0),VLOOKUP($AO234,[1]!Table14[[Old Account Number]:[Filtro2]],12,0))))))))</f>
        <v>Manutenção Terceiros</v>
      </c>
      <c r="C234" t="str">
        <f>IF(LEFT(AO234,1)="B","CAPEX",IF(LEFT(AO234,1)="C","STOCK",IF(MID(AO234,7,2)="JA","STAFF",IF(MID(AO234,7,1)="H","STAFF",IF(MID(AO234,7,1)="S","STAFF",IF(MID(AO234,7,2)="JV","LOG",IFERROR(VLOOKUP($AO234,[1]!Table14[[New Account Number]:[Filtro2]],10,0),VLOOKUP($AO234,[1]!Table14[[Old Account Number]:[Filtro2]],13,0))))))))</f>
        <v>Total Manutenção Variável</v>
      </c>
      <c r="D234" t="s">
        <v>43</v>
      </c>
      <c r="E234" t="s">
        <v>2</v>
      </c>
      <c r="F234" t="s">
        <v>3</v>
      </c>
      <c r="G234">
        <v>1343</v>
      </c>
      <c r="H234" t="s">
        <v>0</v>
      </c>
      <c r="I234" t="s">
        <v>49</v>
      </c>
      <c r="J234" t="s">
        <v>84</v>
      </c>
      <c r="K234" t="s">
        <v>1</v>
      </c>
      <c r="L234">
        <v>4211333373</v>
      </c>
      <c r="M234">
        <v>9001691006</v>
      </c>
      <c r="N234" s="2">
        <v>45979</v>
      </c>
      <c r="O234" s="2">
        <v>46069</v>
      </c>
      <c r="P234">
        <v>12000</v>
      </c>
      <c r="Q234" s="2">
        <v>45979</v>
      </c>
      <c r="R234">
        <v>5001729471</v>
      </c>
      <c r="S234">
        <v>2025</v>
      </c>
      <c r="T234">
        <v>368742</v>
      </c>
      <c r="U234" t="s">
        <v>1</v>
      </c>
      <c r="V234" s="2"/>
      <c r="W234" t="s">
        <v>1</v>
      </c>
      <c r="AE234">
        <v>0</v>
      </c>
      <c r="AF234" t="s">
        <v>106</v>
      </c>
      <c r="AG234" t="s">
        <v>1</v>
      </c>
      <c r="AH234" t="s">
        <v>192</v>
      </c>
      <c r="AI234">
        <v>12000</v>
      </c>
      <c r="AJ234" t="s">
        <v>1</v>
      </c>
      <c r="AK234" t="s">
        <v>1</v>
      </c>
      <c r="AL234">
        <v>6999999</v>
      </c>
      <c r="AM234" t="s">
        <v>59</v>
      </c>
      <c r="AN234">
        <v>9104</v>
      </c>
      <c r="AO234" t="s">
        <v>50</v>
      </c>
    </row>
    <row r="235" spans="1:41" x14ac:dyDescent="0.25">
      <c r="A235" t="str">
        <f>VLOOKUP(MONTH(N235),Sheet1!$A$2:$B$13,2,0)</f>
        <v>Dez</v>
      </c>
      <c r="B235" t="str">
        <f>IF(LEFT(AO235,1)="B","CAPEX",IF(LEFT(AO235,1)="C","STOCK",IF(MID(AO235,7,2)="JA","STAFF",IF(MID(AO235,7,1)="H","STAFF",IF(MID(AO235,7,1)="S","STAFF",IF(MID(AO235,7,2)="JV","LOG",IFERROR(VLOOKUP($AO235,[1]!Table14[[New Account Number]:[Filtro2]],9,0),VLOOKUP($AO235,[1]!Table14[[Old Account Number]:[Filtro2]],12,0))))))))</f>
        <v>STOCK</v>
      </c>
      <c r="C235" t="str">
        <f>IF(LEFT(AO235,1)="B","CAPEX",IF(LEFT(AO235,1)="C","STOCK",IF(MID(AO235,7,2)="JA","STAFF",IF(MID(AO235,7,1)="H","STAFF",IF(MID(AO235,7,1)="S","STAFF",IF(MID(AO235,7,2)="JV","LOG",IFERROR(VLOOKUP($AO235,[1]!Table14[[New Account Number]:[Filtro2]],10,0),VLOOKUP($AO235,[1]!Table14[[Old Account Number]:[Filtro2]],13,0))))))))</f>
        <v>STOCK</v>
      </c>
      <c r="D235" t="s">
        <v>43</v>
      </c>
      <c r="E235" t="s">
        <v>2</v>
      </c>
      <c r="F235" t="s">
        <v>3</v>
      </c>
      <c r="G235">
        <v>4833</v>
      </c>
      <c r="H235" t="s">
        <v>0</v>
      </c>
      <c r="I235" t="s">
        <v>49</v>
      </c>
      <c r="J235" t="s">
        <v>199</v>
      </c>
      <c r="K235" t="s">
        <v>1</v>
      </c>
      <c r="L235">
        <v>4211332423</v>
      </c>
      <c r="M235">
        <v>9001696035</v>
      </c>
      <c r="N235" s="2">
        <v>46001</v>
      </c>
      <c r="O235" s="2">
        <v>46061</v>
      </c>
      <c r="P235">
        <v>3385.58</v>
      </c>
      <c r="Q235" s="2">
        <v>46001</v>
      </c>
      <c r="R235">
        <v>5001887048</v>
      </c>
      <c r="S235">
        <v>2025</v>
      </c>
      <c r="T235">
        <v>372868</v>
      </c>
      <c r="U235" t="s">
        <v>1</v>
      </c>
      <c r="V235" s="2"/>
      <c r="W235" t="s">
        <v>1</v>
      </c>
      <c r="AE235">
        <v>0</v>
      </c>
      <c r="AF235" t="s">
        <v>144</v>
      </c>
      <c r="AG235" t="s">
        <v>1</v>
      </c>
      <c r="AH235" t="s">
        <v>145</v>
      </c>
      <c r="AI235">
        <v>3385.58</v>
      </c>
      <c r="AJ235" t="s">
        <v>1</v>
      </c>
      <c r="AK235" t="s">
        <v>1</v>
      </c>
      <c r="AL235">
        <v>6999999</v>
      </c>
      <c r="AM235" t="s">
        <v>59</v>
      </c>
      <c r="AN235">
        <v>9042</v>
      </c>
      <c r="AO235" t="s">
        <v>197</v>
      </c>
    </row>
    <row r="236" spans="1:41" x14ac:dyDescent="0.25">
      <c r="A236" t="str">
        <f>VLOOKUP(MONTH(N236),Sheet1!$A$2:$B$13,2,0)</f>
        <v>Dez</v>
      </c>
      <c r="B236" t="str">
        <f>IF(LEFT(AO236,1)="B","CAPEX",IF(LEFT(AO236,1)="C","STOCK",IF(MID(AO236,7,2)="JA","STAFF",IF(MID(AO236,7,1)="H","STAFF",IF(MID(AO236,7,1)="S","STAFF",IF(MID(AO236,7,2)="JV","LOG",IFERROR(VLOOKUP($AO236,[1]!Table14[[New Account Number]:[Filtro2]],9,0),VLOOKUP($AO236,[1]!Table14[[Old Account Number]:[Filtro2]],12,0))))))))</f>
        <v>Despesas Sociais</v>
      </c>
      <c r="C236" t="str">
        <f>IF(LEFT(AO236,1)="B","CAPEX",IF(LEFT(AO236,1)="C","STOCK",IF(MID(AO236,7,2)="JA","STAFF",IF(MID(AO236,7,1)="H","STAFF",IF(MID(AO236,7,1)="S","STAFF",IF(MID(AO236,7,2)="JV","LOG",IFERROR(VLOOKUP($AO236,[1]!Table14[[New Account Number]:[Filtro2]],10,0),VLOOKUP($AO236,[1]!Table14[[Old Account Number]:[Filtro2]],13,0))))))))</f>
        <v>Total Outras Despesas Fixas</v>
      </c>
      <c r="D236" t="s">
        <v>43</v>
      </c>
      <c r="E236" t="s">
        <v>2</v>
      </c>
      <c r="F236" t="s">
        <v>3</v>
      </c>
      <c r="G236">
        <v>10</v>
      </c>
      <c r="H236" t="s">
        <v>0</v>
      </c>
      <c r="I236" t="s">
        <v>44</v>
      </c>
      <c r="J236" t="s">
        <v>321</v>
      </c>
      <c r="K236" t="s">
        <v>1</v>
      </c>
      <c r="L236">
        <v>4211332960</v>
      </c>
      <c r="M236">
        <v>2600470274</v>
      </c>
      <c r="N236" s="2">
        <v>46001</v>
      </c>
      <c r="O236" s="2">
        <v>46061</v>
      </c>
      <c r="P236">
        <v>7500</v>
      </c>
      <c r="Q236" s="2">
        <v>46002</v>
      </c>
      <c r="R236">
        <v>5001895567</v>
      </c>
      <c r="S236">
        <v>2025</v>
      </c>
      <c r="T236">
        <v>373095</v>
      </c>
      <c r="U236" t="s">
        <v>1</v>
      </c>
      <c r="V236" s="2"/>
      <c r="W236" t="s">
        <v>1</v>
      </c>
      <c r="AE236">
        <v>0</v>
      </c>
      <c r="AF236" t="s">
        <v>253</v>
      </c>
      <c r="AG236" t="s">
        <v>1</v>
      </c>
      <c r="AH236" t="s">
        <v>213</v>
      </c>
      <c r="AI236">
        <v>7500</v>
      </c>
      <c r="AJ236" t="s">
        <v>1</v>
      </c>
      <c r="AK236" t="s">
        <v>1</v>
      </c>
      <c r="AL236">
        <v>6999999</v>
      </c>
      <c r="AM236" t="s">
        <v>92</v>
      </c>
      <c r="AN236">
        <v>2953</v>
      </c>
      <c r="AO236" t="s">
        <v>254</v>
      </c>
    </row>
    <row r="237" spans="1:41" x14ac:dyDescent="0.25">
      <c r="A237" t="str">
        <f>VLOOKUP(MONTH(N237),Sheet1!$A$2:$B$13,2,0)</f>
        <v>Dez</v>
      </c>
      <c r="B237" t="str">
        <f>IF(LEFT(AO237,1)="B","CAPEX",IF(LEFT(AO237,1)="C","STOCK",IF(MID(AO237,7,2)="JA","STAFF",IF(MID(AO237,7,1)="H","STAFF",IF(MID(AO237,7,1)="S","STAFF",IF(MID(AO237,7,2)="JV","LOG",IFERROR(VLOOKUP($AO237,[1]!Table14[[New Account Number]:[Filtro2]],9,0),VLOOKUP($AO237,[1]!Table14[[Old Account Number]:[Filtro2]],12,0))))))))</f>
        <v>Aluguéis</v>
      </c>
      <c r="C237" t="str">
        <f>IF(LEFT(AO237,1)="B","CAPEX",IF(LEFT(AO237,1)="C","STOCK",IF(MID(AO237,7,2)="JA","STAFF",IF(MID(AO237,7,1)="H","STAFF",IF(MID(AO237,7,1)="S","STAFF",IF(MID(AO237,7,2)="JV","LOG",IFERROR(VLOOKUP($AO237,[1]!Table14[[New Account Number]:[Filtro2]],10,0),VLOOKUP($AO237,[1]!Table14[[Old Account Number]:[Filtro2]],13,0))))))))</f>
        <v>Total Outras Despesas Fixas</v>
      </c>
      <c r="D237" t="s">
        <v>43</v>
      </c>
      <c r="E237" t="s">
        <v>2</v>
      </c>
      <c r="F237" t="s">
        <v>3</v>
      </c>
      <c r="G237">
        <v>9381</v>
      </c>
      <c r="H237" t="s">
        <v>0</v>
      </c>
      <c r="I237" t="s">
        <v>49</v>
      </c>
      <c r="J237" t="s">
        <v>158</v>
      </c>
      <c r="K237" t="s">
        <v>1</v>
      </c>
      <c r="L237">
        <v>4211326362</v>
      </c>
      <c r="M237">
        <v>9001696033</v>
      </c>
      <c r="N237" s="2">
        <v>46002</v>
      </c>
      <c r="O237" s="2">
        <v>46092</v>
      </c>
      <c r="P237">
        <v>8822.6299999999992</v>
      </c>
      <c r="Q237" s="2">
        <v>46002</v>
      </c>
      <c r="R237">
        <v>5001899110</v>
      </c>
      <c r="S237">
        <v>2025</v>
      </c>
      <c r="T237">
        <v>373103</v>
      </c>
      <c r="U237" t="s">
        <v>1</v>
      </c>
      <c r="V237" s="2"/>
      <c r="W237" t="s">
        <v>1</v>
      </c>
      <c r="AE237">
        <v>0</v>
      </c>
      <c r="AF237" t="s">
        <v>144</v>
      </c>
      <c r="AG237" t="s">
        <v>1</v>
      </c>
      <c r="AH237" t="s">
        <v>145</v>
      </c>
      <c r="AI237">
        <v>8822.6299999999992</v>
      </c>
      <c r="AJ237" t="s">
        <v>1</v>
      </c>
      <c r="AK237" t="s">
        <v>1</v>
      </c>
      <c r="AL237">
        <v>6999999</v>
      </c>
      <c r="AM237" t="s">
        <v>59</v>
      </c>
      <c r="AN237">
        <v>9000</v>
      </c>
      <c r="AO237" t="s">
        <v>54</v>
      </c>
    </row>
    <row r="238" spans="1:41" x14ac:dyDescent="0.25">
      <c r="A238" t="str">
        <f>VLOOKUP(MONTH(N238),Sheet1!$A$2:$B$13,2,0)</f>
        <v>Dez</v>
      </c>
      <c r="B238" t="str">
        <f>IF(LEFT(AO238,1)="B","CAPEX",IF(LEFT(AO238,1)="C","STOCK",IF(MID(AO238,7,2)="JA","STAFF",IF(MID(AO238,7,1)="H","STAFF",IF(MID(AO238,7,1)="S","STAFF",IF(MID(AO238,7,2)="JV","LOG",IFERROR(VLOOKUP($AO238,[1]!Table14[[New Account Number]:[Filtro2]],9,0),VLOOKUP($AO238,[1]!Table14[[Old Account Number]:[Filtro2]],12,0))))))))</f>
        <v>CAPEX</v>
      </c>
      <c r="C238" t="str">
        <f>IF(LEFT(AO238,1)="B","CAPEX",IF(LEFT(AO238,1)="C","STOCK",IF(MID(AO238,7,2)="JA","STAFF",IF(MID(AO238,7,1)="H","STAFF",IF(MID(AO238,7,1)="S","STAFF",IF(MID(AO238,7,2)="JV","LOG",IFERROR(VLOOKUP($AO238,[1]!Table14[[New Account Number]:[Filtro2]],10,0),VLOOKUP($AO238,[1]!Table14[[Old Account Number]:[Filtro2]],13,0))))))))</f>
        <v>CAPEX</v>
      </c>
      <c r="D238" t="s">
        <v>46</v>
      </c>
      <c r="E238" t="s">
        <v>47</v>
      </c>
      <c r="F238" t="s">
        <v>48</v>
      </c>
      <c r="G238">
        <v>67</v>
      </c>
      <c r="H238" t="s">
        <v>0</v>
      </c>
      <c r="I238" t="s">
        <v>58</v>
      </c>
      <c r="J238" t="s">
        <v>205</v>
      </c>
      <c r="K238" t="s">
        <v>1</v>
      </c>
      <c r="L238">
        <v>4211333386</v>
      </c>
      <c r="M238">
        <v>9001687934</v>
      </c>
      <c r="N238" s="2">
        <v>46002</v>
      </c>
      <c r="O238" s="2">
        <v>46062</v>
      </c>
      <c r="P238">
        <v>20020</v>
      </c>
      <c r="Q238" s="2">
        <v>46002</v>
      </c>
      <c r="R238">
        <v>5001899341</v>
      </c>
      <c r="S238">
        <v>2025</v>
      </c>
      <c r="T238">
        <v>373114</v>
      </c>
      <c r="U238" t="s">
        <v>1</v>
      </c>
      <c r="V238" s="2">
        <v>46003</v>
      </c>
      <c r="W238" t="s">
        <v>233</v>
      </c>
      <c r="AA238">
        <v>5001902728</v>
      </c>
      <c r="AB238">
        <v>2025</v>
      </c>
      <c r="AC238">
        <v>9004035133</v>
      </c>
      <c r="AD238">
        <v>2025</v>
      </c>
      <c r="AE238">
        <v>10420980</v>
      </c>
      <c r="AF238" t="s">
        <v>234</v>
      </c>
      <c r="AG238" t="s">
        <v>234</v>
      </c>
      <c r="AH238" t="s">
        <v>1</v>
      </c>
      <c r="AI238">
        <v>0</v>
      </c>
      <c r="AJ238" t="s">
        <v>1</v>
      </c>
      <c r="AK238" t="s">
        <v>1</v>
      </c>
      <c r="AL238">
        <v>6999999</v>
      </c>
      <c r="AM238" t="s">
        <v>59</v>
      </c>
      <c r="AO238" t="s">
        <v>121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75"/>
  <sheetViews>
    <sheetView showGridLines="0" tabSelected="1" topLeftCell="F1" zoomScale="85" zoomScaleNormal="85" workbookViewId="0">
      <selection activeCell="X37" sqref="X37"/>
    </sheetView>
  </sheetViews>
  <sheetFormatPr defaultRowHeight="13.2" x14ac:dyDescent="0.25"/>
  <cols>
    <col min="1" max="1" width="32.5546875" bestFit="1" customWidth="1"/>
    <col min="2" max="2" width="24.77734375" bestFit="1" customWidth="1"/>
    <col min="3" max="3" width="17.21875" bestFit="1" customWidth="1"/>
    <col min="4" max="4" width="13.77734375" bestFit="1" customWidth="1"/>
    <col min="5" max="5" width="45.5546875" bestFit="1" customWidth="1"/>
    <col min="6" max="6" width="32.77734375" bestFit="1" customWidth="1"/>
    <col min="7" max="7" width="14.88671875" customWidth="1"/>
    <col min="8" max="8" width="12.77734375" bestFit="1" customWidth="1"/>
    <col min="9" max="9" width="21.33203125" bestFit="1" customWidth="1"/>
    <col min="10" max="10" width="17.109375" bestFit="1" customWidth="1"/>
    <col min="11" max="16" width="17.5546875" hidden="1" customWidth="1"/>
    <col min="17" max="17" width="7.77734375" hidden="1" customWidth="1"/>
    <col min="18" max="18" width="7.77734375" bestFit="1" customWidth="1"/>
    <col min="19" max="19" width="17.5546875" bestFit="1" customWidth="1"/>
    <col min="20" max="20" width="32.5546875" bestFit="1" customWidth="1"/>
    <col min="21" max="21" width="13.109375" bestFit="1" customWidth="1"/>
    <col min="22" max="27" width="9.109375" bestFit="1" customWidth="1"/>
    <col min="28" max="28" width="11.33203125" bestFit="1" customWidth="1"/>
    <col min="29" max="38" width="11.77734375" customWidth="1"/>
    <col min="39" max="39" width="7.5546875" customWidth="1"/>
    <col min="40" max="40" width="33.5546875" customWidth="1"/>
    <col min="41" max="41" width="26.5546875" bestFit="1" customWidth="1"/>
    <col min="42" max="45" width="9.109375" bestFit="1" customWidth="1"/>
    <col min="46" max="46" width="9.109375" style="5" bestFit="1" customWidth="1"/>
    <col min="47" max="47" width="9.109375" bestFit="1" customWidth="1"/>
    <col min="48" max="48" width="11.33203125" bestFit="1" customWidth="1"/>
    <col min="49" max="49" width="22.77734375" bestFit="1" customWidth="1"/>
    <col min="50" max="50" width="29.21875" bestFit="1" customWidth="1"/>
  </cols>
  <sheetData>
    <row r="1" spans="1:48" x14ac:dyDescent="0.25">
      <c r="A1" s="1" t="s">
        <v>39</v>
      </c>
      <c r="B1" t="s">
        <v>63</v>
      </c>
    </row>
    <row r="2" spans="1:48" x14ac:dyDescent="0.25">
      <c r="A2" s="1" t="s">
        <v>4</v>
      </c>
      <c r="B2" t="s">
        <v>2</v>
      </c>
      <c r="S2" s="1" t="s">
        <v>39</v>
      </c>
      <c r="T2" t="s">
        <v>63</v>
      </c>
    </row>
    <row r="3" spans="1:48" x14ac:dyDescent="0.25">
      <c r="S3" s="1" t="s">
        <v>4</v>
      </c>
      <c r="T3" t="s">
        <v>2</v>
      </c>
      <c r="AM3" s="1" t="s">
        <v>4</v>
      </c>
      <c r="AN3" t="s">
        <v>2</v>
      </c>
    </row>
    <row r="4" spans="1:48" x14ac:dyDescent="0.25">
      <c r="A4" s="1" t="s">
        <v>3</v>
      </c>
      <c r="B4" s="1" t="s">
        <v>30</v>
      </c>
      <c r="C4" s="1" t="s">
        <v>36</v>
      </c>
      <c r="D4" s="1" t="s">
        <v>10</v>
      </c>
      <c r="E4" s="1" t="s">
        <v>11</v>
      </c>
      <c r="F4" s="1" t="s">
        <v>40</v>
      </c>
      <c r="G4" s="1" t="s">
        <v>6</v>
      </c>
      <c r="H4" s="1" t="s">
        <v>12</v>
      </c>
      <c r="I4" s="1" t="s">
        <v>13</v>
      </c>
      <c r="J4" t="s">
        <v>41</v>
      </c>
    </row>
    <row r="5" spans="1:48" x14ac:dyDescent="0.25">
      <c r="A5" t="s">
        <v>51</v>
      </c>
      <c r="B5" t="s">
        <v>52</v>
      </c>
      <c r="C5" t="s">
        <v>59</v>
      </c>
      <c r="D5">
        <v>4211317321</v>
      </c>
      <c r="E5" t="s">
        <v>125</v>
      </c>
      <c r="F5" t="s">
        <v>56</v>
      </c>
      <c r="G5">
        <v>2600462992</v>
      </c>
      <c r="H5">
        <v>14764</v>
      </c>
      <c r="I5" s="2">
        <v>45923</v>
      </c>
      <c r="J5" s="3">
        <v>23368.94</v>
      </c>
      <c r="K5" s="3"/>
      <c r="L5" s="3"/>
      <c r="M5" s="3"/>
      <c r="N5" s="3"/>
      <c r="O5" s="3"/>
      <c r="P5" s="3"/>
      <c r="S5" s="1" t="s">
        <v>41</v>
      </c>
      <c r="V5" s="1" t="s">
        <v>42</v>
      </c>
      <c r="AM5" s="1" t="s">
        <v>41</v>
      </c>
      <c r="AP5" s="1" t="s">
        <v>42</v>
      </c>
      <c r="AT5"/>
    </row>
    <row r="6" spans="1:48" x14ac:dyDescent="0.25">
      <c r="A6" t="s">
        <v>51</v>
      </c>
      <c r="B6" t="s">
        <v>52</v>
      </c>
      <c r="C6" t="s">
        <v>59</v>
      </c>
      <c r="D6">
        <v>4211326911</v>
      </c>
      <c r="E6" t="s">
        <v>139</v>
      </c>
      <c r="F6" t="s">
        <v>55</v>
      </c>
      <c r="G6">
        <v>9001676632</v>
      </c>
      <c r="H6">
        <v>1117</v>
      </c>
      <c r="I6" s="2">
        <v>45973</v>
      </c>
      <c r="J6" s="3">
        <v>268512.96000000002</v>
      </c>
      <c r="K6" s="3"/>
      <c r="L6" s="3"/>
      <c r="M6" s="3"/>
      <c r="N6" s="3"/>
      <c r="O6" s="3"/>
      <c r="P6" s="3"/>
      <c r="S6" s="1" t="s">
        <v>17</v>
      </c>
      <c r="T6" s="1" t="s">
        <v>3</v>
      </c>
      <c r="U6" s="1" t="s">
        <v>30</v>
      </c>
      <c r="V6" t="s">
        <v>70</v>
      </c>
      <c r="W6" t="s">
        <v>71</v>
      </c>
      <c r="X6" t="s">
        <v>72</v>
      </c>
      <c r="Y6" t="s">
        <v>73</v>
      </c>
      <c r="Z6" t="s">
        <v>74</v>
      </c>
      <c r="AA6" t="s">
        <v>75</v>
      </c>
      <c r="AB6" s="4" t="s">
        <v>45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1" t="s">
        <v>17</v>
      </c>
      <c r="AN6" s="1" t="s">
        <v>40</v>
      </c>
      <c r="AO6" s="1" t="s">
        <v>39</v>
      </c>
      <c r="AP6" t="s">
        <v>70</v>
      </c>
      <c r="AQ6" t="s">
        <v>71</v>
      </c>
      <c r="AR6" t="s">
        <v>72</v>
      </c>
      <c r="AS6" t="s">
        <v>73</v>
      </c>
      <c r="AT6" t="s">
        <v>74</v>
      </c>
      <c r="AU6" t="s">
        <v>75</v>
      </c>
      <c r="AV6" s="4" t="s">
        <v>45</v>
      </c>
    </row>
    <row r="7" spans="1:48" x14ac:dyDescent="0.25">
      <c r="A7" t="s">
        <v>51</v>
      </c>
      <c r="B7" t="s">
        <v>52</v>
      </c>
      <c r="C7" t="s">
        <v>59</v>
      </c>
      <c r="D7">
        <v>4211326911</v>
      </c>
      <c r="E7" t="s">
        <v>139</v>
      </c>
      <c r="F7" t="s">
        <v>55</v>
      </c>
      <c r="G7">
        <v>9001676632</v>
      </c>
      <c r="H7">
        <v>1122</v>
      </c>
      <c r="I7" s="2">
        <v>46002</v>
      </c>
      <c r="J7" s="3">
        <v>268512.96000000002</v>
      </c>
      <c r="K7" s="3"/>
      <c r="L7" s="3"/>
      <c r="M7" s="3"/>
      <c r="N7" s="3"/>
      <c r="O7" s="3"/>
      <c r="P7" s="3"/>
      <c r="S7">
        <v>2025</v>
      </c>
      <c r="T7" t="s">
        <v>81</v>
      </c>
      <c r="U7" t="s">
        <v>96</v>
      </c>
      <c r="V7" s="3"/>
      <c r="W7" s="3"/>
      <c r="X7" s="3">
        <v>15000</v>
      </c>
      <c r="Y7" s="3">
        <v>43527</v>
      </c>
      <c r="Z7" s="3">
        <v>21700</v>
      </c>
      <c r="AA7" s="3">
        <v>15703.65</v>
      </c>
      <c r="AB7" s="3">
        <v>95930.65</v>
      </c>
      <c r="AC7" s="3"/>
      <c r="AD7" s="3"/>
      <c r="AE7" s="3"/>
      <c r="AF7" s="3"/>
      <c r="AG7" s="3"/>
      <c r="AH7" s="3"/>
      <c r="AI7" s="3"/>
      <c r="AJ7" s="3"/>
      <c r="AK7" s="3"/>
      <c r="AL7" s="3"/>
      <c r="AM7">
        <v>2025</v>
      </c>
      <c r="AN7" t="s">
        <v>322</v>
      </c>
      <c r="AO7" t="s">
        <v>323</v>
      </c>
      <c r="AP7" s="3"/>
      <c r="AQ7" s="3"/>
      <c r="AR7" s="3"/>
      <c r="AS7" s="3"/>
      <c r="AT7" s="3"/>
      <c r="AU7" s="3">
        <v>703.65</v>
      </c>
      <c r="AV7" s="3">
        <v>703.65</v>
      </c>
    </row>
    <row r="8" spans="1:48" x14ac:dyDescent="0.25">
      <c r="A8" t="s">
        <v>51</v>
      </c>
      <c r="B8" t="s">
        <v>52</v>
      </c>
      <c r="C8" t="s">
        <v>59</v>
      </c>
      <c r="D8">
        <v>4211329568</v>
      </c>
      <c r="E8" t="s">
        <v>294</v>
      </c>
      <c r="F8" t="s">
        <v>105</v>
      </c>
      <c r="G8">
        <v>2600470295</v>
      </c>
      <c r="H8">
        <v>2120</v>
      </c>
      <c r="I8" s="2">
        <v>46003</v>
      </c>
      <c r="J8" s="3">
        <v>29800</v>
      </c>
      <c r="K8" s="3"/>
      <c r="L8" s="3"/>
      <c r="M8" s="3"/>
      <c r="N8" s="3"/>
      <c r="O8" s="3"/>
      <c r="P8" s="3"/>
      <c r="S8">
        <v>2025</v>
      </c>
      <c r="T8" t="s">
        <v>101</v>
      </c>
      <c r="U8" t="s">
        <v>102</v>
      </c>
      <c r="V8" s="3"/>
      <c r="W8" s="3"/>
      <c r="X8" s="3"/>
      <c r="Y8" s="3">
        <v>3922.2</v>
      </c>
      <c r="Z8" s="3">
        <v>290</v>
      </c>
      <c r="AA8" s="3">
        <v>290</v>
      </c>
      <c r="AB8" s="3">
        <v>4502.2</v>
      </c>
      <c r="AC8" s="3"/>
      <c r="AD8" s="3"/>
      <c r="AE8" s="3"/>
      <c r="AF8" s="3"/>
      <c r="AG8" s="3"/>
      <c r="AH8" s="3"/>
      <c r="AI8" s="3"/>
      <c r="AJ8" s="3"/>
      <c r="AK8" s="3"/>
      <c r="AL8" s="3"/>
      <c r="AM8">
        <v>2025</v>
      </c>
      <c r="AN8" t="s">
        <v>105</v>
      </c>
      <c r="AO8" t="s">
        <v>80</v>
      </c>
      <c r="AP8" s="3"/>
      <c r="AQ8" s="3">
        <v>72398.73</v>
      </c>
      <c r="AR8" s="3">
        <v>87398.73</v>
      </c>
      <c r="AS8" s="3">
        <v>15000</v>
      </c>
      <c r="AT8" s="3">
        <v>136456.84</v>
      </c>
      <c r="AU8" s="3">
        <v>103200</v>
      </c>
      <c r="AV8" s="3">
        <v>414454.3</v>
      </c>
    </row>
    <row r="9" spans="1:48" x14ac:dyDescent="0.25">
      <c r="A9" t="s">
        <v>51</v>
      </c>
      <c r="B9" t="s">
        <v>52</v>
      </c>
      <c r="C9" t="s">
        <v>59</v>
      </c>
      <c r="D9">
        <v>4211329397</v>
      </c>
      <c r="E9" t="s">
        <v>235</v>
      </c>
      <c r="F9" t="s">
        <v>56</v>
      </c>
      <c r="G9">
        <v>2600466880</v>
      </c>
      <c r="H9">
        <v>210</v>
      </c>
      <c r="I9" s="2">
        <v>45996</v>
      </c>
      <c r="J9" s="3">
        <v>215000</v>
      </c>
      <c r="K9" s="3"/>
      <c r="L9" s="3"/>
      <c r="M9" s="3"/>
      <c r="N9" s="3"/>
      <c r="O9" s="3"/>
      <c r="P9" s="3"/>
      <c r="S9">
        <v>2025</v>
      </c>
      <c r="T9" t="s">
        <v>116</v>
      </c>
      <c r="U9" t="s">
        <v>117</v>
      </c>
      <c r="V9" s="3">
        <v>16843.54</v>
      </c>
      <c r="W9" s="3">
        <v>72398.73</v>
      </c>
      <c r="X9" s="3">
        <v>144797.46</v>
      </c>
      <c r="Y9" s="3"/>
      <c r="Z9" s="3"/>
      <c r="AA9" s="3"/>
      <c r="AB9" s="3">
        <v>234039.72999999998</v>
      </c>
      <c r="AC9" s="3"/>
      <c r="AD9" s="3"/>
      <c r="AE9" s="3"/>
      <c r="AF9" s="3"/>
      <c r="AG9" s="3"/>
      <c r="AH9" s="3"/>
      <c r="AI9" s="3"/>
      <c r="AJ9" s="3"/>
      <c r="AK9" s="3"/>
      <c r="AL9" s="3"/>
      <c r="AM9">
        <v>2025</v>
      </c>
      <c r="AN9" t="s">
        <v>56</v>
      </c>
      <c r="AO9" t="s">
        <v>80</v>
      </c>
      <c r="AP9" s="3"/>
      <c r="AQ9" s="3"/>
      <c r="AR9" s="3">
        <v>484769.63999999996</v>
      </c>
      <c r="AS9" s="3">
        <v>395497.64</v>
      </c>
      <c r="AT9" s="3">
        <v>423523.63999999996</v>
      </c>
      <c r="AU9" s="3">
        <v>443020.89</v>
      </c>
      <c r="AV9" s="3">
        <v>1746811.81</v>
      </c>
    </row>
    <row r="10" spans="1:48" x14ac:dyDescent="0.25">
      <c r="A10" t="s">
        <v>51</v>
      </c>
      <c r="B10" t="s">
        <v>52</v>
      </c>
      <c r="C10" t="s">
        <v>59</v>
      </c>
      <c r="D10">
        <v>4211328965</v>
      </c>
      <c r="E10" t="s">
        <v>142</v>
      </c>
      <c r="F10" t="s">
        <v>55</v>
      </c>
      <c r="G10">
        <v>9001676803</v>
      </c>
      <c r="H10">
        <v>901118</v>
      </c>
      <c r="I10" s="2">
        <v>45943</v>
      </c>
      <c r="J10" s="3">
        <v>13439.08</v>
      </c>
      <c r="K10" s="3"/>
      <c r="L10" s="3"/>
      <c r="M10" s="3"/>
      <c r="N10" s="3"/>
      <c r="O10" s="3"/>
      <c r="P10" s="3"/>
      <c r="S10">
        <v>2025</v>
      </c>
      <c r="T10" t="s">
        <v>60</v>
      </c>
      <c r="U10" t="s">
        <v>61</v>
      </c>
      <c r="V10" s="3">
        <v>88823.44</v>
      </c>
      <c r="W10" s="3"/>
      <c r="X10" s="3"/>
      <c r="Y10" s="3"/>
      <c r="Z10" s="3">
        <v>2025195.2099999997</v>
      </c>
      <c r="AA10" s="3">
        <v>1953.23</v>
      </c>
      <c r="AB10" s="3">
        <v>2115971.88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>
        <v>2025</v>
      </c>
      <c r="AN10" t="s">
        <v>55</v>
      </c>
      <c r="AO10" t="s">
        <v>140</v>
      </c>
      <c r="AP10" s="3"/>
      <c r="AQ10" s="3">
        <v>8822.6299999999992</v>
      </c>
      <c r="AR10" s="3">
        <v>5992</v>
      </c>
      <c r="AS10" s="3">
        <v>37785.4</v>
      </c>
      <c r="AT10" s="3">
        <v>612459.92000000004</v>
      </c>
      <c r="AU10" s="3">
        <v>575643.84000000008</v>
      </c>
      <c r="AV10" s="3">
        <v>1240703.79</v>
      </c>
    </row>
    <row r="11" spans="1:48" x14ac:dyDescent="0.25">
      <c r="A11" t="s">
        <v>51</v>
      </c>
      <c r="B11" t="s">
        <v>52</v>
      </c>
      <c r="C11" t="s">
        <v>59</v>
      </c>
      <c r="D11">
        <v>4211328965</v>
      </c>
      <c r="E11" t="s">
        <v>142</v>
      </c>
      <c r="F11" t="s">
        <v>55</v>
      </c>
      <c r="G11">
        <v>9001676842</v>
      </c>
      <c r="H11">
        <v>901119</v>
      </c>
      <c r="I11" s="2">
        <v>45978</v>
      </c>
      <c r="J11" s="3">
        <v>13439.08</v>
      </c>
      <c r="K11" s="3"/>
      <c r="L11" s="3"/>
      <c r="M11" s="3"/>
      <c r="N11" s="3"/>
      <c r="O11" s="3"/>
      <c r="P11" s="3"/>
      <c r="S11">
        <v>2025</v>
      </c>
      <c r="T11" t="s">
        <v>253</v>
      </c>
      <c r="U11" t="s">
        <v>213</v>
      </c>
      <c r="V11" s="3"/>
      <c r="W11" s="3"/>
      <c r="X11" s="3"/>
      <c r="Y11" s="3"/>
      <c r="Z11" s="3"/>
      <c r="AA11" s="3">
        <v>55902.78</v>
      </c>
      <c r="AB11" s="3">
        <v>55902.78</v>
      </c>
      <c r="AC11" s="3"/>
      <c r="AD11" s="3"/>
      <c r="AE11" s="3"/>
      <c r="AF11" s="3"/>
      <c r="AG11" s="3"/>
      <c r="AH11" s="3"/>
      <c r="AI11" s="3"/>
      <c r="AJ11" s="3"/>
      <c r="AK11" s="3"/>
      <c r="AL11" s="3"/>
      <c r="AM11">
        <v>2025</v>
      </c>
      <c r="AN11" t="s">
        <v>55</v>
      </c>
      <c r="AO11" t="s">
        <v>324</v>
      </c>
      <c r="AP11" s="3"/>
      <c r="AQ11" s="3"/>
      <c r="AR11" s="3"/>
      <c r="AS11" s="3"/>
      <c r="AT11" s="3"/>
      <c r="AU11" s="3">
        <v>103617</v>
      </c>
      <c r="AV11" s="3">
        <v>103617</v>
      </c>
    </row>
    <row r="12" spans="1:48" x14ac:dyDescent="0.25">
      <c r="A12" t="s">
        <v>51</v>
      </c>
      <c r="B12" t="s">
        <v>52</v>
      </c>
      <c r="C12" t="s">
        <v>59</v>
      </c>
      <c r="D12">
        <v>4211327382</v>
      </c>
      <c r="E12" t="s">
        <v>156</v>
      </c>
      <c r="F12" t="s">
        <v>56</v>
      </c>
      <c r="G12">
        <v>2600469760</v>
      </c>
      <c r="H12">
        <v>14129</v>
      </c>
      <c r="I12" s="2">
        <v>45996</v>
      </c>
      <c r="J12" s="3">
        <v>28740</v>
      </c>
      <c r="K12" s="3"/>
      <c r="L12" s="3"/>
      <c r="M12" s="3"/>
      <c r="N12" s="3"/>
      <c r="O12" s="3"/>
      <c r="P12" s="3"/>
      <c r="S12">
        <v>2025</v>
      </c>
      <c r="T12" t="s">
        <v>103</v>
      </c>
      <c r="U12" t="s">
        <v>104</v>
      </c>
      <c r="V12" s="3"/>
      <c r="W12" s="3"/>
      <c r="X12" s="3"/>
      <c r="Y12" s="3">
        <v>17104.04</v>
      </c>
      <c r="Z12" s="3">
        <v>32045.589999999997</v>
      </c>
      <c r="AA12" s="3">
        <v>8392.11</v>
      </c>
      <c r="AB12" s="3">
        <v>57541.74</v>
      </c>
      <c r="AC12" s="3"/>
      <c r="AD12" s="3"/>
      <c r="AE12" s="3"/>
      <c r="AF12" s="3"/>
      <c r="AG12" s="3"/>
      <c r="AH12" s="3"/>
      <c r="AI12" s="3"/>
      <c r="AJ12" s="3"/>
      <c r="AK12" s="3"/>
      <c r="AL12" s="3"/>
      <c r="AM12">
        <v>2025</v>
      </c>
      <c r="AN12" t="s">
        <v>55</v>
      </c>
      <c r="AO12" t="s">
        <v>266</v>
      </c>
      <c r="AP12" s="3"/>
      <c r="AQ12" s="3"/>
      <c r="AR12" s="3"/>
      <c r="AS12" s="3"/>
      <c r="AT12" s="3"/>
      <c r="AU12" s="3">
        <v>19330</v>
      </c>
      <c r="AV12" s="3">
        <v>19330</v>
      </c>
    </row>
    <row r="13" spans="1:48" x14ac:dyDescent="0.25">
      <c r="A13" t="s">
        <v>51</v>
      </c>
      <c r="B13" t="s">
        <v>52</v>
      </c>
      <c r="C13" t="s">
        <v>59</v>
      </c>
      <c r="D13">
        <v>4211320088</v>
      </c>
      <c r="E13" t="s">
        <v>95</v>
      </c>
      <c r="F13" t="s">
        <v>105</v>
      </c>
      <c r="G13">
        <v>2600468900</v>
      </c>
      <c r="H13">
        <v>4085</v>
      </c>
      <c r="I13" s="2">
        <v>46002</v>
      </c>
      <c r="J13" s="3">
        <v>24900</v>
      </c>
      <c r="K13" s="3"/>
      <c r="L13" s="3"/>
      <c r="M13" s="3"/>
      <c r="N13" s="3"/>
      <c r="O13" s="3"/>
      <c r="P13" s="3"/>
      <c r="S13">
        <v>2025</v>
      </c>
      <c r="T13" t="s">
        <v>51</v>
      </c>
      <c r="U13" t="s">
        <v>52</v>
      </c>
      <c r="V13" s="3"/>
      <c r="W13" s="3"/>
      <c r="X13" s="3">
        <v>23368.94</v>
      </c>
      <c r="Y13" s="3">
        <v>13439.08</v>
      </c>
      <c r="Z13" s="3">
        <v>402264.34</v>
      </c>
      <c r="AA13" s="3">
        <v>616742.96</v>
      </c>
      <c r="AB13" s="3">
        <v>1055815.32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>
        <v>2025</v>
      </c>
      <c r="AN13" t="s">
        <v>55</v>
      </c>
      <c r="AO13" t="s">
        <v>123</v>
      </c>
      <c r="AP13" s="3">
        <v>88823.44</v>
      </c>
      <c r="AQ13" s="3"/>
      <c r="AR13" s="3"/>
      <c r="AS13" s="3"/>
      <c r="AT13" s="3">
        <v>964816.41</v>
      </c>
      <c r="AU13" s="3">
        <v>16658.689999999999</v>
      </c>
      <c r="AV13" s="3">
        <v>1070298.54</v>
      </c>
    </row>
    <row r="14" spans="1:48" x14ac:dyDescent="0.25">
      <c r="A14" t="s">
        <v>51</v>
      </c>
      <c r="B14" t="s">
        <v>52</v>
      </c>
      <c r="C14" t="s">
        <v>59</v>
      </c>
      <c r="D14">
        <v>4211318490</v>
      </c>
      <c r="E14" t="s">
        <v>138</v>
      </c>
      <c r="F14" t="s">
        <v>56</v>
      </c>
      <c r="G14">
        <v>2600468547</v>
      </c>
      <c r="H14">
        <v>2057</v>
      </c>
      <c r="I14" s="2">
        <v>45967</v>
      </c>
      <c r="J14" s="3">
        <v>22500</v>
      </c>
      <c r="K14" s="3"/>
      <c r="L14" s="3"/>
      <c r="M14" s="3"/>
      <c r="N14" s="3"/>
      <c r="O14" s="3"/>
      <c r="P14" s="3"/>
      <c r="S14">
        <v>2025</v>
      </c>
      <c r="T14" t="s">
        <v>131</v>
      </c>
      <c r="U14" t="s">
        <v>132</v>
      </c>
      <c r="V14" s="3"/>
      <c r="W14" s="3"/>
      <c r="X14" s="3"/>
      <c r="Y14" s="3"/>
      <c r="Z14" s="3">
        <v>790</v>
      </c>
      <c r="AA14" s="3"/>
      <c r="AB14" s="3">
        <v>790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>
        <v>2025</v>
      </c>
      <c r="AN14" t="s">
        <v>55</v>
      </c>
      <c r="AO14" t="s">
        <v>267</v>
      </c>
      <c r="AP14" s="3"/>
      <c r="AQ14" s="3"/>
      <c r="AR14" s="3"/>
      <c r="AS14" s="3"/>
      <c r="AT14" s="3"/>
      <c r="AU14" s="3">
        <v>24367.32</v>
      </c>
      <c r="AV14" s="3">
        <v>24367.32</v>
      </c>
    </row>
    <row r="15" spans="1:48" x14ac:dyDescent="0.25">
      <c r="A15" t="s">
        <v>51</v>
      </c>
      <c r="B15" t="s">
        <v>52</v>
      </c>
      <c r="C15" t="s">
        <v>59</v>
      </c>
      <c r="D15">
        <v>4211328480</v>
      </c>
      <c r="E15" t="s">
        <v>157</v>
      </c>
      <c r="F15" t="s">
        <v>105</v>
      </c>
      <c r="G15">
        <v>2600468814</v>
      </c>
      <c r="H15">
        <v>2647</v>
      </c>
      <c r="I15" s="2">
        <v>45964</v>
      </c>
      <c r="J15" s="3">
        <v>29500</v>
      </c>
      <c r="K15" s="3"/>
      <c r="L15" s="3"/>
      <c r="M15" s="3"/>
      <c r="N15" s="3"/>
      <c r="O15" s="3"/>
      <c r="P15" s="3"/>
      <c r="S15">
        <v>2025</v>
      </c>
      <c r="T15" t="s">
        <v>170</v>
      </c>
      <c r="U15" t="s">
        <v>171</v>
      </c>
      <c r="V15" s="3"/>
      <c r="W15" s="3"/>
      <c r="X15" s="3"/>
      <c r="Y15" s="3">
        <v>53456</v>
      </c>
      <c r="Z15" s="3">
        <v>2077</v>
      </c>
      <c r="AA15" s="3">
        <v>25720</v>
      </c>
      <c r="AB15" s="3">
        <v>81253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>
        <v>2025</v>
      </c>
      <c r="AN15" t="s">
        <v>55</v>
      </c>
      <c r="AO15" t="s">
        <v>169</v>
      </c>
      <c r="AP15" s="3"/>
      <c r="AQ15" s="3"/>
      <c r="AR15" s="3"/>
      <c r="AS15" s="3">
        <v>6060</v>
      </c>
      <c r="AT15" s="3"/>
      <c r="AU15" s="3"/>
      <c r="AV15" s="3">
        <v>6060</v>
      </c>
    </row>
    <row r="16" spans="1:48" x14ac:dyDescent="0.25">
      <c r="A16" t="s">
        <v>51</v>
      </c>
      <c r="B16" t="s">
        <v>52</v>
      </c>
      <c r="C16" t="s">
        <v>59</v>
      </c>
      <c r="D16">
        <v>4211333188</v>
      </c>
      <c r="E16" t="s">
        <v>141</v>
      </c>
      <c r="F16" t="s">
        <v>105</v>
      </c>
      <c r="G16">
        <v>2600469557</v>
      </c>
      <c r="H16">
        <v>602</v>
      </c>
      <c r="I16" s="2">
        <v>45993</v>
      </c>
      <c r="J16" s="3">
        <v>30000</v>
      </c>
      <c r="K16" s="3"/>
      <c r="L16" s="3"/>
      <c r="M16" s="3"/>
      <c r="N16" s="3"/>
      <c r="O16" s="3"/>
      <c r="P16" s="3"/>
      <c r="S16">
        <v>2025</v>
      </c>
      <c r="T16" t="s">
        <v>314</v>
      </c>
      <c r="U16" t="s">
        <v>315</v>
      </c>
      <c r="V16" s="3"/>
      <c r="W16" s="3"/>
      <c r="X16" s="3"/>
      <c r="Y16" s="3"/>
      <c r="Z16" s="3"/>
      <c r="AA16" s="3">
        <v>12410.63</v>
      </c>
      <c r="AB16" s="3">
        <v>12410.63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>
        <v>2025</v>
      </c>
      <c r="AN16" t="s">
        <v>55</v>
      </c>
      <c r="AO16" t="s">
        <v>118</v>
      </c>
      <c r="AP16" s="3">
        <v>16843.54</v>
      </c>
      <c r="AQ16" s="3"/>
      <c r="AR16" s="3"/>
      <c r="AS16" s="3">
        <v>50000.9</v>
      </c>
      <c r="AT16" s="3">
        <v>27493.989999999998</v>
      </c>
      <c r="AU16" s="3">
        <v>75809.759999999995</v>
      </c>
      <c r="AV16" s="3">
        <v>170148.19</v>
      </c>
    </row>
    <row r="17" spans="1:48" x14ac:dyDescent="0.25">
      <c r="A17" t="s">
        <v>51</v>
      </c>
      <c r="B17" t="s">
        <v>52</v>
      </c>
      <c r="C17" t="s">
        <v>59</v>
      </c>
      <c r="D17">
        <v>4211333188</v>
      </c>
      <c r="E17" t="s">
        <v>141</v>
      </c>
      <c r="F17" t="s">
        <v>56</v>
      </c>
      <c r="G17">
        <v>2600469242</v>
      </c>
      <c r="H17">
        <v>569</v>
      </c>
      <c r="I17" s="2">
        <v>45967</v>
      </c>
      <c r="J17" s="3">
        <v>48000</v>
      </c>
      <c r="K17" s="3"/>
      <c r="L17" s="3"/>
      <c r="M17" s="3"/>
      <c r="N17" s="3"/>
      <c r="O17" s="3"/>
      <c r="P17" s="3"/>
      <c r="S17">
        <v>2025</v>
      </c>
      <c r="T17" t="s">
        <v>87</v>
      </c>
      <c r="V17" s="3"/>
      <c r="W17" s="3">
        <v>8822.6299999999992</v>
      </c>
      <c r="X17" s="3">
        <v>389001.97</v>
      </c>
      <c r="Y17" s="3">
        <v>127042.16</v>
      </c>
      <c r="Z17" s="3">
        <v>7662.98</v>
      </c>
      <c r="AA17" s="3"/>
      <c r="AB17" s="3">
        <v>532529.74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>
        <v>2025</v>
      </c>
      <c r="AN17" t="s">
        <v>55</v>
      </c>
      <c r="AO17" t="s">
        <v>226</v>
      </c>
      <c r="AP17" s="3"/>
      <c r="AQ17" s="3"/>
      <c r="AR17" s="3"/>
      <c r="AS17" s="3">
        <v>91690</v>
      </c>
      <c r="AT17" s="3"/>
      <c r="AU17" s="3"/>
      <c r="AV17" s="3">
        <v>91690</v>
      </c>
    </row>
    <row r="18" spans="1:48" x14ac:dyDescent="0.25">
      <c r="A18" t="s">
        <v>51</v>
      </c>
      <c r="B18" t="s">
        <v>52</v>
      </c>
      <c r="C18" t="s">
        <v>59</v>
      </c>
      <c r="D18">
        <v>4211333188</v>
      </c>
      <c r="E18" t="s">
        <v>141</v>
      </c>
      <c r="F18" t="s">
        <v>56</v>
      </c>
      <c r="G18">
        <v>2600469023</v>
      </c>
      <c r="H18">
        <v>570</v>
      </c>
      <c r="I18" s="2">
        <v>45967</v>
      </c>
      <c r="J18" s="3">
        <v>12212.3</v>
      </c>
      <c r="K18" s="3"/>
      <c r="L18" s="3"/>
      <c r="M18" s="3"/>
      <c r="N18" s="3"/>
      <c r="O18" s="3"/>
      <c r="P18" s="3"/>
      <c r="S18">
        <v>2025</v>
      </c>
      <c r="T18" t="s">
        <v>135</v>
      </c>
      <c r="U18" t="s">
        <v>134</v>
      </c>
      <c r="V18" s="3"/>
      <c r="W18" s="3"/>
      <c r="X18" s="3"/>
      <c r="Y18" s="3"/>
      <c r="Z18" s="3">
        <v>24882</v>
      </c>
      <c r="AA18" s="3"/>
      <c r="AB18" s="3">
        <v>24882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>
        <v>2025</v>
      </c>
      <c r="AN18" t="s">
        <v>148</v>
      </c>
      <c r="AO18" t="s">
        <v>149</v>
      </c>
      <c r="AP18" s="3"/>
      <c r="AQ18" s="3"/>
      <c r="AR18" s="3"/>
      <c r="AS18" s="3"/>
      <c r="AT18" s="3">
        <v>1431521.89</v>
      </c>
      <c r="AU18" s="3"/>
      <c r="AV18" s="3">
        <v>1431521.89</v>
      </c>
    </row>
    <row r="19" spans="1:48" x14ac:dyDescent="0.25">
      <c r="A19" t="s">
        <v>51</v>
      </c>
      <c r="B19" t="s">
        <v>52</v>
      </c>
      <c r="C19" t="s">
        <v>59</v>
      </c>
      <c r="D19">
        <v>4211333188</v>
      </c>
      <c r="E19" t="s">
        <v>141</v>
      </c>
      <c r="F19" t="s">
        <v>56</v>
      </c>
      <c r="G19">
        <v>2600468760</v>
      </c>
      <c r="H19">
        <v>589</v>
      </c>
      <c r="I19" s="2">
        <v>45980</v>
      </c>
      <c r="J19" s="3">
        <v>8100</v>
      </c>
      <c r="K19" s="3"/>
      <c r="L19" s="3"/>
      <c r="M19" s="3"/>
      <c r="N19" s="3"/>
      <c r="O19" s="3"/>
      <c r="P19" s="3"/>
      <c r="S19">
        <v>2025</v>
      </c>
      <c r="T19" t="s">
        <v>110</v>
      </c>
      <c r="U19" t="s">
        <v>111</v>
      </c>
      <c r="V19" s="3"/>
      <c r="W19" s="3"/>
      <c r="X19" s="3"/>
      <c r="Y19" s="3"/>
      <c r="Z19" s="3">
        <v>166961.12</v>
      </c>
      <c r="AA19" s="3"/>
      <c r="AB19" s="3">
        <v>166961.12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45</v>
      </c>
      <c r="AP19" s="3">
        <v>105666.98000000001</v>
      </c>
      <c r="AQ19" s="3">
        <v>81221.36</v>
      </c>
      <c r="AR19" s="3">
        <v>578160.37</v>
      </c>
      <c r="AS19" s="3">
        <v>596033.94000000006</v>
      </c>
      <c r="AT19" s="3">
        <v>3596272.6900000004</v>
      </c>
      <c r="AU19" s="3">
        <v>1362351.1500000001</v>
      </c>
      <c r="AV19" s="3">
        <v>6319706.4900000002</v>
      </c>
    </row>
    <row r="20" spans="1:48" x14ac:dyDescent="0.25">
      <c r="A20" t="s">
        <v>51</v>
      </c>
      <c r="B20" t="s">
        <v>52</v>
      </c>
      <c r="C20" t="s">
        <v>59</v>
      </c>
      <c r="D20">
        <v>4211333188</v>
      </c>
      <c r="E20" t="s">
        <v>141</v>
      </c>
      <c r="F20" t="s">
        <v>56</v>
      </c>
      <c r="G20">
        <v>2600470010</v>
      </c>
      <c r="H20">
        <v>606</v>
      </c>
      <c r="I20" s="2">
        <v>46000</v>
      </c>
      <c r="J20" s="3">
        <v>19790</v>
      </c>
      <c r="K20" s="3"/>
      <c r="L20" s="3"/>
      <c r="M20" s="3"/>
      <c r="N20" s="3"/>
      <c r="O20" s="3"/>
      <c r="P20" s="3"/>
      <c r="S20">
        <v>2025</v>
      </c>
      <c r="T20" t="s">
        <v>106</v>
      </c>
      <c r="U20" t="s">
        <v>192</v>
      </c>
      <c r="V20" s="3"/>
      <c r="W20" s="3"/>
      <c r="X20" s="3"/>
      <c r="Y20" s="3">
        <v>137032.69999999998</v>
      </c>
      <c r="Z20" s="3">
        <v>604168.56999999995</v>
      </c>
      <c r="AA20" s="3">
        <v>159180.89000000001</v>
      </c>
      <c r="AB20" s="3">
        <v>900382.15999999992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T20"/>
    </row>
    <row r="21" spans="1:48" x14ac:dyDescent="0.25">
      <c r="A21" t="s">
        <v>253</v>
      </c>
      <c r="B21" t="s">
        <v>213</v>
      </c>
      <c r="C21" t="s">
        <v>92</v>
      </c>
      <c r="D21">
        <v>4211332960</v>
      </c>
      <c r="E21" t="s">
        <v>321</v>
      </c>
      <c r="F21" t="s">
        <v>55</v>
      </c>
      <c r="G21">
        <v>2600470274</v>
      </c>
      <c r="H21">
        <v>10</v>
      </c>
      <c r="I21" s="2">
        <v>46001</v>
      </c>
      <c r="J21" s="3">
        <v>7500</v>
      </c>
      <c r="K21" s="3"/>
      <c r="L21" s="3"/>
      <c r="M21" s="3"/>
      <c r="N21" s="3"/>
      <c r="O21" s="3"/>
      <c r="P21" s="3"/>
      <c r="S21">
        <v>2025</v>
      </c>
      <c r="T21" t="s">
        <v>154</v>
      </c>
      <c r="U21" t="s">
        <v>155</v>
      </c>
      <c r="V21" s="3"/>
      <c r="W21" s="3"/>
      <c r="X21" s="3"/>
      <c r="Y21" s="3"/>
      <c r="Z21" s="3"/>
      <c r="AA21" s="3">
        <v>8950</v>
      </c>
      <c r="AB21" s="3">
        <v>8950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T21"/>
    </row>
    <row r="22" spans="1:48" x14ac:dyDescent="0.25">
      <c r="A22" t="s">
        <v>253</v>
      </c>
      <c r="B22" t="s">
        <v>213</v>
      </c>
      <c r="C22" t="s">
        <v>92</v>
      </c>
      <c r="D22">
        <v>4211330628</v>
      </c>
      <c r="E22" t="s">
        <v>252</v>
      </c>
      <c r="F22" t="s">
        <v>55</v>
      </c>
      <c r="G22">
        <v>2600469928</v>
      </c>
      <c r="H22">
        <v>193</v>
      </c>
      <c r="I22" s="2">
        <v>45999</v>
      </c>
      <c r="J22" s="3">
        <v>9330</v>
      </c>
      <c r="K22" s="3"/>
      <c r="L22" s="3"/>
      <c r="M22" s="3"/>
      <c r="N22" s="3"/>
      <c r="O22" s="3"/>
      <c r="P22" s="3"/>
      <c r="S22">
        <v>2025</v>
      </c>
      <c r="T22" t="s">
        <v>166</v>
      </c>
      <c r="V22" s="3"/>
      <c r="W22" s="3"/>
      <c r="X22" s="3"/>
      <c r="Y22" s="3">
        <v>20748.059999999998</v>
      </c>
      <c r="Z22" s="3">
        <v>3400</v>
      </c>
      <c r="AA22" s="3"/>
      <c r="AB22" s="3">
        <v>24148.059999999998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T22"/>
    </row>
    <row r="23" spans="1:48" x14ac:dyDescent="0.25">
      <c r="A23" t="s">
        <v>253</v>
      </c>
      <c r="B23" t="s">
        <v>213</v>
      </c>
      <c r="C23" t="s">
        <v>92</v>
      </c>
      <c r="D23">
        <v>4211330573</v>
      </c>
      <c r="E23" t="s">
        <v>264</v>
      </c>
      <c r="F23" t="s">
        <v>55</v>
      </c>
      <c r="G23">
        <v>9001690759</v>
      </c>
      <c r="H23">
        <v>234</v>
      </c>
      <c r="I23" s="2">
        <v>45994</v>
      </c>
      <c r="J23" s="3">
        <v>24367.32</v>
      </c>
      <c r="K23" s="3"/>
      <c r="L23" s="3"/>
      <c r="M23" s="3"/>
      <c r="N23" s="3"/>
      <c r="O23" s="3"/>
      <c r="P23" s="3"/>
      <c r="S23">
        <v>2025</v>
      </c>
      <c r="T23" t="s">
        <v>288</v>
      </c>
      <c r="U23" t="s">
        <v>289</v>
      </c>
      <c r="V23" s="3"/>
      <c r="W23" s="3"/>
      <c r="X23" s="3"/>
      <c r="Y23" s="3"/>
      <c r="Z23" s="3"/>
      <c r="AA23" s="3">
        <v>103617</v>
      </c>
      <c r="AB23" s="3">
        <v>103617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T23"/>
    </row>
    <row r="24" spans="1:48" x14ac:dyDescent="0.25">
      <c r="A24" t="s">
        <v>253</v>
      </c>
      <c r="B24" t="s">
        <v>213</v>
      </c>
      <c r="C24" t="s">
        <v>92</v>
      </c>
      <c r="D24">
        <v>4211315539</v>
      </c>
      <c r="E24" t="s">
        <v>291</v>
      </c>
      <c r="F24" t="s">
        <v>55</v>
      </c>
      <c r="G24">
        <v>9001687283</v>
      </c>
      <c r="H24">
        <v>732949</v>
      </c>
      <c r="I24" s="2">
        <v>46000</v>
      </c>
      <c r="J24" s="3">
        <v>14705.46</v>
      </c>
      <c r="K24" s="3"/>
      <c r="L24" s="3"/>
      <c r="M24" s="3"/>
      <c r="N24" s="3"/>
      <c r="O24" s="3"/>
      <c r="P24" s="3"/>
      <c r="S24">
        <v>2025</v>
      </c>
      <c r="T24" t="s">
        <v>181</v>
      </c>
      <c r="U24" t="s">
        <v>182</v>
      </c>
      <c r="V24" s="3"/>
      <c r="W24" s="3"/>
      <c r="X24" s="3"/>
      <c r="Y24" s="3">
        <v>7257</v>
      </c>
      <c r="Z24" s="3"/>
      <c r="AA24" s="3"/>
      <c r="AB24" s="3">
        <v>7257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48" x14ac:dyDescent="0.25">
      <c r="A25" t="s">
        <v>81</v>
      </c>
      <c r="B25" t="s">
        <v>96</v>
      </c>
      <c r="C25" t="s">
        <v>59</v>
      </c>
      <c r="D25">
        <v>4211328675</v>
      </c>
      <c r="E25" t="s">
        <v>98</v>
      </c>
      <c r="F25" t="s">
        <v>56</v>
      </c>
      <c r="G25">
        <v>2600467053</v>
      </c>
      <c r="H25">
        <v>650</v>
      </c>
      <c r="I25" s="2">
        <v>45951</v>
      </c>
      <c r="J25" s="3">
        <v>7257</v>
      </c>
      <c r="K25" s="3"/>
      <c r="L25" s="3"/>
      <c r="M25" s="3"/>
      <c r="N25" s="3"/>
      <c r="O25" s="3"/>
      <c r="P25" s="3"/>
      <c r="S25">
        <v>2025</v>
      </c>
      <c r="T25" t="s">
        <v>184</v>
      </c>
      <c r="V25" s="3"/>
      <c r="W25" s="3"/>
      <c r="X25" s="3"/>
      <c r="Y25" s="3">
        <v>24822.800000000003</v>
      </c>
      <c r="Z25" s="3">
        <v>18354.32</v>
      </c>
      <c r="AA25" s="3">
        <v>18354.320000000003</v>
      </c>
      <c r="AB25" s="3">
        <v>61531.44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48" x14ac:dyDescent="0.25">
      <c r="A26" t="s">
        <v>81</v>
      </c>
      <c r="B26" t="s">
        <v>96</v>
      </c>
      <c r="C26" t="s">
        <v>59</v>
      </c>
      <c r="D26">
        <v>4211328675</v>
      </c>
      <c r="E26" t="s">
        <v>98</v>
      </c>
      <c r="F26" t="s">
        <v>56</v>
      </c>
      <c r="G26">
        <v>2600468354</v>
      </c>
      <c r="H26">
        <v>646</v>
      </c>
      <c r="I26" s="2">
        <v>45950</v>
      </c>
      <c r="J26" s="3">
        <v>10050</v>
      </c>
      <c r="K26" s="3"/>
      <c r="L26" s="3"/>
      <c r="M26" s="3"/>
      <c r="N26" s="3"/>
      <c r="O26" s="3"/>
      <c r="P26" s="3"/>
      <c r="S26">
        <v>2025</v>
      </c>
      <c r="T26" t="s">
        <v>229</v>
      </c>
      <c r="U26" t="s">
        <v>230</v>
      </c>
      <c r="V26" s="3"/>
      <c r="W26" s="3"/>
      <c r="X26" s="3"/>
      <c r="Y26" s="3"/>
      <c r="Z26" s="3"/>
      <c r="AA26" s="3">
        <v>52057.02</v>
      </c>
      <c r="AB26" s="3">
        <v>52057.02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48" x14ac:dyDescent="0.25">
      <c r="A27" t="s">
        <v>81</v>
      </c>
      <c r="B27" t="s">
        <v>96</v>
      </c>
      <c r="C27" t="s">
        <v>59</v>
      </c>
      <c r="D27">
        <v>4211328675</v>
      </c>
      <c r="E27" t="s">
        <v>98</v>
      </c>
      <c r="F27" t="s">
        <v>56</v>
      </c>
      <c r="G27">
        <v>2600465964</v>
      </c>
      <c r="H27">
        <v>648</v>
      </c>
      <c r="I27" s="2">
        <v>45950</v>
      </c>
      <c r="J27" s="3">
        <v>5500</v>
      </c>
      <c r="K27" s="3"/>
      <c r="L27" s="3"/>
      <c r="M27" s="3"/>
      <c r="N27" s="3"/>
      <c r="O27" s="3"/>
      <c r="P27" s="3"/>
      <c r="S27">
        <v>2025</v>
      </c>
      <c r="T27" t="s">
        <v>211</v>
      </c>
      <c r="U27" t="s">
        <v>213</v>
      </c>
      <c r="V27" s="3"/>
      <c r="W27" s="3"/>
      <c r="X27" s="3"/>
      <c r="Y27" s="3"/>
      <c r="Z27" s="3"/>
      <c r="AA27" s="3">
        <v>2295</v>
      </c>
      <c r="AB27" s="3">
        <v>2295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48" x14ac:dyDescent="0.25">
      <c r="A28" t="s">
        <v>81</v>
      </c>
      <c r="B28" t="s">
        <v>96</v>
      </c>
      <c r="C28" t="s">
        <v>59</v>
      </c>
      <c r="D28">
        <v>4211331436</v>
      </c>
      <c r="E28" t="s">
        <v>204</v>
      </c>
      <c r="F28" t="s">
        <v>56</v>
      </c>
      <c r="G28">
        <v>2600465994</v>
      </c>
      <c r="H28">
        <v>9576</v>
      </c>
      <c r="I28" s="2">
        <v>45978</v>
      </c>
      <c r="J28" s="3">
        <v>3800</v>
      </c>
      <c r="K28" s="3"/>
      <c r="L28" s="3"/>
      <c r="M28" s="3"/>
      <c r="N28" s="3"/>
      <c r="O28" s="3"/>
      <c r="P28" s="3"/>
      <c r="S28">
        <v>2025</v>
      </c>
      <c r="T28" t="s">
        <v>144</v>
      </c>
      <c r="U28" t="s">
        <v>145</v>
      </c>
      <c r="V28" s="3"/>
      <c r="W28" s="3"/>
      <c r="X28" s="3">
        <v>5992</v>
      </c>
      <c r="Y28" s="3">
        <v>5992</v>
      </c>
      <c r="Z28" s="3">
        <v>286481.56</v>
      </c>
      <c r="AA28" s="3">
        <v>280781.56</v>
      </c>
      <c r="AB28" s="3">
        <v>579247.12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48" x14ac:dyDescent="0.25">
      <c r="A29" t="s">
        <v>81</v>
      </c>
      <c r="B29" t="s">
        <v>96</v>
      </c>
      <c r="C29" t="s">
        <v>92</v>
      </c>
      <c r="D29">
        <v>4211328675</v>
      </c>
      <c r="E29" t="s">
        <v>98</v>
      </c>
      <c r="F29" t="s">
        <v>105</v>
      </c>
      <c r="G29">
        <v>9001636728</v>
      </c>
      <c r="H29">
        <v>640</v>
      </c>
      <c r="I29" s="2">
        <v>45937</v>
      </c>
      <c r="J29" s="3">
        <v>15000</v>
      </c>
      <c r="K29" s="3"/>
      <c r="L29" s="3"/>
      <c r="M29" s="3"/>
      <c r="N29" s="3"/>
      <c r="O29" s="3"/>
      <c r="P29" s="3"/>
      <c r="S29">
        <v>2025</v>
      </c>
      <c r="T29" t="s">
        <v>216</v>
      </c>
      <c r="U29" t="s">
        <v>217</v>
      </c>
      <c r="V29" s="3"/>
      <c r="W29" s="3"/>
      <c r="X29" s="3"/>
      <c r="Y29" s="3">
        <v>141690.9</v>
      </c>
      <c r="Z29" s="3"/>
      <c r="AA29" s="3"/>
      <c r="AB29" s="3">
        <v>141690.9</v>
      </c>
      <c r="AC29" s="3"/>
      <c r="AD29" s="3"/>
      <c r="AE29" s="3"/>
      <c r="AF29" s="3"/>
      <c r="AG29" s="3"/>
      <c r="AH29" s="3"/>
      <c r="AI29" s="3"/>
      <c r="AJ29" s="3"/>
      <c r="AK29" s="3"/>
    </row>
    <row r="30" spans="1:48" x14ac:dyDescent="0.25">
      <c r="A30" t="s">
        <v>81</v>
      </c>
      <c r="B30" t="s">
        <v>96</v>
      </c>
      <c r="C30" t="s">
        <v>92</v>
      </c>
      <c r="D30">
        <v>4211328675</v>
      </c>
      <c r="E30" t="s">
        <v>98</v>
      </c>
      <c r="F30" t="s">
        <v>105</v>
      </c>
      <c r="G30">
        <v>9001636728</v>
      </c>
      <c r="H30">
        <v>636</v>
      </c>
      <c r="I30" s="2">
        <v>45919</v>
      </c>
      <c r="J30" s="3">
        <v>15000</v>
      </c>
      <c r="K30" s="3"/>
      <c r="L30" s="3"/>
      <c r="M30" s="3"/>
      <c r="N30" s="3"/>
      <c r="O30" s="3"/>
      <c r="P30" s="3"/>
      <c r="S30" t="s">
        <v>45</v>
      </c>
      <c r="V30" s="3">
        <v>105666.98000000001</v>
      </c>
      <c r="W30" s="3">
        <v>81221.36</v>
      </c>
      <c r="X30" s="3">
        <v>578160.37</v>
      </c>
      <c r="Y30" s="3">
        <v>596033.93999999994</v>
      </c>
      <c r="Z30" s="3">
        <v>3596272.6899999995</v>
      </c>
      <c r="AA30" s="3">
        <v>1362351.15</v>
      </c>
      <c r="AB30" s="3">
        <v>6319706.4900000002</v>
      </c>
      <c r="AC30" s="3"/>
      <c r="AD30" s="3"/>
      <c r="AE30" s="3"/>
      <c r="AF30" s="3"/>
      <c r="AG30" s="3"/>
      <c r="AH30" s="3"/>
      <c r="AI30" s="3"/>
      <c r="AJ30" s="3"/>
      <c r="AK30" s="3"/>
    </row>
    <row r="31" spans="1:48" x14ac:dyDescent="0.25">
      <c r="A31" t="s">
        <v>81</v>
      </c>
      <c r="B31" t="s">
        <v>96</v>
      </c>
      <c r="C31" t="s">
        <v>92</v>
      </c>
      <c r="D31">
        <v>4211328675</v>
      </c>
      <c r="E31" t="s">
        <v>98</v>
      </c>
      <c r="F31" t="s">
        <v>105</v>
      </c>
      <c r="G31">
        <v>9001636728</v>
      </c>
      <c r="H31">
        <v>659</v>
      </c>
      <c r="I31" s="2">
        <v>45967</v>
      </c>
      <c r="J31" s="3">
        <v>15000</v>
      </c>
      <c r="K31" s="3"/>
      <c r="L31" s="3"/>
      <c r="M31" s="3"/>
      <c r="N31" s="3"/>
      <c r="O31" s="3"/>
      <c r="P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48" x14ac:dyDescent="0.25">
      <c r="A32" t="s">
        <v>81</v>
      </c>
      <c r="B32" t="s">
        <v>96</v>
      </c>
      <c r="C32" t="s">
        <v>92</v>
      </c>
      <c r="D32">
        <v>4211328675</v>
      </c>
      <c r="E32" t="s">
        <v>98</v>
      </c>
      <c r="F32" t="s">
        <v>105</v>
      </c>
      <c r="G32">
        <v>9001636728</v>
      </c>
      <c r="H32">
        <v>665</v>
      </c>
      <c r="I32" s="2">
        <v>45999</v>
      </c>
      <c r="J32" s="3">
        <v>15000</v>
      </c>
      <c r="K32" s="3"/>
      <c r="L32" s="3"/>
      <c r="M32" s="3"/>
      <c r="N32" s="3"/>
      <c r="O32" s="3"/>
      <c r="P32" s="3"/>
    </row>
    <row r="33" spans="1:16" x14ac:dyDescent="0.25">
      <c r="A33" t="s">
        <v>81</v>
      </c>
      <c r="B33" t="s">
        <v>96</v>
      </c>
      <c r="C33" t="s">
        <v>92</v>
      </c>
      <c r="D33">
        <v>4211328675</v>
      </c>
      <c r="E33" t="s">
        <v>98</v>
      </c>
      <c r="F33" t="s">
        <v>56</v>
      </c>
      <c r="G33">
        <v>9001663316</v>
      </c>
      <c r="H33">
        <v>645</v>
      </c>
      <c r="I33" s="2">
        <v>45950</v>
      </c>
      <c r="J33" s="3">
        <v>2145</v>
      </c>
      <c r="K33" s="3"/>
      <c r="L33" s="3"/>
      <c r="M33" s="3"/>
      <c r="N33" s="3"/>
      <c r="O33" s="3"/>
      <c r="P33" s="3"/>
    </row>
    <row r="34" spans="1:16" x14ac:dyDescent="0.25">
      <c r="A34" t="s">
        <v>81</v>
      </c>
      <c r="B34" t="s">
        <v>96</v>
      </c>
      <c r="C34" t="s">
        <v>92</v>
      </c>
      <c r="D34">
        <v>4211328675</v>
      </c>
      <c r="E34" t="s">
        <v>98</v>
      </c>
      <c r="F34" t="s">
        <v>56</v>
      </c>
      <c r="G34">
        <v>9001661033</v>
      </c>
      <c r="H34">
        <v>644</v>
      </c>
      <c r="I34" s="2">
        <v>45950</v>
      </c>
      <c r="J34" s="3">
        <v>3575</v>
      </c>
      <c r="K34" s="3"/>
      <c r="L34" s="3"/>
      <c r="M34" s="3"/>
      <c r="N34" s="3"/>
      <c r="O34" s="3"/>
      <c r="P34" s="3"/>
    </row>
    <row r="35" spans="1:16" x14ac:dyDescent="0.25">
      <c r="A35" t="s">
        <v>81</v>
      </c>
      <c r="B35" t="s">
        <v>96</v>
      </c>
      <c r="C35" t="s">
        <v>92</v>
      </c>
      <c r="D35">
        <v>4211327212</v>
      </c>
      <c r="E35" t="s">
        <v>303</v>
      </c>
      <c r="F35" t="s">
        <v>322</v>
      </c>
      <c r="G35">
        <v>9001622082</v>
      </c>
      <c r="H35">
        <v>35374</v>
      </c>
      <c r="I35" s="2">
        <v>46000</v>
      </c>
      <c r="J35" s="3">
        <v>703.65</v>
      </c>
      <c r="K35" s="3"/>
      <c r="L35" s="3"/>
      <c r="M35" s="3"/>
      <c r="N35" s="3"/>
      <c r="O35" s="3"/>
      <c r="P35" s="3"/>
    </row>
    <row r="36" spans="1:16" x14ac:dyDescent="0.25">
      <c r="A36" t="s">
        <v>81</v>
      </c>
      <c r="B36" t="s">
        <v>96</v>
      </c>
      <c r="C36" t="s">
        <v>92</v>
      </c>
      <c r="D36">
        <v>4211324446</v>
      </c>
      <c r="E36" t="s">
        <v>151</v>
      </c>
      <c r="F36" t="s">
        <v>105</v>
      </c>
      <c r="G36">
        <v>9001628055</v>
      </c>
      <c r="H36">
        <v>2618</v>
      </c>
      <c r="I36" s="2">
        <v>45974</v>
      </c>
      <c r="J36" s="3">
        <v>2900</v>
      </c>
      <c r="K36" s="3"/>
      <c r="L36" s="3"/>
      <c r="M36" s="3"/>
      <c r="N36" s="3"/>
      <c r="O36" s="3"/>
      <c r="P36" s="3"/>
    </row>
    <row r="37" spans="1:16" x14ac:dyDescent="0.25">
      <c r="A37" t="s">
        <v>103</v>
      </c>
      <c r="B37" t="s">
        <v>104</v>
      </c>
      <c r="C37" t="s">
        <v>59</v>
      </c>
      <c r="D37">
        <v>4211301275</v>
      </c>
      <c r="E37" t="s">
        <v>190</v>
      </c>
      <c r="F37" t="s">
        <v>56</v>
      </c>
      <c r="G37">
        <v>2600468408</v>
      </c>
      <c r="H37">
        <v>33018</v>
      </c>
      <c r="I37" s="2">
        <v>45954</v>
      </c>
      <c r="J37" s="3">
        <v>11044.04</v>
      </c>
      <c r="K37" s="3"/>
      <c r="L37" s="3"/>
      <c r="M37" s="3"/>
      <c r="N37" s="3"/>
      <c r="O37" s="3"/>
      <c r="P37" s="3"/>
    </row>
    <row r="38" spans="1:16" x14ac:dyDescent="0.25">
      <c r="A38" t="s">
        <v>103</v>
      </c>
      <c r="B38" t="s">
        <v>104</v>
      </c>
      <c r="C38" t="s">
        <v>59</v>
      </c>
      <c r="D38">
        <v>4211319719</v>
      </c>
      <c r="E38" t="s">
        <v>180</v>
      </c>
      <c r="F38" t="s">
        <v>55</v>
      </c>
      <c r="G38">
        <v>9001686454</v>
      </c>
      <c r="H38">
        <v>30155</v>
      </c>
      <c r="I38" s="2">
        <v>45965</v>
      </c>
      <c r="J38" s="3">
        <v>3120.87</v>
      </c>
      <c r="K38" s="3"/>
      <c r="L38" s="3"/>
      <c r="M38" s="3"/>
      <c r="N38" s="3"/>
      <c r="O38" s="3"/>
      <c r="P38" s="3"/>
    </row>
    <row r="39" spans="1:16" x14ac:dyDescent="0.25">
      <c r="A39" t="s">
        <v>103</v>
      </c>
      <c r="B39" t="s">
        <v>104</v>
      </c>
      <c r="C39" t="s">
        <v>59</v>
      </c>
      <c r="D39">
        <v>4211319719</v>
      </c>
      <c r="E39" t="s">
        <v>180</v>
      </c>
      <c r="F39" t="s">
        <v>55</v>
      </c>
      <c r="G39">
        <v>9001690502</v>
      </c>
      <c r="H39">
        <v>30213</v>
      </c>
      <c r="I39" s="2">
        <v>45986</v>
      </c>
      <c r="J39" s="3">
        <v>7218.8</v>
      </c>
      <c r="K39" s="3"/>
      <c r="L39" s="3"/>
      <c r="M39" s="3"/>
      <c r="N39" s="3"/>
      <c r="O39" s="3"/>
      <c r="P39" s="3"/>
    </row>
    <row r="40" spans="1:16" x14ac:dyDescent="0.25">
      <c r="A40" t="s">
        <v>103</v>
      </c>
      <c r="B40" t="s">
        <v>104</v>
      </c>
      <c r="C40" t="s">
        <v>59</v>
      </c>
      <c r="D40">
        <v>4211319719</v>
      </c>
      <c r="E40" t="s">
        <v>180</v>
      </c>
      <c r="F40" t="s">
        <v>55</v>
      </c>
      <c r="G40">
        <v>9001692533</v>
      </c>
      <c r="H40">
        <v>30214</v>
      </c>
      <c r="I40" s="2">
        <v>45986</v>
      </c>
      <c r="J40" s="3">
        <v>4565.41</v>
      </c>
      <c r="K40" s="3"/>
      <c r="L40" s="3"/>
      <c r="M40" s="3"/>
      <c r="N40" s="3"/>
      <c r="O40" s="3"/>
      <c r="P40" s="3"/>
    </row>
    <row r="41" spans="1:16" x14ac:dyDescent="0.25">
      <c r="A41" t="s">
        <v>103</v>
      </c>
      <c r="B41" t="s">
        <v>104</v>
      </c>
      <c r="C41" t="s">
        <v>59</v>
      </c>
      <c r="D41">
        <v>4211319719</v>
      </c>
      <c r="E41" t="s">
        <v>180</v>
      </c>
      <c r="F41" t="s">
        <v>55</v>
      </c>
      <c r="G41">
        <v>9001686449</v>
      </c>
      <c r="H41">
        <v>30158</v>
      </c>
      <c r="I41" s="2">
        <v>45965</v>
      </c>
      <c r="J41" s="3">
        <v>9090.07</v>
      </c>
      <c r="K41" s="3"/>
      <c r="L41" s="3"/>
      <c r="M41" s="3"/>
      <c r="N41" s="3"/>
      <c r="O41" s="3"/>
      <c r="P41" s="3"/>
    </row>
    <row r="42" spans="1:16" x14ac:dyDescent="0.25">
      <c r="A42" t="s">
        <v>103</v>
      </c>
      <c r="B42" t="s">
        <v>104</v>
      </c>
      <c r="C42" t="s">
        <v>59</v>
      </c>
      <c r="D42">
        <v>4211319719</v>
      </c>
      <c r="E42" t="s">
        <v>180</v>
      </c>
      <c r="F42" t="s">
        <v>55</v>
      </c>
      <c r="G42">
        <v>9001689242</v>
      </c>
      <c r="H42">
        <v>30193</v>
      </c>
      <c r="I42" s="2">
        <v>45975</v>
      </c>
      <c r="J42" s="3">
        <v>3498.84</v>
      </c>
      <c r="K42" s="3"/>
      <c r="L42" s="3"/>
      <c r="M42" s="3"/>
      <c r="N42" s="3"/>
      <c r="O42" s="3"/>
      <c r="P42" s="3"/>
    </row>
    <row r="43" spans="1:16" x14ac:dyDescent="0.25">
      <c r="A43" t="s">
        <v>103</v>
      </c>
      <c r="B43" t="s">
        <v>104</v>
      </c>
      <c r="C43" t="s">
        <v>59</v>
      </c>
      <c r="D43">
        <v>4211319719</v>
      </c>
      <c r="E43" t="s">
        <v>180</v>
      </c>
      <c r="F43" t="s">
        <v>55</v>
      </c>
      <c r="G43">
        <v>9001693730</v>
      </c>
      <c r="H43">
        <v>30251</v>
      </c>
      <c r="I43" s="2">
        <v>45995</v>
      </c>
      <c r="J43" s="3">
        <v>8392.11</v>
      </c>
      <c r="K43" s="3"/>
      <c r="L43" s="3"/>
      <c r="M43" s="3"/>
      <c r="N43" s="3"/>
      <c r="O43" s="3"/>
      <c r="P43" s="3"/>
    </row>
    <row r="44" spans="1:16" x14ac:dyDescent="0.25">
      <c r="A44" t="s">
        <v>103</v>
      </c>
      <c r="B44" t="s">
        <v>104</v>
      </c>
      <c r="C44" t="s">
        <v>59</v>
      </c>
      <c r="D44">
        <v>4211320791</v>
      </c>
      <c r="E44" t="s">
        <v>202</v>
      </c>
      <c r="F44" t="s">
        <v>56</v>
      </c>
      <c r="G44">
        <v>9001682980</v>
      </c>
      <c r="H44">
        <v>1537</v>
      </c>
      <c r="I44" s="2">
        <v>45975</v>
      </c>
      <c r="J44" s="3">
        <v>2319.6</v>
      </c>
      <c r="K44" s="3"/>
      <c r="L44" s="3"/>
      <c r="M44" s="3"/>
      <c r="N44" s="3"/>
      <c r="O44" s="3"/>
      <c r="P44" s="3"/>
    </row>
    <row r="45" spans="1:16" x14ac:dyDescent="0.25">
      <c r="A45" t="s">
        <v>103</v>
      </c>
      <c r="B45" t="s">
        <v>104</v>
      </c>
      <c r="C45" t="s">
        <v>59</v>
      </c>
      <c r="D45">
        <v>4211320791</v>
      </c>
      <c r="E45" t="s">
        <v>202</v>
      </c>
      <c r="F45" t="s">
        <v>56</v>
      </c>
      <c r="G45">
        <v>9001682989</v>
      </c>
      <c r="H45">
        <v>1536</v>
      </c>
      <c r="I45" s="2">
        <v>45975</v>
      </c>
      <c r="J45" s="3">
        <v>2232</v>
      </c>
      <c r="K45" s="3"/>
      <c r="L45" s="3"/>
      <c r="M45" s="3"/>
      <c r="N45" s="3"/>
      <c r="O45" s="3"/>
      <c r="P45" s="3"/>
    </row>
    <row r="46" spans="1:16" x14ac:dyDescent="0.25">
      <c r="A46" t="s">
        <v>103</v>
      </c>
      <c r="B46" t="s">
        <v>104</v>
      </c>
      <c r="C46" t="s">
        <v>59</v>
      </c>
      <c r="D46">
        <v>4211314516</v>
      </c>
      <c r="E46" t="s">
        <v>167</v>
      </c>
      <c r="F46" t="s">
        <v>55</v>
      </c>
      <c r="G46">
        <v>2600468409</v>
      </c>
      <c r="H46">
        <v>1293</v>
      </c>
      <c r="I46" s="2">
        <v>45937</v>
      </c>
      <c r="J46" s="3">
        <v>1900</v>
      </c>
      <c r="K46" s="3"/>
      <c r="L46" s="3"/>
      <c r="M46" s="3"/>
      <c r="N46" s="3"/>
      <c r="O46" s="3"/>
      <c r="P46" s="3"/>
    </row>
    <row r="47" spans="1:16" x14ac:dyDescent="0.25">
      <c r="A47" t="s">
        <v>103</v>
      </c>
      <c r="B47" t="s">
        <v>104</v>
      </c>
      <c r="C47" t="s">
        <v>59</v>
      </c>
      <c r="D47">
        <v>4211314516</v>
      </c>
      <c r="E47" t="s">
        <v>167</v>
      </c>
      <c r="F47" t="s">
        <v>55</v>
      </c>
      <c r="G47">
        <v>2600467677</v>
      </c>
      <c r="H47">
        <v>1294</v>
      </c>
      <c r="I47" s="2">
        <v>45937</v>
      </c>
      <c r="J47" s="3">
        <v>1960</v>
      </c>
      <c r="K47" s="3"/>
      <c r="L47" s="3"/>
      <c r="M47" s="3"/>
      <c r="N47" s="3"/>
      <c r="O47" s="3"/>
      <c r="P47" s="3"/>
    </row>
    <row r="48" spans="1:16" x14ac:dyDescent="0.25">
      <c r="A48" t="s">
        <v>103</v>
      </c>
      <c r="B48" t="s">
        <v>104</v>
      </c>
      <c r="C48" t="s">
        <v>59</v>
      </c>
      <c r="D48">
        <v>4211314516</v>
      </c>
      <c r="E48" t="s">
        <v>167</v>
      </c>
      <c r="F48" t="s">
        <v>55</v>
      </c>
      <c r="G48">
        <v>2600468410</v>
      </c>
      <c r="H48">
        <v>1303</v>
      </c>
      <c r="I48" s="2">
        <v>45943</v>
      </c>
      <c r="J48" s="3">
        <v>2200</v>
      </c>
      <c r="K48" s="3"/>
      <c r="L48" s="3"/>
      <c r="M48" s="3"/>
      <c r="N48" s="3"/>
      <c r="O48" s="3"/>
      <c r="P48" s="3"/>
    </row>
    <row r="49" spans="1:16" x14ac:dyDescent="0.25">
      <c r="A49" t="s">
        <v>101</v>
      </c>
      <c r="B49" t="s">
        <v>102</v>
      </c>
      <c r="C49" t="s">
        <v>59</v>
      </c>
      <c r="D49">
        <v>4211324689</v>
      </c>
      <c r="E49" t="s">
        <v>99</v>
      </c>
      <c r="F49" t="s">
        <v>56</v>
      </c>
      <c r="G49">
        <v>9001681910</v>
      </c>
      <c r="H49">
        <v>11561</v>
      </c>
      <c r="I49" s="2">
        <v>45938</v>
      </c>
      <c r="J49" s="3">
        <v>3922.2</v>
      </c>
      <c r="K49" s="3"/>
      <c r="L49" s="3"/>
      <c r="M49" s="3"/>
      <c r="N49" s="3"/>
      <c r="O49" s="3"/>
      <c r="P49" s="3"/>
    </row>
    <row r="50" spans="1:16" x14ac:dyDescent="0.25">
      <c r="A50" t="s">
        <v>101</v>
      </c>
      <c r="B50" t="s">
        <v>102</v>
      </c>
      <c r="C50" t="s">
        <v>59</v>
      </c>
      <c r="D50">
        <v>4211331619</v>
      </c>
      <c r="E50" t="s">
        <v>136</v>
      </c>
      <c r="F50" t="s">
        <v>56</v>
      </c>
      <c r="G50">
        <v>2600462998</v>
      </c>
      <c r="H50">
        <v>29320</v>
      </c>
      <c r="I50" s="2">
        <v>45964</v>
      </c>
      <c r="J50" s="3">
        <v>290</v>
      </c>
      <c r="K50" s="3"/>
      <c r="L50" s="3"/>
      <c r="M50" s="3"/>
      <c r="N50" s="3"/>
      <c r="O50" s="3"/>
      <c r="P50" s="3"/>
    </row>
    <row r="51" spans="1:16" x14ac:dyDescent="0.25">
      <c r="A51" t="s">
        <v>101</v>
      </c>
      <c r="B51" t="s">
        <v>102</v>
      </c>
      <c r="C51" t="s">
        <v>59</v>
      </c>
      <c r="D51">
        <v>4211331619</v>
      </c>
      <c r="E51" t="s">
        <v>136</v>
      </c>
      <c r="F51" t="s">
        <v>56</v>
      </c>
      <c r="G51">
        <v>2600462998</v>
      </c>
      <c r="H51">
        <v>30590</v>
      </c>
      <c r="I51" s="2">
        <v>45992</v>
      </c>
      <c r="J51" s="3">
        <v>290</v>
      </c>
      <c r="K51" s="3"/>
      <c r="L51" s="3"/>
      <c r="M51" s="3"/>
      <c r="N51" s="3"/>
      <c r="O51" s="3"/>
      <c r="P51" s="3"/>
    </row>
    <row r="52" spans="1:16" x14ac:dyDescent="0.25">
      <c r="A52" t="s">
        <v>60</v>
      </c>
      <c r="B52" t="s">
        <v>61</v>
      </c>
      <c r="C52" t="s">
        <v>59</v>
      </c>
      <c r="D52">
        <v>4211302912</v>
      </c>
      <c r="E52" t="s">
        <v>200</v>
      </c>
      <c r="F52" t="s">
        <v>55</v>
      </c>
      <c r="G52">
        <v>9001689724</v>
      </c>
      <c r="H52">
        <v>225633</v>
      </c>
      <c r="I52" s="2">
        <v>45979</v>
      </c>
      <c r="J52" s="3">
        <v>403712.61</v>
      </c>
      <c r="K52" s="3"/>
      <c r="L52" s="3"/>
      <c r="M52" s="3"/>
      <c r="N52" s="3"/>
      <c r="O52" s="3"/>
      <c r="P52" s="3"/>
    </row>
    <row r="53" spans="1:16" x14ac:dyDescent="0.25">
      <c r="A53" t="s">
        <v>60</v>
      </c>
      <c r="B53" t="s">
        <v>61</v>
      </c>
      <c r="C53" t="s">
        <v>59</v>
      </c>
      <c r="D53">
        <v>4211333268</v>
      </c>
      <c r="E53" t="s">
        <v>124</v>
      </c>
      <c r="F53" t="s">
        <v>148</v>
      </c>
      <c r="G53">
        <v>9001689740</v>
      </c>
      <c r="H53">
        <v>14356</v>
      </c>
      <c r="I53" s="2">
        <v>45978</v>
      </c>
      <c r="J53" s="3">
        <v>265094.7</v>
      </c>
      <c r="K53" s="3"/>
      <c r="L53" s="3"/>
      <c r="M53" s="3"/>
      <c r="N53" s="3"/>
      <c r="O53" s="3"/>
      <c r="P53" s="3"/>
    </row>
    <row r="54" spans="1:16" x14ac:dyDescent="0.25">
      <c r="A54" t="s">
        <v>60</v>
      </c>
      <c r="B54" t="s">
        <v>61</v>
      </c>
      <c r="C54" t="s">
        <v>59</v>
      </c>
      <c r="D54">
        <v>4211333268</v>
      </c>
      <c r="E54" t="s">
        <v>124</v>
      </c>
      <c r="F54" t="s">
        <v>148</v>
      </c>
      <c r="G54">
        <v>9001689740</v>
      </c>
      <c r="H54">
        <v>14348</v>
      </c>
      <c r="I54" s="2">
        <v>45978</v>
      </c>
      <c r="J54" s="3">
        <v>265094.7</v>
      </c>
      <c r="K54" s="3"/>
      <c r="L54" s="3"/>
      <c r="M54" s="3"/>
      <c r="N54" s="3"/>
      <c r="O54" s="3"/>
      <c r="P54" s="3"/>
    </row>
    <row r="55" spans="1:16" x14ac:dyDescent="0.25">
      <c r="A55" t="s">
        <v>60</v>
      </c>
      <c r="B55" t="s">
        <v>61</v>
      </c>
      <c r="C55" t="s">
        <v>59</v>
      </c>
      <c r="D55">
        <v>4211333268</v>
      </c>
      <c r="E55" t="s">
        <v>124</v>
      </c>
      <c r="F55" t="s">
        <v>148</v>
      </c>
      <c r="G55">
        <v>9001689740</v>
      </c>
      <c r="H55">
        <v>14352</v>
      </c>
      <c r="I55" s="2">
        <v>45978</v>
      </c>
      <c r="J55" s="3">
        <v>265094.7</v>
      </c>
      <c r="K55" s="3"/>
      <c r="L55" s="3"/>
      <c r="M55" s="3"/>
      <c r="N55" s="3"/>
      <c r="O55" s="3"/>
      <c r="P55" s="3"/>
    </row>
    <row r="56" spans="1:16" x14ac:dyDescent="0.25">
      <c r="A56" t="s">
        <v>60</v>
      </c>
      <c r="B56" t="s">
        <v>61</v>
      </c>
      <c r="C56" t="s">
        <v>59</v>
      </c>
      <c r="D56">
        <v>4211333268</v>
      </c>
      <c r="E56" t="s">
        <v>124</v>
      </c>
      <c r="F56" t="s">
        <v>148</v>
      </c>
      <c r="G56">
        <v>9001689740</v>
      </c>
      <c r="H56">
        <v>14346</v>
      </c>
      <c r="I56" s="2">
        <v>45978</v>
      </c>
      <c r="J56" s="3">
        <v>265094.7</v>
      </c>
      <c r="K56" s="3"/>
      <c r="L56" s="3"/>
      <c r="M56" s="3"/>
      <c r="N56" s="3"/>
      <c r="O56" s="3"/>
      <c r="P56" s="3"/>
    </row>
    <row r="57" spans="1:16" x14ac:dyDescent="0.25">
      <c r="A57" t="s">
        <v>60</v>
      </c>
      <c r="B57" t="s">
        <v>61</v>
      </c>
      <c r="C57" t="s">
        <v>59</v>
      </c>
      <c r="D57">
        <v>4211333268</v>
      </c>
      <c r="E57" t="s">
        <v>124</v>
      </c>
      <c r="F57" t="s">
        <v>55</v>
      </c>
      <c r="G57">
        <v>2600466671</v>
      </c>
      <c r="H57">
        <v>13573</v>
      </c>
      <c r="I57" s="2">
        <v>45845</v>
      </c>
      <c r="J57" s="3">
        <v>70291.149999999994</v>
      </c>
      <c r="K57" s="3"/>
      <c r="L57" s="3"/>
      <c r="M57" s="3"/>
      <c r="N57" s="3"/>
      <c r="O57" s="3"/>
      <c r="P57" s="3"/>
    </row>
    <row r="58" spans="1:16" x14ac:dyDescent="0.25">
      <c r="A58" t="s">
        <v>60</v>
      </c>
      <c r="B58" t="s">
        <v>61</v>
      </c>
      <c r="C58" t="s">
        <v>59</v>
      </c>
      <c r="D58">
        <v>4211333268</v>
      </c>
      <c r="E58" t="s">
        <v>124</v>
      </c>
      <c r="F58" t="s">
        <v>55</v>
      </c>
      <c r="G58">
        <v>2600466671</v>
      </c>
      <c r="H58">
        <v>13574</v>
      </c>
      <c r="I58" s="2">
        <v>45845</v>
      </c>
      <c r="J58" s="3">
        <v>18532.29</v>
      </c>
      <c r="K58" s="3"/>
      <c r="L58" s="3"/>
      <c r="M58" s="3"/>
      <c r="N58" s="3"/>
      <c r="O58" s="3"/>
      <c r="P58" s="3"/>
    </row>
    <row r="59" spans="1:16" x14ac:dyDescent="0.25">
      <c r="A59" t="s">
        <v>60</v>
      </c>
      <c r="B59" t="s">
        <v>61</v>
      </c>
      <c r="C59" t="s">
        <v>59</v>
      </c>
      <c r="D59">
        <v>4211333268</v>
      </c>
      <c r="E59" t="s">
        <v>124</v>
      </c>
      <c r="F59" t="s">
        <v>55</v>
      </c>
      <c r="G59">
        <v>9001689718</v>
      </c>
      <c r="H59">
        <v>14357</v>
      </c>
      <c r="I59" s="2">
        <v>45978</v>
      </c>
      <c r="J59" s="3">
        <v>561103.80000000005</v>
      </c>
      <c r="K59" s="3"/>
      <c r="L59" s="3"/>
      <c r="M59" s="3"/>
      <c r="N59" s="3"/>
      <c r="O59" s="3"/>
      <c r="P59" s="3"/>
    </row>
    <row r="60" spans="1:16" x14ac:dyDescent="0.25">
      <c r="A60" t="s">
        <v>60</v>
      </c>
      <c r="B60" t="s">
        <v>61</v>
      </c>
      <c r="C60" t="s">
        <v>59</v>
      </c>
      <c r="D60">
        <v>4211331382</v>
      </c>
      <c r="E60" t="s">
        <v>263</v>
      </c>
      <c r="F60" t="s">
        <v>55</v>
      </c>
      <c r="G60">
        <v>2600462416</v>
      </c>
      <c r="H60">
        <v>9967</v>
      </c>
      <c r="I60" s="2">
        <v>45993</v>
      </c>
      <c r="J60" s="3">
        <v>900</v>
      </c>
      <c r="K60" s="3"/>
      <c r="L60" s="3"/>
      <c r="M60" s="3"/>
      <c r="N60" s="3"/>
      <c r="O60" s="3"/>
      <c r="P60" s="3"/>
    </row>
    <row r="61" spans="1:16" x14ac:dyDescent="0.25">
      <c r="A61" t="s">
        <v>60</v>
      </c>
      <c r="B61" t="s">
        <v>61</v>
      </c>
      <c r="C61" t="s">
        <v>59</v>
      </c>
      <c r="D61">
        <v>4211331382</v>
      </c>
      <c r="E61" t="s">
        <v>263</v>
      </c>
      <c r="F61" t="s">
        <v>55</v>
      </c>
      <c r="G61">
        <v>2600462416</v>
      </c>
      <c r="H61">
        <v>9966</v>
      </c>
      <c r="I61" s="2">
        <v>45993</v>
      </c>
      <c r="J61" s="3">
        <v>1053.23</v>
      </c>
      <c r="K61" s="3"/>
      <c r="L61" s="3"/>
      <c r="M61" s="3"/>
      <c r="N61" s="3"/>
      <c r="O61" s="3"/>
      <c r="P61" s="3"/>
    </row>
    <row r="62" spans="1:16" x14ac:dyDescent="0.25">
      <c r="A62" t="s">
        <v>131</v>
      </c>
      <c r="B62" t="s">
        <v>132</v>
      </c>
      <c r="C62" t="s">
        <v>59</v>
      </c>
      <c r="D62">
        <v>4211332596</v>
      </c>
      <c r="E62" t="s">
        <v>206</v>
      </c>
      <c r="F62" t="s">
        <v>55</v>
      </c>
      <c r="G62">
        <v>9001689835</v>
      </c>
      <c r="H62">
        <v>15090</v>
      </c>
      <c r="I62" s="2">
        <v>45971</v>
      </c>
      <c r="J62" s="3">
        <v>790</v>
      </c>
      <c r="K62" s="3"/>
      <c r="L62" s="3"/>
      <c r="M62" s="3"/>
      <c r="N62" s="3"/>
      <c r="O62" s="3"/>
      <c r="P62" s="3"/>
    </row>
    <row r="63" spans="1:16" x14ac:dyDescent="0.25">
      <c r="A63" t="s">
        <v>116</v>
      </c>
      <c r="B63" t="s">
        <v>117</v>
      </c>
      <c r="C63" t="s">
        <v>59</v>
      </c>
      <c r="D63">
        <v>4211315568</v>
      </c>
      <c r="E63" t="s">
        <v>62</v>
      </c>
      <c r="F63" t="s">
        <v>105</v>
      </c>
      <c r="G63">
        <v>9001671960</v>
      </c>
      <c r="H63">
        <v>134707</v>
      </c>
      <c r="I63" s="2">
        <v>45880</v>
      </c>
      <c r="J63" s="3">
        <v>72398.73</v>
      </c>
      <c r="K63" s="3"/>
      <c r="L63" s="3"/>
      <c r="M63" s="3"/>
      <c r="N63" s="3"/>
      <c r="O63" s="3"/>
      <c r="P63" s="3"/>
    </row>
    <row r="64" spans="1:16" x14ac:dyDescent="0.25">
      <c r="A64" t="s">
        <v>116</v>
      </c>
      <c r="B64" t="s">
        <v>117</v>
      </c>
      <c r="C64" t="s">
        <v>59</v>
      </c>
      <c r="D64">
        <v>4211315568</v>
      </c>
      <c r="E64" t="s">
        <v>62</v>
      </c>
      <c r="F64" t="s">
        <v>105</v>
      </c>
      <c r="G64">
        <v>9001660245</v>
      </c>
      <c r="H64">
        <v>138905</v>
      </c>
      <c r="I64" s="2">
        <v>45916</v>
      </c>
      <c r="J64" s="3">
        <v>72398.73</v>
      </c>
      <c r="K64" s="3"/>
      <c r="L64" s="3"/>
      <c r="M64" s="3"/>
      <c r="N64" s="3"/>
      <c r="O64" s="3"/>
      <c r="P64" s="3"/>
    </row>
    <row r="65" spans="1:16" x14ac:dyDescent="0.25">
      <c r="A65" t="s">
        <v>116</v>
      </c>
      <c r="B65" t="s">
        <v>117</v>
      </c>
      <c r="C65" t="s">
        <v>59</v>
      </c>
      <c r="D65">
        <v>4211315568</v>
      </c>
      <c r="E65" t="s">
        <v>62</v>
      </c>
      <c r="F65" t="s">
        <v>56</v>
      </c>
      <c r="G65">
        <v>9001589601</v>
      </c>
      <c r="H65">
        <v>138901</v>
      </c>
      <c r="I65" s="2">
        <v>45916</v>
      </c>
      <c r="J65" s="3">
        <v>72398.73</v>
      </c>
      <c r="K65" s="3"/>
      <c r="L65" s="3"/>
      <c r="M65" s="3"/>
      <c r="N65" s="3"/>
      <c r="O65" s="3"/>
      <c r="P65" s="3"/>
    </row>
    <row r="66" spans="1:16" x14ac:dyDescent="0.25">
      <c r="A66" t="s">
        <v>116</v>
      </c>
      <c r="B66" t="s">
        <v>117</v>
      </c>
      <c r="C66" t="s">
        <v>59</v>
      </c>
      <c r="D66">
        <v>4211315568</v>
      </c>
      <c r="E66" t="s">
        <v>62</v>
      </c>
      <c r="F66" t="s">
        <v>55</v>
      </c>
      <c r="G66">
        <v>2600465843</v>
      </c>
      <c r="H66">
        <v>130563</v>
      </c>
      <c r="I66" s="2">
        <v>45842</v>
      </c>
      <c r="J66" s="3">
        <v>16843.54</v>
      </c>
    </row>
    <row r="67" spans="1:16" x14ac:dyDescent="0.25">
      <c r="A67" t="s">
        <v>170</v>
      </c>
      <c r="B67" t="s">
        <v>171</v>
      </c>
      <c r="C67" t="s">
        <v>59</v>
      </c>
      <c r="D67">
        <v>4211333373</v>
      </c>
      <c r="E67" t="s">
        <v>84</v>
      </c>
      <c r="F67" t="s">
        <v>56</v>
      </c>
      <c r="G67">
        <v>2600468424</v>
      </c>
      <c r="H67">
        <v>1219</v>
      </c>
      <c r="I67" s="2">
        <v>45938</v>
      </c>
      <c r="J67" s="3">
        <v>15500</v>
      </c>
    </row>
    <row r="68" spans="1:16" x14ac:dyDescent="0.25">
      <c r="A68" t="s">
        <v>170</v>
      </c>
      <c r="B68" t="s">
        <v>171</v>
      </c>
      <c r="C68" t="s">
        <v>59</v>
      </c>
      <c r="D68">
        <v>4211317491</v>
      </c>
      <c r="E68" t="s">
        <v>246</v>
      </c>
      <c r="F68" t="s">
        <v>56</v>
      </c>
      <c r="G68">
        <v>2600467128</v>
      </c>
      <c r="H68">
        <v>441</v>
      </c>
      <c r="I68" s="2">
        <v>45995</v>
      </c>
      <c r="J68" s="3">
        <v>25720</v>
      </c>
    </row>
    <row r="69" spans="1:16" x14ac:dyDescent="0.25">
      <c r="A69" t="s">
        <v>170</v>
      </c>
      <c r="B69" t="s">
        <v>171</v>
      </c>
      <c r="C69" t="s">
        <v>59</v>
      </c>
      <c r="D69">
        <v>4211328790</v>
      </c>
      <c r="E69" t="s">
        <v>183</v>
      </c>
      <c r="F69" t="s">
        <v>56</v>
      </c>
      <c r="G69">
        <v>2600468205</v>
      </c>
      <c r="H69">
        <v>4861</v>
      </c>
      <c r="I69" s="2">
        <v>45951</v>
      </c>
      <c r="J69" s="3">
        <v>37956</v>
      </c>
    </row>
    <row r="70" spans="1:16" x14ac:dyDescent="0.25">
      <c r="A70" t="s">
        <v>170</v>
      </c>
      <c r="B70" t="s">
        <v>171</v>
      </c>
      <c r="C70" t="s">
        <v>59</v>
      </c>
      <c r="D70">
        <v>4211322980</v>
      </c>
      <c r="E70" t="s">
        <v>198</v>
      </c>
      <c r="F70" t="s">
        <v>56</v>
      </c>
      <c r="G70">
        <v>2600468659</v>
      </c>
      <c r="H70">
        <v>78631</v>
      </c>
      <c r="I70" s="2">
        <v>45967</v>
      </c>
      <c r="J70" s="3">
        <v>2077</v>
      </c>
    </row>
    <row r="71" spans="1:16" x14ac:dyDescent="0.25">
      <c r="A71" t="s">
        <v>314</v>
      </c>
      <c r="B71" t="s">
        <v>315</v>
      </c>
      <c r="C71" t="s">
        <v>92</v>
      </c>
      <c r="D71">
        <v>4211332745</v>
      </c>
      <c r="E71" t="s">
        <v>313</v>
      </c>
      <c r="F71" t="s">
        <v>55</v>
      </c>
      <c r="G71">
        <v>9001569146</v>
      </c>
      <c r="H71">
        <v>22131</v>
      </c>
      <c r="I71" s="2">
        <v>46003</v>
      </c>
      <c r="J71" s="3">
        <v>12410.63</v>
      </c>
    </row>
    <row r="72" spans="1:16" x14ac:dyDescent="0.25">
      <c r="A72" t="s">
        <v>87</v>
      </c>
      <c r="B72" t="s">
        <v>1</v>
      </c>
      <c r="C72" t="s">
        <v>59</v>
      </c>
      <c r="D72">
        <v>4211324689</v>
      </c>
      <c r="E72" t="s">
        <v>99</v>
      </c>
      <c r="F72" t="s">
        <v>56</v>
      </c>
      <c r="G72">
        <v>9001673363</v>
      </c>
      <c r="H72">
        <v>11350</v>
      </c>
      <c r="I72" s="2">
        <v>45901</v>
      </c>
      <c r="J72" s="3">
        <v>102118.5</v>
      </c>
    </row>
    <row r="73" spans="1:16" x14ac:dyDescent="0.25">
      <c r="A73" t="s">
        <v>87</v>
      </c>
      <c r="C73" t="s">
        <v>59</v>
      </c>
      <c r="D73">
        <v>4211324689</v>
      </c>
      <c r="E73" t="s">
        <v>99</v>
      </c>
      <c r="F73" t="s">
        <v>56</v>
      </c>
      <c r="G73">
        <v>9001678927</v>
      </c>
      <c r="H73">
        <v>11505</v>
      </c>
      <c r="I73" s="2">
        <v>45931</v>
      </c>
      <c r="J73" s="3">
        <v>97954.61</v>
      </c>
    </row>
    <row r="74" spans="1:16" x14ac:dyDescent="0.25">
      <c r="A74" t="s">
        <v>87</v>
      </c>
      <c r="C74" t="s">
        <v>59</v>
      </c>
      <c r="D74">
        <v>4211315568</v>
      </c>
      <c r="E74" t="s">
        <v>62</v>
      </c>
      <c r="F74" t="s">
        <v>56</v>
      </c>
      <c r="G74">
        <v>9001679635</v>
      </c>
      <c r="H74">
        <v>139973</v>
      </c>
      <c r="I74" s="2">
        <v>45924</v>
      </c>
      <c r="J74" s="3">
        <v>58341.4</v>
      </c>
    </row>
    <row r="75" spans="1:16" x14ac:dyDescent="0.25">
      <c r="A75" t="s">
        <v>87</v>
      </c>
      <c r="C75" t="s">
        <v>59</v>
      </c>
      <c r="D75">
        <v>4211315568</v>
      </c>
      <c r="E75" t="s">
        <v>62</v>
      </c>
      <c r="F75" t="s">
        <v>56</v>
      </c>
      <c r="G75">
        <v>9001679177</v>
      </c>
      <c r="H75">
        <v>139975</v>
      </c>
      <c r="I75" s="2">
        <v>45924</v>
      </c>
      <c r="J75" s="3">
        <v>8779.2099999999991</v>
      </c>
    </row>
    <row r="76" spans="1:16" x14ac:dyDescent="0.25">
      <c r="A76" t="s">
        <v>87</v>
      </c>
      <c r="C76" t="s">
        <v>59</v>
      </c>
      <c r="D76">
        <v>4211315568</v>
      </c>
      <c r="E76" t="s">
        <v>62</v>
      </c>
      <c r="F76" t="s">
        <v>56</v>
      </c>
      <c r="G76">
        <v>9001679202</v>
      </c>
      <c r="H76">
        <v>139976</v>
      </c>
      <c r="I76" s="2">
        <v>45924</v>
      </c>
      <c r="J76" s="3">
        <v>40276.74</v>
      </c>
    </row>
    <row r="77" spans="1:16" x14ac:dyDescent="0.25">
      <c r="A77" t="s">
        <v>87</v>
      </c>
      <c r="C77" t="s">
        <v>59</v>
      </c>
      <c r="D77">
        <v>4211315568</v>
      </c>
      <c r="E77" t="s">
        <v>62</v>
      </c>
      <c r="F77" t="s">
        <v>56</v>
      </c>
      <c r="G77">
        <v>9001679200</v>
      </c>
      <c r="H77">
        <v>139978</v>
      </c>
      <c r="I77" s="2">
        <v>45924</v>
      </c>
      <c r="J77" s="3">
        <v>16166.12</v>
      </c>
    </row>
    <row r="78" spans="1:16" x14ac:dyDescent="0.25">
      <c r="A78" t="s">
        <v>87</v>
      </c>
      <c r="C78" t="s">
        <v>59</v>
      </c>
      <c r="D78">
        <v>4211315568</v>
      </c>
      <c r="E78" t="s">
        <v>62</v>
      </c>
      <c r="F78" t="s">
        <v>56</v>
      </c>
      <c r="G78">
        <v>9001678615</v>
      </c>
      <c r="H78">
        <v>139489</v>
      </c>
      <c r="I78" s="2">
        <v>45918</v>
      </c>
      <c r="J78" s="3">
        <v>151320</v>
      </c>
    </row>
    <row r="79" spans="1:16" x14ac:dyDescent="0.25">
      <c r="A79" t="s">
        <v>87</v>
      </c>
      <c r="C79" t="s">
        <v>59</v>
      </c>
      <c r="D79">
        <v>4211315568</v>
      </c>
      <c r="E79" t="s">
        <v>62</v>
      </c>
      <c r="F79" t="s">
        <v>56</v>
      </c>
      <c r="G79">
        <v>2600468437</v>
      </c>
      <c r="H79">
        <v>141124</v>
      </c>
      <c r="I79" s="2">
        <v>45939</v>
      </c>
      <c r="J79" s="3">
        <v>9415.08</v>
      </c>
    </row>
    <row r="80" spans="1:16" x14ac:dyDescent="0.25">
      <c r="A80" t="s">
        <v>87</v>
      </c>
      <c r="C80" t="s">
        <v>59</v>
      </c>
      <c r="D80">
        <v>4211315568</v>
      </c>
      <c r="E80" t="s">
        <v>62</v>
      </c>
      <c r="F80" t="s">
        <v>56</v>
      </c>
      <c r="G80">
        <v>2600468723</v>
      </c>
      <c r="H80">
        <v>143177</v>
      </c>
      <c r="I80" s="2">
        <v>45950</v>
      </c>
      <c r="J80" s="3">
        <v>12391.65</v>
      </c>
    </row>
    <row r="81" spans="1:10" x14ac:dyDescent="0.25">
      <c r="A81" t="s">
        <v>87</v>
      </c>
      <c r="C81" t="s">
        <v>59</v>
      </c>
      <c r="D81">
        <v>4211315568</v>
      </c>
      <c r="E81" t="s">
        <v>62</v>
      </c>
      <c r="F81" t="s">
        <v>56</v>
      </c>
      <c r="G81">
        <v>9001679956</v>
      </c>
      <c r="H81">
        <v>144975</v>
      </c>
      <c r="I81" s="2">
        <v>45966</v>
      </c>
      <c r="J81" s="3">
        <v>7662.98</v>
      </c>
    </row>
    <row r="82" spans="1:10" x14ac:dyDescent="0.25">
      <c r="A82" t="s">
        <v>87</v>
      </c>
      <c r="C82" t="s">
        <v>59</v>
      </c>
      <c r="D82">
        <v>4211318663</v>
      </c>
      <c r="E82" t="s">
        <v>107</v>
      </c>
      <c r="F82" t="s">
        <v>56</v>
      </c>
      <c r="G82">
        <v>2600469016</v>
      </c>
      <c r="H82">
        <v>94</v>
      </c>
      <c r="I82" s="2">
        <v>45953</v>
      </c>
      <c r="J82" s="3">
        <v>5846.5</v>
      </c>
    </row>
    <row r="83" spans="1:10" x14ac:dyDescent="0.25">
      <c r="A83" t="s">
        <v>87</v>
      </c>
      <c r="C83" t="s">
        <v>59</v>
      </c>
      <c r="D83">
        <v>4211318663</v>
      </c>
      <c r="E83" t="s">
        <v>107</v>
      </c>
      <c r="F83" t="s">
        <v>56</v>
      </c>
      <c r="G83">
        <v>2600469016</v>
      </c>
      <c r="H83">
        <v>93</v>
      </c>
      <c r="I83" s="2">
        <v>45953</v>
      </c>
      <c r="J83" s="3">
        <v>1434.32</v>
      </c>
    </row>
    <row r="84" spans="1:10" x14ac:dyDescent="0.25">
      <c r="A84" t="s">
        <v>87</v>
      </c>
      <c r="C84" t="s">
        <v>59</v>
      </c>
      <c r="D84">
        <v>4211333373</v>
      </c>
      <c r="E84" t="s">
        <v>84</v>
      </c>
      <c r="F84" t="s">
        <v>56</v>
      </c>
      <c r="G84">
        <v>9001676786</v>
      </c>
      <c r="H84">
        <v>1103</v>
      </c>
      <c r="I84" s="2">
        <v>45908</v>
      </c>
      <c r="J84" s="3">
        <v>12000</v>
      </c>
    </row>
    <row r="85" spans="1:10" x14ac:dyDescent="0.25">
      <c r="A85" t="s">
        <v>87</v>
      </c>
      <c r="C85" t="s">
        <v>59</v>
      </c>
      <c r="D85">
        <v>4211326362</v>
      </c>
      <c r="E85" t="s">
        <v>158</v>
      </c>
      <c r="F85" t="s">
        <v>55</v>
      </c>
      <c r="G85">
        <v>9001674982</v>
      </c>
      <c r="H85">
        <v>8637</v>
      </c>
      <c r="I85" s="2">
        <v>45884</v>
      </c>
      <c r="J85" s="3">
        <v>8822.6299999999992</v>
      </c>
    </row>
    <row r="86" spans="1:10" x14ac:dyDescent="0.25">
      <c r="A86" t="s">
        <v>135</v>
      </c>
      <c r="B86" t="s">
        <v>134</v>
      </c>
      <c r="C86" t="s">
        <v>59</v>
      </c>
      <c r="D86">
        <v>4211321579</v>
      </c>
      <c r="E86" t="s">
        <v>150</v>
      </c>
      <c r="F86" t="s">
        <v>55</v>
      </c>
      <c r="G86">
        <v>9001685135</v>
      </c>
      <c r="H86">
        <v>97490</v>
      </c>
      <c r="I86" s="2">
        <v>45985</v>
      </c>
      <c r="J86" s="3">
        <v>24882</v>
      </c>
    </row>
    <row r="87" spans="1:10" x14ac:dyDescent="0.25">
      <c r="A87" t="s">
        <v>110</v>
      </c>
      <c r="B87" t="s">
        <v>111</v>
      </c>
      <c r="C87" t="s">
        <v>112</v>
      </c>
      <c r="D87">
        <v>4211333268</v>
      </c>
      <c r="E87" t="s">
        <v>124</v>
      </c>
      <c r="F87" t="s">
        <v>148</v>
      </c>
      <c r="G87">
        <v>9001678942</v>
      </c>
      <c r="H87">
        <v>14355</v>
      </c>
      <c r="I87" s="2">
        <v>45978</v>
      </c>
      <c r="J87" s="3">
        <v>83480.56</v>
      </c>
    </row>
    <row r="88" spans="1:10" x14ac:dyDescent="0.25">
      <c r="A88" t="s">
        <v>110</v>
      </c>
      <c r="B88" t="s">
        <v>111</v>
      </c>
      <c r="C88" t="s">
        <v>112</v>
      </c>
      <c r="D88">
        <v>4211333268</v>
      </c>
      <c r="E88" t="s">
        <v>124</v>
      </c>
      <c r="F88" t="s">
        <v>148</v>
      </c>
      <c r="G88">
        <v>9001678942</v>
      </c>
      <c r="H88">
        <v>14353</v>
      </c>
      <c r="I88" s="2">
        <v>45978</v>
      </c>
      <c r="J88" s="3">
        <v>83480.56</v>
      </c>
    </row>
    <row r="89" spans="1:10" x14ac:dyDescent="0.25">
      <c r="A89" t="s">
        <v>106</v>
      </c>
      <c r="B89" t="s">
        <v>192</v>
      </c>
      <c r="C89" t="s">
        <v>59</v>
      </c>
      <c r="D89">
        <v>4211324689</v>
      </c>
      <c r="E89" t="s">
        <v>99</v>
      </c>
      <c r="F89" t="s">
        <v>56</v>
      </c>
      <c r="G89">
        <v>9001685132</v>
      </c>
      <c r="H89">
        <v>11689</v>
      </c>
      <c r="I89" s="2">
        <v>45964</v>
      </c>
      <c r="J89" s="3">
        <v>97954.61</v>
      </c>
    </row>
    <row r="90" spans="1:10" x14ac:dyDescent="0.25">
      <c r="A90" t="s">
        <v>106</v>
      </c>
      <c r="B90" t="s">
        <v>192</v>
      </c>
      <c r="C90" t="s">
        <v>59</v>
      </c>
      <c r="D90">
        <v>4211324689</v>
      </c>
      <c r="E90" t="s">
        <v>99</v>
      </c>
      <c r="F90" t="s">
        <v>56</v>
      </c>
      <c r="G90">
        <v>9001684172</v>
      </c>
      <c r="H90">
        <v>11593</v>
      </c>
      <c r="I90" s="2">
        <v>45946</v>
      </c>
      <c r="J90" s="3">
        <v>526.86</v>
      </c>
    </row>
    <row r="91" spans="1:10" x14ac:dyDescent="0.25">
      <c r="A91" t="s">
        <v>106</v>
      </c>
      <c r="B91" t="s">
        <v>192</v>
      </c>
      <c r="C91" t="s">
        <v>59</v>
      </c>
      <c r="D91">
        <v>4211324689</v>
      </c>
      <c r="E91" t="s">
        <v>99</v>
      </c>
      <c r="F91" t="s">
        <v>56</v>
      </c>
      <c r="G91">
        <v>9001687932</v>
      </c>
      <c r="H91">
        <v>11728</v>
      </c>
      <c r="I91" s="2">
        <v>45965</v>
      </c>
      <c r="J91" s="3">
        <v>1633.05</v>
      </c>
    </row>
    <row r="92" spans="1:10" x14ac:dyDescent="0.25">
      <c r="A92" t="s">
        <v>106</v>
      </c>
      <c r="B92" t="s">
        <v>192</v>
      </c>
      <c r="C92" t="s">
        <v>59</v>
      </c>
      <c r="D92">
        <v>4211315568</v>
      </c>
      <c r="E92" t="s">
        <v>62</v>
      </c>
      <c r="F92" t="s">
        <v>105</v>
      </c>
      <c r="G92">
        <v>9001685436</v>
      </c>
      <c r="H92">
        <v>144980</v>
      </c>
      <c r="I92" s="2">
        <v>45966</v>
      </c>
      <c r="J92" s="3">
        <v>44528.27</v>
      </c>
    </row>
    <row r="93" spans="1:10" x14ac:dyDescent="0.25">
      <c r="A93" t="s">
        <v>106</v>
      </c>
      <c r="B93" t="s">
        <v>192</v>
      </c>
      <c r="C93" t="s">
        <v>59</v>
      </c>
      <c r="D93">
        <v>4211315568</v>
      </c>
      <c r="E93" t="s">
        <v>62</v>
      </c>
      <c r="F93" t="s">
        <v>105</v>
      </c>
      <c r="G93">
        <v>9001690993</v>
      </c>
      <c r="H93">
        <v>147144</v>
      </c>
      <c r="I93" s="2">
        <v>45985</v>
      </c>
      <c r="J93" s="3">
        <v>44528.57</v>
      </c>
    </row>
    <row r="94" spans="1:10" x14ac:dyDescent="0.25">
      <c r="A94" t="s">
        <v>106</v>
      </c>
      <c r="B94" t="s">
        <v>192</v>
      </c>
      <c r="C94" t="s">
        <v>59</v>
      </c>
      <c r="D94">
        <v>4211315568</v>
      </c>
      <c r="E94" t="s">
        <v>62</v>
      </c>
      <c r="F94" t="s">
        <v>148</v>
      </c>
      <c r="G94">
        <v>9001691008</v>
      </c>
      <c r="H94">
        <v>147145</v>
      </c>
      <c r="I94" s="2">
        <v>45985</v>
      </c>
      <c r="J94" s="3">
        <v>44163.81</v>
      </c>
    </row>
    <row r="95" spans="1:10" x14ac:dyDescent="0.25">
      <c r="A95" t="s">
        <v>106</v>
      </c>
      <c r="B95" t="s">
        <v>192</v>
      </c>
      <c r="C95" t="s">
        <v>59</v>
      </c>
      <c r="D95">
        <v>4211315568</v>
      </c>
      <c r="E95" t="s">
        <v>62</v>
      </c>
      <c r="F95" t="s">
        <v>148</v>
      </c>
      <c r="G95">
        <v>9001690905</v>
      </c>
      <c r="H95">
        <v>147130</v>
      </c>
      <c r="I95" s="2">
        <v>45985</v>
      </c>
      <c r="J95" s="3">
        <v>36513.370000000003</v>
      </c>
    </row>
    <row r="96" spans="1:10" x14ac:dyDescent="0.25">
      <c r="A96" t="s">
        <v>106</v>
      </c>
      <c r="B96" t="s">
        <v>192</v>
      </c>
      <c r="C96" t="s">
        <v>59</v>
      </c>
      <c r="D96">
        <v>4211315568</v>
      </c>
      <c r="E96" t="s">
        <v>62</v>
      </c>
      <c r="F96" t="s">
        <v>148</v>
      </c>
      <c r="G96">
        <v>9001691318</v>
      </c>
      <c r="H96">
        <v>147128</v>
      </c>
      <c r="I96" s="2">
        <v>45985</v>
      </c>
      <c r="J96" s="3">
        <v>123504.79</v>
      </c>
    </row>
    <row r="97" spans="1:10" x14ac:dyDescent="0.25">
      <c r="A97" t="s">
        <v>106</v>
      </c>
      <c r="B97" t="s">
        <v>192</v>
      </c>
      <c r="C97" t="s">
        <v>59</v>
      </c>
      <c r="D97">
        <v>4211315568</v>
      </c>
      <c r="E97" t="s">
        <v>62</v>
      </c>
      <c r="F97" t="s">
        <v>56</v>
      </c>
      <c r="G97">
        <v>9001684169</v>
      </c>
      <c r="H97">
        <v>143172</v>
      </c>
      <c r="I97" s="2">
        <v>45950</v>
      </c>
      <c r="J97" s="3">
        <v>7662.98</v>
      </c>
    </row>
    <row r="98" spans="1:10" x14ac:dyDescent="0.25">
      <c r="A98" t="s">
        <v>106</v>
      </c>
      <c r="B98" t="s">
        <v>192</v>
      </c>
      <c r="C98" t="s">
        <v>59</v>
      </c>
      <c r="D98">
        <v>4211315568</v>
      </c>
      <c r="E98" t="s">
        <v>62</v>
      </c>
      <c r="F98" t="s">
        <v>56</v>
      </c>
      <c r="G98">
        <v>9001685448</v>
      </c>
      <c r="H98">
        <v>143853</v>
      </c>
      <c r="I98" s="2">
        <v>45954</v>
      </c>
      <c r="J98" s="3">
        <v>40276.74</v>
      </c>
    </row>
    <row r="99" spans="1:10" x14ac:dyDescent="0.25">
      <c r="A99" t="s">
        <v>106</v>
      </c>
      <c r="B99" t="s">
        <v>192</v>
      </c>
      <c r="C99" t="s">
        <v>59</v>
      </c>
      <c r="D99">
        <v>4211315568</v>
      </c>
      <c r="E99" t="s">
        <v>62</v>
      </c>
      <c r="F99" t="s">
        <v>56</v>
      </c>
      <c r="G99">
        <v>9001684173</v>
      </c>
      <c r="H99">
        <v>143179</v>
      </c>
      <c r="I99" s="2">
        <v>45950</v>
      </c>
      <c r="J99" s="3">
        <v>16166.12</v>
      </c>
    </row>
    <row r="100" spans="1:10" x14ac:dyDescent="0.25">
      <c r="A100" t="s">
        <v>106</v>
      </c>
      <c r="B100" t="s">
        <v>192</v>
      </c>
      <c r="C100" t="s">
        <v>59</v>
      </c>
      <c r="D100">
        <v>4211315568</v>
      </c>
      <c r="E100" t="s">
        <v>62</v>
      </c>
      <c r="F100" t="s">
        <v>56</v>
      </c>
      <c r="G100">
        <v>9001691007</v>
      </c>
      <c r="H100">
        <v>147158</v>
      </c>
      <c r="I100" s="2">
        <v>45985</v>
      </c>
      <c r="J100" s="3">
        <v>40276.74</v>
      </c>
    </row>
    <row r="101" spans="1:10" x14ac:dyDescent="0.25">
      <c r="A101" t="s">
        <v>106</v>
      </c>
      <c r="B101" t="s">
        <v>192</v>
      </c>
      <c r="C101" t="s">
        <v>59</v>
      </c>
      <c r="D101">
        <v>4211315568</v>
      </c>
      <c r="E101" t="s">
        <v>62</v>
      </c>
      <c r="F101" t="s">
        <v>56</v>
      </c>
      <c r="G101">
        <v>9001690907</v>
      </c>
      <c r="H101">
        <v>147147</v>
      </c>
      <c r="I101" s="2">
        <v>45985</v>
      </c>
      <c r="J101" s="3">
        <v>7662.98</v>
      </c>
    </row>
    <row r="102" spans="1:10" x14ac:dyDescent="0.25">
      <c r="A102" t="s">
        <v>106</v>
      </c>
      <c r="B102" t="s">
        <v>192</v>
      </c>
      <c r="C102" t="s">
        <v>59</v>
      </c>
      <c r="D102">
        <v>4211315568</v>
      </c>
      <c r="E102" t="s">
        <v>62</v>
      </c>
      <c r="F102" t="s">
        <v>56</v>
      </c>
      <c r="G102">
        <v>9001691311</v>
      </c>
      <c r="H102">
        <v>147161</v>
      </c>
      <c r="I102" s="2">
        <v>45985</v>
      </c>
      <c r="J102" s="3">
        <v>29965.59</v>
      </c>
    </row>
    <row r="103" spans="1:10" x14ac:dyDescent="0.25">
      <c r="A103" t="s">
        <v>106</v>
      </c>
      <c r="B103" t="s">
        <v>192</v>
      </c>
      <c r="C103" t="s">
        <v>59</v>
      </c>
      <c r="D103">
        <v>4211315568</v>
      </c>
      <c r="E103" t="s">
        <v>62</v>
      </c>
      <c r="F103" t="s">
        <v>56</v>
      </c>
      <c r="G103">
        <v>9001691002</v>
      </c>
      <c r="H103">
        <v>147149</v>
      </c>
      <c r="I103" s="2">
        <v>45985</v>
      </c>
      <c r="J103" s="3">
        <v>16166.12</v>
      </c>
    </row>
    <row r="104" spans="1:10" x14ac:dyDescent="0.25">
      <c r="A104" t="s">
        <v>106</v>
      </c>
      <c r="B104" t="s">
        <v>192</v>
      </c>
      <c r="C104" t="s">
        <v>59</v>
      </c>
      <c r="D104">
        <v>4211326400</v>
      </c>
      <c r="E104" t="s">
        <v>115</v>
      </c>
      <c r="F104" t="s">
        <v>56</v>
      </c>
      <c r="G104">
        <v>9001684419</v>
      </c>
      <c r="H104">
        <v>4312</v>
      </c>
      <c r="I104" s="2">
        <v>45950</v>
      </c>
      <c r="J104" s="3">
        <v>53900</v>
      </c>
    </row>
    <row r="105" spans="1:10" x14ac:dyDescent="0.25">
      <c r="A105" t="s">
        <v>106</v>
      </c>
      <c r="B105" t="s">
        <v>192</v>
      </c>
      <c r="C105" t="s">
        <v>59</v>
      </c>
      <c r="D105">
        <v>4211326400</v>
      </c>
      <c r="E105" t="s">
        <v>115</v>
      </c>
      <c r="F105" t="s">
        <v>56</v>
      </c>
      <c r="G105">
        <v>9001691314</v>
      </c>
      <c r="H105">
        <v>4333</v>
      </c>
      <c r="I105" s="2">
        <v>46000</v>
      </c>
      <c r="J105" s="3">
        <v>66000</v>
      </c>
    </row>
    <row r="106" spans="1:10" x14ac:dyDescent="0.25">
      <c r="A106" t="s">
        <v>106</v>
      </c>
      <c r="B106" t="s">
        <v>192</v>
      </c>
      <c r="C106" t="s">
        <v>59</v>
      </c>
      <c r="D106">
        <v>4211318663</v>
      </c>
      <c r="E106" t="s">
        <v>107</v>
      </c>
      <c r="F106" t="s">
        <v>56</v>
      </c>
      <c r="G106">
        <v>2600469808</v>
      </c>
      <c r="H106">
        <v>95</v>
      </c>
      <c r="I106" s="2">
        <v>45986</v>
      </c>
      <c r="J106" s="3">
        <v>5846.5</v>
      </c>
    </row>
    <row r="107" spans="1:10" x14ac:dyDescent="0.25">
      <c r="A107" t="s">
        <v>106</v>
      </c>
      <c r="B107" t="s">
        <v>192</v>
      </c>
      <c r="C107" t="s">
        <v>59</v>
      </c>
      <c r="D107">
        <v>4211331625</v>
      </c>
      <c r="E107" t="s">
        <v>224</v>
      </c>
      <c r="F107" t="s">
        <v>56</v>
      </c>
      <c r="G107">
        <v>2600469172</v>
      </c>
      <c r="H107">
        <v>311</v>
      </c>
      <c r="I107" s="2">
        <v>45960</v>
      </c>
      <c r="J107" s="3">
        <v>6500</v>
      </c>
    </row>
    <row r="108" spans="1:10" x14ac:dyDescent="0.25">
      <c r="A108" t="s">
        <v>106</v>
      </c>
      <c r="B108" t="s">
        <v>192</v>
      </c>
      <c r="C108" t="s">
        <v>59</v>
      </c>
      <c r="D108">
        <v>4211331625</v>
      </c>
      <c r="E108" t="s">
        <v>224</v>
      </c>
      <c r="F108" t="s">
        <v>56</v>
      </c>
      <c r="G108">
        <v>2600469211</v>
      </c>
      <c r="H108">
        <v>313</v>
      </c>
      <c r="I108" s="2">
        <v>45999</v>
      </c>
      <c r="J108" s="3">
        <v>4725</v>
      </c>
    </row>
    <row r="109" spans="1:10" x14ac:dyDescent="0.25">
      <c r="A109" t="s">
        <v>106</v>
      </c>
      <c r="B109" t="s">
        <v>192</v>
      </c>
      <c r="C109" t="s">
        <v>59</v>
      </c>
      <c r="D109">
        <v>4211333373</v>
      </c>
      <c r="E109" t="s">
        <v>84</v>
      </c>
      <c r="F109" t="s">
        <v>56</v>
      </c>
      <c r="G109">
        <v>9001684170</v>
      </c>
      <c r="H109">
        <v>1228</v>
      </c>
      <c r="I109" s="2">
        <v>45946</v>
      </c>
      <c r="J109" s="3">
        <v>12000</v>
      </c>
    </row>
    <row r="110" spans="1:10" x14ac:dyDescent="0.25">
      <c r="A110" t="s">
        <v>106</v>
      </c>
      <c r="B110" t="s">
        <v>192</v>
      </c>
      <c r="C110" t="s">
        <v>59</v>
      </c>
      <c r="D110">
        <v>4211333373</v>
      </c>
      <c r="E110" t="s">
        <v>84</v>
      </c>
      <c r="F110" t="s">
        <v>56</v>
      </c>
      <c r="G110">
        <v>9001691006</v>
      </c>
      <c r="H110">
        <v>1343</v>
      </c>
      <c r="I110" s="2">
        <v>45979</v>
      </c>
      <c r="J110" s="3">
        <v>12000</v>
      </c>
    </row>
    <row r="111" spans="1:10" x14ac:dyDescent="0.25">
      <c r="A111" t="s">
        <v>106</v>
      </c>
      <c r="B111" t="s">
        <v>192</v>
      </c>
      <c r="C111" t="s">
        <v>59</v>
      </c>
      <c r="D111">
        <v>4211333373</v>
      </c>
      <c r="E111" t="s">
        <v>84</v>
      </c>
      <c r="F111" t="s">
        <v>56</v>
      </c>
      <c r="G111">
        <v>9001695121</v>
      </c>
      <c r="H111">
        <v>1438</v>
      </c>
      <c r="I111" s="2">
        <v>45997</v>
      </c>
      <c r="J111" s="3">
        <v>12000</v>
      </c>
    </row>
    <row r="112" spans="1:10" x14ac:dyDescent="0.25">
      <c r="A112" t="s">
        <v>106</v>
      </c>
      <c r="B112" t="s">
        <v>192</v>
      </c>
      <c r="C112" t="s">
        <v>59</v>
      </c>
      <c r="D112">
        <v>4251304263</v>
      </c>
      <c r="E112" t="s">
        <v>143</v>
      </c>
      <c r="F112" t="s">
        <v>56</v>
      </c>
      <c r="G112">
        <v>9001691000</v>
      </c>
      <c r="H112">
        <v>21842</v>
      </c>
      <c r="I112" s="2">
        <v>45980</v>
      </c>
      <c r="J112" s="3">
        <v>28728.080000000002</v>
      </c>
    </row>
    <row r="113" spans="1:10" x14ac:dyDescent="0.25">
      <c r="A113" t="s">
        <v>106</v>
      </c>
      <c r="B113" t="s">
        <v>192</v>
      </c>
      <c r="C113" t="s">
        <v>59</v>
      </c>
      <c r="D113">
        <v>4211330502</v>
      </c>
      <c r="E113" t="s">
        <v>292</v>
      </c>
      <c r="F113" t="s">
        <v>56</v>
      </c>
      <c r="G113">
        <v>2600470104</v>
      </c>
      <c r="H113">
        <v>3244</v>
      </c>
      <c r="I113" s="2">
        <v>46002</v>
      </c>
      <c r="J113" s="3">
        <v>12420</v>
      </c>
    </row>
    <row r="114" spans="1:10" x14ac:dyDescent="0.25">
      <c r="A114" t="s">
        <v>106</v>
      </c>
      <c r="B114" t="s">
        <v>192</v>
      </c>
      <c r="C114" t="s">
        <v>59</v>
      </c>
      <c r="D114">
        <v>4211330502</v>
      </c>
      <c r="E114" t="s">
        <v>292</v>
      </c>
      <c r="F114" t="s">
        <v>56</v>
      </c>
      <c r="G114">
        <v>2600469846</v>
      </c>
      <c r="H114">
        <v>3243</v>
      </c>
      <c r="I114" s="2">
        <v>46001</v>
      </c>
      <c r="J114" s="3">
        <v>5090</v>
      </c>
    </row>
    <row r="115" spans="1:10" x14ac:dyDescent="0.25">
      <c r="A115" t="s">
        <v>106</v>
      </c>
      <c r="B115" t="s">
        <v>192</v>
      </c>
      <c r="C115" t="s">
        <v>59</v>
      </c>
      <c r="D115">
        <v>4211333353</v>
      </c>
      <c r="E115" t="s">
        <v>208</v>
      </c>
      <c r="F115" t="s">
        <v>56</v>
      </c>
      <c r="G115">
        <v>2600469497</v>
      </c>
      <c r="H115">
        <v>732</v>
      </c>
      <c r="I115" s="2">
        <v>45980</v>
      </c>
      <c r="J115" s="3">
        <v>13992</v>
      </c>
    </row>
    <row r="116" spans="1:10" x14ac:dyDescent="0.25">
      <c r="A116" t="s">
        <v>106</v>
      </c>
      <c r="B116" t="s">
        <v>192</v>
      </c>
      <c r="C116" t="s">
        <v>59</v>
      </c>
      <c r="D116">
        <v>4211333353</v>
      </c>
      <c r="E116" t="s">
        <v>208</v>
      </c>
      <c r="F116" t="s">
        <v>56</v>
      </c>
      <c r="G116">
        <v>2600469152</v>
      </c>
      <c r="H116">
        <v>774</v>
      </c>
      <c r="I116" s="2">
        <v>45995</v>
      </c>
      <c r="J116" s="3">
        <v>15264</v>
      </c>
    </row>
    <row r="117" spans="1:10" x14ac:dyDescent="0.25">
      <c r="A117" t="s">
        <v>106</v>
      </c>
      <c r="B117" t="s">
        <v>192</v>
      </c>
      <c r="C117" t="s">
        <v>59</v>
      </c>
      <c r="D117">
        <v>4211323256</v>
      </c>
      <c r="E117" t="s">
        <v>195</v>
      </c>
      <c r="F117" t="s">
        <v>55</v>
      </c>
      <c r="G117">
        <v>9001691004</v>
      </c>
      <c r="H117">
        <v>54878</v>
      </c>
      <c r="I117" s="2">
        <v>46000</v>
      </c>
      <c r="J117" s="3">
        <v>5700</v>
      </c>
    </row>
    <row r="118" spans="1:10" x14ac:dyDescent="0.25">
      <c r="A118" t="s">
        <v>106</v>
      </c>
      <c r="B118" t="s">
        <v>192</v>
      </c>
      <c r="C118" t="s">
        <v>59</v>
      </c>
      <c r="D118">
        <v>4211333094</v>
      </c>
      <c r="E118" t="s">
        <v>196</v>
      </c>
      <c r="F118" t="s">
        <v>56</v>
      </c>
      <c r="G118">
        <v>2600469253</v>
      </c>
      <c r="H118">
        <v>207</v>
      </c>
      <c r="I118" s="2">
        <v>45971</v>
      </c>
      <c r="J118" s="3">
        <v>8400</v>
      </c>
    </row>
    <row r="119" spans="1:10" x14ac:dyDescent="0.25">
      <c r="A119" t="s">
        <v>106</v>
      </c>
      <c r="B119" t="s">
        <v>192</v>
      </c>
      <c r="C119" t="s">
        <v>59</v>
      </c>
      <c r="D119">
        <v>4211331619</v>
      </c>
      <c r="E119" t="s">
        <v>136</v>
      </c>
      <c r="F119" t="s">
        <v>56</v>
      </c>
      <c r="G119">
        <v>9001684162</v>
      </c>
      <c r="H119">
        <v>29642</v>
      </c>
      <c r="I119" s="2">
        <v>45968</v>
      </c>
      <c r="J119" s="3">
        <v>19150</v>
      </c>
    </row>
    <row r="120" spans="1:10" x14ac:dyDescent="0.25">
      <c r="A120" t="s">
        <v>106</v>
      </c>
      <c r="B120" t="s">
        <v>192</v>
      </c>
      <c r="C120" t="s">
        <v>59</v>
      </c>
      <c r="D120">
        <v>4211331619</v>
      </c>
      <c r="E120" t="s">
        <v>136</v>
      </c>
      <c r="F120" t="s">
        <v>56</v>
      </c>
      <c r="G120">
        <v>9001691005</v>
      </c>
      <c r="H120">
        <v>30589</v>
      </c>
      <c r="I120" s="2">
        <v>45992</v>
      </c>
      <c r="J120" s="3">
        <v>19150</v>
      </c>
    </row>
    <row r="121" spans="1:10" x14ac:dyDescent="0.25">
      <c r="A121" t="s">
        <v>106</v>
      </c>
      <c r="B121" t="s">
        <v>192</v>
      </c>
      <c r="C121" t="s">
        <v>59</v>
      </c>
      <c r="D121">
        <v>4211333386</v>
      </c>
      <c r="E121" t="s">
        <v>205</v>
      </c>
      <c r="F121" t="s">
        <v>56</v>
      </c>
      <c r="G121">
        <v>2600469577</v>
      </c>
      <c r="H121">
        <v>58</v>
      </c>
      <c r="I121" s="2">
        <v>45981</v>
      </c>
      <c r="J121" s="3">
        <v>6640.63</v>
      </c>
    </row>
    <row r="122" spans="1:10" x14ac:dyDescent="0.25">
      <c r="A122" t="s">
        <v>106</v>
      </c>
      <c r="B122" t="s">
        <v>192</v>
      </c>
      <c r="C122" t="s">
        <v>59</v>
      </c>
      <c r="D122">
        <v>4211333386</v>
      </c>
      <c r="E122" t="s">
        <v>205</v>
      </c>
      <c r="F122" t="s">
        <v>56</v>
      </c>
      <c r="G122">
        <v>9001687838</v>
      </c>
      <c r="H122">
        <v>59</v>
      </c>
      <c r="I122" s="2">
        <v>45981</v>
      </c>
      <c r="J122" s="3">
        <v>17975.96</v>
      </c>
    </row>
    <row r="123" spans="1:10" x14ac:dyDescent="0.25">
      <c r="A123" t="s">
        <v>106</v>
      </c>
      <c r="B123" t="s">
        <v>192</v>
      </c>
      <c r="C123" t="s">
        <v>59</v>
      </c>
      <c r="D123">
        <v>4211333386</v>
      </c>
      <c r="E123" t="s">
        <v>205</v>
      </c>
      <c r="F123" t="s">
        <v>56</v>
      </c>
      <c r="G123">
        <v>9001687863</v>
      </c>
      <c r="H123">
        <v>63</v>
      </c>
      <c r="I123" s="2">
        <v>45995</v>
      </c>
      <c r="J123" s="3">
        <v>18831.89</v>
      </c>
    </row>
    <row r="124" spans="1:10" x14ac:dyDescent="0.25">
      <c r="A124" t="s">
        <v>106</v>
      </c>
      <c r="B124" t="s">
        <v>192</v>
      </c>
      <c r="C124" t="s">
        <v>59</v>
      </c>
      <c r="D124">
        <v>4211300552</v>
      </c>
      <c r="E124" t="s">
        <v>188</v>
      </c>
      <c r="F124" t="s">
        <v>56</v>
      </c>
      <c r="G124">
        <v>2600469822</v>
      </c>
      <c r="H124">
        <v>4396</v>
      </c>
      <c r="I124" s="2">
        <v>45986</v>
      </c>
      <c r="J124" s="3">
        <v>4537.5</v>
      </c>
    </row>
    <row r="125" spans="1:10" x14ac:dyDescent="0.25">
      <c r="A125" t="s">
        <v>154</v>
      </c>
      <c r="B125" t="s">
        <v>155</v>
      </c>
      <c r="C125" t="s">
        <v>59</v>
      </c>
      <c r="D125">
        <v>4211332489</v>
      </c>
      <c r="E125" t="s">
        <v>153</v>
      </c>
      <c r="F125" t="s">
        <v>55</v>
      </c>
      <c r="G125">
        <v>9001624265</v>
      </c>
      <c r="H125">
        <v>1645</v>
      </c>
      <c r="I125" s="2">
        <v>45996</v>
      </c>
      <c r="J125" s="3">
        <v>5450</v>
      </c>
    </row>
    <row r="126" spans="1:10" x14ac:dyDescent="0.25">
      <c r="A126" t="s">
        <v>154</v>
      </c>
      <c r="B126" t="s">
        <v>155</v>
      </c>
      <c r="C126" t="s">
        <v>59</v>
      </c>
      <c r="D126">
        <v>4211330443</v>
      </c>
      <c r="E126" t="s">
        <v>237</v>
      </c>
      <c r="F126" t="s">
        <v>105</v>
      </c>
      <c r="G126">
        <v>2600466451</v>
      </c>
      <c r="H126">
        <v>920</v>
      </c>
      <c r="I126" s="2">
        <v>45999</v>
      </c>
      <c r="J126" s="3">
        <v>3500</v>
      </c>
    </row>
    <row r="127" spans="1:10" x14ac:dyDescent="0.25">
      <c r="A127" t="s">
        <v>166</v>
      </c>
      <c r="B127" t="s">
        <v>1</v>
      </c>
      <c r="C127" t="s">
        <v>59</v>
      </c>
      <c r="D127">
        <v>4211302205</v>
      </c>
      <c r="E127" t="s">
        <v>175</v>
      </c>
      <c r="F127" t="s">
        <v>56</v>
      </c>
      <c r="G127">
        <v>2600468295</v>
      </c>
      <c r="H127">
        <v>102</v>
      </c>
      <c r="I127" s="2">
        <v>45944</v>
      </c>
      <c r="J127" s="3">
        <v>4481</v>
      </c>
    </row>
    <row r="128" spans="1:10" x14ac:dyDescent="0.25">
      <c r="A128" t="s">
        <v>166</v>
      </c>
      <c r="C128" t="s">
        <v>59</v>
      </c>
      <c r="D128">
        <v>4211324028</v>
      </c>
      <c r="E128" t="s">
        <v>203</v>
      </c>
      <c r="F128" t="s">
        <v>56</v>
      </c>
      <c r="G128">
        <v>2600469395</v>
      </c>
      <c r="H128">
        <v>1038</v>
      </c>
      <c r="I128" s="2">
        <v>45974</v>
      </c>
      <c r="J128" s="3">
        <v>3400</v>
      </c>
    </row>
    <row r="129" spans="1:10" x14ac:dyDescent="0.25">
      <c r="A129" t="s">
        <v>166</v>
      </c>
      <c r="C129" t="s">
        <v>59</v>
      </c>
      <c r="D129">
        <v>4211329278</v>
      </c>
      <c r="E129" t="s">
        <v>165</v>
      </c>
      <c r="F129" t="s">
        <v>56</v>
      </c>
      <c r="G129">
        <v>2600468465</v>
      </c>
      <c r="H129">
        <v>799</v>
      </c>
      <c r="I129" s="2">
        <v>45937</v>
      </c>
      <c r="J129" s="3">
        <v>16267.06</v>
      </c>
    </row>
    <row r="130" spans="1:10" x14ac:dyDescent="0.25">
      <c r="A130" t="s">
        <v>288</v>
      </c>
      <c r="B130" t="s">
        <v>289</v>
      </c>
      <c r="C130" t="s">
        <v>59</v>
      </c>
      <c r="D130">
        <v>4211321665</v>
      </c>
      <c r="E130" t="s">
        <v>287</v>
      </c>
      <c r="F130" t="s">
        <v>55</v>
      </c>
      <c r="G130">
        <v>9001695283</v>
      </c>
      <c r="H130">
        <v>1436</v>
      </c>
      <c r="I130" s="2">
        <v>45996</v>
      </c>
      <c r="J130" s="3">
        <v>103617</v>
      </c>
    </row>
    <row r="131" spans="1:10" x14ac:dyDescent="0.25">
      <c r="A131" t="s">
        <v>181</v>
      </c>
      <c r="B131" t="s">
        <v>182</v>
      </c>
      <c r="C131" t="s">
        <v>59</v>
      </c>
      <c r="D131">
        <v>4211328675</v>
      </c>
      <c r="E131" t="s">
        <v>98</v>
      </c>
      <c r="F131" t="s">
        <v>56</v>
      </c>
      <c r="G131">
        <v>2600465964</v>
      </c>
      <c r="H131">
        <v>649</v>
      </c>
      <c r="I131" s="2">
        <v>45950</v>
      </c>
      <c r="J131" s="3">
        <v>7257</v>
      </c>
    </row>
    <row r="132" spans="1:10" x14ac:dyDescent="0.25">
      <c r="A132" t="s">
        <v>184</v>
      </c>
      <c r="B132" t="s">
        <v>1</v>
      </c>
      <c r="C132" t="s">
        <v>59</v>
      </c>
      <c r="D132">
        <v>4211302205</v>
      </c>
      <c r="E132" t="s">
        <v>175</v>
      </c>
      <c r="F132" t="s">
        <v>56</v>
      </c>
      <c r="G132">
        <v>2600468195</v>
      </c>
      <c r="H132">
        <v>101</v>
      </c>
      <c r="I132" s="2">
        <v>45944</v>
      </c>
      <c r="J132" s="3">
        <v>1870</v>
      </c>
    </row>
    <row r="133" spans="1:10" x14ac:dyDescent="0.25">
      <c r="A133" t="s">
        <v>184</v>
      </c>
      <c r="C133" t="s">
        <v>59</v>
      </c>
      <c r="D133">
        <v>4211302205</v>
      </c>
      <c r="E133" t="s">
        <v>175</v>
      </c>
      <c r="F133" t="s">
        <v>56</v>
      </c>
      <c r="G133">
        <v>2600468289</v>
      </c>
      <c r="H133">
        <v>103</v>
      </c>
      <c r="I133" s="2">
        <v>45944</v>
      </c>
      <c r="J133" s="3">
        <v>493</v>
      </c>
    </row>
    <row r="134" spans="1:10" x14ac:dyDescent="0.25">
      <c r="A134" t="s">
        <v>184</v>
      </c>
      <c r="C134" t="s">
        <v>59</v>
      </c>
      <c r="D134">
        <v>4211301181</v>
      </c>
      <c r="E134" t="s">
        <v>189</v>
      </c>
      <c r="F134" t="s">
        <v>55</v>
      </c>
      <c r="G134">
        <v>9001631078</v>
      </c>
      <c r="H134">
        <v>644073</v>
      </c>
      <c r="I134" s="2">
        <v>45931</v>
      </c>
      <c r="J134" s="3">
        <v>872.01</v>
      </c>
    </row>
    <row r="135" spans="1:10" x14ac:dyDescent="0.25">
      <c r="A135" t="s">
        <v>184</v>
      </c>
      <c r="C135" t="s">
        <v>59</v>
      </c>
      <c r="D135">
        <v>4211301181</v>
      </c>
      <c r="E135" t="s">
        <v>189</v>
      </c>
      <c r="F135" t="s">
        <v>55</v>
      </c>
      <c r="G135">
        <v>9001631078</v>
      </c>
      <c r="H135">
        <v>644071</v>
      </c>
      <c r="I135" s="2">
        <v>45931</v>
      </c>
      <c r="J135" s="3">
        <v>1665.22</v>
      </c>
    </row>
    <row r="136" spans="1:10" x14ac:dyDescent="0.25">
      <c r="A136" t="s">
        <v>184</v>
      </c>
      <c r="C136" t="s">
        <v>59</v>
      </c>
      <c r="D136">
        <v>4211301181</v>
      </c>
      <c r="E136" t="s">
        <v>189</v>
      </c>
      <c r="F136" t="s">
        <v>55</v>
      </c>
      <c r="G136">
        <v>9001631078</v>
      </c>
      <c r="H136">
        <v>644072</v>
      </c>
      <c r="I136" s="2">
        <v>45931</v>
      </c>
      <c r="J136" s="3">
        <v>111.89</v>
      </c>
    </row>
    <row r="137" spans="1:10" x14ac:dyDescent="0.25">
      <c r="A137" t="s">
        <v>184</v>
      </c>
      <c r="C137" t="s">
        <v>59</v>
      </c>
      <c r="D137">
        <v>4211301181</v>
      </c>
      <c r="E137" t="s">
        <v>189</v>
      </c>
      <c r="F137" t="s">
        <v>55</v>
      </c>
      <c r="G137">
        <v>9001631078</v>
      </c>
      <c r="H137">
        <v>644074</v>
      </c>
      <c r="I137" s="2">
        <v>45931</v>
      </c>
      <c r="J137" s="3">
        <v>15705.2</v>
      </c>
    </row>
    <row r="138" spans="1:10" x14ac:dyDescent="0.25">
      <c r="A138" t="s">
        <v>184</v>
      </c>
      <c r="C138" t="s">
        <v>59</v>
      </c>
      <c r="D138">
        <v>4211301181</v>
      </c>
      <c r="E138" t="s">
        <v>189</v>
      </c>
      <c r="F138" t="s">
        <v>55</v>
      </c>
      <c r="G138">
        <v>9001631078</v>
      </c>
      <c r="H138">
        <v>700276</v>
      </c>
      <c r="I138" s="2">
        <v>45964</v>
      </c>
      <c r="J138" s="3">
        <v>15705.2</v>
      </c>
    </row>
    <row r="139" spans="1:10" x14ac:dyDescent="0.25">
      <c r="A139" t="s">
        <v>184</v>
      </c>
      <c r="C139" t="s">
        <v>59</v>
      </c>
      <c r="D139">
        <v>4211301181</v>
      </c>
      <c r="E139" t="s">
        <v>189</v>
      </c>
      <c r="F139" t="s">
        <v>55</v>
      </c>
      <c r="G139">
        <v>9001631078</v>
      </c>
      <c r="H139">
        <v>700268</v>
      </c>
      <c r="I139" s="2">
        <v>45964</v>
      </c>
      <c r="J139" s="3">
        <v>1665.22</v>
      </c>
    </row>
    <row r="140" spans="1:10" x14ac:dyDescent="0.25">
      <c r="A140" t="s">
        <v>184</v>
      </c>
      <c r="C140" t="s">
        <v>59</v>
      </c>
      <c r="D140">
        <v>4211301181</v>
      </c>
      <c r="E140" t="s">
        <v>189</v>
      </c>
      <c r="F140" t="s">
        <v>55</v>
      </c>
      <c r="G140">
        <v>9001631078</v>
      </c>
      <c r="H140">
        <v>700269</v>
      </c>
      <c r="I140" s="2">
        <v>45964</v>
      </c>
      <c r="J140" s="3">
        <v>111.89</v>
      </c>
    </row>
    <row r="141" spans="1:10" x14ac:dyDescent="0.25">
      <c r="A141" t="s">
        <v>184</v>
      </c>
      <c r="C141" t="s">
        <v>59</v>
      </c>
      <c r="D141">
        <v>4211301181</v>
      </c>
      <c r="E141" t="s">
        <v>189</v>
      </c>
      <c r="F141" t="s">
        <v>55</v>
      </c>
      <c r="G141">
        <v>9001631078</v>
      </c>
      <c r="H141">
        <v>700275</v>
      </c>
      <c r="I141" s="2">
        <v>45964</v>
      </c>
      <c r="J141" s="3">
        <v>872.01</v>
      </c>
    </row>
    <row r="142" spans="1:10" x14ac:dyDescent="0.25">
      <c r="A142" t="s">
        <v>184</v>
      </c>
      <c r="C142" t="s">
        <v>59</v>
      </c>
      <c r="D142">
        <v>4211301181</v>
      </c>
      <c r="E142" t="s">
        <v>189</v>
      </c>
      <c r="F142" t="s">
        <v>55</v>
      </c>
      <c r="G142">
        <v>9001631078</v>
      </c>
      <c r="H142">
        <v>746569</v>
      </c>
      <c r="I142" s="2">
        <v>45992</v>
      </c>
      <c r="J142" s="3">
        <v>1665.22</v>
      </c>
    </row>
    <row r="143" spans="1:10" x14ac:dyDescent="0.25">
      <c r="A143" t="s">
        <v>184</v>
      </c>
      <c r="C143" t="s">
        <v>59</v>
      </c>
      <c r="D143">
        <v>4211301181</v>
      </c>
      <c r="E143" t="s">
        <v>189</v>
      </c>
      <c r="F143" t="s">
        <v>55</v>
      </c>
      <c r="G143">
        <v>9001631078</v>
      </c>
      <c r="H143">
        <v>746572</v>
      </c>
      <c r="I143" s="2">
        <v>45992</v>
      </c>
      <c r="J143" s="3">
        <v>15705.2</v>
      </c>
    </row>
    <row r="144" spans="1:10" x14ac:dyDescent="0.25">
      <c r="A144" t="s">
        <v>184</v>
      </c>
      <c r="C144" t="s">
        <v>59</v>
      </c>
      <c r="D144">
        <v>4211301181</v>
      </c>
      <c r="E144" t="s">
        <v>189</v>
      </c>
      <c r="F144" t="s">
        <v>55</v>
      </c>
      <c r="G144">
        <v>9001631078</v>
      </c>
      <c r="H144">
        <v>746570</v>
      </c>
      <c r="I144" s="2">
        <v>45992</v>
      </c>
      <c r="J144" s="3">
        <v>111.89</v>
      </c>
    </row>
    <row r="145" spans="1:10" x14ac:dyDescent="0.25">
      <c r="A145" t="s">
        <v>184</v>
      </c>
      <c r="C145" t="s">
        <v>59</v>
      </c>
      <c r="D145">
        <v>4211301181</v>
      </c>
      <c r="E145" t="s">
        <v>189</v>
      </c>
      <c r="F145" t="s">
        <v>55</v>
      </c>
      <c r="G145">
        <v>9001631078</v>
      </c>
      <c r="H145">
        <v>746571</v>
      </c>
      <c r="I145" s="2">
        <v>45992</v>
      </c>
      <c r="J145" s="3">
        <v>872.01</v>
      </c>
    </row>
    <row r="146" spans="1:10" x14ac:dyDescent="0.25">
      <c r="A146" t="s">
        <v>184</v>
      </c>
      <c r="C146" t="s">
        <v>59</v>
      </c>
      <c r="D146">
        <v>4211300552</v>
      </c>
      <c r="E146" t="s">
        <v>188</v>
      </c>
      <c r="F146" t="s">
        <v>56</v>
      </c>
      <c r="G146">
        <v>2600466649</v>
      </c>
      <c r="H146">
        <v>4355</v>
      </c>
      <c r="I146" s="2">
        <v>45946</v>
      </c>
      <c r="J146" s="3">
        <v>4105.4799999999996</v>
      </c>
    </row>
    <row r="147" spans="1:10" x14ac:dyDescent="0.25">
      <c r="A147" t="s">
        <v>229</v>
      </c>
      <c r="B147" t="s">
        <v>230</v>
      </c>
      <c r="C147" t="s">
        <v>59</v>
      </c>
      <c r="D147">
        <v>4211326778</v>
      </c>
      <c r="E147" t="s">
        <v>249</v>
      </c>
      <c r="F147" t="s">
        <v>55</v>
      </c>
      <c r="G147">
        <v>9001695686</v>
      </c>
      <c r="H147">
        <v>77072</v>
      </c>
      <c r="I147" s="2">
        <v>46000</v>
      </c>
      <c r="J147" s="3">
        <v>32374.06</v>
      </c>
    </row>
    <row r="148" spans="1:10" x14ac:dyDescent="0.25">
      <c r="A148" t="s">
        <v>229</v>
      </c>
      <c r="B148" t="s">
        <v>230</v>
      </c>
      <c r="C148" t="s">
        <v>59</v>
      </c>
      <c r="D148">
        <v>4211326778</v>
      </c>
      <c r="E148" t="s">
        <v>249</v>
      </c>
      <c r="F148" t="s">
        <v>55</v>
      </c>
      <c r="G148">
        <v>9001695686</v>
      </c>
      <c r="H148">
        <v>77073</v>
      </c>
      <c r="I148" s="2">
        <v>46000</v>
      </c>
      <c r="J148" s="3">
        <v>17056</v>
      </c>
    </row>
    <row r="149" spans="1:10" x14ac:dyDescent="0.25">
      <c r="A149" t="s">
        <v>229</v>
      </c>
      <c r="B149" t="s">
        <v>230</v>
      </c>
      <c r="C149" t="s">
        <v>59</v>
      </c>
      <c r="D149">
        <v>4211326779</v>
      </c>
      <c r="E149" t="s">
        <v>305</v>
      </c>
      <c r="F149" t="s">
        <v>55</v>
      </c>
      <c r="G149">
        <v>9001692989</v>
      </c>
      <c r="H149">
        <v>70442</v>
      </c>
      <c r="I149" s="2">
        <v>45992</v>
      </c>
      <c r="J149" s="3">
        <v>126.96</v>
      </c>
    </row>
    <row r="150" spans="1:10" x14ac:dyDescent="0.25">
      <c r="A150" t="s">
        <v>229</v>
      </c>
      <c r="B150" t="s">
        <v>230</v>
      </c>
      <c r="C150" t="s">
        <v>59</v>
      </c>
      <c r="D150">
        <v>4211333475</v>
      </c>
      <c r="E150" t="s">
        <v>302</v>
      </c>
      <c r="F150" t="s">
        <v>55</v>
      </c>
      <c r="G150">
        <v>2600470177</v>
      </c>
      <c r="H150">
        <v>35</v>
      </c>
      <c r="I150" s="2">
        <v>46001</v>
      </c>
      <c r="J150" s="3">
        <v>2500</v>
      </c>
    </row>
    <row r="151" spans="1:10" x14ac:dyDescent="0.25">
      <c r="A151" t="s">
        <v>211</v>
      </c>
      <c r="B151" t="s">
        <v>213</v>
      </c>
      <c r="C151" t="s">
        <v>92</v>
      </c>
      <c r="D151">
        <v>4211323256</v>
      </c>
      <c r="E151" t="s">
        <v>195</v>
      </c>
      <c r="F151" t="s">
        <v>55</v>
      </c>
      <c r="G151">
        <v>9001693768</v>
      </c>
      <c r="H151">
        <v>54879</v>
      </c>
      <c r="I151" s="2">
        <v>46000</v>
      </c>
      <c r="J151" s="3">
        <v>2295</v>
      </c>
    </row>
    <row r="152" spans="1:10" x14ac:dyDescent="0.25">
      <c r="A152" t="s">
        <v>144</v>
      </c>
      <c r="B152" t="s">
        <v>145</v>
      </c>
      <c r="C152" t="s">
        <v>59</v>
      </c>
      <c r="D152">
        <v>4251304263</v>
      </c>
      <c r="E152" t="s">
        <v>143</v>
      </c>
      <c r="F152" t="s">
        <v>55</v>
      </c>
      <c r="G152">
        <v>2600467723</v>
      </c>
      <c r="H152">
        <v>21649</v>
      </c>
      <c r="I152" s="2">
        <v>45911</v>
      </c>
      <c r="J152" s="3">
        <v>5992</v>
      </c>
    </row>
    <row r="153" spans="1:10" x14ac:dyDescent="0.25">
      <c r="A153" t="s">
        <v>144</v>
      </c>
      <c r="B153" t="s">
        <v>145</v>
      </c>
      <c r="C153" t="s">
        <v>59</v>
      </c>
      <c r="D153">
        <v>4251304263</v>
      </c>
      <c r="E153" t="s">
        <v>143</v>
      </c>
      <c r="F153" t="s">
        <v>55</v>
      </c>
      <c r="G153">
        <v>2600467858</v>
      </c>
      <c r="H153">
        <v>21725</v>
      </c>
      <c r="I153" s="2">
        <v>45939</v>
      </c>
      <c r="J153" s="3">
        <v>5992</v>
      </c>
    </row>
    <row r="154" spans="1:10" x14ac:dyDescent="0.25">
      <c r="A154" t="s">
        <v>144</v>
      </c>
      <c r="B154" t="s">
        <v>145</v>
      </c>
      <c r="C154" t="s">
        <v>59</v>
      </c>
      <c r="D154">
        <v>4211326362</v>
      </c>
      <c r="E154" t="s">
        <v>158</v>
      </c>
      <c r="F154" t="s">
        <v>55</v>
      </c>
      <c r="G154">
        <v>9001689245</v>
      </c>
      <c r="H154">
        <v>9172</v>
      </c>
      <c r="I154" s="2">
        <v>45976</v>
      </c>
      <c r="J154" s="3">
        <v>8822.6299999999992</v>
      </c>
    </row>
    <row r="155" spans="1:10" x14ac:dyDescent="0.25">
      <c r="A155" t="s">
        <v>144</v>
      </c>
      <c r="B155" t="s">
        <v>145</v>
      </c>
      <c r="C155" t="s">
        <v>59</v>
      </c>
      <c r="D155">
        <v>4211326362</v>
      </c>
      <c r="E155" t="s">
        <v>158</v>
      </c>
      <c r="F155" t="s">
        <v>55</v>
      </c>
      <c r="G155">
        <v>9001689397</v>
      </c>
      <c r="H155">
        <v>9173</v>
      </c>
      <c r="I155" s="2">
        <v>45976</v>
      </c>
      <c r="J155" s="3">
        <v>74128.600000000006</v>
      </c>
    </row>
    <row r="156" spans="1:10" x14ac:dyDescent="0.25">
      <c r="A156" t="s">
        <v>144</v>
      </c>
      <c r="B156" t="s">
        <v>145</v>
      </c>
      <c r="C156" t="s">
        <v>59</v>
      </c>
      <c r="D156">
        <v>4211326362</v>
      </c>
      <c r="E156" t="s">
        <v>158</v>
      </c>
      <c r="F156" t="s">
        <v>55</v>
      </c>
      <c r="G156">
        <v>9001689713</v>
      </c>
      <c r="H156">
        <v>9175</v>
      </c>
      <c r="I156" s="2">
        <v>45978</v>
      </c>
      <c r="J156" s="3">
        <v>169926.94</v>
      </c>
    </row>
    <row r="157" spans="1:10" x14ac:dyDescent="0.25">
      <c r="A157" t="s">
        <v>144</v>
      </c>
      <c r="B157" t="s">
        <v>145</v>
      </c>
      <c r="C157" t="s">
        <v>59</v>
      </c>
      <c r="D157">
        <v>4211326362</v>
      </c>
      <c r="E157" t="s">
        <v>158</v>
      </c>
      <c r="F157" t="s">
        <v>55</v>
      </c>
      <c r="G157">
        <v>9001689276</v>
      </c>
      <c r="H157">
        <v>9174</v>
      </c>
      <c r="I157" s="2">
        <v>45976</v>
      </c>
      <c r="J157" s="3">
        <v>27903.39</v>
      </c>
    </row>
    <row r="158" spans="1:10" x14ac:dyDescent="0.25">
      <c r="A158" t="s">
        <v>144</v>
      </c>
      <c r="B158" t="s">
        <v>145</v>
      </c>
      <c r="C158" t="s">
        <v>59</v>
      </c>
      <c r="D158">
        <v>4211326362</v>
      </c>
      <c r="E158" t="s">
        <v>158</v>
      </c>
      <c r="F158" t="s">
        <v>55</v>
      </c>
      <c r="G158">
        <v>9001696088</v>
      </c>
      <c r="H158">
        <v>9384</v>
      </c>
      <c r="I158" s="2">
        <v>46002</v>
      </c>
      <c r="J158" s="3">
        <v>169926.94</v>
      </c>
    </row>
    <row r="159" spans="1:10" x14ac:dyDescent="0.25">
      <c r="A159" t="s">
        <v>144</v>
      </c>
      <c r="B159" t="s">
        <v>145</v>
      </c>
      <c r="C159" t="s">
        <v>59</v>
      </c>
      <c r="D159">
        <v>4211326362</v>
      </c>
      <c r="E159" t="s">
        <v>158</v>
      </c>
      <c r="F159" t="s">
        <v>55</v>
      </c>
      <c r="G159">
        <v>9001696071</v>
      </c>
      <c r="H159">
        <v>9382</v>
      </c>
      <c r="I159" s="2">
        <v>46002</v>
      </c>
      <c r="J159" s="3">
        <v>74128.600000000006</v>
      </c>
    </row>
    <row r="160" spans="1:10" x14ac:dyDescent="0.25">
      <c r="A160" t="s">
        <v>144</v>
      </c>
      <c r="B160" t="s">
        <v>145</v>
      </c>
      <c r="C160" t="s">
        <v>59</v>
      </c>
      <c r="D160">
        <v>4211326362</v>
      </c>
      <c r="E160" t="s">
        <v>158</v>
      </c>
      <c r="F160" t="s">
        <v>55</v>
      </c>
      <c r="G160">
        <v>9001696037</v>
      </c>
      <c r="H160">
        <v>9383</v>
      </c>
      <c r="I160" s="2">
        <v>46002</v>
      </c>
      <c r="J160" s="3">
        <v>27903.39</v>
      </c>
    </row>
    <row r="161" spans="1:10" x14ac:dyDescent="0.25">
      <c r="A161" t="s">
        <v>144</v>
      </c>
      <c r="B161" t="s">
        <v>145</v>
      </c>
      <c r="C161" t="s">
        <v>59</v>
      </c>
      <c r="D161">
        <v>4211326362</v>
      </c>
      <c r="E161" t="s">
        <v>158</v>
      </c>
      <c r="F161" t="s">
        <v>55</v>
      </c>
      <c r="G161">
        <v>9001696033</v>
      </c>
      <c r="H161">
        <v>9381</v>
      </c>
      <c r="I161" s="2">
        <v>46002</v>
      </c>
      <c r="J161" s="3">
        <v>8822.6299999999992</v>
      </c>
    </row>
    <row r="162" spans="1:10" x14ac:dyDescent="0.25">
      <c r="A162" t="s">
        <v>144</v>
      </c>
      <c r="B162" t="s">
        <v>145</v>
      </c>
      <c r="C162" t="s">
        <v>59</v>
      </c>
      <c r="D162">
        <v>4211323256</v>
      </c>
      <c r="E162" t="s">
        <v>195</v>
      </c>
      <c r="F162" t="s">
        <v>55</v>
      </c>
      <c r="G162">
        <v>9001689243</v>
      </c>
      <c r="H162">
        <v>54620</v>
      </c>
      <c r="I162" s="2">
        <v>45971</v>
      </c>
      <c r="J162" s="3">
        <v>5700</v>
      </c>
    </row>
    <row r="163" spans="1:10" x14ac:dyDescent="0.25">
      <c r="A163" t="s">
        <v>216</v>
      </c>
      <c r="B163" t="s">
        <v>217</v>
      </c>
      <c r="C163" t="s">
        <v>92</v>
      </c>
      <c r="D163">
        <v>4211330236</v>
      </c>
      <c r="E163" t="s">
        <v>219</v>
      </c>
      <c r="F163" t="s">
        <v>55</v>
      </c>
      <c r="G163">
        <v>9001686007</v>
      </c>
      <c r="H163">
        <v>3315</v>
      </c>
      <c r="I163" s="2">
        <v>45954</v>
      </c>
      <c r="J163" s="3">
        <v>61090</v>
      </c>
    </row>
    <row r="164" spans="1:10" x14ac:dyDescent="0.25">
      <c r="A164" t="s">
        <v>216</v>
      </c>
      <c r="B164" t="s">
        <v>217</v>
      </c>
      <c r="C164" t="s">
        <v>92</v>
      </c>
      <c r="D164">
        <v>4211301849</v>
      </c>
      <c r="E164" t="s">
        <v>215</v>
      </c>
      <c r="F164" t="s">
        <v>55</v>
      </c>
      <c r="G164">
        <v>9001685016</v>
      </c>
      <c r="H164">
        <v>14843</v>
      </c>
      <c r="I164" s="2">
        <v>45951</v>
      </c>
      <c r="J164" s="3">
        <v>3400</v>
      </c>
    </row>
    <row r="165" spans="1:10" x14ac:dyDescent="0.25">
      <c r="A165" t="s">
        <v>216</v>
      </c>
      <c r="B165" t="s">
        <v>217</v>
      </c>
      <c r="C165" t="s">
        <v>92</v>
      </c>
      <c r="D165">
        <v>4211301849</v>
      </c>
      <c r="E165" t="s">
        <v>215</v>
      </c>
      <c r="F165" t="s">
        <v>55</v>
      </c>
      <c r="G165">
        <v>9001685016</v>
      </c>
      <c r="H165">
        <v>14845</v>
      </c>
      <c r="I165" s="2">
        <v>45951</v>
      </c>
      <c r="J165" s="3">
        <v>400</v>
      </c>
    </row>
    <row r="166" spans="1:10" x14ac:dyDescent="0.25">
      <c r="A166" t="s">
        <v>216</v>
      </c>
      <c r="B166" t="s">
        <v>217</v>
      </c>
      <c r="C166" t="s">
        <v>92</v>
      </c>
      <c r="D166">
        <v>4211301849</v>
      </c>
      <c r="E166" t="s">
        <v>215</v>
      </c>
      <c r="F166" t="s">
        <v>55</v>
      </c>
      <c r="G166">
        <v>9001685016</v>
      </c>
      <c r="H166">
        <v>14844</v>
      </c>
      <c r="I166" s="2">
        <v>45951</v>
      </c>
      <c r="J166" s="3">
        <v>1000</v>
      </c>
    </row>
    <row r="167" spans="1:10" x14ac:dyDescent="0.25">
      <c r="A167" t="s">
        <v>216</v>
      </c>
      <c r="B167" t="s">
        <v>217</v>
      </c>
      <c r="C167" t="s">
        <v>92</v>
      </c>
      <c r="D167">
        <v>4211301849</v>
      </c>
      <c r="E167" t="s">
        <v>215</v>
      </c>
      <c r="F167" t="s">
        <v>55</v>
      </c>
      <c r="G167">
        <v>9001685016</v>
      </c>
      <c r="H167">
        <v>14841</v>
      </c>
      <c r="I167" s="2">
        <v>45951</v>
      </c>
      <c r="J167" s="3">
        <v>800</v>
      </c>
    </row>
    <row r="168" spans="1:10" x14ac:dyDescent="0.25">
      <c r="A168" t="s">
        <v>216</v>
      </c>
      <c r="B168" t="s">
        <v>217</v>
      </c>
      <c r="C168" t="s">
        <v>92</v>
      </c>
      <c r="D168">
        <v>4211301849</v>
      </c>
      <c r="E168" t="s">
        <v>215</v>
      </c>
      <c r="F168" t="s">
        <v>55</v>
      </c>
      <c r="G168">
        <v>9001685016</v>
      </c>
      <c r="H168">
        <v>14842</v>
      </c>
      <c r="I168" s="2">
        <v>45951</v>
      </c>
      <c r="J168" s="3">
        <v>1000</v>
      </c>
    </row>
    <row r="169" spans="1:10" x14ac:dyDescent="0.25">
      <c r="A169" t="s">
        <v>216</v>
      </c>
      <c r="B169" t="s">
        <v>217</v>
      </c>
      <c r="C169" t="s">
        <v>92</v>
      </c>
      <c r="D169">
        <v>4211301849</v>
      </c>
      <c r="E169" t="s">
        <v>215</v>
      </c>
      <c r="F169" t="s">
        <v>55</v>
      </c>
      <c r="G169">
        <v>9001685016</v>
      </c>
      <c r="H169">
        <v>14840</v>
      </c>
      <c r="I169" s="2">
        <v>45951</v>
      </c>
      <c r="J169" s="3">
        <v>2200</v>
      </c>
    </row>
    <row r="170" spans="1:10" x14ac:dyDescent="0.25">
      <c r="A170" t="s">
        <v>216</v>
      </c>
      <c r="B170" t="s">
        <v>217</v>
      </c>
      <c r="C170" t="s">
        <v>92</v>
      </c>
      <c r="D170">
        <v>4211301849</v>
      </c>
      <c r="E170" t="s">
        <v>215</v>
      </c>
      <c r="F170" t="s">
        <v>55</v>
      </c>
      <c r="G170">
        <v>9001685016</v>
      </c>
      <c r="H170">
        <v>14846</v>
      </c>
      <c r="I170" s="2">
        <v>45951</v>
      </c>
      <c r="J170" s="3">
        <v>2600</v>
      </c>
    </row>
    <row r="171" spans="1:10" x14ac:dyDescent="0.25">
      <c r="A171" t="s">
        <v>216</v>
      </c>
      <c r="B171" t="s">
        <v>217</v>
      </c>
      <c r="C171" t="s">
        <v>92</v>
      </c>
      <c r="D171">
        <v>4211301849</v>
      </c>
      <c r="E171" t="s">
        <v>215</v>
      </c>
      <c r="F171" t="s">
        <v>55</v>
      </c>
      <c r="G171">
        <v>9001683832</v>
      </c>
      <c r="H171">
        <v>14835</v>
      </c>
      <c r="I171" s="2">
        <v>45951</v>
      </c>
      <c r="J171" s="3">
        <v>4600</v>
      </c>
    </row>
    <row r="172" spans="1:10" x14ac:dyDescent="0.25">
      <c r="A172" t="s">
        <v>216</v>
      </c>
      <c r="B172" t="s">
        <v>217</v>
      </c>
      <c r="C172" t="s">
        <v>92</v>
      </c>
      <c r="D172">
        <v>4211301849</v>
      </c>
      <c r="E172" t="s">
        <v>215</v>
      </c>
      <c r="F172" t="s">
        <v>55</v>
      </c>
      <c r="G172">
        <v>9001683832</v>
      </c>
      <c r="H172">
        <v>14834</v>
      </c>
      <c r="I172" s="2">
        <v>45951</v>
      </c>
      <c r="J172" s="3">
        <v>6200</v>
      </c>
    </row>
    <row r="173" spans="1:10" x14ac:dyDescent="0.25">
      <c r="A173" t="s">
        <v>216</v>
      </c>
      <c r="B173" t="s">
        <v>217</v>
      </c>
      <c r="C173" t="s">
        <v>92</v>
      </c>
      <c r="D173">
        <v>4211301849</v>
      </c>
      <c r="E173" t="s">
        <v>215</v>
      </c>
      <c r="F173" t="s">
        <v>55</v>
      </c>
      <c r="G173">
        <v>9001683832</v>
      </c>
      <c r="H173">
        <v>14836</v>
      </c>
      <c r="I173" s="2">
        <v>45951</v>
      </c>
      <c r="J173" s="3">
        <v>8400</v>
      </c>
    </row>
    <row r="174" spans="1:10" x14ac:dyDescent="0.25">
      <c r="A174" t="s">
        <v>216</v>
      </c>
      <c r="B174" t="s">
        <v>217</v>
      </c>
      <c r="C174" t="s">
        <v>92</v>
      </c>
      <c r="D174">
        <v>4211331198</v>
      </c>
      <c r="E174" t="s">
        <v>223</v>
      </c>
      <c r="F174" t="s">
        <v>55</v>
      </c>
      <c r="G174">
        <v>9001684418</v>
      </c>
      <c r="H174">
        <v>10663</v>
      </c>
      <c r="I174" s="2">
        <v>45950</v>
      </c>
      <c r="J174" s="3">
        <v>50000.9</v>
      </c>
    </row>
    <row r="175" spans="1:10" x14ac:dyDescent="0.25">
      <c r="A175" t="s">
        <v>45</v>
      </c>
      <c r="J175" s="3">
        <v>6319706.4899999993</v>
      </c>
    </row>
  </sheetData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J102"/>
  <sheetViews>
    <sheetView showGridLines="0" topLeftCell="P1" zoomScale="90" zoomScaleNormal="90" workbookViewId="0">
      <selection activeCell="Z5" sqref="Z5:AO15"/>
    </sheetView>
  </sheetViews>
  <sheetFormatPr defaultColWidth="18.5546875" defaultRowHeight="13.2" x14ac:dyDescent="0.25"/>
  <cols>
    <col min="1" max="1" width="30" bestFit="1" customWidth="1"/>
    <col min="2" max="2" width="17.77734375" customWidth="1"/>
    <col min="3" max="3" width="17.44140625" bestFit="1" customWidth="1"/>
    <col min="4" max="4" width="14.21875" bestFit="1" customWidth="1"/>
    <col min="5" max="5" width="44.5546875" bestFit="1" customWidth="1"/>
    <col min="6" max="6" width="33.21875" bestFit="1" customWidth="1"/>
    <col min="7" max="7" width="14.21875" bestFit="1" customWidth="1"/>
    <col min="8" max="8" width="13.21875" bestFit="1" customWidth="1"/>
    <col min="9" max="9" width="20.6640625" bestFit="1" customWidth="1"/>
    <col min="10" max="16" width="8" bestFit="1" customWidth="1"/>
    <col min="17" max="18" width="11.33203125" bestFit="1" customWidth="1"/>
    <col min="19" max="19" width="11.77734375" customWidth="1"/>
    <col min="20" max="21" width="9.77734375" customWidth="1"/>
    <col min="22" max="22" width="11.77734375" customWidth="1"/>
    <col min="23" max="23" width="9.77734375" customWidth="1"/>
    <col min="24" max="25" width="11.77734375" customWidth="1"/>
    <col min="26" max="26" width="9" customWidth="1"/>
    <col min="27" max="27" width="35.109375" customWidth="1"/>
    <col min="28" max="28" width="12.88671875" bestFit="1" customWidth="1"/>
    <col min="29" max="35" width="8" bestFit="1" customWidth="1"/>
    <col min="36" max="37" width="11.33203125" bestFit="1" customWidth="1"/>
    <col min="38" max="38" width="11.77734375" bestFit="1" customWidth="1"/>
  </cols>
  <sheetData>
    <row r="1" spans="1:36" x14ac:dyDescent="0.25">
      <c r="A1" s="1" t="s">
        <v>39</v>
      </c>
      <c r="B1" t="s">
        <v>63</v>
      </c>
      <c r="Z1" s="1" t="s">
        <v>39</v>
      </c>
      <c r="AA1" t="s">
        <v>63</v>
      </c>
    </row>
    <row r="2" spans="1:36" x14ac:dyDescent="0.25">
      <c r="A2" s="1" t="s">
        <v>4</v>
      </c>
      <c r="B2" t="s">
        <v>47</v>
      </c>
      <c r="Z2" s="1" t="s">
        <v>4</v>
      </c>
      <c r="AA2" t="s">
        <v>47</v>
      </c>
    </row>
    <row r="4" spans="1:36" x14ac:dyDescent="0.25">
      <c r="A4" s="1" t="s">
        <v>41</v>
      </c>
      <c r="J4" s="1" t="s">
        <v>42</v>
      </c>
      <c r="Z4" s="1" t="s">
        <v>41</v>
      </c>
      <c r="AC4" s="1" t="s">
        <v>42</v>
      </c>
    </row>
    <row r="5" spans="1:36" x14ac:dyDescent="0.25">
      <c r="A5" s="1" t="s">
        <v>3</v>
      </c>
      <c r="B5" s="1" t="s">
        <v>30</v>
      </c>
      <c r="C5" s="1" t="s">
        <v>36</v>
      </c>
      <c r="D5" s="1" t="s">
        <v>10</v>
      </c>
      <c r="E5" s="1" t="s">
        <v>11</v>
      </c>
      <c r="F5" s="1" t="s">
        <v>40</v>
      </c>
      <c r="G5" s="1" t="s">
        <v>6</v>
      </c>
      <c r="H5" s="1" t="s">
        <v>12</v>
      </c>
      <c r="I5" s="1" t="s">
        <v>13</v>
      </c>
      <c r="J5" t="s">
        <v>68</v>
      </c>
      <c r="K5" t="s">
        <v>70</v>
      </c>
      <c r="L5" t="s">
        <v>71</v>
      </c>
      <c r="M5" t="s">
        <v>72</v>
      </c>
      <c r="N5" t="s">
        <v>73</v>
      </c>
      <c r="O5" t="s">
        <v>74</v>
      </c>
      <c r="P5" t="s">
        <v>75</v>
      </c>
      <c r="Q5" t="s">
        <v>45</v>
      </c>
      <c r="Z5" s="1" t="s">
        <v>17</v>
      </c>
      <c r="AA5" s="1" t="s">
        <v>3</v>
      </c>
      <c r="AB5" s="1" t="s">
        <v>30</v>
      </c>
      <c r="AC5" t="s">
        <v>68</v>
      </c>
      <c r="AD5" t="s">
        <v>70</v>
      </c>
      <c r="AE5" t="s">
        <v>71</v>
      </c>
      <c r="AF5" t="s">
        <v>72</v>
      </c>
      <c r="AG5" t="s">
        <v>73</v>
      </c>
      <c r="AH5" t="s">
        <v>74</v>
      </c>
      <c r="AI5" t="s">
        <v>75</v>
      </c>
      <c r="AJ5" t="s">
        <v>45</v>
      </c>
    </row>
    <row r="6" spans="1:36" x14ac:dyDescent="0.25">
      <c r="A6" t="s">
        <v>51</v>
      </c>
      <c r="B6" t="s">
        <v>52</v>
      </c>
      <c r="C6" t="s">
        <v>59</v>
      </c>
      <c r="D6">
        <v>4211328480</v>
      </c>
      <c r="E6" t="s">
        <v>157</v>
      </c>
      <c r="F6" t="s">
        <v>56</v>
      </c>
      <c r="G6">
        <v>2600467804</v>
      </c>
      <c r="H6">
        <v>2614</v>
      </c>
      <c r="I6" s="2">
        <v>45937</v>
      </c>
      <c r="J6" s="3"/>
      <c r="K6" s="3"/>
      <c r="L6" s="3"/>
      <c r="M6" s="3"/>
      <c r="N6" s="3">
        <v>30000</v>
      </c>
      <c r="O6" s="3"/>
      <c r="P6" s="3"/>
      <c r="Q6" s="3">
        <v>30000</v>
      </c>
      <c r="S6" s="3"/>
      <c r="Y6" s="3"/>
      <c r="Z6">
        <v>2025</v>
      </c>
      <c r="AA6" t="s">
        <v>81</v>
      </c>
      <c r="AB6" t="s">
        <v>96</v>
      </c>
      <c r="AC6" s="3"/>
      <c r="AD6" s="3"/>
      <c r="AE6" s="3">
        <v>60423.07</v>
      </c>
      <c r="AF6" s="3">
        <v>11415</v>
      </c>
      <c r="AG6" s="3"/>
      <c r="AH6" s="3"/>
      <c r="AI6" s="3"/>
      <c r="AJ6" s="3">
        <v>71838.070000000007</v>
      </c>
    </row>
    <row r="7" spans="1:36" x14ac:dyDescent="0.25">
      <c r="A7" t="s">
        <v>81</v>
      </c>
      <c r="B7" t="s">
        <v>96</v>
      </c>
      <c r="C7" t="s">
        <v>59</v>
      </c>
      <c r="D7">
        <v>4211308820</v>
      </c>
      <c r="E7" t="s">
        <v>130</v>
      </c>
      <c r="F7" t="s">
        <v>56</v>
      </c>
      <c r="G7">
        <v>2600465945</v>
      </c>
      <c r="H7">
        <v>15119</v>
      </c>
      <c r="I7" s="2">
        <v>45880</v>
      </c>
      <c r="J7" s="3"/>
      <c r="K7" s="3"/>
      <c r="L7" s="3">
        <v>5191.5</v>
      </c>
      <c r="M7" s="3"/>
      <c r="N7" s="3"/>
      <c r="O7" s="3"/>
      <c r="P7" s="3"/>
      <c r="Q7" s="3">
        <v>5191.5</v>
      </c>
      <c r="S7" s="3"/>
      <c r="Y7" s="3"/>
      <c r="Z7">
        <v>2025</v>
      </c>
      <c r="AA7" t="s">
        <v>101</v>
      </c>
      <c r="AB7" t="s">
        <v>102</v>
      </c>
      <c r="AC7" s="3"/>
      <c r="AD7" s="3"/>
      <c r="AE7" s="3"/>
      <c r="AF7" s="3"/>
      <c r="AG7" s="3"/>
      <c r="AH7" s="3"/>
      <c r="AI7" s="3">
        <v>131600</v>
      </c>
      <c r="AJ7" s="3">
        <v>131600</v>
      </c>
    </row>
    <row r="8" spans="1:36" x14ac:dyDescent="0.25">
      <c r="A8" t="s">
        <v>81</v>
      </c>
      <c r="B8" t="s">
        <v>96</v>
      </c>
      <c r="C8" t="s">
        <v>59</v>
      </c>
      <c r="D8">
        <v>4211308820</v>
      </c>
      <c r="E8" t="s">
        <v>130</v>
      </c>
      <c r="F8" t="s">
        <v>56</v>
      </c>
      <c r="G8">
        <v>2600465945</v>
      </c>
      <c r="H8">
        <v>15120</v>
      </c>
      <c r="I8" s="2">
        <v>45880</v>
      </c>
      <c r="J8" s="3"/>
      <c r="K8" s="3"/>
      <c r="L8" s="3">
        <v>4831</v>
      </c>
      <c r="M8" s="3"/>
      <c r="N8" s="3"/>
      <c r="O8" s="3"/>
      <c r="P8" s="3"/>
      <c r="Q8" s="3">
        <v>4831</v>
      </c>
      <c r="S8" s="3"/>
      <c r="Y8" s="3"/>
      <c r="Z8">
        <v>2025</v>
      </c>
      <c r="AA8" t="s">
        <v>274</v>
      </c>
      <c r="AB8" t="s">
        <v>273</v>
      </c>
      <c r="AC8" s="3"/>
      <c r="AD8" s="3"/>
      <c r="AE8" s="3"/>
      <c r="AF8" s="3"/>
      <c r="AG8" s="3"/>
      <c r="AH8" s="3"/>
      <c r="AI8" s="3">
        <v>21061.09</v>
      </c>
      <c r="AJ8" s="3">
        <v>21061.09</v>
      </c>
    </row>
    <row r="9" spans="1:36" x14ac:dyDescent="0.25">
      <c r="A9" t="s">
        <v>81</v>
      </c>
      <c r="B9" t="s">
        <v>96</v>
      </c>
      <c r="C9" t="s">
        <v>59</v>
      </c>
      <c r="D9">
        <v>4211308820</v>
      </c>
      <c r="E9" t="s">
        <v>130</v>
      </c>
      <c r="F9" t="s">
        <v>56</v>
      </c>
      <c r="G9">
        <v>2600465945</v>
      </c>
      <c r="H9">
        <v>15125</v>
      </c>
      <c r="I9" s="2">
        <v>45881</v>
      </c>
      <c r="J9" s="3"/>
      <c r="K9" s="3"/>
      <c r="L9" s="3">
        <v>5872</v>
      </c>
      <c r="M9" s="3"/>
      <c r="N9" s="3"/>
      <c r="O9" s="3"/>
      <c r="P9" s="3"/>
      <c r="Q9" s="3">
        <v>5872</v>
      </c>
      <c r="S9" s="3"/>
      <c r="Y9" s="3"/>
      <c r="Z9">
        <v>2025</v>
      </c>
      <c r="AA9" t="s">
        <v>51</v>
      </c>
      <c r="AB9" t="s">
        <v>52</v>
      </c>
      <c r="AC9" s="3"/>
      <c r="AD9" s="3"/>
      <c r="AE9" s="3"/>
      <c r="AF9" s="3"/>
      <c r="AG9" s="3">
        <v>30000</v>
      </c>
      <c r="AH9" s="3"/>
      <c r="AI9" s="3"/>
      <c r="AJ9" s="3">
        <v>30000</v>
      </c>
    </row>
    <row r="10" spans="1:36" x14ac:dyDescent="0.25">
      <c r="A10" t="s">
        <v>81</v>
      </c>
      <c r="B10" t="s">
        <v>96</v>
      </c>
      <c r="C10" t="s">
        <v>59</v>
      </c>
      <c r="D10">
        <v>4211308820</v>
      </c>
      <c r="E10" t="s">
        <v>130</v>
      </c>
      <c r="F10" t="s">
        <v>56</v>
      </c>
      <c r="G10">
        <v>2600465945</v>
      </c>
      <c r="H10">
        <v>15170</v>
      </c>
      <c r="I10" s="2">
        <v>45902</v>
      </c>
      <c r="J10" s="3"/>
      <c r="K10" s="3"/>
      <c r="L10" s="3"/>
      <c r="M10" s="3">
        <v>3938</v>
      </c>
      <c r="N10" s="3"/>
      <c r="O10" s="3"/>
      <c r="P10" s="3"/>
      <c r="Q10" s="3">
        <v>3938</v>
      </c>
      <c r="S10" s="3"/>
      <c r="Y10" s="3"/>
      <c r="Z10">
        <v>2025</v>
      </c>
      <c r="AA10" t="s">
        <v>110</v>
      </c>
      <c r="AB10" t="s">
        <v>111</v>
      </c>
      <c r="AC10" s="3">
        <v>36840</v>
      </c>
      <c r="AD10" s="3">
        <v>36840</v>
      </c>
      <c r="AE10" s="3"/>
      <c r="AF10" s="3">
        <v>83480.56</v>
      </c>
      <c r="AG10" s="3"/>
      <c r="AH10" s="3"/>
      <c r="AI10" s="3"/>
      <c r="AJ10" s="3">
        <v>157160.56</v>
      </c>
    </row>
    <row r="11" spans="1:36" x14ac:dyDescent="0.25">
      <c r="A11" t="s">
        <v>81</v>
      </c>
      <c r="B11" t="s">
        <v>96</v>
      </c>
      <c r="C11" t="s">
        <v>59</v>
      </c>
      <c r="D11">
        <v>4211332869</v>
      </c>
      <c r="E11" t="s">
        <v>137</v>
      </c>
      <c r="F11" t="s">
        <v>56</v>
      </c>
      <c r="G11">
        <v>2600459368</v>
      </c>
      <c r="H11">
        <v>812</v>
      </c>
      <c r="I11" s="2">
        <v>45903</v>
      </c>
      <c r="J11" s="3"/>
      <c r="K11" s="3"/>
      <c r="L11" s="3"/>
      <c r="M11" s="3">
        <v>7477</v>
      </c>
      <c r="N11" s="3"/>
      <c r="O11" s="3"/>
      <c r="P11" s="3"/>
      <c r="Q11" s="3">
        <v>7477</v>
      </c>
      <c r="S11" s="3"/>
      <c r="Y11" s="3"/>
      <c r="Z11">
        <v>2025</v>
      </c>
      <c r="AA11" t="s">
        <v>162</v>
      </c>
      <c r="AB11" t="s">
        <v>174</v>
      </c>
      <c r="AC11" s="3"/>
      <c r="AD11" s="3"/>
      <c r="AE11" s="3"/>
      <c r="AF11" s="3">
        <v>43045.47</v>
      </c>
      <c r="AG11" s="3"/>
      <c r="AH11" s="3">
        <v>28307.040000000001</v>
      </c>
      <c r="AI11" s="3"/>
      <c r="AJ11" s="3">
        <v>71352.510000000009</v>
      </c>
    </row>
    <row r="12" spans="1:36" x14ac:dyDescent="0.25">
      <c r="A12" t="s">
        <v>81</v>
      </c>
      <c r="B12" t="s">
        <v>96</v>
      </c>
      <c r="C12" t="s">
        <v>92</v>
      </c>
      <c r="D12">
        <v>4211315568</v>
      </c>
      <c r="E12" t="s">
        <v>62</v>
      </c>
      <c r="F12" t="s">
        <v>56</v>
      </c>
      <c r="G12">
        <v>9001631471</v>
      </c>
      <c r="H12">
        <v>134698</v>
      </c>
      <c r="I12" s="2">
        <v>45880</v>
      </c>
      <c r="J12" s="3"/>
      <c r="K12" s="3"/>
      <c r="L12" s="3">
        <v>44528.57</v>
      </c>
      <c r="M12" s="3"/>
      <c r="N12" s="3"/>
      <c r="O12" s="3"/>
      <c r="P12" s="3"/>
      <c r="Q12" s="3">
        <v>44528.57</v>
      </c>
      <c r="S12" s="3"/>
      <c r="Y12" s="3"/>
      <c r="Z12">
        <v>2025</v>
      </c>
      <c r="AA12" t="s">
        <v>211</v>
      </c>
      <c r="AB12" t="s">
        <v>213</v>
      </c>
      <c r="AC12" s="3"/>
      <c r="AD12" s="3"/>
      <c r="AE12" s="3">
        <v>226525.23</v>
      </c>
      <c r="AF12" s="3"/>
      <c r="AG12" s="3"/>
      <c r="AH12" s="3"/>
      <c r="AI12" s="3"/>
      <c r="AJ12" s="3">
        <v>226525.23</v>
      </c>
    </row>
    <row r="13" spans="1:36" x14ac:dyDescent="0.25">
      <c r="A13" t="s">
        <v>101</v>
      </c>
      <c r="B13" t="s">
        <v>102</v>
      </c>
      <c r="C13" t="s">
        <v>59</v>
      </c>
      <c r="D13">
        <v>4211332094</v>
      </c>
      <c r="E13" t="s">
        <v>255</v>
      </c>
      <c r="F13" t="s">
        <v>268</v>
      </c>
      <c r="G13">
        <v>9001644807</v>
      </c>
      <c r="H13">
        <v>1469</v>
      </c>
      <c r="I13" s="2">
        <v>45999</v>
      </c>
      <c r="J13" s="3"/>
      <c r="K13" s="3"/>
      <c r="L13" s="3"/>
      <c r="M13" s="3"/>
      <c r="N13" s="3"/>
      <c r="O13" s="3"/>
      <c r="P13" s="3">
        <v>131600</v>
      </c>
      <c r="Q13" s="3">
        <v>131600</v>
      </c>
      <c r="S13" s="3"/>
      <c r="Y13" s="3"/>
      <c r="Z13">
        <v>2025</v>
      </c>
      <c r="AA13" t="s">
        <v>222</v>
      </c>
      <c r="AC13" s="3"/>
      <c r="AD13" s="3"/>
      <c r="AE13" s="3"/>
      <c r="AF13" s="3"/>
      <c r="AG13" s="3"/>
      <c r="AH13" s="3">
        <v>530189.4</v>
      </c>
      <c r="AI13" s="3"/>
      <c r="AJ13" s="3">
        <v>530189.4</v>
      </c>
    </row>
    <row r="14" spans="1:36" x14ac:dyDescent="0.25">
      <c r="A14" t="s">
        <v>274</v>
      </c>
      <c r="B14" t="s">
        <v>273</v>
      </c>
      <c r="C14" t="s">
        <v>275</v>
      </c>
      <c r="D14">
        <v>4211332535</v>
      </c>
      <c r="E14" t="s">
        <v>272</v>
      </c>
      <c r="F14" t="s">
        <v>55</v>
      </c>
      <c r="G14">
        <v>9001695678</v>
      </c>
      <c r="H14">
        <v>27232</v>
      </c>
      <c r="I14" s="2">
        <v>46000</v>
      </c>
      <c r="J14" s="3"/>
      <c r="K14" s="3"/>
      <c r="L14" s="3"/>
      <c r="M14" s="3"/>
      <c r="N14" s="3"/>
      <c r="O14" s="3"/>
      <c r="P14" s="3">
        <v>5945.25</v>
      </c>
      <c r="Q14" s="3">
        <v>5945.25</v>
      </c>
      <c r="S14" s="3"/>
      <c r="Y14" s="3"/>
      <c r="Z14">
        <v>2025</v>
      </c>
      <c r="AA14" t="s">
        <v>298</v>
      </c>
      <c r="AC14" s="3"/>
      <c r="AD14" s="3"/>
      <c r="AE14" s="3"/>
      <c r="AF14" s="3"/>
      <c r="AG14" s="3"/>
      <c r="AH14" s="3"/>
      <c r="AI14" s="3">
        <v>67082.240000000005</v>
      </c>
      <c r="AJ14" s="3">
        <v>67082.240000000005</v>
      </c>
    </row>
    <row r="15" spans="1:36" x14ac:dyDescent="0.25">
      <c r="A15" t="s">
        <v>274</v>
      </c>
      <c r="B15" t="s">
        <v>273</v>
      </c>
      <c r="C15" t="s">
        <v>275</v>
      </c>
      <c r="D15">
        <v>4211332535</v>
      </c>
      <c r="E15" t="s">
        <v>272</v>
      </c>
      <c r="F15" t="s">
        <v>55</v>
      </c>
      <c r="G15">
        <v>9001695710</v>
      </c>
      <c r="H15">
        <v>27231</v>
      </c>
      <c r="I15" s="2">
        <v>46000</v>
      </c>
      <c r="J15" s="3"/>
      <c r="K15" s="3"/>
      <c r="L15" s="3"/>
      <c r="M15" s="3"/>
      <c r="N15" s="3"/>
      <c r="O15" s="3"/>
      <c r="P15" s="3">
        <v>4755.8100000000004</v>
      </c>
      <c r="Q15" s="3">
        <v>4755.8100000000004</v>
      </c>
      <c r="S15" s="3"/>
      <c r="Y15" s="3"/>
      <c r="Z15" t="s">
        <v>45</v>
      </c>
      <c r="AC15" s="3">
        <v>36840</v>
      </c>
      <c r="AD15" s="3">
        <v>36840</v>
      </c>
      <c r="AE15" s="3">
        <v>286948.3</v>
      </c>
      <c r="AF15" s="3">
        <v>137941.03</v>
      </c>
      <c r="AG15" s="3">
        <v>30000</v>
      </c>
      <c r="AH15" s="3">
        <v>558496.44000000006</v>
      </c>
      <c r="AI15" s="3">
        <v>219743.33000000002</v>
      </c>
      <c r="AJ15" s="3">
        <v>1306809.0999999999</v>
      </c>
    </row>
    <row r="16" spans="1:36" x14ac:dyDescent="0.25">
      <c r="A16" t="s">
        <v>274</v>
      </c>
      <c r="B16" t="s">
        <v>273</v>
      </c>
      <c r="C16" t="s">
        <v>275</v>
      </c>
      <c r="D16">
        <v>4211315715</v>
      </c>
      <c r="E16" t="s">
        <v>293</v>
      </c>
      <c r="F16" t="s">
        <v>55</v>
      </c>
      <c r="G16">
        <v>9001691906</v>
      </c>
      <c r="H16">
        <v>89294</v>
      </c>
      <c r="I16" s="2">
        <v>45992</v>
      </c>
      <c r="J16" s="3"/>
      <c r="K16" s="3"/>
      <c r="L16" s="3"/>
      <c r="M16" s="3"/>
      <c r="N16" s="3"/>
      <c r="O16" s="3"/>
      <c r="P16" s="3">
        <v>10360.030000000001</v>
      </c>
      <c r="Q16" s="3">
        <v>10360.030000000001</v>
      </c>
      <c r="S16" s="3"/>
      <c r="Y16" s="3"/>
    </row>
    <row r="17" spans="1:25" x14ac:dyDescent="0.25">
      <c r="A17" t="s">
        <v>110</v>
      </c>
      <c r="B17" t="s">
        <v>111</v>
      </c>
      <c r="C17" t="s">
        <v>112</v>
      </c>
      <c r="D17">
        <v>4211331860</v>
      </c>
      <c r="E17" t="s">
        <v>109</v>
      </c>
      <c r="F17" t="s">
        <v>55</v>
      </c>
      <c r="G17">
        <v>9001648762</v>
      </c>
      <c r="H17">
        <v>15904</v>
      </c>
      <c r="I17" s="2">
        <v>45790</v>
      </c>
      <c r="J17" s="3">
        <v>36840</v>
      </c>
      <c r="K17" s="3"/>
      <c r="L17" s="3"/>
      <c r="M17" s="3"/>
      <c r="N17" s="3"/>
      <c r="O17" s="3"/>
      <c r="P17" s="3"/>
      <c r="Q17" s="3">
        <v>36840</v>
      </c>
      <c r="S17" s="3"/>
      <c r="Y17" s="3"/>
    </row>
    <row r="18" spans="1:25" x14ac:dyDescent="0.25">
      <c r="A18" t="s">
        <v>110</v>
      </c>
      <c r="B18" t="s">
        <v>111</v>
      </c>
      <c r="C18" t="s">
        <v>112</v>
      </c>
      <c r="D18">
        <v>4211331860</v>
      </c>
      <c r="E18" t="s">
        <v>109</v>
      </c>
      <c r="F18" t="s">
        <v>55</v>
      </c>
      <c r="G18">
        <v>9001657788</v>
      </c>
      <c r="H18">
        <v>15933</v>
      </c>
      <c r="I18" s="2">
        <v>45853</v>
      </c>
      <c r="J18" s="3"/>
      <c r="K18" s="3">
        <v>36840</v>
      </c>
      <c r="L18" s="3"/>
      <c r="M18" s="3"/>
      <c r="N18" s="3"/>
      <c r="O18" s="3"/>
      <c r="P18" s="3"/>
      <c r="Q18" s="3">
        <v>36840</v>
      </c>
      <c r="S18" s="3"/>
      <c r="Y18" s="3"/>
    </row>
    <row r="19" spans="1:25" x14ac:dyDescent="0.25">
      <c r="A19" t="s">
        <v>110</v>
      </c>
      <c r="B19" t="s">
        <v>111</v>
      </c>
      <c r="C19" t="s">
        <v>112</v>
      </c>
      <c r="D19">
        <v>4211333268</v>
      </c>
      <c r="E19" t="s">
        <v>124</v>
      </c>
      <c r="F19" t="s">
        <v>148</v>
      </c>
      <c r="G19">
        <v>9001678942</v>
      </c>
      <c r="H19">
        <v>14019</v>
      </c>
      <c r="I19" s="2">
        <v>45923</v>
      </c>
      <c r="J19" s="3"/>
      <c r="K19" s="3"/>
      <c r="L19" s="3"/>
      <c r="M19" s="3">
        <v>83480.56</v>
      </c>
      <c r="N19" s="3"/>
      <c r="O19" s="3"/>
      <c r="P19" s="3"/>
      <c r="Q19" s="3">
        <v>83480.56</v>
      </c>
      <c r="S19" s="3"/>
      <c r="Y19" s="3"/>
    </row>
    <row r="20" spans="1:25" x14ac:dyDescent="0.25">
      <c r="A20" t="s">
        <v>162</v>
      </c>
      <c r="B20" t="s">
        <v>174</v>
      </c>
      <c r="C20" t="s">
        <v>163</v>
      </c>
      <c r="D20">
        <v>4211327021</v>
      </c>
      <c r="E20" t="s">
        <v>160</v>
      </c>
      <c r="F20" t="s">
        <v>55</v>
      </c>
      <c r="G20">
        <v>9001680161</v>
      </c>
      <c r="H20">
        <v>24626</v>
      </c>
      <c r="I20" s="2">
        <v>45925</v>
      </c>
      <c r="J20" s="3"/>
      <c r="K20" s="3"/>
      <c r="L20" s="3"/>
      <c r="M20" s="3">
        <v>43045.47</v>
      </c>
      <c r="N20" s="3"/>
      <c r="O20" s="3"/>
      <c r="P20" s="3"/>
      <c r="Q20" s="3">
        <v>43045.47</v>
      </c>
      <c r="S20" s="3"/>
      <c r="Y20" s="3"/>
    </row>
    <row r="21" spans="1:25" x14ac:dyDescent="0.25">
      <c r="A21" t="s">
        <v>162</v>
      </c>
      <c r="B21" t="s">
        <v>174</v>
      </c>
      <c r="C21" t="s">
        <v>163</v>
      </c>
      <c r="D21">
        <v>4211327021</v>
      </c>
      <c r="E21" t="s">
        <v>160</v>
      </c>
      <c r="F21" t="s">
        <v>55</v>
      </c>
      <c r="G21">
        <v>9001686374</v>
      </c>
      <c r="H21">
        <v>24813</v>
      </c>
      <c r="I21" s="2">
        <v>45964</v>
      </c>
      <c r="J21" s="3"/>
      <c r="K21" s="3"/>
      <c r="L21" s="3"/>
      <c r="M21" s="3"/>
      <c r="N21" s="3"/>
      <c r="O21" s="3">
        <v>28307.040000000001</v>
      </c>
      <c r="P21" s="3"/>
      <c r="Q21" s="3">
        <v>28307.040000000001</v>
      </c>
      <c r="S21" s="3"/>
      <c r="Y21" s="3"/>
    </row>
    <row r="22" spans="1:25" x14ac:dyDescent="0.25">
      <c r="A22" t="s">
        <v>211</v>
      </c>
      <c r="B22" t="s">
        <v>213</v>
      </c>
      <c r="C22" t="s">
        <v>92</v>
      </c>
      <c r="D22">
        <v>4211330448</v>
      </c>
      <c r="E22" t="s">
        <v>209</v>
      </c>
      <c r="F22" t="s">
        <v>55</v>
      </c>
      <c r="G22">
        <v>9001674040</v>
      </c>
      <c r="H22">
        <v>102549</v>
      </c>
      <c r="I22" s="2">
        <v>45894</v>
      </c>
      <c r="J22" s="3"/>
      <c r="K22" s="3"/>
      <c r="L22" s="3">
        <v>226525.23</v>
      </c>
      <c r="M22" s="3"/>
      <c r="N22" s="3"/>
      <c r="O22" s="3"/>
      <c r="P22" s="3"/>
      <c r="Q22" s="3">
        <v>226525.23</v>
      </c>
      <c r="S22" s="3"/>
      <c r="Y22" s="3"/>
    </row>
    <row r="23" spans="1:25" x14ac:dyDescent="0.25">
      <c r="A23" t="s">
        <v>222</v>
      </c>
      <c r="B23" t="s">
        <v>1</v>
      </c>
      <c r="C23" t="s">
        <v>1</v>
      </c>
      <c r="D23">
        <v>4211333268</v>
      </c>
      <c r="E23" t="s">
        <v>124</v>
      </c>
      <c r="F23" t="s">
        <v>148</v>
      </c>
      <c r="G23">
        <v>9001689738</v>
      </c>
      <c r="H23">
        <v>14351</v>
      </c>
      <c r="I23" s="2">
        <v>45978</v>
      </c>
      <c r="J23" s="3"/>
      <c r="K23" s="3"/>
      <c r="L23" s="3"/>
      <c r="M23" s="3"/>
      <c r="N23" s="3"/>
      <c r="O23" s="3">
        <v>265094.7</v>
      </c>
      <c r="P23" s="3"/>
      <c r="Q23" s="3">
        <v>265094.7</v>
      </c>
      <c r="S23" s="3"/>
      <c r="Y23" s="3"/>
    </row>
    <row r="24" spans="1:25" x14ac:dyDescent="0.25">
      <c r="A24" t="s">
        <v>222</v>
      </c>
      <c r="D24">
        <v>4211333268</v>
      </c>
      <c r="E24" t="s">
        <v>124</v>
      </c>
      <c r="F24" t="s">
        <v>148</v>
      </c>
      <c r="G24">
        <v>9001689739</v>
      </c>
      <c r="H24">
        <v>14354</v>
      </c>
      <c r="I24" s="2">
        <v>45978</v>
      </c>
      <c r="J24" s="3"/>
      <c r="K24" s="3"/>
      <c r="L24" s="3"/>
      <c r="M24" s="3"/>
      <c r="N24" s="3"/>
      <c r="O24" s="3">
        <v>265094.7</v>
      </c>
      <c r="P24" s="3"/>
      <c r="Q24" s="3">
        <v>265094.7</v>
      </c>
      <c r="S24" s="3"/>
      <c r="Y24" s="3"/>
    </row>
    <row r="25" spans="1:25" x14ac:dyDescent="0.25">
      <c r="A25" t="s">
        <v>298</v>
      </c>
      <c r="B25" t="s">
        <v>1</v>
      </c>
      <c r="C25" t="s">
        <v>112</v>
      </c>
      <c r="D25">
        <v>4211325624</v>
      </c>
      <c r="E25" t="s">
        <v>296</v>
      </c>
      <c r="F25" t="s">
        <v>148</v>
      </c>
      <c r="G25">
        <v>2600470313</v>
      </c>
      <c r="H25">
        <v>69940</v>
      </c>
      <c r="I25" s="2">
        <v>46003</v>
      </c>
      <c r="J25" s="3"/>
      <c r="K25" s="3"/>
      <c r="L25" s="3"/>
      <c r="M25" s="3"/>
      <c r="N25" s="3"/>
      <c r="O25" s="3"/>
      <c r="P25" s="3">
        <v>67082.240000000005</v>
      </c>
      <c r="Q25" s="3">
        <v>67082.240000000005</v>
      </c>
      <c r="S25" s="3"/>
      <c r="Y25" s="3"/>
    </row>
    <row r="26" spans="1:25" x14ac:dyDescent="0.25">
      <c r="A26" t="s">
        <v>45</v>
      </c>
      <c r="J26" s="3">
        <v>36840</v>
      </c>
      <c r="K26" s="3">
        <v>36840</v>
      </c>
      <c r="L26" s="3">
        <v>286948.3</v>
      </c>
      <c r="M26" s="3">
        <v>137941.03</v>
      </c>
      <c r="N26" s="3">
        <v>30000</v>
      </c>
      <c r="O26" s="3">
        <v>558496.43999999994</v>
      </c>
      <c r="P26" s="3">
        <v>219743.33000000002</v>
      </c>
      <c r="Q26" s="3">
        <v>1306809.1000000001</v>
      </c>
      <c r="S26" s="3"/>
      <c r="Y26" s="3"/>
    </row>
    <row r="27" spans="1:25" x14ac:dyDescent="0.25">
      <c r="S27" s="3"/>
      <c r="Y27" s="3"/>
    </row>
    <row r="28" spans="1:25" x14ac:dyDescent="0.25">
      <c r="S28" s="3"/>
      <c r="Y28" s="3"/>
    </row>
    <row r="29" spans="1:25" x14ac:dyDescent="0.25">
      <c r="S29" s="3"/>
      <c r="Y29" s="3"/>
    </row>
    <row r="30" spans="1:25" x14ac:dyDescent="0.25">
      <c r="S30" s="3"/>
      <c r="Y30" s="3"/>
    </row>
    <row r="31" spans="1:25" x14ac:dyDescent="0.25">
      <c r="S31" s="3"/>
      <c r="Y31" s="3"/>
    </row>
    <row r="32" spans="1:25" x14ac:dyDescent="0.25">
      <c r="S32" s="3"/>
      <c r="Y32" s="3"/>
    </row>
    <row r="33" spans="19:25" x14ac:dyDescent="0.25">
      <c r="S33" s="3"/>
      <c r="Y33" s="3"/>
    </row>
    <row r="34" spans="19:25" x14ac:dyDescent="0.25">
      <c r="S34" s="3"/>
      <c r="Y34" s="3"/>
    </row>
    <row r="35" spans="19:25" x14ac:dyDescent="0.25">
      <c r="S35" s="3"/>
      <c r="Y35" s="3"/>
    </row>
    <row r="36" spans="19:25" x14ac:dyDescent="0.25">
      <c r="S36" s="3"/>
      <c r="Y36" s="3"/>
    </row>
    <row r="37" spans="19:25" x14ac:dyDescent="0.25">
      <c r="S37" s="3"/>
      <c r="Y37" s="3"/>
    </row>
    <row r="38" spans="19:25" x14ac:dyDescent="0.25">
      <c r="S38" s="3"/>
      <c r="Y38" s="3"/>
    </row>
    <row r="39" spans="19:25" x14ac:dyDescent="0.25">
      <c r="S39" s="3"/>
      <c r="Y39" s="3"/>
    </row>
    <row r="40" spans="19:25" x14ac:dyDescent="0.25">
      <c r="S40" s="3"/>
      <c r="Y40" s="3"/>
    </row>
    <row r="41" spans="19:25" x14ac:dyDescent="0.25">
      <c r="S41" s="3"/>
      <c r="Y41" s="3"/>
    </row>
    <row r="42" spans="19:25" x14ac:dyDescent="0.25">
      <c r="Y42" s="3"/>
    </row>
    <row r="43" spans="19:25" x14ac:dyDescent="0.25">
      <c r="Y43" s="3"/>
    </row>
    <row r="44" spans="19:25" x14ac:dyDescent="0.25">
      <c r="Y44" s="3"/>
    </row>
    <row r="45" spans="19:25" x14ac:dyDescent="0.25">
      <c r="Y45" s="3"/>
    </row>
    <row r="46" spans="19:25" x14ac:dyDescent="0.25">
      <c r="Y46" s="3"/>
    </row>
    <row r="47" spans="19:25" x14ac:dyDescent="0.25">
      <c r="Y47" s="3"/>
    </row>
    <row r="48" spans="19:25" x14ac:dyDescent="0.25">
      <c r="Y48" s="3"/>
    </row>
    <row r="49" spans="25:25" x14ac:dyDescent="0.25">
      <c r="Y49" s="3"/>
    </row>
    <row r="50" spans="25:25" x14ac:dyDescent="0.25">
      <c r="Y50" s="3"/>
    </row>
    <row r="51" spans="25:25" x14ac:dyDescent="0.25">
      <c r="Y51" s="3"/>
    </row>
    <row r="52" spans="25:25" x14ac:dyDescent="0.25">
      <c r="Y52" s="3"/>
    </row>
    <row r="53" spans="25:25" x14ac:dyDescent="0.25">
      <c r="Y53" s="3"/>
    </row>
    <row r="54" spans="25:25" x14ac:dyDescent="0.25">
      <c r="Y54" s="3"/>
    </row>
    <row r="55" spans="25:25" x14ac:dyDescent="0.25">
      <c r="Y55" s="3"/>
    </row>
    <row r="56" spans="25:25" x14ac:dyDescent="0.25">
      <c r="Y56" s="3"/>
    </row>
    <row r="57" spans="25:25" x14ac:dyDescent="0.25">
      <c r="Y57" s="3"/>
    </row>
    <row r="58" spans="25:25" x14ac:dyDescent="0.25">
      <c r="Y58" s="3"/>
    </row>
    <row r="59" spans="25:25" x14ac:dyDescent="0.25">
      <c r="Y59" s="3"/>
    </row>
    <row r="60" spans="25:25" x14ac:dyDescent="0.25">
      <c r="Y60" s="3"/>
    </row>
    <row r="61" spans="25:25" x14ac:dyDescent="0.25">
      <c r="Y61" s="3"/>
    </row>
    <row r="62" spans="25:25" x14ac:dyDescent="0.25">
      <c r="Y62" s="3"/>
    </row>
    <row r="63" spans="25:25" x14ac:dyDescent="0.25">
      <c r="Y63" s="3"/>
    </row>
    <row r="64" spans="25:25" x14ac:dyDescent="0.25">
      <c r="Y64" s="3"/>
    </row>
    <row r="65" spans="25:25" x14ac:dyDescent="0.25">
      <c r="Y65" s="3"/>
    </row>
    <row r="66" spans="25:25" x14ac:dyDescent="0.25">
      <c r="Y66" s="3"/>
    </row>
    <row r="67" spans="25:25" x14ac:dyDescent="0.25">
      <c r="Y67" s="3"/>
    </row>
    <row r="68" spans="25:25" x14ac:dyDescent="0.25">
      <c r="Y68" s="3"/>
    </row>
    <row r="69" spans="25:25" x14ac:dyDescent="0.25">
      <c r="Y69" s="3"/>
    </row>
    <row r="70" spans="25:25" x14ac:dyDescent="0.25">
      <c r="Y70" s="3"/>
    </row>
    <row r="71" spans="25:25" x14ac:dyDescent="0.25">
      <c r="Y71" s="3"/>
    </row>
    <row r="72" spans="25:25" x14ac:dyDescent="0.25">
      <c r="Y72" s="3"/>
    </row>
    <row r="73" spans="25:25" x14ac:dyDescent="0.25">
      <c r="Y73" s="3"/>
    </row>
    <row r="74" spans="25:25" x14ac:dyDescent="0.25">
      <c r="Y74" s="3"/>
    </row>
    <row r="75" spans="25:25" x14ac:dyDescent="0.25">
      <c r="Y75" s="3"/>
    </row>
    <row r="76" spans="25:25" x14ac:dyDescent="0.25">
      <c r="Y76" s="3"/>
    </row>
    <row r="77" spans="25:25" x14ac:dyDescent="0.25">
      <c r="Y77" s="3"/>
    </row>
    <row r="78" spans="25:25" x14ac:dyDescent="0.25">
      <c r="Y78" s="3"/>
    </row>
    <row r="79" spans="25:25" x14ac:dyDescent="0.25">
      <c r="Y79" s="3"/>
    </row>
    <row r="80" spans="25:25" x14ac:dyDescent="0.25">
      <c r="Y80" s="3"/>
    </row>
    <row r="81" spans="25:25" x14ac:dyDescent="0.25">
      <c r="Y81" s="3"/>
    </row>
    <row r="82" spans="25:25" x14ac:dyDescent="0.25">
      <c r="Y82" s="3"/>
    </row>
    <row r="83" spans="25:25" x14ac:dyDescent="0.25">
      <c r="Y83" s="3"/>
    </row>
    <row r="84" spans="25:25" x14ac:dyDescent="0.25">
      <c r="Y84" s="3"/>
    </row>
    <row r="85" spans="25:25" x14ac:dyDescent="0.25">
      <c r="Y85" s="3"/>
    </row>
    <row r="86" spans="25:25" x14ac:dyDescent="0.25">
      <c r="Y86" s="3"/>
    </row>
    <row r="87" spans="25:25" x14ac:dyDescent="0.25">
      <c r="Y87" s="3"/>
    </row>
    <row r="88" spans="25:25" x14ac:dyDescent="0.25">
      <c r="Y88" s="3"/>
    </row>
    <row r="89" spans="25:25" x14ac:dyDescent="0.25">
      <c r="Y89" s="3"/>
    </row>
    <row r="90" spans="25:25" x14ac:dyDescent="0.25">
      <c r="Y90" s="3"/>
    </row>
    <row r="91" spans="25:25" x14ac:dyDescent="0.25">
      <c r="Y91" s="3"/>
    </row>
    <row r="92" spans="25:25" x14ac:dyDescent="0.25">
      <c r="Y92" s="3"/>
    </row>
    <row r="93" spans="25:25" x14ac:dyDescent="0.25">
      <c r="Y93" s="3"/>
    </row>
    <row r="94" spans="25:25" x14ac:dyDescent="0.25">
      <c r="Y94" s="3"/>
    </row>
    <row r="95" spans="25:25" x14ac:dyDescent="0.25">
      <c r="Y95" s="3"/>
    </row>
    <row r="96" spans="25:25" x14ac:dyDescent="0.25">
      <c r="Y96" s="3"/>
    </row>
    <row r="97" spans="24:25" x14ac:dyDescent="0.25">
      <c r="Y97" s="3"/>
    </row>
    <row r="98" spans="24:25" x14ac:dyDescent="0.25">
      <c r="Y98" s="3"/>
    </row>
    <row r="99" spans="24:25" x14ac:dyDescent="0.25">
      <c r="Y99" s="3"/>
    </row>
    <row r="100" spans="24:25" x14ac:dyDescent="0.25">
      <c r="Y100" s="3"/>
    </row>
    <row r="101" spans="24:25" x14ac:dyDescent="0.25">
      <c r="X101" s="3"/>
      <c r="Y101" s="3"/>
    </row>
    <row r="102" spans="24:25" x14ac:dyDescent="0.25">
      <c r="X102" s="3"/>
      <c r="Y102" s="3"/>
    </row>
  </sheetData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1:B23"/>
  <sheetViews>
    <sheetView showGridLines="0" zoomScale="90" zoomScaleNormal="90" workbookViewId="0">
      <selection activeCell="A14" sqref="A14"/>
    </sheetView>
  </sheetViews>
  <sheetFormatPr defaultColWidth="18.5546875" defaultRowHeight="13.2" x14ac:dyDescent="0.25"/>
  <cols>
    <col min="1" max="1" width="13.21875" bestFit="1" customWidth="1"/>
    <col min="2" max="2" width="25.5546875" bestFit="1" customWidth="1"/>
    <col min="3" max="5" width="27.21875" bestFit="1" customWidth="1"/>
    <col min="6" max="7" width="11.21875" bestFit="1" customWidth="1"/>
    <col min="8" max="8" width="11.77734375" bestFit="1" customWidth="1"/>
    <col min="9" max="10" width="9.77734375" bestFit="1" customWidth="1"/>
    <col min="11" max="11" width="11.77734375" bestFit="1" customWidth="1"/>
    <col min="12" max="12" width="9.77734375" bestFit="1" customWidth="1"/>
    <col min="13" max="13" width="11.77734375" bestFit="1" customWidth="1"/>
  </cols>
  <sheetData>
    <row r="1" spans="1:2" x14ac:dyDescent="0.25">
      <c r="A1" s="1" t="s">
        <v>39</v>
      </c>
      <c r="B1" t="s">
        <v>63</v>
      </c>
    </row>
    <row r="2" spans="1:2" x14ac:dyDescent="0.25">
      <c r="A2" s="1" t="s">
        <v>4</v>
      </c>
      <c r="B2" t="s">
        <v>2</v>
      </c>
    </row>
    <row r="4" spans="1:2" x14ac:dyDescent="0.25">
      <c r="A4" s="1" t="s">
        <v>30</v>
      </c>
    </row>
    <row r="5" spans="1:2" x14ac:dyDescent="0.25">
      <c r="A5" t="s">
        <v>52</v>
      </c>
    </row>
    <row r="6" spans="1:2" x14ac:dyDescent="0.25">
      <c r="A6" t="s">
        <v>213</v>
      </c>
    </row>
    <row r="7" spans="1:2" x14ac:dyDescent="0.25">
      <c r="A7" t="s">
        <v>104</v>
      </c>
    </row>
    <row r="8" spans="1:2" x14ac:dyDescent="0.25">
      <c r="A8" t="s">
        <v>61</v>
      </c>
    </row>
    <row r="9" spans="1:2" x14ac:dyDescent="0.25">
      <c r="A9" t="s">
        <v>132</v>
      </c>
    </row>
    <row r="10" spans="1:2" x14ac:dyDescent="0.25">
      <c r="A10" t="s">
        <v>117</v>
      </c>
    </row>
    <row r="11" spans="1:2" x14ac:dyDescent="0.25">
      <c r="A11" t="s">
        <v>171</v>
      </c>
    </row>
    <row r="12" spans="1:2" x14ac:dyDescent="0.25">
      <c r="A12" t="s">
        <v>315</v>
      </c>
    </row>
    <row r="13" spans="1:2" x14ac:dyDescent="0.25">
      <c r="A13" t="s">
        <v>96</v>
      </c>
    </row>
    <row r="14" spans="1:2" x14ac:dyDescent="0.25">
      <c r="A14" t="s">
        <v>134</v>
      </c>
    </row>
    <row r="15" spans="1:2" x14ac:dyDescent="0.25">
      <c r="A15" t="s">
        <v>111</v>
      </c>
    </row>
    <row r="16" spans="1:2" x14ac:dyDescent="0.25">
      <c r="A16" t="s">
        <v>155</v>
      </c>
    </row>
    <row r="17" spans="1:1" x14ac:dyDescent="0.25">
      <c r="A17" t="s">
        <v>289</v>
      </c>
    </row>
    <row r="18" spans="1:1" x14ac:dyDescent="0.25">
      <c r="A18" t="s">
        <v>102</v>
      </c>
    </row>
    <row r="19" spans="1:1" x14ac:dyDescent="0.25">
      <c r="A19" t="s">
        <v>182</v>
      </c>
    </row>
    <row r="20" spans="1:1" x14ac:dyDescent="0.25">
      <c r="A20" t="s">
        <v>230</v>
      </c>
    </row>
    <row r="21" spans="1:1" x14ac:dyDescent="0.25">
      <c r="A21" t="s">
        <v>145</v>
      </c>
    </row>
    <row r="22" spans="1:1" x14ac:dyDescent="0.25">
      <c r="A22" t="s">
        <v>192</v>
      </c>
    </row>
    <row r="23" spans="1:1" x14ac:dyDescent="0.25">
      <c r="A23" t="s">
        <v>217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4"/>
  <sheetViews>
    <sheetView showGridLines="0" showRowColHeaders="0" workbookViewId="0">
      <selection activeCell="A4" sqref="A4"/>
    </sheetView>
  </sheetViews>
  <sheetFormatPr defaultRowHeight="13.2" x14ac:dyDescent="0.25"/>
  <cols>
    <col min="1" max="1" width="24.44140625" bestFit="1" customWidth="1"/>
  </cols>
  <sheetData>
    <row r="1" spans="1:1" x14ac:dyDescent="0.25">
      <c r="A1" s="7" t="s">
        <v>86</v>
      </c>
    </row>
    <row r="2" spans="1:1" x14ac:dyDescent="0.25">
      <c r="A2" s="8" t="s">
        <v>85</v>
      </c>
    </row>
    <row r="3" spans="1:1" x14ac:dyDescent="0.25">
      <c r="A3" s="8" t="s">
        <v>152</v>
      </c>
    </row>
    <row r="4" spans="1:1" x14ac:dyDescent="0.25">
      <c r="A4" s="8" t="s">
        <v>227</v>
      </c>
    </row>
  </sheetData>
  <hyperlinks>
    <hyperlink ref="A2" r:id="rId1" xr:uid="{00000000-0004-0000-0400-000000000000}"/>
    <hyperlink ref="A3" r:id="rId2" xr:uid="{00000000-0004-0000-0400-000001000000}"/>
    <hyperlink ref="A4" r:id="rId3" display="mailto:marco.honorato@pirelli.com" xr:uid="{E7147EE2-E5AD-4BB6-BDB0-3ABD9B9F54D0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E13"/>
  <sheetViews>
    <sheetView showGridLines="0" workbookViewId="0">
      <selection activeCell="F13" sqref="F13"/>
    </sheetView>
  </sheetViews>
  <sheetFormatPr defaultRowHeight="13.2" x14ac:dyDescent="0.25"/>
  <sheetData>
    <row r="2" spans="1:5" x14ac:dyDescent="0.25">
      <c r="A2">
        <v>1</v>
      </c>
      <c r="B2" t="s">
        <v>64</v>
      </c>
    </row>
    <row r="3" spans="1:5" x14ac:dyDescent="0.25">
      <c r="A3">
        <v>2</v>
      </c>
      <c r="B3" t="s">
        <v>65</v>
      </c>
      <c r="D3" t="s">
        <v>77</v>
      </c>
      <c r="E3" t="s">
        <v>79</v>
      </c>
    </row>
    <row r="4" spans="1:5" x14ac:dyDescent="0.25">
      <c r="A4">
        <v>3</v>
      </c>
      <c r="B4" t="s">
        <v>66</v>
      </c>
      <c r="D4" t="s">
        <v>76</v>
      </c>
      <c r="E4" t="s">
        <v>79</v>
      </c>
    </row>
    <row r="5" spans="1:5" x14ac:dyDescent="0.25">
      <c r="A5">
        <v>4</v>
      </c>
      <c r="B5" t="s">
        <v>67</v>
      </c>
      <c r="D5" t="s">
        <v>78</v>
      </c>
      <c r="E5" t="s">
        <v>79</v>
      </c>
    </row>
    <row r="6" spans="1:5" x14ac:dyDescent="0.25">
      <c r="A6">
        <v>5</v>
      </c>
      <c r="B6" t="s">
        <v>68</v>
      </c>
    </row>
    <row r="7" spans="1:5" x14ac:dyDescent="0.25">
      <c r="A7">
        <v>6</v>
      </c>
      <c r="B7" t="s">
        <v>69</v>
      </c>
    </row>
    <row r="8" spans="1:5" x14ac:dyDescent="0.25">
      <c r="A8">
        <v>7</v>
      </c>
      <c r="B8" t="s">
        <v>70</v>
      </c>
    </row>
    <row r="9" spans="1:5" x14ac:dyDescent="0.25">
      <c r="A9">
        <v>8</v>
      </c>
      <c r="B9" t="s">
        <v>71</v>
      </c>
    </row>
    <row r="10" spans="1:5" x14ac:dyDescent="0.25">
      <c r="A10">
        <v>9</v>
      </c>
      <c r="B10" t="s">
        <v>72</v>
      </c>
    </row>
    <row r="11" spans="1:5" x14ac:dyDescent="0.25">
      <c r="A11">
        <v>10</v>
      </c>
      <c r="B11" t="s">
        <v>73</v>
      </c>
    </row>
    <row r="12" spans="1:5" x14ac:dyDescent="0.25">
      <c r="A12">
        <v>11</v>
      </c>
      <c r="B12" t="s">
        <v>74</v>
      </c>
    </row>
    <row r="13" spans="1:5" x14ac:dyDescent="0.25">
      <c r="A13">
        <v>12</v>
      </c>
      <c r="B13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b8f3f70-3e4d-4335-82fb-00a785401c80" origin="userSelected">
  <element uid="1c89f765-7bc5-49ea-a1bc-4fa470ed5e85" value=""/>
</sisl>
</file>

<file path=customXml/item2.xml>�� 
</file>

<file path=customXml/itemProps1.xml><?xml version="1.0" encoding="utf-8"?>
<ds:datastoreItem xmlns:ds="http://schemas.openxmlformats.org/officeDocument/2006/customXml" ds:itemID="{49442643-344D-4A2C-B6FF-E94F9B33418C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1D1043A2-298A-46C1-8187-C6D357A555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</vt:lpstr>
      <vt:lpstr>Confirmação Serviço</vt:lpstr>
      <vt:lpstr>Aprovação Pagamento</vt:lpstr>
      <vt:lpstr>Endereços de E_mail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>[Public]</cp:keywords>
  <dc:description/>
  <cp:lastModifiedBy>Failla Karolinne Aparecida, BR</cp:lastModifiedBy>
  <cp:revision>1</cp:revision>
  <dcterms:created xsi:type="dcterms:W3CDTF">2021-04-01T13:21:38Z</dcterms:created>
  <dcterms:modified xsi:type="dcterms:W3CDTF">2025-12-15T10:47:38Z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7fce5243-12e0-48e4-bae4-cf46e7c27d36</vt:lpwstr>
  </property>
  <property fmtid="{D5CDD505-2E9C-101B-9397-08002B2CF9AE}" pid="3" name="bjSaver">
    <vt:lpwstr>tJGS9LaXJGIvAXrjuACPtEWB77/53N/v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policy="2b8f3f70-3e4d-4335-82fb-00a785401c80" origin="userSelected" xmlns="http://www.boldonj</vt:lpwstr>
  </property>
  <property fmtid="{D5CDD505-2E9C-101B-9397-08002B2CF9AE}" pid="5" name="bjDocumentLabelXML-0">
    <vt:lpwstr>ames.com/2008/01/sie/internal/label"&gt;&lt;element uid="1c89f765-7bc5-49ea-a1bc-4fa470ed5e85" value="" /&gt;&lt;/sisl&gt;</vt:lpwstr>
  </property>
  <property fmtid="{D5CDD505-2E9C-101B-9397-08002B2CF9AE}" pid="6" name="bjDocumentSecurityLabel">
    <vt:lpwstr>Public [No repercussions to the company from disclosure]</vt:lpwstr>
  </property>
  <property fmtid="{D5CDD505-2E9C-101B-9397-08002B2CF9AE}" pid="7" name="Classification">
    <vt:lpwstr>Public - Pirelli Data Classification</vt:lpwstr>
  </property>
  <property fmtid="{D5CDD505-2E9C-101B-9397-08002B2CF9AE}" pid="8" name="_AdHocReviewCycleID">
    <vt:i4>930994448</vt:i4>
  </property>
  <property fmtid="{D5CDD505-2E9C-101B-9397-08002B2CF9AE}" pid="9" name="_NewReviewCycle">
    <vt:lpwstr/>
  </property>
  <property fmtid="{D5CDD505-2E9C-101B-9397-08002B2CF9AE}" pid="10" name="_EmailSubject">
    <vt:lpwstr>*IMPORTANTE* Notas Pendentes de confirmação de serviços e Pagamento</vt:lpwstr>
  </property>
  <property fmtid="{D5CDD505-2E9C-101B-9397-08002B2CF9AE}" pid="11" name="_AuthorEmail">
    <vt:lpwstr>karolinne.failla@pirelli.com</vt:lpwstr>
  </property>
  <property fmtid="{D5CDD505-2E9C-101B-9397-08002B2CF9AE}" pid="12" name="_AuthorEmailDisplayName">
    <vt:lpwstr>Failla Karolinne Aparecida, BR</vt:lpwstr>
  </property>
</Properties>
</file>