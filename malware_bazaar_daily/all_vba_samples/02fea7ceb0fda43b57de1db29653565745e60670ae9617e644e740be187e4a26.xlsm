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user\Desktop\November 2025\"/>
    </mc:Choice>
  </mc:AlternateContent>
  <workbookProtection workbookAlgorithmName="SHA-512" workbookHashValue="4AsaqqN3QeGKFPcyvOFovUEgnY+IcPSnvf3uf4N5ECQj/kSNrgylWnoxaxM4s15B1EWlXrDu0hdBH16OssHInQ==" workbookSaltValue="fGgFQxZevAmFn6JkvcTmvQ==" workbookSpinCount="100000" lockStructure="1"/>
  <bookViews>
    <workbookView xWindow="0" yWindow="0" windowWidth="28770" windowHeight="12270" activeTab="2"/>
  </bookViews>
  <sheets>
    <sheet name="Instructions" sheetId="15" r:id="rId1"/>
    <sheet name="ART_1" sheetId="9" r:id="rId2"/>
    <sheet name="ART_2" sheetId="8" r:id="rId3"/>
    <sheet name="ART_3" sheetId="10" r:id="rId4"/>
    <sheet name="ART_4" sheetId="11" r:id="rId5"/>
    <sheet name="ART_5" sheetId="12" r:id="rId6"/>
    <sheet name="Second Line" sheetId="17" r:id="rId7"/>
    <sheet name="Scorecard" sheetId="20" r:id="rId8"/>
    <sheet name="ART Centre Codes" sheetId="13" r:id="rId9"/>
    <sheet name="Analysis Sheet" sheetId="19" r:id="rId10"/>
    <sheet name="Consolidated Sheet" sheetId="14" r:id="rId11"/>
  </sheets>
  <definedNames>
    <definedName name="_xlnm._FilterDatabase" localSheetId="8" hidden="1">'ART Centre Codes'!$A$3:$XFC$865</definedName>
    <definedName name="_xlnm._FilterDatabase" localSheetId="4" hidden="1">ART_4!$A$1:$L$67</definedName>
    <definedName name="_xlnm._FilterDatabase" localSheetId="5" hidden="1">ART_5!$A$57:$O$57</definedName>
    <definedName name="_xlnm._FilterDatabase" localSheetId="6" hidden="1">'Second Line'!$A$1:$L$26</definedName>
    <definedName name="ART_code">ART_1!$C$8</definedName>
    <definedName name="Coun_1">ART_1!$C$27</definedName>
    <definedName name="Coun_2">ART_1!$C$28</definedName>
    <definedName name="Coun_3">ART_1!$C$29</definedName>
    <definedName name="Coun_4">ART_1!$C$30</definedName>
    <definedName name="CSC_1">ART_1!$B$69</definedName>
    <definedName name="CSC_2">ART_1!$B$70</definedName>
    <definedName name="CSC_3">ART_1!$B$71</definedName>
    <definedName name="DM_1">ART_1!$C$37</definedName>
    <definedName name="DM_2">ART_1!$C$38</definedName>
    <definedName name="DM_3">ART_1!$C$39</definedName>
    <definedName name="LAC_1">ART_1!$B$45</definedName>
    <definedName name="LAC_10">ART_1!$B$54</definedName>
    <definedName name="LAC_11">ART_1!$B$55</definedName>
    <definedName name="LAC_12">ART_1!$B$56</definedName>
    <definedName name="LAC_13">ART_1!$B$57</definedName>
    <definedName name="LAC_14">ART_1!$B$58</definedName>
    <definedName name="LAC_15">ART_1!$B$59</definedName>
    <definedName name="LAC_16">ART_1!$B$60</definedName>
    <definedName name="LAC_17">ART_1!$B$61</definedName>
    <definedName name="LAC_18">ART_1!$B$62</definedName>
    <definedName name="LAC_19">ART_1!$B$63</definedName>
    <definedName name="LAC_2">ART_1!$B$46</definedName>
    <definedName name="LAC_20">ART_1!$B$64</definedName>
    <definedName name="LAC_3">ART_1!$B$47</definedName>
    <definedName name="LAC_4">ART_1!$B$48</definedName>
    <definedName name="LAC_5">ART_1!$B$49</definedName>
    <definedName name="LAC_6">ART_1!$B$50</definedName>
    <definedName name="LAC_7">ART_1!$B$51</definedName>
    <definedName name="LAC_8">ART_1!$B$52</definedName>
    <definedName name="LAC_9">ART_1!$B$53</definedName>
    <definedName name="LAC_begin">ART_2!$F$46</definedName>
    <definedName name="LT_1">ART_1!$C$34</definedName>
    <definedName name="LT_2">ART_1!$C$35</definedName>
    <definedName name="LT_3">ART_1!$C$36</definedName>
    <definedName name="MO_1">ART_1!$C$20</definedName>
    <definedName name="MO_2">ART_1!$C$21</definedName>
    <definedName name="MO_3">ART_1!$C$22</definedName>
    <definedName name="Nurse_1">ART_1!$C$24</definedName>
    <definedName name="Nurse_2">ART_1!$C$25</definedName>
    <definedName name="Nurse_3">ART_1!$C$26</definedName>
    <definedName name="Phar_1">ART_1!$C$31</definedName>
    <definedName name="Phar_2">ART_1!$C$32</definedName>
    <definedName name="Phar_3">ART_1!$C$33</definedName>
    <definedName name="today">ART_1!$K$1</definedName>
    <definedName name="unique_ID">ART_1!$D$8</definedName>
    <definedName name="validation1">ART_2!$K$11</definedName>
    <definedName name="validation2">ART_2!$K$39</definedName>
    <definedName name="validation3">ART_2!$K$22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873" i="14" l="1"/>
  <c r="E872" i="14"/>
  <c r="E876" i="14"/>
  <c r="E875" i="14"/>
  <c r="B875" i="14"/>
  <c r="E19" i="20"/>
  <c r="E877" i="14" s="1"/>
  <c r="B715" i="14"/>
  <c r="B714" i="14"/>
  <c r="E714" i="14"/>
  <c r="O6" i="10" l="1"/>
  <c r="O7" i="10"/>
  <c r="O8" i="10"/>
  <c r="O9" i="10"/>
  <c r="E18" i="20"/>
  <c r="E874" i="14" s="1"/>
  <c r="E5" i="20"/>
  <c r="E870" i="14" l="1"/>
  <c r="E869" i="14"/>
  <c r="E867" i="14"/>
  <c r="E866" i="14"/>
  <c r="E864" i="14"/>
  <c r="E863" i="14"/>
  <c r="E861" i="14"/>
  <c r="E860" i="14"/>
  <c r="E858" i="14"/>
  <c r="E857" i="14"/>
  <c r="E855" i="14"/>
  <c r="E854" i="14"/>
  <c r="E852" i="14"/>
  <c r="E851" i="14"/>
  <c r="E849" i="14"/>
  <c r="E848" i="14"/>
  <c r="E846" i="14"/>
  <c r="E845" i="14"/>
  <c r="E843" i="14"/>
  <c r="E842" i="14"/>
  <c r="E840" i="14"/>
  <c r="E839" i="14"/>
  <c r="E834" i="14"/>
  <c r="E833" i="14"/>
  <c r="B872" i="14"/>
  <c r="B869" i="14"/>
  <c r="B866" i="14"/>
  <c r="B863" i="14"/>
  <c r="B860" i="14"/>
  <c r="B857" i="14"/>
  <c r="B854" i="14"/>
  <c r="B851" i="14"/>
  <c r="B848" i="14"/>
  <c r="B845" i="14"/>
  <c r="B842" i="14"/>
  <c r="B839" i="14"/>
  <c r="B836" i="14"/>
  <c r="B833" i="14"/>
  <c r="C832" i="14"/>
  <c r="C835" i="14" s="1"/>
  <c r="C838" i="14" s="1"/>
  <c r="C841" i="14" s="1"/>
  <c r="C844" i="14" s="1"/>
  <c r="C847" i="14" s="1"/>
  <c r="C850" i="14" s="1"/>
  <c r="C853" i="14" s="1"/>
  <c r="C856" i="14" s="1"/>
  <c r="C859" i="14" s="1"/>
  <c r="C862" i="14" s="1"/>
  <c r="C865" i="14" s="1"/>
  <c r="C868" i="14" s="1"/>
  <c r="C871" i="14" s="1"/>
  <c r="C874" i="14" s="1"/>
  <c r="C877" i="14" s="1"/>
  <c r="C831" i="14"/>
  <c r="C834" i="14" s="1"/>
  <c r="C837" i="14" s="1"/>
  <c r="C840" i="14" s="1"/>
  <c r="C843" i="14" s="1"/>
  <c r="C846" i="14" s="1"/>
  <c r="C849" i="14" s="1"/>
  <c r="C852" i="14" s="1"/>
  <c r="C855" i="14" s="1"/>
  <c r="C858" i="14" s="1"/>
  <c r="C861" i="14" s="1"/>
  <c r="C864" i="14" s="1"/>
  <c r="C867" i="14" s="1"/>
  <c r="C870" i="14" s="1"/>
  <c r="C873" i="14" s="1"/>
  <c r="C876" i="14" s="1"/>
  <c r="C830" i="14"/>
  <c r="C833" i="14" s="1"/>
  <c r="C836" i="14" s="1"/>
  <c r="C839" i="14" s="1"/>
  <c r="C842" i="14" s="1"/>
  <c r="C845" i="14" s="1"/>
  <c r="C848" i="14" s="1"/>
  <c r="C851" i="14" s="1"/>
  <c r="C854" i="14" s="1"/>
  <c r="C857" i="14" s="1"/>
  <c r="C860" i="14" s="1"/>
  <c r="C863" i="14" s="1"/>
  <c r="C866" i="14" s="1"/>
  <c r="C869" i="14" s="1"/>
  <c r="C872" i="14" s="1"/>
  <c r="C875" i="14" s="1"/>
  <c r="B830" i="14"/>
  <c r="E715" i="14"/>
  <c r="E288" i="14"/>
  <c r="E287" i="14"/>
  <c r="C288" i="14"/>
  <c r="C287" i="14"/>
  <c r="E286" i="14"/>
  <c r="E285" i="14"/>
  <c r="E284" i="14"/>
  <c r="E283" i="14"/>
  <c r="C286" i="14"/>
  <c r="C285" i="14"/>
  <c r="C284" i="14"/>
  <c r="C283" i="14"/>
  <c r="C2" i="20" l="1"/>
  <c r="E17" i="20"/>
  <c r="E871" i="14" s="1"/>
  <c r="E16" i="20"/>
  <c r="E868" i="14" s="1"/>
  <c r="E15" i="20"/>
  <c r="E865" i="14" s="1"/>
  <c r="E14" i="20"/>
  <c r="E862" i="14" s="1"/>
  <c r="E13" i="20"/>
  <c r="E859" i="14" s="1"/>
  <c r="E12" i="20"/>
  <c r="E856" i="14" s="1"/>
  <c r="E11" i="20"/>
  <c r="E853" i="14" s="1"/>
  <c r="E10" i="20"/>
  <c r="E850" i="14" s="1"/>
  <c r="E9" i="20"/>
  <c r="E847" i="14" s="1"/>
  <c r="E8" i="20"/>
  <c r="E844" i="14" s="1"/>
  <c r="E7" i="20"/>
  <c r="E841" i="14" s="1"/>
  <c r="E835" i="14"/>
  <c r="K1" i="9" l="1"/>
  <c r="G38" i="8" l="1"/>
  <c r="F11" i="8"/>
  <c r="D9" i="9" l="1"/>
  <c r="E521" i="14" l="1"/>
  <c r="B521" i="14"/>
  <c r="B515" i="14" l="1"/>
  <c r="E515" i="14"/>
  <c r="D692" i="14" l="1"/>
  <c r="D689" i="14"/>
  <c r="D668" i="14"/>
  <c r="D665" i="14"/>
  <c r="J39" i="12"/>
  <c r="J36" i="12"/>
  <c r="E534" i="14"/>
  <c r="B534" i="14"/>
  <c r="E533" i="14"/>
  <c r="B533" i="14"/>
  <c r="B529" i="14"/>
  <c r="E529" i="14"/>
  <c r="B523" i="14"/>
  <c r="E523" i="14"/>
  <c r="E505" i="14"/>
  <c r="E504" i="14"/>
  <c r="B505" i="14"/>
  <c r="B504" i="14"/>
  <c r="E665" i="14" l="1"/>
  <c r="E668" i="14"/>
  <c r="L36" i="12"/>
  <c r="E689" i="14" s="1"/>
  <c r="L39" i="12"/>
  <c r="E692" i="14" s="1"/>
  <c r="E108" i="14"/>
  <c r="F43" i="8"/>
  <c r="M36" i="12" l="1"/>
  <c r="M39" i="12"/>
  <c r="E107" i="14"/>
  <c r="E106" i="14"/>
  <c r="E105" i="14"/>
  <c r="E104" i="14"/>
  <c r="E102" i="14"/>
  <c r="E101" i="14"/>
  <c r="E100" i="14"/>
  <c r="E99" i="14"/>
  <c r="E98" i="14"/>
  <c r="B104" i="14"/>
  <c r="E103" i="14" l="1"/>
  <c r="E109" i="14"/>
  <c r="J56" i="12"/>
  <c r="L56" i="12" s="1"/>
  <c r="K18" i="8"/>
  <c r="M56" i="12" l="1"/>
  <c r="D45" i="11" l="1"/>
  <c r="E708" i="14" l="1"/>
  <c r="E684" i="14"/>
  <c r="D708" i="14"/>
  <c r="D684" i="14"/>
  <c r="D685" i="14" l="1"/>
  <c r="D709" i="14" l="1"/>
  <c r="J57" i="12"/>
  <c r="E685" i="14" s="1"/>
  <c r="L57" i="12" l="1"/>
  <c r="E709" i="14" s="1"/>
  <c r="M57" i="12"/>
  <c r="D52" i="19" l="1"/>
  <c r="D51" i="19"/>
  <c r="D50" i="19"/>
  <c r="D49" i="19"/>
  <c r="D48" i="19"/>
  <c r="D43" i="19"/>
  <c r="D42" i="19"/>
  <c r="D41" i="19"/>
  <c r="D40" i="19"/>
  <c r="D39" i="19"/>
  <c r="O5" i="10" l="1"/>
  <c r="E545" i="14" l="1"/>
  <c r="B545" i="14"/>
  <c r="D66" i="11"/>
  <c r="E546" i="14" s="1"/>
  <c r="E525" i="14"/>
  <c r="B525" i="14"/>
  <c r="D699" i="14" l="1"/>
  <c r="D700" i="14"/>
  <c r="D698" i="14"/>
  <c r="D675" i="14"/>
  <c r="D676" i="14"/>
  <c r="D674" i="14"/>
  <c r="J47" i="12" l="1"/>
  <c r="J46" i="12"/>
  <c r="J45" i="12"/>
  <c r="E674" i="14" s="1"/>
  <c r="L45" i="12" l="1"/>
  <c r="E698" i="14" s="1"/>
  <c r="L46" i="12"/>
  <c r="E699" i="14" s="1"/>
  <c r="E675" i="14"/>
  <c r="E676" i="14"/>
  <c r="L47" i="12"/>
  <c r="E700" i="14" s="1"/>
  <c r="E822" i="14"/>
  <c r="E821" i="14"/>
  <c r="E820" i="14"/>
  <c r="E819" i="14"/>
  <c r="E818" i="14"/>
  <c r="B818" i="14"/>
  <c r="K25" i="17"/>
  <c r="M47" i="12" l="1"/>
  <c r="M46" i="12"/>
  <c r="M45" i="12"/>
  <c r="E823" i="14"/>
  <c r="E500" i="14"/>
  <c r="E499" i="14"/>
  <c r="E498" i="14"/>
  <c r="E497" i="14"/>
  <c r="E496" i="14"/>
  <c r="E495" i="14"/>
  <c r="E494" i="14"/>
  <c r="E492" i="14"/>
  <c r="E491" i="14"/>
  <c r="E490" i="14"/>
  <c r="E489" i="14"/>
  <c r="E488" i="14"/>
  <c r="E487" i="14"/>
  <c r="E486" i="14"/>
  <c r="E484" i="14"/>
  <c r="E483" i="14"/>
  <c r="E482" i="14"/>
  <c r="E481" i="14"/>
  <c r="E480" i="14"/>
  <c r="E479" i="14"/>
  <c r="E478" i="14"/>
  <c r="E468" i="14"/>
  <c r="E467" i="14"/>
  <c r="E466" i="14"/>
  <c r="E465" i="14"/>
  <c r="E464" i="14"/>
  <c r="E463" i="14"/>
  <c r="E462" i="14"/>
  <c r="B494" i="14"/>
  <c r="B486" i="14"/>
  <c r="B478" i="14"/>
  <c r="B470" i="14"/>
  <c r="B462" i="14"/>
  <c r="B454" i="14"/>
  <c r="B446" i="14"/>
  <c r="B438" i="14"/>
  <c r="B430" i="14"/>
  <c r="B422" i="14"/>
  <c r="K16" i="11"/>
  <c r="K17" i="11"/>
  <c r="K18" i="11"/>
  <c r="K14" i="11"/>
  <c r="E15" i="11"/>
  <c r="F15" i="11"/>
  <c r="E472" i="14" s="1"/>
  <c r="G15" i="11"/>
  <c r="E473" i="14" s="1"/>
  <c r="H15" i="11"/>
  <c r="E474" i="14" s="1"/>
  <c r="I15" i="11"/>
  <c r="E475" i="14" s="1"/>
  <c r="J15" i="11"/>
  <c r="E476" i="14" s="1"/>
  <c r="D15" i="11"/>
  <c r="E470" i="14" s="1"/>
  <c r="E712" i="14"/>
  <c r="B712" i="14"/>
  <c r="E282" i="14"/>
  <c r="E281" i="14"/>
  <c r="C281" i="14"/>
  <c r="C282" i="14"/>
  <c r="E280" i="14"/>
  <c r="E279" i="14"/>
  <c r="E278" i="14"/>
  <c r="C280" i="14"/>
  <c r="C279" i="14"/>
  <c r="C278" i="14"/>
  <c r="E162" i="14"/>
  <c r="E161" i="14"/>
  <c r="E160" i="14"/>
  <c r="E159" i="14"/>
  <c r="E158" i="14"/>
  <c r="B158" i="14"/>
  <c r="K28" i="8"/>
  <c r="B28" i="19" s="1"/>
  <c r="G29" i="8"/>
  <c r="H29" i="8"/>
  <c r="I29" i="8"/>
  <c r="J29" i="8"/>
  <c r="F29" i="8"/>
  <c r="K29" i="8" l="1"/>
  <c r="B29" i="19" s="1"/>
  <c r="K15" i="11"/>
  <c r="E471" i="14"/>
  <c r="E477" i="14" s="1"/>
  <c r="E501" i="14"/>
  <c r="E493" i="14"/>
  <c r="E485" i="14"/>
  <c r="E163" i="14"/>
  <c r="E17" i="14"/>
  <c r="E16" i="14"/>
  <c r="E15" i="14"/>
  <c r="E14" i="14"/>
  <c r="E13" i="14"/>
  <c r="E12" i="14"/>
  <c r="E11" i="14"/>
  <c r="E10" i="14"/>
  <c r="E9" i="14" l="1"/>
  <c r="E460" i="14" l="1"/>
  <c r="E459" i="14"/>
  <c r="E458" i="14"/>
  <c r="E457" i="14"/>
  <c r="E456" i="14"/>
  <c r="E455" i="14"/>
  <c r="E454" i="14"/>
  <c r="E452" i="14"/>
  <c r="E451" i="14"/>
  <c r="E450" i="14"/>
  <c r="E449" i="14"/>
  <c r="E448" i="14"/>
  <c r="E447" i="14"/>
  <c r="E446" i="14"/>
  <c r="E444" i="14"/>
  <c r="E443" i="14"/>
  <c r="E442" i="14"/>
  <c r="E441" i="14"/>
  <c r="E440" i="14"/>
  <c r="E439" i="14"/>
  <c r="E438" i="14"/>
  <c r="K11" i="11"/>
  <c r="K12" i="11"/>
  <c r="K13" i="11"/>
  <c r="E469" i="14" l="1"/>
  <c r="E461" i="14"/>
  <c r="E453" i="14"/>
  <c r="E445" i="14"/>
  <c r="E362" i="14"/>
  <c r="E361" i="14"/>
  <c r="E360" i="14"/>
  <c r="E359" i="14"/>
  <c r="E358" i="14"/>
  <c r="E356" i="14"/>
  <c r="E355" i="14"/>
  <c r="E354" i="14"/>
  <c r="E353" i="14"/>
  <c r="E352" i="14"/>
  <c r="B358" i="14"/>
  <c r="B352" i="14"/>
  <c r="M36" i="10"/>
  <c r="L36" i="10"/>
  <c r="H36" i="10"/>
  <c r="J36" i="10"/>
  <c r="F36" i="10"/>
  <c r="N35" i="10"/>
  <c r="N34" i="10"/>
  <c r="E363" i="14" l="1"/>
  <c r="E357" i="14"/>
  <c r="N36" i="10"/>
  <c r="E713" i="14" l="1"/>
  <c r="E711" i="14"/>
  <c r="B713" i="14"/>
  <c r="B711" i="14"/>
  <c r="E828" i="14"/>
  <c r="E827" i="14"/>
  <c r="E826" i="14"/>
  <c r="E825" i="14"/>
  <c r="E824" i="14"/>
  <c r="E816" i="14"/>
  <c r="E815" i="14"/>
  <c r="E814" i="14"/>
  <c r="E813" i="14"/>
  <c r="E812" i="14"/>
  <c r="E810" i="14"/>
  <c r="E809" i="14"/>
  <c r="E808" i="14"/>
  <c r="E807" i="14"/>
  <c r="E806" i="14"/>
  <c r="E804" i="14"/>
  <c r="E803" i="14"/>
  <c r="E802" i="14"/>
  <c r="E801" i="14"/>
  <c r="E800" i="14"/>
  <c r="E798" i="14"/>
  <c r="E797" i="14"/>
  <c r="E796" i="14"/>
  <c r="E795" i="14"/>
  <c r="E794" i="14"/>
  <c r="E792" i="14"/>
  <c r="E791" i="14"/>
  <c r="E790" i="14"/>
  <c r="E789" i="14"/>
  <c r="E788" i="14"/>
  <c r="E786" i="14"/>
  <c r="E785" i="14"/>
  <c r="E784" i="14"/>
  <c r="E783" i="14"/>
  <c r="E782" i="14"/>
  <c r="B824" i="14"/>
  <c r="B812" i="14"/>
  <c r="B806" i="14"/>
  <c r="B800" i="14"/>
  <c r="B794" i="14"/>
  <c r="B788" i="14"/>
  <c r="B782" i="14"/>
  <c r="K26" i="17"/>
  <c r="K23" i="17"/>
  <c r="K22" i="17"/>
  <c r="K21" i="17"/>
  <c r="K20" i="17"/>
  <c r="K19" i="17"/>
  <c r="K16" i="17"/>
  <c r="K15" i="17"/>
  <c r="K14" i="17"/>
  <c r="K13" i="17"/>
  <c r="K12" i="17"/>
  <c r="J11" i="17"/>
  <c r="J17" i="17" s="1"/>
  <c r="I11" i="17"/>
  <c r="I17" i="17" s="1"/>
  <c r="H11" i="17"/>
  <c r="H17" i="17" s="1"/>
  <c r="G11" i="17"/>
  <c r="G17" i="17" s="1"/>
  <c r="F11" i="17"/>
  <c r="F17" i="17" s="1"/>
  <c r="K10" i="17"/>
  <c r="K9" i="17"/>
  <c r="K8" i="17"/>
  <c r="K7" i="17"/>
  <c r="D2" i="17"/>
  <c r="E416" i="14"/>
  <c r="E415" i="14"/>
  <c r="E414" i="14"/>
  <c r="E413" i="14"/>
  <c r="E412" i="14"/>
  <c r="E410" i="14"/>
  <c r="E409" i="14"/>
  <c r="E408" i="14"/>
  <c r="E407" i="14"/>
  <c r="E406" i="14"/>
  <c r="B412" i="14"/>
  <c r="B406" i="14"/>
  <c r="N46" i="10"/>
  <c r="N45" i="10"/>
  <c r="B382" i="14"/>
  <c r="M39" i="10"/>
  <c r="E386" i="14" s="1"/>
  <c r="L39" i="10"/>
  <c r="E385" i="14" s="1"/>
  <c r="H39" i="10"/>
  <c r="E383" i="14" s="1"/>
  <c r="J39" i="10"/>
  <c r="E384" i="14" s="1"/>
  <c r="F39" i="10"/>
  <c r="N39" i="10" l="1"/>
  <c r="E382" i="14"/>
  <c r="E387" i="14" s="1"/>
  <c r="E829" i="14"/>
  <c r="E817" i="14"/>
  <c r="E811" i="14"/>
  <c r="E805" i="14"/>
  <c r="E799" i="14"/>
  <c r="E793" i="14"/>
  <c r="E787" i="14"/>
  <c r="K24" i="17"/>
  <c r="K17" i="17"/>
  <c r="K11" i="17"/>
  <c r="E417" i="14"/>
  <c r="E411" i="14"/>
  <c r="E404" i="14"/>
  <c r="E403" i="14"/>
  <c r="E402" i="14"/>
  <c r="E401" i="14"/>
  <c r="E400" i="14"/>
  <c r="E398" i="14"/>
  <c r="E397" i="14"/>
  <c r="E396" i="14"/>
  <c r="E395" i="14"/>
  <c r="E394" i="14"/>
  <c r="E392" i="14"/>
  <c r="E391" i="14"/>
  <c r="E390" i="14"/>
  <c r="E389" i="14"/>
  <c r="E388" i="14"/>
  <c r="E380" i="14"/>
  <c r="E379" i="14"/>
  <c r="E378" i="14"/>
  <c r="E377" i="14"/>
  <c r="E376" i="14"/>
  <c r="E374" i="14"/>
  <c r="E373" i="14"/>
  <c r="E372" i="14"/>
  <c r="E371" i="14"/>
  <c r="E370" i="14"/>
  <c r="E367" i="14"/>
  <c r="E368" i="14"/>
  <c r="E366" i="14"/>
  <c r="E365" i="14"/>
  <c r="E364" i="14"/>
  <c r="B400" i="14"/>
  <c r="B394" i="14"/>
  <c r="B388" i="14"/>
  <c r="B376" i="14"/>
  <c r="B370" i="14"/>
  <c r="B364" i="14"/>
  <c r="N37" i="10"/>
  <c r="N38" i="10"/>
  <c r="N40" i="10"/>
  <c r="N41" i="10"/>
  <c r="N42" i="10"/>
  <c r="E405" i="14" l="1"/>
  <c r="E399" i="14"/>
  <c r="E393" i="14"/>
  <c r="E381" i="14"/>
  <c r="E375" i="14"/>
  <c r="E369" i="14"/>
  <c r="E292" i="14"/>
  <c r="E290" i="14"/>
  <c r="D703" i="14" l="1"/>
  <c r="D704" i="14"/>
  <c r="D705" i="14"/>
  <c r="D706" i="14"/>
  <c r="D707" i="14"/>
  <c r="D710" i="14"/>
  <c r="D702" i="14"/>
  <c r="D688" i="14"/>
  <c r="D690" i="14"/>
  <c r="D691" i="14"/>
  <c r="D693" i="14"/>
  <c r="D694" i="14"/>
  <c r="D695" i="14"/>
  <c r="D696" i="14"/>
  <c r="D697" i="14"/>
  <c r="D701" i="14"/>
  <c r="D687" i="14"/>
  <c r="E528" i="14" l="1"/>
  <c r="E530" i="14"/>
  <c r="E531" i="14"/>
  <c r="E532" i="14"/>
  <c r="E535" i="14"/>
  <c r="E536" i="14"/>
  <c r="E537" i="14"/>
  <c r="E538" i="14"/>
  <c r="E539" i="14"/>
  <c r="E540" i="14"/>
  <c r="E541" i="14"/>
  <c r="E542" i="14"/>
  <c r="E543" i="14"/>
  <c r="E544" i="14"/>
  <c r="E527" i="14"/>
  <c r="B528" i="14"/>
  <c r="B530" i="14"/>
  <c r="B531" i="14"/>
  <c r="B532" i="14"/>
  <c r="B535" i="14"/>
  <c r="B536" i="14"/>
  <c r="B537" i="14"/>
  <c r="B538" i="14"/>
  <c r="B539" i="14"/>
  <c r="B540" i="14"/>
  <c r="B541" i="14"/>
  <c r="B542" i="14"/>
  <c r="B543" i="14"/>
  <c r="B544" i="14"/>
  <c r="B527" i="14"/>
  <c r="E350" i="14" l="1"/>
  <c r="E349" i="14"/>
  <c r="E348" i="14"/>
  <c r="E347" i="14"/>
  <c r="E346" i="14"/>
  <c r="E345" i="14"/>
  <c r="E344" i="14"/>
  <c r="E343" i="14"/>
  <c r="B343" i="14"/>
  <c r="B334" i="14"/>
  <c r="E332" i="14"/>
  <c r="E331" i="14"/>
  <c r="E330" i="14"/>
  <c r="E329" i="14"/>
  <c r="E328" i="14"/>
  <c r="E327" i="14"/>
  <c r="E326" i="14"/>
  <c r="E325" i="14"/>
  <c r="E323" i="14"/>
  <c r="E322" i="14"/>
  <c r="E321" i="14"/>
  <c r="E320" i="14"/>
  <c r="E319" i="14"/>
  <c r="E318" i="14"/>
  <c r="E317" i="14"/>
  <c r="E316" i="14"/>
  <c r="E314" i="14"/>
  <c r="E313" i="14"/>
  <c r="E312" i="14"/>
  <c r="E311" i="14"/>
  <c r="E310" i="14"/>
  <c r="E309" i="14"/>
  <c r="E308" i="14"/>
  <c r="E307" i="14"/>
  <c r="E305" i="14"/>
  <c r="E304" i="14"/>
  <c r="E303" i="14"/>
  <c r="E302" i="14"/>
  <c r="E301" i="14"/>
  <c r="E300" i="14"/>
  <c r="E299" i="14"/>
  <c r="E298" i="14"/>
  <c r="B325" i="14"/>
  <c r="B316" i="14"/>
  <c r="B307" i="14"/>
  <c r="B298" i="14"/>
  <c r="N25" i="10"/>
  <c r="N26" i="10"/>
  <c r="N27" i="10"/>
  <c r="N29" i="10"/>
  <c r="G28" i="10"/>
  <c r="E335" i="14" s="1"/>
  <c r="H28" i="10"/>
  <c r="E336" i="14" s="1"/>
  <c r="I28" i="10"/>
  <c r="E337" i="14" s="1"/>
  <c r="J28" i="10"/>
  <c r="E338" i="14" s="1"/>
  <c r="K28" i="10"/>
  <c r="E339" i="14" s="1"/>
  <c r="L28" i="10"/>
  <c r="E340" i="14" s="1"/>
  <c r="M28" i="10"/>
  <c r="E341" i="14" s="1"/>
  <c r="F28" i="10"/>
  <c r="E334" i="14" s="1"/>
  <c r="N24" i="10"/>
  <c r="O13" i="10"/>
  <c r="O12" i="10"/>
  <c r="F77" i="9"/>
  <c r="E351" i="14" l="1"/>
  <c r="E306" i="14"/>
  <c r="E342" i="14"/>
  <c r="E333" i="14"/>
  <c r="E324" i="14"/>
  <c r="E315" i="14"/>
  <c r="N28" i="10"/>
  <c r="E156" i="14"/>
  <c r="E155" i="14"/>
  <c r="E154" i="14"/>
  <c r="E153" i="14"/>
  <c r="E152" i="14"/>
  <c r="E150" i="14"/>
  <c r="E149" i="14"/>
  <c r="E148" i="14"/>
  <c r="E147" i="14"/>
  <c r="E146" i="14"/>
  <c r="E144" i="14"/>
  <c r="E143" i="14"/>
  <c r="E142" i="14"/>
  <c r="E141" i="14"/>
  <c r="E140" i="14"/>
  <c r="B152" i="14"/>
  <c r="B146" i="14"/>
  <c r="B140" i="14"/>
  <c r="K25" i="8"/>
  <c r="E837" i="14" s="1"/>
  <c r="K26" i="8"/>
  <c r="K27" i="8"/>
  <c r="E157" i="14" l="1"/>
  <c r="E151" i="14"/>
  <c r="E145" i="14"/>
  <c r="E548" i="14" l="1"/>
  <c r="B548" i="14"/>
  <c r="B526" i="14"/>
  <c r="D10" i="9" l="1"/>
  <c r="F11" i="9" l="1"/>
  <c r="E613" i="14" l="1"/>
  <c r="E614" i="14"/>
  <c r="E615" i="14"/>
  <c r="E616" i="14"/>
  <c r="E617" i="14"/>
  <c r="E618" i="14"/>
  <c r="E619" i="14"/>
  <c r="E620" i="14"/>
  <c r="E612" i="14"/>
  <c r="E611" i="14"/>
  <c r="E610" i="14"/>
  <c r="E609" i="14"/>
  <c r="E608" i="14"/>
  <c r="E607" i="14"/>
  <c r="E606" i="14"/>
  <c r="E605" i="14"/>
  <c r="E604" i="14"/>
  <c r="E603" i="14"/>
  <c r="E602" i="14"/>
  <c r="E601" i="14"/>
  <c r="E600" i="14"/>
  <c r="E599" i="14"/>
  <c r="E598" i="14"/>
  <c r="E597" i="14"/>
  <c r="E596" i="14"/>
  <c r="E595" i="14"/>
  <c r="E594" i="14"/>
  <c r="E593" i="14"/>
  <c r="E592" i="14"/>
  <c r="E591" i="14"/>
  <c r="E590" i="14"/>
  <c r="E589" i="14"/>
  <c r="E588" i="14"/>
  <c r="E587" i="14"/>
  <c r="E586" i="14"/>
  <c r="E585" i="14"/>
  <c r="E584" i="14"/>
  <c r="E583" i="14"/>
  <c r="E582" i="14"/>
  <c r="E581" i="14"/>
  <c r="E580" i="14"/>
  <c r="E579" i="14"/>
  <c r="E578" i="14"/>
  <c r="E577" i="14"/>
  <c r="E576" i="14"/>
  <c r="E575" i="14"/>
  <c r="E574" i="14"/>
  <c r="E573" i="14"/>
  <c r="E572" i="14"/>
  <c r="E571" i="14"/>
  <c r="E570" i="14"/>
  <c r="E569" i="14"/>
  <c r="E568" i="14"/>
  <c r="E567" i="14"/>
  <c r="E566" i="14"/>
  <c r="E565" i="14"/>
  <c r="E564" i="14"/>
  <c r="E563" i="14"/>
  <c r="E562" i="14"/>
  <c r="E561" i="14"/>
  <c r="E560" i="14"/>
  <c r="E559" i="14"/>
  <c r="E558" i="14"/>
  <c r="E557" i="14"/>
  <c r="E556" i="14"/>
  <c r="E555" i="14"/>
  <c r="E554" i="14"/>
  <c r="E553" i="14"/>
  <c r="E552" i="14"/>
  <c r="E551" i="14"/>
  <c r="E550" i="14"/>
  <c r="E549" i="14"/>
  <c r="B617" i="14"/>
  <c r="B613" i="14"/>
  <c r="B609" i="14"/>
  <c r="B605" i="14"/>
  <c r="B601" i="14"/>
  <c r="B597" i="14"/>
  <c r="B593" i="14"/>
  <c r="B589" i="14"/>
  <c r="B585" i="14"/>
  <c r="B581" i="14"/>
  <c r="B577" i="14"/>
  <c r="B573" i="14"/>
  <c r="B569" i="14"/>
  <c r="B565" i="14"/>
  <c r="B561" i="14"/>
  <c r="B557" i="14"/>
  <c r="B553" i="14"/>
  <c r="E621" i="14" l="1"/>
  <c r="B547" i="14"/>
  <c r="B546" i="14"/>
  <c r="B524" i="14"/>
  <c r="E503" i="14"/>
  <c r="E506" i="14"/>
  <c r="E507" i="14"/>
  <c r="E508" i="14"/>
  <c r="E509" i="14"/>
  <c r="E510" i="14"/>
  <c r="E511" i="14"/>
  <c r="E512" i="14"/>
  <c r="E513" i="14"/>
  <c r="E514" i="14"/>
  <c r="E516" i="14"/>
  <c r="E517" i="14"/>
  <c r="E518" i="14"/>
  <c r="E519" i="14"/>
  <c r="E520" i="14"/>
  <c r="E522" i="14"/>
  <c r="E524" i="14"/>
  <c r="E502" i="14"/>
  <c r="B503" i="14"/>
  <c r="B506" i="14"/>
  <c r="B507" i="14"/>
  <c r="B508" i="14"/>
  <c r="B509" i="14"/>
  <c r="B510" i="14"/>
  <c r="B511" i="14"/>
  <c r="B512" i="14"/>
  <c r="B513" i="14"/>
  <c r="B514" i="14"/>
  <c r="B516" i="14"/>
  <c r="B517" i="14"/>
  <c r="B518" i="14"/>
  <c r="B519" i="14"/>
  <c r="B520" i="14"/>
  <c r="B522" i="14"/>
  <c r="B502" i="14"/>
  <c r="J4" i="11" l="1"/>
  <c r="E276" i="14" l="1"/>
  <c r="E275" i="14"/>
  <c r="E274" i="14"/>
  <c r="E273" i="14"/>
  <c r="E272" i="14"/>
  <c r="E270" i="14"/>
  <c r="E269" i="14"/>
  <c r="E268" i="14"/>
  <c r="E267" i="14"/>
  <c r="E266" i="14"/>
  <c r="E264" i="14"/>
  <c r="E263" i="14"/>
  <c r="E262" i="14"/>
  <c r="E261" i="14"/>
  <c r="E260" i="14"/>
  <c r="B272" i="14"/>
  <c r="B266" i="14"/>
  <c r="B260" i="14"/>
  <c r="E271" i="14" l="1"/>
  <c r="E265" i="14"/>
  <c r="E277" i="14"/>
  <c r="K23" i="8" l="1"/>
  <c r="B26" i="19" s="1"/>
  <c r="C84" i="8" l="1"/>
  <c r="C82" i="8"/>
  <c r="C80" i="8"/>
  <c r="C78" i="8"/>
  <c r="C76" i="8"/>
  <c r="C74" i="8"/>
  <c r="C72" i="8"/>
  <c r="C70" i="8"/>
  <c r="C68" i="8"/>
  <c r="C66" i="8"/>
  <c r="C64" i="8"/>
  <c r="C62" i="8"/>
  <c r="C60" i="8"/>
  <c r="C58" i="8"/>
  <c r="C56" i="8"/>
  <c r="C54" i="8"/>
  <c r="C52" i="8"/>
  <c r="C50" i="8"/>
  <c r="C48" i="8"/>
  <c r="C46" i="8"/>
  <c r="E660" i="14" l="1"/>
  <c r="E658" i="14"/>
  <c r="E656" i="14"/>
  <c r="E654" i="14"/>
  <c r="E651" i="14"/>
  <c r="E652" i="14"/>
  <c r="E650" i="14"/>
  <c r="E648" i="14"/>
  <c r="E646" i="14"/>
  <c r="E644" i="14"/>
  <c r="E642" i="14"/>
  <c r="D2" i="12"/>
  <c r="D2" i="11"/>
  <c r="D2" i="10"/>
  <c r="D2" i="8"/>
  <c r="J35" i="12" l="1"/>
  <c r="E664" i="14" s="1"/>
  <c r="J37" i="12"/>
  <c r="L37" i="12" s="1"/>
  <c r="E690" i="14" s="1"/>
  <c r="J38" i="12"/>
  <c r="E667" i="14" s="1"/>
  <c r="J41" i="12"/>
  <c r="E670" i="14" s="1"/>
  <c r="J40" i="12"/>
  <c r="E669" i="14" s="1"/>
  <c r="J34" i="12"/>
  <c r="E663" i="14" s="1"/>
  <c r="E1" i="14"/>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12" i="8"/>
  <c r="C8" i="19" s="1"/>
  <c r="K30" i="8"/>
  <c r="K31" i="8"/>
  <c r="K24" i="8"/>
  <c r="K22" i="8"/>
  <c r="B25" i="19" s="1"/>
  <c r="K21" i="8"/>
  <c r="E22" i="14"/>
  <c r="E23" i="14"/>
  <c r="E24" i="14"/>
  <c r="E25" i="14"/>
  <c r="E8" i="14"/>
  <c r="F38" i="8"/>
  <c r="F39" i="8" s="1"/>
  <c r="E201" i="14"/>
  <c r="H38" i="8"/>
  <c r="H39" i="8" s="1"/>
  <c r="I38" i="8"/>
  <c r="I39" i="8" s="1"/>
  <c r="J38" i="8"/>
  <c r="J39" i="8" s="1"/>
  <c r="B98" i="14"/>
  <c r="K19" i="8"/>
  <c r="C11" i="19" s="1"/>
  <c r="G11" i="8"/>
  <c r="H11" i="8"/>
  <c r="I11" i="8"/>
  <c r="J11" i="8"/>
  <c r="K9" i="8"/>
  <c r="K10" i="8"/>
  <c r="E7" i="14"/>
  <c r="J51" i="12"/>
  <c r="E679" i="14" s="1"/>
  <c r="J52" i="12"/>
  <c r="E680" i="14" s="1"/>
  <c r="J53" i="12"/>
  <c r="E681" i="14" s="1"/>
  <c r="J54" i="12"/>
  <c r="E682" i="14" s="1"/>
  <c r="J55" i="12"/>
  <c r="E683" i="14" s="1"/>
  <c r="J58" i="12"/>
  <c r="E686" i="14" s="1"/>
  <c r="J50" i="12"/>
  <c r="E678" i="14" s="1"/>
  <c r="D679" i="14"/>
  <c r="D680" i="14"/>
  <c r="D681" i="14"/>
  <c r="D682" i="14"/>
  <c r="D683" i="14"/>
  <c r="D686" i="14"/>
  <c r="D678" i="14"/>
  <c r="J42" i="12"/>
  <c r="E671" i="14" s="1"/>
  <c r="J43" i="12"/>
  <c r="E672" i="14" s="1"/>
  <c r="J44" i="12"/>
  <c r="E673" i="14" s="1"/>
  <c r="J48" i="12"/>
  <c r="E677" i="14" s="1"/>
  <c r="D664" i="14"/>
  <c r="D666" i="14"/>
  <c r="D667" i="14"/>
  <c r="D669" i="14"/>
  <c r="D670" i="14"/>
  <c r="D671" i="14"/>
  <c r="D672" i="14"/>
  <c r="D673" i="14"/>
  <c r="D677" i="14"/>
  <c r="D663" i="14"/>
  <c r="E622" i="14"/>
  <c r="E623" i="14"/>
  <c r="E624" i="14"/>
  <c r="E625" i="14"/>
  <c r="E626" i="14"/>
  <c r="E627" i="14"/>
  <c r="E628" i="14"/>
  <c r="E629" i="14"/>
  <c r="E630" i="14"/>
  <c r="E631" i="14"/>
  <c r="E632" i="14"/>
  <c r="E633" i="14"/>
  <c r="E634" i="14"/>
  <c r="E635" i="14"/>
  <c r="E636" i="14"/>
  <c r="E637" i="14"/>
  <c r="E638" i="14"/>
  <c r="E639" i="14"/>
  <c r="E640" i="14"/>
  <c r="E641" i="14"/>
  <c r="E643" i="14"/>
  <c r="E645" i="14"/>
  <c r="E647" i="14"/>
  <c r="E649" i="14"/>
  <c r="E653" i="14"/>
  <c r="E655" i="14"/>
  <c r="E657" i="14"/>
  <c r="E659" i="14"/>
  <c r="E661" i="14"/>
  <c r="B660" i="14"/>
  <c r="B658" i="14"/>
  <c r="B656" i="14"/>
  <c r="B654" i="14"/>
  <c r="B652" i="14"/>
  <c r="B650" i="14"/>
  <c r="B648" i="14"/>
  <c r="B646" i="14"/>
  <c r="B644" i="14"/>
  <c r="B642" i="14"/>
  <c r="B640" i="14"/>
  <c r="B638" i="14"/>
  <c r="B636" i="14"/>
  <c r="B634" i="14"/>
  <c r="B632" i="14"/>
  <c r="B630" i="14"/>
  <c r="B628" i="14"/>
  <c r="B626" i="14"/>
  <c r="B624" i="14"/>
  <c r="B622" i="14"/>
  <c r="B549" i="14"/>
  <c r="E780" i="14"/>
  <c r="E779" i="14"/>
  <c r="E776" i="14"/>
  <c r="E774" i="14"/>
  <c r="E773" i="14"/>
  <c r="E772" i="14"/>
  <c r="E771" i="14"/>
  <c r="E770" i="14"/>
  <c r="E768" i="14"/>
  <c r="E767" i="14"/>
  <c r="E766" i="14"/>
  <c r="E765" i="14"/>
  <c r="E764" i="14"/>
  <c r="E762" i="14"/>
  <c r="E761" i="14"/>
  <c r="E760" i="14"/>
  <c r="E759" i="14"/>
  <c r="E758" i="14"/>
  <c r="E756" i="14"/>
  <c r="E755" i="14"/>
  <c r="E754" i="14"/>
  <c r="E753" i="14"/>
  <c r="E752" i="14"/>
  <c r="E750" i="14"/>
  <c r="E749" i="14"/>
  <c r="E748" i="14"/>
  <c r="E747" i="14"/>
  <c r="E746" i="14"/>
  <c r="E738" i="14"/>
  <c r="E737" i="14"/>
  <c r="E736" i="14"/>
  <c r="E735" i="14"/>
  <c r="E734" i="14"/>
  <c r="E732" i="14"/>
  <c r="E731" i="14"/>
  <c r="E730" i="14"/>
  <c r="E729" i="14"/>
  <c r="E728" i="14"/>
  <c r="E726" i="14"/>
  <c r="E725" i="14"/>
  <c r="E724" i="14"/>
  <c r="E723" i="14"/>
  <c r="E722" i="14"/>
  <c r="E720" i="14"/>
  <c r="E719" i="14"/>
  <c r="E718" i="14"/>
  <c r="E717" i="14"/>
  <c r="E716" i="14"/>
  <c r="B776" i="14"/>
  <c r="B770" i="14"/>
  <c r="B764" i="14"/>
  <c r="B758" i="14"/>
  <c r="B752" i="14"/>
  <c r="B746" i="14"/>
  <c r="B740" i="14"/>
  <c r="B734" i="14"/>
  <c r="B728" i="14"/>
  <c r="B722" i="14"/>
  <c r="B716" i="14"/>
  <c r="E436" i="14"/>
  <c r="E435" i="14"/>
  <c r="E434" i="14"/>
  <c r="E433" i="14"/>
  <c r="E432" i="14"/>
  <c r="E431" i="14"/>
  <c r="E430" i="14"/>
  <c r="E428" i="14"/>
  <c r="E427" i="14"/>
  <c r="E426" i="14"/>
  <c r="E425" i="14"/>
  <c r="E424" i="14"/>
  <c r="E423" i="14"/>
  <c r="E422" i="14"/>
  <c r="E421" i="14"/>
  <c r="E420" i="14"/>
  <c r="E419" i="14"/>
  <c r="D421" i="14"/>
  <c r="D420" i="14"/>
  <c r="D419" i="14"/>
  <c r="B419" i="14"/>
  <c r="E418" i="14"/>
  <c r="B418" i="14"/>
  <c r="E294" i="14"/>
  <c r="E295" i="14"/>
  <c r="E296" i="14"/>
  <c r="E297" i="14"/>
  <c r="E293" i="14"/>
  <c r="B294" i="14"/>
  <c r="B295" i="14"/>
  <c r="B296" i="14"/>
  <c r="B297" i="14"/>
  <c r="B293" i="14"/>
  <c r="E291" i="14"/>
  <c r="E289" i="14"/>
  <c r="B291" i="14"/>
  <c r="B289" i="14"/>
  <c r="B281" i="14"/>
  <c r="B278" i="14"/>
  <c r="E254" i="14"/>
  <c r="E255" i="14"/>
  <c r="E256" i="14"/>
  <c r="E257" i="14"/>
  <c r="E258" i="14"/>
  <c r="E248" i="14"/>
  <c r="E249" i="14"/>
  <c r="E250" i="14"/>
  <c r="E251" i="14"/>
  <c r="E252" i="14"/>
  <c r="B248" i="14"/>
  <c r="J40" i="8"/>
  <c r="J43" i="8"/>
  <c r="I40" i="8"/>
  <c r="I43" i="8"/>
  <c r="E233" i="14" s="1"/>
  <c r="H40" i="8"/>
  <c r="H43" i="8"/>
  <c r="E232" i="14" s="1"/>
  <c r="G40" i="8"/>
  <c r="G43" i="8"/>
  <c r="F40" i="8"/>
  <c r="E212" i="14" s="1"/>
  <c r="E230" i="14"/>
  <c r="E240" i="14"/>
  <c r="E239" i="14"/>
  <c r="E238" i="14"/>
  <c r="E237" i="14"/>
  <c r="E236" i="14"/>
  <c r="E228" i="14"/>
  <c r="E227" i="14"/>
  <c r="E226" i="14"/>
  <c r="E225" i="14"/>
  <c r="E224" i="14"/>
  <c r="E222" i="14"/>
  <c r="E221" i="14"/>
  <c r="E220" i="14"/>
  <c r="E219" i="14"/>
  <c r="E218" i="14"/>
  <c r="E198" i="14"/>
  <c r="E197" i="14"/>
  <c r="E196" i="14"/>
  <c r="E195" i="14"/>
  <c r="E194" i="14"/>
  <c r="E192" i="14"/>
  <c r="E191" i="14"/>
  <c r="E190" i="14"/>
  <c r="E189" i="14"/>
  <c r="E188" i="14"/>
  <c r="E186" i="14"/>
  <c r="E185" i="14"/>
  <c r="E184" i="14"/>
  <c r="E183" i="14"/>
  <c r="E182" i="14"/>
  <c r="B254" i="14"/>
  <c r="B242" i="14"/>
  <c r="B236" i="14"/>
  <c r="B230" i="14"/>
  <c r="B224" i="14"/>
  <c r="B218" i="14"/>
  <c r="B212" i="14"/>
  <c r="B206" i="14"/>
  <c r="B200" i="14"/>
  <c r="B194" i="14"/>
  <c r="B188" i="14"/>
  <c r="B182" i="14"/>
  <c r="E180" i="14"/>
  <c r="E179" i="14"/>
  <c r="E178" i="14"/>
  <c r="E177" i="14"/>
  <c r="E176" i="14"/>
  <c r="E174" i="14"/>
  <c r="E173" i="14"/>
  <c r="E172" i="14"/>
  <c r="E171" i="14"/>
  <c r="E170" i="14"/>
  <c r="E168" i="14"/>
  <c r="E167" i="14"/>
  <c r="E166" i="14"/>
  <c r="E165" i="14"/>
  <c r="E164" i="14"/>
  <c r="E138" i="14"/>
  <c r="E137" i="14"/>
  <c r="E136" i="14"/>
  <c r="E135" i="14"/>
  <c r="E134" i="14"/>
  <c r="E132" i="14"/>
  <c r="E131" i="14"/>
  <c r="E130" i="14"/>
  <c r="E129" i="14"/>
  <c r="E128" i="14"/>
  <c r="E126" i="14"/>
  <c r="E125" i="14"/>
  <c r="E124" i="14"/>
  <c r="E123" i="14"/>
  <c r="E122" i="14"/>
  <c r="E120" i="14"/>
  <c r="E119" i="14"/>
  <c r="E118" i="14"/>
  <c r="E117" i="14"/>
  <c r="E116" i="14"/>
  <c r="E96" i="14"/>
  <c r="E95" i="14"/>
  <c r="E94" i="14"/>
  <c r="E93" i="14"/>
  <c r="E92" i="14"/>
  <c r="E90" i="14"/>
  <c r="E89" i="14"/>
  <c r="E88" i="14"/>
  <c r="E87" i="14"/>
  <c r="E86" i="14"/>
  <c r="B86" i="14"/>
  <c r="E84" i="14"/>
  <c r="E83" i="14"/>
  <c r="E82" i="14"/>
  <c r="E81" i="14"/>
  <c r="E80" i="14"/>
  <c r="E78" i="14"/>
  <c r="E77" i="14"/>
  <c r="E76" i="14"/>
  <c r="E75" i="14"/>
  <c r="E74" i="14"/>
  <c r="B74" i="14"/>
  <c r="E72" i="14"/>
  <c r="E71" i="14"/>
  <c r="E70" i="14"/>
  <c r="E69" i="14"/>
  <c r="E68" i="14"/>
  <c r="E66" i="14"/>
  <c r="E65" i="14"/>
  <c r="E64" i="14"/>
  <c r="E63" i="14"/>
  <c r="E62" i="14"/>
  <c r="B62" i="14"/>
  <c r="E54" i="14"/>
  <c r="E53" i="14"/>
  <c r="E52" i="14"/>
  <c r="E51" i="14"/>
  <c r="E50" i="14"/>
  <c r="E48" i="14"/>
  <c r="E47" i="14"/>
  <c r="E46" i="14"/>
  <c r="E45" i="14"/>
  <c r="E44" i="14"/>
  <c r="E42" i="14"/>
  <c r="E41" i="14"/>
  <c r="E40" i="14"/>
  <c r="E39" i="14"/>
  <c r="E38" i="14"/>
  <c r="B44" i="14"/>
  <c r="E36" i="14"/>
  <c r="E35" i="14"/>
  <c r="E34" i="14"/>
  <c r="E33" i="14"/>
  <c r="E32" i="14"/>
  <c r="E26" i="14"/>
  <c r="E27" i="14"/>
  <c r="E28" i="14"/>
  <c r="E29" i="14"/>
  <c r="E30" i="14"/>
  <c r="B176" i="14"/>
  <c r="B170" i="14"/>
  <c r="B164" i="14"/>
  <c r="B134" i="14"/>
  <c r="B128" i="14"/>
  <c r="B122" i="14"/>
  <c r="B116" i="14"/>
  <c r="B110" i="14"/>
  <c r="B92" i="14"/>
  <c r="B80" i="14"/>
  <c r="B68" i="14"/>
  <c r="B56" i="14"/>
  <c r="B50" i="14"/>
  <c r="B38" i="14"/>
  <c r="B32" i="14"/>
  <c r="B26" i="14"/>
  <c r="E21" i="14"/>
  <c r="E20" i="14"/>
  <c r="E19" i="14"/>
  <c r="E18" i="14"/>
  <c r="E6" i="14"/>
  <c r="B11" i="9"/>
  <c r="E5" i="14" s="1"/>
  <c r="E4" i="14"/>
  <c r="E3" i="14"/>
  <c r="E2" i="14"/>
  <c r="D429" i="14"/>
  <c r="K91" i="8"/>
  <c r="K90" i="8"/>
  <c r="K89" i="8"/>
  <c r="K10" i="11"/>
  <c r="K9" i="11"/>
  <c r="K6" i="8"/>
  <c r="K7" i="8"/>
  <c r="K8" i="8"/>
  <c r="K13" i="8"/>
  <c r="K14" i="8"/>
  <c r="C9" i="19" s="1"/>
  <c r="K15" i="8"/>
  <c r="K16" i="8"/>
  <c r="C10" i="19" s="1"/>
  <c r="K17" i="8"/>
  <c r="K35" i="8"/>
  <c r="K36" i="8"/>
  <c r="K37" i="8"/>
  <c r="K41" i="8"/>
  <c r="C17" i="19" s="1"/>
  <c r="K42" i="8"/>
  <c r="C18" i="19" s="1"/>
  <c r="K44" i="8"/>
  <c r="K46" i="8"/>
  <c r="K47" i="8"/>
  <c r="L35" i="12"/>
  <c r="E688" i="14" s="1"/>
  <c r="L38" i="12" l="1"/>
  <c r="M38" i="12" s="1"/>
  <c r="L52" i="12"/>
  <c r="E704" i="14" s="1"/>
  <c r="B27" i="19"/>
  <c r="F34" i="19" s="1"/>
  <c r="E831" i="14"/>
  <c r="B24" i="19"/>
  <c r="F25" i="19" s="1"/>
  <c r="E4" i="20"/>
  <c r="L55" i="12"/>
  <c r="E707" i="14" s="1"/>
  <c r="L42" i="12"/>
  <c r="E695" i="14" s="1"/>
  <c r="L40" i="12"/>
  <c r="E693" i="14" s="1"/>
  <c r="L44" i="12"/>
  <c r="E697" i="14" s="1"/>
  <c r="G39" i="8"/>
  <c r="B49" i="19" s="1"/>
  <c r="I45" i="8"/>
  <c r="E245" i="14" s="1"/>
  <c r="H45" i="8"/>
  <c r="E244" i="14" s="1"/>
  <c r="F45" i="8"/>
  <c r="E242" i="14" s="1"/>
  <c r="E210" i="14"/>
  <c r="J45" i="8"/>
  <c r="E246" i="14" s="1"/>
  <c r="L50" i="12"/>
  <c r="E702" i="14" s="1"/>
  <c r="E666" i="14"/>
  <c r="L43" i="12"/>
  <c r="E696" i="14" s="1"/>
  <c r="B50" i="19"/>
  <c r="B51" i="19"/>
  <c r="B48" i="19"/>
  <c r="E203" i="14"/>
  <c r="B52" i="19"/>
  <c r="B41" i="19"/>
  <c r="L34" i="12"/>
  <c r="E687" i="14" s="1"/>
  <c r="L51" i="12"/>
  <c r="E703" i="14" s="1"/>
  <c r="E60" i="14"/>
  <c r="L48" i="12"/>
  <c r="E701" i="14" s="1"/>
  <c r="M55" i="12"/>
  <c r="E216" i="14"/>
  <c r="C52" i="19"/>
  <c r="C43" i="19"/>
  <c r="E215" i="14"/>
  <c r="C42" i="19"/>
  <c r="C51" i="19"/>
  <c r="E213" i="14"/>
  <c r="B42" i="19"/>
  <c r="B43" i="19"/>
  <c r="C39" i="19"/>
  <c r="B39" i="19"/>
  <c r="C48" i="19"/>
  <c r="E214" i="14"/>
  <c r="C41" i="19"/>
  <c r="C50" i="19"/>
  <c r="L53" i="12"/>
  <c r="E705" i="14" s="1"/>
  <c r="F20" i="8"/>
  <c r="E110" i="14" s="1"/>
  <c r="H20" i="8"/>
  <c r="E112" i="14" s="1"/>
  <c r="G20" i="8"/>
  <c r="E111" i="14" s="1"/>
  <c r="J20" i="8"/>
  <c r="E114" i="14" s="1"/>
  <c r="I20" i="8"/>
  <c r="E113" i="14" s="1"/>
  <c r="M51" i="12"/>
  <c r="L58" i="12"/>
  <c r="E710" i="14" s="1"/>
  <c r="M52" i="12"/>
  <c r="M53" i="12"/>
  <c r="M35" i="12"/>
  <c r="M48" i="12"/>
  <c r="M37" i="12"/>
  <c r="M40" i="12"/>
  <c r="M34" i="12"/>
  <c r="M50" i="12"/>
  <c r="L54" i="12"/>
  <c r="E706" i="14" s="1"/>
  <c r="E202" i="14"/>
  <c r="D67" i="11"/>
  <c r="E547" i="14" s="1"/>
  <c r="E526" i="14"/>
  <c r="L41" i="12"/>
  <c r="E694" i="14" s="1"/>
  <c r="M41" i="12"/>
  <c r="E57" i="14"/>
  <c r="E56" i="14"/>
  <c r="E741" i="14"/>
  <c r="E778" i="14"/>
  <c r="K43" i="8"/>
  <c r="C19" i="19" s="1"/>
  <c r="E200" i="14"/>
  <c r="E204" i="14"/>
  <c r="K40" i="8"/>
  <c r="C16" i="19" s="1"/>
  <c r="E59" i="14"/>
  <c r="E58" i="14"/>
  <c r="E234" i="14"/>
  <c r="E206" i="14"/>
  <c r="E209" i="14"/>
  <c r="E208" i="14"/>
  <c r="K38" i="8"/>
  <c r="E231" i="14"/>
  <c r="K11" i="8"/>
  <c r="C4" i="19" s="1"/>
  <c r="E744" i="14"/>
  <c r="E121" i="14"/>
  <c r="E79" i="14"/>
  <c r="E49" i="14"/>
  <c r="E175" i="14"/>
  <c r="E241" i="14"/>
  <c r="E721" i="14"/>
  <c r="E37" i="14"/>
  <c r="E169" i="14"/>
  <c r="E187" i="14"/>
  <c r="E133" i="14"/>
  <c r="E91" i="14"/>
  <c r="E139" i="14"/>
  <c r="E253" i="14"/>
  <c r="E662" i="14"/>
  <c r="E31" i="14"/>
  <c r="E43" i="14"/>
  <c r="E85" i="14"/>
  <c r="E181" i="14"/>
  <c r="E229" i="14"/>
  <c r="E259" i="14"/>
  <c r="E67" i="14"/>
  <c r="E97" i="14"/>
  <c r="E193" i="14"/>
  <c r="E199" i="14"/>
  <c r="E223" i="14"/>
  <c r="E55" i="14"/>
  <c r="E73" i="14"/>
  <c r="E127" i="14"/>
  <c r="E429" i="14"/>
  <c r="E437" i="14"/>
  <c r="E769" i="14"/>
  <c r="E743" i="14"/>
  <c r="E751" i="14"/>
  <c r="E757" i="14"/>
  <c r="E763" i="14"/>
  <c r="E775" i="14"/>
  <c r="E727" i="14"/>
  <c r="E733" i="14"/>
  <c r="E739" i="14"/>
  <c r="E740" i="14"/>
  <c r="E742" i="14"/>
  <c r="E777" i="14"/>
  <c r="M43" i="12" l="1"/>
  <c r="E691" i="14"/>
  <c r="M42" i="12"/>
  <c r="M44" i="12"/>
  <c r="K39" i="8"/>
  <c r="C3" i="19" s="1"/>
  <c r="C2" i="19" s="1"/>
  <c r="E830" i="14"/>
  <c r="F31" i="19"/>
  <c r="E832" i="14"/>
  <c r="F28" i="19"/>
  <c r="B40" i="19"/>
  <c r="C49" i="19"/>
  <c r="G45" i="8"/>
  <c r="E243" i="14" s="1"/>
  <c r="E247" i="14" s="1"/>
  <c r="E207" i="14"/>
  <c r="E211" i="14" s="1"/>
  <c r="C40" i="19"/>
  <c r="E217" i="14"/>
  <c r="E115" i="14"/>
  <c r="K20" i="8"/>
  <c r="M58" i="12"/>
  <c r="M54" i="12"/>
  <c r="E235" i="14"/>
  <c r="E781" i="14"/>
  <c r="E205" i="14"/>
  <c r="E61" i="14"/>
  <c r="E745" i="14"/>
  <c r="E6" i="20" l="1"/>
  <c r="E838" i="14" s="1"/>
  <c r="E836" i="14"/>
  <c r="K45" i="8"/>
  <c r="C15" i="19" s="1"/>
  <c r="C20" i="19" s="1"/>
  <c r="C7" i="19" l="1"/>
  <c r="C12" i="19" s="1"/>
</calcChain>
</file>

<file path=xl/sharedStrings.xml><?xml version="1.0" encoding="utf-8"?>
<sst xmlns="http://schemas.openxmlformats.org/spreadsheetml/2006/main" count="8268" uniqueCount="3775">
  <si>
    <t>2.12 (a)</t>
  </si>
  <si>
    <t>Male</t>
  </si>
  <si>
    <t>Female</t>
  </si>
  <si>
    <t>TS/TG</t>
  </si>
  <si>
    <t xml:space="preserve">Children </t>
  </si>
  <si>
    <t>Total</t>
  </si>
  <si>
    <t>Name of the ART Centre</t>
  </si>
  <si>
    <t>Adults</t>
  </si>
  <si>
    <t>Females</t>
  </si>
  <si>
    <t>Children</t>
  </si>
  <si>
    <t>Males</t>
  </si>
  <si>
    <t>FSW</t>
  </si>
  <si>
    <t>MSM</t>
  </si>
  <si>
    <t>IDU</t>
  </si>
  <si>
    <t>Migrants</t>
  </si>
  <si>
    <t>Truckers</t>
  </si>
  <si>
    <t>Children (&lt;15 years)</t>
  </si>
  <si>
    <t xml:space="preserve">Male </t>
  </si>
  <si>
    <t>Out of these Functional LACs, how many are LAC Plus</t>
  </si>
  <si>
    <t>Month</t>
  </si>
  <si>
    <t>Year</t>
  </si>
  <si>
    <t>ART</t>
  </si>
  <si>
    <t>1. General Information</t>
  </si>
  <si>
    <t>1.2 Name of institution where ART Centre is located</t>
  </si>
  <si>
    <t>1.3 Complete Postal Address</t>
  </si>
  <si>
    <t>State:</t>
  </si>
  <si>
    <t>1.5 Reporting Period/ month:</t>
  </si>
  <si>
    <t>1.6 Name of Nodal Officer of ART Centre</t>
  </si>
  <si>
    <t>1.7 Contact Details of Nodal Officer of ART Centre</t>
  </si>
  <si>
    <t>Email (Off)</t>
  </si>
  <si>
    <t>Mobile</t>
  </si>
  <si>
    <t>Staff</t>
  </si>
  <si>
    <t>Name</t>
  </si>
  <si>
    <t>Mobile No</t>
  </si>
  <si>
    <t>Date of Appointment</t>
  </si>
  <si>
    <t>SMO (Senior Medical Officer)</t>
  </si>
  <si>
    <t>MO (Medical Officer) 1</t>
  </si>
  <si>
    <t>MO (Medical Officer) 2</t>
  </si>
  <si>
    <t>Staff Nurse (Institutional)</t>
  </si>
  <si>
    <t>Staff Nurse 1</t>
  </si>
  <si>
    <t>Staff Nurse 2</t>
  </si>
  <si>
    <t>Counsellor 1</t>
  </si>
  <si>
    <t>Counsellor 2</t>
  </si>
  <si>
    <t>Counsellor 3</t>
  </si>
  <si>
    <t>Counsellor 4</t>
  </si>
  <si>
    <t>Lab Technician 1</t>
  </si>
  <si>
    <t>Lab Technician 2</t>
  </si>
  <si>
    <t>Data Manager 1</t>
  </si>
  <si>
    <t>Data Manager 2</t>
  </si>
  <si>
    <t xml:space="preserve">Care Coordinator </t>
  </si>
  <si>
    <t xml:space="preserve"> Name &amp; Address of Link ART Centre</t>
  </si>
  <si>
    <t>Contact Details</t>
  </si>
  <si>
    <t xml:space="preserve"> Name &amp; Address of CSC</t>
  </si>
  <si>
    <t>Name of Project Co-ordinator In-Charge of CSC</t>
  </si>
  <si>
    <t>Email</t>
  </si>
  <si>
    <t>On ART</t>
  </si>
  <si>
    <t>Pre-ART</t>
  </si>
  <si>
    <r>
      <rPr>
        <b/>
        <u/>
        <sz val="8"/>
        <color indexed="8"/>
        <rFont val="Verdana"/>
        <family val="2"/>
      </rPr>
      <t>3.8</t>
    </r>
    <r>
      <rPr>
        <sz val="8"/>
        <color indexed="8"/>
        <rFont val="Verdana"/>
        <family val="2"/>
      </rPr>
      <t xml:space="preserve"> Number of PLHIV whose status is "LFU" till the end of this month (it is a dynamic figure)</t>
    </r>
  </si>
  <si>
    <r>
      <rPr>
        <b/>
        <u/>
        <sz val="8"/>
        <color indexed="8"/>
        <rFont val="Verdana"/>
        <family val="2"/>
      </rPr>
      <t>3.2</t>
    </r>
    <r>
      <rPr>
        <sz val="8"/>
        <color indexed="8"/>
        <rFont val="Verdana"/>
        <family val="2"/>
      </rPr>
      <t xml:space="preserve"> Number of new PLHIV started on ART during this month</t>
    </r>
  </si>
  <si>
    <r>
      <rPr>
        <b/>
        <u/>
        <sz val="8"/>
        <color indexed="8"/>
        <rFont val="Verdana"/>
        <family val="2"/>
      </rPr>
      <t>3.1</t>
    </r>
    <r>
      <rPr>
        <sz val="8"/>
        <color indexed="8"/>
        <rFont val="Verdana"/>
        <family val="2"/>
      </rPr>
      <t xml:space="preserve"> Number of PLHIV ever started on ART at the beginning of this month (3.5 of previous month)</t>
    </r>
  </si>
  <si>
    <t xml:space="preserve">Children(&lt;15 Years) </t>
  </si>
  <si>
    <t>Indicator</t>
  </si>
  <si>
    <t>b. On ART</t>
  </si>
  <si>
    <t>a. Not on ART</t>
  </si>
  <si>
    <t>Adult</t>
  </si>
  <si>
    <t>Indicators</t>
  </si>
  <si>
    <t xml:space="preserve">e3)Total Consumption </t>
  </si>
  <si>
    <t>e1) at ART Centre during the month</t>
  </si>
  <si>
    <t>b 3) Usable stock received from patients this month</t>
  </si>
  <si>
    <t xml:space="preserve">b1) Stock received during month from SACS/supplier </t>
  </si>
  <si>
    <t>i) Qty. of stock going to expire in next 6 months which can not be consumed before the expiry date</t>
  </si>
  <si>
    <t>h) Approx. number of months for which stock is sufficient (g/e3)</t>
  </si>
  <si>
    <t xml:space="preserve">g) Balance Stock on last day of the month </t>
  </si>
  <si>
    <t>f) Expiry during the month</t>
  </si>
  <si>
    <t>e) Consumption</t>
  </si>
  <si>
    <t>d) Stock given to Link ART Centres</t>
  </si>
  <si>
    <t xml:space="preserve"> b) Receipts</t>
  </si>
  <si>
    <t>a) Opening stock</t>
  </si>
  <si>
    <t>Generic Drug Name</t>
  </si>
  <si>
    <t>Side effects</t>
  </si>
  <si>
    <r>
      <rPr>
        <b/>
        <sz val="8"/>
        <color indexed="8"/>
        <rFont val="Verdana"/>
        <family val="2"/>
      </rPr>
      <t>8</t>
    </r>
    <r>
      <rPr>
        <sz val="8"/>
        <color indexed="8"/>
        <rFont val="Verdana"/>
        <family val="2"/>
      </rPr>
      <t xml:space="preserve"> Toxoplasmosis</t>
    </r>
  </si>
  <si>
    <t>TG</t>
  </si>
  <si>
    <t>ISO No:GOI/NACO/CST/FRM-ARTMPR/02/01/2015</t>
  </si>
  <si>
    <t>In Pre ART Care at the time of TB diagnosis</t>
  </si>
  <si>
    <t xml:space="preserve">On ART at the time of TB diagnosis </t>
  </si>
  <si>
    <r>
      <rPr>
        <b/>
        <sz val="8"/>
        <color indexed="8"/>
        <rFont val="Verdana"/>
        <family val="2"/>
      </rPr>
      <t>(iii)</t>
    </r>
    <r>
      <rPr>
        <sz val="8"/>
        <color indexed="8"/>
        <rFont val="Verdana"/>
        <family val="2"/>
      </rPr>
      <t xml:space="preserve"> Extra-Pulmonary TB </t>
    </r>
    <r>
      <rPr>
        <sz val="8"/>
        <rFont val="Verdana"/>
        <family val="2"/>
      </rPr>
      <t>(Microbiologically confirmed)</t>
    </r>
  </si>
  <si>
    <r>
      <rPr>
        <b/>
        <sz val="8"/>
        <color theme="1"/>
        <rFont val="Verdana"/>
        <family val="2"/>
      </rPr>
      <t>(iv)</t>
    </r>
    <r>
      <rPr>
        <sz val="8"/>
        <color theme="1"/>
        <rFont val="Verdana"/>
        <family val="2"/>
      </rPr>
      <t xml:space="preserve"> Extra Pulmonary (Clinically diagnosed)</t>
    </r>
  </si>
  <si>
    <t xml:space="preserve">4 e. IPT Status </t>
  </si>
  <si>
    <t>State</t>
  </si>
  <si>
    <t>ART Centre Code</t>
  </si>
  <si>
    <t>District</t>
  </si>
  <si>
    <t>Year of MPR</t>
  </si>
  <si>
    <t>Month of MPR</t>
  </si>
  <si>
    <t>Andaman &amp; Nicobar Islands</t>
  </si>
  <si>
    <t>Andhra Pradesh</t>
  </si>
  <si>
    <t>Arunachal Pradesh</t>
  </si>
  <si>
    <t>Assam</t>
  </si>
  <si>
    <t>Bihar</t>
  </si>
  <si>
    <t>Chandigarh</t>
  </si>
  <si>
    <t>Chhattisgarh</t>
  </si>
  <si>
    <t>Delhi</t>
  </si>
  <si>
    <t>Goa</t>
  </si>
  <si>
    <t>Gujarat</t>
  </si>
  <si>
    <t>Haryana</t>
  </si>
  <si>
    <t>Himachal Pradesh</t>
  </si>
  <si>
    <t>Jharkhand</t>
  </si>
  <si>
    <t>Karnataka</t>
  </si>
  <si>
    <t>Kerala</t>
  </si>
  <si>
    <t>Madhya Pradesh</t>
  </si>
  <si>
    <t>Maharashtra</t>
  </si>
  <si>
    <t>Manipur</t>
  </si>
  <si>
    <t>Meghalaya</t>
  </si>
  <si>
    <t>Mizoram</t>
  </si>
  <si>
    <t>Nagaland</t>
  </si>
  <si>
    <t>Odisha</t>
  </si>
  <si>
    <t>Pondicherry</t>
  </si>
  <si>
    <t>Punjab</t>
  </si>
  <si>
    <t>Rajasthan</t>
  </si>
  <si>
    <t>Sikkim</t>
  </si>
  <si>
    <t>Tamil Nadu</t>
  </si>
  <si>
    <t>Tripura</t>
  </si>
  <si>
    <t>Uttar Pradesh</t>
  </si>
  <si>
    <t>Uttarakhand</t>
  </si>
  <si>
    <t>West Bengal</t>
  </si>
  <si>
    <t>Date of Induction Training</t>
  </si>
  <si>
    <t>Date of latest Refresher training</t>
  </si>
  <si>
    <t>1.11.a) Machine Available (Yes/No)</t>
  </si>
  <si>
    <t>MO (Medical Officer) 3</t>
  </si>
  <si>
    <t>Staff Nurse 3</t>
  </si>
  <si>
    <t>Pharmacist 1</t>
  </si>
  <si>
    <t>Pharmacist 2</t>
  </si>
  <si>
    <t>Pharmacist 3</t>
  </si>
  <si>
    <t>Lab Technician 3</t>
  </si>
  <si>
    <t>Data Manager 3</t>
  </si>
  <si>
    <t xml:space="preserve"> Paediatrics</t>
  </si>
  <si>
    <t>4.b EID</t>
  </si>
  <si>
    <t>4.a. PPTCT</t>
  </si>
  <si>
    <t>Adult Females</t>
  </si>
  <si>
    <r>
      <rPr>
        <b/>
        <u/>
        <sz val="8"/>
        <color theme="1"/>
        <rFont val="Verdana"/>
        <family val="2"/>
      </rPr>
      <t>4.e.1</t>
    </r>
    <r>
      <rPr>
        <sz val="8"/>
        <color theme="1"/>
        <rFont val="Verdana"/>
        <family val="2"/>
      </rPr>
      <t xml:space="preserve"> Number of PLHIV newly initiated on IPT during the month</t>
    </r>
  </si>
  <si>
    <r>
      <rPr>
        <b/>
        <u/>
        <sz val="8"/>
        <color theme="1"/>
        <rFont val="Verdana"/>
        <family val="2"/>
      </rPr>
      <t>4.e.2</t>
    </r>
    <r>
      <rPr>
        <sz val="8"/>
        <color theme="1"/>
        <rFont val="Verdana"/>
        <family val="2"/>
      </rPr>
      <t xml:space="preserve"> Number of PLHIV completed IPT during the month</t>
    </r>
  </si>
  <si>
    <t>6.a Total number of PLHIV</t>
  </si>
  <si>
    <t>6.a.2 Total number of Paediatric PLHIV</t>
  </si>
  <si>
    <t xml:space="preserve">6.a.1 Total number of Adult PLHIV alive and on ART </t>
  </si>
  <si>
    <r>
      <rPr>
        <b/>
        <sz val="8"/>
        <color indexed="8"/>
        <rFont val="Verdana"/>
        <family val="2"/>
      </rPr>
      <t>1(a)</t>
    </r>
    <r>
      <rPr>
        <sz val="8"/>
        <color indexed="8"/>
        <rFont val="Verdana"/>
        <family val="2"/>
      </rPr>
      <t xml:space="preserve"> Tuberculosis (Pulmonary)</t>
    </r>
  </si>
  <si>
    <r>
      <rPr>
        <b/>
        <sz val="8"/>
        <color indexed="8"/>
        <rFont val="Verdana"/>
        <family val="2"/>
      </rPr>
      <t>1(b)</t>
    </r>
    <r>
      <rPr>
        <sz val="8"/>
        <color indexed="8"/>
        <rFont val="Verdana"/>
        <family val="2"/>
      </rPr>
      <t>Tuberculosis (Extra-Pulmonary)</t>
    </r>
  </si>
  <si>
    <r>
      <rPr>
        <b/>
        <sz val="8"/>
        <color indexed="8"/>
        <rFont val="Verdana"/>
        <family val="2"/>
      </rPr>
      <t>2</t>
    </r>
    <r>
      <rPr>
        <sz val="8"/>
        <color indexed="8"/>
        <rFont val="Verdana"/>
        <family val="2"/>
      </rPr>
      <t xml:space="preserve"> Candidiasis</t>
    </r>
  </si>
  <si>
    <r>
      <rPr>
        <b/>
        <sz val="8"/>
        <color indexed="8"/>
        <rFont val="Verdana"/>
        <family val="2"/>
      </rPr>
      <t>4</t>
    </r>
    <r>
      <rPr>
        <sz val="8"/>
        <color indexed="8"/>
        <rFont val="Verdana"/>
        <family val="2"/>
      </rPr>
      <t xml:space="preserve"> PCP</t>
    </r>
  </si>
  <si>
    <r>
      <rPr>
        <b/>
        <sz val="8"/>
        <color indexed="8"/>
        <rFont val="Verdana"/>
        <family val="2"/>
      </rPr>
      <t>5</t>
    </r>
    <r>
      <rPr>
        <sz val="8"/>
        <color indexed="8"/>
        <rFont val="Verdana"/>
        <family val="2"/>
      </rPr>
      <t xml:space="preserve"> Herpes Zoster</t>
    </r>
  </si>
  <si>
    <r>
      <rPr>
        <b/>
        <sz val="8"/>
        <color indexed="8"/>
        <rFont val="Verdana"/>
        <family val="2"/>
      </rPr>
      <t>6</t>
    </r>
    <r>
      <rPr>
        <sz val="8"/>
        <color indexed="8"/>
        <rFont val="Verdana"/>
        <family val="2"/>
      </rPr>
      <t xml:space="preserve"> Bacterial Infections (Respiratory)</t>
    </r>
  </si>
  <si>
    <r>
      <rPr>
        <b/>
        <sz val="8"/>
        <color indexed="8"/>
        <rFont val="Verdana"/>
        <family val="2"/>
      </rPr>
      <t>7</t>
    </r>
    <r>
      <rPr>
        <sz val="8"/>
        <color indexed="8"/>
        <rFont val="Verdana"/>
        <family val="2"/>
      </rPr>
      <t xml:space="preserve"> Cryptococcal Meningitis</t>
    </r>
  </si>
  <si>
    <r>
      <rPr>
        <b/>
        <sz val="8"/>
        <color indexed="8"/>
        <rFont val="Verdana"/>
        <family val="2"/>
      </rPr>
      <t>1</t>
    </r>
    <r>
      <rPr>
        <sz val="8"/>
        <color indexed="8"/>
        <rFont val="Verdana"/>
        <family val="2"/>
      </rPr>
      <t xml:space="preserve"> AZT Induced Anaemia</t>
    </r>
  </si>
  <si>
    <r>
      <rPr>
        <b/>
        <sz val="8"/>
        <color indexed="8"/>
        <rFont val="Verdana"/>
        <family val="2"/>
      </rPr>
      <t>11</t>
    </r>
    <r>
      <rPr>
        <sz val="8"/>
        <color indexed="8"/>
        <rFont val="Verdana"/>
        <family val="2"/>
      </rPr>
      <t xml:space="preserve"> GI Side Effects</t>
    </r>
  </si>
  <si>
    <r>
      <rPr>
        <b/>
        <sz val="8"/>
        <color indexed="8"/>
        <rFont val="Verdana"/>
        <family val="2"/>
      </rPr>
      <t>2</t>
    </r>
    <r>
      <rPr>
        <sz val="8"/>
        <color indexed="8"/>
        <rFont val="Verdana"/>
        <family val="2"/>
      </rPr>
      <t xml:space="preserve"> Peripheral Neuropathy</t>
    </r>
  </si>
  <si>
    <r>
      <rPr>
        <b/>
        <sz val="8"/>
        <color indexed="8"/>
        <rFont val="Verdana"/>
        <family val="2"/>
      </rPr>
      <t>12</t>
    </r>
    <r>
      <rPr>
        <sz val="8"/>
        <color indexed="8"/>
        <rFont val="Verdana"/>
        <family val="2"/>
      </rPr>
      <t xml:space="preserve"> CNS Side Effects</t>
    </r>
  </si>
  <si>
    <r>
      <rPr>
        <b/>
        <sz val="8"/>
        <color indexed="8"/>
        <rFont val="Verdana"/>
        <family val="2"/>
      </rPr>
      <t>3</t>
    </r>
    <r>
      <rPr>
        <sz val="8"/>
        <color indexed="8"/>
        <rFont val="Verdana"/>
        <family val="2"/>
      </rPr>
      <t xml:space="preserve"> Hepatitis</t>
    </r>
  </si>
  <si>
    <r>
      <rPr>
        <b/>
        <sz val="8"/>
        <color indexed="8"/>
        <rFont val="Verdana"/>
        <family val="2"/>
      </rPr>
      <t>4</t>
    </r>
    <r>
      <rPr>
        <sz val="8"/>
        <color indexed="8"/>
        <rFont val="Verdana"/>
        <family val="2"/>
      </rPr>
      <t xml:space="preserve"> Lipodystrophy</t>
    </r>
  </si>
  <si>
    <r>
      <rPr>
        <b/>
        <sz val="8"/>
        <color indexed="8"/>
        <rFont val="Verdana"/>
        <family val="2"/>
      </rPr>
      <t>14</t>
    </r>
    <r>
      <rPr>
        <sz val="8"/>
        <color indexed="8"/>
        <rFont val="Verdana"/>
        <family val="2"/>
      </rPr>
      <t xml:space="preserve"> Lipid abnormalities</t>
    </r>
  </si>
  <si>
    <r>
      <rPr>
        <b/>
        <sz val="8"/>
        <color indexed="8"/>
        <rFont val="Verdana"/>
        <family val="2"/>
      </rPr>
      <t>5</t>
    </r>
    <r>
      <rPr>
        <sz val="8"/>
        <color indexed="8"/>
        <rFont val="Verdana"/>
        <family val="2"/>
      </rPr>
      <t xml:space="preserve"> Lactic Acidosis</t>
    </r>
  </si>
  <si>
    <r>
      <rPr>
        <b/>
        <sz val="8"/>
        <color indexed="8"/>
        <rFont val="Verdana"/>
        <family val="2"/>
      </rPr>
      <t>6</t>
    </r>
    <r>
      <rPr>
        <sz val="8"/>
        <color indexed="8"/>
        <rFont val="Verdana"/>
        <family val="2"/>
      </rPr>
      <t xml:space="preserve"> Pancreatitis</t>
    </r>
  </si>
  <si>
    <r>
      <rPr>
        <b/>
        <sz val="8"/>
        <color indexed="8"/>
        <rFont val="Verdana"/>
        <family val="2"/>
      </rPr>
      <t>16</t>
    </r>
    <r>
      <rPr>
        <sz val="8"/>
        <color indexed="8"/>
        <rFont val="Verdana"/>
        <family val="2"/>
      </rPr>
      <t xml:space="preserve"> Drug induced hyperbilirubinemia </t>
    </r>
  </si>
  <si>
    <r>
      <rPr>
        <b/>
        <sz val="8"/>
        <color indexed="8"/>
        <rFont val="Verdana"/>
        <family val="2"/>
      </rPr>
      <t>7</t>
    </r>
    <r>
      <rPr>
        <sz val="8"/>
        <color indexed="8"/>
        <rFont val="Verdana"/>
        <family val="2"/>
      </rPr>
      <t xml:space="preserve"> Skin Reaction</t>
    </r>
  </si>
  <si>
    <r>
      <rPr>
        <b/>
        <sz val="8"/>
        <color indexed="8"/>
        <rFont val="Verdana"/>
        <family val="2"/>
      </rPr>
      <t>8</t>
    </r>
    <r>
      <rPr>
        <sz val="8"/>
        <color indexed="8"/>
        <rFont val="Verdana"/>
        <family val="2"/>
      </rPr>
      <t xml:space="preserve"> Myalgia</t>
    </r>
  </si>
  <si>
    <r>
      <rPr>
        <b/>
        <sz val="8"/>
        <color indexed="8"/>
        <rFont val="Verdana"/>
        <family val="2"/>
      </rPr>
      <t>9</t>
    </r>
    <r>
      <rPr>
        <sz val="8"/>
        <color indexed="8"/>
        <rFont val="Verdana"/>
        <family val="2"/>
      </rPr>
      <t xml:space="preserve"> IRIS</t>
    </r>
  </si>
  <si>
    <r>
      <t xml:space="preserve">10 </t>
    </r>
    <r>
      <rPr>
        <sz val="8"/>
        <color indexed="8"/>
        <rFont val="Verdana"/>
        <family val="2"/>
      </rPr>
      <t>Depression</t>
    </r>
  </si>
  <si>
    <r>
      <rPr>
        <b/>
        <sz val="8"/>
        <color indexed="8"/>
        <rFont val="Verdana"/>
        <family val="2"/>
      </rPr>
      <t>10</t>
    </r>
    <r>
      <rPr>
        <sz val="8"/>
        <color indexed="8"/>
        <rFont val="Verdana"/>
        <family val="2"/>
      </rPr>
      <t xml:space="preserve"> CMV Retinitis</t>
    </r>
  </si>
  <si>
    <r>
      <rPr>
        <b/>
        <sz val="8"/>
        <color indexed="8"/>
        <rFont val="Verdana"/>
        <family val="2"/>
      </rPr>
      <t>11</t>
    </r>
    <r>
      <rPr>
        <sz val="8"/>
        <color indexed="8"/>
        <rFont val="Verdana"/>
        <family val="2"/>
      </rPr>
      <t xml:space="preserve"> MAC</t>
    </r>
  </si>
  <si>
    <r>
      <rPr>
        <b/>
        <sz val="8"/>
        <color indexed="8"/>
        <rFont val="Verdana"/>
        <family val="2"/>
      </rPr>
      <t>12</t>
    </r>
    <r>
      <rPr>
        <sz val="8"/>
        <color indexed="8"/>
        <rFont val="Verdana"/>
        <family val="2"/>
      </rPr>
      <t xml:space="preserve"> Bacterial Infections(skin)</t>
    </r>
  </si>
  <si>
    <r>
      <rPr>
        <b/>
        <sz val="8"/>
        <color indexed="8"/>
        <rFont val="Verdana"/>
        <family val="2"/>
      </rPr>
      <t>13</t>
    </r>
    <r>
      <rPr>
        <sz val="8"/>
        <color indexed="8"/>
        <rFont val="Verdana"/>
        <family val="2"/>
      </rPr>
      <t xml:space="preserve"> Herpes Simplex</t>
    </r>
  </si>
  <si>
    <r>
      <rPr>
        <b/>
        <sz val="8"/>
        <color indexed="8"/>
        <rFont val="Verdana"/>
        <family val="2"/>
      </rPr>
      <t xml:space="preserve">9 </t>
    </r>
    <r>
      <rPr>
        <sz val="8"/>
        <color indexed="8"/>
        <rFont val="Verdana"/>
        <family val="2"/>
      </rPr>
      <t>Malignancy</t>
    </r>
  </si>
  <si>
    <r>
      <rPr>
        <b/>
        <sz val="8"/>
        <color indexed="8"/>
        <rFont val="Verdana"/>
        <family val="2"/>
      </rPr>
      <t>14</t>
    </r>
    <r>
      <rPr>
        <sz val="8"/>
        <color indexed="8"/>
        <rFont val="Verdana"/>
        <family val="2"/>
      </rPr>
      <t xml:space="preserve"> Hepatitis - B</t>
    </r>
  </si>
  <si>
    <r>
      <rPr>
        <b/>
        <sz val="8"/>
        <color indexed="8"/>
        <rFont val="Verdana"/>
        <family val="2"/>
      </rPr>
      <t>15</t>
    </r>
    <r>
      <rPr>
        <sz val="8"/>
        <color indexed="8"/>
        <rFont val="Verdana"/>
        <family val="2"/>
      </rPr>
      <t xml:space="preserve"> Hepatitis - C</t>
    </r>
  </si>
  <si>
    <r>
      <rPr>
        <b/>
        <sz val="8"/>
        <color indexed="8"/>
        <rFont val="Verdana"/>
        <family val="2"/>
      </rPr>
      <t>13</t>
    </r>
    <r>
      <rPr>
        <sz val="8"/>
        <color indexed="8"/>
        <rFont val="Verdana"/>
        <family val="2"/>
      </rPr>
      <t xml:space="preserve"> Drug induced Hyperglycaemia</t>
    </r>
  </si>
  <si>
    <r>
      <rPr>
        <b/>
        <sz val="8"/>
        <color indexed="8"/>
        <rFont val="Verdana"/>
        <family val="2"/>
      </rPr>
      <t>15</t>
    </r>
    <r>
      <rPr>
        <sz val="8"/>
        <color indexed="8"/>
        <rFont val="Verdana"/>
        <family val="2"/>
      </rPr>
      <t xml:space="preserve"> Renal abnormalities</t>
    </r>
  </si>
  <si>
    <t>c) Stock transferred out to other ART Centres/SACS</t>
  </si>
  <si>
    <r>
      <rPr>
        <b/>
        <u/>
        <sz val="8"/>
        <color rgb="FF000000"/>
        <rFont val="Verdana"/>
        <family val="2"/>
      </rPr>
      <t>4.d.4</t>
    </r>
    <r>
      <rPr>
        <b/>
        <sz val="8"/>
        <color rgb="FF000000"/>
        <rFont val="Verdana"/>
        <family val="2"/>
      </rPr>
      <t xml:space="preserve"> </t>
    </r>
    <r>
      <rPr>
        <sz val="8"/>
        <color rgb="FF000000"/>
        <rFont val="Verdana"/>
        <family val="2"/>
      </rPr>
      <t>Out of 4.d.1, number of Co-infected patients initiated on CPT</t>
    </r>
  </si>
  <si>
    <r>
      <rPr>
        <b/>
        <u/>
        <sz val="8"/>
        <color rgb="FF000000"/>
        <rFont val="Verdana"/>
        <family val="2"/>
      </rPr>
      <t>4.d.5</t>
    </r>
    <r>
      <rPr>
        <b/>
        <sz val="8"/>
        <color rgb="FF000000"/>
        <rFont val="Verdana"/>
        <family val="2"/>
      </rPr>
      <t xml:space="preserve"> </t>
    </r>
    <r>
      <rPr>
        <sz val="8"/>
        <color rgb="FF000000"/>
        <rFont val="Verdana"/>
        <family val="2"/>
      </rPr>
      <t>Out of 4.d.1, number of Co-infected patients initiated on ART</t>
    </r>
  </si>
  <si>
    <t xml:space="preserve">Report should be sent to </t>
  </si>
  <si>
    <t>Type of Facility:</t>
  </si>
  <si>
    <t>Name of ARTC</t>
  </si>
  <si>
    <t>Complete Address</t>
  </si>
  <si>
    <t>Type of Facility</t>
  </si>
  <si>
    <t>Anantapur</t>
  </si>
  <si>
    <t>ART Centre, O.P.No.3A, 1st Floor, Govt, General Hospital, Ananthapuram - 515001</t>
  </si>
  <si>
    <t>Anakapalli</t>
  </si>
  <si>
    <t>Visakhapatnam</t>
  </si>
  <si>
    <t>Chittoor</t>
  </si>
  <si>
    <t>Eluru</t>
  </si>
  <si>
    <t>West Godavari</t>
  </si>
  <si>
    <t>Guntur</t>
  </si>
  <si>
    <t>Kadapa</t>
  </si>
  <si>
    <t>Kakinada</t>
  </si>
  <si>
    <t>East Godavari</t>
  </si>
  <si>
    <t>Kurnool</t>
  </si>
  <si>
    <t>Machilipatnam</t>
  </si>
  <si>
    <t>Krishna</t>
  </si>
  <si>
    <t>Nellore</t>
  </si>
  <si>
    <t>ART Centre, DSR Dist. Hqrs. Hospital, Dargamitta, A.K. Nagar Post, Nellore-524 004</t>
  </si>
  <si>
    <t>Ongole</t>
  </si>
  <si>
    <t>Prakasam</t>
  </si>
  <si>
    <t>ART Centre, Room-25, RIMS Hospital Ongole, Prakasam Dist.</t>
  </si>
  <si>
    <t>Rajahmundry</t>
  </si>
  <si>
    <t>ART Centre, District Head Quarters Hospital, Rajahmundry, Andhra Pradesh</t>
  </si>
  <si>
    <t>Srikakulam</t>
  </si>
  <si>
    <t>Tenali</t>
  </si>
  <si>
    <t>ART Centre, Area Hospital, Tenali, Guntur District, Andhra Pradesh</t>
  </si>
  <si>
    <t>Tirupathi</t>
  </si>
  <si>
    <t>Vijayawada</t>
  </si>
  <si>
    <t>Vizianagaram</t>
  </si>
  <si>
    <t>Marakapur</t>
  </si>
  <si>
    <t>Tadepalligudem</t>
  </si>
  <si>
    <t>Narasaraopet</t>
  </si>
  <si>
    <t>Produtur</t>
  </si>
  <si>
    <t>IDH-Guntur</t>
  </si>
  <si>
    <t>Kadiri</t>
  </si>
  <si>
    <t>ART Centre, Area Hospital, Khadri, Ananthapur Dist.</t>
  </si>
  <si>
    <t>Chest-Vizag</t>
  </si>
  <si>
    <t>NRI</t>
  </si>
  <si>
    <t>ART Centre, NRIGH &amp; MC, Chinakakani , Guntur District, 522503</t>
  </si>
  <si>
    <t>RDT</t>
  </si>
  <si>
    <t>ARTCentre,Rural Development Trust Hospital, Bathalapalli (Village &amp; Mandal) Pin: 515661, Anantapur (District), Andhra Pradesh</t>
  </si>
  <si>
    <t>OGGH Vijayawada</t>
  </si>
  <si>
    <t>Chirala</t>
  </si>
  <si>
    <t>Madanapalli</t>
  </si>
  <si>
    <t>Narsipatnam</t>
  </si>
  <si>
    <t>Tuni</t>
  </si>
  <si>
    <t>ART Centre, Area Hospital, Tuni, East Godavari</t>
  </si>
  <si>
    <t>Gudiwada</t>
  </si>
  <si>
    <t>Chilkaluripet</t>
  </si>
  <si>
    <t>ART Centre, Area Hospital, Chilkaluripeta</t>
  </si>
  <si>
    <t>Parvathipuram</t>
  </si>
  <si>
    <t>Tanuku</t>
  </si>
  <si>
    <t>ART Centre, Area Hopsital, Tanuku</t>
  </si>
  <si>
    <t>Arunachal State Hospital Naharlagun</t>
  </si>
  <si>
    <t>Gauhati Medical College Hospital, Guwahati</t>
  </si>
  <si>
    <t>Kamrup</t>
  </si>
  <si>
    <t>Guwahati Medical College &amp; Hospital, MCH Complex, GMCH Rd, Bhangagarh, Guwahati, Assam 781032</t>
  </si>
  <si>
    <t>Assam Medical College Hospital, Dibrugarh</t>
  </si>
  <si>
    <t>Dibrugarh</t>
  </si>
  <si>
    <t>Assam Medical College &amp; Hospital, Barbari, Dibrugarh, Assam 786002</t>
  </si>
  <si>
    <t>Silchar Medical College Hospital, Cachar</t>
  </si>
  <si>
    <t>Cachar</t>
  </si>
  <si>
    <t>Silchar Medical College &amp; Hospital, Masimpur, Uttar Krishnapur Pt III, Assam 788014</t>
  </si>
  <si>
    <t>Fakhruddin Ali Ahamed Medical College &amp; Hospital</t>
  </si>
  <si>
    <t>Barpeta</t>
  </si>
  <si>
    <t>Fakhruddin Ali Ahmed Medical College &amp; Hospital, Barpeta-Hospital-Jania Rd, Barpeta Town, Assam 781301</t>
  </si>
  <si>
    <t>Jorhat Medical College &amp; Hospital, Jorhat</t>
  </si>
  <si>
    <t>Jorhat</t>
  </si>
  <si>
    <t>FI ART Centre, BP Civil Hospital</t>
  </si>
  <si>
    <t>Nagaon</t>
  </si>
  <si>
    <t>Bhogeshwari Phukanani Civil Hospital, NH 36, Nagaon, Assam 782001</t>
  </si>
  <si>
    <t>SH, Begusarai</t>
  </si>
  <si>
    <t>Begusarai</t>
  </si>
  <si>
    <t>JLNMCH, Bhagalpur</t>
  </si>
  <si>
    <t>Bhagalpur</t>
  </si>
  <si>
    <t>SH, Chapra</t>
  </si>
  <si>
    <t>Saran</t>
  </si>
  <si>
    <t>Sadar Hospital Chapra, ART Centre Sadar Hospital Chapra Saran, Bihar,  841301</t>
  </si>
  <si>
    <t>DMCH, Darbhanga</t>
  </si>
  <si>
    <t>Darbhanga</t>
  </si>
  <si>
    <t>ANMMCH, Gaya</t>
  </si>
  <si>
    <t>Gaya</t>
  </si>
  <si>
    <t>SH, Gopalganj</t>
  </si>
  <si>
    <t>Gopalganj</t>
  </si>
  <si>
    <t>ART Centre, OPD Building, Sadar Hospital Gopalganj, Bihar, 841428</t>
  </si>
  <si>
    <t>SH, Hajipur</t>
  </si>
  <si>
    <t>Hajipur</t>
  </si>
  <si>
    <t>KMC, Katihar</t>
  </si>
  <si>
    <t>Katihar</t>
  </si>
  <si>
    <t>SH, Khagaria</t>
  </si>
  <si>
    <t>Khagaria</t>
  </si>
  <si>
    <t>SH, Madhubani</t>
  </si>
  <si>
    <t>Madhubani</t>
  </si>
  <si>
    <t>SH, Motihari</t>
  </si>
  <si>
    <t>East Champaran</t>
  </si>
  <si>
    <t>SKMCH, Muzaffarpur</t>
  </si>
  <si>
    <t>Muzaffapur</t>
  </si>
  <si>
    <t>PMCH, Patna</t>
  </si>
  <si>
    <t>Patna</t>
  </si>
  <si>
    <t>ART Centre, Patna Medical College Hospital, Patna, Bihar  800004</t>
  </si>
  <si>
    <t>RMRI, Patna</t>
  </si>
  <si>
    <t>SH, Samastipur</t>
  </si>
  <si>
    <t>Samastipur</t>
  </si>
  <si>
    <t>Sadar Hospital Samastipur, Samastipur, Bihar, 848101</t>
  </si>
  <si>
    <t>SH, Sitamarhi</t>
  </si>
  <si>
    <t>Sitamarhi</t>
  </si>
  <si>
    <t>Sadar Hospital, Sitamarhi, Room No. 11, 1st Floor, OPD Building, Sadar Hospital, Sitamarhi, Bihar, 843302</t>
  </si>
  <si>
    <t>PGI Centre of Excellence</t>
  </si>
  <si>
    <t>ART Centre, Chhattisgarh Institute of Medical Science (CIMS), Bilaspur</t>
  </si>
  <si>
    <t>A.R.T. Center, Room No. 1, Raghunath Dist. Hospital Ambikapur, Surguja, Chhattisgarh</t>
  </si>
  <si>
    <t>Dr. RML Hospital</t>
  </si>
  <si>
    <t>New Delhi</t>
  </si>
  <si>
    <t>All India Institute of Medical Science</t>
  </si>
  <si>
    <t>South</t>
  </si>
  <si>
    <t>North-West</t>
  </si>
  <si>
    <t>Central</t>
  </si>
  <si>
    <t>GTB Hospital, Delhi</t>
  </si>
  <si>
    <t>North-East</t>
  </si>
  <si>
    <t>DDU Hospital ND.</t>
  </si>
  <si>
    <t>West</t>
  </si>
  <si>
    <t>South-West</t>
  </si>
  <si>
    <t>National Institute of Tuberculosis and Respiratory Diseases</t>
  </si>
  <si>
    <t>Kalawati Saran Children Hospital</t>
  </si>
  <si>
    <t>Deep Chand Bandhu Hospital</t>
  </si>
  <si>
    <t>Lal Bahadur Shastri Hospital</t>
  </si>
  <si>
    <t>Goa Medical college</t>
  </si>
  <si>
    <t>North Goa</t>
  </si>
  <si>
    <t>ART Centre, Opp Pediatric Dept, Goa Medical College, Bambolim  Goa. 403002</t>
  </si>
  <si>
    <t>201/202, Ground Floor, OPD Building, Civil Hospital Campus, Asarwa, Ahmedabad</t>
  </si>
  <si>
    <t>New Civil Hospital, Surat</t>
  </si>
  <si>
    <t>Surat</t>
  </si>
  <si>
    <t>Government Medical College, OPD-18, OPD Building, 1st Floor, New Civil Hospital, Ring Road, Majura Gate, Surat</t>
  </si>
  <si>
    <t>PDU Hospital, Rajkot</t>
  </si>
  <si>
    <t>Rajkot</t>
  </si>
  <si>
    <t>26, 2nd Floor, New OPD Building, PDU Hospital, Rajkot</t>
  </si>
  <si>
    <t>Sir T General Hospital, Bhavnagar</t>
  </si>
  <si>
    <t>Bhavnagar</t>
  </si>
  <si>
    <t>Basemet, New OPD Building, Sir T. General Hospital, Bhavnagar</t>
  </si>
  <si>
    <t>Mehsana</t>
  </si>
  <si>
    <t>SSG Hospital, Vadodara</t>
  </si>
  <si>
    <t>Vadodara</t>
  </si>
  <si>
    <t>OPD 26, SSG Hospital, Vadodara</t>
  </si>
  <si>
    <t>G. G. Hospital - Jamnagar</t>
  </si>
  <si>
    <t>Jamnagar</t>
  </si>
  <si>
    <t>Ground Floor, Obstetrics &amp; Gynecology Bldg., Nr. ICTC "Vatsayan" Kendra, G. G. Hospital, Jamnagar</t>
  </si>
  <si>
    <t>M G S. General Hospital</t>
  </si>
  <si>
    <t>Surendranagar</t>
  </si>
  <si>
    <t>M G S. General Hospital, 1st Floor, Above PP Unit, Opp. DAPCU Office, Opp. Bus Stand, Surendranagar</t>
  </si>
  <si>
    <t>Civil Hospital, Junagadh</t>
  </si>
  <si>
    <t>Junagadh</t>
  </si>
  <si>
    <t>A.R.T. Centre, Civil Hospital, Junagadh</t>
  </si>
  <si>
    <t>G K General Hospital, Bhuj-Kutch</t>
  </si>
  <si>
    <t>A.R.T. Centre, G.K.General Hospital, Bhuj-Kutchh</t>
  </si>
  <si>
    <t>General Hospital, Palanpur</t>
  </si>
  <si>
    <t>Banaskantha</t>
  </si>
  <si>
    <t>ART Centre,General Hospital, Palanpur</t>
  </si>
  <si>
    <t>V S General Hospital, Ahmedabad</t>
  </si>
  <si>
    <t>SMIMER Hospita, Surat</t>
  </si>
  <si>
    <t>SMIMER Hospital, Umarwada, Surat</t>
  </si>
  <si>
    <t>General Hospital, Amreli</t>
  </si>
  <si>
    <t>Amreli</t>
  </si>
  <si>
    <t>1st Floor, General OPD Building, General Hospital, Amreli</t>
  </si>
  <si>
    <t>M G General Hospital, Navsari</t>
  </si>
  <si>
    <t>Navsari</t>
  </si>
  <si>
    <t>M G General Hospital, Station Road, Navsari</t>
  </si>
  <si>
    <t>Sir Pratap General Hospital, Himmatnagar</t>
  </si>
  <si>
    <t>Sabarkantha</t>
  </si>
  <si>
    <t>1st Floor, OPD Building, Room No.12, Sir Pratap General Hospital, Himmatnagar</t>
  </si>
  <si>
    <t>G H Hospital, Patan</t>
  </si>
  <si>
    <t>Patan</t>
  </si>
  <si>
    <t>Block C, No.12 Physiotheraphy Department, GMERS Medical College &amp; Hospital, Dharpur, Patan</t>
  </si>
  <si>
    <t>Bhavsinhji General Hospital, Porbandar</t>
  </si>
  <si>
    <t>Porbandar</t>
  </si>
  <si>
    <t>Ground FLOOR, Nr. Medical/Orthopedic OPD, Bhavsinhji General Hospital, Porbandar</t>
  </si>
  <si>
    <t>General Hospital, Bharuch</t>
  </si>
  <si>
    <t>Bharuch</t>
  </si>
  <si>
    <t>OPD 5, OPD Building, General Hospital, Bharuch</t>
  </si>
  <si>
    <t>General Hospital, Godhra</t>
  </si>
  <si>
    <t>Godhra</t>
  </si>
  <si>
    <t>RDC Building, Room No.4, General Hospital, Godhra</t>
  </si>
  <si>
    <t>Civil Hospital, Valsad</t>
  </si>
  <si>
    <t>Valsad</t>
  </si>
  <si>
    <t>Halar Road, Nanakwada, Civil Hospital, Valsad</t>
  </si>
  <si>
    <t>General Hospital, Nadiad</t>
  </si>
  <si>
    <t>Kheda</t>
  </si>
  <si>
    <t>General Hospital, Dahod</t>
  </si>
  <si>
    <t>Dahod</t>
  </si>
  <si>
    <t>ART Center , General Hospital, Nr.Station Road, Dahod</t>
  </si>
  <si>
    <t>GMERS Medical College &amp; General Hospital, Gandhinagar</t>
  </si>
  <si>
    <t>Gandhinagar</t>
  </si>
  <si>
    <t>G2, Above Sonography Room, Sector-12, Civil Hospital Campus, Gandhinagar</t>
  </si>
  <si>
    <t>Sola Civil Hospital, Sola, A'bad</t>
  </si>
  <si>
    <t>209, OPD Building, 2nd Floor, Sola Civil Hospital, Ahmedabad</t>
  </si>
  <si>
    <t>General Hospital, Vyara</t>
  </si>
  <si>
    <t>Tapi</t>
  </si>
  <si>
    <t>Above District Centre, General Hospital, Vyara, Dist. Tapi</t>
  </si>
  <si>
    <t>Reliance HIV &amp; TB Control Center, Surat (PPP)</t>
  </si>
  <si>
    <t>Reliance HIV &amp; TB Control Center, Hazira, Surat (PPP)</t>
  </si>
  <si>
    <t>GMERS Medical College, Gotri, Vadodara</t>
  </si>
  <si>
    <t>ART Centre, GMERS Medical College, Gotri, Vadodara</t>
  </si>
  <si>
    <t>Morbi</t>
  </si>
  <si>
    <t>ART CENTRE, WARD NO.26, PGIMS ROHTAK</t>
  </si>
  <si>
    <t>IGMC, Shimla</t>
  </si>
  <si>
    <t>Shimla</t>
  </si>
  <si>
    <t>Kangra</t>
  </si>
  <si>
    <t>Dr. Rajendra Prashad Government Medical College (DRPGMC) at Tanda, Kangra-176001 (HP)</t>
  </si>
  <si>
    <t>Hamirpur</t>
  </si>
  <si>
    <t>FI ART Zonal Hospital Mandi (HP)</t>
  </si>
  <si>
    <t>Mandi</t>
  </si>
  <si>
    <t>FI ART R.H.BILASPUR</t>
  </si>
  <si>
    <t>Bilaspur</t>
  </si>
  <si>
    <t>FI-ART Center, Regional Hospital, Bilaspur-174001 (HP).</t>
  </si>
  <si>
    <t>FI ARTC, RH-Una</t>
  </si>
  <si>
    <t>Una</t>
  </si>
  <si>
    <t>J&amp;K</t>
  </si>
  <si>
    <t>Jammu</t>
  </si>
  <si>
    <t>ART Plus Centre, Ground Floor Opposite registration Counter, Bakshi Nagar, GMC, Jammu - 180001</t>
  </si>
  <si>
    <t>ART Centre SKIMS</t>
  </si>
  <si>
    <t>Srinagar</t>
  </si>
  <si>
    <t>Dhanbad</t>
  </si>
  <si>
    <t>ARTC Hazaribagh</t>
  </si>
  <si>
    <t>Hazaribagh</t>
  </si>
  <si>
    <t>Daltonganj</t>
  </si>
  <si>
    <t>Deoghar</t>
  </si>
  <si>
    <t>Giridih</t>
  </si>
  <si>
    <t>Ranchi</t>
  </si>
  <si>
    <t>Mahatama Gandhi Memorial Medical College &amp; Hospital, Jamshedpur</t>
  </si>
  <si>
    <t>Jamshedpur</t>
  </si>
  <si>
    <t>ART Centre MGM Medical College Hospial , Sakchi Jamshedpur-Jharkhand Pin-831001</t>
  </si>
  <si>
    <t>Gulbarga</t>
  </si>
  <si>
    <t>Asha Kirana</t>
  </si>
  <si>
    <t>Mysore</t>
  </si>
  <si>
    <t>Athani</t>
  </si>
  <si>
    <t>Belgaum</t>
  </si>
  <si>
    <t>Bagalkot</t>
  </si>
  <si>
    <t>Bellary</t>
  </si>
  <si>
    <t>Bidar</t>
  </si>
  <si>
    <t>Bijapur</t>
  </si>
  <si>
    <t>Bowring</t>
  </si>
  <si>
    <t>Bangalore</t>
  </si>
  <si>
    <t>Chamarajnagar</t>
  </si>
  <si>
    <t>Channagiri</t>
  </si>
  <si>
    <t>Davangere</t>
  </si>
  <si>
    <t>Chikballapura</t>
  </si>
  <si>
    <t>Chikkodi</t>
  </si>
  <si>
    <t>Chikmangalur</t>
  </si>
  <si>
    <t>Chitradurga</t>
  </si>
  <si>
    <t>Dharwad</t>
  </si>
  <si>
    <t>Doddaballapur</t>
  </si>
  <si>
    <t>Gadag</t>
  </si>
  <si>
    <t>Gangavathi</t>
  </si>
  <si>
    <t>Koppal</t>
  </si>
  <si>
    <t>Gokak</t>
  </si>
  <si>
    <t>Hassan</t>
  </si>
  <si>
    <t>Haveri</t>
  </si>
  <si>
    <t>Hospet</t>
  </si>
  <si>
    <t>Hubli</t>
  </si>
  <si>
    <t>Hungund, Bgl Dist</t>
  </si>
  <si>
    <t>IGICH</t>
  </si>
  <si>
    <t>Indi</t>
  </si>
  <si>
    <t>Indiranagar</t>
  </si>
  <si>
    <t>Jamakandi</t>
  </si>
  <si>
    <t>Jewargi</t>
  </si>
  <si>
    <t>JSS, Mysore</t>
  </si>
  <si>
    <t>K C General</t>
  </si>
  <si>
    <t>K R Hosp, Mysore</t>
  </si>
  <si>
    <t>Karwar</t>
  </si>
  <si>
    <t>KIMS, B'lore</t>
  </si>
  <si>
    <t>KMC, Mangalore</t>
  </si>
  <si>
    <t>Mangalore</t>
  </si>
  <si>
    <t>Kodagu</t>
  </si>
  <si>
    <t>Kolar</t>
  </si>
  <si>
    <t>Kollegal</t>
  </si>
  <si>
    <t>Kundapur</t>
  </si>
  <si>
    <t>Udupi</t>
  </si>
  <si>
    <t>Lingasagur</t>
  </si>
  <si>
    <t>Raichur</t>
  </si>
  <si>
    <t>Mandya</t>
  </si>
  <si>
    <t>Muddebihal</t>
  </si>
  <si>
    <t>Mudhol</t>
  </si>
  <si>
    <t>Raibagh</t>
  </si>
  <si>
    <t>Ramanagara</t>
  </si>
  <si>
    <t>Saudatti</t>
  </si>
  <si>
    <t>Shimoga</t>
  </si>
  <si>
    <t>Sindagi</t>
  </si>
  <si>
    <t>Sindanur</t>
  </si>
  <si>
    <t>Sira (FI-ART)</t>
  </si>
  <si>
    <t>Tumkur</t>
  </si>
  <si>
    <t>Sirguppa</t>
  </si>
  <si>
    <t>Sirsi</t>
  </si>
  <si>
    <t>Tiptur</t>
  </si>
  <si>
    <t>Yadgir</t>
  </si>
  <si>
    <t>Trivandrum</t>
  </si>
  <si>
    <t>Alappuzha</t>
  </si>
  <si>
    <t>Kottayam</t>
  </si>
  <si>
    <t>Thrissur</t>
  </si>
  <si>
    <t>Kozhikode</t>
  </si>
  <si>
    <t>Ernakulam</t>
  </si>
  <si>
    <t>Palakkad</t>
  </si>
  <si>
    <t>Kasargod</t>
  </si>
  <si>
    <t>Kollam</t>
  </si>
  <si>
    <t>Kannur</t>
  </si>
  <si>
    <t>MP</t>
  </si>
  <si>
    <t>ART Centre, Medical OPD, Hamidia Hospital, Bhopal (MP) 462001</t>
  </si>
  <si>
    <t>Indore</t>
  </si>
  <si>
    <t>ART Centre, Old OPD, MY Hospital, Indore (MP) 452001</t>
  </si>
  <si>
    <t>Ujjain</t>
  </si>
  <si>
    <t>Jabalpur</t>
  </si>
  <si>
    <t>Rewa</t>
  </si>
  <si>
    <t>Gwalior</t>
  </si>
  <si>
    <t>ART Centre, Madhav Raje Dispensary, GR Medical College, Gwalior (MP)</t>
  </si>
  <si>
    <t>Khandwa</t>
  </si>
  <si>
    <t>Sagar</t>
  </si>
  <si>
    <t>Mandsaur</t>
  </si>
  <si>
    <t>Seoni</t>
  </si>
  <si>
    <t>Dhar</t>
  </si>
  <si>
    <t>ART Centre, District Hospital, Dhar (MP) 454001</t>
  </si>
  <si>
    <t>Barwani</t>
  </si>
  <si>
    <t>Neemuch</t>
  </si>
  <si>
    <t>Ratlam</t>
  </si>
  <si>
    <t>Burhanpur</t>
  </si>
  <si>
    <t>ART Centre, Nehru District Hospital, Burhanpur (MP) 450331</t>
  </si>
  <si>
    <t>Balaghat</t>
  </si>
  <si>
    <t>Khargone</t>
  </si>
  <si>
    <t>Ahmadnagar CH</t>
  </si>
  <si>
    <t>Pravara Medical Trust, Loni, A'nagar</t>
  </si>
  <si>
    <t>Akola GMC</t>
  </si>
  <si>
    <t>Lady hardinge DWH</t>
  </si>
  <si>
    <t>Akola</t>
  </si>
  <si>
    <t>Amravati GH</t>
  </si>
  <si>
    <t>Aurangabad GMC</t>
  </si>
  <si>
    <t>SDH Vaijapur, Aurangabad</t>
  </si>
  <si>
    <t>Rural Health Unit, Paithan</t>
  </si>
  <si>
    <t>SRTR Ambejogai, Beed</t>
  </si>
  <si>
    <t>Beed CH</t>
  </si>
  <si>
    <t>Bhandara CH</t>
  </si>
  <si>
    <t>Buldhana DH</t>
  </si>
  <si>
    <t>Chandrapur CH</t>
  </si>
  <si>
    <t>BILT,Chandrapur</t>
  </si>
  <si>
    <t>Dhule GMC</t>
  </si>
  <si>
    <t>Sub District Hospital, Shirpur</t>
  </si>
  <si>
    <t>Gadchiroli CH</t>
  </si>
  <si>
    <t>Gondia CH</t>
  </si>
  <si>
    <t>Hingoli CH</t>
  </si>
  <si>
    <t>Jalgaon CH</t>
  </si>
  <si>
    <t>Rural Hospital, Amalner</t>
  </si>
  <si>
    <t>Jalna CH</t>
  </si>
  <si>
    <t>Kolhapur RCSM GMC</t>
  </si>
  <si>
    <t>SDH Gadhinglaj, Kolhapur</t>
  </si>
  <si>
    <t>Ichalkaranji IGMH, Kolhapur</t>
  </si>
  <si>
    <t>Latur GMC</t>
  </si>
  <si>
    <t>Sub District Hospital, Udgir</t>
  </si>
  <si>
    <t>GMC Nagpur</t>
  </si>
  <si>
    <t>IGMC, Nagpur</t>
  </si>
  <si>
    <t>SDH Kamptee, Nagpur</t>
  </si>
  <si>
    <t>Nanded GMC</t>
  </si>
  <si>
    <t>Nandurbar CH</t>
  </si>
  <si>
    <t>Nashik CH</t>
  </si>
  <si>
    <t>SDH Malegaon</t>
  </si>
  <si>
    <t>Osmanabad CH</t>
  </si>
  <si>
    <t>Rural Hospital, Sastur</t>
  </si>
  <si>
    <t>Parbhani CH</t>
  </si>
  <si>
    <t>Sasoon G H Pune (BJMC)</t>
  </si>
  <si>
    <t>AFMC,Pune</t>
  </si>
  <si>
    <t>YCM, Pune</t>
  </si>
  <si>
    <t>Nari Pune</t>
  </si>
  <si>
    <t>SDH Baramati, Pune</t>
  </si>
  <si>
    <t>BSRC Hospital, Yerwada</t>
  </si>
  <si>
    <t>District Hospital, Aundh</t>
  </si>
  <si>
    <t>Raigad DH</t>
  </si>
  <si>
    <t>Reliance, Raigad</t>
  </si>
  <si>
    <t>Ratnagiri CH</t>
  </si>
  <si>
    <t>PVPG Singli</t>
  </si>
  <si>
    <t>Bharti Vidyapith, Sangli</t>
  </si>
  <si>
    <t>Miraj GMC,Sangli</t>
  </si>
  <si>
    <t>SDH Islampur, Sangli</t>
  </si>
  <si>
    <t>Satara CH</t>
  </si>
  <si>
    <t>SDH Karad, Satara</t>
  </si>
  <si>
    <t>SDH Phaltan, Satara</t>
  </si>
  <si>
    <t>Sidhudurg CH</t>
  </si>
  <si>
    <t>Solapur GMC</t>
  </si>
  <si>
    <t>SDH Pandharpur, Solapur</t>
  </si>
  <si>
    <t>RH Barshi , Solapur</t>
  </si>
  <si>
    <t>Thane CH</t>
  </si>
  <si>
    <t>NMMC Vashi, Thane</t>
  </si>
  <si>
    <t>Kalwa CSMH, Thane</t>
  </si>
  <si>
    <t>Ulhasnagar Central Hosp., Thane</t>
  </si>
  <si>
    <t>Bhiwandi IGM, Thane</t>
  </si>
  <si>
    <t>Corporation Hospital, Bhayander</t>
  </si>
  <si>
    <t>Rukminibai Hospital, Kalyan, KDMC</t>
  </si>
  <si>
    <t>Shastrinagar Hospital, Dombiwali, KDMC</t>
  </si>
  <si>
    <t>Wardha CH</t>
  </si>
  <si>
    <t>Washim CH</t>
  </si>
  <si>
    <t>Yavatmal GMC</t>
  </si>
  <si>
    <t>RIMS</t>
  </si>
  <si>
    <t>JNIMS</t>
  </si>
  <si>
    <t>Churachandpur DH</t>
  </si>
  <si>
    <t>Churachandpur</t>
  </si>
  <si>
    <t>Ukhrul DH</t>
  </si>
  <si>
    <t>Chandel DH</t>
  </si>
  <si>
    <t>Chandel</t>
  </si>
  <si>
    <t>Bishnupur DH</t>
  </si>
  <si>
    <t>Thoubal</t>
  </si>
  <si>
    <t>Senapati DH</t>
  </si>
  <si>
    <t>Tamenglong DH</t>
  </si>
  <si>
    <t>MSF-Churachandpur</t>
  </si>
  <si>
    <t>MSF-Moreh</t>
  </si>
  <si>
    <t>ART centre, CHC Moreh</t>
  </si>
  <si>
    <t>Shillong</t>
  </si>
  <si>
    <t>Aizawl E</t>
  </si>
  <si>
    <t>CH (Champhai)</t>
  </si>
  <si>
    <t>Champhai</t>
  </si>
  <si>
    <t>CH (Lunglei)</t>
  </si>
  <si>
    <t>Lunglei</t>
  </si>
  <si>
    <t>DH (Kolasib)</t>
  </si>
  <si>
    <t>Kolasib</t>
  </si>
  <si>
    <t>Kulikawn Hospital</t>
  </si>
  <si>
    <t>Aizawl W</t>
  </si>
  <si>
    <t>DH (Mamit)</t>
  </si>
  <si>
    <t>Mamit</t>
  </si>
  <si>
    <t>Mumbai</t>
  </si>
  <si>
    <t>Sir. J.J.ART Center</t>
  </si>
  <si>
    <t>Sir. J.J.ART Center 2</t>
  </si>
  <si>
    <t>KEM ART Center</t>
  </si>
  <si>
    <t>BYL Nair ART Center</t>
  </si>
  <si>
    <t>LTMGH Sion ART Center</t>
  </si>
  <si>
    <t>Shatabdi Govandi ART Center</t>
  </si>
  <si>
    <t>Siddharth ART Center</t>
  </si>
  <si>
    <t>M T Agarwal ART Center</t>
  </si>
  <si>
    <t>L &amp; T ART Center</t>
  </si>
  <si>
    <t>Godrej ART Center</t>
  </si>
  <si>
    <t>BDBA ART Center</t>
  </si>
  <si>
    <t>Dr R N Cooper ART Center</t>
  </si>
  <si>
    <t>K B Bhabha (Bandra) ART Center</t>
  </si>
  <si>
    <t>Rajawadi ART Center</t>
  </si>
  <si>
    <t>DH, Dimapur</t>
  </si>
  <si>
    <t>Dimapur</t>
  </si>
  <si>
    <t>NHA Kohima</t>
  </si>
  <si>
    <t>Kohima</t>
  </si>
  <si>
    <t>District Hospital Kiphire, Nagaland</t>
  </si>
  <si>
    <t>Kiphire</t>
  </si>
  <si>
    <t>IMDH, Mokokchung</t>
  </si>
  <si>
    <t>Mokokchung</t>
  </si>
  <si>
    <t>DH, Tuensang</t>
  </si>
  <si>
    <t>Tuensang</t>
  </si>
  <si>
    <t>Zunheboto</t>
  </si>
  <si>
    <t>DH, Phek</t>
  </si>
  <si>
    <t>Phek</t>
  </si>
  <si>
    <t>CHC, Jalukie</t>
  </si>
  <si>
    <t>Peren</t>
  </si>
  <si>
    <t>MKCG Medical College, Berhampur</t>
  </si>
  <si>
    <t>Ganjam</t>
  </si>
  <si>
    <t>SCB Medical College, Cuttack</t>
  </si>
  <si>
    <t>Cuttack</t>
  </si>
  <si>
    <t>VSS Medical College, Burla</t>
  </si>
  <si>
    <t>Sambalpur</t>
  </si>
  <si>
    <t>DHH, Koraput</t>
  </si>
  <si>
    <t>Koraput</t>
  </si>
  <si>
    <t>DHH, Angul</t>
  </si>
  <si>
    <t>Angul</t>
  </si>
  <si>
    <t>DHH, Balasore</t>
  </si>
  <si>
    <t>Balasore</t>
  </si>
  <si>
    <t>DHH, Balangir</t>
  </si>
  <si>
    <t>Balangir</t>
  </si>
  <si>
    <t>Capital Hospital, Bhubaneswar</t>
  </si>
  <si>
    <t>Khordha</t>
  </si>
  <si>
    <t>Rourkela Govt. Hospital, Rourkela</t>
  </si>
  <si>
    <t>Sundargarh</t>
  </si>
  <si>
    <t>Sub-Divisional Hospital, Bhanjanagar</t>
  </si>
  <si>
    <t>DHH, Bhadrak</t>
  </si>
  <si>
    <t>Bhadrak</t>
  </si>
  <si>
    <t>DHH, Puri</t>
  </si>
  <si>
    <t>Puri</t>
  </si>
  <si>
    <t>DHH, Nabarangpur</t>
  </si>
  <si>
    <t>Nabarangpur</t>
  </si>
  <si>
    <t>FI-ART Centre, DHH, Nayagarh</t>
  </si>
  <si>
    <t>Nayagarh</t>
  </si>
  <si>
    <t>FI-ART Centre, DHH, Rayagada</t>
  </si>
  <si>
    <t>Rayagada</t>
  </si>
  <si>
    <t>Amritsar</t>
  </si>
  <si>
    <t>Jalandhar</t>
  </si>
  <si>
    <t>Patiala</t>
  </si>
  <si>
    <t>Ludhiana</t>
  </si>
  <si>
    <t>Pathankot</t>
  </si>
  <si>
    <t>Bathinda</t>
  </si>
  <si>
    <t>Ferozepur</t>
  </si>
  <si>
    <t>Hoshiarpur</t>
  </si>
  <si>
    <t>Tarn Taran</t>
  </si>
  <si>
    <t>Tarn Tara</t>
  </si>
  <si>
    <t>Moga</t>
  </si>
  <si>
    <t>FI-ART CH Batala</t>
  </si>
  <si>
    <t>Gurdaspur</t>
  </si>
  <si>
    <t>FI-ART CH Ropar</t>
  </si>
  <si>
    <t>Ropar</t>
  </si>
  <si>
    <t>Ajmer</t>
  </si>
  <si>
    <t>Alwar</t>
  </si>
  <si>
    <t>Banswara</t>
  </si>
  <si>
    <t>Barmer</t>
  </si>
  <si>
    <t>Bharatpur</t>
  </si>
  <si>
    <t>Bhilwara</t>
  </si>
  <si>
    <t>Bikaner</t>
  </si>
  <si>
    <t>Chittorgarh</t>
  </si>
  <si>
    <t>Churu</t>
  </si>
  <si>
    <t>Dungarpur</t>
  </si>
  <si>
    <t>Hanumangarh</t>
  </si>
  <si>
    <t>Jaipur</t>
  </si>
  <si>
    <t>Jalore</t>
  </si>
  <si>
    <t>Jhunjhunu</t>
  </si>
  <si>
    <t>Jodhpur</t>
  </si>
  <si>
    <t>Kota</t>
  </si>
  <si>
    <t>Nagaur</t>
  </si>
  <si>
    <t>Pali</t>
  </si>
  <si>
    <t>Rajsamand</t>
  </si>
  <si>
    <t>R K Hospital, Rajsamand</t>
  </si>
  <si>
    <t>Sikar</t>
  </si>
  <si>
    <t>Sirohi</t>
  </si>
  <si>
    <t>Sri Ganga Nagar</t>
  </si>
  <si>
    <t>Udaipur</t>
  </si>
  <si>
    <t>ART Plus Centre,STNM Hospital, Gangtok</t>
  </si>
  <si>
    <t>East Sikkim</t>
  </si>
  <si>
    <t>Jayamkondam ART Center</t>
  </si>
  <si>
    <t>Ariyalur</t>
  </si>
  <si>
    <t>Chennai</t>
  </si>
  <si>
    <t>Coimbatore</t>
  </si>
  <si>
    <t>Cuddalore</t>
  </si>
  <si>
    <t>Dharmapuri ARTC</t>
  </si>
  <si>
    <t>Dharmapuri</t>
  </si>
  <si>
    <t>Dindigul</t>
  </si>
  <si>
    <t>Erode ARTC</t>
  </si>
  <si>
    <t>Erode</t>
  </si>
  <si>
    <t>Kancheepuram</t>
  </si>
  <si>
    <t>Kanyakumari ART centre</t>
  </si>
  <si>
    <t>Kanniyakumari</t>
  </si>
  <si>
    <t>Karur ARTC</t>
  </si>
  <si>
    <t>Karur</t>
  </si>
  <si>
    <t>Krishnagiri</t>
  </si>
  <si>
    <t>Madurai</t>
  </si>
  <si>
    <t>Nagapattinam ART Centre</t>
  </si>
  <si>
    <t>Nagapattinam</t>
  </si>
  <si>
    <t>Namakkal</t>
  </si>
  <si>
    <t>Perambalur ARTC</t>
  </si>
  <si>
    <t>Perambalur</t>
  </si>
  <si>
    <t>Pudukottai ARTC</t>
  </si>
  <si>
    <t>Pudukkottai</t>
  </si>
  <si>
    <t xml:space="preserve">Ramanathapuram ART Centre
</t>
  </si>
  <si>
    <t>Ramanathapuram</t>
  </si>
  <si>
    <t>Salem</t>
  </si>
  <si>
    <t>Sivagangai</t>
  </si>
  <si>
    <t>Thanjavur</t>
  </si>
  <si>
    <t>The Nilgiris</t>
  </si>
  <si>
    <t>Theni</t>
  </si>
  <si>
    <t>Thiruvallur ARTC</t>
  </si>
  <si>
    <t>Thiruvallur</t>
  </si>
  <si>
    <t>Tiruvarur</t>
  </si>
  <si>
    <t>Thiruvarur</t>
  </si>
  <si>
    <t>Tirunelveli ARTC</t>
  </si>
  <si>
    <t>Tirunelveli</t>
  </si>
  <si>
    <t>Tirupur ARTC</t>
  </si>
  <si>
    <t>Tirupur</t>
  </si>
  <si>
    <t>Tiruvannamalai ARTC</t>
  </si>
  <si>
    <t>Tiruvanamalai</t>
  </si>
  <si>
    <t>Toothukudi ARTC</t>
  </si>
  <si>
    <t>Toothukudi</t>
  </si>
  <si>
    <t>Trichy</t>
  </si>
  <si>
    <t>Vellore</t>
  </si>
  <si>
    <t>Villupuram</t>
  </si>
  <si>
    <t>Virudhunagar</t>
  </si>
  <si>
    <t>Rasipuram GH, Namakkal District</t>
  </si>
  <si>
    <t>Tenkasi HQH, Tirunelveli District</t>
  </si>
  <si>
    <t>Harur GH, Dharmapuri District</t>
  </si>
  <si>
    <t>Telangana</t>
  </si>
  <si>
    <t>Adilabad</t>
  </si>
  <si>
    <t>Chest Hyd</t>
  </si>
  <si>
    <t>Hyderabad</t>
  </si>
  <si>
    <t>Gandhi</t>
  </si>
  <si>
    <t>Karimnagar</t>
  </si>
  <si>
    <t>Khammam</t>
  </si>
  <si>
    <t>King Koti</t>
  </si>
  <si>
    <t>Mahbubnagar</t>
  </si>
  <si>
    <t>Mahabubnagar</t>
  </si>
  <si>
    <t>Nalgonda</t>
  </si>
  <si>
    <t>Niloufer</t>
  </si>
  <si>
    <t>Nizamabad</t>
  </si>
  <si>
    <t>Osmania</t>
  </si>
  <si>
    <t>Sangareddy</t>
  </si>
  <si>
    <t>Medak</t>
  </si>
  <si>
    <t>Warangal</t>
  </si>
  <si>
    <t>Bhadrachalam</t>
  </si>
  <si>
    <t>Tandur</t>
  </si>
  <si>
    <t>Rangareddy</t>
  </si>
  <si>
    <t>Ramagundam</t>
  </si>
  <si>
    <t>Kama Reddy</t>
  </si>
  <si>
    <t>Suryapet</t>
  </si>
  <si>
    <t>Janagon</t>
  </si>
  <si>
    <t>Banswada</t>
  </si>
  <si>
    <t>Siddipet</t>
  </si>
  <si>
    <t>AGMC &amp; GBP Hospital</t>
  </si>
  <si>
    <t>Kulai hospital</t>
  </si>
  <si>
    <t>District Hospital North Tripura Dharmanagar</t>
  </si>
  <si>
    <t>Agra</t>
  </si>
  <si>
    <t>Aligarh</t>
  </si>
  <si>
    <t>Azamgarh</t>
  </si>
  <si>
    <t>Ballia</t>
  </si>
  <si>
    <t>Bareilly</t>
  </si>
  <si>
    <t>Basti</t>
  </si>
  <si>
    <t>ART Centre, Dept. of Medicine, Institute of Medical Sciences, BHU, Varanasi,  221005</t>
  </si>
  <si>
    <t>BRD Medical College, Gorakhpur</t>
  </si>
  <si>
    <t>Gorakhpur</t>
  </si>
  <si>
    <t>DH DEORIA</t>
  </si>
  <si>
    <t>DH Gonda</t>
  </si>
  <si>
    <t>DH Jaunpur</t>
  </si>
  <si>
    <t>Lucknow</t>
  </si>
  <si>
    <t>LLRM Medical College</t>
  </si>
  <si>
    <t>Meerut</t>
  </si>
  <si>
    <t>Mau</t>
  </si>
  <si>
    <t>Moradabad</t>
  </si>
  <si>
    <t>Varanasi</t>
  </si>
  <si>
    <t>District Male Hospital Pratapgarh Kacuhry Road Pin 230001</t>
  </si>
  <si>
    <t>DH Maharajganj</t>
  </si>
  <si>
    <t>District Combined Hospital Maharajganj Phrenda road Maharajganj-273303</t>
  </si>
  <si>
    <t>District Hospital, Muzaffar Naagr</t>
  </si>
  <si>
    <t>Behraich</t>
  </si>
  <si>
    <t>DH Mathura</t>
  </si>
  <si>
    <t>DH Bijnor</t>
  </si>
  <si>
    <t>Bijnor</t>
  </si>
  <si>
    <t>DH Sultanpur</t>
  </si>
  <si>
    <t>District Male Hospital Sultanpur, Main Road 228001</t>
  </si>
  <si>
    <t>DH Balrampur</t>
  </si>
  <si>
    <t>DH Jalaun</t>
  </si>
  <si>
    <t>DH Banda</t>
  </si>
  <si>
    <t>ARTC, 
Doon Hospital, Dehradun</t>
  </si>
  <si>
    <t>Dehradun</t>
  </si>
  <si>
    <t>ARTC, Dr. S.T.G.M.C. Haldwani</t>
  </si>
  <si>
    <t>Nainital</t>
  </si>
  <si>
    <t>FI-ARTC, Distt. Hosp. Pithoragarh.</t>
  </si>
  <si>
    <t>Pithoragarh</t>
  </si>
  <si>
    <t>ARTC, BMC&amp;H</t>
  </si>
  <si>
    <t>Burdwan</t>
  </si>
  <si>
    <t>Medinipore Medical College and Hospital</t>
  </si>
  <si>
    <t>West Medinipur</t>
  </si>
  <si>
    <t>Medinipur Medical College &amp; Hospital,  Sadar Hospital Road,
P.O. - Medinipur, Dist. - West Medinipur
West Bengal - 721101.</t>
  </si>
  <si>
    <t>ARTC, R.G.Kar MC&amp;H</t>
  </si>
  <si>
    <t>Kolkata</t>
  </si>
  <si>
    <t>ARTC, S.S.K.M. Hospital</t>
  </si>
  <si>
    <t>ARTC, STM</t>
  </si>
  <si>
    <t>ARTC, Malda MC&amp;H</t>
  </si>
  <si>
    <t>Malda</t>
  </si>
  <si>
    <t>ARTC, M.R.Bangur Hospital</t>
  </si>
  <si>
    <t>South 24 Parganas</t>
  </si>
  <si>
    <t>M. R. Bangur  Hospital 241, Desh Pran Sasmal Rd. Kolkata -33.</t>
  </si>
  <si>
    <t>RPAC, MC&amp;H</t>
  </si>
  <si>
    <t xml:space="preserve">Regional Paediatric ART Centre, 3rd Floor Medical College Hospital  Building  behiind  Deptt of Heamatology 88, College Street Medical College Kolkata 73 </t>
  </si>
  <si>
    <t>ARTC, Islampur SDH</t>
  </si>
  <si>
    <t>Uttar Dinajpur</t>
  </si>
  <si>
    <t>North Bengal Medical College &amp; Hospital</t>
  </si>
  <si>
    <t>Darjeeling</t>
  </si>
  <si>
    <t>District Hospital Darjeeling</t>
  </si>
  <si>
    <t>Darjeeling District Hospital,Eden Hospital, Darjeeling – 734010</t>
  </si>
  <si>
    <t>Ghatal ART Centre, Ghatal S.D. Hospital, Ghatal Paschim Medinipur</t>
  </si>
  <si>
    <t>Hooghly</t>
  </si>
  <si>
    <t>Immambara Sadar Hospital, District Hospital Hooghly, Hooghly – 712 010.</t>
  </si>
  <si>
    <t>ART,MJN Coochbihar DH</t>
  </si>
  <si>
    <t>Cooch Behar</t>
  </si>
  <si>
    <t xml:space="preserve">Cooch Behar District Hospital, M.J.N. Hospital, P.O. &amp; Dist. – Cooch Behar </t>
  </si>
  <si>
    <t>Murshibad</t>
  </si>
  <si>
    <t>Murshidabad Medical College &amp; Hospital, P.O. - Baharampur, Dist. – Murshidabad</t>
  </si>
  <si>
    <t>North 24 Pgs</t>
  </si>
  <si>
    <t>North 24 Pgs District Hospital, P.O. - Banomalipur, P.S. - Barasat,  Dist. – N 24 Pgs  PIN - 700 129</t>
  </si>
  <si>
    <t>FI-ARTC Tamluk D.H.</t>
  </si>
  <si>
    <t>East Medinipur</t>
  </si>
  <si>
    <t>Tamluk District Hospital, P.O. + P.S. - Tamluk, Dist. – Purba Medinipur, PIN - 721636.</t>
  </si>
  <si>
    <t>FI-ARTC Nadia DH</t>
  </si>
  <si>
    <t>Nadia</t>
  </si>
  <si>
    <t>Nadia District Hospital, P.O. - Krishnanagar, P.S. - Kotoali, Dist. – Nadia, PIN 741101</t>
  </si>
  <si>
    <t>FI-ARTC Bankura Sammillani MC&amp;H</t>
  </si>
  <si>
    <t>Bankura</t>
  </si>
  <si>
    <t>Govt.Kilpauk Medical College &amp; Hospital, ART Centre</t>
  </si>
  <si>
    <t>The Regional Paediatric Centre, Institute of Child Health &amp; Hospital for Children, (ICH)</t>
  </si>
  <si>
    <t>Stantely Medical College Hospital ARTC</t>
  </si>
  <si>
    <t>Coimbatore ART Centre</t>
  </si>
  <si>
    <t>Pollachi ART centre</t>
  </si>
  <si>
    <t>Cuddalore-ARTC</t>
  </si>
  <si>
    <t>Virudhachalam-ARTC</t>
  </si>
  <si>
    <t>Institute of Obstetrics and Gynecology &amp; Govt. Hospital for Women and Children, ART Centre</t>
  </si>
  <si>
    <t>Dindigul ARTC</t>
  </si>
  <si>
    <t>Palani ART Centre</t>
  </si>
  <si>
    <t>Chengalpattu ARTC</t>
  </si>
  <si>
    <t>Krishnagiri ARTC</t>
  </si>
  <si>
    <t>Hosur ARTC</t>
  </si>
  <si>
    <t>Namakkal ARTC</t>
  </si>
  <si>
    <t>Thiruchengode ARTC</t>
  </si>
  <si>
    <t>Salem ARTC, Salem Dist.</t>
  </si>
  <si>
    <t>OMALUR ARTC, Salem Dist.</t>
  </si>
  <si>
    <t>Thanjavur ARTC</t>
  </si>
  <si>
    <t xml:space="preserve">Manaparai ART Centre,
</t>
  </si>
  <si>
    <t>Vellore ARTC</t>
  </si>
  <si>
    <t xml:space="preserve">Tirupattur ART Centre
</t>
  </si>
  <si>
    <t>Kallakurichi ARTC</t>
  </si>
  <si>
    <t>State Code</t>
  </si>
  <si>
    <t>TE</t>
  </si>
  <si>
    <t>SI</t>
  </si>
  <si>
    <t>KL</t>
  </si>
  <si>
    <t>JK</t>
  </si>
  <si>
    <t>District Code</t>
  </si>
  <si>
    <t>KAD</t>
  </si>
  <si>
    <t>HAJ</t>
  </si>
  <si>
    <t>ECH</t>
  </si>
  <si>
    <t>MUZ</t>
  </si>
  <si>
    <t>CHD</t>
  </si>
  <si>
    <t>JAB</t>
  </si>
  <si>
    <t>SUG</t>
  </si>
  <si>
    <t>NWS</t>
  </si>
  <si>
    <t>NES</t>
  </si>
  <si>
    <t>SWS</t>
  </si>
  <si>
    <t>GON</t>
  </si>
  <si>
    <t>AMD</t>
  </si>
  <si>
    <t>Kachchh</t>
  </si>
  <si>
    <t>Ahmedbad</t>
  </si>
  <si>
    <t>GOD</t>
  </si>
  <si>
    <t>MOR</t>
  </si>
  <si>
    <t>DLG</t>
  </si>
  <si>
    <t>JAM</t>
  </si>
  <si>
    <t>GBG</t>
  </si>
  <si>
    <t>BLR</t>
  </si>
  <si>
    <t>CRN</t>
  </si>
  <si>
    <t>CHK</t>
  </si>
  <si>
    <t>DOD</t>
  </si>
  <si>
    <t>GLG</t>
  </si>
  <si>
    <t>KAR</t>
  </si>
  <si>
    <t>MLR</t>
  </si>
  <si>
    <t>MAN</t>
  </si>
  <si>
    <t>RAM</t>
  </si>
  <si>
    <t>TRM</t>
  </si>
  <si>
    <t>Bhopal</t>
  </si>
  <si>
    <t>GLR</t>
  </si>
  <si>
    <t>DHR</t>
  </si>
  <si>
    <t>BAR</t>
  </si>
  <si>
    <t>SVP</t>
  </si>
  <si>
    <t>Ahmednagar</t>
  </si>
  <si>
    <t>Sindhudurg</t>
  </si>
  <si>
    <t>CCP</t>
  </si>
  <si>
    <t>UKL</t>
  </si>
  <si>
    <t>CDL</t>
  </si>
  <si>
    <t>BPR</t>
  </si>
  <si>
    <t>TBL</t>
  </si>
  <si>
    <t>SPT</t>
  </si>
  <si>
    <t>TAM</t>
  </si>
  <si>
    <t>SHI</t>
  </si>
  <si>
    <t>AZL</t>
  </si>
  <si>
    <t>LLI</t>
  </si>
  <si>
    <t>BMC</t>
  </si>
  <si>
    <t>BLG</t>
  </si>
  <si>
    <t>KRD</t>
  </si>
  <si>
    <t>SDG</t>
  </si>
  <si>
    <t>NWP</t>
  </si>
  <si>
    <t>PAT</t>
  </si>
  <si>
    <t>FZP</t>
  </si>
  <si>
    <t>TNT</t>
  </si>
  <si>
    <t>ROP</t>
  </si>
  <si>
    <t>CHG</t>
  </si>
  <si>
    <t>JLR</t>
  </si>
  <si>
    <t>JJN</t>
  </si>
  <si>
    <t>SGN</t>
  </si>
  <si>
    <t>ESI</t>
  </si>
  <si>
    <t>DGL</t>
  </si>
  <si>
    <t>KKM</t>
  </si>
  <si>
    <t>CHP</t>
  </si>
  <si>
    <t>NAM</t>
  </si>
  <si>
    <t>PBR</t>
  </si>
  <si>
    <t>RMP</t>
  </si>
  <si>
    <t>SVG</t>
  </si>
  <si>
    <t>TNL</t>
  </si>
  <si>
    <t>TVM</t>
  </si>
  <si>
    <t>TTC</t>
  </si>
  <si>
    <t>MBR</t>
  </si>
  <si>
    <t>RGY</t>
  </si>
  <si>
    <t>AGR</t>
  </si>
  <si>
    <t>ALG</t>
  </si>
  <si>
    <t>BAL</t>
  </si>
  <si>
    <t>BRL</t>
  </si>
  <si>
    <t>VRN</t>
  </si>
  <si>
    <t>Gonda</t>
  </si>
  <si>
    <t>Jaunpur</t>
  </si>
  <si>
    <t>Kanpur</t>
  </si>
  <si>
    <t>KPN</t>
  </si>
  <si>
    <t>MET</t>
  </si>
  <si>
    <t>SHP</t>
  </si>
  <si>
    <t>SDN</t>
  </si>
  <si>
    <t>RAB</t>
  </si>
  <si>
    <t>Maharajganj</t>
  </si>
  <si>
    <t>Muzaffar Nagar</t>
  </si>
  <si>
    <t>Mathura</t>
  </si>
  <si>
    <t>Sultanpur</t>
  </si>
  <si>
    <t>Balrampur</t>
  </si>
  <si>
    <t>Jalaun</t>
  </si>
  <si>
    <t>Banda</t>
  </si>
  <si>
    <t>PTG</t>
  </si>
  <si>
    <t>MNP</t>
  </si>
  <si>
    <t>MLD</t>
  </si>
  <si>
    <t>SPG</t>
  </si>
  <si>
    <t>HGL</t>
  </si>
  <si>
    <t>CBR</t>
  </si>
  <si>
    <t>MBD</t>
  </si>
  <si>
    <t>TML</t>
  </si>
  <si>
    <t>APR</t>
  </si>
  <si>
    <t>VSM</t>
  </si>
  <si>
    <t>CHT</t>
  </si>
  <si>
    <t>WGV</t>
  </si>
  <si>
    <t>GTR</t>
  </si>
  <si>
    <t>EGV</t>
  </si>
  <si>
    <t>KRL</t>
  </si>
  <si>
    <t>KRN</t>
  </si>
  <si>
    <t>NLR</t>
  </si>
  <si>
    <t>PKM</t>
  </si>
  <si>
    <t>SKM</t>
  </si>
  <si>
    <t>VZM</t>
  </si>
  <si>
    <t>PPR</t>
  </si>
  <si>
    <t>KMR</t>
  </si>
  <si>
    <t>DBR</t>
  </si>
  <si>
    <t>CHR</t>
  </si>
  <si>
    <t>BPT</t>
  </si>
  <si>
    <t>JRT</t>
  </si>
  <si>
    <t>NGN</t>
  </si>
  <si>
    <t>BGS</t>
  </si>
  <si>
    <t>BGP</t>
  </si>
  <si>
    <t>SAR</t>
  </si>
  <si>
    <t>DBG</t>
  </si>
  <si>
    <t>GYA</t>
  </si>
  <si>
    <t>GPG</t>
  </si>
  <si>
    <t>KTH</t>
  </si>
  <si>
    <t>KGR</t>
  </si>
  <si>
    <t>MDB</t>
  </si>
  <si>
    <t>PTN</t>
  </si>
  <si>
    <t>SMP</t>
  </si>
  <si>
    <t>SIT</t>
  </si>
  <si>
    <t>RPR</t>
  </si>
  <si>
    <t>DUR</t>
  </si>
  <si>
    <t>BIL</t>
  </si>
  <si>
    <t>NEW</t>
  </si>
  <si>
    <t>SOU</t>
  </si>
  <si>
    <t>CEN</t>
  </si>
  <si>
    <t>WES</t>
  </si>
  <si>
    <t>SRT</t>
  </si>
  <si>
    <t>RJT</t>
  </si>
  <si>
    <t>BVN</t>
  </si>
  <si>
    <t>MSN</t>
  </si>
  <si>
    <t>VDD</t>
  </si>
  <si>
    <t>JMD</t>
  </si>
  <si>
    <t>SRN</t>
  </si>
  <si>
    <t>JUN</t>
  </si>
  <si>
    <t>KTC</t>
  </si>
  <si>
    <t>BAN</t>
  </si>
  <si>
    <t>AML</t>
  </si>
  <si>
    <t>NAV</t>
  </si>
  <si>
    <t>SBK</t>
  </si>
  <si>
    <t>POR</t>
  </si>
  <si>
    <t>BRH</t>
  </si>
  <si>
    <t>VLD</t>
  </si>
  <si>
    <t>KDA</t>
  </si>
  <si>
    <t>DHD</t>
  </si>
  <si>
    <t>GNR</t>
  </si>
  <si>
    <t>RTK</t>
  </si>
  <si>
    <t>SHM</t>
  </si>
  <si>
    <t>HMP</t>
  </si>
  <si>
    <t>MND</t>
  </si>
  <si>
    <t>UNA</t>
  </si>
  <si>
    <t>JMU</t>
  </si>
  <si>
    <t>SGR</t>
  </si>
  <si>
    <t>DHN</t>
  </si>
  <si>
    <t>HZB</t>
  </si>
  <si>
    <t>DGR</t>
  </si>
  <si>
    <t>GRD</t>
  </si>
  <si>
    <t>RNC</t>
  </si>
  <si>
    <t>MYS</t>
  </si>
  <si>
    <t>BEL</t>
  </si>
  <si>
    <t>BLK</t>
  </si>
  <si>
    <t>BLY</t>
  </si>
  <si>
    <t>BDR</t>
  </si>
  <si>
    <t>BJP</t>
  </si>
  <si>
    <t>DVG</t>
  </si>
  <si>
    <t>CLP</t>
  </si>
  <si>
    <t>CDG</t>
  </si>
  <si>
    <t>DHA</t>
  </si>
  <si>
    <t>GDG</t>
  </si>
  <si>
    <t>KPP</t>
  </si>
  <si>
    <t>HAS</t>
  </si>
  <si>
    <t>HVR</t>
  </si>
  <si>
    <t>KOD</t>
  </si>
  <si>
    <t>KOL</t>
  </si>
  <si>
    <t>UDU</t>
  </si>
  <si>
    <t>RCR</t>
  </si>
  <si>
    <t>TUM</t>
  </si>
  <si>
    <t>ALP</t>
  </si>
  <si>
    <t>KOT</t>
  </si>
  <si>
    <t>THR</t>
  </si>
  <si>
    <t>KZK</t>
  </si>
  <si>
    <t>ENK</t>
  </si>
  <si>
    <t>PLK</t>
  </si>
  <si>
    <t>KSG</t>
  </si>
  <si>
    <t>KLM</t>
  </si>
  <si>
    <t>KNR</t>
  </si>
  <si>
    <t>BPL</t>
  </si>
  <si>
    <t>IDR</t>
  </si>
  <si>
    <t>UJN</t>
  </si>
  <si>
    <t>JBP</t>
  </si>
  <si>
    <t>NMC</t>
  </si>
  <si>
    <t>KDW</t>
  </si>
  <si>
    <t>MDS</t>
  </si>
  <si>
    <t>SNI</t>
  </si>
  <si>
    <t>RTL</t>
  </si>
  <si>
    <t>BNP</t>
  </si>
  <si>
    <t>KGN</t>
  </si>
  <si>
    <t>ANG</t>
  </si>
  <si>
    <t>AKL</t>
  </si>
  <si>
    <t>AMT</t>
  </si>
  <si>
    <t>ARD</t>
  </si>
  <si>
    <t>BED</t>
  </si>
  <si>
    <t>BND</t>
  </si>
  <si>
    <t>BLD</t>
  </si>
  <si>
    <t>CPR</t>
  </si>
  <si>
    <t>DHL</t>
  </si>
  <si>
    <t>GDL</t>
  </si>
  <si>
    <t>GNA</t>
  </si>
  <si>
    <t>HIN</t>
  </si>
  <si>
    <t>JLG</t>
  </si>
  <si>
    <t>JLN</t>
  </si>
  <si>
    <t>KLP</t>
  </si>
  <si>
    <t>LTR</t>
  </si>
  <si>
    <t>NGP</t>
  </si>
  <si>
    <t>NDD</t>
  </si>
  <si>
    <t>NDB</t>
  </si>
  <si>
    <t>NSK</t>
  </si>
  <si>
    <t>OBD</t>
  </si>
  <si>
    <t>PBN</t>
  </si>
  <si>
    <t>PNA</t>
  </si>
  <si>
    <t>RGD</t>
  </si>
  <si>
    <t>RTG</t>
  </si>
  <si>
    <t>SNG</t>
  </si>
  <si>
    <t>STR</t>
  </si>
  <si>
    <t>SLR</t>
  </si>
  <si>
    <t>THN</t>
  </si>
  <si>
    <t>WDH</t>
  </si>
  <si>
    <t>WSM</t>
  </si>
  <si>
    <t>YTL</t>
  </si>
  <si>
    <t>WIM</t>
  </si>
  <si>
    <t>EIM</t>
  </si>
  <si>
    <t>KLS</t>
  </si>
  <si>
    <t>MMT</t>
  </si>
  <si>
    <t>DPR</t>
  </si>
  <si>
    <t>KMA</t>
  </si>
  <si>
    <t>KPR</t>
  </si>
  <si>
    <t>MKK</t>
  </si>
  <si>
    <t>TSG</t>
  </si>
  <si>
    <t>ZNB</t>
  </si>
  <si>
    <t>PHK</t>
  </si>
  <si>
    <t>PRN</t>
  </si>
  <si>
    <t>GJM</t>
  </si>
  <si>
    <t>CTK</t>
  </si>
  <si>
    <t>SBP</t>
  </si>
  <si>
    <t>KRP</t>
  </si>
  <si>
    <t>AGL</t>
  </si>
  <si>
    <t>BLS</t>
  </si>
  <si>
    <t>BDK</t>
  </si>
  <si>
    <t>PUR</t>
  </si>
  <si>
    <t>NYG</t>
  </si>
  <si>
    <t>RYG</t>
  </si>
  <si>
    <t>PNY</t>
  </si>
  <si>
    <t>ASR</t>
  </si>
  <si>
    <t>JLD</t>
  </si>
  <si>
    <t>PTK</t>
  </si>
  <si>
    <t>LUD</t>
  </si>
  <si>
    <t>BTD</t>
  </si>
  <si>
    <t>HSP</t>
  </si>
  <si>
    <t>MGA</t>
  </si>
  <si>
    <t>GDP</t>
  </si>
  <si>
    <t>AJM</t>
  </si>
  <si>
    <t>ALW</t>
  </si>
  <si>
    <t>BSW</t>
  </si>
  <si>
    <t>BRM</t>
  </si>
  <si>
    <t>BTP</t>
  </si>
  <si>
    <t>BLW</t>
  </si>
  <si>
    <t>BKN</t>
  </si>
  <si>
    <t>DGP</t>
  </si>
  <si>
    <t>HNG</t>
  </si>
  <si>
    <t>JPR</t>
  </si>
  <si>
    <t>JDP</t>
  </si>
  <si>
    <t>KTA</t>
  </si>
  <si>
    <t>NGR</t>
  </si>
  <si>
    <t>PLI</t>
  </si>
  <si>
    <t>RSD</t>
  </si>
  <si>
    <t>SKR</t>
  </si>
  <si>
    <t>SRH</t>
  </si>
  <si>
    <t>UDP</t>
  </si>
  <si>
    <t>ARY</t>
  </si>
  <si>
    <t>CNI</t>
  </si>
  <si>
    <t>CBE</t>
  </si>
  <si>
    <t>CUD</t>
  </si>
  <si>
    <t>DPI</t>
  </si>
  <si>
    <t>ERD</t>
  </si>
  <si>
    <t>KPM</t>
  </si>
  <si>
    <t>KKR</t>
  </si>
  <si>
    <t>MDU</t>
  </si>
  <si>
    <t>NAG</t>
  </si>
  <si>
    <t>PDK</t>
  </si>
  <si>
    <t>SLM</t>
  </si>
  <si>
    <t>TNJ</t>
  </si>
  <si>
    <t>TNI</t>
  </si>
  <si>
    <t>TLR</t>
  </si>
  <si>
    <t>TVR</t>
  </si>
  <si>
    <t>TNV</t>
  </si>
  <si>
    <t>TRY</t>
  </si>
  <si>
    <t>VLR</t>
  </si>
  <si>
    <t>VPM</t>
  </si>
  <si>
    <t>VRD</t>
  </si>
  <si>
    <t>ADB</t>
  </si>
  <si>
    <t>HYD</t>
  </si>
  <si>
    <t>KMM</t>
  </si>
  <si>
    <t>NGD</t>
  </si>
  <si>
    <t>NZD</t>
  </si>
  <si>
    <t>MDK</t>
  </si>
  <si>
    <t>WRL</t>
  </si>
  <si>
    <t>AHB</t>
  </si>
  <si>
    <t>AZG</t>
  </si>
  <si>
    <t>BST</t>
  </si>
  <si>
    <t>GRP</t>
  </si>
  <si>
    <t>DOR</t>
  </si>
  <si>
    <t>ETW</t>
  </si>
  <si>
    <t>FZB</t>
  </si>
  <si>
    <t>GZP</t>
  </si>
  <si>
    <t>GND</t>
  </si>
  <si>
    <t>JNP</t>
  </si>
  <si>
    <t>JNS</t>
  </si>
  <si>
    <t>LNO</t>
  </si>
  <si>
    <t>KSN</t>
  </si>
  <si>
    <t>MAU</t>
  </si>
  <si>
    <t>PTR</t>
  </si>
  <si>
    <t>MHR</t>
  </si>
  <si>
    <t>MZN</t>
  </si>
  <si>
    <t>BRC</t>
  </si>
  <si>
    <t>MTR</t>
  </si>
  <si>
    <t>BJR</t>
  </si>
  <si>
    <t>SLP</t>
  </si>
  <si>
    <t>BRP</t>
  </si>
  <si>
    <t>BNA</t>
  </si>
  <si>
    <t>GZA</t>
  </si>
  <si>
    <t>DDN</t>
  </si>
  <si>
    <t>NTL</t>
  </si>
  <si>
    <t>BDN</t>
  </si>
  <si>
    <t>CAL</t>
  </si>
  <si>
    <t>UDJ</t>
  </si>
  <si>
    <t>DJL</t>
  </si>
  <si>
    <t>NPG</t>
  </si>
  <si>
    <t>NDA</t>
  </si>
  <si>
    <t>BKR</t>
  </si>
  <si>
    <t>AN</t>
  </si>
  <si>
    <t>AP</t>
  </si>
  <si>
    <t>AU</t>
  </si>
  <si>
    <t>AS</t>
  </si>
  <si>
    <t>BH</t>
  </si>
  <si>
    <t>CH</t>
  </si>
  <si>
    <t>CG</t>
  </si>
  <si>
    <t>DL</t>
  </si>
  <si>
    <t>GO</t>
  </si>
  <si>
    <t>GJ</t>
  </si>
  <si>
    <t>HR</t>
  </si>
  <si>
    <t>HP</t>
  </si>
  <si>
    <t>JH</t>
  </si>
  <si>
    <t>KA</t>
  </si>
  <si>
    <t>MH</t>
  </si>
  <si>
    <t>MN</t>
  </si>
  <si>
    <t>MG</t>
  </si>
  <si>
    <t>MZ</t>
  </si>
  <si>
    <t>NL</t>
  </si>
  <si>
    <t>OR</t>
  </si>
  <si>
    <t>PO</t>
  </si>
  <si>
    <t>PB</t>
  </si>
  <si>
    <t>RJ</t>
  </si>
  <si>
    <t>TN</t>
  </si>
  <si>
    <t>TR</t>
  </si>
  <si>
    <t>UP</t>
  </si>
  <si>
    <t>UT</t>
  </si>
  <si>
    <t>WB</t>
  </si>
  <si>
    <t>ART-AP-APR-01</t>
  </si>
  <si>
    <t>ART-AP-CHT-01</t>
  </si>
  <si>
    <t>ART-AP-EGV-01</t>
  </si>
  <si>
    <t>ART-AP-GTR-01</t>
  </si>
  <si>
    <t>ART-AP-KAD-01</t>
  </si>
  <si>
    <t>ART-AP-KRL-01</t>
  </si>
  <si>
    <t>ART-AP-KRN-01</t>
  </si>
  <si>
    <t>ART-AP-NLR-01</t>
  </si>
  <si>
    <t>ART-AP-PKM-01</t>
  </si>
  <si>
    <t>ART-AP-SKM-01</t>
  </si>
  <si>
    <t>ART-AP-VSM-01</t>
  </si>
  <si>
    <t>ART-AP-VZM-01</t>
  </si>
  <si>
    <t>ART-AP-WGV-01</t>
  </si>
  <si>
    <t>ART-AS-BPT-01</t>
  </si>
  <si>
    <t>ART-AS-CHR-01</t>
  </si>
  <si>
    <t>ART-AS-DBR-01</t>
  </si>
  <si>
    <t>ART-AS-JRT-01</t>
  </si>
  <si>
    <t>ART-AS-KMR-01</t>
  </si>
  <si>
    <t>ART-AS-NGN-01</t>
  </si>
  <si>
    <t>ART-AU-PPR-01</t>
  </si>
  <si>
    <t>ART-BH-BGP-01</t>
  </si>
  <si>
    <t>ART-BH-BGS-01</t>
  </si>
  <si>
    <t>ART-BH-DBG-01</t>
  </si>
  <si>
    <t>ART-BH-ECH-01</t>
  </si>
  <si>
    <t>ART-BH-GPG-01</t>
  </si>
  <si>
    <t>ART-BH-GYA-01</t>
  </si>
  <si>
    <t>ART-BH-HAJ-01</t>
  </si>
  <si>
    <t>ART-BH-KGR-01</t>
  </si>
  <si>
    <t>ART-BH-KTH-01</t>
  </si>
  <si>
    <t>ART-BH-MDB-01</t>
  </si>
  <si>
    <t>ART-BH-MUZ-01</t>
  </si>
  <si>
    <t>ART-BH-PTN-01</t>
  </si>
  <si>
    <t>ART-BH-SAR-01</t>
  </si>
  <si>
    <t>ART-BH-SIT-01</t>
  </si>
  <si>
    <t>ART-BH-SMP-01</t>
  </si>
  <si>
    <t>ART-CG-BIL-01</t>
  </si>
  <si>
    <t>ART-CG-DUR-01</t>
  </si>
  <si>
    <t>ART-CG-JAB-01</t>
  </si>
  <si>
    <t>ART-CG-RPR-01</t>
  </si>
  <si>
    <t>ART-CG-SUG-01</t>
  </si>
  <si>
    <t>ART-CH-CHD-01</t>
  </si>
  <si>
    <t>ART-DL-CEN-01</t>
  </si>
  <si>
    <t>ART-DL-NES-01</t>
  </si>
  <si>
    <t>ART-DL-NEW-01</t>
  </si>
  <si>
    <t>ART-DL-NWS-01</t>
  </si>
  <si>
    <t>ART-DL-SOU-01</t>
  </si>
  <si>
    <t>ART-DL-SWS-01</t>
  </si>
  <si>
    <t>ART-DL-WES-01</t>
  </si>
  <si>
    <t>ART-GJ-AMD-01</t>
  </si>
  <si>
    <t>ART-GJ-AML-01</t>
  </si>
  <si>
    <t>ART-GJ-BAN-01</t>
  </si>
  <si>
    <t>ART-GJ-BRH-01</t>
  </si>
  <si>
    <t>ART-GJ-BVN-01</t>
  </si>
  <si>
    <t>ART-GJ-DHD-01</t>
  </si>
  <si>
    <t>ART-GJ-GNR-01</t>
  </si>
  <si>
    <t>ART-GJ-GOD-01</t>
  </si>
  <si>
    <t>ART-GJ-JMD-01</t>
  </si>
  <si>
    <t>ART-GJ-JUN-01</t>
  </si>
  <si>
    <t>ART-GJ-KDA-01</t>
  </si>
  <si>
    <t>ART-GJ-KTC-01</t>
  </si>
  <si>
    <t>ART-GJ-MOR-01</t>
  </si>
  <si>
    <t>ART-GJ-MSN-01</t>
  </si>
  <si>
    <t>ART-GJ-NAV-01</t>
  </si>
  <si>
    <t>ART-GJ-PAT-01</t>
  </si>
  <si>
    <t>ART-GJ-POR-01</t>
  </si>
  <si>
    <t>ART-GJ-RJT-01</t>
  </si>
  <si>
    <t>ART-GJ-SBK-01</t>
  </si>
  <si>
    <t>ART-GJ-SRN-01</t>
  </si>
  <si>
    <t>ART-GJ-SRT-01</t>
  </si>
  <si>
    <t>ART-GJ-VDD-01</t>
  </si>
  <si>
    <t>ART-GJ-VLD-01</t>
  </si>
  <si>
    <t>ART-GO-GON-01</t>
  </si>
  <si>
    <t>ART-HP-BIL-01</t>
  </si>
  <si>
    <t>ART-HP-HMP-01</t>
  </si>
  <si>
    <t>ART-HP-KGR-01</t>
  </si>
  <si>
    <t>ART-HP-MND-01</t>
  </si>
  <si>
    <t>ART-HP-SHM-01</t>
  </si>
  <si>
    <t>ART-HP-UNA-01</t>
  </si>
  <si>
    <t>ART-HR-RTK-01</t>
  </si>
  <si>
    <t>ART-JH-DGR-01</t>
  </si>
  <si>
    <t>ART-JH-DHN-01</t>
  </si>
  <si>
    <t>ART-JH-DLG-01</t>
  </si>
  <si>
    <t>ART-JH-GRD-01</t>
  </si>
  <si>
    <t>ART-JH-HZB-01</t>
  </si>
  <si>
    <t>ART-JH-JAM-01</t>
  </si>
  <si>
    <t>ART-JH-RNC-01</t>
  </si>
  <si>
    <t>ART-JK-JMU-01</t>
  </si>
  <si>
    <t>ART-JK-SGR-01</t>
  </si>
  <si>
    <t>ART-KA-BDR-01</t>
  </si>
  <si>
    <t>ART-KA-BEL-01</t>
  </si>
  <si>
    <t>ART-KA-BJP-01</t>
  </si>
  <si>
    <t>ART-KA-BLK-01</t>
  </si>
  <si>
    <t>ART-KA-BLR-01</t>
  </si>
  <si>
    <t>ART-KA-BLY-01</t>
  </si>
  <si>
    <t>ART-KA-CDG-01</t>
  </si>
  <si>
    <t>ART-KA-CHK-01</t>
  </si>
  <si>
    <t>ART-KA-CLP-01</t>
  </si>
  <si>
    <t>ART-KA-CRN-01</t>
  </si>
  <si>
    <t>ART-KA-DHA-01</t>
  </si>
  <si>
    <t>ART-KA-DOD-01</t>
  </si>
  <si>
    <t>ART-KA-DVG-01</t>
  </si>
  <si>
    <t>ART-KA-GBG-01</t>
  </si>
  <si>
    <t>ART-KA-GDG-01</t>
  </si>
  <si>
    <t>ART-KA-GLG-01</t>
  </si>
  <si>
    <t>ART-KA-HAS-01</t>
  </si>
  <si>
    <t>ART-KA-HVR-01</t>
  </si>
  <si>
    <t>ART-KA-KAR-01</t>
  </si>
  <si>
    <t>ART-KA-KOD-01</t>
  </si>
  <si>
    <t>ART-KA-KOL-01</t>
  </si>
  <si>
    <t>ART-KA-KPP-01</t>
  </si>
  <si>
    <t>ART-KA-MAN-01</t>
  </si>
  <si>
    <t>ART-KA-MLR-01</t>
  </si>
  <si>
    <t>ART-KA-MYS-01</t>
  </si>
  <si>
    <t>ART-KA-RAM-01</t>
  </si>
  <si>
    <t>ART-KA-RCR-01</t>
  </si>
  <si>
    <t>ART-KA-SHI-01</t>
  </si>
  <si>
    <t>ART-KA-TUM-01</t>
  </si>
  <si>
    <t>ART-KA-UDU-01</t>
  </si>
  <si>
    <t>ART-KL-ALP-01</t>
  </si>
  <si>
    <t>ART-KL-ENK-01</t>
  </si>
  <si>
    <t>ART-KL-KLM-01</t>
  </si>
  <si>
    <t>ART-KL-KNR-01</t>
  </si>
  <si>
    <t>ART-KL-KOT-01</t>
  </si>
  <si>
    <t>ART-KL-KSG-01</t>
  </si>
  <si>
    <t>ART-KL-KZK-01</t>
  </si>
  <si>
    <t>ART-KL-PLK-01</t>
  </si>
  <si>
    <t>ART-KL-THR-01</t>
  </si>
  <si>
    <t>ART-KL-TRM-01</t>
  </si>
  <si>
    <t>ART-MG-SHI-01</t>
  </si>
  <si>
    <t>ART-MH-AKL-01</t>
  </si>
  <si>
    <t>ART-MH-AMT-01</t>
  </si>
  <si>
    <t>ART-MH-ANG-01</t>
  </si>
  <si>
    <t>ART-MH-ARD-01</t>
  </si>
  <si>
    <t>ART-MH-BED-01</t>
  </si>
  <si>
    <t>ART-MH-BLD-01</t>
  </si>
  <si>
    <t>ART-MH-BND-01</t>
  </si>
  <si>
    <t>ART-MH-CPR-01</t>
  </si>
  <si>
    <t>ART-MH-DHL-01</t>
  </si>
  <si>
    <t>ART-MH-GDL-01</t>
  </si>
  <si>
    <t>ART-MH-GNA-01</t>
  </si>
  <si>
    <t>ART-MH-HIN-01</t>
  </si>
  <si>
    <t>ART-MH-JLG-01</t>
  </si>
  <si>
    <t>ART-MH-JLN-01</t>
  </si>
  <si>
    <t>ART-MH-KLP-01</t>
  </si>
  <si>
    <t>ART-MH-LTR-01</t>
  </si>
  <si>
    <t>ART-MH-NDB-01</t>
  </si>
  <si>
    <t>ART-MH-NDD-01</t>
  </si>
  <si>
    <t>ART-MH-NGP-01</t>
  </si>
  <si>
    <t>ART-MH-NSK-01</t>
  </si>
  <si>
    <t>ART-MH-OBD-01</t>
  </si>
  <si>
    <t>ART-MH-PBN-01</t>
  </si>
  <si>
    <t>ART-MH-PNA-01</t>
  </si>
  <si>
    <t>ART-MH-RGD-01</t>
  </si>
  <si>
    <t>ART-MH-RTG-01</t>
  </si>
  <si>
    <t>ART-MH-SDG-01</t>
  </si>
  <si>
    <t>ART-MH-SLR-01</t>
  </si>
  <si>
    <t>ART-MH-SNG-01</t>
  </si>
  <si>
    <t>ART-MH-STR-01</t>
  </si>
  <si>
    <t>ART-MH-THN-01</t>
  </si>
  <si>
    <t>ART-MH-WDH-01</t>
  </si>
  <si>
    <t>ART-MH-WSM-01</t>
  </si>
  <si>
    <t>ART-MH-YTL-01</t>
  </si>
  <si>
    <t>ART-MN-BPR-01</t>
  </si>
  <si>
    <t>ART-MN-CCP-01</t>
  </si>
  <si>
    <t>ART-MN-CDL-01</t>
  </si>
  <si>
    <t>ART-MN-EIM-01</t>
  </si>
  <si>
    <t>ART-MN-SPT-01</t>
  </si>
  <si>
    <t>ART-MN-TAM-01</t>
  </si>
  <si>
    <t>ART-MN-TBL-01</t>
  </si>
  <si>
    <t>ART-MN-UKL-01</t>
  </si>
  <si>
    <t>ART-MN-WIM-01</t>
  </si>
  <si>
    <t>ART-MP-BAL-01</t>
  </si>
  <si>
    <t>ART-MP-BAR-01</t>
  </si>
  <si>
    <t>ART-MP-BNP-01</t>
  </si>
  <si>
    <t>ART-MP-BPL-01</t>
  </si>
  <si>
    <t>ART-MP-DHR-01</t>
  </si>
  <si>
    <t>ART-MP-GLR-01</t>
  </si>
  <si>
    <t>ART-MP-IDR-01</t>
  </si>
  <si>
    <t>ART-MP-JBP-01</t>
  </si>
  <si>
    <t>ART-MP-KDW-01</t>
  </si>
  <si>
    <t>ART-MP-KGN-01</t>
  </si>
  <si>
    <t>ART-MP-MDS-01</t>
  </si>
  <si>
    <t>ART-MP-NMC-01</t>
  </si>
  <si>
    <t>ART-MP-RTL-01</t>
  </si>
  <si>
    <t>ART-MP-SGR-01</t>
  </si>
  <si>
    <t>ART-MP-SNI-01</t>
  </si>
  <si>
    <t>ART-MP-SVP-01</t>
  </si>
  <si>
    <t>ART-MP-UJN-01</t>
  </si>
  <si>
    <t>ART-MZ-AZL-01</t>
  </si>
  <si>
    <t>ART-MZ-CHP-01</t>
  </si>
  <si>
    <t>ART-MZ-KLS-01</t>
  </si>
  <si>
    <t>ART-MZ-LLI-01</t>
  </si>
  <si>
    <t>ART-MZ-MMT-01</t>
  </si>
  <si>
    <t>ART-NL-DPR-01</t>
  </si>
  <si>
    <t>ART-NL-KMA-01</t>
  </si>
  <si>
    <t>ART-NL-KPR-01</t>
  </si>
  <si>
    <t>ART-NL-MKK-01</t>
  </si>
  <si>
    <t>ART-NL-PHK-01</t>
  </si>
  <si>
    <t>ART-NL-PRN-01</t>
  </si>
  <si>
    <t>ART-NL-TSG-01</t>
  </si>
  <si>
    <t>ART-NL-ZNB-01</t>
  </si>
  <si>
    <t>ART-OR-AGL-01</t>
  </si>
  <si>
    <t>ART-OR-BDK-01</t>
  </si>
  <si>
    <t>ART-OR-BLG-01</t>
  </si>
  <si>
    <t>ART-OR-BLS-01</t>
  </si>
  <si>
    <t>ART-OR-CTK-01</t>
  </si>
  <si>
    <t>ART-OR-GJM-01</t>
  </si>
  <si>
    <t>ART-OR-KRD-01</t>
  </si>
  <si>
    <t>ART-OR-KRP-01</t>
  </si>
  <si>
    <t>ART-OR-NWP-01</t>
  </si>
  <si>
    <t>ART-OR-NYG-01</t>
  </si>
  <si>
    <t>ART-OR-PUR-01</t>
  </si>
  <si>
    <t>ART-OR-RYG-01</t>
  </si>
  <si>
    <t>ART-OR-SBP-01</t>
  </si>
  <si>
    <t>ART-OR-SDG-01</t>
  </si>
  <si>
    <t>ART-PB-ASR-01</t>
  </si>
  <si>
    <t>ART-PB-BTD-01</t>
  </si>
  <si>
    <t>ART-PB-FZP-01</t>
  </si>
  <si>
    <t>ART-PB-GDP-01</t>
  </si>
  <si>
    <t>ART-PB-HSP-01</t>
  </si>
  <si>
    <t>ART-PB-JLD-01</t>
  </si>
  <si>
    <t>ART-PB-LUD-01</t>
  </si>
  <si>
    <t>ART-PB-MGA-01</t>
  </si>
  <si>
    <t>ART-PB-PAT-01</t>
  </si>
  <si>
    <t>ART-PB-PTK-01</t>
  </si>
  <si>
    <t>ART-PB-ROP-01</t>
  </si>
  <si>
    <t>ART-PB-TNT-01</t>
  </si>
  <si>
    <t>ART-PO-PNY-01</t>
  </si>
  <si>
    <t>ART-RJ-AJM-01</t>
  </si>
  <si>
    <t>ART-RJ-ALW-01</t>
  </si>
  <si>
    <t>ART-RJ-BKN-01</t>
  </si>
  <si>
    <t>ART-RJ-BLW-01</t>
  </si>
  <si>
    <t>ART-RJ-BRM-01</t>
  </si>
  <si>
    <t>ART-RJ-BSW-01</t>
  </si>
  <si>
    <t>ART-RJ-BTP-01</t>
  </si>
  <si>
    <t>ART-RJ-CHG-01</t>
  </si>
  <si>
    <t>ART-RJ-CHR-01</t>
  </si>
  <si>
    <t>ART-RJ-DGP-01</t>
  </si>
  <si>
    <t>ART-RJ-HNG-01</t>
  </si>
  <si>
    <t>ART-RJ-JDP-01</t>
  </si>
  <si>
    <t>ART-RJ-JJN-01</t>
  </si>
  <si>
    <t>ART-RJ-JLR-01</t>
  </si>
  <si>
    <t>ART-RJ-JPR-01</t>
  </si>
  <si>
    <t>ART-RJ-KTA-01</t>
  </si>
  <si>
    <t>ART-RJ-NGR-01</t>
  </si>
  <si>
    <t>ART-RJ-PLI-01</t>
  </si>
  <si>
    <t>ART-RJ-RSD-01</t>
  </si>
  <si>
    <t>ART-RJ-SGN-01</t>
  </si>
  <si>
    <t>ART-RJ-SKR-01</t>
  </si>
  <si>
    <t>ART-RJ-SRH-01</t>
  </si>
  <si>
    <t>ART-RJ-UDP-01</t>
  </si>
  <si>
    <t>ART-SI-ESI-01</t>
  </si>
  <si>
    <t>ART-TE-ADB-01</t>
  </si>
  <si>
    <t>ART-TE-HYD-01</t>
  </si>
  <si>
    <t>ART-TE-KMM-01</t>
  </si>
  <si>
    <t>ART-TE-KMR-01</t>
  </si>
  <si>
    <t>ART-TE-MBR-01</t>
  </si>
  <si>
    <t>ART-TE-MDK-01</t>
  </si>
  <si>
    <t>ART-TE-NGD-01</t>
  </si>
  <si>
    <t>ART-TE-NZD-01</t>
  </si>
  <si>
    <t>ART-TE-RGY-01</t>
  </si>
  <si>
    <t>ART-TE-WRL-01</t>
  </si>
  <si>
    <t>ART-TN-ARY-01</t>
  </si>
  <si>
    <t>ART-TN-CBE-01</t>
  </si>
  <si>
    <t>ART-TN-CNI-01</t>
  </si>
  <si>
    <t>ART-TN-CUD-01</t>
  </si>
  <si>
    <t>ART-TN-DGL-01</t>
  </si>
  <si>
    <t>ART-TN-DPI-01</t>
  </si>
  <si>
    <t>ART-TN-ERD-01</t>
  </si>
  <si>
    <t>ART-TN-KKM-01</t>
  </si>
  <si>
    <t>ART-TN-KKR-01</t>
  </si>
  <si>
    <t>ART-TN-KPM-01</t>
  </si>
  <si>
    <t>ART-TN-MDU-01</t>
  </si>
  <si>
    <t>ART-TN-NAG-01</t>
  </si>
  <si>
    <t>ART-TN-NAM-01</t>
  </si>
  <si>
    <t>ART-TN-PBR-01</t>
  </si>
  <si>
    <t>ART-TN-PDK-01</t>
  </si>
  <si>
    <t>ART-TN-RMP-01</t>
  </si>
  <si>
    <t>ART-TN-SLM-01</t>
  </si>
  <si>
    <t>ART-TN-SVG-01</t>
  </si>
  <si>
    <t>ART-TN-TLR-01</t>
  </si>
  <si>
    <t>ART-TN-TNI-01</t>
  </si>
  <si>
    <t>ART-TN-TNJ-01</t>
  </si>
  <si>
    <t>ART-TN-TNL-01</t>
  </si>
  <si>
    <t>ART-TN-TNV-01</t>
  </si>
  <si>
    <t>ART-TN-TRY-01</t>
  </si>
  <si>
    <t>ART-TN-TTC-01</t>
  </si>
  <si>
    <t>ART-TN-TVM-01</t>
  </si>
  <si>
    <t>ART-TN-TVR-01</t>
  </si>
  <si>
    <t>ART-TN-VLR-01</t>
  </si>
  <si>
    <t>ART-TN-VPM-01</t>
  </si>
  <si>
    <t>ART-TN-VRD-01</t>
  </si>
  <si>
    <t>ART-TR-WES-01</t>
  </si>
  <si>
    <t>ART-UP-AGR-01</t>
  </si>
  <si>
    <t>ART-UP-AHB-01</t>
  </si>
  <si>
    <t>ART-UP-ALG-01</t>
  </si>
  <si>
    <t>ART-UP-AZG-01</t>
  </si>
  <si>
    <t>ART-UP-BAL-01</t>
  </si>
  <si>
    <t>ART-UP-BJR-01</t>
  </si>
  <si>
    <t>ART-UP-BNA-01</t>
  </si>
  <si>
    <t>ART-UP-BRC-01</t>
  </si>
  <si>
    <t>ART-UP-BRL-01</t>
  </si>
  <si>
    <t>ART-UP-BRP-01</t>
  </si>
  <si>
    <t>ART-UP-BST-01</t>
  </si>
  <si>
    <t>ART-UP-DOR-01</t>
  </si>
  <si>
    <t>ART-UP-ETW-01</t>
  </si>
  <si>
    <t>ART-UP-FZB-01</t>
  </si>
  <si>
    <t>ART-UP-GND-01</t>
  </si>
  <si>
    <t>ART-UP-GRP-01</t>
  </si>
  <si>
    <t>ART-UP-GZA-01</t>
  </si>
  <si>
    <t>ART-UP-GZP-01</t>
  </si>
  <si>
    <t>ART-UP-JLN-01</t>
  </si>
  <si>
    <t>ART-UP-JNP-01</t>
  </si>
  <si>
    <t>ART-UP-JNS-01</t>
  </si>
  <si>
    <t>ART-UP-KPN-01</t>
  </si>
  <si>
    <t>ART-UP-KSN-01</t>
  </si>
  <si>
    <t>ART-UP-LNO-01</t>
  </si>
  <si>
    <t>ART-UP-MAU-01</t>
  </si>
  <si>
    <t>ART-UP-MDB-01</t>
  </si>
  <si>
    <t>ART-UP-MET-01</t>
  </si>
  <si>
    <t>ART-UP-MHR-01</t>
  </si>
  <si>
    <t>ART-UP-MTR-01</t>
  </si>
  <si>
    <t>ART-UP-MZN-01</t>
  </si>
  <si>
    <t>ART-UP-PTR-01</t>
  </si>
  <si>
    <t>ART-UP-RAB-01</t>
  </si>
  <si>
    <t>ART-UP-SDN-01</t>
  </si>
  <si>
    <t>ART-UP-SHP-01</t>
  </si>
  <si>
    <t>ART-UP-SLP-01</t>
  </si>
  <si>
    <t>ART-UP-VRN-01</t>
  </si>
  <si>
    <t>ART-UT-DDN-01</t>
  </si>
  <si>
    <t>ART-UT-NTL-01</t>
  </si>
  <si>
    <t>ART-UT-PTG-01</t>
  </si>
  <si>
    <t>ART-WB-BDN-01</t>
  </si>
  <si>
    <t>ART-WB-BKR-01</t>
  </si>
  <si>
    <t>ART-WB-CAL-01</t>
  </si>
  <si>
    <t>ART-WB-CBR-01</t>
  </si>
  <si>
    <t>ART-WB-DJL-01</t>
  </si>
  <si>
    <t>ART-WB-HGL-01</t>
  </si>
  <si>
    <t>ART-WB-MBD-01</t>
  </si>
  <si>
    <t>ART-WB-MLD-01</t>
  </si>
  <si>
    <t>ART-WB-MNP-01</t>
  </si>
  <si>
    <t>ART-WB-NDA-01</t>
  </si>
  <si>
    <t>ART-WB-NPG-01</t>
  </si>
  <si>
    <t>ART-WB-SPG-01</t>
  </si>
  <si>
    <t>ART-WB-TML-01</t>
  </si>
  <si>
    <t>ART-WB-UDJ-01</t>
  </si>
  <si>
    <t>ART-AP-APR-02</t>
  </si>
  <si>
    <t>ART-AP-APR-03</t>
  </si>
  <si>
    <t>ART-AP-CHT-02</t>
  </si>
  <si>
    <t>ART-AP-CHT-03</t>
  </si>
  <si>
    <t>ART-AP-EGV-02</t>
  </si>
  <si>
    <t>ART-AP-EGV-03</t>
  </si>
  <si>
    <t>ART-AP-EGV-04</t>
  </si>
  <si>
    <t>Amalapuram</t>
  </si>
  <si>
    <t>ART-AP-GTR-02</t>
  </si>
  <si>
    <t>ART-AP-GTR-03</t>
  </si>
  <si>
    <t>ART-AP-GTR-04</t>
  </si>
  <si>
    <t>ART-AP-GTR-05</t>
  </si>
  <si>
    <t>ART-AP-GTR-06</t>
  </si>
  <si>
    <t>ART-AP-KAD-02</t>
  </si>
  <si>
    <t>ART-AP-KRL-02</t>
  </si>
  <si>
    <t>ART-AP-KRN-02</t>
  </si>
  <si>
    <t>ART-AP-KRN-03</t>
  </si>
  <si>
    <t>ART-AP-KRN-04</t>
  </si>
  <si>
    <t>ART-AP-NLR-02</t>
  </si>
  <si>
    <t>ART-AP-PKM-02</t>
  </si>
  <si>
    <t>ART-AP-PKM-03</t>
  </si>
  <si>
    <t>ART-AP-VSM-02</t>
  </si>
  <si>
    <t>ART-AP-VSM-03</t>
  </si>
  <si>
    <t>ART-AP-VSM-04</t>
  </si>
  <si>
    <t>ART-AP-VZM-02</t>
  </si>
  <si>
    <t>ART-AP-WGV-02</t>
  </si>
  <si>
    <t>ART-AP-WGV-03</t>
  </si>
  <si>
    <t>ART-AP-WGV-04</t>
  </si>
  <si>
    <t>ART-BH-PTN-02</t>
  </si>
  <si>
    <t>ART-DL-NEW-02</t>
  </si>
  <si>
    <t>ART-DL-NEW-03</t>
  </si>
  <si>
    <t>ART-DL-NWS-02</t>
  </si>
  <si>
    <t>ART-DL-SOU-02</t>
  </si>
  <si>
    <t>ART-GJ-AMD-02</t>
  </si>
  <si>
    <t>ART-GJ-AMD-03</t>
  </si>
  <si>
    <t>ART-GJ-RJT-02</t>
  </si>
  <si>
    <t>ART-GJ-SRT-02</t>
  </si>
  <si>
    <t>ART-GJ-SRT-03</t>
  </si>
  <si>
    <t>ART-GJ-SRT-04</t>
  </si>
  <si>
    <t>ART-GJ-VDD-02</t>
  </si>
  <si>
    <t>ART-OR-GJM-02</t>
  </si>
  <si>
    <t>REW</t>
  </si>
  <si>
    <t>ART-MP-REW-01</t>
  </si>
  <si>
    <t>ART-MZ-AZL-02</t>
  </si>
  <si>
    <t>ART-KA-BEL-02</t>
  </si>
  <si>
    <t>ART-KA-BEL-03</t>
  </si>
  <si>
    <t>ART-KA-BEL-04</t>
  </si>
  <si>
    <t>ART-KA-BEL-05</t>
  </si>
  <si>
    <t>ART-KA-BEL-06</t>
  </si>
  <si>
    <t>ART-KA-BJP-02</t>
  </si>
  <si>
    <t>ART-KA-BJP-03</t>
  </si>
  <si>
    <t>ART-KA-BJP-04</t>
  </si>
  <si>
    <t>ART-KA-BLK-02</t>
  </si>
  <si>
    <t>ART-KA-BLK-03</t>
  </si>
  <si>
    <t>ART-KA-BLK-04</t>
  </si>
  <si>
    <t>ART-KA-BLR-02</t>
  </si>
  <si>
    <t>ART-KA-BLR-03</t>
  </si>
  <si>
    <t>ART-KA-BLR-04</t>
  </si>
  <si>
    <t>ART-KA-BLR-05</t>
  </si>
  <si>
    <t>ART-KA-BLR-06</t>
  </si>
  <si>
    <t>ART-KA-BLR-07</t>
  </si>
  <si>
    <t>ART-KA-BLY-02</t>
  </si>
  <si>
    <t>ART-KA-BLY-03</t>
  </si>
  <si>
    <t>ART-KA-CRN-02</t>
  </si>
  <si>
    <t>ART-WB-MNP-02</t>
  </si>
  <si>
    <t>ART-WB-DJL-02</t>
  </si>
  <si>
    <t>ART-WB-CAL-02</t>
  </si>
  <si>
    <t>ART-WB-CAL-03</t>
  </si>
  <si>
    <t>ART-WB-CAL-04</t>
  </si>
  <si>
    <t>ART-UP-VRN-02</t>
  </si>
  <si>
    <t>ART-UP-LNO-02</t>
  </si>
  <si>
    <t>ART-TN-VLR-02</t>
  </si>
  <si>
    <t>ART-TN-VLR-03</t>
  </si>
  <si>
    <t>ART-TN-VPM-02</t>
  </si>
  <si>
    <t>ART-TN-TNV-02</t>
  </si>
  <si>
    <t>ART-TN-TRY-02</t>
  </si>
  <si>
    <t>ART-TN-TNI-02</t>
  </si>
  <si>
    <t>ART-TN-TNJ-02</t>
  </si>
  <si>
    <t>ART-TN-SLM-02</t>
  </si>
  <si>
    <t>ART-TN-SLM-03</t>
  </si>
  <si>
    <t>ART-TN-NAM-02</t>
  </si>
  <si>
    <t>ART-TN-NAM-03</t>
  </si>
  <si>
    <t>ART-TN-MDU-02</t>
  </si>
  <si>
    <t>ART-TN-MDU-03</t>
  </si>
  <si>
    <t>ART-TN-DPI-02</t>
  </si>
  <si>
    <t>ART-TN-DGL-02</t>
  </si>
  <si>
    <t>ART-TN-CUD-02</t>
  </si>
  <si>
    <t>ART-TN-CNI-02</t>
  </si>
  <si>
    <t>ART-TN-CNI-03</t>
  </si>
  <si>
    <t>ART-TN-CNI-04</t>
  </si>
  <si>
    <t>ART-TN-CNI-05</t>
  </si>
  <si>
    <t>ART-TN-CBE-02</t>
  </si>
  <si>
    <t>ART-TE-WRL-02</t>
  </si>
  <si>
    <t>TIR</t>
  </si>
  <si>
    <t>ART-TN-TIR-01</t>
  </si>
  <si>
    <t>ART-TE-MDK-02</t>
  </si>
  <si>
    <t>ART-TE-NGD-02</t>
  </si>
  <si>
    <t>ART-TE-NZD-02</t>
  </si>
  <si>
    <t>ART-TE-NZD-03</t>
  </si>
  <si>
    <t>ART-TE-HYD-02</t>
  </si>
  <si>
    <t>ART-TE-HYD-03</t>
  </si>
  <si>
    <t>ART-TE-HYD-04</t>
  </si>
  <si>
    <t>ART-TE-HYD-05</t>
  </si>
  <si>
    <t>ART-TE-KMM-02</t>
  </si>
  <si>
    <t>ART-TE-KMR-02</t>
  </si>
  <si>
    <t>ART-TE-KMR-03</t>
  </si>
  <si>
    <t>ART-MN-CCP-02</t>
  </si>
  <si>
    <t>ART-MN-CDL-02</t>
  </si>
  <si>
    <t>ART-MN-CDL-03</t>
  </si>
  <si>
    <t>ART-MN-EIM-02</t>
  </si>
  <si>
    <t>ART-MH-YTL-02</t>
  </si>
  <si>
    <t>ART-MH-SLR-02</t>
  </si>
  <si>
    <t>ART-MH-SLR-03</t>
  </si>
  <si>
    <t>ART-MH-SNG-02</t>
  </si>
  <si>
    <t>ART-MH-SNG-04</t>
  </si>
  <si>
    <t>ART-MH-SNG-03</t>
  </si>
  <si>
    <t>ART-MH-STR-02</t>
  </si>
  <si>
    <t>ART-MH-STR-03</t>
  </si>
  <si>
    <t>ART-MH-THN-02</t>
  </si>
  <si>
    <t>ART-MH-THN-03</t>
  </si>
  <si>
    <t>ART-MH-THN-04</t>
  </si>
  <si>
    <t>ART-MH-THN-05</t>
  </si>
  <si>
    <t>ART-MH-THN-06</t>
  </si>
  <si>
    <t>ART-MH-THN-07</t>
  </si>
  <si>
    <t>ART-MH-THN-08</t>
  </si>
  <si>
    <t>ART-MH-PNA-02</t>
  </si>
  <si>
    <t>ART-MH-PNA-03</t>
  </si>
  <si>
    <t>ART-MH-PNA-04</t>
  </si>
  <si>
    <t>ART-MH-PNA-05</t>
  </si>
  <si>
    <t>ART-MH-PNA-06</t>
  </si>
  <si>
    <t>ART-MH-PNA-07</t>
  </si>
  <si>
    <t>ART-MH-RGD-02</t>
  </si>
  <si>
    <t>ART-MH-OBD-02</t>
  </si>
  <si>
    <t>ART-MH-NSK-02</t>
  </si>
  <si>
    <t>ART-MH-NGP-02</t>
  </si>
  <si>
    <t>ART-MH-NGP-03</t>
  </si>
  <si>
    <t>ART-MH-LTR-02</t>
  </si>
  <si>
    <t>ART-MH-KLP-02</t>
  </si>
  <si>
    <t>ART-MH-KLP-03</t>
  </si>
  <si>
    <t>ART-MH-KLP-04</t>
  </si>
  <si>
    <t>ART-MH-JLG-02</t>
  </si>
  <si>
    <t>ART-MH-CPR-02</t>
  </si>
  <si>
    <t>ART-MH-CPR-03</t>
  </si>
  <si>
    <t>ART-MH-DHL-02</t>
  </si>
  <si>
    <t>ART-MH-ANG-02</t>
  </si>
  <si>
    <t>ART-MH-ARD-02</t>
  </si>
  <si>
    <t>ART-MH-ARD-03</t>
  </si>
  <si>
    <t>ART-MH-BED-02</t>
  </si>
  <si>
    <t>ART-MH-AKL-02</t>
  </si>
  <si>
    <t>ART-KA-TUM-02</t>
  </si>
  <si>
    <t>ART-KA-TUM-03</t>
  </si>
  <si>
    <t>ART-KA-UDU-02</t>
  </si>
  <si>
    <t>ART-KA-RCR-02</t>
  </si>
  <si>
    <t>ART-KA-RCR-03</t>
  </si>
  <si>
    <t>ART-KA-DHA-02</t>
  </si>
  <si>
    <t>ART-KA-DVG-02</t>
  </si>
  <si>
    <t>ART-KA-GBG-02</t>
  </si>
  <si>
    <t>ART-KA-GLG-02</t>
  </si>
  <si>
    <t>ART-KA-KAR-02</t>
  </si>
  <si>
    <t>ART-KA-KPP-02</t>
  </si>
  <si>
    <t>ART-KA-MLR-02</t>
  </si>
  <si>
    <t>ART-KA-MYS-02</t>
  </si>
  <si>
    <t>ART-KA-MYS-03</t>
  </si>
  <si>
    <t>Nandyal</t>
  </si>
  <si>
    <t>Bhimavaram</t>
  </si>
  <si>
    <t>Gudur</t>
  </si>
  <si>
    <t>Machine Available</t>
  </si>
  <si>
    <t>If yes, model of machine</t>
  </si>
  <si>
    <t>If no, code of linked ART</t>
  </si>
  <si>
    <t>2.10</t>
  </si>
  <si>
    <t>2.4 
Not on ART</t>
  </si>
  <si>
    <t>2.4
On ART</t>
  </si>
  <si>
    <t>2.7
Not on ART</t>
  </si>
  <si>
    <t>2.7
On ART</t>
  </si>
  <si>
    <t>2.8
Not on ART</t>
  </si>
  <si>
    <t>2.8
On ART</t>
  </si>
  <si>
    <t>3.7 (a)</t>
  </si>
  <si>
    <t>3.7 (b)</t>
  </si>
  <si>
    <t>3.11
Pre-ART</t>
  </si>
  <si>
    <t>3.11
On ART</t>
  </si>
  <si>
    <t>4.a.1</t>
  </si>
  <si>
    <t>4.a.2</t>
  </si>
  <si>
    <t>4.b.1</t>
  </si>
  <si>
    <t>4.b.2</t>
  </si>
  <si>
    <t>4.c.1</t>
  </si>
  <si>
    <t>4.c.2</t>
  </si>
  <si>
    <t>4.c.3</t>
  </si>
  <si>
    <t>4.c.4</t>
  </si>
  <si>
    <t>4.c.5</t>
  </si>
  <si>
    <t>4.c.6</t>
  </si>
  <si>
    <t>4.c.7</t>
  </si>
  <si>
    <t>4.d.3</t>
  </si>
  <si>
    <t>4.d.4</t>
  </si>
  <si>
    <t>4.d.5</t>
  </si>
  <si>
    <t>4.e.1</t>
  </si>
  <si>
    <t>4.e.2</t>
  </si>
  <si>
    <t>6.a</t>
  </si>
  <si>
    <t>Type of Institution:</t>
  </si>
  <si>
    <r>
      <rPr>
        <b/>
        <u/>
        <sz val="8"/>
        <color indexed="8"/>
        <rFont val="Verdana"/>
        <family val="2"/>
      </rPr>
      <t>2.6</t>
    </r>
    <r>
      <rPr>
        <sz val="8"/>
        <color indexed="8"/>
        <rFont val="Verdana"/>
        <family val="2"/>
      </rPr>
      <t xml:space="preserve"> Cumulative number of PLHIV reported died till the end of this month</t>
    </r>
  </si>
  <si>
    <t>2.6
Not on ART</t>
  </si>
  <si>
    <t>2.6
On ART</t>
  </si>
  <si>
    <t>1.11.c) If 1.11.b) is 'Others', then model of machine</t>
  </si>
  <si>
    <t>Type of Institution</t>
  </si>
  <si>
    <t>If no, name of linked ART</t>
  </si>
  <si>
    <t>If 'Others', model of machine</t>
  </si>
  <si>
    <t>Adult Consumption</t>
  </si>
  <si>
    <t>Paed Consumption</t>
  </si>
  <si>
    <r>
      <rPr>
        <b/>
        <u/>
        <sz val="8"/>
        <color rgb="FF000000"/>
        <rFont val="Verdana"/>
        <family val="2"/>
      </rPr>
      <t>4.c.1</t>
    </r>
    <r>
      <rPr>
        <b/>
        <sz val="8"/>
        <color rgb="FF000000"/>
        <rFont val="Verdana"/>
        <family val="2"/>
      </rPr>
      <t xml:space="preserve"> </t>
    </r>
    <r>
      <rPr>
        <sz val="8"/>
        <color rgb="FF000000"/>
        <rFont val="Verdana"/>
        <family val="2"/>
      </rPr>
      <t>Number of PLHIV attending ART Centre during the month (Pre ART and ART)</t>
    </r>
  </si>
  <si>
    <r>
      <rPr>
        <b/>
        <u/>
        <sz val="8"/>
        <color theme="1"/>
        <rFont val="Verdana"/>
        <family val="2"/>
      </rPr>
      <t>5.2</t>
    </r>
    <r>
      <rPr>
        <sz val="8"/>
        <color theme="1"/>
        <rFont val="Verdana"/>
        <family val="2"/>
      </rPr>
      <t xml:space="preserve"> Of all PLHIV on ART this month and who have been assessed for adherence, number of patients within each adherence category</t>
    </r>
  </si>
  <si>
    <r>
      <rPr>
        <b/>
        <u/>
        <sz val="8"/>
        <color rgb="FF000000"/>
        <rFont val="Verdana"/>
        <family val="2"/>
      </rPr>
      <t>4.c.6</t>
    </r>
    <r>
      <rPr>
        <b/>
        <sz val="8"/>
        <color rgb="FF000000"/>
        <rFont val="Verdana"/>
        <family val="2"/>
      </rPr>
      <t xml:space="preserve"> </t>
    </r>
    <r>
      <rPr>
        <sz val="8"/>
        <color rgb="FF000000"/>
        <rFont val="Verdana"/>
        <family val="2"/>
      </rPr>
      <t xml:space="preserve">Out of the 4.c.5, number of PLHIV diagnosed as having TB: </t>
    </r>
  </si>
  <si>
    <t>IPGMER, SSKM Hospital, 244, Archaryya Jagadish Chandra Bose Road, Kolkata – 700 020.</t>
  </si>
  <si>
    <t>Ghatal SDH, Dist. Paschim Medinipur, P.O. &amp; P.S. Ghatal, Pin - 721212</t>
  </si>
  <si>
    <r>
      <rPr>
        <b/>
        <sz val="8"/>
        <color indexed="8"/>
        <rFont val="Verdana"/>
        <family val="2"/>
      </rPr>
      <t>17</t>
    </r>
    <r>
      <rPr>
        <sz val="8"/>
        <color indexed="8"/>
        <rFont val="Verdana"/>
        <family val="2"/>
      </rPr>
      <t xml:space="preserve"> Renal Calculi</t>
    </r>
  </si>
  <si>
    <r>
      <rPr>
        <b/>
        <sz val="8"/>
        <color indexed="8"/>
        <rFont val="Verdana"/>
        <family val="2"/>
      </rPr>
      <t>18</t>
    </r>
    <r>
      <rPr>
        <sz val="8"/>
        <color indexed="8"/>
        <rFont val="Verdana"/>
        <family val="2"/>
      </rPr>
      <t xml:space="preserve"> Drowsiness</t>
    </r>
  </si>
  <si>
    <t>Search Code</t>
  </si>
  <si>
    <t>Phone number/ email</t>
  </si>
  <si>
    <t>Phone number</t>
  </si>
  <si>
    <t>Total Number of Functional LAC linked to this ART Centre</t>
  </si>
  <si>
    <t>Number of CSC</t>
  </si>
  <si>
    <t xml:space="preserve"> National AIDS Control Programme</t>
  </si>
  <si>
    <t>1.4 District</t>
  </si>
  <si>
    <t xml:space="preserve"> Number of PLHIV alive and On-ART on this regimen</t>
  </si>
  <si>
    <t>Number of PLHIV who were diagnosed with a side-effect this month</t>
  </si>
  <si>
    <t>b 2) Stock recd. during month from other ART Centres</t>
  </si>
  <si>
    <t>e2) at Link Centre during the month</t>
  </si>
  <si>
    <t>Paediatrics</t>
  </si>
  <si>
    <t>Email (Personal)</t>
  </si>
  <si>
    <t>Name of Medical officer In-charge of LAC</t>
  </si>
  <si>
    <t>LAC Plus     (Yes/No)</t>
  </si>
  <si>
    <t>If LAC plus, name of LAC nurse</t>
  </si>
  <si>
    <t>1.10 Linkage With CSC</t>
  </si>
  <si>
    <t>1.8 Manpower Details At ART Centre (Give Number Of Staff )</t>
  </si>
  <si>
    <t>1.9 LACs Linked To This ART Centre</t>
  </si>
  <si>
    <t xml:space="preserve"> Number Of CSCs Linked To This Centre</t>
  </si>
  <si>
    <t>1.11 CD4 Testing Machine</t>
  </si>
  <si>
    <t>2. PLHIV Registered In HIV Care</t>
  </si>
  <si>
    <t>3. Enrolment In ART</t>
  </si>
  <si>
    <t xml:space="preserve">4.c Intensified TB Case Finding And Diagnosis </t>
  </si>
  <si>
    <t>4d. Treatment For TB And HIV In Co-Infected PLHIV</t>
  </si>
  <si>
    <t xml:space="preserve">5. Treatment Adherence </t>
  </si>
  <si>
    <t>6a. Regimen Used During The Reporting Month</t>
  </si>
  <si>
    <t>1.11.b) If 1.11.a) is 'Yes', then model of machine</t>
  </si>
  <si>
    <r>
      <rPr>
        <b/>
        <u/>
        <sz val="8"/>
        <color indexed="8"/>
        <rFont val="Verdana"/>
        <family val="2"/>
      </rPr>
      <t>2.5</t>
    </r>
    <r>
      <rPr>
        <sz val="8"/>
        <color indexed="8"/>
        <rFont val="Verdana"/>
        <family val="2"/>
      </rPr>
      <t xml:space="preserve"> Number of PLHIV registered in HIV Care at the end of this month                   (2.1 + 2.2 + 2.3 - 2.4)</t>
    </r>
  </si>
  <si>
    <r>
      <rPr>
        <b/>
        <u/>
        <sz val="8"/>
        <color indexed="8"/>
        <rFont val="Verdana"/>
        <family val="2"/>
      </rPr>
      <t>2.8</t>
    </r>
    <r>
      <rPr>
        <sz val="8"/>
        <color indexed="8"/>
        <rFont val="Verdana"/>
        <family val="2"/>
      </rPr>
      <t xml:space="preserve"> Number of PLHIV whose treatment status is "stopped treatment/ opted out of Program" till the end of this month (it is a dynamic figure)</t>
    </r>
  </si>
  <si>
    <r>
      <rPr>
        <b/>
        <u/>
        <sz val="8"/>
        <color indexed="8"/>
        <rFont val="Verdana"/>
        <family val="2"/>
      </rPr>
      <t>3.3</t>
    </r>
    <r>
      <rPr>
        <sz val="8"/>
        <color indexed="8"/>
        <rFont val="Verdana"/>
        <family val="2"/>
      </rPr>
      <t xml:space="preserve"> Number of PLHIV on ART "transferred in" during this month</t>
    </r>
  </si>
  <si>
    <r>
      <rPr>
        <b/>
        <u/>
        <sz val="8"/>
        <color indexed="8"/>
        <rFont val="Verdana"/>
        <family val="2"/>
      </rPr>
      <t>3.4</t>
    </r>
    <r>
      <rPr>
        <b/>
        <sz val="8"/>
        <color indexed="8"/>
        <rFont val="Verdana"/>
        <family val="2"/>
      </rPr>
      <t xml:space="preserve"> </t>
    </r>
    <r>
      <rPr>
        <sz val="8"/>
        <color indexed="8"/>
        <rFont val="Verdana"/>
        <family val="2"/>
      </rPr>
      <t>Number of PLHIV on ART  "transferred out" during this month</t>
    </r>
  </si>
  <si>
    <r>
      <rPr>
        <b/>
        <u/>
        <sz val="8"/>
        <color indexed="8"/>
        <rFont val="Verdana"/>
        <family val="2"/>
      </rPr>
      <t>3.7(a)</t>
    </r>
    <r>
      <rPr>
        <sz val="8"/>
        <color indexed="8"/>
        <rFont val="Verdana"/>
        <family val="2"/>
      </rPr>
      <t xml:space="preserve"> Number of PLHIV whose treatment status is "stopped treatment" till the end of this month (it is a dynamic figure)</t>
    </r>
  </si>
  <si>
    <r>
      <rPr>
        <b/>
        <u/>
        <sz val="8"/>
        <color indexed="8"/>
        <rFont val="Verdana"/>
        <family val="2"/>
      </rPr>
      <t>3.9</t>
    </r>
    <r>
      <rPr>
        <sz val="8"/>
        <color indexed="8"/>
        <rFont val="Verdana"/>
        <family val="2"/>
      </rPr>
      <t xml:space="preserve"> Number of PLHIV who treatment status is MIS during this month (dynamic figure)</t>
    </r>
  </si>
  <si>
    <t>S. No.</t>
  </si>
  <si>
    <r>
      <rPr>
        <b/>
        <u/>
        <sz val="8"/>
        <color indexed="8"/>
        <rFont val="Verdana"/>
        <family val="2"/>
      </rPr>
      <t>3.11</t>
    </r>
    <r>
      <rPr>
        <sz val="8"/>
        <color indexed="8"/>
        <rFont val="Verdana"/>
        <family val="2"/>
      </rPr>
      <t xml:space="preserve"> Details of PLHIV currently at LAC/ LAC plus (out of 2.10 &amp; 3.10)</t>
    </r>
  </si>
  <si>
    <t>TLE - (Tenofovir + Lamivudine + Efavirenz)</t>
  </si>
  <si>
    <t>ZLN - (Zidovudine + Lamivudine + Nevirapine)</t>
  </si>
  <si>
    <t>ZLE - (Zidovudine + Lamivudine + Efavirenz)</t>
  </si>
  <si>
    <t>TLN - (Tenofovir+ Lamivudine + Nevirapine)</t>
  </si>
  <si>
    <t>SLN - (Stavudine+ Lamivudine + Nevirapine)</t>
  </si>
  <si>
    <t>SLE - (Stavudine + Lamivudine + Efavirenz)</t>
  </si>
  <si>
    <t>TL+ATV/r - (Tenofovir + Lamivudine+ Atazanavir/Ritonavir)</t>
  </si>
  <si>
    <t xml:space="preserve">TL+LPV/r - (Tenofovir + Lamivudine+ Lopinavir/ Ritonavir ) </t>
  </si>
  <si>
    <t>ZL+ATV/r - (Zidovudine + Lamivudine + Atazanavir/Ritonavir)</t>
  </si>
  <si>
    <t>ZL+LPV/r - (Zidovudine + Lamivudine + Lopinavir/Ritonavir)</t>
  </si>
  <si>
    <t>SL+ATV/r - (Stavudine + Lamivudine + Atazanavir/Ritonavir)</t>
  </si>
  <si>
    <t>SL+LPV/r - (Stavudine + Lamivudine + Lopinavir/Ritonavir)</t>
  </si>
  <si>
    <t>ALN - (Abacavir + Lamivudine + Nevirapine )</t>
  </si>
  <si>
    <t xml:space="preserve">ZLE - (Zidovudine + Lamivudine + Efavirenz) </t>
  </si>
  <si>
    <t>ALE - (Abacavir + Lamivudine + Efavirenz)</t>
  </si>
  <si>
    <t>SLN - (Stavudine + Lamivudine + Nevirapine )</t>
  </si>
  <si>
    <t>AL+LPV/r - (Abacavir + Lamivudine + Lopinavir/ Ritonavir)</t>
  </si>
  <si>
    <t>ZL+LPV/r - (Zidovudine + Lamivudine + Lopinavir/Ritnovir)</t>
  </si>
  <si>
    <t>SL+LPV/r - (Stavudine + Lamivudine + Lopinavir/ Ritonavir)</t>
  </si>
  <si>
    <t>ZLN - (Zidovudine + Lamivudine+ Nevirapine)</t>
  </si>
  <si>
    <r>
      <rPr>
        <b/>
        <u/>
        <sz val="8"/>
        <color indexed="8"/>
        <rFont val="Verdana"/>
        <family val="2"/>
      </rPr>
      <t>3.5</t>
    </r>
    <r>
      <rPr>
        <sz val="8"/>
        <color indexed="8"/>
        <rFont val="Verdana"/>
        <family val="2"/>
      </rPr>
      <t xml:space="preserve"> Number of PLHIV ever started on ART at end of this month (3.1 + 3.2 + 3.3 - 3.4)</t>
    </r>
  </si>
  <si>
    <t xml:space="preserve"> </t>
  </si>
  <si>
    <r>
      <rPr>
        <b/>
        <u/>
        <sz val="8"/>
        <color indexed="8"/>
        <rFont val="Verdana"/>
        <family val="2"/>
      </rPr>
      <t>4.b.2</t>
    </r>
    <r>
      <rPr>
        <sz val="8"/>
        <color indexed="8"/>
        <rFont val="Verdana"/>
        <family val="2"/>
      </rPr>
      <t xml:space="preserve"> Out of 4.b.1, number of children/infants initiated on ART </t>
    </r>
  </si>
  <si>
    <r>
      <rPr>
        <b/>
        <sz val="8"/>
        <color indexed="8"/>
        <rFont val="Verdana"/>
        <family val="2"/>
      </rPr>
      <t>(i)</t>
    </r>
    <r>
      <rPr>
        <sz val="8"/>
        <color indexed="8"/>
        <rFont val="Verdana"/>
        <family val="2"/>
      </rPr>
      <t xml:space="preserve"> Pulmonary TB (Microbiologically confirmed)</t>
    </r>
  </si>
  <si>
    <r>
      <rPr>
        <b/>
        <sz val="8"/>
        <color indexed="8"/>
        <rFont val="Verdana"/>
        <family val="2"/>
      </rPr>
      <t>(ii)</t>
    </r>
    <r>
      <rPr>
        <sz val="8"/>
        <color indexed="8"/>
        <rFont val="Verdana"/>
        <family val="2"/>
      </rPr>
      <t xml:space="preserve"> Pulmonary TB (Clinically diagnosed)</t>
    </r>
  </si>
  <si>
    <r>
      <rPr>
        <b/>
        <u/>
        <sz val="8"/>
        <color indexed="8"/>
        <rFont val="Verdana"/>
        <family val="2"/>
      </rPr>
      <t>2.4</t>
    </r>
    <r>
      <rPr>
        <sz val="8"/>
        <color indexed="8"/>
        <rFont val="Verdana"/>
        <family val="2"/>
      </rPr>
      <t xml:space="preserve"> Number of PLHIV "transferred out" of HIV Care during this month</t>
    </r>
  </si>
  <si>
    <r>
      <rPr>
        <b/>
        <sz val="8"/>
        <color indexed="8"/>
        <rFont val="Verdana"/>
        <family val="2"/>
      </rPr>
      <t>3</t>
    </r>
    <r>
      <rPr>
        <sz val="8"/>
        <color indexed="8"/>
        <rFont val="Verdana"/>
        <family val="2"/>
      </rPr>
      <t xml:space="preserve"> Diarrhoea</t>
    </r>
  </si>
  <si>
    <r>
      <rPr>
        <b/>
        <sz val="8"/>
        <color indexed="8"/>
        <rFont val="Verdana"/>
        <family val="2"/>
      </rPr>
      <t>2.</t>
    </r>
    <r>
      <rPr>
        <sz val="8"/>
        <color indexed="8"/>
        <rFont val="Verdana"/>
        <family val="2"/>
      </rPr>
      <t>Zidovudine + Lamivudine + Nevirapine</t>
    </r>
  </si>
  <si>
    <r>
      <rPr>
        <b/>
        <u/>
        <sz val="8"/>
        <color indexed="8"/>
        <rFont val="Verdana"/>
        <family val="2"/>
      </rPr>
      <t>2.1</t>
    </r>
    <r>
      <rPr>
        <b/>
        <sz val="8"/>
        <color indexed="8"/>
        <rFont val="Verdana"/>
        <family val="2"/>
      </rPr>
      <t xml:space="preserve"> </t>
    </r>
    <r>
      <rPr>
        <sz val="8"/>
        <color indexed="8"/>
        <rFont val="Verdana"/>
        <family val="2"/>
      </rPr>
      <t>Number of PLHIV registered in HIV Care at the beginning of this month (2.5 of previous month)</t>
    </r>
    <r>
      <rPr>
        <b/>
        <sz val="8"/>
        <color indexed="8"/>
        <rFont val="Verdana"/>
        <family val="2"/>
      </rPr>
      <t xml:space="preserve">   </t>
    </r>
  </si>
  <si>
    <r>
      <rPr>
        <b/>
        <u/>
        <sz val="8"/>
        <color theme="1"/>
        <rFont val="Verdana"/>
        <family val="2"/>
      </rPr>
      <t>2.2</t>
    </r>
    <r>
      <rPr>
        <b/>
        <sz val="8"/>
        <color theme="1"/>
        <rFont val="Verdana"/>
        <family val="2"/>
      </rPr>
      <t xml:space="preserve"> </t>
    </r>
    <r>
      <rPr>
        <sz val="8"/>
        <color theme="1"/>
        <rFont val="Verdana"/>
        <family val="2"/>
      </rPr>
      <t xml:space="preserve">Number of new PLHIV registered in HIV Care during this month </t>
    </r>
  </si>
  <si>
    <r>
      <rPr>
        <b/>
        <u/>
        <sz val="8"/>
        <color indexed="8"/>
        <rFont val="Verdana"/>
        <family val="2"/>
      </rPr>
      <t>2.3</t>
    </r>
    <r>
      <rPr>
        <b/>
        <sz val="8"/>
        <color indexed="8"/>
        <rFont val="Verdana"/>
        <family val="2"/>
      </rPr>
      <t xml:space="preserve"> </t>
    </r>
    <r>
      <rPr>
        <sz val="8"/>
        <color indexed="8"/>
        <rFont val="Verdana"/>
        <family val="2"/>
      </rPr>
      <t>Number of PLHIV "transferred in" in HIV Care during this month</t>
    </r>
  </si>
  <si>
    <r>
      <rPr>
        <b/>
        <u/>
        <sz val="8"/>
        <color indexed="8"/>
        <rFont val="Verdana"/>
        <family val="2"/>
      </rPr>
      <t>4.b.1</t>
    </r>
    <r>
      <rPr>
        <sz val="8"/>
        <color indexed="8"/>
        <rFont val="Verdana"/>
        <family val="2"/>
      </rPr>
      <t xml:space="preserve"> Number of children/infants registered at the ART center through EID  during the current financial year (April - reporting month)</t>
    </r>
  </si>
  <si>
    <t xml:space="preserve">3.a
</t>
  </si>
  <si>
    <t>G. B. Pant Hospital</t>
  </si>
  <si>
    <t>Dharmanagar</t>
  </si>
  <si>
    <t>Dhalai</t>
  </si>
  <si>
    <t>ART-TR-DHR-01</t>
  </si>
  <si>
    <t>ART-TR-DHL-01</t>
  </si>
  <si>
    <t>ART-AN-SOA-01</t>
  </si>
  <si>
    <t>Hospicio Hospital</t>
  </si>
  <si>
    <t>South Goa</t>
  </si>
  <si>
    <t>ART-GO-GOS-01</t>
  </si>
  <si>
    <t>Phone with STD code (Off)</t>
  </si>
  <si>
    <t>Other (Specify...)</t>
  </si>
  <si>
    <t>Distance from ART centre in kilometers</t>
  </si>
  <si>
    <t>South Andaman</t>
  </si>
  <si>
    <t>Naharlagun</t>
  </si>
  <si>
    <t>Shivpuri</t>
  </si>
  <si>
    <t>Warora</t>
  </si>
  <si>
    <t>Bishnupur</t>
  </si>
  <si>
    <t>Senapati</t>
  </si>
  <si>
    <t>Tamenglong</t>
  </si>
  <si>
    <t>Ukhrul</t>
  </si>
  <si>
    <t>Jagityal</t>
  </si>
  <si>
    <t>Safdarjung Hospital</t>
  </si>
  <si>
    <t>General Hospital, Mehsana,</t>
  </si>
  <si>
    <t>ART Centre RH Hamirpur HP</t>
  </si>
  <si>
    <t>Savitribai Phule Corp. , Kolhapur</t>
  </si>
  <si>
    <t>Pediatric Center of Excellence</t>
  </si>
  <si>
    <t>SDH Pusad, Yavatmal</t>
  </si>
  <si>
    <t>Attur , ART Centre, Salem Dist.</t>
  </si>
  <si>
    <t>Trichy ART Centre,</t>
  </si>
  <si>
    <t xml:space="preserve">Virudhunagar ART Centre 
</t>
  </si>
  <si>
    <t>DH Muzaffar Nagar</t>
  </si>
  <si>
    <t>ARTC code</t>
  </si>
  <si>
    <t>Please re-check the values if any of the cells turn red
(Value of 2.10 can not be negative)</t>
  </si>
  <si>
    <t>Please re-check the values if any of the cells turn red
(Value of 2.5 can not be negative)</t>
  </si>
  <si>
    <r>
      <rPr>
        <b/>
        <u/>
        <sz val="8"/>
        <color indexed="8"/>
        <rFont val="Verdana"/>
        <family val="2"/>
      </rPr>
      <t>4.a.2</t>
    </r>
    <r>
      <rPr>
        <sz val="8"/>
        <color indexed="8"/>
        <rFont val="Verdana"/>
        <family val="2"/>
      </rPr>
      <t xml:space="preserve"> Out of 4a.1, number of pregnant women/DIL/Breastfeeding women initiated on ART</t>
    </r>
  </si>
  <si>
    <t>Males ( &lt; 18 mths. Of age)</t>
  </si>
  <si>
    <t>Females (&lt; 18 mths. Of age)</t>
  </si>
  <si>
    <r>
      <rPr>
        <b/>
        <u/>
        <sz val="8"/>
        <color rgb="FF000000"/>
        <rFont val="Verdana"/>
        <family val="2"/>
      </rPr>
      <t>4.c.3</t>
    </r>
    <r>
      <rPr>
        <sz val="8"/>
        <color rgb="FF000000"/>
        <rFont val="Verdana"/>
        <family val="2"/>
      </rPr>
      <t xml:space="preserve"> Out of the 4.c.2, number of PLHIV with presumptive TB (those with one or more symptom(s) present)</t>
    </r>
  </si>
  <si>
    <t>Good (&gt; 95% )</t>
  </si>
  <si>
    <t>Average (80% - 95%)</t>
  </si>
  <si>
    <t>Poor (&lt; 80%)</t>
  </si>
  <si>
    <r>
      <rPr>
        <b/>
        <u/>
        <sz val="8"/>
        <color theme="1"/>
        <rFont val="Verdana"/>
        <family val="2"/>
      </rPr>
      <t>5.1</t>
    </r>
    <r>
      <rPr>
        <sz val="8"/>
        <color theme="1"/>
        <rFont val="Verdana"/>
        <family val="2"/>
      </rPr>
      <t xml:space="preserve"> Of all PLHIV who are on treatment this month the number who have </t>
    </r>
    <r>
      <rPr>
        <sz val="8"/>
        <color theme="1"/>
        <rFont val="Verdana"/>
        <family val="2"/>
      </rPr>
      <t>been assessed for adherence (refer guideline)</t>
    </r>
  </si>
  <si>
    <t>6.a.1 should be equal to 3.10 for all adults (males, females &amp; TS/TG)</t>
  </si>
  <si>
    <t>DRV/r+RAL - (Darunavir/Ritonavir + Raltegravir)</t>
  </si>
  <si>
    <t>ALN - (Abacavir+ Lamivudine + Nevirapine)</t>
  </si>
  <si>
    <t>AL+ATV/r - (Abacavir + Lamivudine + Atazanavir/Ritonavir)</t>
  </si>
  <si>
    <t>AL+LPV/r - (Abacavir + Lamivudine + Lopinavir/Ritonavir)</t>
  </si>
  <si>
    <t>6.a.2 should be equal to 3.10 for all paeds</t>
  </si>
  <si>
    <t>Number of new episodes of OIs this month</t>
  </si>
  <si>
    <r>
      <rPr>
        <b/>
        <sz val="8"/>
        <color theme="1"/>
        <rFont val="Verdana"/>
        <family val="2"/>
      </rPr>
      <t>16</t>
    </r>
    <r>
      <rPr>
        <sz val="8"/>
        <color theme="1"/>
        <rFont val="Verdana"/>
        <family val="2"/>
      </rPr>
      <t xml:space="preserve"> Visceral Leishmaniasis</t>
    </r>
  </si>
  <si>
    <t>Total number of side effects observed</t>
  </si>
  <si>
    <t>Total number of new episodes of OIs</t>
  </si>
  <si>
    <t>Please re-check the values if any of the cells turn red 
(The value of stock can not be negative)</t>
  </si>
  <si>
    <t>Please do not create any other file and use only this file for data entry</t>
  </si>
  <si>
    <t>1.1 Unique ID code of ART centre</t>
  </si>
  <si>
    <t>Unique ID code of ART centre</t>
  </si>
  <si>
    <t>1.11.d) If 1.11.a) is 'No', ART centre code of centre where samples are sent for CD4 testing</t>
  </si>
  <si>
    <t>1.11.e) If 1.11.a) is 'No', Name of ART centre where samples are sent for CD4 testing</t>
  </si>
  <si>
    <t>Monthly Progress Report (MPR) – ART Centres</t>
  </si>
  <si>
    <r>
      <rPr>
        <b/>
        <u/>
        <sz val="8"/>
        <color indexed="8"/>
        <rFont val="Verdana"/>
        <family val="2"/>
      </rPr>
      <t>3.6</t>
    </r>
    <r>
      <rPr>
        <sz val="8"/>
        <color indexed="8"/>
        <rFont val="Verdana"/>
        <family val="2"/>
      </rPr>
      <t xml:space="preserve"> Cumulative Number of PLHIV who died since the beginning of the centre till the end of the month (same as 2.6 b)</t>
    </r>
  </si>
  <si>
    <t>Brief instructions:</t>
  </si>
  <si>
    <t>Unique ID code for ART Centres:</t>
  </si>
  <si>
    <t>Entering details of HR, LACs and CSCs</t>
  </si>
  <si>
    <t>General:</t>
  </si>
  <si>
    <r>
      <rPr>
        <b/>
        <u/>
        <sz val="8"/>
        <color rgb="FF000000"/>
        <rFont val="Verdana"/>
        <family val="2"/>
      </rPr>
      <t>4.c.2</t>
    </r>
    <r>
      <rPr>
        <sz val="8"/>
        <color rgb="FF000000"/>
        <rFont val="Verdana"/>
        <family val="2"/>
      </rPr>
      <t xml:space="preserve"> Out of the 4.c.1, number of PLHIV who underwent (4S) screening</t>
    </r>
  </si>
  <si>
    <r>
      <rPr>
        <b/>
        <u/>
        <sz val="8"/>
        <color rgb="FF000000"/>
        <rFont val="Verdana"/>
        <family val="2"/>
      </rPr>
      <t>4.c.5</t>
    </r>
    <r>
      <rPr>
        <sz val="8"/>
        <color rgb="FF000000"/>
        <rFont val="Verdana"/>
        <family val="2"/>
      </rPr>
      <t xml:space="preserve"> Out of the 4.c.4, number of PLHIV with presumptive TB, tested for TB</t>
    </r>
  </si>
  <si>
    <t>Financial year (April - reporting month)</t>
  </si>
  <si>
    <r>
      <rPr>
        <b/>
        <u/>
        <sz val="8"/>
        <color rgb="FF000000"/>
        <rFont val="Verdana"/>
        <family val="2"/>
      </rPr>
      <t>4.d.2</t>
    </r>
    <r>
      <rPr>
        <b/>
        <sz val="8"/>
        <color rgb="FF000000"/>
        <rFont val="Verdana"/>
        <family val="2"/>
      </rPr>
      <t xml:space="preserve"> </t>
    </r>
    <r>
      <rPr>
        <sz val="8"/>
        <color rgb="FF000000"/>
        <rFont val="Verdana"/>
        <family val="2"/>
      </rPr>
      <t>Out of 4.d.1, number of Co-infected patients initiated on TB treatment</t>
    </r>
  </si>
  <si>
    <r>
      <rPr>
        <b/>
        <u/>
        <sz val="8"/>
        <color rgb="FF000000"/>
        <rFont val="Verdana"/>
        <family val="2"/>
      </rPr>
      <t>4.d.3</t>
    </r>
    <r>
      <rPr>
        <b/>
        <sz val="8"/>
        <color rgb="FF000000"/>
        <rFont val="Verdana"/>
        <family val="2"/>
      </rPr>
      <t xml:space="preserve"> </t>
    </r>
    <r>
      <rPr>
        <sz val="8"/>
        <color rgb="FF000000"/>
        <rFont val="Verdana"/>
        <family val="2"/>
      </rPr>
      <t xml:space="preserve">Out of 4.d.2, number of TB patients with DR TB (Drug Resistant TB) initiated on Cat IV treatment </t>
    </r>
  </si>
  <si>
    <t>Adult Males</t>
  </si>
  <si>
    <t>Adult TS/TG</t>
  </si>
  <si>
    <t>Children 
(&lt; 15 yrs.)</t>
  </si>
  <si>
    <t>Please re-check the values if the cell turn red (Total value of 4.d.2 can not be greater than 4.d.1)</t>
  </si>
  <si>
    <t>Children (&lt; 15 yrs.)</t>
  </si>
  <si>
    <t>TOTAL</t>
  </si>
  <si>
    <t>Paediatric</t>
  </si>
  <si>
    <r>
      <t xml:space="preserve">ZLN - (Zidovudine + Lamivudine+ Nevirapine) - </t>
    </r>
    <r>
      <rPr>
        <i/>
        <sz val="8"/>
        <color indexed="8"/>
        <rFont val="Verdana"/>
        <family val="2"/>
      </rPr>
      <t>Adult tablets</t>
    </r>
  </si>
  <si>
    <r>
      <t xml:space="preserve">TLE - (Tenofovir + Lamivudine + Efavirenz) - </t>
    </r>
    <r>
      <rPr>
        <i/>
        <sz val="8"/>
        <color indexed="8"/>
        <rFont val="Verdana"/>
        <family val="2"/>
      </rPr>
      <t>Adult Tablets</t>
    </r>
  </si>
  <si>
    <r>
      <t xml:space="preserve">ALN - (Abacavir + Lamivudine + Nevirapine ) - </t>
    </r>
    <r>
      <rPr>
        <i/>
        <sz val="8"/>
        <color indexed="8"/>
        <rFont val="Verdana"/>
        <family val="2"/>
      </rPr>
      <t>Adult tablets</t>
    </r>
  </si>
  <si>
    <r>
      <t xml:space="preserve">ZLE - (Zidovudine + Lamivudine + Efavirenz) - </t>
    </r>
    <r>
      <rPr>
        <i/>
        <sz val="8"/>
        <color indexed="8"/>
        <rFont val="Verdana"/>
        <family val="2"/>
      </rPr>
      <t>Adult tablets</t>
    </r>
  </si>
  <si>
    <r>
      <t xml:space="preserve">ALE - (Abacavir + Lamivudine + Efavirenz) - </t>
    </r>
    <r>
      <rPr>
        <i/>
        <sz val="8"/>
        <color indexed="8"/>
        <rFont val="Verdana"/>
        <family val="2"/>
      </rPr>
      <t>Adult tablets</t>
    </r>
  </si>
  <si>
    <t>ART Centre General Hospital, Hungund, Bagalkot District</t>
  </si>
  <si>
    <t xml:space="preserve">ART Centre, K C General Hospital Malleshwaram, Bangalore - 560003         </t>
  </si>
  <si>
    <t>ART Centre General Hospital Athani</t>
  </si>
  <si>
    <t>Please re-check the values if any of the cells turn red
(Total value of any category of 4.c.6 or 4.c.7 can not be greater than 4.c.5)</t>
  </si>
  <si>
    <t>&gt; Go to the 'ART Centre Codes' worksheet.</t>
  </si>
  <si>
    <t>&gt; The details for the ART centre would be populated automatically. Please check the details. If they are correct, you can proceed further.</t>
  </si>
  <si>
    <t>&gt; If the details are not correct then please check the ART centre unique ID code again.</t>
  </si>
  <si>
    <t>&gt; There is only one row visible for each type of HR but more rows can be added using the automated buttons.</t>
  </si>
  <si>
    <t>&gt; Eg. If there are 2 Medical Officers in the ART Centre - Fill the details of the first MO and then press 'Add Medical Officer' button. A second row for the second MO will appear.</t>
  </si>
  <si>
    <t>Please press the blue automatic button only after you have filled the details in the existing visible rows.</t>
  </si>
  <si>
    <t>&gt; Similar to the HR details, more rows can be added for LACs and CSCs using the automatic buttons.</t>
  </si>
  <si>
    <t>Only one row is visible for LAC's patient details on 'ART_2' worksheet. More rows will appear only after LAC details have been filled on 'ART_1' worksheet.</t>
  </si>
  <si>
    <t>&gt; Many cells have been protected against wrong entries. If such an error message appears, please follow the instruction in the error message.</t>
  </si>
  <si>
    <t>&gt; The grey cells will be calculated automatically. But if any such grey cell becomes red, please re-check the data which has been entered.</t>
  </si>
  <si>
    <t>Please re-check the month and year if the cells become red. 
(The month and year can not be greater than today's date)</t>
  </si>
  <si>
    <t>Balance closing stock (adult ARVs)</t>
  </si>
  <si>
    <t>Balance closing stock (paeds ARVs)</t>
  </si>
  <si>
    <t>DHS Annexe Building Near Rear Gate, Atlanta Point, Port Blair, Andaman and Nicobar Islands 744104</t>
  </si>
  <si>
    <t>ART Centre, Room No: 27 Dist.Hqrs. Hospital, Chittoor - 517001</t>
  </si>
  <si>
    <t>ART Centre, OP Block, OP No.25, SVRR GG Hospital, Tirupati</t>
  </si>
  <si>
    <t>ART Centre, Area Hospital, Patel road, Madanapalli, Chittoor District Pin 517325.</t>
  </si>
  <si>
    <t>ART Centre, Government General Hospital, Kakinada - 533008, East Godavari District, Andhra Pradesh</t>
  </si>
  <si>
    <t>ART Centre, Area Hospital, Amalapuram - 533201, East Godavari District, Andhra Pradesh</t>
  </si>
  <si>
    <t>ART Centre, Government General Hospital, Opp. Railway Station, Guntur, PIN: 522001</t>
  </si>
  <si>
    <t>ART Centre, Area Hospital, Macherla Road Narsaropet- 522601, Guntur District</t>
  </si>
  <si>
    <t>ART Centre, Govt. Fever Hosp-IDH Hospital, Amarvathi Road, Gorantla- 522515, Guntur District</t>
  </si>
  <si>
    <t>ART Centre, RIMS General Hospital, Putlampalli, Kadapa-516002</t>
  </si>
  <si>
    <t>ART Centre, Area Hospital, Proddutur- 516360, Kadapa District. Ph.No. 9603366400</t>
  </si>
  <si>
    <t>ART Centre, Opp ICCTC, OP NO:40, Govt. Gen. Hospital, Kurnool</t>
  </si>
  <si>
    <t>ART Centre, District Hospital, Noonepally, Nandyal, Kurnool-  518502</t>
  </si>
  <si>
    <t>A.P.V.V.P, District Hospital, Beside Noble, Ramanaidupet, Machilipatnam,Krishna district, 521001</t>
  </si>
  <si>
    <t>ART Centre, New GGH, 3rd (Dignostic ) Block, Gunadala, Vijayawada- 52008.</t>
  </si>
  <si>
    <t>ART Centre, Old GGH, Hamanpet, Opp Thummalapalli, Vijayawada- 520003</t>
  </si>
  <si>
    <t>ART Centre, Area Hospital, Gudivada</t>
  </si>
  <si>
    <t>ART Centre, Area Hospital Road, Gudur, SPSR Nellore- 524101</t>
  </si>
  <si>
    <t>ART Centre, Area Hospital, marakapur-523316 , Prakasam District</t>
  </si>
  <si>
    <t>ART Centre, Area Hospital, Chirala- 523155, Prakasam District, AP</t>
  </si>
  <si>
    <t>ART Centre, RIMS General Hospital, Balaga Road, Srikakulam Town- 5324001</t>
  </si>
  <si>
    <t>ART Centre, Room No 99,  Area Hospital, Pool Bagh Road, Gavarapalem, Anakapalli, Vizag</t>
  </si>
  <si>
    <t>ART Centre, OP No:32, TH Ward, King George Hospital, Visakhapatnam- 530002</t>
  </si>
  <si>
    <t>ART Centre, Government Hospital for Chest &amp; Communicable Diseases, Vishakapatnam</t>
  </si>
  <si>
    <t>ART Centre, Area Hospital, Narsipatnam, Vizag</t>
  </si>
  <si>
    <t>ART Centre, District Hospital, Vizianagaram- 535003</t>
  </si>
  <si>
    <t>ART Centre, Area Hospital, Parvathipuram</t>
  </si>
  <si>
    <t>ART Centre, Room No.100, Dist. Head Government Hospital, Eluru, West Godavari Dist. 534001</t>
  </si>
  <si>
    <t>ART Centre, Area Hospital, TadepalliGudem- 534101, West Godavari</t>
  </si>
  <si>
    <t xml:space="preserve">Area Hospital, Bhimavaram, West Godavari- 534201 </t>
  </si>
  <si>
    <t>Jorhat Medical College, Kushal Konwar Path, Barbheta, P.O. Jorhat, Pincode- 785001, Assam, India</t>
  </si>
  <si>
    <t>Papumpare</t>
  </si>
  <si>
    <t>ARTC, OPD, Block, JLNMCH, Bhagalpur, Bihar 812002</t>
  </si>
  <si>
    <t>ART Centre, Sadar Hospital Begusarai, Near DM Office Begusarai, Bihar, 851101</t>
  </si>
  <si>
    <t>ART Centre, Darbhanga Medical College Hospital, Laheriasarai, Darbhanga, Bihar, 846003</t>
  </si>
  <si>
    <t>ART Centre, Sadar Hospital, Balua Tall Road, Motihari, Bihar, 845401</t>
  </si>
  <si>
    <t>Anugrah Narayan Magadh Medical College &amp; Hospital, Sherghati Road, Gaya, Bihar, 823001</t>
  </si>
  <si>
    <t>ARTC Sadar Hospital Hajipur, Vaishali, Bihar, 844101</t>
  </si>
  <si>
    <t>ARTC Sadar Hospital Khagaria, Khagaria, Bihar, 851204</t>
  </si>
  <si>
    <t>ART Centre Katihar Medical College, Katihar, Post- Katihar, Dist- Katihar, Bihar, Pin Code- 854106</t>
  </si>
  <si>
    <t>ART Centre, Sadar Hospital, Room No.-26 , OPD Building, Sadar Hospital, Madhubani, Bihar 847211</t>
  </si>
  <si>
    <t>Sri Krishna Medical College &amp; Hospital, Uma Nagar, Ahiyapur, Muzaffarpur, Bihar, 842004</t>
  </si>
  <si>
    <t>ARTC, RMRIMS, AGAMKUAN, Patna- 7,  Bihar, 800007</t>
  </si>
  <si>
    <t>Durg</t>
  </si>
  <si>
    <t>ART Center, Govt. Hospital, Durg- 491001</t>
  </si>
  <si>
    <t>Jagadalpur</t>
  </si>
  <si>
    <t>ART Center, Late Shri Baliram Kashyap Memorial Hospital, Jagdalpur</t>
  </si>
  <si>
    <t>Raipur</t>
  </si>
  <si>
    <t>Room No 301-302, 3rd Floor, Dr B R Ambedkar Memorial Hospital (MEKAHARA), Raipur- 492001</t>
  </si>
  <si>
    <t>Sarguja</t>
  </si>
  <si>
    <t>Centre of Excellence, Room No. 2023-2024, 2019, 2nd Floor, B-Block, New OPD, PGIMER, Chandigarh-2741425</t>
  </si>
  <si>
    <t>Lok Nayak Hospital, New Delhi</t>
  </si>
  <si>
    <t>ART Centre, 6th Floor, East Wing, New OPD Building, Lok Nayak Hospital, Delhi Gate, Delhi 110002</t>
  </si>
  <si>
    <t>The ART Centre, Ground Floor, OPD Block, Guru Teg Bahadur Hospital, Tahirpur Road, GTB Enclave, Sahadara, Delhi –110095</t>
  </si>
  <si>
    <t>ART Centre, Ground Floor, Staff Canteen Building, 
Dr. RML Hospital, Baba Kharak Singh Marg, New Delhi-110001</t>
  </si>
  <si>
    <t>Pediatric Centre of Excellence, Kalawati Saran Children's  Hospital, Bangla Sahib Marg, New Delhi - 110001</t>
  </si>
  <si>
    <t>Near Kalyanvas Colony, Mayur Vihar, Phase -II, Khichripur, New Delhi, Delhi 110091</t>
  </si>
  <si>
    <t>Dr. Baba Saheb Ambedkar Hospital</t>
  </si>
  <si>
    <t>ART Centre, Room No 1020, Basement, Dr. Baba Saheb Ambedkar Hospital, Sector- 6, Rohini, New Delhi 110085</t>
  </si>
  <si>
    <t>FI-ART Centre, Deep Chand Bandhu Hopital, Ashok Vihar, New  Delhi-110052</t>
  </si>
  <si>
    <t>ART Centre, All India Institute of Medical Sciences, Ansari Nagar (Ring Road), New Delhi-110029.</t>
  </si>
  <si>
    <t>ART Centre, Ground  Floor,  Near OPD Block, National Institute of TB and Respiratory Diseases, Sri Aurobindo Marg, Near Qutub Minar, Mehrauli, New Delhi-110030</t>
  </si>
  <si>
    <t>ART Centre, H Block, Near Medical Store, Safdarjang Hospital , New Delhi – 110029</t>
  </si>
  <si>
    <t>ART Centre, Skin Dept, 1st Floor, OPD-5, Deen Dayal Upadhayaya Hospital, Hari Nagar, New Delhi – 110064</t>
  </si>
  <si>
    <t>A.R.T. Centre, 2nd Floor, OPD Building, Nr. Medical OPD, Ellisbridge, V S General Hospital, Ahmedabad</t>
  </si>
  <si>
    <t>Civil Hoispital, B/H Kidney Hospital, Petlad Road, Nadiad</t>
  </si>
  <si>
    <t>FIARTC General Hospital Morbi</t>
  </si>
  <si>
    <t>ART Centre, OPD-Building, Opp. S.T.Bus Station, Rajmahel Road, Mehhsana</t>
  </si>
  <si>
    <t>FI ARTC, Govt. Hospital, Gondal</t>
  </si>
  <si>
    <t>Fr Miranda Road, Margao, Margao, Goa, 403601</t>
  </si>
  <si>
    <t>ART Center, Room No. 501, Regional Hospital, Hamirpur-177001 (HP)</t>
  </si>
  <si>
    <t>ARTC, DRPGMC, Kangra at Tanda (HP)</t>
  </si>
  <si>
    <t>FI-ART Center, Zonal Hospital, Mandi- 175001 (HP)</t>
  </si>
  <si>
    <t>ART Center, Indira Gandhi Medical College (IGMC), Shimla-171001 (HP)</t>
  </si>
  <si>
    <t>FI-Art Center, Room No. 228, 1st Floor, Regional Hospital, Una-174303 (HP)</t>
  </si>
  <si>
    <t>Rohtak</t>
  </si>
  <si>
    <t>Sadar Hospital Deoghar</t>
  </si>
  <si>
    <t>ART Centre Sadar Hospital Deoghar, Jharkhand Pin- 814112</t>
  </si>
  <si>
    <t>Patliputra Medical College And Hospital, Dhanbad</t>
  </si>
  <si>
    <t>ART Centre PMCH Dhanbad, Jharkhand Pin- 826005</t>
  </si>
  <si>
    <t>A.R.T Centre, Sadar Hospital, Daltonganj</t>
  </si>
  <si>
    <t>ART Centre Sadar Hospital Daltonganj, Jharkhand Pin- 822101</t>
  </si>
  <si>
    <t>ART Centre Sadar Hospital Giridih, Jharkhand Pin- 815301</t>
  </si>
  <si>
    <t>ART Centre Sadar Hospital Hazaribagh, Jharkhand Pin- 825301</t>
  </si>
  <si>
    <t>Rajendra Institute Of Medical Sciences</t>
  </si>
  <si>
    <t>ART Centre Rajendra Institute of Medical Sciences Bariatu, Ranchi, Jharkhand, Pin- 834009</t>
  </si>
  <si>
    <t>Art Plus Centre GMC Jammu</t>
  </si>
  <si>
    <t>ART Centre, Shere Kashmir Institute of Medical Science, Soura, Srinagar,Kashmir- 190011</t>
  </si>
  <si>
    <t>ART Centre, District Hospital, Bidar- 585401</t>
  </si>
  <si>
    <t xml:space="preserve">ART Centre, District Hospital Belgaum, DR B R Ambedkar Road, Near Chennamma Circle, Belgaum-590001   </t>
  </si>
  <si>
    <t>Administrative Medical Officer, General Hospital, Chikkodi- 591239</t>
  </si>
  <si>
    <t>Art Centre, Government City Hospital Gokak Falls Road .Gokak-591307, Tq: Gokak, Dist: Belgaum</t>
  </si>
  <si>
    <t>ART Centre, General Hospital, Raibagh, Belgaum District</t>
  </si>
  <si>
    <t>ART Centre, General Hospital, Hanumgeri Road, Saundatti-591126, Belgaum District</t>
  </si>
  <si>
    <t>ART Centre, Room NO.8, Athani road,  District Hospital, Bijapur- 586101</t>
  </si>
  <si>
    <t>ART Centre, Room No 100, Taluka Hospital Bijapur road, Indi- 586209</t>
  </si>
  <si>
    <t>ART Center, General Hospital, Muddebihal-586212</t>
  </si>
  <si>
    <t>ART Centre, Taluka Hospital, Sindagi-586128</t>
  </si>
  <si>
    <t>ART Centre, District Hospital, Sect. No-11, Navanagar, Bagalkot - 587101</t>
  </si>
  <si>
    <t>ART Centre, Sub-Divisional Hospital, Jamakhandi - 587301</t>
  </si>
  <si>
    <t>ART Centre, Taluka Hospital, Mudhol- 587313</t>
  </si>
  <si>
    <t xml:space="preserve">ART Centre, Bowring &amp; Lady Curzon Hospital ,Shivaji nagar, Bangalore-51                                            </t>
  </si>
  <si>
    <t>Regional Paediatric ART  Centre, Indira Gandhi Institute of  Child Health South Hospital Complex, Dharmaram College Post, Bangalore - 560029</t>
  </si>
  <si>
    <t>ART Center ,CV Raman General Hospital, 80 feet road, Indira nagar, Bangalore - 560038</t>
  </si>
  <si>
    <t xml:space="preserve">Comprehensive Care Support &amp;  Research Centre, KIMS Hospital, ART Centre ,V.V. Puram, Bangalore- 560004 </t>
  </si>
  <si>
    <t>St. Johns, B'lore</t>
  </si>
  <si>
    <t xml:space="preserve">ART Centre, Room No 32, Opp to day care, St Johns Medical College Hospital, Sarjapura road , John nagar, Bangalore-560034    </t>
  </si>
  <si>
    <t>Victoria, B'lore</t>
  </si>
  <si>
    <t>ART Centre, Victoria Hospital, K.R. Market, Bangalore - 560002</t>
  </si>
  <si>
    <t>ART Centre, VIMS, OPD Room No 121, Contonment, Bellary - 583104</t>
  </si>
  <si>
    <t>ART Centre, Government General Hospital (100 Bed), M.J. Nagar, Hospet, Pin: 583201 Bellary (Dist)</t>
  </si>
  <si>
    <t>ART Centre, General  Hospital, Sirguppa-583121</t>
  </si>
  <si>
    <t>ART Centre, District Hospital, Chitradurga  - 577501</t>
  </si>
  <si>
    <t>ART Centre, Mallegowda General Hospital, Chikmangalur- 577101</t>
  </si>
  <si>
    <t>ART Centre, District Hospital, Chikaballapura</t>
  </si>
  <si>
    <t>ART Centre, District Hospital, Chamrajnagar- 571313</t>
  </si>
  <si>
    <t>ART Centre, General Hospital, M M Hill Road, Kollegal -571440, Chamarajnagar District</t>
  </si>
  <si>
    <t>ART Centre, Beside of Kariyamma Temple, District Hospital, Dharwad 580 001</t>
  </si>
  <si>
    <t>ART Centre, OPD -09,Karnataka Institute of Medical Sciences (KIMS), Hubli - 580 022</t>
  </si>
  <si>
    <t>ART Centre, Room No 1, General Hospital, Doddaballapura</t>
  </si>
  <si>
    <t>ART Centre, General Hospital, Channagiri- 587301</t>
  </si>
  <si>
    <t>ART Centre, Chigateri District Hospital, Davangere-577004</t>
  </si>
  <si>
    <t>District Hospital, ART Centre, Yadgiri - 585202</t>
  </si>
  <si>
    <t>ART Centre, District Hospital, Gadag- 582101</t>
  </si>
  <si>
    <t>ART Centre, District Hospital, Sedam Road, Gulbarga - 585 105</t>
  </si>
  <si>
    <t>ART Centre, Taluk Government Hospital, Jewargi</t>
  </si>
  <si>
    <t>Sri Chamarajendra Hospital, District Hospital, ART Centre, Hassan- 573201</t>
  </si>
  <si>
    <t>ART Centre, District Hospital, Haveri-  581110</t>
  </si>
  <si>
    <t>ART Centre, District Hospital, Karwar- 581301</t>
  </si>
  <si>
    <t>ART Centre, Pandit General Hospital, Sirsi-581401, Uttara Kannada District</t>
  </si>
  <si>
    <t>ART Centre, District Hospital, Kodagu</t>
  </si>
  <si>
    <t>ART Centre, SNR District Hospital, Kolar- 563101</t>
  </si>
  <si>
    <t>ART Centre, General Hospital, Gangavathi- 583227</t>
  </si>
  <si>
    <t>ART Centre, District Hospital Koppal- 583231</t>
  </si>
  <si>
    <t>ART Centre, District Hospital, Mandya-  571401</t>
  </si>
  <si>
    <t>ART Centre, Kasturaba Medical College, Mangalore</t>
  </si>
  <si>
    <t>ART Centre, District Wenlock Hospital, Mangalore</t>
  </si>
  <si>
    <t>ART Centre, Asha Kirana Hospital, CA-1, Ring Road, Hebbal Industrial Housing Area, Hebbal, Mysore- 570016</t>
  </si>
  <si>
    <t>ART Centre, J S S Hospital, Mysore</t>
  </si>
  <si>
    <t>ART Centre, K.R.Hospital, (MMC&amp; RI), Irwin Road, Mysore - 570001</t>
  </si>
  <si>
    <t>ART Centre, District Hospital, Ramanagara- 571511</t>
  </si>
  <si>
    <t>A.R.T.Centre, Administrative Medical Officer, Government General Hospital, Lingasugur, Raichur Distirct- 584122</t>
  </si>
  <si>
    <t>ART Centre, OPD 18, Yaramarasa Road, District Hospital, Raichur - 584101</t>
  </si>
  <si>
    <t>ART Centre, General Hospital, Sindhanur- 584128</t>
  </si>
  <si>
    <t>ART Centre, District Macgann Hospital Shimoga- 577201</t>
  </si>
  <si>
    <t>ART Centre, General Hospital, Sira- 572137, Tumkur District</t>
  </si>
  <si>
    <t>ART Center, General Hospital, Tiptur- 572201</t>
  </si>
  <si>
    <t>ART Centre, District Hospital, Tumkur- 572101</t>
  </si>
  <si>
    <t>ART Center, Taluk Government Hospital, Kundapur- 576201</t>
  </si>
  <si>
    <t>ART Centre, District Hospital, Udupi- 576101</t>
  </si>
  <si>
    <t>Dept. Of Medicine, Govt.T.D.Medical College Hospital, Vandanam, Alappuzha- 688005</t>
  </si>
  <si>
    <t>ART Centre, General Hospital, Hospital Road, Ernakulam- 682011</t>
  </si>
  <si>
    <t>FI ART Center, District Hospital, Kollam 691001</t>
  </si>
  <si>
    <t>FI ART Center, District Hospital, Kannur 17</t>
  </si>
  <si>
    <t>Dept. of Medicine, Govt. Medical College, Kottayam- 686008</t>
  </si>
  <si>
    <t>ART Centre, General Hospital, Kasaragod, Pincode - 671121</t>
  </si>
  <si>
    <t>Dept of Medicine, Medical College, Kozhikode, 673008</t>
  </si>
  <si>
    <t>ART Centre, District Hospital, Palakkad - 678001</t>
  </si>
  <si>
    <t>Dept. Of Medicine, Medical College Chest Hospital, Mulagunathukav, Thrissur- 680596</t>
  </si>
  <si>
    <t>Department Of Medicine, Medical College Hospital, Trivandrum- 695011, Kerala</t>
  </si>
  <si>
    <t>ARTC Civil Hospital Shillong,Meghalaya</t>
  </si>
  <si>
    <t>Aurangabad</t>
  </si>
  <si>
    <t>Beed</t>
  </si>
  <si>
    <t>Buldhana</t>
  </si>
  <si>
    <t>Bhandara</t>
  </si>
  <si>
    <t>Chandrapur</t>
  </si>
  <si>
    <t>Dhule</t>
  </si>
  <si>
    <t>Gadchiroli</t>
  </si>
  <si>
    <t>Gondia</t>
  </si>
  <si>
    <t>Hingoli</t>
  </si>
  <si>
    <t>Jalgaon</t>
  </si>
  <si>
    <t>Jalna</t>
  </si>
  <si>
    <t>Kolhapur</t>
  </si>
  <si>
    <t>Latur</t>
  </si>
  <si>
    <t>Nandurbar</t>
  </si>
  <si>
    <t>Nanded</t>
  </si>
  <si>
    <t>Nagpur</t>
  </si>
  <si>
    <t>Osmanabad</t>
  </si>
  <si>
    <t>Parbhani</t>
  </si>
  <si>
    <t>Pune</t>
  </si>
  <si>
    <t>Raigad</t>
  </si>
  <si>
    <t>Ratnagiri</t>
  </si>
  <si>
    <t>Solapur</t>
  </si>
  <si>
    <t>Sangli</t>
  </si>
  <si>
    <t>Satara</t>
  </si>
  <si>
    <t>Thane</t>
  </si>
  <si>
    <t>Wardha</t>
  </si>
  <si>
    <t>Washim</t>
  </si>
  <si>
    <t>Yavatmal</t>
  </si>
  <si>
    <t>Imphal East</t>
  </si>
  <si>
    <t>Imphal West</t>
  </si>
  <si>
    <t>ART Centre, District Hospital, Above Ayush Department, First Floor, Balaghat 481001</t>
  </si>
  <si>
    <t>ART Centre, District Hospital, Barwani (MP) 451551</t>
  </si>
  <si>
    <t>CH (Aizawl)</t>
  </si>
  <si>
    <t>DH Zunheboto, Nagaland</t>
  </si>
  <si>
    <t>FI-ART CH Moga</t>
  </si>
  <si>
    <t>IGGGH &amp; PGI, Pondicherry</t>
  </si>
  <si>
    <t>Rajiv Gandhi Government General Hospital, (MMC) ARTC</t>
  </si>
  <si>
    <t>GHTM - ARTC
Centre of Excellence</t>
  </si>
  <si>
    <t>GRH, ART centre,Madurai</t>
  </si>
  <si>
    <t>Melur, ART Centre, Madurai DT</t>
  </si>
  <si>
    <t>Thirumangalam Art Centre</t>
  </si>
  <si>
    <t>Sivagangai ART Centre</t>
  </si>
  <si>
    <t>THENI Art Centre</t>
  </si>
  <si>
    <t>CUMBUM ART Centre</t>
  </si>
  <si>
    <t>Kumbakonam ART Centre </t>
  </si>
  <si>
    <t>Ooty ART Centre</t>
  </si>
  <si>
    <t>CMC, Vellore</t>
  </si>
  <si>
    <t>Villupuram ART Center</t>
  </si>
  <si>
    <t>SNMC Agra</t>
  </si>
  <si>
    <t>JLNMC Aligarh</t>
  </si>
  <si>
    <t>DH Azamgarh</t>
  </si>
  <si>
    <t>DH Ballia</t>
  </si>
  <si>
    <t>DH, Bareilly</t>
  </si>
  <si>
    <t>DH, Basti</t>
  </si>
  <si>
    <t>Deoria</t>
  </si>
  <si>
    <t>Etawah</t>
  </si>
  <si>
    <t>RIMSR Etawah</t>
  </si>
  <si>
    <t>Faizabad</t>
  </si>
  <si>
    <t>DH, Faizabad</t>
  </si>
  <si>
    <t>Ghaziabad</t>
  </si>
  <si>
    <t>DH Ghaziabad</t>
  </si>
  <si>
    <t>Ghazipur</t>
  </si>
  <si>
    <t>DH Ghazipur</t>
  </si>
  <si>
    <t>Jhansi</t>
  </si>
  <si>
    <t>MLB Jhansi</t>
  </si>
  <si>
    <t>GSVM Kanpur</t>
  </si>
  <si>
    <t>Kushinagar</t>
  </si>
  <si>
    <t>DH Kushinagar</t>
  </si>
  <si>
    <t>KGMU, Lucknow</t>
  </si>
  <si>
    <t>Dr. Ram Manohar Lohia Combined Hospital, Gomtinagar, Lucknow, U.P</t>
  </si>
  <si>
    <t>Near Holigate, Agra Road Mathura-281001</t>
  </si>
  <si>
    <t>Pratapgarh</t>
  </si>
  <si>
    <t>DH Pratapgarh</t>
  </si>
  <si>
    <t>Raebareily</t>
  </si>
  <si>
    <t>Siddhart Nagar</t>
  </si>
  <si>
    <t>DH Siddhart Nagar</t>
  </si>
  <si>
    <t>ART Centre Joint Hospital Siddharthnagar (272207)</t>
  </si>
  <si>
    <t>Saharanpur</t>
  </si>
  <si>
    <t>DH Saharanpur</t>
  </si>
  <si>
    <t>S.B.D District Hospital-247001</t>
  </si>
  <si>
    <t>IMS BHU Varanasi</t>
  </si>
  <si>
    <t>PDDU Hospital Varanasi</t>
  </si>
  <si>
    <t>ART Centre Pt. Deen Dayal Upadhyay Govt Hospital, Pandeypur,  Varanasi</t>
  </si>
  <si>
    <t>Room No. 102, Second Floor, New OPD Building, Doon Hospital, Dehradun-248001</t>
  </si>
  <si>
    <t>Dr. Sushila Tiwari Govt. Hospital, Haldwani - 263139</t>
  </si>
  <si>
    <t>B.D. Pandey, District Hospital, Pithoragarh  262501</t>
  </si>
  <si>
    <t>Burdwan Medical College &amp; Hospital, P.O. &amp; Dist. - Burdwan, PIN - 713104</t>
  </si>
  <si>
    <t>Bankura Sammillani Medical College &amp; Hospital, Room No. 98 C/D, 1st Floor, (Opposite of Skin Department), Gobindonagar, Kenduadihi, Bankur,P.O.- Kenduadihi, P.S.- Bankura, Dist.–Bankura, PIN - 722102</t>
  </si>
  <si>
    <t>R.G.Kar Medical College &amp; Hospital 1,Khudiram Bose Sarani, Kolkata - 700 004</t>
  </si>
  <si>
    <t>School of Tropical Medicine, Chittaranjan Avenue, Kolkata - 700 073</t>
  </si>
  <si>
    <t>North Bengal Medical College &amp; Hospital, P.O. Sushruta Nagar,Siliguri Dist.- Darjeeling, West Bengal, India, PIN - 734012</t>
  </si>
  <si>
    <t>ARTC, Chinsurah .D.H.</t>
  </si>
  <si>
    <t>Murshidabad Medical College &amp; Hospital (Sadar Campus)</t>
  </si>
  <si>
    <t>Malda District Hospital, P.O. &amp; Dist. - Malda, PIN - 732101</t>
  </si>
  <si>
    <t>Nort 24 Parganas District Hospital, Barasat</t>
  </si>
  <si>
    <r>
      <rPr>
        <b/>
        <u/>
        <sz val="8"/>
        <color rgb="FF000000"/>
        <rFont val="Verdana"/>
        <family val="2"/>
      </rPr>
      <t>4.c.4</t>
    </r>
    <r>
      <rPr>
        <sz val="8"/>
        <color rgb="FF000000"/>
        <rFont val="Verdana"/>
        <family val="2"/>
      </rPr>
      <t xml:space="preserve"> Out of the 4.c.3, number of PLHIV with presumptive TB referred for TB diagnosis test</t>
    </r>
  </si>
  <si>
    <t>Please ensure that all PLHIV with presumptive TB are tested for TB</t>
  </si>
  <si>
    <t>The ART Centre code can be found by searching the list below (the list is sorted alphabetically state-wise and also district-wise)</t>
  </si>
  <si>
    <t>&gt; The ART Centre code can be found by searching the list on the worksheet (the list is sorted alphabetically state-wise and also district-wise)</t>
  </si>
  <si>
    <t>&gt; Enter the ART centre code on 'ART_1' worksheet carefully. The code can also be copied and pasted from the first column in the table.</t>
  </si>
  <si>
    <t>&gt; Identify the ART centre unique ID code for your ART Centre from the codes given in ART Centre Code sheet</t>
  </si>
  <si>
    <t>For reporting month</t>
  </si>
  <si>
    <t>4.c HIV - TB</t>
  </si>
  <si>
    <r>
      <rPr>
        <b/>
        <u/>
        <sz val="8"/>
        <color rgb="FF000000"/>
        <rFont val="Verdana"/>
        <family val="2"/>
      </rPr>
      <t>4.c.7</t>
    </r>
    <r>
      <rPr>
        <sz val="8"/>
        <color rgb="FF000000"/>
        <rFont val="Verdana"/>
        <family val="2"/>
      </rPr>
      <t xml:space="preserve"> Out of 4.c.6, number of TB patients with Rif Resistance</t>
    </r>
  </si>
  <si>
    <t>Government (ART / RNTCP)</t>
  </si>
  <si>
    <t>Private</t>
  </si>
  <si>
    <t>4.d.2
Government</t>
  </si>
  <si>
    <t>4.d.2
Private</t>
  </si>
  <si>
    <t>4.d.2
Total</t>
  </si>
  <si>
    <t>Serodiscordant couples</t>
  </si>
  <si>
    <t>Paediatric Drugs</t>
  </si>
  <si>
    <t>Diagnosed by ART Centre</t>
  </si>
  <si>
    <t>Reported to ART Centres as already diagnosed case of TB</t>
  </si>
  <si>
    <t>4.d.1
Diagnosed by ART Centre</t>
  </si>
  <si>
    <t>4.d.1
Reported to ART Centres as already diagnosed case of TB</t>
  </si>
  <si>
    <t>4.d.1
Total</t>
  </si>
  <si>
    <r>
      <rPr>
        <b/>
        <u/>
        <sz val="8"/>
        <color rgb="FF000000"/>
        <rFont val="Verdana"/>
        <family val="2"/>
      </rPr>
      <t>4.d.1</t>
    </r>
    <r>
      <rPr>
        <b/>
        <sz val="8"/>
        <color rgb="FF000000"/>
        <rFont val="Verdana"/>
        <family val="2"/>
      </rPr>
      <t xml:space="preserve"> </t>
    </r>
    <r>
      <rPr>
        <sz val="8"/>
        <color rgb="FF000000"/>
        <rFont val="Verdana"/>
        <family val="2"/>
      </rPr>
      <t>Total number of Co-infected patients enrolled in HIV/TB register during the current financial year (April till reporting month)</t>
    </r>
  </si>
  <si>
    <t>Name of Nodal Officer of ART</t>
  </si>
  <si>
    <t>Number of SMO at the ARTC</t>
  </si>
  <si>
    <t>Number of MO(s) at the ARTC</t>
  </si>
  <si>
    <t>Number of Counsellors at the ARTC</t>
  </si>
  <si>
    <t>Number of Pharmacists at the ARTC</t>
  </si>
  <si>
    <t>Number of Lab Technicians at the ARTC</t>
  </si>
  <si>
    <t>Number of Data Managers at the ARTC</t>
  </si>
  <si>
    <t>Number of Care Coordinator at the ARTC</t>
  </si>
  <si>
    <t>Number of Staff Nurse (Institutional and others) at the ARTC</t>
  </si>
  <si>
    <t>Please fill the name of LAC nurse in case of LAC Plus</t>
  </si>
  <si>
    <t>Please fill the details of LACs on previous sheet before filling patient details on this sheet. 
(Pre-ART is only applicable for LAC Plus Centres)</t>
  </si>
  <si>
    <t>Please re-check the values if any of the cells turn red
(Value of 2.12 (i) can not be negative)</t>
  </si>
  <si>
    <t>Newly Registered Women</t>
  </si>
  <si>
    <r>
      <rPr>
        <b/>
        <u/>
        <sz val="8"/>
        <color indexed="8"/>
        <rFont val="Verdana"/>
        <family val="2"/>
      </rPr>
      <t>4.a.1</t>
    </r>
    <r>
      <rPr>
        <sz val="8"/>
        <color indexed="8"/>
        <rFont val="Verdana"/>
        <family val="2"/>
      </rPr>
      <t xml:space="preserve"> Pregnant women/DIL/Breastfeeding women registered or reported in the current financial year (April - reporting month)</t>
    </r>
  </si>
  <si>
    <t>Already Registered Pre-ART</t>
  </si>
  <si>
    <t>6. Profile Of PLHIV by Risk Factor (At The Time Of Registration) Registered For HIV Care</t>
  </si>
  <si>
    <t>Risk Group</t>
  </si>
  <si>
    <r>
      <rPr>
        <b/>
        <u/>
        <sz val="8"/>
        <color theme="1"/>
        <rFont val="Verdana"/>
        <family val="2"/>
      </rPr>
      <t>6.3</t>
    </r>
    <r>
      <rPr>
        <sz val="8"/>
        <color theme="1"/>
        <rFont val="Verdana"/>
        <family val="2"/>
      </rPr>
      <t xml:space="preserve"> Out of 6.2, total number of PLHIV reported died</t>
    </r>
  </si>
  <si>
    <r>
      <rPr>
        <b/>
        <u/>
        <sz val="8"/>
        <color theme="1"/>
        <rFont val="Verdana"/>
        <family val="2"/>
      </rPr>
      <t>6.4</t>
    </r>
    <r>
      <rPr>
        <sz val="8"/>
        <color theme="1"/>
        <rFont val="Verdana"/>
        <family val="2"/>
      </rPr>
      <t xml:space="preserve"> Out of 6.2, total number of PLHIV with status as LFU</t>
    </r>
  </si>
  <si>
    <r>
      <rPr>
        <b/>
        <u/>
        <sz val="8"/>
        <color theme="1"/>
        <rFont val="Verdana"/>
        <family val="2"/>
      </rPr>
      <t>6.5</t>
    </r>
    <r>
      <rPr>
        <sz val="8"/>
        <color theme="1"/>
        <rFont val="Verdana"/>
        <family val="2"/>
      </rPr>
      <t xml:space="preserve"> Out of 6.2, total number of PLHIV with the status stopped treatment / opted out</t>
    </r>
  </si>
  <si>
    <r>
      <rPr>
        <b/>
        <u/>
        <sz val="8"/>
        <color theme="1"/>
        <rFont val="Verdana"/>
        <family val="2"/>
      </rPr>
      <t>6.6</t>
    </r>
    <r>
      <rPr>
        <sz val="8"/>
        <color theme="1"/>
        <rFont val="Verdana"/>
        <family val="2"/>
      </rPr>
      <t xml:space="preserve"> Out of 6.2, total number of PLHIV transferred out of the ART Centre</t>
    </r>
  </si>
  <si>
    <r>
      <rPr>
        <b/>
        <u/>
        <sz val="8"/>
        <color theme="1"/>
        <rFont val="Verdana"/>
        <family val="2"/>
      </rPr>
      <t>6.7</t>
    </r>
    <r>
      <rPr>
        <sz val="8"/>
        <color theme="1"/>
        <rFont val="Verdana"/>
        <family val="2"/>
      </rPr>
      <t xml:space="preserve"> Out of 6.2, total number of PLHIV 'Alive and On ART'
6.2 - (6.3 + 6.4 + 6.5 + 6.6)</t>
    </r>
  </si>
  <si>
    <t>Please re-check the values if any of the cells turn red
(The value of 6.7 can not be negative)</t>
  </si>
  <si>
    <r>
      <rPr>
        <b/>
        <u/>
        <sz val="8"/>
        <color theme="1"/>
        <rFont val="Verdana"/>
        <family val="2"/>
      </rPr>
      <t>6.8</t>
    </r>
    <r>
      <rPr>
        <sz val="8"/>
        <color theme="1"/>
        <rFont val="Verdana"/>
        <family val="2"/>
      </rPr>
      <t xml:space="preserve"> Number of PLHIV registered in HIV Care during the current financial year (April - reporting month)</t>
    </r>
  </si>
  <si>
    <r>
      <rPr>
        <b/>
        <u/>
        <sz val="8"/>
        <color theme="1"/>
        <rFont val="Verdana"/>
        <family val="2"/>
      </rPr>
      <t>6.10</t>
    </r>
    <r>
      <rPr>
        <sz val="8"/>
        <color theme="1"/>
        <rFont val="Verdana"/>
        <family val="2"/>
      </rPr>
      <t xml:space="preserve"> Out of 6.9, number of PLHIV 'Alive and On ART'</t>
    </r>
  </si>
  <si>
    <r>
      <rPr>
        <b/>
        <u/>
        <sz val="8"/>
        <color theme="1"/>
        <rFont val="Verdana"/>
        <family val="2"/>
      </rPr>
      <t>6.9</t>
    </r>
    <r>
      <rPr>
        <sz val="8"/>
        <color theme="1"/>
        <rFont val="Verdana"/>
        <family val="2"/>
      </rPr>
      <t xml:space="preserve"> Out of 6.8, number of PLHIV initiated on ART</t>
    </r>
  </si>
  <si>
    <t>6.10</t>
  </si>
  <si>
    <t>Already Registered On-ART</t>
  </si>
  <si>
    <r>
      <rPr>
        <b/>
        <u/>
        <sz val="8"/>
        <color indexed="8"/>
        <rFont val="Verdana"/>
        <family val="2"/>
      </rPr>
      <t>2.11 (a)</t>
    </r>
    <r>
      <rPr>
        <sz val="8"/>
        <color indexed="8"/>
        <rFont val="Verdana"/>
        <family val="2"/>
      </rPr>
      <t xml:space="preserve"> Total number of patients registered in HIV Care during the current financial year (April - reporting month)</t>
    </r>
  </si>
  <si>
    <r>
      <rPr>
        <b/>
        <u/>
        <sz val="8"/>
        <color indexed="8"/>
        <rFont val="Verdana"/>
        <family val="2"/>
      </rPr>
      <t>2.11 (b)</t>
    </r>
    <r>
      <rPr>
        <sz val="8"/>
        <color indexed="8"/>
        <rFont val="Verdana"/>
        <family val="2"/>
      </rPr>
      <t xml:space="preserve"> Out of 2.11 (a), number of PLHIV who have undergone baseline CD4 test </t>
    </r>
  </si>
  <si>
    <r>
      <rPr>
        <b/>
        <u/>
        <sz val="8"/>
        <color indexed="8"/>
        <rFont val="Verdana"/>
        <family val="2"/>
      </rPr>
      <t>2.11 (d)</t>
    </r>
    <r>
      <rPr>
        <sz val="8"/>
        <color indexed="8"/>
        <rFont val="Verdana"/>
        <family val="2"/>
      </rPr>
      <t xml:space="preserve"> Out of 2.11 (c), number of PLHIV initiated on ART</t>
    </r>
  </si>
  <si>
    <r>
      <rPr>
        <b/>
        <u/>
        <sz val="8"/>
        <color indexed="8"/>
        <rFont val="Verdana"/>
        <family val="2"/>
      </rPr>
      <t>2.11 (e)</t>
    </r>
    <r>
      <rPr>
        <sz val="8"/>
        <color indexed="8"/>
        <rFont val="Verdana"/>
        <family val="2"/>
      </rPr>
      <t xml:space="preserve"> Out of 2.11 (d), number of PLHIV reported died</t>
    </r>
  </si>
  <si>
    <r>
      <rPr>
        <b/>
        <u/>
        <sz val="8"/>
        <color indexed="8"/>
        <rFont val="Verdana"/>
        <family val="2"/>
      </rPr>
      <t>2.11 (f)</t>
    </r>
    <r>
      <rPr>
        <sz val="8"/>
        <color indexed="8"/>
        <rFont val="Verdana"/>
        <family val="2"/>
      </rPr>
      <t xml:space="preserve"> Out of 2.11 (d), number of PLHIV whose status is LFU</t>
    </r>
  </si>
  <si>
    <r>
      <rPr>
        <b/>
        <u/>
        <sz val="8"/>
        <color indexed="8"/>
        <rFont val="Verdana"/>
        <family val="2"/>
      </rPr>
      <t>2.11 (g)</t>
    </r>
    <r>
      <rPr>
        <sz val="8"/>
        <color indexed="8"/>
        <rFont val="Verdana"/>
        <family val="2"/>
      </rPr>
      <t xml:space="preserve"> Out of 2.11 (d), number of PLHIV whose treatment status is "stopped treatment/ opted out of Program"</t>
    </r>
  </si>
  <si>
    <r>
      <rPr>
        <b/>
        <u/>
        <sz val="8"/>
        <color indexed="8"/>
        <rFont val="Verdana"/>
        <family val="2"/>
      </rPr>
      <t>2.11 (h)</t>
    </r>
    <r>
      <rPr>
        <sz val="8"/>
        <color indexed="8"/>
        <rFont val="Verdana"/>
        <family val="2"/>
      </rPr>
      <t xml:space="preserve"> Out of 2.11 (d), number of PLHIV who have been transferred out of the ART Centre</t>
    </r>
  </si>
  <si>
    <r>
      <rPr>
        <b/>
        <u/>
        <sz val="8"/>
        <color indexed="8"/>
        <rFont val="Verdana"/>
        <family val="2"/>
      </rPr>
      <t>2.11 (i)</t>
    </r>
    <r>
      <rPr>
        <sz val="8"/>
        <color indexed="8"/>
        <rFont val="Verdana"/>
        <family val="2"/>
      </rPr>
      <t xml:space="preserve"> Out of 2.11 (d), number of PLHIV alive &amp; on ART
(2.11 (d) - 2.11 (e) - 2.11 (f) - 2.11 (g) - 2.11(h))</t>
    </r>
  </si>
  <si>
    <r>
      <rPr>
        <b/>
        <u/>
        <sz val="8"/>
        <color indexed="8"/>
        <rFont val="Verdana"/>
        <family val="2"/>
      </rPr>
      <t>2.12</t>
    </r>
    <r>
      <rPr>
        <sz val="8"/>
        <color indexed="8"/>
        <rFont val="Verdana"/>
        <family val="2"/>
      </rPr>
      <t xml:space="preserve"> Total number of patients found eligible for ART 2 months prior to reporting month</t>
    </r>
  </si>
  <si>
    <r>
      <rPr>
        <b/>
        <u/>
        <sz val="8"/>
        <color indexed="8"/>
        <rFont val="Verdana"/>
        <family val="2"/>
      </rPr>
      <t>2.12 (a)</t>
    </r>
    <r>
      <rPr>
        <sz val="8"/>
        <color indexed="8"/>
        <rFont val="Verdana"/>
        <family val="2"/>
      </rPr>
      <t xml:space="preserve"> Out of 2.12, how many have been initiated on ART till end of this month</t>
    </r>
  </si>
  <si>
    <t>2.11 (a)</t>
  </si>
  <si>
    <t>2.11 (b)</t>
  </si>
  <si>
    <t>2.11 (c)</t>
  </si>
  <si>
    <t xml:space="preserve">2.11 (d) </t>
  </si>
  <si>
    <t xml:space="preserve">2.11 (e) </t>
  </si>
  <si>
    <t xml:space="preserve">2.11 (f) </t>
  </si>
  <si>
    <t xml:space="preserve">2.11 (g) </t>
  </si>
  <si>
    <t xml:space="preserve">2.11 (h) </t>
  </si>
  <si>
    <t>2.11 (i)</t>
  </si>
  <si>
    <r>
      <t>2.11 (c)</t>
    </r>
    <r>
      <rPr>
        <sz val="8"/>
        <color indexed="8"/>
        <rFont val="Verdana"/>
        <family val="2"/>
      </rPr>
      <t xml:space="preserve"> Out of 2.11 (a), number of PLHIV eligible for ART</t>
    </r>
  </si>
  <si>
    <t>Report On Second Line - Has to be filled by all ART Centres</t>
  </si>
  <si>
    <t>7. Details Of Opportunistic Infections</t>
  </si>
  <si>
    <t>7.1 Total Number of PLHIV having one or more OIs this month:</t>
  </si>
  <si>
    <t xml:space="preserve"> 8. Drug Stock At ART Centre (For The Reporting Month)</t>
  </si>
  <si>
    <t xml:space="preserve"> 9. ART Monitoring Tests</t>
  </si>
  <si>
    <r>
      <rPr>
        <b/>
        <u/>
        <sz val="8"/>
        <rFont val="Verdana"/>
        <family val="2"/>
      </rPr>
      <t>9.1 (a)</t>
    </r>
    <r>
      <rPr>
        <sz val="8"/>
        <rFont val="Verdana"/>
        <family val="2"/>
      </rPr>
      <t xml:space="preserve"> Number of CD4 tests conducted during the reporting month of Pre-ART PLHIV</t>
    </r>
  </si>
  <si>
    <r>
      <rPr>
        <b/>
        <u/>
        <sz val="8"/>
        <rFont val="Verdana"/>
        <family val="2"/>
      </rPr>
      <t>9.1 (b)</t>
    </r>
    <r>
      <rPr>
        <sz val="8"/>
        <rFont val="Verdana"/>
        <family val="2"/>
      </rPr>
      <t xml:space="preserve"> Number of CD4 tests conducted during the reporting month of On-ART PLHIV</t>
    </r>
  </si>
  <si>
    <r>
      <rPr>
        <b/>
        <u/>
        <sz val="8"/>
        <rFont val="Verdana"/>
        <family val="2"/>
      </rPr>
      <t>9.2</t>
    </r>
    <r>
      <rPr>
        <sz val="8"/>
        <rFont val="Verdana"/>
        <family val="2"/>
      </rPr>
      <t xml:space="preserve"> Number of viral load tests conducted during the reporting month</t>
    </r>
  </si>
  <si>
    <t>10. Second Line ART (Cumulative)</t>
  </si>
  <si>
    <r>
      <rPr>
        <b/>
        <u/>
        <sz val="8"/>
        <rFont val="Verdana"/>
        <family val="2"/>
      </rPr>
      <t>10.a.1</t>
    </r>
    <r>
      <rPr>
        <sz val="8"/>
        <rFont val="Verdana"/>
        <family val="2"/>
      </rPr>
      <t xml:space="preserve"> Number of PLHIV referred to SACEP for assessment during the current financial year (April - reporting month)</t>
    </r>
  </si>
  <si>
    <t>10.a Second Line ART (April - reporting month)</t>
  </si>
  <si>
    <t>10.10</t>
  </si>
  <si>
    <t>10.a.1</t>
  </si>
  <si>
    <t>10.a.2</t>
  </si>
  <si>
    <t>10.a.3</t>
  </si>
  <si>
    <t>10.a.4</t>
  </si>
  <si>
    <t>10.a.5</t>
  </si>
  <si>
    <t>10.a.6</t>
  </si>
  <si>
    <t>10.a.7</t>
  </si>
  <si>
    <t>8 (e3)</t>
  </si>
  <si>
    <t>8 (g)</t>
  </si>
  <si>
    <t>9.1 (a)</t>
  </si>
  <si>
    <t>9.1 (b)</t>
  </si>
  <si>
    <r>
      <rPr>
        <b/>
        <u/>
        <sz val="8"/>
        <rFont val="Verdana"/>
        <family val="2"/>
      </rPr>
      <t>10.a.2</t>
    </r>
    <r>
      <rPr>
        <sz val="8"/>
        <rFont val="Verdana"/>
        <family val="2"/>
      </rPr>
      <t xml:space="preserve"> Out of 10.a.1, Number of patients given appointment for SACEP review</t>
    </r>
  </si>
  <si>
    <r>
      <rPr>
        <b/>
        <u/>
        <sz val="8"/>
        <rFont val="Verdana"/>
        <family val="2"/>
      </rPr>
      <t>10.a.3</t>
    </r>
    <r>
      <rPr>
        <sz val="8"/>
        <rFont val="Verdana"/>
        <family val="2"/>
      </rPr>
      <t xml:space="preserve"> Out of 10.a.2, number of patients actually reviewed by SACEP</t>
    </r>
  </si>
  <si>
    <r>
      <rPr>
        <b/>
        <u/>
        <sz val="8"/>
        <rFont val="Verdana"/>
        <family val="2"/>
      </rPr>
      <t>10.a.4</t>
    </r>
    <r>
      <rPr>
        <sz val="8"/>
        <rFont val="Verdana"/>
        <family val="2"/>
      </rPr>
      <t xml:space="preserve"> Out of 10.a.3, number of PLHIV found eligible for Viral Load testing</t>
    </r>
  </si>
  <si>
    <r>
      <rPr>
        <b/>
        <u/>
        <sz val="8"/>
        <rFont val="Verdana"/>
        <family val="2"/>
      </rPr>
      <t>10.a.5</t>
    </r>
    <r>
      <rPr>
        <sz val="8"/>
        <rFont val="Verdana"/>
        <family val="2"/>
      </rPr>
      <t xml:space="preserve"> Out of 10.a.4,number of PLHIV actually underwent Viral Load testing</t>
    </r>
  </si>
  <si>
    <r>
      <rPr>
        <b/>
        <u/>
        <sz val="8"/>
        <rFont val="Verdana"/>
        <family val="2"/>
      </rPr>
      <t>10.a.6</t>
    </r>
    <r>
      <rPr>
        <b/>
        <sz val="8"/>
        <rFont val="Verdana"/>
        <family val="2"/>
      </rPr>
      <t xml:space="preserve"> </t>
    </r>
    <r>
      <rPr>
        <sz val="8"/>
        <rFont val="Verdana"/>
        <family val="2"/>
      </rPr>
      <t xml:space="preserve">Out of 10.a.5, number of PLHA found eligible for second line </t>
    </r>
  </si>
  <si>
    <r>
      <rPr>
        <b/>
        <sz val="8"/>
        <color theme="1"/>
        <rFont val="Verdana"/>
        <family val="2"/>
      </rPr>
      <t>1.</t>
    </r>
    <r>
      <rPr>
        <sz val="8"/>
        <color theme="1"/>
        <rFont val="Verdana"/>
        <family val="2"/>
      </rPr>
      <t>Tenofovir + Lamivudine + Efavirenz</t>
    </r>
  </si>
  <si>
    <t>ART-MU-BMC-01</t>
  </si>
  <si>
    <t>ART-MU-BMC-02</t>
  </si>
  <si>
    <t>ART-MU-BMC-03</t>
  </si>
  <si>
    <t>ART-MU-BMC-04</t>
  </si>
  <si>
    <t>ART-MU-BMC-05</t>
  </si>
  <si>
    <t>ART-MU-BMC-06</t>
  </si>
  <si>
    <t>ART-MU-BMC-07</t>
  </si>
  <si>
    <t>ART-MU-BMC-08</t>
  </si>
  <si>
    <t>ART-MU-BMC-09</t>
  </si>
  <si>
    <t>ART-MU-BMC-10</t>
  </si>
  <si>
    <t>ART-MU-BMC-11</t>
  </si>
  <si>
    <t>ART-MU-BMC-12</t>
  </si>
  <si>
    <t>ART-MU-BMC-13</t>
  </si>
  <si>
    <t>ART-MU-BMC-14</t>
  </si>
  <si>
    <t>ART-MU-BMC-15</t>
  </si>
  <si>
    <r>
      <rPr>
        <b/>
        <u/>
        <sz val="8"/>
        <rFont val="Verdana"/>
        <family val="2"/>
      </rPr>
      <t>10.a.8</t>
    </r>
    <r>
      <rPr>
        <b/>
        <sz val="8"/>
        <rFont val="Verdana"/>
        <family val="2"/>
      </rPr>
      <t xml:space="preserve"> </t>
    </r>
    <r>
      <rPr>
        <sz val="8"/>
        <rFont val="Verdana"/>
        <family val="2"/>
      </rPr>
      <t>Out of 10.a.7, number of patients alive and on second line ART</t>
    </r>
  </si>
  <si>
    <r>
      <rPr>
        <b/>
        <u/>
        <sz val="8"/>
        <rFont val="Verdana"/>
        <family val="2"/>
      </rPr>
      <t>10.a.7</t>
    </r>
    <r>
      <rPr>
        <b/>
        <sz val="8"/>
        <rFont val="Verdana"/>
        <family val="2"/>
      </rPr>
      <t xml:space="preserve"> </t>
    </r>
    <r>
      <rPr>
        <sz val="8"/>
        <rFont val="Verdana"/>
        <family val="2"/>
      </rPr>
      <t xml:space="preserve">Out of 10.a.6, number of PLHA initiated on second line </t>
    </r>
  </si>
  <si>
    <t>10.a.8</t>
  </si>
  <si>
    <t>Others 1 (Specify…)</t>
  </si>
  <si>
    <t>Others 2 (Specify…)</t>
  </si>
  <si>
    <t>Others 1 (Specify...)</t>
  </si>
  <si>
    <t>Others 2 (Specify...)</t>
  </si>
  <si>
    <t>Sum of 4.a.2 also includes 'Already registered On-ART' women from 4.a.1</t>
  </si>
  <si>
    <r>
      <rPr>
        <b/>
        <u/>
        <sz val="8"/>
        <color indexed="8"/>
        <rFont val="Verdana"/>
        <family val="2"/>
      </rPr>
      <t>3.a.1</t>
    </r>
    <r>
      <rPr>
        <sz val="8"/>
        <color indexed="8"/>
        <rFont val="Verdana"/>
        <family val="2"/>
      </rPr>
      <t xml:space="preserve"> Number of patients in list shared with Vihaan in the month prior to reporting month</t>
    </r>
  </si>
  <si>
    <r>
      <rPr>
        <b/>
        <u/>
        <sz val="8"/>
        <color indexed="8"/>
        <rFont val="Verdana"/>
        <family val="2"/>
      </rPr>
      <t>3.a.2</t>
    </r>
    <r>
      <rPr>
        <sz val="8"/>
        <color indexed="8"/>
        <rFont val="Verdana"/>
        <family val="2"/>
      </rPr>
      <t xml:space="preserve"> Out of 3.a.1, number of patients successfully contacted by Vihaan</t>
    </r>
  </si>
  <si>
    <t>3.a Patients Re-started Through Vihaan</t>
  </si>
  <si>
    <r>
      <rPr>
        <b/>
        <u/>
        <sz val="8"/>
        <rFont val="Verdana"/>
        <family val="2"/>
      </rPr>
      <t>10.1</t>
    </r>
    <r>
      <rPr>
        <sz val="8"/>
        <rFont val="Verdana"/>
        <family val="2"/>
      </rPr>
      <t xml:space="preserve"> Cumulative number of patients ever started on second line ART (Number at the beginning of this month)  </t>
    </r>
  </si>
  <si>
    <r>
      <rPr>
        <b/>
        <u/>
        <sz val="8"/>
        <rFont val="Verdana"/>
        <family val="2"/>
      </rPr>
      <t>10.2</t>
    </r>
    <r>
      <rPr>
        <sz val="8"/>
        <rFont val="Verdana"/>
        <family val="2"/>
      </rPr>
      <t xml:space="preserve"> Number of patients started on second line during this month</t>
    </r>
  </si>
  <si>
    <t>10.5 Cumulative number of patients ever started on second line ART (Number at the end of this month) = 10.1 + 10.2 + 10.3 - 10.4</t>
  </si>
  <si>
    <r>
      <rPr>
        <b/>
        <u/>
        <sz val="8"/>
        <rFont val="Verdana"/>
        <family val="2"/>
      </rPr>
      <t xml:space="preserve">10.6 </t>
    </r>
    <r>
      <rPr>
        <sz val="8"/>
        <rFont val="Verdana"/>
        <family val="2"/>
      </rPr>
      <t>Cumulative number of patients on second line who died since the beginning of the programme</t>
    </r>
  </si>
  <si>
    <r>
      <rPr>
        <b/>
        <u/>
        <sz val="8"/>
        <rFont val="Verdana"/>
        <family val="2"/>
      </rPr>
      <t>10.7</t>
    </r>
    <r>
      <rPr>
        <sz val="8"/>
        <rFont val="Verdana"/>
        <family val="2"/>
      </rPr>
      <t xml:space="preserve"> Number of all patients on second line treatment whose treatment status in this month is “stopped treatment” </t>
    </r>
  </si>
  <si>
    <r>
      <rPr>
        <b/>
        <u/>
        <sz val="8"/>
        <rFont val="Verdana"/>
        <family val="2"/>
      </rPr>
      <t>10.8</t>
    </r>
    <r>
      <rPr>
        <sz val="8"/>
        <rFont val="Verdana"/>
        <family val="2"/>
      </rPr>
      <t xml:space="preserve"> Cumulative Number of patients on second line who are lost to follow-up (LFU)</t>
    </r>
  </si>
  <si>
    <r>
      <rPr>
        <b/>
        <u/>
        <sz val="8"/>
        <rFont val="Verdana"/>
        <family val="2"/>
      </rPr>
      <t>10.9</t>
    </r>
    <r>
      <rPr>
        <sz val="8"/>
        <rFont val="Verdana"/>
        <family val="2"/>
      </rPr>
      <t xml:space="preserve"> Cumulative Number of patients on second line treatment who did not return to the ART centre (Defaulter) / whose treatment status is “MIS” in this month</t>
    </r>
  </si>
  <si>
    <r>
      <rPr>
        <b/>
        <u/>
        <sz val="8"/>
        <rFont val="Verdana"/>
        <family val="2"/>
      </rPr>
      <t>10.11</t>
    </r>
    <r>
      <rPr>
        <b/>
        <sz val="8"/>
        <rFont val="Verdana"/>
        <family val="2"/>
      </rPr>
      <t xml:space="preserve"> Total number of patients alive and on second line ART at the end of this month = 10.5 - (10.6 + 10.7 + 10.8 + 10.9 + 10.10)</t>
    </r>
  </si>
  <si>
    <t xml:space="preserve">Please re-check the values if any of the cells turn red
(Value of 10.5 can not be negative </t>
  </si>
  <si>
    <t>Please re-check the values if any of the cells turn red
(Value of 10.11 can not be negative)</t>
  </si>
  <si>
    <t>On-ART</t>
  </si>
  <si>
    <t xml:space="preserve">Pre-ART </t>
  </si>
  <si>
    <t>(3.5)</t>
  </si>
  <si>
    <t>(2.5)</t>
  </si>
  <si>
    <t>LFU</t>
  </si>
  <si>
    <t>Died</t>
  </si>
  <si>
    <t>(2.6 a)</t>
  </si>
  <si>
    <t>(2.7 a)</t>
  </si>
  <si>
    <t>(2.8 a)</t>
  </si>
  <si>
    <t>Stopped / Opted Out</t>
  </si>
  <si>
    <t>Pre-ART Alive</t>
  </si>
  <si>
    <t>LFU (pre 2011)</t>
  </si>
  <si>
    <t>(2.9)</t>
  </si>
  <si>
    <t>(3.10)</t>
  </si>
  <si>
    <t>Stopped</t>
  </si>
  <si>
    <t>Opted Out</t>
  </si>
  <si>
    <t>(3.6)</t>
  </si>
  <si>
    <t>(3.7 a)</t>
  </si>
  <si>
    <t>(3.8 b)</t>
  </si>
  <si>
    <t>(3.9)</t>
  </si>
  <si>
    <t>Alive and on ART</t>
  </si>
  <si>
    <t>Should be equal to 3.5</t>
  </si>
  <si>
    <r>
      <rPr>
        <b/>
        <u/>
        <sz val="8"/>
        <color indexed="8"/>
        <rFont val="Verdana"/>
        <family val="2"/>
      </rPr>
      <t>3.7(b)</t>
    </r>
    <r>
      <rPr>
        <sz val="8"/>
        <color indexed="8"/>
        <rFont val="Verdana"/>
        <family val="2"/>
      </rPr>
      <t xml:space="preserve"> Number of PLHIV on ART who have opted out of the program till the end of this month  (it is a dynamic figure) (2.8(b) - 3.7(a))</t>
    </r>
  </si>
  <si>
    <t>Male Children</t>
  </si>
  <si>
    <t>Female Children</t>
  </si>
  <si>
    <t>Patients registered</t>
  </si>
  <si>
    <t>Undergone baseline CD4</t>
  </si>
  <si>
    <t>Patients found eligible</t>
  </si>
  <si>
    <t>Patients initiated on ART</t>
  </si>
  <si>
    <t>Patients 'Alive and on ART'</t>
  </si>
  <si>
    <t>Transferred Out</t>
  </si>
  <si>
    <t>% PLHIV undergone baseline CD4</t>
  </si>
  <si>
    <t>% PLHIV found eligible for ART</t>
  </si>
  <si>
    <t>% PLHIV initiated on ART</t>
  </si>
  <si>
    <t>% PLHIV retained on ART</t>
  </si>
  <si>
    <t>The Report for each month should be sent to the following before 4th of next month</t>
  </si>
  <si>
    <t>Please fill appointment date and training details if an officer is added in 1.8. The training date should be greater than appointment date.</t>
  </si>
  <si>
    <t>The value of 4.a.1 can not be greater than 2.10 (adult women)</t>
  </si>
  <si>
    <t>Enable Macros:</t>
  </si>
  <si>
    <t>&gt; In Excel version 2010, please select 'Enable Contents' when you open the file</t>
  </si>
  <si>
    <t>5.1 is automated. Please fill 5.2 and 5.1 will be calculated automatically</t>
  </si>
  <si>
    <t>&gt; In Excel version 2003, in tools menu click on Options. Click on Security tab &gt;Macro Security. Now select the 'Low' option</t>
  </si>
  <si>
    <t>&gt; In Excel version 2007, click on Microsoft Office button and then click on Excel Options. Click Trust Center &gt; Trust Centre Settings &gt; Macro Settings. Now, enable all macros</t>
  </si>
  <si>
    <t>Retention Cascade - Current Financial Year</t>
  </si>
  <si>
    <t>Value of 3.7 (b) should be equal to 
2.8 (b) - 3.7 (a)</t>
  </si>
  <si>
    <t>Cohort</t>
  </si>
  <si>
    <t>Pre-ART (Cumulative)</t>
  </si>
  <si>
    <t>LFU Rates</t>
  </si>
  <si>
    <t>On-ART (Cumulative)</t>
  </si>
  <si>
    <t>On-ART (Financial Year)</t>
  </si>
  <si>
    <t>Death Rates</t>
  </si>
  <si>
    <t>7.3. Key Side Effects To ARV Drugs</t>
  </si>
  <si>
    <t>OI / Co Morbidities</t>
  </si>
  <si>
    <t>(2.5 - 3.5)</t>
  </si>
  <si>
    <t>Cross Sectional Status</t>
  </si>
  <si>
    <t>Cross Sectional Status - Pre ART</t>
  </si>
  <si>
    <t>Please re-check the values if any of the cells turn red
(Value of 3.10 can not be negative and can not be greater than 2.10)</t>
  </si>
  <si>
    <t>Cross Sectional Status - ART</t>
  </si>
  <si>
    <t>ART-TN-KRG-02</t>
  </si>
  <si>
    <t>ART-TN-KRG-01</t>
  </si>
  <si>
    <t>ART-TN-KPM-02</t>
  </si>
  <si>
    <r>
      <rPr>
        <b/>
        <u/>
        <sz val="8"/>
        <rFont val="Verdana"/>
        <family val="2"/>
      </rPr>
      <t>10.3</t>
    </r>
    <r>
      <rPr>
        <sz val="8"/>
        <rFont val="Verdana"/>
        <family val="2"/>
      </rPr>
      <t xml:space="preserve"> Cumulative number of patients on second line who are "transferred in" during the reporting month</t>
    </r>
  </si>
  <si>
    <r>
      <rPr>
        <b/>
        <u/>
        <sz val="8"/>
        <rFont val="Verdana"/>
        <family val="2"/>
      </rPr>
      <t>10.4</t>
    </r>
    <r>
      <rPr>
        <sz val="8"/>
        <rFont val="Verdana"/>
        <family val="2"/>
      </rPr>
      <t xml:space="preserve"> Cumulative number of patients on second line who are "transferred out" during the reporting month </t>
    </r>
  </si>
  <si>
    <r>
      <rPr>
        <b/>
        <u/>
        <sz val="8"/>
        <rFont val="Verdana"/>
        <family val="2"/>
      </rPr>
      <t>10.10</t>
    </r>
    <r>
      <rPr>
        <sz val="8"/>
        <rFont val="Verdana"/>
        <family val="2"/>
      </rPr>
      <t xml:space="preserve"> Cumulative number of patients shifted to third line regimen (Only for CoEs)</t>
    </r>
  </si>
  <si>
    <r>
      <rPr>
        <b/>
        <u/>
        <sz val="8"/>
        <color indexed="8"/>
        <rFont val="Verdana"/>
        <family val="2"/>
      </rPr>
      <t>3.a.3</t>
    </r>
    <r>
      <rPr>
        <sz val="8"/>
        <color indexed="8"/>
        <rFont val="Verdana"/>
        <family val="2"/>
      </rPr>
      <t xml:space="preserve"> Out of 3.a.2, number of patients linked back to the ART centre</t>
    </r>
  </si>
  <si>
    <t>(2.10 - 3.10)</t>
  </si>
  <si>
    <t>Should be equal to 2.5 - 3.5</t>
  </si>
  <si>
    <r>
      <rPr>
        <b/>
        <u/>
        <sz val="8"/>
        <color theme="1"/>
        <rFont val="Verdana"/>
        <family val="2"/>
      </rPr>
      <t>6.1</t>
    </r>
    <r>
      <rPr>
        <sz val="8"/>
        <color theme="1"/>
        <rFont val="Verdana"/>
        <family val="2"/>
      </rPr>
      <t xml:space="preserve"> Cumulative number of PLHIV registered in HIV Care (Include 'transferred in' PLHIV)</t>
    </r>
  </si>
  <si>
    <r>
      <rPr>
        <b/>
        <u/>
        <sz val="8"/>
        <color theme="1"/>
        <rFont val="Verdana"/>
        <family val="2"/>
      </rPr>
      <t>6.2</t>
    </r>
    <r>
      <rPr>
        <sz val="8"/>
        <color theme="1"/>
        <rFont val="Verdana"/>
        <family val="2"/>
      </rPr>
      <t xml:space="preserve"> Out of 6.1, total number of PLHIV initiated on ART (Include on-ART 'transferred in' PLHIV)</t>
    </r>
  </si>
  <si>
    <t>7.2. Opportunistic Infections / Co Morbidities</t>
  </si>
  <si>
    <t>ART-CH-CHD-02</t>
  </si>
  <si>
    <t>GMCH Sec-32</t>
  </si>
  <si>
    <t>FI-ART Centre, Room No. 5405, 5th Floor, B Block, GMCH- Sector 32-B
Chandigarh-160030</t>
  </si>
  <si>
    <t>ART-MH-KLP-05</t>
  </si>
  <si>
    <t>Lotus Medical Foundation</t>
  </si>
  <si>
    <t>Koderma</t>
  </si>
  <si>
    <t>ARTC, SADAR HOSPITAL , KODERMA</t>
  </si>
  <si>
    <t>ART-JH-KOD-01</t>
  </si>
  <si>
    <t>SADAR HOSPITAL KODERMA, PO- KODERMA, DIST-KODERMA - 825410, JHARKHAND</t>
  </si>
  <si>
    <t>ART-BH-AUR-01</t>
  </si>
  <si>
    <t>ART Centre Sadar Hospital Aurangabad</t>
  </si>
  <si>
    <t>ART Centre Sadar Hospital Aurangabad, Aurangabad, Bihar 824101</t>
  </si>
  <si>
    <t>ART-BH-BHO-01</t>
  </si>
  <si>
    <t>Bhojpur</t>
  </si>
  <si>
    <t>ART Centre Sadar Hospital Bhojpur, Ara, Bihar 802301</t>
  </si>
  <si>
    <t>ART Centre Sadar Hospital Bhojpur</t>
  </si>
  <si>
    <t>ART-BH-KIS-01</t>
  </si>
  <si>
    <t>Kishanganj</t>
  </si>
  <si>
    <t>FI-ART Centre Sadar Hospital, Kishanganj</t>
  </si>
  <si>
    <t>Sadar Hospital Road, Kishanganj, Bihar 855107</t>
  </si>
  <si>
    <t>ART-BH-WCM-01</t>
  </si>
  <si>
    <t>West Champaran</t>
  </si>
  <si>
    <t>Maharani Janki Kuwar Hospital, Hospital Rd, Kali Bagh Colony, Bettiah, Bihar 845438</t>
  </si>
  <si>
    <t>Maharani Janki Kuwar (MJK) Hospital, Bettiah</t>
  </si>
  <si>
    <t>ART-PB-FRK-01</t>
  </si>
  <si>
    <t>Guru Gobind Singh Medical College &amp; Hospital (GGSMCH)</t>
  </si>
  <si>
    <t xml:space="preserve"> Faridkot</t>
  </si>
  <si>
    <t>ART-MU-BMC-16</t>
  </si>
  <si>
    <t>MBPT ART Center</t>
  </si>
  <si>
    <t>ART-MU-BMC-17</t>
  </si>
  <si>
    <t>ART-BH-ECH-02</t>
  </si>
  <si>
    <t>Duncan Hospital</t>
  </si>
  <si>
    <t>The  Duncan Hospital - Raxnaul (RBMU) - East Champaran, Bihar -845305</t>
  </si>
  <si>
    <t>ART-MG-SHI-02</t>
  </si>
  <si>
    <t>NEIGRIHMS, Mawdiangdiang</t>
  </si>
  <si>
    <t>ART-RJ-UDP-02</t>
  </si>
  <si>
    <t>Pacific Institute of Medical Sciences, Umarda</t>
  </si>
  <si>
    <t>Tezpur MCH</t>
  </si>
  <si>
    <t>Tezpur Medical College and Hospital, Tumuki, PO Pithakhowa, Sonitpur, Assam, Pin 784010</t>
  </si>
  <si>
    <t>Sonitpur</t>
  </si>
  <si>
    <t>ART-AS-SNP-01</t>
  </si>
  <si>
    <t>ART-DL-WES-02</t>
  </si>
  <si>
    <t>Tihar Prison Complex</t>
  </si>
  <si>
    <t>1. ART Center, Central Jail Hospital, Tihar Jail No. 3, Tihar Prison Complex, New Delhi -110064</t>
  </si>
  <si>
    <t>ART-TE-HYD-06</t>
  </si>
  <si>
    <t>Apollo Institute</t>
  </si>
  <si>
    <t>Ambala</t>
  </si>
  <si>
    <t>Bhiwani</t>
  </si>
  <si>
    <t>Jind</t>
  </si>
  <si>
    <t>Kaithal</t>
  </si>
  <si>
    <t>Sirsa</t>
  </si>
  <si>
    <t>Sonipat</t>
  </si>
  <si>
    <t>ART-HR-JIN-01</t>
  </si>
  <si>
    <t>ART-HR-SRS-01</t>
  </si>
  <si>
    <t>ART-HR-SNP-01</t>
  </si>
  <si>
    <t>ART-HR-KTL-01</t>
  </si>
  <si>
    <t>ART-HR-BWN-01</t>
  </si>
  <si>
    <t>ART-HR-ABL-01</t>
  </si>
  <si>
    <t>Civil Hospital, Sonipat, Haryana - 131101</t>
  </si>
  <si>
    <t>Civil Hospital, Sirsa, Haryana - 125055</t>
  </si>
  <si>
    <t>Civil Hospital, Kaithal, Haryana - 136027</t>
  </si>
  <si>
    <t>ART Centre Jind, Haryana - 126102</t>
  </si>
  <si>
    <t>Civil Hospital, Bhiwani, Haryana - 127021</t>
  </si>
  <si>
    <t>Assam Rifles Composite Hospital</t>
  </si>
  <si>
    <t>ART-NL-DPR-02</t>
  </si>
  <si>
    <t>ART-MU-BMC-18</t>
  </si>
  <si>
    <t>GTB Hospital, Sewri</t>
  </si>
  <si>
    <t>ART-MU-BMC-19</t>
  </si>
  <si>
    <t>BJ Wadia Hospital</t>
  </si>
  <si>
    <t>ART-MH-RGD-03</t>
  </si>
  <si>
    <t>MGM Medical College, Navi Mumbai</t>
  </si>
  <si>
    <t>ART-MH-SNG-05</t>
  </si>
  <si>
    <t>Prakash Hospital &amp; Research Center</t>
  </si>
  <si>
    <t>ART-KA-MLR-03</t>
  </si>
  <si>
    <t>Kanachur Institute of Medical Science (KIMS)</t>
  </si>
  <si>
    <t>KIMS, Mangalore University Rd, Deralakatte, Karnataka - 575018</t>
  </si>
  <si>
    <t>Islampur Sub Divisional  Hospital P.O. - Islampur &amp; Dist. -Uttardinajpur, PIN - 733202.</t>
  </si>
  <si>
    <t>ART-MG-JOW-01</t>
  </si>
  <si>
    <t>ART-MG-TUR-01</t>
  </si>
  <si>
    <t>Tura Civil Hospital</t>
  </si>
  <si>
    <t>Jowai Civil Hospital</t>
  </si>
  <si>
    <r>
      <rPr>
        <b/>
        <u/>
        <sz val="8"/>
        <color indexed="8"/>
        <rFont val="Verdana"/>
        <family val="2"/>
      </rPr>
      <t>3.10</t>
    </r>
    <r>
      <rPr>
        <sz val="8"/>
        <color indexed="8"/>
        <rFont val="Verdana"/>
        <family val="2"/>
      </rPr>
      <t xml:space="preserve"> Number of PLHIV alive and on ART at the end of this month = (3.5 - 3.6 - 3.7 (a+b) - 3.8 - 2.9 (b)</t>
    </r>
  </si>
  <si>
    <t xml:space="preserve">a. Not on ART </t>
  </si>
  <si>
    <t xml:space="preserve">b. On ART </t>
  </si>
  <si>
    <r>
      <rPr>
        <b/>
        <u/>
        <sz val="8"/>
        <color indexed="8"/>
        <rFont val="Verdana"/>
        <family val="2"/>
      </rPr>
      <t>2.7</t>
    </r>
    <r>
      <rPr>
        <sz val="8"/>
        <color indexed="8"/>
        <rFont val="Verdana"/>
        <family val="2"/>
      </rPr>
      <t xml:space="preserve"> Number of PLHIV whose status is "LFU" till the end of this month (it is a dynamic figure) excluding those declared in permanent LFU under (2.9) indicator</t>
    </r>
  </si>
  <si>
    <r>
      <t xml:space="preserve">2.9 </t>
    </r>
    <r>
      <rPr>
        <sz val="8"/>
        <color theme="1"/>
        <rFont val="Verdana"/>
        <family val="2"/>
      </rPr>
      <t xml:space="preserve">Number of patients declared permanent LFU whose last visit was before </t>
    </r>
    <r>
      <rPr>
        <b/>
        <sz val="8"/>
        <color theme="1"/>
        <rFont val="Verdana"/>
        <family val="2"/>
      </rPr>
      <t xml:space="preserve">31st December 2016  </t>
    </r>
    <r>
      <rPr>
        <sz val="8"/>
        <color theme="1"/>
        <rFont val="Verdana"/>
        <family val="2"/>
      </rPr>
      <t xml:space="preserve">(one time figure) - </t>
    </r>
    <r>
      <rPr>
        <b/>
        <sz val="8"/>
        <color theme="1"/>
        <rFont val="Verdana"/>
        <family val="2"/>
      </rPr>
      <t>reduce this figure if PLHIV come back</t>
    </r>
  </si>
  <si>
    <t>2.9
Not on ART</t>
  </si>
  <si>
    <r>
      <rPr>
        <b/>
        <u/>
        <sz val="8"/>
        <color indexed="8"/>
        <rFont val="Verdana"/>
        <family val="2"/>
      </rPr>
      <t>2.10</t>
    </r>
    <r>
      <rPr>
        <b/>
        <sz val="8"/>
        <color indexed="8"/>
        <rFont val="Verdana"/>
        <family val="2"/>
      </rPr>
      <t xml:space="preserve"> </t>
    </r>
    <r>
      <rPr>
        <sz val="8"/>
        <color indexed="8"/>
        <rFont val="Verdana"/>
        <family val="2"/>
      </rPr>
      <t xml:space="preserve">Cumulative Number of PLHIV in </t>
    </r>
    <r>
      <rPr>
        <b/>
        <sz val="8"/>
        <color indexed="8"/>
        <rFont val="Verdana"/>
        <family val="2"/>
      </rPr>
      <t>Active Care</t>
    </r>
    <r>
      <rPr>
        <sz val="8"/>
        <color indexed="8"/>
        <rFont val="Verdana"/>
        <family val="2"/>
      </rPr>
      <t xml:space="preserve"> at the end of this month (Not on ART+ On-ART) = 2.5 - (2.6 + 2.7 + 2.8 + 2.9)</t>
    </r>
  </si>
  <si>
    <t>2.9
On ART</t>
  </si>
  <si>
    <t>Care Support and Treatment Division Monthly Progress Report (MPR) – ART Centres | Ver 01.04.2020</t>
  </si>
  <si>
    <t>TLD - (Tenofovir + Lamivudine + Dolutegravir)</t>
  </si>
  <si>
    <t>ZLD - (Zidovudine + Lamivudine + Dolutegravir)</t>
  </si>
  <si>
    <t>ALD - (Abacavir + Lamivudine + Dolutegravir)</t>
  </si>
  <si>
    <t>DRV/r+DTG - (Darunavir/Ritonavir + Dolutegravir)</t>
  </si>
  <si>
    <r>
      <t xml:space="preserve">TLD - (Tenofovir + Lamivudine + Dolutegravir) - </t>
    </r>
    <r>
      <rPr>
        <i/>
        <sz val="8"/>
        <color indexed="8"/>
        <rFont val="Verdana"/>
        <family val="2"/>
      </rPr>
      <t>Adult Tablets</t>
    </r>
  </si>
  <si>
    <t xml:space="preserve">ZLD - (Zidovudine + Lamivudine + Dolutegravir) </t>
  </si>
  <si>
    <r>
      <rPr>
        <b/>
        <sz val="8"/>
        <color theme="1"/>
        <rFont val="Verdana"/>
        <family val="2"/>
      </rPr>
      <t>3.</t>
    </r>
    <r>
      <rPr>
        <sz val="8"/>
        <color theme="1"/>
        <rFont val="Verdana"/>
        <family val="2"/>
      </rPr>
      <t>Tenofovir + Lamivudine + Dolutegravir</t>
    </r>
  </si>
  <si>
    <r>
      <rPr>
        <b/>
        <sz val="8"/>
        <color indexed="8"/>
        <rFont val="Verdana"/>
        <family val="2"/>
      </rPr>
      <t>4.</t>
    </r>
    <r>
      <rPr>
        <sz val="8"/>
        <color indexed="8"/>
        <rFont val="Verdana"/>
        <family val="2"/>
      </rPr>
      <t xml:space="preserve">Zidovudine + Lamivudine </t>
    </r>
  </si>
  <si>
    <r>
      <rPr>
        <b/>
        <sz val="8"/>
        <color indexed="8"/>
        <rFont val="Verdana"/>
        <family val="2"/>
      </rPr>
      <t>5.</t>
    </r>
    <r>
      <rPr>
        <sz val="8"/>
        <color indexed="8"/>
        <rFont val="Verdana"/>
        <family val="2"/>
      </rPr>
      <t>Tenofovir + Lamivudine</t>
    </r>
  </si>
  <si>
    <r>
      <rPr>
        <b/>
        <sz val="8"/>
        <color indexed="8"/>
        <rFont val="Verdana"/>
        <family val="2"/>
      </rPr>
      <t>6.</t>
    </r>
    <r>
      <rPr>
        <sz val="8"/>
        <color indexed="8"/>
        <rFont val="Verdana"/>
        <family val="2"/>
      </rPr>
      <t>Dolutegravir 50mg</t>
    </r>
  </si>
  <si>
    <r>
      <rPr>
        <b/>
        <sz val="8"/>
        <color indexed="8"/>
        <rFont val="Verdana"/>
        <family val="2"/>
      </rPr>
      <t>7.</t>
    </r>
    <r>
      <rPr>
        <sz val="8"/>
        <color indexed="8"/>
        <rFont val="Verdana"/>
        <family val="2"/>
      </rPr>
      <t>Efavirenz 600mg (tab)</t>
    </r>
  </si>
  <si>
    <r>
      <rPr>
        <b/>
        <sz val="8"/>
        <color indexed="8"/>
        <rFont val="Verdana"/>
        <family val="2"/>
      </rPr>
      <t>8.</t>
    </r>
    <r>
      <rPr>
        <sz val="8"/>
        <color indexed="8"/>
        <rFont val="Verdana"/>
        <family val="2"/>
      </rPr>
      <t>Nevirapine 200mg</t>
    </r>
  </si>
  <si>
    <r>
      <rPr>
        <b/>
        <sz val="8"/>
        <color indexed="8"/>
        <rFont val="Verdana"/>
        <family val="2"/>
      </rPr>
      <t>9.</t>
    </r>
    <r>
      <rPr>
        <sz val="8"/>
        <color indexed="8"/>
        <rFont val="Verdana"/>
        <family val="2"/>
      </rPr>
      <t>Atazanavir 300mg + Ritonavir 100mg</t>
    </r>
  </si>
  <si>
    <r>
      <rPr>
        <b/>
        <sz val="8"/>
        <color indexed="8"/>
        <rFont val="Verdana"/>
        <family val="2"/>
      </rPr>
      <t>10.</t>
    </r>
    <r>
      <rPr>
        <sz val="8"/>
        <color indexed="8"/>
        <rFont val="Verdana"/>
        <family val="2"/>
      </rPr>
      <t>Lopinavir/Ritonavir (200/50)</t>
    </r>
  </si>
  <si>
    <r>
      <rPr>
        <b/>
        <sz val="8"/>
        <color theme="1"/>
        <rFont val="Verdana"/>
        <family val="2"/>
      </rPr>
      <t>11.</t>
    </r>
    <r>
      <rPr>
        <sz val="8"/>
        <color theme="1"/>
        <rFont val="Verdana"/>
        <family val="2"/>
      </rPr>
      <t>ABC600mg + 3TC300mg</t>
    </r>
  </si>
  <si>
    <r>
      <rPr>
        <b/>
        <sz val="8"/>
        <color indexed="8"/>
        <rFont val="Verdana"/>
        <family val="2"/>
      </rPr>
      <t>12.</t>
    </r>
    <r>
      <rPr>
        <sz val="8"/>
        <color indexed="8"/>
        <rFont val="Verdana"/>
        <family val="2"/>
      </rPr>
      <t>Raltegravir</t>
    </r>
  </si>
  <si>
    <r>
      <rPr>
        <b/>
        <sz val="8"/>
        <color indexed="8"/>
        <rFont val="Verdana"/>
        <family val="2"/>
      </rPr>
      <t>13.</t>
    </r>
    <r>
      <rPr>
        <sz val="8"/>
        <color indexed="8"/>
        <rFont val="Verdana"/>
        <family val="2"/>
      </rPr>
      <t>Ritonavir</t>
    </r>
  </si>
  <si>
    <r>
      <rPr>
        <b/>
        <sz val="8"/>
        <color indexed="8"/>
        <rFont val="Verdana"/>
        <family val="2"/>
      </rPr>
      <t>14.</t>
    </r>
    <r>
      <rPr>
        <sz val="8"/>
        <color indexed="8"/>
        <rFont val="Verdana"/>
        <family val="2"/>
      </rPr>
      <t>Darunavir</t>
    </r>
  </si>
  <si>
    <r>
      <rPr>
        <b/>
        <sz val="8"/>
        <color indexed="8"/>
        <rFont val="Verdana"/>
        <family val="2"/>
      </rPr>
      <t>15.</t>
    </r>
    <r>
      <rPr>
        <sz val="8"/>
        <color indexed="8"/>
        <rFont val="Verdana"/>
        <family val="2"/>
      </rPr>
      <t>Others (specify ...)</t>
    </r>
  </si>
  <si>
    <r>
      <rPr>
        <b/>
        <sz val="8"/>
        <color indexed="8"/>
        <rFont val="Verdana"/>
        <family val="2"/>
      </rPr>
      <t>16.</t>
    </r>
    <r>
      <rPr>
        <sz val="8"/>
        <color indexed="8"/>
        <rFont val="Verdana"/>
        <family val="2"/>
      </rPr>
      <t>Zidovudine + Lamivudine + Nevirapine (paed)</t>
    </r>
  </si>
  <si>
    <r>
      <rPr>
        <b/>
        <sz val="8"/>
        <color indexed="8"/>
        <rFont val="Verdana"/>
        <family val="2"/>
      </rPr>
      <t>17.</t>
    </r>
    <r>
      <rPr>
        <sz val="8"/>
        <color indexed="8"/>
        <rFont val="Verdana"/>
        <family val="2"/>
      </rPr>
      <t>Zidovudine + Lamivudine (paed)</t>
    </r>
  </si>
  <si>
    <r>
      <rPr>
        <b/>
        <sz val="8"/>
        <color indexed="8"/>
        <rFont val="Verdana"/>
        <family val="2"/>
      </rPr>
      <t>18.</t>
    </r>
    <r>
      <rPr>
        <sz val="8"/>
        <color indexed="8"/>
        <rFont val="Verdana"/>
        <family val="2"/>
      </rPr>
      <t>Abacavir + Lamivudine (paed)</t>
    </r>
  </si>
  <si>
    <r>
      <rPr>
        <b/>
        <sz val="8"/>
        <color indexed="8"/>
        <rFont val="Verdana"/>
        <family val="2"/>
      </rPr>
      <t>19.</t>
    </r>
    <r>
      <rPr>
        <sz val="8"/>
        <color indexed="8"/>
        <rFont val="Verdana"/>
        <family val="2"/>
      </rPr>
      <t>Efavirenz 200 mg</t>
    </r>
  </si>
  <si>
    <r>
      <rPr>
        <b/>
        <sz val="8"/>
        <color indexed="8"/>
        <rFont val="Verdana"/>
        <family val="2"/>
      </rPr>
      <t>20.</t>
    </r>
    <r>
      <rPr>
        <sz val="8"/>
        <color indexed="8"/>
        <rFont val="Verdana"/>
        <family val="2"/>
      </rPr>
      <t>Nevirapine 50 mg</t>
    </r>
  </si>
  <si>
    <r>
      <rPr>
        <b/>
        <sz val="8"/>
        <color indexed="8"/>
        <rFont val="Verdana"/>
        <family val="2"/>
      </rPr>
      <t>21.</t>
    </r>
    <r>
      <rPr>
        <sz val="8"/>
        <color indexed="8"/>
        <rFont val="Verdana"/>
        <family val="2"/>
      </rPr>
      <t>Lopinavir/Ritonavir 125</t>
    </r>
  </si>
  <si>
    <r>
      <rPr>
        <b/>
        <sz val="8"/>
        <color indexed="8"/>
        <rFont val="Verdana"/>
        <family val="2"/>
      </rPr>
      <t>23.</t>
    </r>
    <r>
      <rPr>
        <sz val="8"/>
        <color indexed="8"/>
        <rFont val="Verdana"/>
        <family val="2"/>
      </rPr>
      <t xml:space="preserve"> Lopinavir/Ritonavir pellets</t>
    </r>
  </si>
  <si>
    <r>
      <rPr>
        <b/>
        <sz val="8"/>
        <color indexed="8"/>
        <rFont val="Verdana"/>
        <family val="2"/>
      </rPr>
      <t>24.</t>
    </r>
    <r>
      <rPr>
        <sz val="8"/>
        <color indexed="8"/>
        <rFont val="Verdana"/>
        <family val="2"/>
      </rPr>
      <t>Others (Specify ...)</t>
    </r>
  </si>
  <si>
    <t>ART-CG-RPR-02</t>
  </si>
  <si>
    <t>SSIMS, Raipur</t>
  </si>
  <si>
    <t>ART Centre, SSIMS, Raipur</t>
  </si>
  <si>
    <t>ART-CG-RPR-03</t>
  </si>
  <si>
    <t>ART Centre, Raipur Institute of Medical Sciences</t>
  </si>
  <si>
    <t>Raipur Institute of Medical Sciences</t>
  </si>
  <si>
    <t>ART-GJ-VDD-03</t>
  </si>
  <si>
    <t>ART-GJ-VDD-04</t>
  </si>
  <si>
    <t>ART Centre, Dhiraj Hospital and Sumandeep Vidya Peeth, Vadodara</t>
  </si>
  <si>
    <t>Dhiraj Hospital and Sumandeep Vidya Peeth, Vadodara</t>
  </si>
  <si>
    <t>Parul Sevashram Hospital and Medical College, Vadodara</t>
  </si>
  <si>
    <t>ART Centre, Parul Sevashram Hospital and Medical College, Vadodara</t>
  </si>
  <si>
    <t>ART-HR-ABL-02</t>
  </si>
  <si>
    <t>Maharishi Markandeshwar Institute of Medical Science &amp; Research (MMIMSR), Ambala</t>
  </si>
  <si>
    <t>ART Centre, Adichunchanagiri Institute of Medical Science, Bangalore</t>
  </si>
  <si>
    <t>Adichunchanagiri Institute of Medical Science, Bangalore</t>
  </si>
  <si>
    <t>ART-KA-BLR-08</t>
  </si>
  <si>
    <t>ART-MH-RTG-02</t>
  </si>
  <si>
    <t>BKL Walawalkar Rural Medical College, Sawarde, Ratnagiri</t>
  </si>
  <si>
    <t>ART-MH-SNG-06</t>
  </si>
  <si>
    <t>PIMS Sangli</t>
  </si>
  <si>
    <t>ART-PB-BTD-02</t>
  </si>
  <si>
    <t>AIMSR, Bathinda</t>
  </si>
  <si>
    <t>ART-RJ-JPR-02</t>
  </si>
  <si>
    <t>ART-RJ-JPR-03</t>
  </si>
  <si>
    <t>ART-RJ-JPR-04</t>
  </si>
  <si>
    <t>NIMS Jaipur</t>
  </si>
  <si>
    <t>SMS Hospital, Jaipur</t>
  </si>
  <si>
    <t>Jaipur National Institute University</t>
  </si>
  <si>
    <t>Mahatma Gandhi Medical College, Jaipur</t>
  </si>
  <si>
    <t>ART-RJ-RSD-02</t>
  </si>
  <si>
    <t>AIIMSRC, Rajsamand</t>
  </si>
  <si>
    <t>ART-RJ-UDP-03</t>
  </si>
  <si>
    <t>ART-RJ-UDP-04</t>
  </si>
  <si>
    <t>AIIMS, Udaipur</t>
  </si>
  <si>
    <t>GMCH, Udaipur</t>
  </si>
  <si>
    <t>MB Hospital, Udaipur</t>
  </si>
  <si>
    <t>LPV/r+DTG - (Lopinavir/Ritonavir + Dolutegravir)</t>
  </si>
  <si>
    <t>ART-BH-BAN-01</t>
  </si>
  <si>
    <t>Banka</t>
  </si>
  <si>
    <t>Sadar Hospital Banka</t>
  </si>
  <si>
    <t>Jagatpur, Banka, SH-25, Banka Deoghar Road, Banka Bihar 813102</t>
  </si>
  <si>
    <t>ART-BH-KAI-01</t>
  </si>
  <si>
    <t>Kaimur</t>
  </si>
  <si>
    <t xml:space="preserve">Sadar Hospital Bhabua, Kaimur </t>
  </si>
  <si>
    <t>Sadar Hospital, Kachahri Road, Bhabhua Kaimur - 821101</t>
  </si>
  <si>
    <t>ART-BH-JAI-01</t>
  </si>
  <si>
    <t>Jamui</t>
  </si>
  <si>
    <t>Sadar Hospital Jamui</t>
  </si>
  <si>
    <t>Sadar Hospital, Jamui, Bihar 811307</t>
  </si>
  <si>
    <t>ART-BH-MUN-01</t>
  </si>
  <si>
    <t>Munger</t>
  </si>
  <si>
    <t>Sadar Hospital Munger</t>
  </si>
  <si>
    <t>Shah Family, Dilawer Pur, Munger, Bihar 811201</t>
  </si>
  <si>
    <t>ART-BH-NAL-01</t>
  </si>
  <si>
    <t>Nalanda</t>
  </si>
  <si>
    <t>Sadar Hospital Nalanda</t>
  </si>
  <si>
    <t>Sadar Hospital, Chhoti Pahari, Bihar Sharif, Bihar 803101</t>
  </si>
  <si>
    <t>ART-BH-PUR-01</t>
  </si>
  <si>
    <t>Purnia</t>
  </si>
  <si>
    <t>Sadar Hospital, Purnia</t>
  </si>
  <si>
    <t>Sadar hospital, NH31, Line Bazar, Purnia, Bihar 854301</t>
  </si>
  <si>
    <t>ART-BH-SIW-01</t>
  </si>
  <si>
    <t>Siwan</t>
  </si>
  <si>
    <t>Sadar Hospital Siwan</t>
  </si>
  <si>
    <t>Hospital Rd, Naya Bazar, Babhnauli, Siwan, Bihar 841226</t>
  </si>
  <si>
    <t>ART-BH-SUP-01</t>
  </si>
  <si>
    <t>Supaul</t>
  </si>
  <si>
    <t>Sadar Hospital Supaul</t>
  </si>
  <si>
    <t>Mahavir chowk, Supaul, Bihar 852131</t>
  </si>
  <si>
    <t>ART-BH-ROH-01</t>
  </si>
  <si>
    <t>Rohtas</t>
  </si>
  <si>
    <t>Sadar Hospital Sasaram, Rohtas</t>
  </si>
  <si>
    <t>Laxkariganj, Sasaram, Bihar 821115</t>
  </si>
  <si>
    <t>ART-CG-RNG-01</t>
  </si>
  <si>
    <t>Rajnandgaon</t>
  </si>
  <si>
    <t>Rajnandgaon Medical College Hospital</t>
  </si>
  <si>
    <t>Atal Vihar Colony, Village - Pendri Rajnandgaon - 491441 Chhattisgarh, India</t>
  </si>
  <si>
    <t>ART-CG-KOR-01</t>
  </si>
  <si>
    <t>Korba</t>
  </si>
  <si>
    <t xml:space="preserve">Indira Gandhi District Hospital (Korba) </t>
  </si>
  <si>
    <t>Rajgamar Rd, Kharmora, Industrial Area, Chhattisgarh 495677</t>
  </si>
  <si>
    <t>ART-CG-RAI-01</t>
  </si>
  <si>
    <t>Raigarh</t>
  </si>
  <si>
    <t>Raigarh Medical College, Hospital</t>
  </si>
  <si>
    <t>ART-HR-PAN-01</t>
  </si>
  <si>
    <t>ART-HR-KAR-01</t>
  </si>
  <si>
    <t>Karnal</t>
  </si>
  <si>
    <t>Model Town, Karnal, Haryana 132001</t>
  </si>
  <si>
    <t>ART-HR-GUR-01</t>
  </si>
  <si>
    <t>Gurugram</t>
  </si>
  <si>
    <t>Jharsa Road, near Bus Stand Road, Gurugram, Haryana 122001</t>
  </si>
  <si>
    <t>Hisar</t>
  </si>
  <si>
    <t>Tayal Bagh Colony, Hisar, Haryana 125001</t>
  </si>
  <si>
    <t>ART-HR-HIS-01</t>
  </si>
  <si>
    <t>Kurukshetra</t>
  </si>
  <si>
    <t>ART-HR-KUR-01</t>
  </si>
  <si>
    <t>ART-HR-REW-01</t>
  </si>
  <si>
    <t>Rewari</t>
  </si>
  <si>
    <t>ART-HR-PCH-01</t>
  </si>
  <si>
    <t>Panipat</t>
  </si>
  <si>
    <t>BEHIND BUS STAND OPPOSITE ARYA SENIOR SECONDARY SCHOOL, Panipat, Haryana 132103</t>
  </si>
  <si>
    <t>ART-JK-KAT-01</t>
  </si>
  <si>
    <t>Kathua</t>
  </si>
  <si>
    <t>District Hospital Kathua</t>
  </si>
  <si>
    <t>NH 1A Kathua Jammu and Kashmir, 184104</t>
  </si>
  <si>
    <t>ART-JH-BOK-01</t>
  </si>
  <si>
    <t xml:space="preserve">Bokaro </t>
  </si>
  <si>
    <t xml:space="preserve">Sadar Hospital, Bokaro </t>
  </si>
  <si>
    <t>Sector 1, Bokaro Steel City, Jharkhand 827001</t>
  </si>
  <si>
    <t>ART-JH-DUM-01</t>
  </si>
  <si>
    <t xml:space="preserve">Dumka </t>
  </si>
  <si>
    <t xml:space="preserve">Sadar Hospital, Dumka </t>
  </si>
  <si>
    <t>Dumka, Jharkhand 814101</t>
  </si>
  <si>
    <t>ART-JH-SBG-01</t>
  </si>
  <si>
    <t xml:space="preserve"> Sahibganj </t>
  </si>
  <si>
    <t xml:space="preserve">Sadar Hospital Sahibganj </t>
  </si>
  <si>
    <t>Sadar HospitalSahibganj, Jharkhand 816109</t>
  </si>
  <si>
    <t>ART-JH-WSM</t>
  </si>
  <si>
    <t xml:space="preserve">West Singbhum </t>
  </si>
  <si>
    <t xml:space="preserve">Sadar Hospital, West Singbhum </t>
  </si>
  <si>
    <t>Amala Tola Road, Chaibasa, Jharkhand 833201</t>
  </si>
  <si>
    <t xml:space="preserve">Chindwara </t>
  </si>
  <si>
    <t xml:space="preserve">District Hospital Chindwara </t>
  </si>
  <si>
    <t>ART-MP-CHI-01</t>
  </si>
  <si>
    <t>District Hospital ChhindwaraMP SH 26, Chhindwara, Madhya Pradesh 480001</t>
  </si>
  <si>
    <t xml:space="preserve">MG District Hospital Dewas </t>
  </si>
  <si>
    <t>Mahatma Gandhi District Hospital
Dewas,, Dewas, Madhya Pradesh - 455001</t>
  </si>
  <si>
    <t>ART-MP-DEW-01</t>
  </si>
  <si>
    <t xml:space="preserve">Hoshangabad </t>
  </si>
  <si>
    <t xml:space="preserve">District Hospital Hoshangabad </t>
  </si>
  <si>
    <t>Jagdish Pura, Hoshangabad, Madhya Pradesh 461001</t>
  </si>
  <si>
    <t>ART-MP-HGD-01</t>
  </si>
  <si>
    <t xml:space="preserve">Dewas </t>
  </si>
  <si>
    <t xml:space="preserve">District Hospital Betul </t>
  </si>
  <si>
    <t>Dr Bhimrao Ambedkar Square Betul 460001</t>
  </si>
  <si>
    <t>ART-MP-BET-01</t>
  </si>
  <si>
    <t xml:space="preserve">Betul </t>
  </si>
  <si>
    <t>Bhind</t>
  </si>
  <si>
    <t xml:space="preserve">District Hospital Bhind  </t>
  </si>
  <si>
    <t>ART-MP-BHI-01</t>
  </si>
  <si>
    <t>Morena</t>
  </si>
  <si>
    <t>District Hospital Morena</t>
  </si>
  <si>
    <t>ART-MP-MOR-01</t>
  </si>
  <si>
    <t>West Garo Hills</t>
  </si>
  <si>
    <t>West Jowai</t>
  </si>
  <si>
    <t>Serchhip</t>
  </si>
  <si>
    <t>Serchhip District Hospital</t>
  </si>
  <si>
    <t>Siaha</t>
  </si>
  <si>
    <t>Siaha District Hospital</t>
  </si>
  <si>
    <t>ART-MZ-SER-01</t>
  </si>
  <si>
    <t>ART-MZ-SIA-01</t>
  </si>
  <si>
    <t>Mayurbhanj</t>
  </si>
  <si>
    <t>Pandit Raghunath Murmu Medical College &amp; Hospital, Baripada</t>
  </si>
  <si>
    <t>ART-OR-MBJ-01</t>
  </si>
  <si>
    <t>ART-PB-SAN-01</t>
  </si>
  <si>
    <t>Nawanshahr</t>
  </si>
  <si>
    <t>Civil Hospital, Nawanshahr</t>
  </si>
  <si>
    <t>ART-PB-NSR-01</t>
  </si>
  <si>
    <t>Dholpur</t>
  </si>
  <si>
    <t>Dholpur District Hospital</t>
  </si>
  <si>
    <t>ART-RJ-DHO-01</t>
  </si>
  <si>
    <t>Jhalawar</t>
  </si>
  <si>
    <t>SRG and Jhalawar Medical College</t>
  </si>
  <si>
    <t>ART-RJ-JHA-01</t>
  </si>
  <si>
    <t>Ambedkar Nagar</t>
  </si>
  <si>
    <t>Mahatma Jyotibha Phule (MJP) Combined District Hospital, Ambedkar Nagar</t>
  </si>
  <si>
    <t>ART-UP-ABN-01</t>
  </si>
  <si>
    <t xml:space="preserve">Bulandshar </t>
  </si>
  <si>
    <t xml:space="preserve">Babu Banrasi Das (BBD) Government District Hospital, Bulandshar </t>
  </si>
  <si>
    <t>ART-UP-BUL-01</t>
  </si>
  <si>
    <t>Fatehpur</t>
  </si>
  <si>
    <t>District Hospital, Fatehpur</t>
  </si>
  <si>
    <t>ART-UP-FHP-01</t>
  </si>
  <si>
    <t>SNM District Hospital, Firozabad</t>
  </si>
  <si>
    <t>ART-UP-FRB-01</t>
  </si>
  <si>
    <t>Sonebhadra</t>
  </si>
  <si>
    <t>District Combined Hospital Sonebhadra</t>
  </si>
  <si>
    <t>SH 5A, Bhandar Khurd, Uttar Pradesh 231216</t>
  </si>
  <si>
    <t>ART-UP-SBA-01</t>
  </si>
  <si>
    <t>ART-UP-SRN-01</t>
  </si>
  <si>
    <t>Sant Kabir Nagar</t>
  </si>
  <si>
    <t>Combined District Hospital,Sant Kabir Nagar</t>
  </si>
  <si>
    <t>Bankatiya, SH 88, Utrawal, Uttar Pradesh 272175</t>
  </si>
  <si>
    <t>ART-UP-SKN-01</t>
  </si>
  <si>
    <t>Unnao</t>
  </si>
  <si>
    <t>Uma Shankar District Hospital, Unnao</t>
  </si>
  <si>
    <t>Unnao - Raebareli Rd, Hiran Nagar, Unnao, Uttar Pradesh 209801</t>
  </si>
  <si>
    <t>ART-UP-UNO-01</t>
  </si>
  <si>
    <t>Haridwar</t>
  </si>
  <si>
    <t>Dehradun Rd, Rampur, Roorkee, Uttarakhand 247667</t>
  </si>
  <si>
    <t>ART-UT-HAR-01</t>
  </si>
  <si>
    <t>Howrah</t>
  </si>
  <si>
    <t>District Hospital Howrah</t>
  </si>
  <si>
    <t>10, 11 Biplabi haren ghosh sarani, Howrah, West Bengal 711101</t>
  </si>
  <si>
    <t>ART-WB-HOW-01</t>
  </si>
  <si>
    <t>ART-KA-MAN-02</t>
  </si>
  <si>
    <t>ART-GJ-MSN-02</t>
  </si>
  <si>
    <t>Nootan Medical college Visnagar, Mehsana</t>
  </si>
  <si>
    <t>Nootan Medical College &amp; Research Centre, Sankalchand Patel Vidyadham, Gandhinagar- Ambaji Link road, Visnagar – 384315 Dist- Mehsana Gujarat, India</t>
  </si>
  <si>
    <t>ART-GJ-AMD-04</t>
  </si>
  <si>
    <t>S.M.S Multi-Speciality Hospital, Ahmedabad</t>
  </si>
  <si>
    <t>Near Tapovan Circle Visat, Sarkhej - Gandhinagar Hwy, Chandkheda, Ahmedabad, Gujarat 382424</t>
  </si>
  <si>
    <t>ART-KA-TUM-04</t>
  </si>
  <si>
    <t>Sridevi Institute of Medical Science and Research Institute</t>
  </si>
  <si>
    <t xml:space="preserve"> Sira Road, TCB - NH4 Rd, Lingapura, Tumakuru, Karnataka 572106</t>
  </si>
  <si>
    <t>ART-KA-BEL-07</t>
  </si>
  <si>
    <t>Jawaharlal Nehru Medical College, Belgaum</t>
  </si>
  <si>
    <t>JNMC KLE University Campus, Nehru Nagar, Belgaum, Karnataka 590010</t>
  </si>
  <si>
    <t>Dadar &amp; Nagar Haveli</t>
  </si>
  <si>
    <t>Silvasa</t>
  </si>
  <si>
    <t>ART-DNH-SIL-01</t>
  </si>
  <si>
    <t>Shri Vinoba Bhave Civil Hospital, Silvasa</t>
  </si>
  <si>
    <t>Sayli Rd, near Collectorate, Solanki Sadan, Bavisa Faliya, Silvassa, Dadra and Nagar Haveli 396230</t>
  </si>
  <si>
    <t>ART-HR-KAR-02</t>
  </si>
  <si>
    <t>AIIMS, Rishikesh (Government Medical College)</t>
  </si>
  <si>
    <t>Himalayan Institute of Medical Sciences</t>
  </si>
  <si>
    <t>Sri Mahant Indresh Medical College</t>
  </si>
  <si>
    <t>ART-UT-DDN-02</t>
  </si>
  <si>
    <t>ART-UT-DDN-03</t>
  </si>
  <si>
    <t>ART-UT-DDN-04</t>
  </si>
  <si>
    <t>Virbhadra Road Shivaji Nagar, near Barrage, Sturida Colony, Rishikesh, Uttarakhand 249203</t>
  </si>
  <si>
    <t>Swami Ram Nagar Jolly Grant,, Dehradun, 248016</t>
  </si>
  <si>
    <t>Kedarpur Village Rd, Industrial Area, Govt.Industrial Estate, Patel Nagar, Dehradun, Uttarakhand 248001</t>
  </si>
  <si>
    <t>ART-PB-KAP-01</t>
  </si>
  <si>
    <t>Kapurthala</t>
  </si>
  <si>
    <t>ARTC Kapurthala</t>
  </si>
  <si>
    <t>ART-PB-JLD-02</t>
  </si>
  <si>
    <t xml:space="preserve">ART Centre PIMS, Jalandhar </t>
  </si>
  <si>
    <t>Mohali</t>
  </si>
  <si>
    <t>ART Centre Mohali</t>
  </si>
  <si>
    <t>ART-PB-MAN-01</t>
  </si>
  <si>
    <t>Mansa</t>
  </si>
  <si>
    <t xml:space="preserve">ART Centre Mansa </t>
  </si>
  <si>
    <t>ART-JH-WSM-01</t>
  </si>
  <si>
    <t>ART-PB-MHL-01</t>
  </si>
  <si>
    <t>ART-HR-GUR-02</t>
  </si>
  <si>
    <t>Badli Rd, near Sultanpur Bird Sanctuary, Budhera, Gurugram, Haryana 122505</t>
  </si>
  <si>
    <t>BGS Medical college, Bangalore</t>
  </si>
  <si>
    <t>Dr.Vishnuvardhan Rd, Kengeri, Bengaluru, Karnataka 560060</t>
  </si>
  <si>
    <t>ART-KA-BLR-09</t>
  </si>
  <si>
    <t>202, Mysore Rd, Kengeri Satellite Town, Kambipura, Karnataka 560074</t>
  </si>
  <si>
    <t>Rajarajeshwari Medical College &amp; Hospital</t>
  </si>
  <si>
    <t>ART-KA-UDU-03</t>
  </si>
  <si>
    <t>Kasturba Medical College, Manipal</t>
  </si>
  <si>
    <t>Tiger Circle Road, Madhav Nagar, Manipal, Karnataka 576104</t>
  </si>
  <si>
    <t>Palghar</t>
  </si>
  <si>
    <t>Vedanta Institute of Medical Sciences, Dhundalwadi</t>
  </si>
  <si>
    <t>ART-MH-PAL-01</t>
  </si>
  <si>
    <t>ART-MH-PNA-08</t>
  </si>
  <si>
    <t>Smt. Kashibai Navale Medical college, Pune</t>
  </si>
  <si>
    <t>Birbhum</t>
  </si>
  <si>
    <t xml:space="preserve"> Rampurhat Govt. Medical College and Hospital</t>
  </si>
  <si>
    <t>Hospital More, Rampurhat, West Bengal 731224</t>
  </si>
  <si>
    <t>ART-WB-BBM-01</t>
  </si>
  <si>
    <t>Diamond Harbor Govt. Medical College and Hospital</t>
  </si>
  <si>
    <t>Diamond Harbour Rd, Harindanga, Diamond Harbour, West Bengal 743331</t>
  </si>
  <si>
    <t>ART-WB-SPG-02</t>
  </si>
  <si>
    <t>Calcutta National Medical College, Kolkata</t>
  </si>
  <si>
    <t>32, Gorachand Rd, Beniapukur, Kolkata, West Bengal 700014</t>
  </si>
  <si>
    <t>ART-WB-CAL-05</t>
  </si>
  <si>
    <t>Paschim Bardhaman</t>
  </si>
  <si>
    <t xml:space="preserve"> Gauri Devi Institute of Medical Sciences and Hospital, Durgapur, </t>
  </si>
  <si>
    <t>GT Road, National Highway 2, Rajbandh, Durgapur, West Bengal 713212</t>
  </si>
  <si>
    <t>ART-WB-PBM-01</t>
  </si>
  <si>
    <t>KPC Medical College and Hospital, Kolkata</t>
  </si>
  <si>
    <t>NRS Medical College, Kolkata</t>
  </si>
  <si>
    <t>1F, Raja Subodh Chandra Mallick Rd, Jadavpur, Kolkata, West Bengal 700032</t>
  </si>
  <si>
    <t>138, Acharya Jagadish Chandra Bose Rd, Sealdah, Raja Bazar, Kolkata, West Bengal 700014</t>
  </si>
  <si>
    <t>ART-WB-CAL-06</t>
  </si>
  <si>
    <t>ART-WB-CAL-07</t>
  </si>
  <si>
    <t>Christian Medical College &amp; hospital</t>
  </si>
  <si>
    <t>Dayanand Medical College &amp; Hospital</t>
  </si>
  <si>
    <t>ART-PB-LUD-02</t>
  </si>
  <si>
    <t>ART-PB-LUD-03</t>
  </si>
  <si>
    <t xml:space="preserve">Pauri Garhwal </t>
  </si>
  <si>
    <t>Pauri GarhwalDistt, Srinagar, Uttarakhand 246174</t>
  </si>
  <si>
    <t>Veer Chandra Singh Garhwali Government Medical College,</t>
  </si>
  <si>
    <t>ART-UT-PGH-01</t>
  </si>
  <si>
    <t>AIIMS, Raipur</t>
  </si>
  <si>
    <t>D1 ILBS Road, Vasant Kunj, New Delhi, Delhi 110070</t>
  </si>
  <si>
    <t>ART-CG-RPR-04</t>
  </si>
  <si>
    <t xml:space="preserve">Noklak </t>
  </si>
  <si>
    <t>HR Lite ARTC Noklak</t>
  </si>
  <si>
    <t>ART-NL-NOK-01</t>
  </si>
  <si>
    <t>Wokha</t>
  </si>
  <si>
    <t>FIART Wokha </t>
  </si>
  <si>
    <t>ART-NL-WOK-01</t>
  </si>
  <si>
    <t>Mon</t>
  </si>
  <si>
    <t>FIART Mon</t>
  </si>
  <si>
    <t>ART-NL-MON-01</t>
  </si>
  <si>
    <t>Anand</t>
  </si>
  <si>
    <t>General Hospital Anand</t>
  </si>
  <si>
    <t>1st floor of General laboratory, General Hospital Anand</t>
  </si>
  <si>
    <t>ART-GJ-AND-01</t>
  </si>
  <si>
    <t>GMERS Hospital Vadnagar</t>
  </si>
  <si>
    <t>G Part, 1st Floor, Behind Gyn. OPD, GMERS Hospital, Vadnagar</t>
  </si>
  <si>
    <t>ART-GJ-MSN-03</t>
  </si>
  <si>
    <t>Narmada</t>
  </si>
  <si>
    <t>General Hospital, Rajpipla</t>
  </si>
  <si>
    <t xml:space="preserve">1st Floor of DTC, General Hospital Complex, Rajpipla </t>
  </si>
  <si>
    <t>ART-GJ-NAR-01</t>
  </si>
  <si>
    <t>Aravalli</t>
  </si>
  <si>
    <t>Dr. Rasik Lal Shah, Sarvajanik Hospital, Modasa</t>
  </si>
  <si>
    <t>Dr. Rasik Lal Shah, Sarvajanik Hospital, Kumbharwada Road, Modasa</t>
  </si>
  <si>
    <t>ART-GJ-ARA-01</t>
  </si>
  <si>
    <t>Devbhumi Dwarka</t>
  </si>
  <si>
    <t>General Hospital, Jamkhambhaliya</t>
  </si>
  <si>
    <t>Room No. 6, Ground Floor</t>
  </si>
  <si>
    <t>ART-GJ-DDA-01</t>
  </si>
  <si>
    <t>Chotta Udaipur</t>
  </si>
  <si>
    <t>ART-GJ-CUD-01</t>
  </si>
  <si>
    <t>General Hospital, Chhotaudepur</t>
  </si>
  <si>
    <t>Near Dayalisis department, Fisrt Floor, General Hospital, Chhotaudepur</t>
  </si>
  <si>
    <t>ART-GJ-AMD-05</t>
  </si>
  <si>
    <t>Sheth Lallubhai Gordhandas Municipal General Hospital</t>
  </si>
  <si>
    <t>Near OPD Building, Old Building, Grounf Floor, Maninagar, Ahmedabad</t>
  </si>
  <si>
    <t>AH-Tekkali</t>
  </si>
  <si>
    <t>ARTCentre,District Hospital Tekkali,Srikakulam District</t>
  </si>
  <si>
    <t>ART-AP-SKM-02</t>
  </si>
  <si>
    <t>AH-Adoni</t>
  </si>
  <si>
    <t>Area Hospital, Near Srinivasa Bhavan, Medhar Street , Adoni, Kurnool District</t>
  </si>
  <si>
    <t>ART-AP-KRL-03</t>
  </si>
  <si>
    <t>ART-AP-EGV-05</t>
  </si>
  <si>
    <t>ART-AP-EGV-06</t>
  </si>
  <si>
    <t>Rampachodavaram</t>
  </si>
  <si>
    <t>Ramachandrapuram</t>
  </si>
  <si>
    <t>Medical Superintendent, Devipatnam Road, Area Hospital, Rampachodavaram, E.G.Dist</t>
  </si>
  <si>
    <t>Medical Superintendent, Near Old Bus Stand, Ramachandrapuram, E.G.Dist, Andhra Pradesh</t>
  </si>
  <si>
    <t>Jangareddy Gudem</t>
  </si>
  <si>
    <t>ART-AP-WGV-05</t>
  </si>
  <si>
    <t>Amaltas Institute of Medical Sciences, Dewas</t>
  </si>
  <si>
    <t>ART-MP-DEW-02</t>
  </si>
  <si>
    <t>Village Bangar, Ujjain Highway, Dewas, Madhya Pradesh 455001</t>
  </si>
  <si>
    <t>L.N Medical College and J.K Hospital Bhopal</t>
  </si>
  <si>
    <t>J.K. Town Kolar Road Sector, Sarvadharam C Sector, Bhopal, Madhya Pradesh 462042</t>
  </si>
  <si>
    <t>ART-MP-BPL-02</t>
  </si>
  <si>
    <t>Nahan</t>
  </si>
  <si>
    <t>ART-HP-NAH-01</t>
  </si>
  <si>
    <t>Dr. Yashwant Singh Parmar, Gov. Medical College, Nahan, Dist- Sirmour</t>
  </si>
  <si>
    <t xml:space="preserve"> Dist, Sundar Bagh Colony, Nahan, Himachal Pradesh 173001</t>
  </si>
  <si>
    <t>L.B.S Medical College, Ner Chowk, Mandi</t>
  </si>
  <si>
    <t>National Highway 154, P.O. Bhangrotu, Ner Chowk, Himachal Pradesh 175021</t>
  </si>
  <si>
    <t>ART-HP-MND-02</t>
  </si>
  <si>
    <t>Chamba</t>
  </si>
  <si>
    <t>Pt. JLNGMCH, Chamba</t>
  </si>
  <si>
    <t>Akhandchandi Palace, near Luxmi Narayan Temple, Tehsil, Chamba, Himachal Pradesh 176310</t>
  </si>
  <si>
    <t>ART-HP-CBA-01</t>
  </si>
  <si>
    <t>Sree Mookambika Institute of Medical Sciences, Kanyakumari, Dist.</t>
  </si>
  <si>
    <t>ART-TN-KKM-02</t>
  </si>
  <si>
    <t>Sree Balaji Medical College and Hospital, Chennai</t>
  </si>
  <si>
    <t>ART-TN-CNI-06</t>
  </si>
  <si>
    <t>Dhanalakshmi Srinivasan and Medical College</t>
  </si>
  <si>
    <t>ART-TN-PBR-02</t>
  </si>
  <si>
    <t>Velammal , Medical College, Madura</t>
  </si>
  <si>
    <t>ART-TN-MDU-04</t>
  </si>
  <si>
    <t>Chengalpattu</t>
  </si>
  <si>
    <t>Chettinad hospital and Research Institute, Chengalpattu</t>
  </si>
  <si>
    <t>ART-TN-CHE-01</t>
  </si>
  <si>
    <t>SRM Medical College, Trichy</t>
  </si>
  <si>
    <t>ART-TN-TRY-03</t>
  </si>
  <si>
    <t>K.J. Somaiya Medical College</t>
  </si>
  <si>
    <t>ART-MU-BMC-20</t>
  </si>
  <si>
    <t>Amrawati</t>
  </si>
  <si>
    <t>ART-KL-THR-02</t>
  </si>
  <si>
    <t>Amala Institute of Medical Sciences, Thrissur</t>
  </si>
  <si>
    <t>Amala Institute of Medical Sciences,  SH69, Amalanagar, Thrissur, Kerala 680555</t>
  </si>
  <si>
    <t>ART-KL-PAT-01</t>
  </si>
  <si>
    <t>Believers Church Medical College</t>
  </si>
  <si>
    <t>Pathanamthitta</t>
  </si>
  <si>
    <t>St. Thomas Nagar, Kuttapuzha, Thiruvalla, Kerala 689103</t>
  </si>
  <si>
    <t>ART-MH-NGP-04</t>
  </si>
  <si>
    <t xml:space="preserve"> Nagpur </t>
  </si>
  <si>
    <t>NKP Salve Medical College , Nagpur </t>
  </si>
  <si>
    <t>ART-MH-NSK-03</t>
  </si>
  <si>
    <t>Nashik</t>
  </si>
  <si>
    <t>NDMVPS, Medical College, Nashik</t>
  </si>
  <si>
    <t>ART-MH-JLG-03</t>
  </si>
  <si>
    <t xml:space="preserve"> Jalgaon </t>
  </si>
  <si>
    <t>Godavari Medical College, Jalgaon </t>
  </si>
  <si>
    <t>ART-MH-AMT-02</t>
  </si>
  <si>
    <t>Amrawati.</t>
  </si>
  <si>
    <t>Dr Punjabrao Deshmukh , Medical College Amrawati.</t>
  </si>
  <si>
    <t>ART-MH-WDH-02</t>
  </si>
  <si>
    <t>Acharya Vinoba Bhave Rural Medical College  Wardha .</t>
  </si>
  <si>
    <t>ART-TN-CHE-02</t>
  </si>
  <si>
    <t>SRM,Chengalpattu</t>
  </si>
  <si>
    <t>ART-TN-CHE-03</t>
  </si>
  <si>
    <t>Karpaga Vinayaga Institute of Medical Science &amp; Research, Chengalpattu</t>
  </si>
  <si>
    <t>ART-UP-HAP-01</t>
  </si>
  <si>
    <t>Hapur</t>
  </si>
  <si>
    <t>Saraswathi Institute of Medical Sciences, Hapur</t>
  </si>
  <si>
    <t>Firozabad</t>
  </si>
  <si>
    <t>ART-UP-BRL-02</t>
  </si>
  <si>
    <t>SRMS Institute of Medical Sciences, Bareilly</t>
  </si>
  <si>
    <t>ART-UP-BNA-02</t>
  </si>
  <si>
    <t>Government Allopathic Medical College, Banda</t>
  </si>
  <si>
    <t>ART-BH-PTN-03</t>
  </si>
  <si>
    <t>Netaji Subhash Medical College, Patna</t>
  </si>
  <si>
    <t>Amhara, Bihta, Bihar 801103</t>
  </si>
  <si>
    <t>ART-AP-CHT-04</t>
  </si>
  <si>
    <t>Peoples Education Society (PES) Institute of Medical Sciences &amp;Research (PESIMSR),</t>
  </si>
  <si>
    <t xml:space="preserve"> Kuppam-517425, Chittoor district, Andhrapradesh</t>
  </si>
  <si>
    <t>ART-AP-KRL-04</t>
  </si>
  <si>
    <t>Viswabharathi Medical College &amp; General Hospital, KURNOOL</t>
  </si>
  <si>
    <t>ART-AP-KRL-05</t>
  </si>
  <si>
    <t>Santhiram General Hospital and Medical College, Nandyal, Kurnool</t>
  </si>
  <si>
    <t>NH40, Nandyala, Andhra Pradesh 518001</t>
  </si>
  <si>
    <t>ART-AP-EGV-07</t>
  </si>
  <si>
    <t>Konaseema Inst. of Medical Sciences Research Foundation and Hospital, Amalapuram</t>
  </si>
  <si>
    <t>Chaitanya Health City, NH216, Amalapuram, Andhra Pradesh 533201</t>
  </si>
  <si>
    <t>ART-AP-KRN-05</t>
  </si>
  <si>
    <t>Dr. Pinnamaneni Siddhartha Medical Sciences and Research Foundations, Chinna Avutapalle</t>
  </si>
  <si>
    <t>Chinna Avutapalle, Gannavaram, Andhra Pradesh</t>
  </si>
  <si>
    <t>ART-AP-VSM-05</t>
  </si>
  <si>
    <t>Gayatri Vidya Parishad Institute of Health Care and Medical Technology, Visakhapatnam</t>
  </si>
  <si>
    <t>ART-AP-VSM-06</t>
  </si>
  <si>
    <t xml:space="preserve"> Visakhapatnam</t>
  </si>
  <si>
    <t>GITAM Institute of Medical Sciences and Research, Visakhapatnam</t>
  </si>
  <si>
    <t>Gayatri Vidya Parishad Institute of Health Care and Medical Technology</t>
  </si>
  <si>
    <t>GITAM Institute of Medical Sciences and Research</t>
  </si>
  <si>
    <t>ART-AP-WGV-06</t>
  </si>
  <si>
    <t>Malkapuram, West Godavari NH-5, Vijayawada, Visakapatnam Road, Eluru, Andhra Pradesh 534005</t>
  </si>
  <si>
    <t>Alluri Sita Ramaraju Academy of Medical Sciences (ASRAM Hospital)</t>
  </si>
  <si>
    <t>ART-KA-BRU-01</t>
  </si>
  <si>
    <t>Bangalore Rural</t>
  </si>
  <si>
    <t>MVJ Medical College and Hospital ,  Hoskote, Bangalore Rural</t>
  </si>
  <si>
    <t>Dandupalya, 30th Km Milestone Kolathur P.O, NH75, Hoskote, Karnataka 562114</t>
  </si>
  <si>
    <t>ART-TE-SID-01</t>
  </si>
  <si>
    <t xml:space="preserve">Wayanad </t>
  </si>
  <si>
    <t>Wayanad District Hospital</t>
  </si>
  <si>
    <t xml:space="preserve">District Hospital Mananthawadi , Wayanad Dist. </t>
  </si>
  <si>
    <t>ART-KL-WYD-01</t>
  </si>
  <si>
    <t xml:space="preserve">Sub District Hospital, Roorkee </t>
  </si>
  <si>
    <t>ART-JH-GUM-01</t>
  </si>
  <si>
    <t>Gumla</t>
  </si>
  <si>
    <t>Jaspur Road, Sadar Hospital, Campus, Gumla, jharkhand-835207.</t>
  </si>
  <si>
    <t>ARTC, Gumla</t>
  </si>
  <si>
    <t>FI-ART center Deesa</t>
  </si>
  <si>
    <t>General Hospital Deesa, Old building, first floor</t>
  </si>
  <si>
    <t>ART-GJ-BAN-02</t>
  </si>
  <si>
    <t>ART-UP-MET-02</t>
  </si>
  <si>
    <t>ART-UP-MET-03</t>
  </si>
  <si>
    <t>National Capital Region Institute of Medical Science, Meerut</t>
  </si>
  <si>
    <t>Subharti Medical College, Meerut</t>
  </si>
  <si>
    <t>ART-WB-NPG-02</t>
  </si>
  <si>
    <t>College of Medicine and Sagore Dutta Hospital, Kamarhati,</t>
  </si>
  <si>
    <t>ART-RJ-JDP-02</t>
  </si>
  <si>
    <t>Bharati Vidyapeeth Medical College &amp; Bharati Hospital &amp; Research Centre, Katraj, Pune, Maharashtra.</t>
  </si>
  <si>
    <t>ART-MH-PNA-09</t>
  </si>
  <si>
    <t>ART-MH-PNA-10</t>
  </si>
  <si>
    <t>Jhajjar</t>
  </si>
  <si>
    <t>ART-HR-JHA-01</t>
  </si>
  <si>
    <t>MY Hospital, Indore</t>
  </si>
  <si>
    <t>Index Medical College, Indore</t>
  </si>
  <si>
    <t>ART-MP-IDR-02</t>
  </si>
  <si>
    <t>Barnala</t>
  </si>
  <si>
    <t>ARTC Barnala</t>
  </si>
  <si>
    <t>Aizawl N</t>
  </si>
  <si>
    <t>Aizawl S</t>
  </si>
  <si>
    <t xml:space="preserve"> Durtlang Hospital</t>
  </si>
  <si>
    <t>State Referral Hospital, Falkawn</t>
  </si>
  <si>
    <t>East Karbi Anglong</t>
  </si>
  <si>
    <t>Golaghat</t>
  </si>
  <si>
    <t>Diphu MCH</t>
  </si>
  <si>
    <t>Diphu Medical College &amp; Hospital, Diphu, Dist:- East Karbi Anglong, Assam PIN:- 782460</t>
  </si>
  <si>
    <t>Swahid Kushal Konwar Civil Hospital, Golaghat, Dist:- Golaghat, Assam PIN:- 785621</t>
  </si>
  <si>
    <t>Golaghat Civil Hospital</t>
  </si>
  <si>
    <t xml:space="preserve"> FI-ART Centre ,General Hospital Mahuva</t>
  </si>
  <si>
    <t>Mahuva Vruddhashram, Kuber Baug Road-2, Ta. Mahuva Dist. Bhavnagar. Gujarat   Pincode- 364290</t>
  </si>
  <si>
    <t>ART-GJ-BVN-02</t>
  </si>
  <si>
    <t>Sadar Hospital Campus, Jaspur Road, Gumla, Pin Code 835207</t>
  </si>
  <si>
    <t>Sadar Hospital, Gumla</t>
  </si>
  <si>
    <t>ART-JH-GUM-02</t>
  </si>
  <si>
    <t xml:space="preserve">GMCH Kannur, Pariyaram </t>
  </si>
  <si>
    <t>GMCH-Manjeri</t>
  </si>
  <si>
    <t>GMCH- Idukki</t>
  </si>
  <si>
    <t>GMCH-Ernakulam</t>
  </si>
  <si>
    <t>Malappuram</t>
  </si>
  <si>
    <t>Idukki</t>
  </si>
  <si>
    <t>ART Centre, Dept of Medicine, Govt. Medical College, Pariyaram Med Coll. P O, Kannur 670503</t>
  </si>
  <si>
    <t>ART Centre ,GOVT. MEDICAL COLLEGE MANJERI, Malappuram, Manjeri P O, 676121</t>
  </si>
  <si>
    <t>ART Centre, New Block, Government Medical College, Cheruthoni, Idukki, Pin- 685602</t>
  </si>
  <si>
    <t>ART Centre, Government Medical College, Ernakulam, HMT Colony PO, Kalamassery- Ernakulam 683503</t>
  </si>
  <si>
    <t>ART-KL-KNR-02</t>
  </si>
  <si>
    <t>ART-KL-ENK-02</t>
  </si>
  <si>
    <t>Keonjhar</t>
  </si>
  <si>
    <t>Kalahandi</t>
  </si>
  <si>
    <t>Kendrapara</t>
  </si>
  <si>
    <t>Gajapati</t>
  </si>
  <si>
    <t>SLN Medical College, Koraput</t>
  </si>
  <si>
    <t>District Headquarters Hospital, Keonjhar</t>
  </si>
  <si>
    <t>District Headquarters Hospital, Kalahandi</t>
  </si>
  <si>
    <t>District Headquarters Hospital, Kendrapara</t>
  </si>
  <si>
    <t>District Headquarters Hospital, Gajapati</t>
  </si>
  <si>
    <t>ART-OR-KJR-01</t>
  </si>
  <si>
    <t>ART-OR-KHD-01</t>
  </si>
  <si>
    <t>ART-OR-KPR-01</t>
  </si>
  <si>
    <t>ART-OR-GPT-01</t>
  </si>
  <si>
    <t>ART-KL-MLP-01</t>
  </si>
  <si>
    <t>ART-KL-IDK-01</t>
  </si>
  <si>
    <t>ART-PB-BNL-01</t>
  </si>
  <si>
    <t>Sangrur </t>
  </si>
  <si>
    <t>ART-PB-SGR-01</t>
  </si>
  <si>
    <t>ARTC Ground Floor, General Hospital Bahadurgarh Jhajjar</t>
  </si>
  <si>
    <t>ART-HR-FAR-01</t>
  </si>
  <si>
    <t>Faridabad</t>
  </si>
  <si>
    <t>ARTC ,First Floor ESI Hospital Sector-8 Faridabad Faridabad</t>
  </si>
  <si>
    <t>ART-AS-ANG-01</t>
  </si>
  <si>
    <t>ART-AS-GLT-01</t>
  </si>
  <si>
    <t>All India Institute of Medical Sciences, Bhopal</t>
  </si>
  <si>
    <t>Saket Nagar, Bhopal, Madhya Pradesh, Pin: 462 020</t>
  </si>
  <si>
    <t>ART-MP-BPL-03</t>
  </si>
  <si>
    <t>Satna</t>
  </si>
  <si>
    <t>STN</t>
  </si>
  <si>
    <t>ART-MP-STN-01</t>
  </si>
  <si>
    <t>Sidhi</t>
  </si>
  <si>
    <t>SID</t>
  </si>
  <si>
    <t>ART-MP-SDH-01</t>
  </si>
  <si>
    <t>Guna</t>
  </si>
  <si>
    <t>ART-MP-GNA-01</t>
  </si>
  <si>
    <t>ART Center District Hospital Guna</t>
  </si>
  <si>
    <t>Mandla</t>
  </si>
  <si>
    <t>MDL</t>
  </si>
  <si>
    <t>ART-MP-MDL-01</t>
  </si>
  <si>
    <t>SDL</t>
  </si>
  <si>
    <t>Shahdol</t>
  </si>
  <si>
    <t>ART-MP-SDL-01</t>
  </si>
  <si>
    <t>MBJ</t>
  </si>
  <si>
    <t>ART-OR-KRP-02</t>
  </si>
  <si>
    <t>ART-MZ-AZL-03</t>
  </si>
  <si>
    <t>ART-MZ-AZL-04</t>
  </si>
  <si>
    <t>Gurawar, Jhajjar-Sampla Road, NH-334</t>
  </si>
  <si>
    <t>ART-HR-JHA-02</t>
  </si>
  <si>
    <t>ART-TN-KPM-03</t>
  </si>
  <si>
    <t>Saveetha Medical College &amp; Hospital</t>
  </si>
  <si>
    <t>ART-MH-PAL-02</t>
  </si>
  <si>
    <t>Sir DM Petit Municipal Hospital, Vasa</t>
  </si>
  <si>
    <t>ART-HR-HIS-02</t>
  </si>
  <si>
    <t>Maharaja Agrasem Medical College, Agroha District Hisar, 125047</t>
  </si>
  <si>
    <t>ART Centre,SGRD </t>
  </si>
  <si>
    <t>ART-PB-ASR-02</t>
  </si>
  <si>
    <t>ART CENTRE – 2, B. J. MEDICAL COLLEGE &amp; CIVIL HOSPITAL, 2nd FLOOR, NR TREASURY OFFICE, OPD BUILDING, CIVIL HOSPITAL, AHMEDABAD – 380016</t>
  </si>
  <si>
    <t>ART centre-1, B J Medical College, Ahmedabad (Civil)</t>
  </si>
  <si>
    <t>ART centre-2, B. J. MEDICAL COLLEGE &amp; CIVIL HOSPITAL</t>
  </si>
  <si>
    <t>ART-GJ-AMD-06</t>
  </si>
  <si>
    <t>ART-TN-ERD-02</t>
  </si>
  <si>
    <t> Govt. Erode Medical College &amp; Hospital,</t>
  </si>
  <si>
    <t>ART-TN-CNI-07</t>
  </si>
  <si>
    <t>ART-TN-CNI-08</t>
  </si>
  <si>
    <t>Government Medical College, Omanthurar Government Estate</t>
  </si>
  <si>
    <t>Sri Ramachandra Medical College</t>
  </si>
  <si>
    <t>ART-GJ-AMD-07</t>
  </si>
  <si>
    <t>GCSMC, H&amp;RC ART centre, Nr. Chamunda Bridge, Naroda Road, Ahmedabad</t>
  </si>
  <si>
    <t>GCSMC, H&amp;RC ART centre,  Ahmedabad</t>
  </si>
  <si>
    <t>Karauli</t>
  </si>
  <si>
    <t>ART-RJ-KAR-01</t>
  </si>
  <si>
    <t>Govt.District Hospital,  Karauli</t>
  </si>
  <si>
    <t>ART-RJ-DGP-02</t>
  </si>
  <si>
    <t xml:space="preserve">PDDU Hospital, Sagwara, Dungarpur, Rajasthan  </t>
  </si>
  <si>
    <t>ART-RJ-TON-01</t>
  </si>
  <si>
    <t>SADAT HOSPITAL , Tonk, Rajasthan</t>
  </si>
  <si>
    <t>Tonk</t>
  </si>
  <si>
    <t>TON</t>
  </si>
  <si>
    <t>ART-TE-HYD-07</t>
  </si>
  <si>
    <t>ART-MP-BPL-04</t>
  </si>
  <si>
    <t>People Medical College, Bhopal</t>
  </si>
  <si>
    <t>Karond Bypass Road, Peoples Campus, Bhanpur, Bhopal, Madhya Pradesh 462037</t>
  </si>
  <si>
    <t>Bhadohi</t>
  </si>
  <si>
    <t>Maharaja Chet Singh District Hospital, Bhadohi</t>
  </si>
  <si>
    <t>ART Center New OPD Department First Floor  Maharaja Chet Singh District Hospital, S.R.N.  Bhadohi Uttar Pradesh 221304</t>
  </si>
  <si>
    <t>DH  Behraich</t>
  </si>
  <si>
    <t>Prayagraj</t>
  </si>
  <si>
    <t>MLN Prayagraj</t>
  </si>
  <si>
    <t>ART Centre RANA BENI MADHAV SINGH, District Hospital Raebareli-229001</t>
  </si>
  <si>
    <t>ART-UP-CHL-01</t>
  </si>
  <si>
    <t>ART-UP-CHI-01</t>
  </si>
  <si>
    <t>Chandauli</t>
  </si>
  <si>
    <t>Chitrakoot</t>
  </si>
  <si>
    <t>DH Chandauli</t>
  </si>
  <si>
    <t>DH Chitrakoot</t>
  </si>
  <si>
    <t>ART-UP-ETA-01</t>
  </si>
  <si>
    <t>Etah</t>
  </si>
  <si>
    <t>DH Etah</t>
  </si>
  <si>
    <t>ART-UP-GBN-01</t>
  </si>
  <si>
    <t>Gautambudh Nagar</t>
  </si>
  <si>
    <t xml:space="preserve">DH Gautambudh Nagar </t>
  </si>
  <si>
    <t>ART-UP-KND-01</t>
  </si>
  <si>
    <t>Kanpur Dehat</t>
  </si>
  <si>
    <t xml:space="preserve">DH Kanpur Dehat </t>
  </si>
  <si>
    <t>ART-UP-RAM-01</t>
  </si>
  <si>
    <t>Rampur</t>
  </si>
  <si>
    <t>DH Rampur</t>
  </si>
  <si>
    <t>District Hospital Rampur, Uttar Pradesh 244901</t>
  </si>
  <si>
    <t>Khawzawl</t>
  </si>
  <si>
    <t>ART-MZ-KHA-01</t>
  </si>
  <si>
    <t>Khawzawl ARTc</t>
  </si>
  <si>
    <t>Saitul</t>
  </si>
  <si>
    <t>ART-MZ-STL-01</t>
  </si>
  <si>
    <t>DH Saitul</t>
  </si>
  <si>
    <t>Hnahthial</t>
  </si>
  <si>
    <t>DH Hnahthial</t>
  </si>
  <si>
    <t>ART-MZ-HNA-01</t>
  </si>
  <si>
    <t>Lawngtlai</t>
  </si>
  <si>
    <t>ART-MZ-LAW-01</t>
  </si>
  <si>
    <t>ART-AP-VZM-03</t>
  </si>
  <si>
    <t>Maharajah's Institute of Medical Sciences (MIMS General Hospital)</t>
  </si>
  <si>
    <t>Maharajah's Institute of Medical Sciences (MIMS General Hospital), D.No 31-15, Nellimarla - 535217, Viziangaram dist, Andhra Pradesh</t>
  </si>
  <si>
    <t>ART-GJ-KTC-02</t>
  </si>
  <si>
    <t>General hospital, Gandhidham (adipur), Kachchh</t>
  </si>
  <si>
    <t>ART-GJ-GSN-01</t>
  </si>
  <si>
    <t>Room no. 15, Ground floor, new bldg., rejendra bhuvan rd, Veraval, Gir somnath</t>
  </si>
  <si>
    <t>Gir Somnath</t>
  </si>
  <si>
    <t>GSN</t>
  </si>
  <si>
    <t>NAR</t>
  </si>
  <si>
    <t>ART-WB-SPG-03</t>
  </si>
  <si>
    <t>ESI, JOKA</t>
  </si>
  <si>
    <t>JOKA</t>
  </si>
  <si>
    <t>PBM</t>
  </si>
  <si>
    <t>HOW</t>
  </si>
  <si>
    <t>BBM</t>
  </si>
  <si>
    <t>SOA</t>
  </si>
  <si>
    <t>RAI</t>
  </si>
  <si>
    <t>BHI</t>
  </si>
  <si>
    <t>Area Hospital</t>
  </si>
  <si>
    <t>GLT</t>
  </si>
  <si>
    <t>SNP</t>
  </si>
  <si>
    <t>AUR</t>
  </si>
  <si>
    <t>BHO</t>
  </si>
  <si>
    <t>JAI</t>
  </si>
  <si>
    <t>KIS</t>
  </si>
  <si>
    <t>KAI</t>
  </si>
  <si>
    <t>MUN</t>
  </si>
  <si>
    <t>NAL</t>
  </si>
  <si>
    <t>ROH</t>
  </si>
  <si>
    <t>SIW</t>
  </si>
  <si>
    <t>SUP</t>
  </si>
  <si>
    <t>WCM</t>
  </si>
  <si>
    <t>KOR</t>
  </si>
  <si>
    <t>RNG</t>
  </si>
  <si>
    <t>DNH</t>
  </si>
  <si>
    <t>SIL</t>
  </si>
  <si>
    <t>GOS</t>
  </si>
  <si>
    <t>AND</t>
  </si>
  <si>
    <t>ARA</t>
  </si>
  <si>
    <t>DDA</t>
  </si>
  <si>
    <t>ABL</t>
  </si>
  <si>
    <t>BWN</t>
  </si>
  <si>
    <t>FAR</t>
  </si>
  <si>
    <t>GUR</t>
  </si>
  <si>
    <t>HIS</t>
  </si>
  <si>
    <t>JHA</t>
  </si>
  <si>
    <t>JIN</t>
  </si>
  <si>
    <t>KTL</t>
  </si>
  <si>
    <t>KUR</t>
  </si>
  <si>
    <t>PCH</t>
  </si>
  <si>
    <t>PAN</t>
  </si>
  <si>
    <t>SRS</t>
  </si>
  <si>
    <t>CBA</t>
  </si>
  <si>
    <t>NAH</t>
  </si>
  <si>
    <t>KAT</t>
  </si>
  <si>
    <t>BOK</t>
  </si>
  <si>
    <t>DUM</t>
  </si>
  <si>
    <t>GUM</t>
  </si>
  <si>
    <t>SBG</t>
  </si>
  <si>
    <t>BRU</t>
  </si>
  <si>
    <t>IDK</t>
  </si>
  <si>
    <t>MLP</t>
  </si>
  <si>
    <t>WYD</t>
  </si>
  <si>
    <t>BET</t>
  </si>
  <si>
    <t>DEW</t>
  </si>
  <si>
    <t>CHI</t>
  </si>
  <si>
    <t>HGD</t>
  </si>
  <si>
    <t>SDH</t>
  </si>
  <si>
    <t>PAL</t>
  </si>
  <si>
    <t>JOW</t>
  </si>
  <si>
    <t>TUR</t>
  </si>
  <si>
    <t>HNA</t>
  </si>
  <si>
    <t>KHA</t>
  </si>
  <si>
    <t>LAW</t>
  </si>
  <si>
    <t>STL</t>
  </si>
  <si>
    <t>SER</t>
  </si>
  <si>
    <t>SIA</t>
  </si>
  <si>
    <t>MU</t>
  </si>
  <si>
    <t>MON</t>
  </si>
  <si>
    <t>NOK</t>
  </si>
  <si>
    <t>WOK</t>
  </si>
  <si>
    <t>GPT</t>
  </si>
  <si>
    <t>KJR</t>
  </si>
  <si>
    <t>KHD</t>
  </si>
  <si>
    <t>BNL</t>
  </si>
  <si>
    <t>FRK</t>
  </si>
  <si>
    <t>MHL</t>
  </si>
  <si>
    <t>NSR</t>
  </si>
  <si>
    <t>KAP</t>
  </si>
  <si>
    <t>DHO</t>
  </si>
  <si>
    <t>CHE</t>
  </si>
  <si>
    <t>KRG</t>
  </si>
  <si>
    <t>ABN</t>
  </si>
  <si>
    <t>BUL</t>
  </si>
  <si>
    <t>CHL</t>
  </si>
  <si>
    <t>ETA</t>
  </si>
  <si>
    <t>GBN</t>
  </si>
  <si>
    <t>FHP</t>
  </si>
  <si>
    <t>FRB</t>
  </si>
  <si>
    <t>HAP</t>
  </si>
  <si>
    <t>KND</t>
  </si>
  <si>
    <t>SKN</t>
  </si>
  <si>
    <t>SBA</t>
  </si>
  <si>
    <t>UNO</t>
  </si>
  <si>
    <t>HAR</t>
  </si>
  <si>
    <t>PGH</t>
  </si>
  <si>
    <t xml:space="preserve"> Concerned SACS (JD, CST, Consultant CST), RC &amp; linked CoE/pCoE</t>
  </si>
  <si>
    <t>Please re-check the values if any of the cells turn red
(Value of 3.5 can not be negative and can not be greater than 2.5)</t>
  </si>
  <si>
    <t>ART-WB-NDA-02</t>
  </si>
  <si>
    <t>College of Medicine and JNM Hospital ART centre, Ground Floor, Hospital building,</t>
  </si>
  <si>
    <t>ART-WB-SPG-04</t>
  </si>
  <si>
    <t>ART centre,Jagannath Gupta Institute of Medical Sciences &amp; Hospital</t>
  </si>
  <si>
    <t>ESI,JOKA</t>
  </si>
  <si>
    <t>ART-TN-KPM-04</t>
  </si>
  <si>
    <t>Meenakshi Hospital</t>
  </si>
  <si>
    <t>ART-MP-BPL-05</t>
  </si>
  <si>
    <t>Chirayu Medical College</t>
  </si>
  <si>
    <t>ART-TN-TLR-02</t>
  </si>
  <si>
    <t>Panimalar Medical College</t>
  </si>
  <si>
    <t>ART Center, IInd floor,BMGMC Shahdol</t>
  </si>
  <si>
    <t>Govt. Medical College</t>
  </si>
  <si>
    <t xml:space="preserve">Satna </t>
  </si>
  <si>
    <t>ART Centre SDH Batala</t>
  </si>
  <si>
    <t>ART Centre Civil Hospital Moga</t>
  </si>
  <si>
    <t xml:space="preserve">ARTC, Sagwara, Dungarpur, Rajasthan  </t>
  </si>
  <si>
    <t xml:space="preserve"> All India Institute of Medical Sciences, Jodhpur</t>
  </si>
  <si>
    <t>KARUR ARTC</t>
  </si>
  <si>
    <t>GHTM - ARTCENTRE OF EXCELLENCE</t>
  </si>
  <si>
    <t>Thiruchengode ART</t>
  </si>
  <si>
    <t>MVASMC Ghazipur</t>
  </si>
  <si>
    <t>DH JALAUN</t>
  </si>
  <si>
    <t>DH Kanpur Dehat</t>
  </si>
  <si>
    <t>DH KUSHINAGAR</t>
  </si>
  <si>
    <t>ART-HR-FAR-02</t>
  </si>
  <si>
    <t>ESIC Medical College &amp; Hospital</t>
  </si>
  <si>
    <t>No</t>
  </si>
  <si>
    <t>ART-KA-BLR-10</t>
  </si>
  <si>
    <t>East Point College of Medical sciences and  Research, Avalahalli, Bangalore </t>
  </si>
  <si>
    <t>ART-KA-MLR-04</t>
  </si>
  <si>
    <t>Father Muller Medical College, Kankanadi, Mangalore</t>
  </si>
  <si>
    <t>Father Muller Medical CollegeFather Muller Road,Kankanady,Mangalore - 575 002,Karnataka.</t>
  </si>
  <si>
    <t>East Point College of Medical Sciences, Jnana Prabha, East Point Campus, Virgo Nagar Post, Avalahalli, Bengaluru, Karnataka 560049</t>
  </si>
  <si>
    <t>ART-KA-BRU-02</t>
  </si>
  <si>
    <t>Sri Siddhartha Institute of Medical Sciences and Research Centre, Bangalore Rural</t>
  </si>
  <si>
    <t>Sri Siddhartha Institute of Medical Sciences &amp; Research Centre, T.Begur, Nelamangala Taluk, Bangalore Rural District Karnataka 562123</t>
  </si>
  <si>
    <t>ART-UT-DDN-05</t>
  </si>
  <si>
    <t>Dr. K.K.B.M. Subharti Hospital &amp; Medical College, Dehradun (Uttarakhand).</t>
  </si>
  <si>
    <t>Subhartipuram, Phaze 2, NH 72 Jhajra, Chakrata Rd, Dehradun, Uttarakhand 248007</t>
  </si>
  <si>
    <t>Municipal STD Clinic ART Center</t>
  </si>
  <si>
    <t>ART-HR-FAR-03</t>
  </si>
  <si>
    <t>Al Falah university Campus, Dhouj, Haryana 121004</t>
  </si>
  <si>
    <t>ART-HR-PAN-02</t>
  </si>
  <si>
    <t>Panipat-Rohtak Road, VPO Israna, Panipat
Haryana-132107, India</t>
  </si>
  <si>
    <t>ART-HR-KUR-02</t>
  </si>
  <si>
    <t>NH - 1, Near Ambala Cantt., VILL. MOHRI, TEHSIL. SHAHBAD (M, Haryana 136135</t>
  </si>
  <si>
    <t>ART-HR-MEW-01</t>
  </si>
  <si>
    <t>Mewat</t>
  </si>
  <si>
    <t>MEW</t>
  </si>
  <si>
    <t>Shaheed Hasan Khan Mewati, Govt. Medical College, Nalhar, Nuh, Haryana.</t>
  </si>
  <si>
    <t>ART-HR-SNP-02</t>
  </si>
  <si>
    <t>BPS Govt. Medical College, Khanpur Kalan, Sonepat, Haryana - 131305</t>
  </si>
  <si>
    <t>ART-BH-MDB-02</t>
  </si>
  <si>
    <t>Madhubani medical College</t>
  </si>
  <si>
    <t>Madhubani - Pandaul - Sakri Rd, Keshopur, Bihar 847212</t>
  </si>
  <si>
    <t>ART-BH-NAL-02</t>
  </si>
  <si>
    <t>Pawapuri (Nalanda), Bihar, PIN- 803115</t>
  </si>
  <si>
    <t>ART-TN-CNI-09</t>
  </si>
  <si>
    <t>ACS Medical College and Hospital</t>
  </si>
  <si>
    <t>Poonamallee High Rd, Velappanchavadi, Chennai, Tamil Nadu 600077</t>
  </si>
  <si>
    <t>169, Wallahjah Rd, Police Quarters, Triplicane, Chennai, Tamil Nadu 600002</t>
  </si>
  <si>
    <t>Sri Ramachandra Institute of Higher Education and Research (Deemed to be University),
No.1 Ramachandra Nagar
Porur, Chennai - 600 116
Tamil Nadu, India.</t>
  </si>
  <si>
    <t>Nh 47, Perundurai Saniatorium, Perundurai, Tamil Nadu 638053.</t>
  </si>
  <si>
    <t>Padanilam, Kulasekharam, Tamil Nadu 629161</t>
  </si>
  <si>
    <t>Saveetha Nagar, Thandalam, Chennai Bengaluru, NH 48, Chennai, Tamil Nadu 602105</t>
  </si>
  <si>
    <t>Chinthamani, Tamil Nadu 625009</t>
  </si>
  <si>
    <t>Keelakanavai - Siruvachur Rd, Tamil Nadu 621113</t>
  </si>
  <si>
    <t>ART-KA-SHI-02</t>
  </si>
  <si>
    <t>Subbaiah Institute of Medical Sciences</t>
  </si>
  <si>
    <t>N.H - 13 Purle, Shimoga, Karnataka - 577222</t>
  </si>
  <si>
    <t>Kalaburagi</t>
  </si>
  <si>
    <t xml:space="preserve">MR Medical College </t>
  </si>
  <si>
    <t>KAL</t>
  </si>
  <si>
    <t>Mahadevappa Rampure Medical College, Mahadevappa Rampure Marg, Sedam Road, Kalaburagi - 585 105</t>
  </si>
  <si>
    <t xml:space="preserve">KBN Medical College </t>
  </si>
  <si>
    <t>Khaja Bandanawaz University Campus, Rauza-i Buzurg, KALABURAGI - 585104.</t>
  </si>
  <si>
    <t>ART-KL-ENK-03</t>
  </si>
  <si>
    <t>M.O.S.C Medical College Hospital</t>
  </si>
  <si>
    <t>Medical College Road, Kolenchery P O, Ernakulam - 682311, Kerala</t>
  </si>
  <si>
    <t>Bhagwan Mahavir Institute of Medical Sciences</t>
  </si>
  <si>
    <r>
      <rPr>
        <b/>
        <sz val="8"/>
        <color indexed="8"/>
        <rFont val="Verdana"/>
        <family val="2"/>
      </rPr>
      <t>22</t>
    </r>
    <r>
      <rPr>
        <sz val="8"/>
        <color indexed="8"/>
        <rFont val="Verdana"/>
        <family val="2"/>
      </rPr>
      <t>. Dolutegravir 10mg</t>
    </r>
  </si>
  <si>
    <t>Medical College</t>
  </si>
  <si>
    <t xml:space="preserve">SCORE -CARD of ARTC - INPUT SHEET ( Denominator &amp; Numerator) </t>
  </si>
  <si>
    <t xml:space="preserve">Code of the ART Centre </t>
  </si>
  <si>
    <t xml:space="preserve">Quarter </t>
  </si>
  <si>
    <t xml:space="preserve">Year </t>
  </si>
  <si>
    <t xml:space="preserve"> Sl. No.</t>
  </si>
  <si>
    <t>List of Indicator</t>
  </si>
  <si>
    <t>Denominator</t>
  </si>
  <si>
    <t>Numerator</t>
  </si>
  <si>
    <t>% of PLHIV initiated on ART in FY</t>
  </si>
  <si>
    <t xml:space="preserve">% LFU, MIS 2, MIS 3 and opted out in FY </t>
  </si>
  <si>
    <t>% of PLHIV reported died out of those initiated in financial year</t>
  </si>
  <si>
    <t>% of PLHIV on MMD (3 Months)</t>
  </si>
  <si>
    <t>% Overall retention</t>
  </si>
  <si>
    <t xml:space="preserve">% of PLHIV who are reported MIS 2, MIS 3, LFU and opted out during the reporting quarter. </t>
  </si>
  <si>
    <t>% of VL coverage</t>
  </si>
  <si>
    <t>% of VL suppression</t>
  </si>
  <si>
    <t>% Presumptive TB cases tested*</t>
  </si>
  <si>
    <t>% co-infected initiated on ART*</t>
  </si>
  <si>
    <t xml:space="preserve">% Initiated on TPT </t>
  </si>
  <si>
    <t xml:space="preserve">% completed on TPT </t>
  </si>
  <si>
    <t>% of unsuppressed PLHIV undergone repeat VL testing</t>
  </si>
  <si>
    <t>% unsuppressed PLHIV referred to SACEP for review</t>
  </si>
  <si>
    <t xml:space="preserve">% of PLHIV switched to second line or third line </t>
  </si>
  <si>
    <t>PLHIV initiated on ART</t>
  </si>
  <si>
    <t>PLHIV registered in HIV Care during the current financial year (April - reporting month)</t>
  </si>
  <si>
    <t>PLHIV initiated on ART in the current financial year 
(April - reporting month)</t>
  </si>
  <si>
    <t>PLHIV whose status is LFU, MIS 2, MIS 3 and opted out</t>
  </si>
  <si>
    <t>PLHIV nitiated on ART in the current financial year 
(April - reporting month)</t>
  </si>
  <si>
    <t>PLHIV reported died</t>
  </si>
  <si>
    <t>PLHIV alive on ART</t>
  </si>
  <si>
    <t>PLHIV on MMD (3 month dispensation) out of PLHIV on ART</t>
  </si>
  <si>
    <t>PLHIV Alive on ART (excluding MIS 2 and MIS 3) at the end of the previous quarter; Plus PLHIV newly initiated on ART, tracked back and transferred in; and minus transferred out during the reporting quarter</t>
  </si>
  <si>
    <t xml:space="preserve">PLHIV on ART at the end of the reporting quarter. </t>
  </si>
  <si>
    <t>PLHIV alive on ART (excluding MIS 2 and MIS 3) at the end of the previous quarter; Plus PLHIV newly initiated on ART, tracked back and transferred in; and minus transferred out during the reporting quarter</t>
  </si>
  <si>
    <t>PLHIV on ART with a VL result documented within the past 12 months.</t>
  </si>
  <si>
    <t xml:space="preserve">PLHIV who are reported MIS 2, MIS 3, LFU and opted out during the reporting quarter. </t>
  </si>
  <si>
    <t>PLHIV identified as presumptive TB during the reporting quarter</t>
  </si>
  <si>
    <t>PLHIV tested for TB</t>
  </si>
  <si>
    <t>Co-infected patients enrolled in HIV/TB register during the current financial year (April till reporting month)</t>
  </si>
  <si>
    <t xml:space="preserve">PLHIV eligible for TPT at the end of the reporting 
quarter. </t>
  </si>
  <si>
    <t>PLHIV started TPT</t>
  </si>
  <si>
    <t xml:space="preserve">PLHIV started on TPT six months prior (two quarter 
back) </t>
  </si>
  <si>
    <t>PLHIV completed TPT during the quarter</t>
  </si>
  <si>
    <t>PLHIV who were unsuppressed as per first 
VL test in last quarter.</t>
  </si>
  <si>
    <t xml:space="preserve">PLHIV with unsupressed VL result (in the last 
quarter) undergone repeat VL testing by the end of the reporting quarter. </t>
  </si>
  <si>
    <t>"PLHIV who are virally unsuppressed as per the repeat  VL test during the reporting quarter"</t>
  </si>
  <si>
    <t xml:space="preserve">PLHIV referred to SACEP, of those who are virally unsuppressed as per the repeat VL test during the reporting quarter   </t>
  </si>
  <si>
    <t>PLHIV recommended for switch (second line or third line) after review by SACEP during the current FY (April – reporting month).</t>
  </si>
  <si>
    <t xml:space="preserve">PLHIV switched to second line or third line, 
of those recommended by SACEP during current FY </t>
  </si>
  <si>
    <t>% age achievement</t>
  </si>
  <si>
    <t>4.a.3 Out of 4a.1, number of pregnant women/DIL/Breastfeeding women eligible for viral load test at 32-36 week of gestation.</t>
  </si>
  <si>
    <t>4.a.3</t>
  </si>
  <si>
    <t>4.a.4</t>
  </si>
  <si>
    <t>4.a.4 Out of 4a.1, number of pregnant women/DIL/Breastfeeding women tested for viral load test at 32-36 week of gestation.</t>
  </si>
  <si>
    <t>4.a.5 Out of 4a.1, number of pregnant women/DIL/Breastfeeding women tested for viral load is virally suppressed.</t>
  </si>
  <si>
    <t>4.a.5</t>
  </si>
  <si>
    <t>SC-1</t>
  </si>
  <si>
    <t>SC-2</t>
  </si>
  <si>
    <t>SC-3</t>
  </si>
  <si>
    <t>SC-4</t>
  </si>
  <si>
    <t>SC-5</t>
  </si>
  <si>
    <t>SC-6</t>
  </si>
  <si>
    <t>SC-7</t>
  </si>
  <si>
    <t>SC-8</t>
  </si>
  <si>
    <t>SC-9</t>
  </si>
  <si>
    <t>SC-10</t>
  </si>
  <si>
    <t>SC-11</t>
  </si>
  <si>
    <t>SC-12</t>
  </si>
  <si>
    <t>SC-13</t>
  </si>
  <si>
    <t>SC-14</t>
  </si>
  <si>
    <t>SC-15</t>
  </si>
  <si>
    <r>
      <rPr>
        <b/>
        <sz val="8"/>
        <color theme="1"/>
        <rFont val="Verdana"/>
        <family val="2"/>
      </rPr>
      <t>4.a.4</t>
    </r>
    <r>
      <rPr>
        <sz val="8"/>
        <color theme="1"/>
        <rFont val="Verdana"/>
        <family val="2"/>
      </rPr>
      <t xml:space="preserve"> Out of 4a.3, number of pregnant women tested for viral load at 32-36 week of gestation.</t>
    </r>
  </si>
  <si>
    <r>
      <rPr>
        <b/>
        <sz val="8"/>
        <color theme="1"/>
        <rFont val="Verdana"/>
        <family val="2"/>
      </rPr>
      <t>4.a.5</t>
    </r>
    <r>
      <rPr>
        <sz val="8"/>
        <color theme="1"/>
        <rFont val="Verdana"/>
        <family val="2"/>
      </rPr>
      <t xml:space="preserve"> Out of 4a.4, number of pregnant women tested for viral load is virally suppressed.</t>
    </r>
  </si>
  <si>
    <t>Proportion of mismatch between MPR and SOCH data</t>
  </si>
  <si>
    <t xml:space="preserve"> Variance between PLHIV on ART reported in SOCH 
and MPR</t>
  </si>
  <si>
    <t>Total number of PLHIV alive &amp; on ART as per SOCH</t>
  </si>
  <si>
    <t>ART-AP-EGV-08</t>
  </si>
  <si>
    <t>ART-AP-GTR-07</t>
  </si>
  <si>
    <t>ART-AP-KRN-06</t>
  </si>
  <si>
    <t>ART-AP-NLR-03</t>
  </si>
  <si>
    <t>ART-AP-SKM-03</t>
  </si>
  <si>
    <t>ART-AP-VSM-07</t>
  </si>
  <si>
    <t>ART-AS-DHB-01</t>
  </si>
  <si>
    <t>ART-AS-KKJ-01</t>
  </si>
  <si>
    <t>ART-BH-PTN-04</t>
  </si>
  <si>
    <t>ART-DL-SOU-03</t>
  </si>
  <si>
    <t>ART-GJ-KDA-02</t>
  </si>
  <si>
    <t>ART-KA-BJP-05</t>
  </si>
  <si>
    <t>ART-KA-BLK-05</t>
  </si>
  <si>
    <t>ART-KA-BLR-11</t>
  </si>
  <si>
    <t>ART-KA-BLR-12</t>
  </si>
  <si>
    <t>ART-KA-BLR-13</t>
  </si>
  <si>
    <t>ART-KA-DHA-03</t>
  </si>
  <si>
    <t>ART-KA-DVG-03</t>
  </si>
  <si>
    <t>ART-KA-DVG-04</t>
  </si>
  <si>
    <t>ART-KA-GLG-03</t>
  </si>
  <si>
    <t>ART-KA-GLG-04</t>
  </si>
  <si>
    <t>ART-KA-KOL-02</t>
  </si>
  <si>
    <t>ART-KA-MLR-05</t>
  </si>
  <si>
    <t>ART-KA-MLR-06</t>
  </si>
  <si>
    <t>ART-KA-MLR-07</t>
  </si>
  <si>
    <t>ART-KA-MLR-08</t>
  </si>
  <si>
    <t>ART-KL-TRM-02</t>
  </si>
  <si>
    <t>ART-MH-ANG-03</t>
  </si>
  <si>
    <t>ART-MH-ARD-04</t>
  </si>
  <si>
    <t>ART-MH-DHL-03</t>
  </si>
  <si>
    <t>ART-MH-KLP-06</t>
  </si>
  <si>
    <t>ART-MH-LTR-03</t>
  </si>
  <si>
    <t>ART-MH-NGP-05</t>
  </si>
  <si>
    <t>ART-MH-NSK-04</t>
  </si>
  <si>
    <t>ART-MH-PNA-11</t>
  </si>
  <si>
    <t>ART-MH-SLR-04</t>
  </si>
  <si>
    <t>ART-MP-BPL-06</t>
  </si>
  <si>
    <t>ART-MP-IDR-03</t>
  </si>
  <si>
    <t>ART-TE-HYD-08</t>
  </si>
  <si>
    <t>ART-TE-MBR-02</t>
  </si>
  <si>
    <t>ART-TN-CNI-10</t>
  </si>
  <si>
    <t>ART-TN-CNI-11</t>
  </si>
  <si>
    <t>ART-TN-CUD-03</t>
  </si>
  <si>
    <t>ART-TN-KRG-03</t>
  </si>
  <si>
    <t>ART-UP-AGR-02</t>
  </si>
  <si>
    <t>ART-UP-BRB-01</t>
  </si>
  <si>
    <t>ART-UP-BRL-03</t>
  </si>
  <si>
    <t>ART-UP-HAP-02</t>
  </si>
  <si>
    <t>ART-UP-LNO-03</t>
  </si>
  <si>
    <t>ART-UP-LNO-04</t>
  </si>
  <si>
    <t>ART-UP-SJP-01</t>
  </si>
  <si>
    <t>ART-UT-CHA-01</t>
  </si>
  <si>
    <t>ART-UT-DDN-06</t>
  </si>
  <si>
    <t>ART-UT-TGH-01</t>
  </si>
  <si>
    <t>ART-WB-PBM-02</t>
  </si>
  <si>
    <t>ART-WB-PRL-01</t>
  </si>
  <si>
    <t>ART-WB-UDJ-02</t>
  </si>
  <si>
    <t>Dhubri</t>
  </si>
  <si>
    <t>Barabanki</t>
  </si>
  <si>
    <t>Shahjahanpur</t>
  </si>
  <si>
    <t>Chamoli</t>
  </si>
  <si>
    <t xml:space="preserve">Tehri Garhwal </t>
  </si>
  <si>
    <t>Purulia</t>
  </si>
  <si>
    <t xml:space="preserve">GSL Medical College &amp; General Hospital </t>
  </si>
  <si>
    <t>NH16, Lakshmi Puram, Rajamahendravaram, Jagannadhapuram Agraharam, Andhra Pradesh 533296</t>
  </si>
  <si>
    <t>Katuri Medical College &amp; Hospital</t>
  </si>
  <si>
    <t>Katuri Health City, Andhra Pradesh 522019</t>
  </si>
  <si>
    <t> Plot No. 113, Shop No. 3, P.K.R. Complex, Ulchala - Kurnool Rd, Kurnool, Andhra Pradesh 518003</t>
  </si>
  <si>
    <t>NIMRA Institute of Medical Sciences (NIMS),</t>
  </si>
  <si>
    <t>NIMRA Institute of Medical Sciences (NIMS), 4-131, Nimra Nagar, Jupudi, Ibrahimpatnam Mandal, NTR district (erstwhile Krishna) Andhra Pradesh -521456</t>
  </si>
  <si>
    <t>Narayana Medical College, Nellore</t>
  </si>
  <si>
    <t>Chintareddy Palem, Nellore, Andhra Pradesh 524003</t>
  </si>
  <si>
    <t>GEMS Medical College</t>
  </si>
  <si>
    <t>GEMS Medical College, Ragolu, Srikakulam  rural, Srikakulam dist, Pin: 532484, Andhra Pradesh</t>
  </si>
  <si>
    <t>NRI Institute of Medical Sciences (NRIIMS),</t>
  </si>
  <si>
    <t>NRI Institute of Medical Sciences (NRIIMS), Sangivalasa (V), Bheemunipatnam (M), Visakhapatnam - 531162, Visakhapatnam dist, Andhra Pradesh</t>
  </si>
  <si>
    <t>Government Medical College &amp; Hospital, Dhubri</t>
  </si>
  <si>
    <t>DHB</t>
  </si>
  <si>
    <t>Boro Bazar, Dhubri, Assam 783301</t>
  </si>
  <si>
    <t xml:space="preserve">Government Medical College &amp; Hospital </t>
  </si>
  <si>
    <t>KKJ</t>
  </si>
  <si>
    <t>All India Institute of Medical Sciences</t>
  </si>
  <si>
    <t>Patna - Aurangabad Rd, Phulwari Sharif, Patna, Bihar 801507</t>
  </si>
  <si>
    <t>Hamdard Insitute of Medical Science and Research (HIMSR) at Hakeem Abdul Centenary Hospital</t>
  </si>
  <si>
    <t>Guru Ravidas Marg, Block D, Hamdard Nagar, New Delhi, Delhi 110062</t>
  </si>
  <si>
    <t>Dr. N D Desai Medical College &amp; Research Hospital, Nadiad,</t>
  </si>
  <si>
    <t>College Rd, Nalanda Nagar, Chalali, Nadiad, Gujarat 387001</t>
  </si>
  <si>
    <t>BM Patil Medical College</t>
  </si>
  <si>
    <t>Bangaramma sajjan campus,Solapur Road, Vijayapura-586103, Karnataka State, India</t>
  </si>
  <si>
    <t>S Nijalingappa Medical College</t>
  </si>
  <si>
    <t>S.Nijalingappa Medical College &amp; H.S.K.Hospital &amp; Research Centre
Navanagar Bagalkot- 587 102 Karnataka India</t>
  </si>
  <si>
    <t>Vydehi Institute of Medical Sciences and Research Centre, Bangalore</t>
  </si>
  <si>
    <t>82, Nallurahalli Main Rd, near BMTC 18th Depot, Whitefield, Vijayanagar, Nallurhalli, Bengaluru, Karnataka 560066</t>
  </si>
  <si>
    <t>M S Ramaiah Medical College Hospital, Bengaluru</t>
  </si>
  <si>
    <t>M S Ramaiah Nagar, Mathikere, Bengaluru, Karnataka 560054</t>
  </si>
  <si>
    <t>PES University Institute of Medical Sciences &amp; Research, Bengaluru</t>
  </si>
  <si>
    <t>Konappana Agrahara, Electronic City, Bengaluru, Karnataka 560100</t>
  </si>
  <si>
    <t>Shri Dharmasthala Manjunatheshwara (SDM) College of Medical Sciences and Hospital, Dharwad</t>
  </si>
  <si>
    <t>Manjushree Nagar, Sattur Colony, Karnataka 580009</t>
  </si>
  <si>
    <t>Jagadguru Jayadeva murugarajendra (JJM) Medical College, Davanagere</t>
  </si>
  <si>
    <t>Medical College Rd, MCC B Block, Kuvempu Nagar, Davanagere, Karnataka 577004</t>
  </si>
  <si>
    <t>Sri Siddhartha Institute of Medical Sciences &amp; Research Centre (SSIMS), Davanagere</t>
  </si>
  <si>
    <t>S O G Colony, Shri Ramanagara, Davanagere, Karnataka 577003</t>
  </si>
  <si>
    <t>RL Jallappa Hospital</t>
  </si>
  <si>
    <t>Oppsite to r l jalappa hospital, Tamaka, Karnataka 563101</t>
  </si>
  <si>
    <t>A J Institute of Medical Sciences &amp; Research Centre Hospital, Mangalore</t>
  </si>
  <si>
    <t>NH 66, Kuntikan, Mangaluru, Karnataka 575004</t>
  </si>
  <si>
    <t>Dr Kurunji Vengataramana Gowda (KVG) Medical College &amp; Hospital, Sullia, Mangalore.</t>
  </si>
  <si>
    <t>Court Rd, Kurunjibhag, Sullia, Karnataka 574327</t>
  </si>
  <si>
    <t>Yenopoya Medical College Hospital, Deralakatte, Mangalore.</t>
  </si>
  <si>
    <t>University Road, Deralakatte, Ullal, Karnataka 575018</t>
  </si>
  <si>
    <t>Srinivas Institute of Medical Sciences and Research Centre, Mukka, Mangalore.</t>
  </si>
  <si>
    <t>Mukka, Surathkal, Mangaluru, Karnataka 574146</t>
  </si>
  <si>
    <t>Sree Gokulam Medical College &amp; Research Foundation</t>
  </si>
  <si>
    <t>Aalamthara - Bhoothamadakki Rd, Venjarammoodu, Nellanad, Kerala 695607</t>
  </si>
  <si>
    <t>Dr. Vithalrao Vikhe Patil Medical College &amp; Hospital, Ahmednagar</t>
  </si>
  <si>
    <t>Post, near Government Milk Dairy, Vilad Ghat, Ahmednagar, Pimpalgaon Malvi, Maharashtra 414111</t>
  </si>
  <si>
    <t>Mahatma Gandhi Memorial (MGM) Medical College &amp; Hospital, Aurangabad</t>
  </si>
  <si>
    <t>Gate No. 2 , MGM Campus, N-6, Cidco, Aurangabad, Maharashtra 431003</t>
  </si>
  <si>
    <t>Annasaheb Chudaman Patil Memorial (ACPM) Medical College, Dhule</t>
  </si>
  <si>
    <t>ACPM Medical College, Sakri Rd, near Morane, Morane, Dhule, Morane Pr. Laling, Maharashtra 424002</t>
  </si>
  <si>
    <t>Dr. D.Y. Patil Medical College &amp; Hospital and Research Insitute, Kadamwadi, Kolhapur</t>
  </si>
  <si>
    <t>Dr. D. Y. Patil Medical College, Hospital &amp; Research Centre, Sant Tukaram Nagar, Pimpri, Pune 411018 Maharashtra, India.</t>
  </si>
  <si>
    <t>Maharashtra Institute of Medical Sciences and Research (MIMSR), Latur</t>
  </si>
  <si>
    <t>Vishwanathpuram, Latur, Maharashtra 413512</t>
  </si>
  <si>
    <t>All India Institute of Medical Science (AIIMS), Nagpur</t>
  </si>
  <si>
    <t>Plot No. 2, Sector - 20, MIHAN, Nagpur, Maharashtra, Pin: 441108</t>
  </si>
  <si>
    <t>Sau Mathurabai Bhausaheb Thorat Trust (SMBT) Insititute of Medical Sciences and Research Centre, Nashik</t>
  </si>
  <si>
    <t>Uttam Nagar, Nashik, Maharashtra 422010</t>
  </si>
  <si>
    <t xml:space="preserve"> MIMER Medical College &amp; Dr Bhausaheb Sardesai Talegaon Rural Hospital, Pune, Maharashtra</t>
  </si>
  <si>
    <t>Symbiosis Medical College for Women &amp; Hospital and Research Centre, Lavale, Pune</t>
  </si>
  <si>
    <t>Symbiosis Medical College For Women, Dnyan Marg, Mulshi Rd, Lavale, Pune Maharashtra 412115</t>
  </si>
  <si>
    <t>Ashwini Rural Medical College, Hospital &amp; Research Centre, Solapur</t>
  </si>
  <si>
    <t>At Post. Kumbhari,Tal. South Solapur, Dist. Solapur 413006.</t>
  </si>
  <si>
    <t>Mahaveer Institute of Medical Sciences and Research</t>
  </si>
  <si>
    <t>near RGPV, opposite Central Jail, Abbas Nagar, Gandhi Nagar, Bhopal, Bishan Khedi, Madhya Pradesh 462036</t>
  </si>
  <si>
    <t>Aurobindo Medical College, Indore</t>
  </si>
  <si>
    <t>Indore Ujjain State Highway,
Near MR 10 Crossing, Indore (M.P.), 453555</t>
  </si>
  <si>
    <t>ESI Medical College and Hospital</t>
  </si>
  <si>
    <t>ESIC MEDICAL COLLEGE and HOSPITAL, Ashok Pillar Road,K.K.Nagar, Chennai – 600 078</t>
  </si>
  <si>
    <t>Bhaarath Medical College and Hospital</t>
  </si>
  <si>
    <t>73, Agaram Main RdSelaiyur, Chennai, Tamil Nadu-600073.</t>
  </si>
  <si>
    <t>Govt. Cuddalore Medical College</t>
  </si>
  <si>
    <t>Annamalai Nagar, Chidambaram, Tamil Nadu 608002</t>
  </si>
  <si>
    <t>St. Peter's Medical College and Research Institute, Hosur, Dist. Krishnagiri</t>
  </si>
  <si>
    <t>Dr MGR Nagar, Near AERI Campus, Opp SIPCOT –II,
Hosur – 635130, Krishnagiri District</t>
  </si>
  <si>
    <t>F.H. Medical College &amp; Hospital, Etmadpur, Dist Agra</t>
  </si>
  <si>
    <t>NH-2, Near Railway Over Bridge, Etmadpur, Agra, Uttar Pradesh 283203</t>
  </si>
  <si>
    <t>Hind Institute of Medical Sciences, Safedabad, Dist Barbanki</t>
  </si>
  <si>
    <t>BRB</t>
  </si>
  <si>
    <t>Safedabad, Barabanki Road, Near Canal, Lucknow Metro, Uttar Pradesh 225003</t>
  </si>
  <si>
    <t>Rohilkhand Medical College &amp; Hospital, Bareilly</t>
  </si>
  <si>
    <t>Pilibhit Bye Pass Road, Bareilly, Uttar Pradesh 243006</t>
  </si>
  <si>
    <t>G.S. Medical college &amp; Hospital, Hapur</t>
  </si>
  <si>
    <t>G.S Medical College &amp; Hospital, Pilkhuwa, Hapur-245304. NH-24, Pilkhuwa, Distt- Hapur (U.P.)-245304</t>
  </si>
  <si>
    <t>Prasad Institute of Medical Sciences, Lucknow</t>
  </si>
  <si>
    <t>Sarai Shahzadi, Banthara, Kanpur Road, Lucknow 226401</t>
  </si>
  <si>
    <t>Career Institute of Medical Sciences &amp; Hospital, Lucknow</t>
  </si>
  <si>
    <t>IIM Road, Ghaila, Lucknow,Pin -226013</t>
  </si>
  <si>
    <t>Varun Arjun Medical College &amp; Rohilkhand Hospital, Banthra, Dist Shahjahanpur</t>
  </si>
  <si>
    <t>SJP</t>
  </si>
  <si>
    <t>Lucknow Rd, Village Banthara, District Shahjahanpur, Uttar Pradesh 242307</t>
  </si>
  <si>
    <t>Sub District Hospital, karanprayag</t>
  </si>
  <si>
    <t>CHA</t>
  </si>
  <si>
    <t>NH109, near Post office, Karnaprayag, Uttarakhand 246429</t>
  </si>
  <si>
    <t>Government Doon Medical College, Dehradun</t>
  </si>
  <si>
    <t>Dehrakhas, Patel Nagar, Dehradun, Uttarakhand 248001</t>
  </si>
  <si>
    <t>District Hospital, Baurari</t>
  </si>
  <si>
    <t>TGH</t>
  </si>
  <si>
    <t>Old Tehri Rd, Baurari, New Tehri, Uttarakhand 249001</t>
  </si>
  <si>
    <t>IQ City Medical College And Hospital, Paschim Bardhaman, Durgapur</t>
  </si>
  <si>
    <t>IQ City Rd, Durgapur, West Bengal 713206</t>
  </si>
  <si>
    <t>Deben Mahata Government Medical College &amp; Hospital, Purulia</t>
  </si>
  <si>
    <t>PRL</t>
  </si>
  <si>
    <t>Deben Mahata Government Medical College &amp; Hospital, Hatuara, Gurguria, Purulia - 723147</t>
  </si>
  <si>
    <t>Raiganj Govt. Medical College and Hospital, Uttar Dinajpur</t>
  </si>
  <si>
    <t>DR. B. C. ROY SARANI, RAIGANJ, UTTAR DINAJPUR, PIN-733134, WEST BENGAL</t>
  </si>
  <si>
    <r>
      <rPr>
        <b/>
        <u/>
        <sz val="8"/>
        <color theme="1"/>
        <rFont val="Verdana"/>
        <family val="2"/>
      </rPr>
      <t>9.4 Out of 9.3</t>
    </r>
    <r>
      <rPr>
        <sz val="8"/>
        <color theme="1"/>
        <rFont val="Verdana"/>
        <family val="2"/>
      </rPr>
      <t xml:space="preserve"> Number of viral load tests result received during the reporting month is virally suppressed.</t>
    </r>
  </si>
  <si>
    <t>PLHIV on ART with suppressed Viral load 
(based on latest result) within the last 12 months</t>
  </si>
  <si>
    <t>PLHIV alive and on ART eligible for VL testing 
(PLHIV those who have completed six-month on 
ART) at the end of the reporting quarter.</t>
  </si>
  <si>
    <t xml:space="preserve">PLHIV on ART with a VL result documented within 
the last 12 months. </t>
  </si>
  <si>
    <t xml:space="preserve">
Sir J. J. Hospital, 
OPD No 45 OPD Building, Ground floor, Near Gate No 6, Sir J. J. road, Byculla, Mumbai-400 008.</t>
  </si>
  <si>
    <t xml:space="preserve">
Sir J. J. Hospital, 
Ground floor, OPD No 50, Main OPD Building, Near Gate No 6, Sir J. J. road, Byculla, Mumbai-400 008</t>
  </si>
  <si>
    <t xml:space="preserve">Seth G. S. Medical College &amp; KEM  Hospital, OPD no 222,
Multistorey Building, Ground Floor.Acharya Donde road,Parel, Mumbai- 400012 </t>
  </si>
  <si>
    <t>B.Y. Nair Hospital, OPD no 49,OPD  Building, 4th floor, Dr. A.L Marg,Mumbai Central -400 008</t>
  </si>
  <si>
    <t>LTMMC &amp; LTMG Hospital,
Mortuary building/ MRO Building 4th  Floor, Room no- No. 405 &amp; 406, Behind College Building, Sion, Mumbai - 400 022.</t>
  </si>
  <si>
    <t xml:space="preserve">
LTMMC &amp; LTMG Hospital, Room no 405 &amp;406
MRO/Mortury Building, 4th floor, Sion, Mumbai - 400 022</t>
  </si>
  <si>
    <t>Pandit Madan Mohan Malaviya Shatabdi Hospital, 
OPD-19, Ground floor, Waman Tukaram Patil Marg, Near Dukes Company, Govandi, Mumbai- 400 088.</t>
  </si>
  <si>
    <t xml:space="preserve">
H. B. T. Trauma Care Municipal Hospital, Room no 505
5th Floor, Western Express Highway, Opp. SRPF Camps, Bandrekar Wadi, Jogeshwari East, Mumbai - 400 060
</t>
  </si>
  <si>
    <t>Municipal Mulund Maternity Home, 
Mahatma Gandhi Road, Opposite Kirti Mahal Hotel, 5 Rasta,
Mulund (W), Mumbai, 400 080.</t>
  </si>
  <si>
    <t>1st Floor, Koldongari Municipal Dispensary, Opp. Garware , Sahar Road, Andheri (E), Mumbai-400 069</t>
  </si>
  <si>
    <t>Godrej Memorial Hospital, 
Near Gate No 2, Pirojshanagar, Vikhroli (East) Mumbai-400079.</t>
  </si>
  <si>
    <t>Bhartaratna Dr. Babasaheb Ambedkar Hospital, 
Kandivali, OPD No 10, A Wing, Ground floor, Parekh nagar, S.V. road, Kandivali (W) Mumbai 400 067.</t>
  </si>
  <si>
    <t>Dr. R. N.Cooper Hospital, 
OPD no. B/8, Basement, Juhu, Vile Parle (W), Mumbai-400 056</t>
  </si>
  <si>
    <t>K. B. Bhabha Hospital, Bandra
Ground floor, OPD No 1, Behind Municipal Bank, R.K. Patkar Marg, Bandra (W), Mumbai-400050</t>
  </si>
  <si>
    <t>Seth V.C Gandhi &amp; M. A. Vora Municipal General Hospital,
OPD Building., OPD NO-21, 2nd floor, Rajawadi, Ghatkoper-(E), Mumbai-400 077</t>
  </si>
  <si>
    <t xml:space="preserve">
Port Trust Hospital, 
Ground Floor, OPD No 11, Near Shakti Clinic, Wadala East, Mumbai 400 037.</t>
  </si>
  <si>
    <t>Municipal STD Clinic ART Center
M.H. Compound, 1st floor, Behind Ozone Biz Center, Beside Maharashtra College, J.B.B. Marg, Nagpada, Mumbai - 400 008.</t>
  </si>
  <si>
    <t>Group of TB Hospitals,
OPD No. 19A, Shakti ClinicBai Jerbai Wadia Road, Sewree, Mumbai-400015.</t>
  </si>
  <si>
    <t>Bai Jerbai Wadia Hospital for Children (BJWHC), 
New wing building, OPD no-20, Ground floor  Acharya Donde Marg, Parel,Mumbai, Maharashtra 400012</t>
  </si>
  <si>
    <t>K.J. Somaiya Medical College &amp; Hospital
OPD Building, 1st floor Micro Biology Department, K.J. Somaiya Hospital &amp; Research Centre, Sion, Mumbai-400 022</t>
  </si>
  <si>
    <r>
      <rPr>
        <b/>
        <sz val="8"/>
        <color theme="1"/>
        <rFont val="Verdana"/>
        <family val="2"/>
      </rPr>
      <t>4.a.3</t>
    </r>
    <r>
      <rPr>
        <sz val="8"/>
        <color theme="1"/>
        <rFont val="Verdana"/>
        <family val="2"/>
      </rPr>
      <t xml:space="preserve"> Out of 4a.1, number of pregnant women eligible for viral load test at 32-36 week of gestation.</t>
    </r>
  </si>
  <si>
    <r>
      <rPr>
        <b/>
        <u/>
        <sz val="8"/>
        <rFont val="Verdana"/>
        <family val="2"/>
      </rPr>
      <t>9.3</t>
    </r>
    <r>
      <rPr>
        <b/>
        <sz val="8"/>
        <rFont val="Verdana"/>
        <family val="2"/>
      </rPr>
      <t xml:space="preserve"> </t>
    </r>
    <r>
      <rPr>
        <sz val="8"/>
        <rFont val="Verdana"/>
        <family val="2"/>
      </rPr>
      <t>Number of viral load tests result received during the reporting month</t>
    </r>
  </si>
  <si>
    <t>Bhoi</t>
  </si>
  <si>
    <t>PA Sangma International Medical College and Hospital in University of Science and Technology</t>
  </si>
  <si>
    <t>Techno City, Killing Road, Baridua, Meghalaya 793101</t>
  </si>
  <si>
    <t>ART-MG-BHI-01</t>
  </si>
  <si>
    <t>ART-TN-CBE-03</t>
  </si>
  <si>
    <t>KMCH, Institute of Health Sciences and research, Coimbatore</t>
  </si>
  <si>
    <t>99 A, Avinashi Road, Coimbatore - 641014, Tamil Nadu, India</t>
  </si>
  <si>
    <t>ART-AS-GUW-01</t>
  </si>
  <si>
    <t>Guwahati</t>
  </si>
  <si>
    <t>All India Institute of Medical Sciences(AIIMS)</t>
  </si>
  <si>
    <t>GUW</t>
  </si>
  <si>
    <t>Silbharal Changsari, Guwahati, Assam 781101</t>
  </si>
  <si>
    <t>ART-KA-RAM-02</t>
  </si>
  <si>
    <t>Sri Chamundeshwari Medical Hospital &amp; Research Institute, Ramanagar, Karnataka</t>
  </si>
  <si>
    <t>29/1, 2 &amp;3, Dabanagunda Village, Channapatna Taluk, Dist, Ramanagara, Channapatna, Karnataka 562160</t>
  </si>
  <si>
    <t>ART-PB-PTK-02</t>
  </si>
  <si>
    <t>Gian Sagar Medical College</t>
  </si>
  <si>
    <t>Ram Nagar, Rajpura, Jansla, Punjab 140506</t>
  </si>
  <si>
    <t>ART-RJ-UDP-05</t>
  </si>
  <si>
    <t>Pacific Medical College</t>
  </si>
  <si>
    <t>Pacific Medical College &amp; Hospital Bhilon ka Bedla, Pratappura,Udaipur Rajasthan-313024</t>
  </si>
  <si>
    <t>ART-SI-GAN-01</t>
  </si>
  <si>
    <t>Sikkim Manipal Institute of Medical Sciences and Central Referral Hospital (SMIMS &amp; CRH)</t>
  </si>
  <si>
    <t>GAN</t>
  </si>
  <si>
    <t>5th Mile, NH 31A, Tadong, Tadong, Gangtok, Sikkim 737102</t>
  </si>
  <si>
    <t>ART-TN-NAM-04</t>
  </si>
  <si>
    <t>Swami Vivekananda Medical College and Research Institute</t>
  </si>
  <si>
    <t>Unjanai, Elayampalayam, DT, Tiruchengode, Tamil Nadu 637205</t>
  </si>
  <si>
    <t>ART-UP-LNO-05</t>
  </si>
  <si>
    <t>Era's Lucknow Medical College and Hospital, Lucknow, Uttar Pradesh</t>
  </si>
  <si>
    <t>Tondan Marg, Sarfarazganj, Lucknow, Uttar Pradesh 226003</t>
  </si>
  <si>
    <t>ART-UP-AMH-01</t>
  </si>
  <si>
    <t>Amroha</t>
  </si>
  <si>
    <t>Venkateshwara Institute of Medical Sciences</t>
  </si>
  <si>
    <t>AMH</t>
  </si>
  <si>
    <t>Rajabpur, Jyotiba Phule Nagar, NH-24, Jyotiba Phule Nagar, Jyotiba Phule Nagar, Uttar Pradesh 244236</t>
  </si>
  <si>
    <t>ART-GJ-SRN-02</t>
  </si>
  <si>
    <t>C.U.Shah Medical College and Hospital</t>
  </si>
  <si>
    <t>Dudhrej Rd, Laxminarayan Society, Surendranagar, Gujarat 363001</t>
  </si>
  <si>
    <t>ART-KL-KLM-02</t>
  </si>
  <si>
    <t>N H bypass Mylapore, Thattamala, P. O, Kollam, Kerala 691020</t>
  </si>
  <si>
    <t>Travancore Medical College Hospital</t>
  </si>
  <si>
    <t>ART-HR-ABL-03</t>
  </si>
  <si>
    <t>Ambala - Chandigarh Expy, near Omaxe Flats, Sadopur, Ambala, Haryana 134007</t>
  </si>
  <si>
    <t>ART-UP-KPN-02</t>
  </si>
  <si>
    <t>Rama Medical College Hospital &amp; Research centre</t>
  </si>
  <si>
    <t>NH-24 Delhi- Hapur Highway, Pilkhuwa, Hapur, Uttar Pradesh 245304</t>
  </si>
  <si>
    <t>ART-JH-PAL-01</t>
  </si>
  <si>
    <t>Palamau</t>
  </si>
  <si>
    <t>Bisrampur, Kosiar, Jharkhand 822132</t>
  </si>
  <si>
    <t xml:space="preserve">Laxmi Chandravanshi Medical College </t>
  </si>
  <si>
    <t>ART-KL-TRM-03</t>
  </si>
  <si>
    <t>Sree Uthradom Thirunal Academy of Medical Sciences (SUTAMS)</t>
  </si>
  <si>
    <t>SUT Academy of Medical Sciences, Vencod, Vattappara, Thiruvananthapuram, Kerala - 695 028</t>
  </si>
  <si>
    <t>FIARTC Poly Clinic, Ambala</t>
  </si>
  <si>
    <t>Poly Clinic Sector- 10, Ambala, Haryana</t>
  </si>
  <si>
    <t>ARTC Medical College MMIMSR, Ambala</t>
  </si>
  <si>
    <t>FIARTC Civil Hospital, Bhiwani</t>
  </si>
  <si>
    <t>ARTC Al-Falah School of Medical Science &amp; Research Centre. Faridabad</t>
  </si>
  <si>
    <t>ART ESIC Medical College &amp; Hospital, Faridabad</t>
  </si>
  <si>
    <t>ARTC ESI Hospital, Faridabad</t>
  </si>
  <si>
    <t>ARTC Civil Hospital, Gurugram</t>
  </si>
  <si>
    <t>ARTC SGT Medical College, Gurugram</t>
  </si>
  <si>
    <t>ARTC MAMC, Agoha, Hisar</t>
  </si>
  <si>
    <t>ARTC Civil Hospital, Hisar</t>
  </si>
  <si>
    <t>ARTC Civil Hospital Bahadurgarh, Jhajjar</t>
  </si>
  <si>
    <t>ARTC World College of Medical Sciences &amp; Research &amp; Hospital, Jhajjar</t>
  </si>
  <si>
    <t>FIARTC Civil Hopsital, Jind</t>
  </si>
  <si>
    <t>ARTC  Civil Hopsital, Kaithal</t>
  </si>
  <si>
    <t>ARTC Kalpana Chawla Government Medical College (KCGMC), Karnal</t>
  </si>
  <si>
    <t xml:space="preserve">ARTC  Civil Hopsital, Karnal </t>
  </si>
  <si>
    <t>ARTC Adesh Medical College &amp; Hospital, Kurukshetra</t>
  </si>
  <si>
    <t xml:space="preserve">ARTC Civil Hospital, Kurukshetra </t>
  </si>
  <si>
    <t>ARTC Shaheed Hasan Khan Mewati, Govt. Medical College. Mewat</t>
  </si>
  <si>
    <t>Panchkula</t>
  </si>
  <si>
    <t>ARTC, Poly Clinic Panchkula</t>
  </si>
  <si>
    <t>Sector 26, Panchkula, Haryana 134108</t>
  </si>
  <si>
    <t>ARTC N.C. Medical College &amp; Hospital, Panipat</t>
  </si>
  <si>
    <t xml:space="preserve">ARTC Civil Hospital Panipat </t>
  </si>
  <si>
    <t>ARTC Civil Hospital, Rewari</t>
  </si>
  <si>
    <t>Near Civil hospital, Kayasthwara Mohalla, Rewari, Haryana 123401</t>
  </si>
  <si>
    <t>ARTC  PGIMS, Rohtak</t>
  </si>
  <si>
    <t>FIARTC Civil Hospital, Sirsa</t>
  </si>
  <si>
    <t>ARTC BPS Govt. Medical College for Women, Khanpur Kalan, Sonepat</t>
  </si>
  <si>
    <t>FIARTC Civil Hospital, Sonipat</t>
  </si>
  <si>
    <t>2396, SH 6, Ward No 26, Shanti Nagar, Thanesar,  Haryana 136118</t>
  </si>
  <si>
    <t>ARTC MMIMSR, Sadopur</t>
  </si>
  <si>
    <t>ART-TE-KMR-04</t>
  </si>
  <si>
    <t>ART-HP-BIL-02</t>
  </si>
  <si>
    <t>AIIMS Bilaspur</t>
  </si>
  <si>
    <t>Solan</t>
  </si>
  <si>
    <t>Maharishi Markandeshwar Medical College</t>
  </si>
  <si>
    <t>Maharishi Markandeshwar Medical College &amp; Hospital, Kumarhatti-Solan</t>
  </si>
  <si>
    <t>ART-HP-SLN-01</t>
  </si>
  <si>
    <t>SLN</t>
  </si>
  <si>
    <t>ART-UT-DDN-07</t>
  </si>
  <si>
    <t>Graphic Era Institute of Medical Sciences</t>
  </si>
  <si>
    <t>16th Milestone, Chakrata Rd, Dehradun, Dhulkot Mafi, Uttarakhand 248008</t>
  </si>
  <si>
    <t>Shija Academy of Health Sciences</t>
  </si>
  <si>
    <t>ART-MN-WIM-02</t>
  </si>
  <si>
    <t>Meitei Langol, Lamphelpat, Imphal, Manipur 795004</t>
  </si>
  <si>
    <t>Apollo Institute of Medical Sciences</t>
  </si>
  <si>
    <t>Malla Reddy Medical College</t>
  </si>
  <si>
    <t>Malla Reddy Medical College for Women, Suraram X Road, Quthbullapur, Hyderabad - 500055</t>
  </si>
  <si>
    <t>Kamineni, Hyderabad</t>
  </si>
  <si>
    <t>Nalgonda Road near Andhra Bank Suryodaya Colony Bahadurguda, LB Nagar, Hyderabad - 500068</t>
  </si>
  <si>
    <t>Prathima Institute of Medical Sciences</t>
  </si>
  <si>
    <t>Prathima Institute of Medical Sciences, Nagunur, Karimnagar - 505417</t>
  </si>
  <si>
    <t>S.V.S. Medical College</t>
  </si>
  <si>
    <t>Hyderabad Road, Yenugonda, Mahabub Nagar, Andhra Pradesh 509001</t>
  </si>
  <si>
    <t>RVM Institute of Medical Sciences</t>
  </si>
  <si>
    <t>RVM Institute of Medical Sciences, Laxmakkapally Village, Mulugu Mandal, Siddipet Dist - 502279</t>
  </si>
  <si>
    <t>ART-TE-RGY-02</t>
  </si>
  <si>
    <t>Bhaskar Medical College</t>
  </si>
  <si>
    <t>Bhaskar Medical College, Yenkepally (Village), Moinabad (Mandal), Ranga Reddy - 500 075</t>
  </si>
  <si>
    <t>ART-TE-NGD-03</t>
  </si>
  <si>
    <t>Kamineni, Narketpally</t>
  </si>
  <si>
    <t>Kamineni Institute of Medical Sciences, Sreepuram, Narketpally, Nalgonda - 508 254</t>
  </si>
  <si>
    <t>lrsartcentre@yahoo.com</t>
  </si>
  <si>
    <t>nitrdreports@gmail.com</t>
  </si>
  <si>
    <t>Dr. Puja Sihna</t>
  </si>
  <si>
    <t>Nasreen Begum</t>
  </si>
  <si>
    <t>Niraj Dubey &amp; Bhagwati</t>
  </si>
  <si>
    <t>Vinit</t>
  </si>
  <si>
    <t>Satpal</t>
  </si>
  <si>
    <t>Arjun &amp; Tulsi</t>
  </si>
  <si>
    <t>Vijay CCC</t>
  </si>
  <si>
    <t>Q -4 (Jan. to March)</t>
  </si>
  <si>
    <t>Dr. Poulomi Chaterjee</t>
  </si>
  <si>
    <r>
      <rPr>
        <b/>
        <sz val="8"/>
        <color indexed="8"/>
        <rFont val="Verdana"/>
        <family val="2"/>
      </rPr>
      <t>19</t>
    </r>
    <r>
      <rPr>
        <sz val="8"/>
        <color indexed="8"/>
        <rFont val="Verdana"/>
        <family val="2"/>
      </rPr>
      <t xml:space="preserve"> Others (Specify .Malluscan..)</t>
    </r>
  </si>
  <si>
    <r>
      <rPr>
        <b/>
        <sz val="8"/>
        <color indexed="8"/>
        <rFont val="Verdana"/>
        <family val="2"/>
      </rPr>
      <t xml:space="preserve">20 </t>
    </r>
    <r>
      <rPr>
        <sz val="8"/>
        <color indexed="8"/>
        <rFont val="Verdana"/>
        <family val="2"/>
      </rPr>
      <t>Others (Specify ..Aspergiulosis.)</t>
    </r>
  </si>
  <si>
    <t>Nov</t>
  </si>
  <si>
    <r>
      <rPr>
        <b/>
        <sz val="8"/>
        <color theme="1"/>
        <rFont val="Verdana"/>
        <family val="2"/>
      </rPr>
      <t>17</t>
    </r>
    <r>
      <rPr>
        <sz val="8"/>
        <color theme="1"/>
        <rFont val="Verdana"/>
        <family val="2"/>
      </rPr>
      <t xml:space="preserve"> Others (Specify UTI...)</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</si>
</sst>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00000"/>
    <numFmt numFmtId="166" formatCode="0.0%"/>
    <numFmt numFmtId="167" formatCode="_-* #,##0.00\ &quot;$&quot;_-;\-* #,##0.00\ &quot;$&quot;_-;_-* &quot;-&quot;??\ &quot;$&quot;_-;_-@_-"/>
  </numFmts>
  <fonts count="75" x14ac:knownFonts="1">
    <font>
      <sz val="11"/>
      <color theme="1"/>
      <name val="Calibri"/>
      <family val="2"/>
      <scheme val="minor"/>
    </font>
    <font>
      <sz val="10"/>
      <name val="Arial"/>
      <family val="2"/>
    </font>
    <font>
      <b/>
      <sz val="8"/>
      <color indexed="8"/>
      <name val="Verdana"/>
      <family val="2"/>
    </font>
    <font>
      <sz val="8"/>
      <color indexed="8"/>
      <name val="Verdana"/>
      <family val="2"/>
    </font>
    <font>
      <b/>
      <sz val="9"/>
      <name val="Verdana"/>
      <family val="2"/>
    </font>
    <font>
      <b/>
      <sz val="8"/>
      <name val="Verdana"/>
      <family val="2"/>
    </font>
    <font>
      <sz val="8"/>
      <name val="Verdana"/>
      <family val="2"/>
    </font>
    <font>
      <b/>
      <sz val="9"/>
      <color theme="1"/>
      <name val="Verdana"/>
      <family val="2"/>
    </font>
    <font>
      <sz val="8"/>
      <color theme="1"/>
      <name val="Verdana"/>
      <family val="2"/>
    </font>
    <font>
      <b/>
      <sz val="8"/>
      <color theme="1"/>
      <name val="Verdana"/>
      <family val="2"/>
    </font>
    <font>
      <u/>
      <sz val="10"/>
      <color indexed="12"/>
      <name val="Arial"/>
      <family val="2"/>
    </font>
    <font>
      <b/>
      <sz val="10"/>
      <color theme="5" tint="-0.249977111117893"/>
      <name val="Verdana"/>
      <family val="2"/>
    </font>
    <font>
      <b/>
      <sz val="8"/>
      <color theme="3" tint="-0.249977111117893"/>
      <name val="Verdana"/>
      <family val="2"/>
    </font>
    <font>
      <b/>
      <sz val="10"/>
      <color theme="1"/>
      <name val="Verdana"/>
      <family val="2"/>
    </font>
    <font>
      <sz val="10"/>
      <color theme="1"/>
      <name val="Verdana"/>
      <family val="2"/>
    </font>
    <font>
      <sz val="8"/>
      <color theme="1"/>
      <name val="Arial"/>
      <family val="2"/>
    </font>
    <font>
      <sz val="8"/>
      <color theme="1"/>
      <name val="Calibri"/>
      <family val="2"/>
      <scheme val="minor"/>
    </font>
    <font>
      <b/>
      <u/>
      <sz val="8"/>
      <color indexed="8"/>
      <name val="Verdana"/>
      <family val="2"/>
    </font>
    <font>
      <u/>
      <sz val="8"/>
      <color indexed="8"/>
      <name val="Verdana"/>
      <family val="2"/>
    </font>
    <font>
      <b/>
      <sz val="11"/>
      <color theme="1"/>
      <name val="Calibri"/>
      <family val="2"/>
      <scheme val="minor"/>
    </font>
    <font>
      <b/>
      <sz val="12"/>
      <color theme="0"/>
      <name val="Verdana"/>
      <family val="2"/>
    </font>
    <font>
      <b/>
      <sz val="10"/>
      <color theme="0"/>
      <name val="Verdana"/>
      <family val="2"/>
    </font>
    <font>
      <sz val="10"/>
      <color theme="0"/>
      <name val="Verdana"/>
      <family val="2"/>
    </font>
    <font>
      <sz val="12"/>
      <color theme="1"/>
      <name val="Calibri"/>
      <family val="2"/>
      <scheme val="minor"/>
    </font>
    <font>
      <b/>
      <sz val="8"/>
      <color rgb="FF000000"/>
      <name val="Verdana"/>
      <family val="2"/>
    </font>
    <font>
      <sz val="8"/>
      <color rgb="FF000000"/>
      <name val="Verdana"/>
      <family val="2"/>
    </font>
    <font>
      <sz val="11"/>
      <color theme="1"/>
      <name val="Verdana"/>
      <family val="2"/>
    </font>
    <font>
      <b/>
      <sz val="10"/>
      <color rgb="FF000000"/>
      <name val="Verdana"/>
      <family val="2"/>
    </font>
    <font>
      <b/>
      <sz val="10"/>
      <name val="Verdana"/>
      <family val="2"/>
    </font>
    <font>
      <sz val="10"/>
      <name val="Calibri"/>
      <family val="2"/>
      <scheme val="minor"/>
    </font>
    <font>
      <b/>
      <sz val="12"/>
      <name val="Verdana"/>
      <family val="2"/>
    </font>
    <font>
      <sz val="12"/>
      <name val="Calibri"/>
      <family val="2"/>
      <scheme val="minor"/>
    </font>
    <font>
      <b/>
      <sz val="14"/>
      <color theme="0"/>
      <name val="Verdana"/>
      <family val="2"/>
    </font>
    <font>
      <sz val="10"/>
      <color theme="1"/>
      <name val="Calibri"/>
      <family val="2"/>
      <scheme val="minor"/>
    </font>
    <font>
      <b/>
      <sz val="10"/>
      <color indexed="8"/>
      <name val="Verdana"/>
      <family val="2"/>
    </font>
    <font>
      <b/>
      <u/>
      <sz val="8"/>
      <color rgb="FF000000"/>
      <name val="Verdana"/>
      <family val="2"/>
    </font>
    <font>
      <b/>
      <u/>
      <sz val="8"/>
      <color theme="1"/>
      <name val="Verdana"/>
      <family val="2"/>
    </font>
    <font>
      <b/>
      <i/>
      <sz val="10"/>
      <color rgb="FF000000"/>
      <name val="Verdana"/>
      <family val="2"/>
    </font>
    <font>
      <sz val="10"/>
      <name val="Verdana"/>
      <family val="2"/>
    </font>
    <font>
      <b/>
      <u/>
      <sz val="8"/>
      <name val="Verdana"/>
      <family val="2"/>
    </font>
    <font>
      <u/>
      <sz val="8"/>
      <color indexed="12"/>
      <name val="Verdana"/>
      <family val="2"/>
    </font>
    <font>
      <sz val="12"/>
      <name val="Verdana"/>
      <family val="2"/>
    </font>
    <font>
      <b/>
      <sz val="8"/>
      <color theme="0"/>
      <name val="Verdana"/>
      <family val="2"/>
    </font>
    <font>
      <b/>
      <sz val="8"/>
      <color indexed="9"/>
      <name val="Verdana"/>
      <family val="2"/>
    </font>
    <font>
      <b/>
      <sz val="8"/>
      <color indexed="16"/>
      <name val="Verdana"/>
      <family val="2"/>
    </font>
    <font>
      <b/>
      <sz val="8"/>
      <color theme="5" tint="-0.249977111117893"/>
      <name val="Verdana"/>
      <family val="2"/>
    </font>
    <font>
      <sz val="12"/>
      <color theme="1"/>
      <name val="Verdana"/>
      <family val="2"/>
    </font>
    <font>
      <b/>
      <sz val="11"/>
      <color theme="1"/>
      <name val="Verdana"/>
      <family val="2"/>
    </font>
    <font>
      <b/>
      <sz val="12"/>
      <color theme="1"/>
      <name val="Verdana"/>
      <family val="2"/>
    </font>
    <font>
      <sz val="8"/>
      <color rgb="FF222222"/>
      <name val="Verdana"/>
      <family val="2"/>
    </font>
    <font>
      <b/>
      <i/>
      <sz val="8"/>
      <color rgb="FFFF0000"/>
      <name val="Verdana"/>
      <family val="2"/>
    </font>
    <font>
      <b/>
      <sz val="8"/>
      <color rgb="FFFF0000"/>
      <name val="Verdana"/>
      <family val="2"/>
    </font>
    <font>
      <sz val="11"/>
      <color theme="0"/>
      <name val="Calibri"/>
      <family val="2"/>
      <scheme val="minor"/>
    </font>
    <font>
      <b/>
      <i/>
      <sz val="11"/>
      <color theme="1"/>
      <name val="Calibri"/>
      <family val="2"/>
      <scheme val="minor"/>
    </font>
    <font>
      <i/>
      <sz val="8"/>
      <color indexed="8"/>
      <name val="Verdana"/>
      <family val="2"/>
    </font>
    <font>
      <i/>
      <sz val="11"/>
      <color rgb="FFFF0000"/>
      <name val="Calibri"/>
      <family val="2"/>
      <scheme val="minor"/>
    </font>
    <font>
      <b/>
      <i/>
      <sz val="8"/>
      <color rgb="FF00B050"/>
      <name val="Verdana"/>
      <family val="2"/>
    </font>
    <font>
      <sz val="11"/>
      <color theme="1"/>
      <name val="Calibri"/>
      <family val="2"/>
      <scheme val="minor"/>
    </font>
    <font>
      <b/>
      <i/>
      <sz val="11"/>
      <color rgb="FFFF0000"/>
      <name val="Calibri"/>
      <family val="2"/>
      <scheme val="minor"/>
    </font>
    <font>
      <b/>
      <sz val="11"/>
      <color theme="0"/>
      <name val="Calibri"/>
      <family val="2"/>
      <scheme val="minor"/>
    </font>
    <font>
      <b/>
      <sz val="11"/>
      <name val="Calibri"/>
      <family val="2"/>
      <scheme val="minor"/>
    </font>
    <font>
      <sz val="11"/>
      <name val="Calibri"/>
      <family val="2"/>
      <scheme val="minor"/>
    </font>
    <font>
      <b/>
      <u/>
      <sz val="11"/>
      <color rgb="FF002060"/>
      <name val="Calibri"/>
      <family val="2"/>
      <scheme val="minor"/>
    </font>
    <font>
      <sz val="11"/>
      <color rgb="FF002060"/>
      <name val="Calibri"/>
      <family val="2"/>
      <scheme val="minor"/>
    </font>
    <font>
      <sz val="12"/>
      <color theme="1"/>
      <name val="Garamond"/>
      <family val="2"/>
    </font>
    <font>
      <u/>
      <sz val="12"/>
      <color theme="10"/>
      <name val="Garamond"/>
      <family val="2"/>
    </font>
    <font>
      <sz val="10"/>
      <color theme="1"/>
      <name val="Arial"/>
      <family val="2"/>
    </font>
    <font>
      <sz val="11"/>
      <color theme="1"/>
      <name val="Times New Roman"/>
      <family val="1"/>
    </font>
    <font>
      <b/>
      <sz val="8"/>
      <color rgb="FF000000"/>
      <name val="Arial"/>
      <family val="2"/>
    </font>
    <font>
      <sz val="8"/>
      <color rgb="FF000000"/>
      <name val="Arial"/>
      <family val="2"/>
    </font>
    <font>
      <b/>
      <sz val="8"/>
      <color theme="1"/>
      <name val="Arial"/>
      <family val="2"/>
    </font>
    <font>
      <i/>
      <sz val="8"/>
      <color theme="1"/>
      <name val="Times New Roman"/>
      <family val="1"/>
    </font>
    <font>
      <b/>
      <i/>
      <sz val="8"/>
      <color theme="1"/>
      <name val="Times New Roman"/>
      <family val="1"/>
    </font>
    <font>
      <sz val="11"/>
      <name val="Verdana"/>
      <family val="2"/>
    </font>
    <font>
      <b/>
      <sz val="11"/>
      <color theme="0"/>
      <name val="Verdana"/>
      <family val="2"/>
    </font>
  </fonts>
  <fills count="26">
    <fill>
      <patternFill patternType="none"/>
    </fill>
    <fill>
      <patternFill patternType="gray125"/>
    </fill>
    <fill>
      <patternFill patternType="solid">
        <fgColor rgb="FFFF000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0"/>
        <bgColor indexed="64"/>
      </patternFill>
    </fill>
    <fill>
      <patternFill patternType="solid">
        <fgColor indexed="22"/>
        <bgColor indexed="64"/>
      </patternFill>
    </fill>
    <fill>
      <patternFill patternType="solid">
        <fgColor theme="0" tint="-0.249977111117893"/>
        <bgColor indexed="64"/>
      </patternFill>
    </fill>
    <fill>
      <patternFill patternType="solid">
        <fgColor indexed="47"/>
        <bgColor indexed="64"/>
      </patternFill>
    </fill>
    <fill>
      <patternFill patternType="solid">
        <fgColor theme="7" tint="0.59999389629810485"/>
        <bgColor indexed="64"/>
      </patternFill>
    </fill>
    <fill>
      <patternFill patternType="solid">
        <fgColor theme="0" tint="-0.24994659260841701"/>
        <bgColor indexed="64"/>
      </patternFill>
    </fill>
    <fill>
      <patternFill patternType="solid">
        <fgColor rgb="FF92D050"/>
        <bgColor indexed="64"/>
      </patternFill>
    </fill>
    <fill>
      <patternFill patternType="solid">
        <fgColor rgb="FF002060"/>
        <bgColor indexed="64"/>
      </patternFill>
    </fill>
    <fill>
      <patternFill patternType="solid">
        <fgColor theme="0" tint="-4.9989318521683403E-2"/>
        <bgColor indexed="64"/>
      </patternFill>
    </fill>
    <fill>
      <patternFill patternType="solid">
        <fgColor rgb="FFFFFFFF"/>
        <bgColor indexed="64"/>
      </patternFill>
    </fill>
    <fill>
      <patternFill patternType="solid">
        <fgColor rgb="FF00B0F0"/>
        <bgColor indexed="64"/>
      </patternFill>
    </fill>
    <fill>
      <patternFill patternType="solid">
        <fgColor theme="0" tint="-4.9989318521683403E-2"/>
        <bgColor indexed="39"/>
      </patternFill>
    </fill>
    <fill>
      <patternFill patternType="solid">
        <fgColor theme="0" tint="-0.34998626667073579"/>
        <bgColor indexed="64"/>
      </patternFill>
    </fill>
    <fill>
      <patternFill patternType="solid">
        <fgColor theme="1" tint="0.34998626667073579"/>
        <bgColor indexed="64"/>
      </patternFill>
    </fill>
    <fill>
      <patternFill patternType="solid">
        <fgColor theme="3" tint="0.39997558519241921"/>
        <bgColor indexed="64"/>
      </patternFill>
    </fill>
    <fill>
      <patternFill patternType="solid">
        <fgColor rgb="FFC00000"/>
        <bgColor indexed="64"/>
      </patternFill>
    </fill>
    <fill>
      <patternFill patternType="solid">
        <fgColor rgb="FFFFFF00"/>
        <bgColor indexed="64"/>
      </patternFill>
    </fill>
    <fill>
      <patternFill patternType="solid">
        <fgColor rgb="FFFDE9D9"/>
        <bgColor indexed="64"/>
      </patternFill>
    </fill>
    <fill>
      <patternFill patternType="solid">
        <fgColor theme="0" tint="-0.14999847407452621"/>
        <bgColor indexed="64"/>
      </patternFill>
    </fill>
    <fill>
      <patternFill patternType="solid">
        <fgColor theme="3" tint="0.59999389629810485"/>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top style="thin">
        <color indexed="64"/>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style="thin">
        <color indexed="64"/>
      </left>
      <right/>
      <top/>
      <bottom/>
      <diagonal/>
    </border>
    <border>
      <left/>
      <right style="thin">
        <color theme="0"/>
      </right>
      <top/>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0"/>
      </top>
      <bottom/>
      <diagonal/>
    </border>
    <border>
      <left style="thin">
        <color theme="1"/>
      </left>
      <right style="thin">
        <color theme="0"/>
      </right>
      <top/>
      <bottom style="thin">
        <color theme="0"/>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theme="1"/>
      </left>
      <right style="thin">
        <color theme="1"/>
      </right>
      <top/>
      <bottom/>
      <diagonal/>
    </border>
    <border>
      <left/>
      <right/>
      <top style="thin">
        <color theme="1"/>
      </top>
      <bottom style="thin">
        <color theme="1"/>
      </bottom>
      <diagonal/>
    </border>
    <border>
      <left style="thin">
        <color indexed="64"/>
      </left>
      <right/>
      <top style="thin">
        <color theme="1"/>
      </top>
      <bottom style="thin">
        <color indexed="64"/>
      </bottom>
      <diagonal/>
    </border>
    <border>
      <left/>
      <right/>
      <top style="thin">
        <color theme="1"/>
      </top>
      <bottom style="thin">
        <color indexed="64"/>
      </bottom>
      <diagonal/>
    </border>
    <border>
      <left/>
      <right style="thin">
        <color indexed="64"/>
      </right>
      <top style="thin">
        <color theme="1"/>
      </top>
      <bottom style="thin">
        <color indexed="64"/>
      </bottom>
      <diagonal/>
    </border>
    <border>
      <left style="thin">
        <color indexed="64"/>
      </left>
      <right style="thin">
        <color theme="0"/>
      </right>
      <top style="thin">
        <color theme="0"/>
      </top>
      <bottom/>
      <diagonal/>
    </border>
    <border>
      <left style="thin">
        <color indexed="64"/>
      </left>
      <right style="thin">
        <color theme="0"/>
      </right>
      <top/>
      <bottom/>
      <diagonal/>
    </border>
    <border>
      <left style="thin">
        <color indexed="64"/>
      </left>
      <right style="thin">
        <color theme="0"/>
      </right>
      <top/>
      <bottom style="thin">
        <color theme="0"/>
      </bottom>
      <diagonal/>
    </border>
    <border>
      <left style="thin">
        <color theme="1"/>
      </left>
      <right style="thin">
        <color theme="0"/>
      </right>
      <top/>
      <bottom/>
      <diagonal/>
    </border>
    <border>
      <left style="thin">
        <color indexed="64"/>
      </left>
      <right style="thin">
        <color theme="1"/>
      </right>
      <top style="thin">
        <color indexed="64"/>
      </top>
      <bottom/>
      <diagonal/>
    </border>
    <border>
      <left style="thin">
        <color indexed="64"/>
      </left>
      <right style="thin">
        <color theme="1"/>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right style="thin">
        <color theme="1"/>
      </right>
      <top style="thin">
        <color theme="1"/>
      </top>
      <bottom/>
      <diagonal/>
    </border>
    <border>
      <left style="thin">
        <color theme="1"/>
      </left>
      <right/>
      <top style="thin">
        <color indexed="64"/>
      </top>
      <bottom style="thin">
        <color theme="1"/>
      </bottom>
      <diagonal/>
    </border>
    <border>
      <left/>
      <right style="thin">
        <color indexed="64"/>
      </right>
      <top style="thin">
        <color indexed="64"/>
      </top>
      <bottom style="thin">
        <color theme="1"/>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theme="1"/>
      </right>
      <top style="thin">
        <color indexed="64"/>
      </top>
      <bottom style="thin">
        <color theme="1"/>
      </bottom>
      <diagonal/>
    </border>
    <border>
      <left/>
      <right/>
      <top style="thin">
        <color indexed="64"/>
      </top>
      <bottom style="thin">
        <color theme="1"/>
      </bottom>
      <diagonal/>
    </border>
    <border>
      <left/>
      <right/>
      <top style="thin">
        <color theme="1"/>
      </top>
      <bottom/>
      <diagonal/>
    </border>
    <border>
      <left style="thin">
        <color theme="1"/>
      </left>
      <right/>
      <top/>
      <bottom/>
      <diagonal/>
    </border>
    <border>
      <left style="thin">
        <color theme="1"/>
      </left>
      <right/>
      <top/>
      <bottom style="thin">
        <color indexed="64"/>
      </bottom>
      <diagonal/>
    </border>
    <border>
      <left/>
      <right style="thin">
        <color indexed="64"/>
      </right>
      <top style="thin">
        <color theme="1"/>
      </top>
      <bottom/>
      <diagonal/>
    </border>
    <border>
      <left style="thin">
        <color indexed="64"/>
      </left>
      <right style="thin">
        <color theme="0"/>
      </right>
      <top style="thin">
        <color theme="0"/>
      </top>
      <bottom style="thin">
        <color theme="0"/>
      </bottom>
      <diagonal/>
    </border>
    <border>
      <left/>
      <right style="thin">
        <color theme="1"/>
      </right>
      <top/>
      <bottom/>
      <diagonal/>
    </border>
    <border>
      <left style="thin">
        <color theme="1"/>
      </left>
      <right/>
      <top/>
      <bottom style="thin">
        <color theme="1"/>
      </bottom>
      <diagonal/>
    </border>
    <border>
      <left/>
      <right style="thin">
        <color theme="1"/>
      </right>
      <top/>
      <bottom style="thin">
        <color theme="1"/>
      </bottom>
      <diagonal/>
    </border>
    <border>
      <left style="thin">
        <color theme="0"/>
      </left>
      <right style="thin">
        <color theme="0"/>
      </right>
      <top/>
      <bottom/>
      <diagonal/>
    </border>
    <border>
      <left style="thin">
        <color rgb="FF002060"/>
      </left>
      <right style="thin">
        <color rgb="FF002060"/>
      </right>
      <top style="thin">
        <color rgb="FF002060"/>
      </top>
      <bottom style="thin">
        <color rgb="FF002060"/>
      </bottom>
      <diagonal/>
    </border>
    <border>
      <left style="thin">
        <color theme="0"/>
      </left>
      <right/>
      <top style="thin">
        <color theme="0"/>
      </top>
      <bottom/>
      <diagonal/>
    </border>
    <border>
      <left/>
      <right/>
      <top style="thin">
        <color theme="0"/>
      </top>
      <bottom/>
      <diagonal/>
    </border>
    <border>
      <left style="thin">
        <color rgb="FF002060"/>
      </left>
      <right style="thin">
        <color rgb="FF002060"/>
      </right>
      <top/>
      <bottom style="thin">
        <color rgb="FF002060"/>
      </bottom>
      <diagonal/>
    </border>
    <border>
      <left/>
      <right/>
      <top style="thin">
        <color theme="0"/>
      </top>
      <bottom style="thin">
        <color theme="0"/>
      </bottom>
      <diagonal/>
    </border>
    <border>
      <left/>
      <right style="thin">
        <color theme="0"/>
      </right>
      <top/>
      <bottom style="thin">
        <color theme="0"/>
      </bottom>
      <diagonal/>
    </border>
    <border>
      <left/>
      <right/>
      <top/>
      <bottom style="thin">
        <color theme="1"/>
      </bottom>
      <diagonal/>
    </border>
    <border>
      <left/>
      <right style="thin">
        <color theme="1"/>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9">
    <xf numFmtId="0" fontId="0" fillId="0" borderId="0"/>
    <xf numFmtId="0" fontId="1" fillId="0" borderId="0"/>
    <xf numFmtId="0" fontId="10" fillId="0" borderId="0" applyNumberFormat="0" applyFill="0" applyBorder="0" applyAlignment="0" applyProtection="0">
      <alignment vertical="top"/>
      <protection locked="0"/>
    </xf>
    <xf numFmtId="0" fontId="1" fillId="0" borderId="0"/>
    <xf numFmtId="0" fontId="1" fillId="0" borderId="0"/>
    <xf numFmtId="9" fontId="57" fillId="0" borderId="0" applyFont="0" applyFill="0" applyBorder="0" applyAlignment="0" applyProtection="0"/>
    <xf numFmtId="0" fontId="64" fillId="0" borderId="0"/>
    <xf numFmtId="0" fontId="65" fillId="0" borderId="0" applyNumberFormat="0" applyFill="0" applyBorder="0" applyAlignment="0" applyProtection="0">
      <alignment vertical="top"/>
      <protection locked="0"/>
    </xf>
    <xf numFmtId="167" fontId="1" fillId="0" borderId="0" applyFont="0" applyFill="0" applyBorder="0" applyAlignment="0" applyProtection="0"/>
  </cellStyleXfs>
  <cellXfs count="552">
    <xf numFmtId="0" fontId="0" fillId="0" borderId="0" xfId="0"/>
    <xf numFmtId="0" fontId="11" fillId="0" borderId="0" xfId="0" applyFont="1" applyAlignment="1">
      <alignment horizontal="center" vertical="center"/>
    </xf>
    <xf numFmtId="1" fontId="0" fillId="0" borderId="0" xfId="0" applyNumberFormat="1"/>
    <xf numFmtId="0" fontId="23" fillId="0" borderId="0" xfId="0" applyFont="1"/>
    <xf numFmtId="0" fontId="0" fillId="0" borderId="0" xfId="0" applyAlignment="1">
      <alignment vertical="center"/>
    </xf>
    <xf numFmtId="0" fontId="0" fillId="0" borderId="12" xfId="0" applyBorder="1"/>
    <xf numFmtId="0" fontId="0" fillId="0" borderId="13" xfId="0" applyBorder="1"/>
    <xf numFmtId="0" fontId="0" fillId="0" borderId="14" xfId="0" applyBorder="1"/>
    <xf numFmtId="0" fontId="6" fillId="0" borderId="1" xfId="0" applyFont="1" applyBorder="1" applyAlignment="1" applyProtection="1">
      <alignment horizontal="center" vertical="center" wrapText="1"/>
      <protection locked="0"/>
    </xf>
    <xf numFmtId="0" fontId="32" fillId="2" borderId="1" xfId="0" applyFont="1" applyFill="1" applyBorder="1" applyAlignment="1">
      <alignment horizontal="center" vertical="center" wrapText="1"/>
    </xf>
    <xf numFmtId="0" fontId="33" fillId="0" borderId="0" xfId="0" applyFont="1"/>
    <xf numFmtId="0" fontId="33" fillId="0" borderId="0" xfId="0" applyFont="1" applyAlignment="1">
      <alignment vertical="center"/>
    </xf>
    <xf numFmtId="0" fontId="8" fillId="6" borderId="1" xfId="0" applyFont="1" applyFill="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14" fontId="6" fillId="6" borderId="1" xfId="0" applyNumberFormat="1" applyFont="1" applyFill="1" applyBorder="1" applyAlignment="1" applyProtection="1">
      <alignment horizontal="center" vertical="center"/>
      <protection locked="0"/>
    </xf>
    <xf numFmtId="0" fontId="6" fillId="6" borderId="1" xfId="0" applyFont="1" applyFill="1" applyBorder="1" applyAlignment="1" applyProtection="1">
      <alignment horizontal="center" vertical="center"/>
      <protection locked="0"/>
    </xf>
    <xf numFmtId="0" fontId="20" fillId="2" borderId="1" xfId="0" applyFont="1" applyFill="1" applyBorder="1" applyAlignment="1">
      <alignment horizontal="center" vertical="center" wrapText="1"/>
    </xf>
    <xf numFmtId="0" fontId="26" fillId="0" borderId="13" xfId="0" applyFont="1" applyBorder="1"/>
    <xf numFmtId="0" fontId="26" fillId="0" borderId="12" xfId="0" applyFont="1" applyBorder="1"/>
    <xf numFmtId="0" fontId="26" fillId="0" borderId="15" xfId="0" applyFont="1" applyBorder="1"/>
    <xf numFmtId="0" fontId="26" fillId="0" borderId="17" xfId="0" applyFont="1" applyBorder="1"/>
    <xf numFmtId="0" fontId="26" fillId="0" borderId="16" xfId="0" applyFont="1" applyBorder="1"/>
    <xf numFmtId="1" fontId="8" fillId="0" borderId="1" xfId="0" applyNumberFormat="1" applyFont="1" applyBorder="1" applyAlignment="1" applyProtection="1">
      <alignment horizontal="center" vertical="center"/>
      <protection locked="0"/>
    </xf>
    <xf numFmtId="0" fontId="5" fillId="3" borderId="1" xfId="0" applyFont="1" applyFill="1" applyBorder="1" applyAlignment="1">
      <alignment horizontal="center" vertical="center" wrapText="1"/>
    </xf>
    <xf numFmtId="0" fontId="9" fillId="16" borderId="1" xfId="0" applyFont="1" applyFill="1" applyBorder="1" applyAlignment="1">
      <alignment horizontal="center" vertical="center" wrapText="1"/>
    </xf>
    <xf numFmtId="0" fontId="8" fillId="0" borderId="12" xfId="0" applyFont="1" applyBorder="1" applyAlignment="1">
      <alignment vertical="center"/>
    </xf>
    <xf numFmtId="0" fontId="5" fillId="3" borderId="1" xfId="0" applyFont="1" applyFill="1" applyBorder="1" applyAlignment="1">
      <alignment vertical="center" wrapText="1"/>
    </xf>
    <xf numFmtId="0" fontId="5" fillId="3" borderId="1" xfId="0" applyFont="1" applyFill="1" applyBorder="1" applyAlignment="1">
      <alignment vertical="center"/>
    </xf>
    <xf numFmtId="0" fontId="5" fillId="3" borderId="1" xfId="0" applyFont="1" applyFill="1" applyBorder="1" applyAlignment="1">
      <alignment horizontal="center" vertical="center"/>
    </xf>
    <xf numFmtId="0" fontId="4" fillId="3" borderId="1" xfId="0" applyFont="1" applyFill="1" applyBorder="1" applyAlignment="1">
      <alignment horizontal="center" vertical="center"/>
    </xf>
    <xf numFmtId="0" fontId="9" fillId="7" borderId="1" xfId="0" applyFont="1" applyFill="1" applyBorder="1" applyAlignment="1">
      <alignment horizontal="center" vertical="center"/>
    </xf>
    <xf numFmtId="0" fontId="20" fillId="2" borderId="2" xfId="0" applyFont="1" applyFill="1" applyBorder="1" applyAlignment="1">
      <alignment horizontal="center" vertical="center" wrapText="1"/>
    </xf>
    <xf numFmtId="0" fontId="9" fillId="3" borderId="20" xfId="0" applyFont="1" applyFill="1" applyBorder="1" applyAlignment="1">
      <alignment horizontal="center" vertical="center"/>
    </xf>
    <xf numFmtId="0" fontId="8" fillId="6" borderId="20" xfId="0" applyFont="1" applyFill="1" applyBorder="1" applyAlignment="1" applyProtection="1">
      <alignment horizontal="center" vertical="center"/>
      <protection locked="0"/>
    </xf>
    <xf numFmtId="0" fontId="9" fillId="7" borderId="20" xfId="0" applyFont="1" applyFill="1" applyBorder="1" applyAlignment="1">
      <alignment horizontal="center" vertical="center"/>
    </xf>
    <xf numFmtId="0" fontId="8" fillId="3" borderId="20" xfId="0" applyFont="1" applyFill="1" applyBorder="1" applyAlignment="1">
      <alignment horizontal="left" vertical="center" wrapText="1"/>
    </xf>
    <xf numFmtId="0" fontId="8" fillId="3" borderId="20" xfId="0" applyFont="1" applyFill="1" applyBorder="1" applyAlignment="1">
      <alignment vertical="center" wrapText="1"/>
    </xf>
    <xf numFmtId="0" fontId="8" fillId="0" borderId="20" xfId="0" applyFont="1" applyBorder="1" applyAlignment="1" applyProtection="1">
      <alignment horizontal="center" vertical="center"/>
      <protection locked="0"/>
    </xf>
    <xf numFmtId="0" fontId="8" fillId="14" borderId="20" xfId="0" applyFont="1" applyFill="1" applyBorder="1" applyAlignment="1">
      <alignment horizontal="center" vertical="center"/>
    </xf>
    <xf numFmtId="0" fontId="32" fillId="2" borderId="20" xfId="0" applyFont="1" applyFill="1" applyBorder="1" applyAlignment="1">
      <alignment horizontal="center" vertical="center" wrapText="1"/>
    </xf>
    <xf numFmtId="0" fontId="0" fillId="0" borderId="13" xfId="0" applyBorder="1" applyAlignment="1">
      <alignment vertical="center"/>
    </xf>
    <xf numFmtId="2" fontId="9" fillId="7" borderId="1" xfId="0" applyNumberFormat="1" applyFont="1" applyFill="1" applyBorder="1" applyAlignment="1">
      <alignment horizontal="center" vertical="center"/>
    </xf>
    <xf numFmtId="0" fontId="20" fillId="2" borderId="20" xfId="0" applyFont="1" applyFill="1" applyBorder="1" applyAlignment="1">
      <alignment horizontal="center" vertical="center" wrapText="1"/>
    </xf>
    <xf numFmtId="0" fontId="9" fillId="3" borderId="20" xfId="0" applyFont="1" applyFill="1" applyBorder="1" applyAlignment="1">
      <alignment horizontal="center" vertical="center" wrapText="1"/>
    </xf>
    <xf numFmtId="0" fontId="9" fillId="11" borderId="20" xfId="0" applyFont="1" applyFill="1" applyBorder="1" applyAlignment="1">
      <alignment horizontal="center" vertical="center"/>
    </xf>
    <xf numFmtId="0" fontId="9" fillId="3" borderId="20" xfId="0" applyFont="1" applyFill="1" applyBorder="1" applyAlignment="1">
      <alignment horizontal="center" vertical="center" wrapText="1" shrinkToFit="1"/>
    </xf>
    <xf numFmtId="0" fontId="5" fillId="7" borderId="20" xfId="0" applyFont="1" applyFill="1" applyBorder="1" applyAlignment="1">
      <alignment horizontal="center" vertical="center" wrapText="1"/>
    </xf>
    <xf numFmtId="0" fontId="5" fillId="7" borderId="20" xfId="0" applyFont="1" applyFill="1" applyBorder="1" applyAlignment="1">
      <alignment horizontal="center" vertical="center"/>
    </xf>
    <xf numFmtId="1" fontId="9" fillId="7" borderId="20" xfId="0" applyNumberFormat="1" applyFont="1" applyFill="1" applyBorder="1" applyAlignment="1">
      <alignment horizontal="center" vertical="center"/>
    </xf>
    <xf numFmtId="0" fontId="8" fillId="0" borderId="13" xfId="0" applyFont="1" applyBorder="1" applyAlignment="1">
      <alignment vertical="center"/>
    </xf>
    <xf numFmtId="0" fontId="51" fillId="0" borderId="13" xfId="0" applyFont="1" applyBorder="1" applyAlignment="1">
      <alignment vertical="center" wrapText="1"/>
    </xf>
    <xf numFmtId="0" fontId="8" fillId="0" borderId="12" xfId="0" applyFont="1" applyBorder="1"/>
    <xf numFmtId="0" fontId="51" fillId="0" borderId="13" xfId="0" applyFont="1" applyBorder="1" applyAlignment="1">
      <alignment vertical="center"/>
    </xf>
    <xf numFmtId="0" fontId="23" fillId="0" borderId="13" xfId="0" applyFont="1" applyBorder="1" applyAlignment="1">
      <alignment vertical="center"/>
    </xf>
    <xf numFmtId="0" fontId="45" fillId="3" borderId="20" xfId="0" applyFont="1" applyFill="1" applyBorder="1" applyAlignment="1">
      <alignment horizontal="center" vertical="center"/>
    </xf>
    <xf numFmtId="0" fontId="9" fillId="8" borderId="20" xfId="0" applyFont="1" applyFill="1" applyBorder="1" applyAlignment="1">
      <alignment horizontal="center" vertical="center"/>
    </xf>
    <xf numFmtId="14" fontId="0" fillId="0" borderId="13" xfId="0" applyNumberFormat="1" applyBorder="1"/>
    <xf numFmtId="14" fontId="52" fillId="0" borderId="13" xfId="0" applyNumberFormat="1" applyFont="1" applyBorder="1"/>
    <xf numFmtId="0" fontId="3" fillId="3" borderId="1" xfId="0" applyFont="1" applyFill="1" applyBorder="1" applyAlignment="1">
      <alignment horizontal="left" vertical="center" wrapText="1"/>
    </xf>
    <xf numFmtId="0" fontId="8" fillId="0" borderId="1" xfId="0" applyFont="1" applyBorder="1" applyAlignment="1" applyProtection="1">
      <alignment horizontal="center" vertical="center"/>
      <protection locked="0"/>
    </xf>
    <xf numFmtId="0" fontId="9" fillId="3" borderId="1" xfId="0" applyFont="1" applyFill="1" applyBorder="1" applyAlignment="1">
      <alignment horizontal="left" vertical="center" wrapText="1"/>
    </xf>
    <xf numFmtId="0" fontId="9" fillId="3" borderId="1" xfId="0" applyFont="1" applyFill="1" applyBorder="1" applyAlignment="1">
      <alignment horizontal="center" vertical="center" wrapText="1"/>
    </xf>
    <xf numFmtId="0" fontId="3" fillId="3" borderId="1" xfId="0" applyFont="1" applyFill="1" applyBorder="1" applyAlignment="1" applyProtection="1">
      <alignment horizontal="left" vertical="center" wrapText="1"/>
      <protection locked="0"/>
    </xf>
    <xf numFmtId="0" fontId="6" fillId="6" borderId="1" xfId="0" applyFont="1" applyFill="1" applyBorder="1" applyAlignment="1" applyProtection="1">
      <alignment horizontal="center" vertical="center" wrapText="1"/>
      <protection locked="0"/>
    </xf>
    <xf numFmtId="0" fontId="8" fillId="3" borderId="20" xfId="0" applyFont="1" applyFill="1" applyBorder="1" applyAlignment="1">
      <alignment vertical="center"/>
    </xf>
    <xf numFmtId="0" fontId="13" fillId="7" borderId="20" xfId="0" applyFont="1" applyFill="1" applyBorder="1" applyAlignment="1">
      <alignment horizontal="center" vertical="center"/>
    </xf>
    <xf numFmtId="0" fontId="19" fillId="0" borderId="12" xfId="0" applyFont="1" applyBorder="1"/>
    <xf numFmtId="0" fontId="53" fillId="0" borderId="12" xfId="0" applyFont="1" applyBorder="1"/>
    <xf numFmtId="0" fontId="24" fillId="3" borderId="20" xfId="0" applyFont="1" applyFill="1" applyBorder="1" applyAlignment="1">
      <alignment horizontal="center" vertical="center" wrapText="1"/>
    </xf>
    <xf numFmtId="0" fontId="26" fillId="0" borderId="13" xfId="0" applyFont="1" applyBorder="1" applyAlignment="1">
      <alignment vertical="center"/>
    </xf>
    <xf numFmtId="0" fontId="55" fillId="0" borderId="12" xfId="0" applyFont="1" applyBorder="1"/>
    <xf numFmtId="0" fontId="8" fillId="0" borderId="20" xfId="0" applyFont="1" applyBorder="1" applyAlignment="1" applyProtection="1">
      <alignment horizontal="center" vertical="center" wrapText="1"/>
      <protection locked="0"/>
    </xf>
    <xf numFmtId="0" fontId="9" fillId="3" borderId="9" xfId="0" applyFont="1" applyFill="1" applyBorder="1" applyAlignment="1">
      <alignment horizontal="center" vertical="center"/>
    </xf>
    <xf numFmtId="0" fontId="9" fillId="18" borderId="1" xfId="0" applyFont="1" applyFill="1" applyBorder="1" applyAlignment="1">
      <alignment horizontal="center" vertical="center"/>
    </xf>
    <xf numFmtId="0" fontId="51" fillId="0" borderId="34" xfId="0" applyFont="1" applyBorder="1" applyAlignment="1">
      <alignment wrapText="1"/>
    </xf>
    <xf numFmtId="0" fontId="51" fillId="0" borderId="52" xfId="0" applyFont="1" applyBorder="1" applyAlignment="1">
      <alignment horizontal="left" vertical="center" wrapText="1"/>
    </xf>
    <xf numFmtId="1" fontId="8" fillId="0" borderId="20" xfId="0" applyNumberFormat="1" applyFont="1" applyBorder="1" applyAlignment="1" applyProtection="1">
      <alignment horizontal="center" vertical="center"/>
      <protection locked="0"/>
    </xf>
    <xf numFmtId="0" fontId="56" fillId="0" borderId="13" xfId="0" applyFont="1" applyBorder="1" applyAlignment="1">
      <alignment vertical="center" wrapText="1"/>
    </xf>
    <xf numFmtId="0" fontId="8" fillId="3" borderId="1" xfId="0" applyFont="1" applyFill="1" applyBorder="1" applyAlignment="1">
      <alignment horizontal="left" vertical="center" wrapText="1"/>
    </xf>
    <xf numFmtId="0" fontId="0" fillId="0" borderId="1" xfId="0" applyBorder="1"/>
    <xf numFmtId="49" fontId="0" fillId="0" borderId="1" xfId="0" applyNumberFormat="1" applyBorder="1" applyAlignment="1">
      <alignment horizontal="center"/>
    </xf>
    <xf numFmtId="0" fontId="19" fillId="0" borderId="1" xfId="0" applyFont="1" applyBorder="1"/>
    <xf numFmtId="49" fontId="19" fillId="0" borderId="1" xfId="0" applyNumberFormat="1" applyFont="1" applyBorder="1" applyAlignment="1">
      <alignment horizontal="center"/>
    </xf>
    <xf numFmtId="49" fontId="0" fillId="0" borderId="1" xfId="0" quotePrefix="1" applyNumberFormat="1" applyBorder="1" applyAlignment="1">
      <alignment horizontal="center"/>
    </xf>
    <xf numFmtId="0" fontId="0" fillId="0" borderId="1" xfId="0" quotePrefix="1" applyBorder="1" applyAlignment="1">
      <alignment horizontal="center"/>
    </xf>
    <xf numFmtId="0" fontId="19" fillId="0" borderId="1" xfId="0" quotePrefix="1" applyFont="1" applyBorder="1" applyAlignment="1">
      <alignment horizontal="center"/>
    </xf>
    <xf numFmtId="0" fontId="58" fillId="0" borderId="12" xfId="0" applyFont="1" applyBorder="1"/>
    <xf numFmtId="0" fontId="0" fillId="0" borderId="15" xfId="0" applyBorder="1"/>
    <xf numFmtId="0" fontId="0" fillId="0" borderId="17" xfId="0" applyBorder="1"/>
    <xf numFmtId="166" fontId="0" fillId="0" borderId="12" xfId="5" applyNumberFormat="1" applyFont="1" applyFill="1" applyBorder="1" applyProtection="1"/>
    <xf numFmtId="0" fontId="19" fillId="0" borderId="14" xfId="0" applyFont="1" applyBorder="1"/>
    <xf numFmtId="0" fontId="19" fillId="0" borderId="15" xfId="0" applyFont="1" applyBorder="1"/>
    <xf numFmtId="0" fontId="19" fillId="0" borderId="56" xfId="0" applyFont="1" applyBorder="1"/>
    <xf numFmtId="9" fontId="59" fillId="13" borderId="57" xfId="5" applyFont="1" applyFill="1" applyBorder="1" applyProtection="1"/>
    <xf numFmtId="0" fontId="59" fillId="13" borderId="57" xfId="0" applyFont="1" applyFill="1" applyBorder="1"/>
    <xf numFmtId="0" fontId="52" fillId="0" borderId="12" xfId="0" applyFont="1" applyBorder="1"/>
    <xf numFmtId="0" fontId="52" fillId="0" borderId="12" xfId="0" applyFont="1" applyBorder="1" applyAlignment="1">
      <alignment horizontal="center"/>
    </xf>
    <xf numFmtId="0" fontId="61" fillId="0" borderId="12" xfId="0" applyFont="1" applyBorder="1"/>
    <xf numFmtId="0" fontId="61" fillId="0" borderId="17" xfId="0" applyFont="1" applyBorder="1"/>
    <xf numFmtId="0" fontId="61" fillId="0" borderId="14" xfId="0" applyFont="1" applyBorder="1"/>
    <xf numFmtId="0" fontId="50" fillId="0" borderId="13" xfId="0" applyFont="1" applyBorder="1" applyAlignment="1">
      <alignment vertical="center" wrapText="1"/>
    </xf>
    <xf numFmtId="0" fontId="60" fillId="0" borderId="12" xfId="0" applyFont="1" applyBorder="1" applyAlignment="1">
      <alignment horizontal="center"/>
    </xf>
    <xf numFmtId="9" fontId="59" fillId="13" borderId="60" xfId="5" applyFont="1" applyFill="1" applyBorder="1" applyProtection="1"/>
    <xf numFmtId="0" fontId="59" fillId="13" borderId="60" xfId="0" applyFont="1" applyFill="1" applyBorder="1"/>
    <xf numFmtId="0" fontId="0" fillId="0" borderId="12" xfId="0" applyBorder="1" applyAlignment="1">
      <alignment horizontal="center"/>
    </xf>
    <xf numFmtId="0" fontId="63" fillId="0" borderId="12" xfId="0" applyFont="1" applyBorder="1"/>
    <xf numFmtId="0" fontId="0" fillId="0" borderId="20" xfId="0" applyBorder="1"/>
    <xf numFmtId="0" fontId="0" fillId="0" borderId="16" xfId="0" applyBorder="1"/>
    <xf numFmtId="0" fontId="19" fillId="20" borderId="20" xfId="0" applyFont="1" applyFill="1" applyBorder="1" applyAlignment="1">
      <alignment horizontal="center"/>
    </xf>
    <xf numFmtId="0" fontId="19" fillId="20" borderId="1" xfId="0" applyFont="1" applyFill="1" applyBorder="1" applyAlignment="1">
      <alignment horizontal="center"/>
    </xf>
    <xf numFmtId="0" fontId="0" fillId="0" borderId="8" xfId="0" applyBorder="1"/>
    <xf numFmtId="0" fontId="0" fillId="0" borderId="61" xfId="0" applyBorder="1"/>
    <xf numFmtId="0" fontId="0" fillId="0" borderId="58" xfId="0" applyBorder="1"/>
    <xf numFmtId="166" fontId="0" fillId="0" borderId="1" xfId="5" applyNumberFormat="1" applyFont="1" applyBorder="1" applyAlignment="1" applyProtection="1">
      <alignment horizontal="center"/>
    </xf>
    <xf numFmtId="166" fontId="0" fillId="0" borderId="2" xfId="5" applyNumberFormat="1" applyFont="1" applyBorder="1" applyAlignment="1" applyProtection="1">
      <alignment horizontal="center"/>
    </xf>
    <xf numFmtId="166" fontId="0" fillId="0" borderId="20" xfId="5" applyNumberFormat="1" applyFont="1" applyBorder="1" applyAlignment="1" applyProtection="1">
      <alignment horizontal="center"/>
    </xf>
    <xf numFmtId="166" fontId="0" fillId="0" borderId="8" xfId="5" applyNumberFormat="1" applyFont="1" applyBorder="1" applyAlignment="1" applyProtection="1">
      <alignment horizontal="center"/>
    </xf>
    <xf numFmtId="0" fontId="52" fillId="0" borderId="14" xfId="0" applyFont="1" applyBorder="1"/>
    <xf numFmtId="2" fontId="9" fillId="7" borderId="2" xfId="0" applyNumberFormat="1" applyFont="1" applyFill="1" applyBorder="1" applyAlignment="1">
      <alignment horizontal="center" vertical="center"/>
    </xf>
    <xf numFmtId="1" fontId="8" fillId="0" borderId="9" xfId="0" applyNumberFormat="1" applyFont="1" applyBorder="1" applyAlignment="1" applyProtection="1">
      <alignment horizontal="center" vertical="center"/>
      <protection locked="0"/>
    </xf>
    <xf numFmtId="1" fontId="8" fillId="0" borderId="8" xfId="0" applyNumberFormat="1" applyFont="1" applyBorder="1" applyAlignment="1" applyProtection="1">
      <alignment horizontal="center" vertical="center"/>
      <protection locked="0"/>
    </xf>
    <xf numFmtId="0" fontId="19" fillId="20" borderId="1" xfId="0" applyFont="1" applyFill="1" applyBorder="1" applyAlignment="1">
      <alignment horizontal="center" wrapText="1"/>
    </xf>
    <xf numFmtId="0" fontId="19" fillId="20" borderId="2" xfId="0" applyFont="1" applyFill="1" applyBorder="1" applyAlignment="1">
      <alignment horizontal="center" wrapText="1"/>
    </xf>
    <xf numFmtId="0" fontId="19" fillId="20" borderId="20" xfId="0" applyFont="1" applyFill="1" applyBorder="1" applyAlignment="1">
      <alignment horizontal="center" wrapText="1"/>
    </xf>
    <xf numFmtId="0" fontId="8" fillId="0" borderId="1" xfId="0" applyFont="1" applyBorder="1" applyAlignment="1">
      <alignment vertical="center" wrapText="1"/>
    </xf>
    <xf numFmtId="0" fontId="0" fillId="22" borderId="0" xfId="0" applyFill="1"/>
    <xf numFmtId="0" fontId="8" fillId="0" borderId="1" xfId="0" applyFont="1" applyBorder="1"/>
    <xf numFmtId="0" fontId="8" fillId="0" borderId="1" xfId="0" applyFont="1" applyBorder="1" applyAlignment="1">
      <alignment horizontal="left"/>
    </xf>
    <xf numFmtId="0" fontId="8" fillId="0" borderId="1" xfId="0" applyFont="1" applyBorder="1" applyAlignment="1">
      <alignment vertical="top"/>
    </xf>
    <xf numFmtId="0" fontId="8" fillId="0" borderId="1" xfId="0" applyFont="1" applyBorder="1" applyAlignment="1">
      <alignment horizontal="left" vertical="top"/>
    </xf>
    <xf numFmtId="0" fontId="9" fillId="16" borderId="1" xfId="0" applyFont="1" applyFill="1" applyBorder="1" applyAlignment="1">
      <alignment horizontal="left" vertical="center" wrapText="1"/>
    </xf>
    <xf numFmtId="0" fontId="8" fillId="0" borderId="9" xfId="0" applyFont="1" applyBorder="1"/>
    <xf numFmtId="0" fontId="8" fillId="0" borderId="15" xfId="0" applyFont="1" applyBorder="1" applyAlignment="1">
      <alignment horizontal="center" vertical="center"/>
    </xf>
    <xf numFmtId="0" fontId="8" fillId="0" borderId="15" xfId="0" applyFont="1" applyBorder="1" applyAlignment="1">
      <alignment horizontal="left" vertical="center"/>
    </xf>
    <xf numFmtId="0" fontId="8" fillId="0" borderId="16" xfId="0" applyFont="1" applyBorder="1" applyAlignment="1">
      <alignment horizontal="center" vertical="center"/>
    </xf>
    <xf numFmtId="0" fontId="8" fillId="0" borderId="15" xfId="0" applyFont="1" applyBorder="1" applyAlignment="1">
      <alignment vertical="center"/>
    </xf>
    <xf numFmtId="0" fontId="8" fillId="0" borderId="1" xfId="0" applyFont="1" applyBorder="1" applyAlignment="1">
      <alignment horizontal="left" vertical="center"/>
    </xf>
    <xf numFmtId="0" fontId="26" fillId="0" borderId="1" xfId="0" applyFont="1" applyBorder="1"/>
    <xf numFmtId="0" fontId="49" fillId="0" borderId="1" xfId="0" applyFont="1" applyBorder="1" applyAlignment="1">
      <alignment vertical="center"/>
    </xf>
    <xf numFmtId="0" fontId="8" fillId="0" borderId="1" xfId="0" applyFont="1" applyBorder="1" applyAlignment="1">
      <alignment vertical="center"/>
    </xf>
    <xf numFmtId="0" fontId="25" fillId="0" borderId="9" xfId="0" applyFont="1" applyBorder="1" applyAlignment="1">
      <alignment horizontal="left" vertical="center" wrapText="1"/>
    </xf>
    <xf numFmtId="0" fontId="26" fillId="0" borderId="58" xfId="0" applyFont="1" applyBorder="1"/>
    <xf numFmtId="0" fontId="8" fillId="0" borderId="15" xfId="0" applyFont="1" applyBorder="1"/>
    <xf numFmtId="0" fontId="9" fillId="0" borderId="8" xfId="0" applyFont="1" applyBorder="1" applyAlignment="1" applyProtection="1">
      <alignment horizontal="center" vertical="center"/>
      <protection locked="0"/>
    </xf>
    <xf numFmtId="0" fontId="26" fillId="0" borderId="14" xfId="0" applyFont="1" applyBorder="1"/>
    <xf numFmtId="0" fontId="8" fillId="0" borderId="14" xfId="0" applyFont="1" applyBorder="1"/>
    <xf numFmtId="0" fontId="26" fillId="0" borderId="12" xfId="0" applyFont="1" applyBorder="1" applyAlignment="1">
      <alignment horizontal="left"/>
    </xf>
    <xf numFmtId="0" fontId="26" fillId="0" borderId="12" xfId="0" applyFont="1" applyBorder="1" applyAlignment="1">
      <alignment horizontal="left" wrapText="1"/>
    </xf>
    <xf numFmtId="0" fontId="26" fillId="0" borderId="12" xfId="0" applyFont="1" applyBorder="1" applyAlignment="1">
      <alignment horizontal="center"/>
    </xf>
    <xf numFmtId="0" fontId="26" fillId="0" borderId="15" xfId="0" applyFont="1" applyBorder="1" applyAlignment="1">
      <alignment horizontal="left"/>
    </xf>
    <xf numFmtId="0" fontId="26" fillId="0" borderId="15" xfId="0" applyFont="1" applyBorder="1" applyAlignment="1">
      <alignment horizontal="left" wrapText="1"/>
    </xf>
    <xf numFmtId="0" fontId="47" fillId="16" borderId="12" xfId="0" applyFont="1" applyFill="1" applyBorder="1" applyAlignment="1">
      <alignment horizontal="center" vertical="center" wrapText="1"/>
    </xf>
    <xf numFmtId="0" fontId="26" fillId="0" borderId="0" xfId="0" applyFont="1"/>
    <xf numFmtId="0" fontId="8" fillId="0" borderId="0" xfId="0" applyFont="1"/>
    <xf numFmtId="0" fontId="26" fillId="0" borderId="2" xfId="0" applyFont="1" applyBorder="1"/>
    <xf numFmtId="0" fontId="8" fillId="19" borderId="23" xfId="0" applyFont="1" applyFill="1" applyBorder="1" applyAlignment="1">
      <alignment horizontal="center" vertical="center"/>
    </xf>
    <xf numFmtId="0" fontId="8" fillId="19" borderId="28" xfId="0" applyFont="1" applyFill="1" applyBorder="1" applyAlignment="1">
      <alignment horizontal="center" vertical="center"/>
    </xf>
    <xf numFmtId="0" fontId="66" fillId="0" borderId="0" xfId="0" applyFont="1" applyAlignment="1">
      <alignment vertical="top"/>
    </xf>
    <xf numFmtId="0" fontId="66" fillId="0" borderId="0" xfId="0" applyFont="1" applyAlignment="1">
      <alignment vertical="top" wrapText="1"/>
    </xf>
    <xf numFmtId="0" fontId="66" fillId="0" borderId="0" xfId="0" applyFont="1" applyAlignment="1">
      <alignment vertical="center"/>
    </xf>
    <xf numFmtId="0" fontId="66" fillId="0" borderId="0" xfId="0" applyFont="1" applyAlignment="1">
      <alignment horizontal="left" vertical="center"/>
    </xf>
    <xf numFmtId="0" fontId="67" fillId="0" borderId="0" xfId="0" applyFont="1" applyAlignment="1">
      <alignment vertical="top"/>
    </xf>
    <xf numFmtId="0" fontId="44" fillId="9" borderId="20" xfId="0" applyFont="1" applyFill="1" applyBorder="1" applyAlignment="1">
      <alignment horizontal="center" vertical="center"/>
    </xf>
    <xf numFmtId="165" fontId="12" fillId="5" borderId="20" xfId="0" applyNumberFormat="1" applyFont="1" applyFill="1" applyBorder="1" applyAlignment="1" applyProtection="1">
      <alignment horizontal="center" vertical="center"/>
      <protection hidden="1"/>
    </xf>
    <xf numFmtId="0" fontId="68" fillId="23" borderId="1" xfId="0" applyFont="1" applyFill="1" applyBorder="1" applyAlignment="1" applyProtection="1">
      <alignment horizontal="center" vertical="center" wrapText="1" readingOrder="1"/>
      <protection hidden="1"/>
    </xf>
    <xf numFmtId="0" fontId="68" fillId="23" borderId="1" xfId="0" applyFont="1" applyFill="1" applyBorder="1" applyAlignment="1" applyProtection="1">
      <alignment horizontal="left" vertical="center" wrapText="1" readingOrder="1"/>
      <protection hidden="1"/>
    </xf>
    <xf numFmtId="0" fontId="6" fillId="3" borderId="2" xfId="0" applyFont="1" applyFill="1" applyBorder="1" applyAlignment="1" applyProtection="1">
      <alignment horizontal="left" vertical="center" wrapText="1"/>
      <protection hidden="1"/>
    </xf>
    <xf numFmtId="0" fontId="70" fillId="5" borderId="1" xfId="0" applyFont="1" applyFill="1" applyBorder="1" applyAlignment="1" applyProtection="1">
      <alignment horizontal="center" vertical="center"/>
      <protection locked="0"/>
    </xf>
    <xf numFmtId="0" fontId="71" fillId="24" borderId="1" xfId="0" applyFont="1" applyFill="1" applyBorder="1" applyAlignment="1">
      <alignment vertical="top" wrapText="1"/>
    </xf>
    <xf numFmtId="0" fontId="68" fillId="23" borderId="9" xfId="0" applyFont="1" applyFill="1" applyBorder="1" applyAlignment="1" applyProtection="1">
      <alignment horizontal="center" vertical="center" wrapText="1" readingOrder="1"/>
      <protection hidden="1"/>
    </xf>
    <xf numFmtId="0" fontId="69" fillId="25" borderId="1" xfId="0" applyFont="1" applyFill="1" applyBorder="1" applyAlignment="1" applyProtection="1">
      <alignment horizontal="center" vertical="center" wrapText="1" readingOrder="1"/>
      <protection hidden="1"/>
    </xf>
    <xf numFmtId="0" fontId="42" fillId="0" borderId="20" xfId="0" applyFont="1" applyBorder="1" applyAlignment="1">
      <alignment vertical="center" wrapText="1"/>
    </xf>
    <xf numFmtId="0" fontId="42" fillId="0" borderId="5" xfId="0" applyFont="1" applyBorder="1" applyAlignment="1">
      <alignment horizontal="left" vertical="center" wrapText="1"/>
    </xf>
    <xf numFmtId="0" fontId="42" fillId="0" borderId="5" xfId="0" applyFont="1" applyBorder="1" applyAlignment="1">
      <alignment horizontal="left" vertical="center" wrapText="1" shrinkToFit="1"/>
    </xf>
    <xf numFmtId="0" fontId="42" fillId="0" borderId="5" xfId="0" applyFont="1" applyBorder="1" applyAlignment="1">
      <alignment horizontal="left" vertical="center"/>
    </xf>
    <xf numFmtId="0" fontId="42" fillId="0" borderId="10" xfId="0" applyFont="1" applyBorder="1" applyAlignment="1">
      <alignment horizontal="left" vertical="center"/>
    </xf>
    <xf numFmtId="0" fontId="42" fillId="0" borderId="9" xfId="1" applyFont="1" applyBorder="1" applyAlignment="1">
      <alignment horizontal="center" vertical="center" wrapText="1"/>
    </xf>
    <xf numFmtId="0" fontId="42" fillId="0" borderId="20" xfId="1" applyFont="1" applyBorder="1" applyAlignment="1">
      <alignment horizontal="center" vertical="center" wrapText="1"/>
    </xf>
    <xf numFmtId="0" fontId="42" fillId="0" borderId="44" xfId="1" applyFont="1" applyBorder="1" applyAlignment="1">
      <alignment horizontal="center" vertical="center" wrapText="1"/>
    </xf>
    <xf numFmtId="0" fontId="42" fillId="0" borderId="5" xfId="0" applyFont="1" applyBorder="1" applyAlignment="1">
      <alignment horizontal="center" vertical="center" wrapText="1"/>
    </xf>
    <xf numFmtId="0" fontId="42" fillId="0" borderId="26" xfId="0" applyFont="1" applyBorder="1" applyAlignment="1">
      <alignment horizontal="center" vertical="center"/>
    </xf>
    <xf numFmtId="1" fontId="42" fillId="0" borderId="26" xfId="0" applyNumberFormat="1" applyFont="1" applyBorder="1" applyAlignment="1">
      <alignment horizontal="center" vertical="center"/>
    </xf>
    <xf numFmtId="1" fontId="42" fillId="0" borderId="20" xfId="0" applyNumberFormat="1" applyFont="1" applyBorder="1" applyAlignment="1">
      <alignment horizontal="center" vertical="center"/>
    </xf>
    <xf numFmtId="1" fontId="42" fillId="0" borderId="1" xfId="1" applyNumberFormat="1" applyFont="1" applyBorder="1" applyAlignment="1">
      <alignment horizontal="center" vertical="center" wrapText="1"/>
    </xf>
    <xf numFmtId="0" fontId="42" fillId="0" borderId="1" xfId="0" applyFont="1" applyBorder="1" applyAlignment="1">
      <alignment horizontal="center"/>
    </xf>
    <xf numFmtId="9" fontId="42" fillId="0" borderId="1" xfId="0" applyNumberFormat="1" applyFont="1" applyBorder="1" applyAlignment="1">
      <alignment horizontal="center"/>
    </xf>
    <xf numFmtId="0" fontId="71" fillId="24" borderId="5" xfId="0" applyFont="1" applyFill="1" applyBorder="1" applyAlignment="1">
      <alignment vertical="top" wrapText="1"/>
    </xf>
    <xf numFmtId="166" fontId="72" fillId="0" borderId="67" xfId="0" applyNumberFormat="1" applyFont="1" applyBorder="1" applyAlignment="1" applyProtection="1">
      <alignment horizontal="center" vertical="center"/>
      <protection hidden="1"/>
    </xf>
    <xf numFmtId="0" fontId="15" fillId="0" borderId="1" xfId="0" applyFont="1" applyBorder="1" applyAlignment="1" applyProtection="1">
      <alignment horizontal="center" vertical="center"/>
      <protection locked="0"/>
    </xf>
    <xf numFmtId="166" fontId="72" fillId="0" borderId="66" xfId="0" applyNumberFormat="1" applyFont="1" applyBorder="1" applyAlignment="1" applyProtection="1">
      <alignment horizontal="center" vertical="center"/>
      <protection hidden="1"/>
    </xf>
    <xf numFmtId="166" fontId="72" fillId="0" borderId="68" xfId="0" applyNumberFormat="1" applyFont="1" applyBorder="1" applyAlignment="1" applyProtection="1">
      <alignment horizontal="center" vertical="center"/>
      <protection hidden="1"/>
    </xf>
    <xf numFmtId="0" fontId="42" fillId="0" borderId="1" xfId="0" applyFont="1" applyBorder="1" applyAlignment="1">
      <alignment horizontal="center" vertical="center"/>
    </xf>
    <xf numFmtId="0" fontId="42" fillId="0" borderId="1" xfId="0" applyFont="1" applyBorder="1" applyAlignment="1">
      <alignment horizontal="left" vertical="center" wrapText="1"/>
    </xf>
    <xf numFmtId="0" fontId="42" fillId="0" borderId="1" xfId="0" applyFont="1" applyBorder="1" applyAlignment="1">
      <alignment horizontal="center" vertical="center" wrapText="1"/>
    </xf>
    <xf numFmtId="0" fontId="42" fillId="0" borderId="5" xfId="1" applyFont="1" applyBorder="1" applyAlignment="1">
      <alignment horizontal="center" vertical="center" wrapText="1"/>
    </xf>
    <xf numFmtId="0" fontId="42" fillId="0" borderId="20" xfId="0" applyFont="1" applyBorder="1" applyAlignment="1">
      <alignment horizontal="center" vertical="center" wrapText="1"/>
    </xf>
    <xf numFmtId="0" fontId="42" fillId="0" borderId="1" xfId="1" applyFont="1" applyBorder="1" applyAlignment="1">
      <alignment horizontal="center" vertical="center" wrapText="1"/>
    </xf>
    <xf numFmtId="0" fontId="42" fillId="0" borderId="20" xfId="0" applyFont="1" applyBorder="1" applyAlignment="1">
      <alignment horizontal="center" vertical="center"/>
    </xf>
    <xf numFmtId="0" fontId="42" fillId="0" borderId="26" xfId="0" applyFont="1" applyBorder="1" applyAlignment="1">
      <alignment horizontal="center" vertical="center" wrapText="1"/>
    </xf>
    <xf numFmtId="0" fontId="42" fillId="0" borderId="8" xfId="0" applyFont="1" applyBorder="1" applyAlignment="1">
      <alignment horizontal="center" vertical="center"/>
    </xf>
    <xf numFmtId="164" fontId="42" fillId="0" borderId="1" xfId="0" applyNumberFormat="1" applyFont="1" applyBorder="1" applyAlignment="1">
      <alignment horizontal="center" vertical="center"/>
    </xf>
    <xf numFmtId="0" fontId="73" fillId="0" borderId="13" xfId="0" applyFont="1" applyBorder="1"/>
    <xf numFmtId="0" fontId="73" fillId="0" borderId="16" xfId="0" applyFont="1" applyBorder="1"/>
    <xf numFmtId="0" fontId="73" fillId="0" borderId="12" xfId="0" applyFont="1" applyBorder="1"/>
    <xf numFmtId="0" fontId="74" fillId="0" borderId="12" xfId="0" applyFont="1" applyBorder="1" applyAlignment="1">
      <alignment horizontal="center"/>
    </xf>
    <xf numFmtId="0" fontId="74" fillId="0" borderId="12" xfId="0" applyFont="1" applyBorder="1"/>
    <xf numFmtId="0" fontId="42" fillId="0" borderId="12" xfId="0" applyFont="1" applyBorder="1" applyAlignment="1">
      <alignment horizontal="center"/>
    </xf>
    <xf numFmtId="0" fontId="25" fillId="0" borderId="1" xfId="0" applyFont="1" applyBorder="1" applyAlignment="1">
      <alignment horizontal="left" vertical="center"/>
    </xf>
    <xf numFmtId="0" fontId="25" fillId="0" borderId="1" xfId="0" applyFont="1" applyBorder="1" applyAlignment="1">
      <alignment vertical="center"/>
    </xf>
    <xf numFmtId="0" fontId="8" fillId="22" borderId="1" xfId="0" applyFont="1" applyFill="1" applyBorder="1" applyAlignment="1">
      <alignment vertical="center"/>
    </xf>
    <xf numFmtId="0" fontId="8" fillId="22" borderId="1" xfId="0" applyFont="1" applyFill="1" applyBorder="1" applyAlignment="1">
      <alignment horizontal="left" vertical="center"/>
    </xf>
    <xf numFmtId="0" fontId="25" fillId="22" borderId="1" xfId="0" applyFont="1" applyFill="1" applyBorder="1" applyAlignment="1">
      <alignment horizontal="left" vertical="center"/>
    </xf>
    <xf numFmtId="0" fontId="25" fillId="22" borderId="1" xfId="0" applyFont="1" applyFill="1" applyBorder="1" applyAlignment="1">
      <alignment vertical="center"/>
    </xf>
    <xf numFmtId="0" fontId="6" fillId="0" borderId="1" xfId="0" applyFont="1" applyBorder="1" applyAlignment="1">
      <alignment horizontal="left" vertical="center"/>
    </xf>
    <xf numFmtId="0" fontId="6" fillId="0" borderId="1" xfId="0" applyFont="1" applyBorder="1"/>
    <xf numFmtId="0" fontId="25" fillId="0" borderId="1" xfId="0" applyFont="1" applyBorder="1"/>
    <xf numFmtId="0" fontId="25" fillId="0" borderId="1" xfId="0" applyFont="1" applyBorder="1" applyAlignment="1">
      <alignment vertical="top"/>
    </xf>
    <xf numFmtId="0" fontId="8" fillId="0" borderId="1" xfId="6" applyFont="1" applyBorder="1" applyAlignment="1">
      <alignment vertical="center"/>
    </xf>
    <xf numFmtId="0" fontId="8" fillId="0" borderId="0" xfId="6" applyFont="1" applyAlignment="1">
      <alignment vertical="center"/>
    </xf>
    <xf numFmtId="0" fontId="8" fillId="0" borderId="4" xfId="0" applyFont="1" applyBorder="1" applyAlignment="1">
      <alignment horizontal="left" vertical="center"/>
    </xf>
    <xf numFmtId="0" fontId="8" fillId="0" borderId="8" xfId="0" applyFont="1" applyBorder="1" applyAlignment="1">
      <alignment vertical="center"/>
    </xf>
    <xf numFmtId="0" fontId="8" fillId="0" borderId="8" xfId="0" applyFont="1" applyBorder="1" applyAlignment="1">
      <alignment horizontal="left" vertical="center"/>
    </xf>
    <xf numFmtId="0" fontId="25" fillId="0" borderId="8" xfId="0" applyFont="1" applyBorder="1" applyAlignment="1">
      <alignment horizontal="left" vertical="center"/>
    </xf>
    <xf numFmtId="0" fontId="25" fillId="0" borderId="8" xfId="0" applyFont="1" applyBorder="1" applyAlignment="1">
      <alignment vertical="center"/>
    </xf>
    <xf numFmtId="0" fontId="25" fillId="0" borderId="1" xfId="0" applyFont="1" applyBorder="1" applyAlignment="1">
      <alignment horizontal="left" vertical="top"/>
    </xf>
    <xf numFmtId="0" fontId="6" fillId="22" borderId="1" xfId="0" applyFont="1" applyFill="1" applyBorder="1" applyAlignment="1">
      <alignment horizontal="left" vertical="center"/>
    </xf>
    <xf numFmtId="0" fontId="8" fillId="0" borderId="0" xfId="0" applyFont="1" applyAlignment="1">
      <alignment horizontal="left" vertical="top"/>
    </xf>
    <xf numFmtId="0" fontId="8" fillId="0" borderId="0" xfId="0" applyFont="1" applyAlignment="1">
      <alignment vertical="center"/>
    </xf>
    <xf numFmtId="0" fontId="8" fillId="0" borderId="9" xfId="0" applyFont="1" applyBorder="1" applyAlignment="1">
      <alignment horizontal="left" vertical="center"/>
    </xf>
    <xf numFmtId="0" fontId="6" fillId="0" borderId="9" xfId="8" applyNumberFormat="1" applyFont="1" applyFill="1" applyBorder="1" applyAlignment="1">
      <alignment horizontal="left" vertical="center"/>
    </xf>
    <xf numFmtId="0" fontId="6" fillId="0" borderId="9" xfId="1" applyFont="1" applyBorder="1" applyAlignment="1">
      <alignment horizontal="left" vertical="center"/>
    </xf>
    <xf numFmtId="0" fontId="6" fillId="0" borderId="0" xfId="1" applyFont="1" applyAlignment="1">
      <alignment horizontal="left" vertical="center"/>
    </xf>
    <xf numFmtId="0" fontId="6" fillId="0" borderId="1" xfId="8" applyNumberFormat="1" applyFont="1" applyFill="1" applyBorder="1" applyAlignment="1">
      <alignment horizontal="left" vertical="center"/>
    </xf>
    <xf numFmtId="0" fontId="6" fillId="0" borderId="1" xfId="1" applyFont="1" applyBorder="1" applyAlignment="1">
      <alignment horizontal="left" vertical="center"/>
    </xf>
    <xf numFmtId="0" fontId="49" fillId="0" borderId="1" xfId="0" applyFont="1" applyBorder="1" applyAlignment="1">
      <alignment horizontal="left" vertical="center"/>
    </xf>
    <xf numFmtId="0" fontId="8" fillId="0" borderId="65" xfId="0" applyFont="1" applyBorder="1" applyAlignment="1">
      <alignment vertical="center"/>
    </xf>
    <xf numFmtId="0" fontId="8" fillId="0" borderId="65" xfId="0" applyFont="1" applyBorder="1" applyAlignment="1">
      <alignment horizontal="left" vertical="center"/>
    </xf>
    <xf numFmtId="0" fontId="25" fillId="0" borderId="65" xfId="0" applyFont="1" applyBorder="1" applyAlignment="1">
      <alignment horizontal="left" vertical="center"/>
    </xf>
    <xf numFmtId="0" fontId="25" fillId="0" borderId="0" xfId="0" applyFont="1" applyAlignment="1">
      <alignment horizontal="left" vertical="center"/>
    </xf>
    <xf numFmtId="0" fontId="25" fillId="0" borderId="65" xfId="0" applyFont="1" applyBorder="1" applyAlignment="1">
      <alignment vertical="center"/>
    </xf>
    <xf numFmtId="0" fontId="8" fillId="0" borderId="9" xfId="0" applyFont="1" applyBorder="1" applyAlignment="1">
      <alignment vertical="center"/>
    </xf>
    <xf numFmtId="0" fontId="25" fillId="0" borderId="9" xfId="0" applyFont="1" applyBorder="1" applyAlignment="1">
      <alignment horizontal="left" vertical="center"/>
    </xf>
    <xf numFmtId="0" fontId="25" fillId="0" borderId="9" xfId="0" applyFont="1" applyBorder="1" applyAlignment="1">
      <alignment vertical="center"/>
    </xf>
    <xf numFmtId="0" fontId="9" fillId="16" borderId="12" xfId="0" applyFont="1" applyFill="1" applyBorder="1" applyAlignment="1">
      <alignment horizontal="center" vertical="center" wrapText="1"/>
    </xf>
    <xf numFmtId="0" fontId="8" fillId="0" borderId="17" xfId="0" applyFont="1" applyBorder="1"/>
    <xf numFmtId="0" fontId="8" fillId="0" borderId="13" xfId="0" applyFont="1" applyBorder="1"/>
    <xf numFmtId="0" fontId="8" fillId="0" borderId="61" xfId="0" applyFont="1" applyBorder="1"/>
    <xf numFmtId="0" fontId="8" fillId="0" borderId="1" xfId="0" applyFont="1" applyBorder="1" applyAlignment="1">
      <alignment horizontal="left" wrapText="1"/>
    </xf>
    <xf numFmtId="0" fontId="8" fillId="0" borderId="1" xfId="0" applyFont="1" applyBorder="1" applyAlignment="1">
      <alignment horizontal="center"/>
    </xf>
    <xf numFmtId="0" fontId="8" fillId="0" borderId="5" xfId="0" applyFont="1" applyBorder="1"/>
    <xf numFmtId="0" fontId="25" fillId="0" borderId="0" xfId="0" applyFont="1"/>
    <xf numFmtId="0" fontId="8" fillId="0" borderId="58" xfId="0" applyFont="1" applyBorder="1"/>
    <xf numFmtId="0" fontId="8" fillId="0" borderId="14" xfId="0" applyFont="1" applyBorder="1" applyAlignment="1">
      <alignment horizontal="left"/>
    </xf>
    <xf numFmtId="0" fontId="8" fillId="0" borderId="14" xfId="0" applyFont="1" applyBorder="1" applyAlignment="1">
      <alignment horizontal="left" wrapText="1"/>
    </xf>
    <xf numFmtId="0" fontId="8" fillId="0" borderId="14" xfId="0" applyFont="1" applyBorder="1" applyAlignment="1">
      <alignment horizontal="center"/>
    </xf>
    <xf numFmtId="0" fontId="25" fillId="22" borderId="1" xfId="0" applyFont="1" applyFill="1" applyBorder="1" applyAlignment="1">
      <alignment vertical="center" wrapText="1"/>
    </xf>
    <xf numFmtId="0" fontId="40" fillId="4" borderId="2" xfId="2" applyFont="1" applyFill="1" applyBorder="1" applyAlignment="1" applyProtection="1">
      <alignment horizontal="left" vertical="center"/>
    </xf>
    <xf numFmtId="0" fontId="40" fillId="4" borderId="4" xfId="2" applyFont="1" applyFill="1" applyBorder="1" applyAlignment="1" applyProtection="1">
      <alignment horizontal="left" vertical="center"/>
    </xf>
    <xf numFmtId="0" fontId="40" fillId="4" borderId="5" xfId="2" applyFont="1" applyFill="1" applyBorder="1" applyAlignment="1" applyProtection="1">
      <alignment horizontal="left" vertical="center"/>
    </xf>
    <xf numFmtId="0" fontId="51" fillId="0" borderId="32" xfId="0" applyFont="1" applyBorder="1" applyAlignment="1">
      <alignment horizontal="left" wrapText="1"/>
    </xf>
    <xf numFmtId="0" fontId="51" fillId="0" borderId="34" xfId="0" applyFont="1" applyBorder="1" applyAlignment="1">
      <alignment horizontal="left" wrapText="1"/>
    </xf>
    <xf numFmtId="0" fontId="51" fillId="0" borderId="33" xfId="0" applyFont="1" applyBorder="1" applyAlignment="1">
      <alignment horizontal="left" wrapText="1"/>
    </xf>
    <xf numFmtId="0" fontId="5" fillId="3" borderId="1" xfId="0" applyFont="1" applyFill="1" applyBorder="1" applyAlignment="1">
      <alignment horizontal="left" vertical="center"/>
    </xf>
    <xf numFmtId="0" fontId="6" fillId="0" borderId="1" xfId="0" applyFont="1" applyBorder="1" applyAlignment="1" applyProtection="1">
      <alignment horizontal="center"/>
      <protection locked="0"/>
    </xf>
    <xf numFmtId="0" fontId="5" fillId="3" borderId="1" xfId="0" applyFont="1" applyFill="1" applyBorder="1" applyAlignment="1">
      <alignment horizontal="left" vertical="center" wrapText="1"/>
    </xf>
    <xf numFmtId="0" fontId="5" fillId="14" borderId="1" xfId="0" applyFont="1" applyFill="1" applyBorder="1" applyAlignment="1">
      <alignment horizontal="center" vertical="center"/>
    </xf>
    <xf numFmtId="0" fontId="6" fillId="0" borderId="2" xfId="0" applyFont="1" applyBorder="1" applyAlignment="1" applyProtection="1">
      <alignment horizontal="center" vertical="center" wrapText="1"/>
      <protection locked="0"/>
    </xf>
    <xf numFmtId="0" fontId="6" fillId="0" borderId="5" xfId="0" applyFont="1" applyBorder="1" applyAlignment="1" applyProtection="1">
      <alignment horizontal="center" vertical="center" wrapText="1"/>
      <protection locked="0"/>
    </xf>
    <xf numFmtId="0" fontId="6" fillId="0" borderId="2" xfId="0" applyFont="1" applyBorder="1" applyAlignment="1" applyProtection="1">
      <alignment horizontal="center"/>
      <protection locked="0"/>
    </xf>
    <xf numFmtId="0" fontId="6" fillId="0" borderId="4" xfId="0" applyFont="1" applyBorder="1" applyAlignment="1" applyProtection="1">
      <alignment horizontal="center"/>
      <protection locked="0"/>
    </xf>
    <xf numFmtId="0" fontId="6" fillId="0" borderId="5" xfId="0" applyFont="1" applyBorder="1" applyAlignment="1" applyProtection="1">
      <alignment horizontal="center"/>
      <protection locked="0"/>
    </xf>
    <xf numFmtId="0" fontId="5" fillId="3" borderId="1" xfId="0" applyFont="1" applyFill="1" applyBorder="1" applyAlignment="1">
      <alignment horizontal="center" vertical="center" wrapText="1"/>
    </xf>
    <xf numFmtId="0" fontId="5" fillId="3" borderId="1" xfId="0" applyFont="1" applyFill="1" applyBorder="1"/>
    <xf numFmtId="0" fontId="6" fillId="6" borderId="1" xfId="0" applyFont="1" applyFill="1" applyBorder="1" applyAlignment="1" applyProtection="1">
      <alignment horizontal="center" vertical="center"/>
      <protection locked="0"/>
    </xf>
    <xf numFmtId="14" fontId="6" fillId="6" borderId="1" xfId="0" applyNumberFormat="1" applyFont="1" applyFill="1" applyBorder="1" applyAlignment="1" applyProtection="1">
      <alignment horizontal="center" vertical="center"/>
      <protection locked="0"/>
    </xf>
    <xf numFmtId="14" fontId="6" fillId="0" borderId="1" xfId="0" applyNumberFormat="1" applyFont="1" applyBorder="1" applyAlignment="1" applyProtection="1">
      <alignment vertical="center"/>
      <protection locked="0"/>
    </xf>
    <xf numFmtId="0" fontId="13" fillId="12"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5" fillId="3" borderId="2"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1" xfId="0" applyFont="1" applyFill="1" applyBorder="1" applyAlignment="1" applyProtection="1">
      <alignment horizontal="left" vertical="center"/>
      <protection locked="0"/>
    </xf>
    <xf numFmtId="0" fontId="5" fillId="3" borderId="1" xfId="0" applyFont="1" applyFill="1" applyBorder="1" applyProtection="1">
      <protection locked="0"/>
    </xf>
    <xf numFmtId="0" fontId="5" fillId="3" borderId="2" xfId="0" applyFont="1" applyFill="1" applyBorder="1" applyAlignment="1">
      <alignment horizontal="left" vertical="center"/>
    </xf>
    <xf numFmtId="0" fontId="5" fillId="3" borderId="5" xfId="0" applyFont="1" applyFill="1" applyBorder="1" applyAlignment="1">
      <alignment horizontal="left" vertical="center"/>
    </xf>
    <xf numFmtId="0" fontId="30" fillId="12" borderId="1" xfId="0" applyFont="1" applyFill="1" applyBorder="1" applyAlignment="1" applyProtection="1">
      <alignment horizontal="center" vertical="center"/>
      <protection locked="0"/>
    </xf>
    <xf numFmtId="0" fontId="41" fillId="12" borderId="1" xfId="0" applyFont="1" applyFill="1" applyBorder="1" applyAlignment="1">
      <alignment horizontal="center" vertical="center"/>
    </xf>
    <xf numFmtId="0" fontId="21" fillId="13" borderId="1" xfId="0" applyFont="1" applyFill="1" applyBorder="1" applyAlignment="1">
      <alignment horizontal="center" vertical="center"/>
    </xf>
    <xf numFmtId="0" fontId="22" fillId="13" borderId="1" xfId="0" applyFont="1" applyFill="1" applyBorder="1" applyAlignment="1">
      <alignment horizontal="center" vertical="center"/>
    </xf>
    <xf numFmtId="0" fontId="43" fillId="21" borderId="1" xfId="0" applyFont="1" applyFill="1" applyBorder="1" applyAlignment="1">
      <alignment horizontal="center" vertical="center" wrapText="1"/>
    </xf>
    <xf numFmtId="0" fontId="42" fillId="21" borderId="1" xfId="0" applyFont="1" applyFill="1" applyBorder="1" applyAlignment="1">
      <alignment horizontal="center" vertical="center"/>
    </xf>
    <xf numFmtId="0" fontId="28" fillId="12" borderId="1" xfId="0" applyFont="1" applyFill="1" applyBorder="1" applyAlignment="1">
      <alignment horizontal="center" vertical="center"/>
    </xf>
    <xf numFmtId="0" fontId="5" fillId="17" borderId="2" xfId="0" applyFont="1" applyFill="1" applyBorder="1" applyAlignment="1">
      <alignment horizontal="center" vertical="center" wrapText="1"/>
    </xf>
    <xf numFmtId="0" fontId="5" fillId="17" borderId="5" xfId="0" applyFont="1" applyFill="1" applyBorder="1" applyAlignment="1">
      <alignment horizontal="center" vertical="center" wrapText="1"/>
    </xf>
    <xf numFmtId="0" fontId="5" fillId="3" borderId="1" xfId="0" applyFont="1" applyFill="1" applyBorder="1" applyAlignment="1">
      <alignment horizontal="left" vertical="top" wrapText="1"/>
    </xf>
    <xf numFmtId="0" fontId="5" fillId="5" borderId="1" xfId="0" applyFont="1" applyFill="1" applyBorder="1" applyAlignment="1" applyProtection="1">
      <alignment horizontal="center" vertical="center"/>
      <protection locked="0"/>
    </xf>
    <xf numFmtId="0" fontId="5" fillId="14" borderId="2" xfId="0" applyFont="1" applyFill="1" applyBorder="1" applyAlignment="1" applyProtection="1">
      <alignment horizontal="center" vertical="center" wrapText="1"/>
      <protection hidden="1"/>
    </xf>
    <xf numFmtId="0" fontId="5" fillId="14" borderId="4" xfId="0" applyFont="1" applyFill="1" applyBorder="1" applyAlignment="1" applyProtection="1">
      <alignment horizontal="center" vertical="center" wrapText="1"/>
      <protection hidden="1"/>
    </xf>
    <xf numFmtId="0" fontId="5" fillId="14" borderId="5" xfId="0" applyFont="1" applyFill="1" applyBorder="1" applyAlignment="1" applyProtection="1">
      <alignment horizontal="center" vertical="center" wrapText="1"/>
      <protection hidden="1"/>
    </xf>
    <xf numFmtId="0" fontId="5" fillId="0" borderId="2"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6" fillId="3" borderId="1" xfId="0" applyFont="1" applyFill="1" applyBorder="1" applyAlignment="1">
      <alignment horizontal="left"/>
    </xf>
    <xf numFmtId="0" fontId="5" fillId="3" borderId="1" xfId="0" applyFont="1" applyFill="1" applyBorder="1" applyAlignment="1">
      <alignment horizontal="center" vertical="center"/>
    </xf>
    <xf numFmtId="0" fontId="6" fillId="3" borderId="1" xfId="0" applyFont="1" applyFill="1" applyBorder="1" applyAlignment="1">
      <alignment horizontal="center" vertical="center"/>
    </xf>
    <xf numFmtId="0" fontId="5" fillId="0" borderId="1" xfId="0" applyFont="1" applyBorder="1" applyAlignment="1" applyProtection="1">
      <alignment horizontal="left" vertical="center"/>
      <protection locked="0"/>
    </xf>
    <xf numFmtId="0" fontId="46" fillId="12" borderId="1" xfId="0" applyFont="1" applyFill="1" applyBorder="1" applyAlignment="1">
      <alignment horizontal="center" vertical="center"/>
    </xf>
    <xf numFmtId="0" fontId="48" fillId="12" borderId="23" xfId="0" applyFont="1" applyFill="1" applyBorder="1" applyAlignment="1">
      <alignment horizontal="center" vertical="center"/>
    </xf>
    <xf numFmtId="0" fontId="48" fillId="12" borderId="28" xfId="0" applyFont="1" applyFill="1" applyBorder="1" applyAlignment="1">
      <alignment horizontal="center" vertical="center"/>
    </xf>
    <xf numFmtId="0" fontId="48" fillId="12" borderId="24" xfId="0" applyFont="1" applyFill="1" applyBorder="1" applyAlignment="1">
      <alignment horizontal="center" vertical="center"/>
    </xf>
    <xf numFmtId="0" fontId="51" fillId="0" borderId="21" xfId="0" applyFont="1" applyBorder="1" applyAlignment="1">
      <alignment horizontal="left" vertical="center" wrapText="1"/>
    </xf>
    <xf numFmtId="0" fontId="51" fillId="0" borderId="22" xfId="0" applyFont="1" applyBorder="1" applyAlignment="1">
      <alignment horizontal="left" vertical="center" wrapText="1"/>
    </xf>
    <xf numFmtId="0" fontId="3" fillId="3" borderId="20" xfId="0" applyFont="1" applyFill="1" applyBorder="1" applyAlignment="1">
      <alignment horizontal="center" vertical="center" wrapText="1"/>
    </xf>
    <xf numFmtId="0" fontId="9" fillId="7" borderId="20" xfId="0" applyFont="1" applyFill="1" applyBorder="1" applyAlignment="1">
      <alignment horizontal="center" vertical="center"/>
    </xf>
    <xf numFmtId="0" fontId="3" fillId="3" borderId="20" xfId="0" applyFont="1" applyFill="1" applyBorder="1" applyAlignment="1">
      <alignment horizontal="left" vertical="center" wrapText="1"/>
    </xf>
    <xf numFmtId="0" fontId="8" fillId="3" borderId="20" xfId="0" applyFont="1" applyFill="1" applyBorder="1" applyAlignment="1">
      <alignment horizontal="left" vertical="center" wrapText="1"/>
    </xf>
    <xf numFmtId="0" fontId="9" fillId="3" borderId="20" xfId="0" applyFont="1" applyFill="1" applyBorder="1" applyAlignment="1">
      <alignment horizontal="center" vertical="center"/>
    </xf>
    <xf numFmtId="0" fontId="9" fillId="3" borderId="23" xfId="0" applyFont="1" applyFill="1" applyBorder="1" applyAlignment="1">
      <alignment vertical="center"/>
    </xf>
    <xf numFmtId="0" fontId="9" fillId="3" borderId="24" xfId="0" applyFont="1" applyFill="1" applyBorder="1" applyAlignment="1">
      <alignment vertical="center"/>
    </xf>
    <xf numFmtId="0" fontId="13" fillId="7" borderId="20" xfId="0" applyFont="1" applyFill="1" applyBorder="1" applyAlignment="1">
      <alignment horizontal="center" vertical="center"/>
    </xf>
    <xf numFmtId="0" fontId="3" fillId="4" borderId="20" xfId="0" applyFont="1" applyFill="1" applyBorder="1" applyAlignment="1">
      <alignment horizontal="left" vertical="center" wrapText="1"/>
    </xf>
    <xf numFmtId="0" fontId="8" fillId="4" borderId="20" xfId="0" applyFont="1" applyFill="1" applyBorder="1" applyAlignment="1">
      <alignment horizontal="left" vertical="center" wrapText="1"/>
    </xf>
    <xf numFmtId="0" fontId="18" fillId="4" borderId="20" xfId="0" applyFont="1" applyFill="1" applyBorder="1" applyAlignment="1">
      <alignment horizontal="left" vertical="center" wrapText="1"/>
    </xf>
    <xf numFmtId="0" fontId="36" fillId="3" borderId="39" xfId="0" applyFont="1" applyFill="1" applyBorder="1" applyAlignment="1">
      <alignment horizontal="left" vertical="center" wrapText="1"/>
    </xf>
    <xf numFmtId="0" fontId="36" fillId="3" borderId="48" xfId="0" applyFont="1" applyFill="1" applyBorder="1" applyAlignment="1">
      <alignment horizontal="left" vertical="center" wrapText="1"/>
    </xf>
    <xf numFmtId="0" fontId="36" fillId="3" borderId="40" xfId="0" applyFont="1" applyFill="1" applyBorder="1" applyAlignment="1">
      <alignment horizontal="left" vertical="center" wrapText="1"/>
    </xf>
    <xf numFmtId="0" fontId="36" fillId="3" borderId="54" xfId="0" applyFont="1" applyFill="1" applyBorder="1" applyAlignment="1">
      <alignment horizontal="left" vertical="center" wrapText="1"/>
    </xf>
    <xf numFmtId="0" fontId="36" fillId="3" borderId="63" xfId="0" applyFont="1" applyFill="1" applyBorder="1" applyAlignment="1">
      <alignment horizontal="left" vertical="center" wrapText="1"/>
    </xf>
    <xf numFmtId="0" fontId="36" fillId="3" borderId="55" xfId="0" applyFont="1" applyFill="1" applyBorder="1" applyAlignment="1">
      <alignment horizontal="left" vertical="center" wrapText="1"/>
    </xf>
    <xf numFmtId="0" fontId="13" fillId="12" borderId="20" xfId="0" applyFont="1" applyFill="1" applyBorder="1" applyAlignment="1">
      <alignment horizontal="center" vertical="center"/>
    </xf>
    <xf numFmtId="0" fontId="33" fillId="12" borderId="20" xfId="0" applyFont="1" applyFill="1" applyBorder="1" applyAlignment="1">
      <alignment horizontal="center" vertical="center"/>
    </xf>
    <xf numFmtId="0" fontId="30" fillId="12" borderId="1" xfId="0" applyFont="1" applyFill="1" applyBorder="1" applyAlignment="1">
      <alignment horizontal="center" vertical="center"/>
    </xf>
    <xf numFmtId="0" fontId="31" fillId="12" borderId="1" xfId="0" applyFont="1" applyFill="1" applyBorder="1" applyAlignment="1">
      <alignment horizontal="center" vertical="center"/>
    </xf>
    <xf numFmtId="0" fontId="17" fillId="4" borderId="20" xfId="0" applyFont="1" applyFill="1" applyBorder="1" applyAlignment="1">
      <alignment horizontal="left" vertical="center" wrapText="1"/>
    </xf>
    <xf numFmtId="165" fontId="12" fillId="5" borderId="1" xfId="0" applyNumberFormat="1" applyFont="1" applyFill="1" applyBorder="1" applyAlignment="1">
      <alignment horizontal="center" vertical="center"/>
    </xf>
    <xf numFmtId="0" fontId="44" fillId="9" borderId="1" xfId="0" applyFont="1" applyFill="1" applyBorder="1" applyAlignment="1">
      <alignment horizontal="left" vertical="center"/>
    </xf>
    <xf numFmtId="0" fontId="28" fillId="12" borderId="9" xfId="0" applyFont="1" applyFill="1" applyBorder="1" applyAlignment="1">
      <alignment horizontal="center" vertical="center"/>
    </xf>
    <xf numFmtId="0" fontId="29" fillId="12" borderId="9" xfId="0" applyFont="1" applyFill="1" applyBorder="1" applyAlignment="1">
      <alignment horizontal="center" vertical="center"/>
    </xf>
    <xf numFmtId="0" fontId="2" fillId="3" borderId="20" xfId="0" applyFont="1" applyFill="1" applyBorder="1" applyAlignment="1">
      <alignment horizontal="left" vertical="center" wrapText="1"/>
    </xf>
    <xf numFmtId="0" fontId="9" fillId="3" borderId="20" xfId="0" applyFont="1" applyFill="1" applyBorder="1" applyAlignment="1">
      <alignment horizontal="left" vertical="center" wrapText="1"/>
    </xf>
    <xf numFmtId="0" fontId="16" fillId="3" borderId="20" xfId="0" applyFont="1" applyFill="1" applyBorder="1" applyAlignment="1">
      <alignment horizontal="left" vertical="center" wrapText="1"/>
    </xf>
    <xf numFmtId="0" fontId="24" fillId="3" borderId="20" xfId="0" applyFont="1" applyFill="1" applyBorder="1" applyAlignment="1">
      <alignment horizontal="left" vertical="center" wrapText="1"/>
    </xf>
    <xf numFmtId="0" fontId="25" fillId="3" borderId="20" xfId="0" applyFont="1" applyFill="1" applyBorder="1" applyAlignment="1">
      <alignment horizontal="center" vertical="center"/>
    </xf>
    <xf numFmtId="0" fontId="9" fillId="8" borderId="20" xfId="0" applyFont="1" applyFill="1" applyBorder="1" applyAlignment="1">
      <alignment horizontal="center" vertical="center" wrapText="1"/>
    </xf>
    <xf numFmtId="0" fontId="9" fillId="3" borderId="24" xfId="0" applyFont="1" applyFill="1" applyBorder="1" applyAlignment="1">
      <alignment horizontal="center" vertical="center" wrapText="1"/>
    </xf>
    <xf numFmtId="0" fontId="9" fillId="3" borderId="20" xfId="0" applyFont="1" applyFill="1" applyBorder="1" applyAlignment="1">
      <alignment horizontal="center" vertical="center" wrapText="1"/>
    </xf>
    <xf numFmtId="0" fontId="9" fillId="3" borderId="40" xfId="0" applyFont="1" applyFill="1" applyBorder="1" applyAlignment="1">
      <alignment horizontal="center" vertical="center" wrapText="1"/>
    </xf>
    <xf numFmtId="0" fontId="9" fillId="3" borderId="25" xfId="0" applyFont="1" applyFill="1" applyBorder="1" applyAlignment="1">
      <alignment horizontal="center" vertical="center" wrapText="1"/>
    </xf>
    <xf numFmtId="0" fontId="24" fillId="3" borderId="39" xfId="0" applyFont="1" applyFill="1" applyBorder="1" applyAlignment="1">
      <alignment horizontal="left" vertical="center" wrapText="1"/>
    </xf>
    <xf numFmtId="0" fontId="24" fillId="3" borderId="48" xfId="0" applyFont="1" applyFill="1" applyBorder="1" applyAlignment="1">
      <alignment horizontal="left" vertical="center" wrapText="1"/>
    </xf>
    <xf numFmtId="0" fontId="24" fillId="3" borderId="51" xfId="0" applyFont="1" applyFill="1" applyBorder="1" applyAlignment="1">
      <alignment horizontal="left" vertical="center" wrapText="1"/>
    </xf>
    <xf numFmtId="0" fontId="24" fillId="3" borderId="49" xfId="0" applyFont="1" applyFill="1" applyBorder="1" applyAlignment="1">
      <alignment horizontal="left" vertical="center" wrapText="1"/>
    </xf>
    <xf numFmtId="0" fontId="24" fillId="3" borderId="0" xfId="0" applyFont="1" applyFill="1" applyAlignment="1">
      <alignment horizontal="left" vertical="center" wrapText="1"/>
    </xf>
    <xf numFmtId="0" fontId="24" fillId="3" borderId="45" xfId="0" applyFont="1" applyFill="1" applyBorder="1" applyAlignment="1">
      <alignment horizontal="left" vertical="center" wrapText="1"/>
    </xf>
    <xf numFmtId="0" fontId="24" fillId="3" borderId="50" xfId="0" applyFont="1" applyFill="1" applyBorder="1" applyAlignment="1">
      <alignment horizontal="left" vertical="center" wrapText="1"/>
    </xf>
    <xf numFmtId="0" fontId="24" fillId="3" borderId="43" xfId="0" applyFont="1" applyFill="1" applyBorder="1" applyAlignment="1">
      <alignment horizontal="left" vertical="center" wrapText="1"/>
    </xf>
    <xf numFmtId="0" fontId="24" fillId="3" borderId="44" xfId="0" applyFont="1" applyFill="1" applyBorder="1" applyAlignment="1">
      <alignment horizontal="left" vertical="center" wrapText="1"/>
    </xf>
    <xf numFmtId="0" fontId="8" fillId="0" borderId="1" xfId="0" applyFont="1" applyBorder="1" applyAlignment="1" applyProtection="1">
      <alignment horizontal="center" vertical="center"/>
      <protection locked="0"/>
    </xf>
    <xf numFmtId="0" fontId="25" fillId="3" borderId="1" xfId="0" applyFont="1" applyFill="1" applyBorder="1" applyAlignment="1">
      <alignment horizontal="left" vertical="center" wrapText="1"/>
    </xf>
    <xf numFmtId="0" fontId="24" fillId="3" borderId="1" xfId="0" applyFont="1" applyFill="1" applyBorder="1" applyAlignment="1">
      <alignment horizontal="left" vertical="center" wrapText="1"/>
    </xf>
    <xf numFmtId="0" fontId="24" fillId="3" borderId="23" xfId="0" applyFont="1" applyFill="1" applyBorder="1" applyAlignment="1">
      <alignment horizontal="center" vertical="center" wrapText="1"/>
    </xf>
    <xf numFmtId="0" fontId="24" fillId="3" borderId="28" xfId="0" applyFont="1" applyFill="1" applyBorder="1" applyAlignment="1">
      <alignment horizontal="center" vertical="center" wrapText="1"/>
    </xf>
    <xf numFmtId="0" fontId="24" fillId="3" borderId="24" xfId="0" applyFont="1" applyFill="1" applyBorder="1" applyAlignment="1">
      <alignment horizontal="center" vertical="center" wrapText="1"/>
    </xf>
    <xf numFmtId="0" fontId="25" fillId="3" borderId="20" xfId="0" applyFont="1" applyFill="1" applyBorder="1" applyAlignment="1">
      <alignment horizontal="left" vertical="center" wrapText="1"/>
    </xf>
    <xf numFmtId="0" fontId="27" fillId="12" borderId="20" xfId="0" applyFont="1" applyFill="1" applyBorder="1" applyAlignment="1">
      <alignment horizontal="center" vertical="center"/>
    </xf>
    <xf numFmtId="0" fontId="9" fillId="3" borderId="9" xfId="0" applyFont="1" applyFill="1" applyBorder="1" applyAlignment="1">
      <alignment horizontal="center" vertical="center"/>
    </xf>
    <xf numFmtId="0" fontId="9" fillId="18" borderId="1" xfId="0" applyFont="1" applyFill="1" applyBorder="1" applyAlignment="1">
      <alignment horizontal="center" vertical="center"/>
    </xf>
    <xf numFmtId="0" fontId="9" fillId="18" borderId="2" xfId="0" applyFont="1" applyFill="1" applyBorder="1" applyAlignment="1">
      <alignment horizontal="center" vertical="center"/>
    </xf>
    <xf numFmtId="0" fontId="9" fillId="18" borderId="5" xfId="0" applyFont="1" applyFill="1" applyBorder="1" applyAlignment="1">
      <alignment horizontal="center" vertical="center"/>
    </xf>
    <xf numFmtId="0" fontId="37" fillId="12" borderId="20" xfId="0" applyFont="1" applyFill="1" applyBorder="1" applyAlignment="1">
      <alignment horizontal="center" vertical="center"/>
    </xf>
    <xf numFmtId="0" fontId="8" fillId="15" borderId="20" xfId="0" applyFont="1" applyFill="1" applyBorder="1" applyAlignment="1" applyProtection="1">
      <alignment horizontal="center" vertical="center" wrapText="1"/>
      <protection locked="0"/>
    </xf>
    <xf numFmtId="0" fontId="44" fillId="9" borderId="20" xfId="0" applyFont="1" applyFill="1" applyBorder="1" applyAlignment="1">
      <alignment horizontal="left" vertical="center"/>
    </xf>
    <xf numFmtId="0" fontId="34" fillId="12" borderId="20" xfId="0" applyFont="1" applyFill="1" applyBorder="1" applyAlignment="1">
      <alignment horizontal="center" vertical="center" wrapText="1"/>
    </xf>
    <xf numFmtId="0" fontId="9" fillId="3" borderId="23" xfId="0" applyFont="1" applyFill="1" applyBorder="1" applyAlignment="1">
      <alignment horizontal="center" vertical="center"/>
    </xf>
    <xf numFmtId="0" fontId="9" fillId="3" borderId="28" xfId="0" applyFont="1" applyFill="1" applyBorder="1" applyAlignment="1">
      <alignment horizontal="center" vertical="center"/>
    </xf>
    <xf numFmtId="0" fontId="8" fillId="0" borderId="23" xfId="0" applyFont="1" applyBorder="1" applyAlignment="1" applyProtection="1">
      <alignment horizontal="center" vertical="center"/>
      <protection locked="0"/>
    </xf>
    <xf numFmtId="0" fontId="8" fillId="0" borderId="28" xfId="0" applyFont="1" applyBorder="1" applyAlignment="1" applyProtection="1">
      <alignment horizontal="center" vertical="center"/>
      <protection locked="0"/>
    </xf>
    <xf numFmtId="0" fontId="8" fillId="19" borderId="23" xfId="0" applyFont="1" applyFill="1" applyBorder="1" applyAlignment="1">
      <alignment horizontal="center" vertical="center"/>
    </xf>
    <xf numFmtId="0" fontId="8" fillId="19" borderId="28" xfId="0" applyFont="1" applyFill="1" applyBorder="1" applyAlignment="1">
      <alignment horizontal="center" vertical="center"/>
    </xf>
    <xf numFmtId="0" fontId="8" fillId="0" borderId="24" xfId="0" applyFont="1" applyBorder="1" applyAlignment="1" applyProtection="1">
      <alignment horizontal="center" vertical="center"/>
      <protection locked="0"/>
    </xf>
    <xf numFmtId="0" fontId="30" fillId="12" borderId="20" xfId="0" applyFont="1" applyFill="1" applyBorder="1" applyAlignment="1">
      <alignment horizontal="center" vertical="center"/>
    </xf>
    <xf numFmtId="165" fontId="12" fillId="5" borderId="20" xfId="0" applyNumberFormat="1" applyFont="1" applyFill="1" applyBorder="1" applyAlignment="1">
      <alignment horizontal="center" vertical="center"/>
    </xf>
    <xf numFmtId="0" fontId="8" fillId="0" borderId="20" xfId="0" applyFont="1" applyBorder="1" applyAlignment="1" applyProtection="1">
      <alignment horizontal="center" vertical="center"/>
      <protection locked="0"/>
    </xf>
    <xf numFmtId="0" fontId="7" fillId="12" borderId="20" xfId="0" applyFont="1" applyFill="1" applyBorder="1" applyAlignment="1">
      <alignment horizontal="center" vertical="center"/>
    </xf>
    <xf numFmtId="0" fontId="24" fillId="3" borderId="26" xfId="0" applyFont="1" applyFill="1" applyBorder="1" applyAlignment="1">
      <alignment horizontal="left" vertical="center" wrapText="1"/>
    </xf>
    <xf numFmtId="0" fontId="8" fillId="0" borderId="41" xfId="0" applyFont="1" applyBorder="1" applyAlignment="1" applyProtection="1">
      <alignment horizontal="center" vertical="center"/>
      <protection locked="0"/>
    </xf>
    <xf numFmtId="0" fontId="8" fillId="0" borderId="42" xfId="0" applyFont="1" applyBorder="1" applyAlignment="1" applyProtection="1">
      <alignment horizontal="center" vertical="center"/>
      <protection locked="0"/>
    </xf>
    <xf numFmtId="0" fontId="24" fillId="3" borderId="2" xfId="0" applyFont="1" applyFill="1" applyBorder="1" applyAlignment="1">
      <alignment horizontal="left" vertical="center" wrapText="1"/>
    </xf>
    <xf numFmtId="0" fontId="24" fillId="3" borderId="5" xfId="0" applyFont="1" applyFill="1" applyBorder="1" applyAlignment="1">
      <alignment horizontal="left" vertical="center" wrapText="1"/>
    </xf>
    <xf numFmtId="0" fontId="51" fillId="0" borderId="32" xfId="0" applyFont="1" applyBorder="1" applyAlignment="1">
      <alignment horizontal="left" vertical="center" wrapText="1"/>
    </xf>
    <xf numFmtId="0" fontId="51" fillId="0" borderId="33" xfId="0" applyFont="1" applyBorder="1" applyAlignment="1">
      <alignment horizontal="left" vertical="center" wrapText="1"/>
    </xf>
    <xf numFmtId="0" fontId="51" fillId="0" borderId="34" xfId="0" applyFont="1" applyBorder="1" applyAlignment="1">
      <alignment horizontal="left" vertical="center" wrapText="1"/>
    </xf>
    <xf numFmtId="0" fontId="24" fillId="3" borderId="6" xfId="0" applyFont="1" applyFill="1" applyBorder="1" applyAlignment="1">
      <alignment horizontal="left" vertical="center" wrapText="1"/>
    </xf>
    <xf numFmtId="0" fontId="24" fillId="3" borderId="11" xfId="0" applyFont="1" applyFill="1" applyBorder="1" applyAlignment="1">
      <alignment horizontal="left" vertical="center" wrapText="1"/>
    </xf>
    <xf numFmtId="0" fontId="24" fillId="3" borderId="10" xfId="0" applyFont="1" applyFill="1" applyBorder="1" applyAlignment="1">
      <alignment horizontal="left" vertical="center" wrapText="1"/>
    </xf>
    <xf numFmtId="0" fontId="24" fillId="3" borderId="18" xfId="0" applyFont="1" applyFill="1" applyBorder="1" applyAlignment="1">
      <alignment horizontal="left" vertical="center" wrapText="1"/>
    </xf>
    <xf numFmtId="0" fontId="24" fillId="3" borderId="3" xfId="0" applyFont="1" applyFill="1" applyBorder="1" applyAlignment="1">
      <alignment horizontal="left" vertical="center" wrapText="1"/>
    </xf>
    <xf numFmtId="0" fontId="51" fillId="0" borderId="35" xfId="0" applyFont="1" applyBorder="1" applyAlignment="1">
      <alignment horizontal="left" vertical="center" wrapText="1"/>
    </xf>
    <xf numFmtId="0" fontId="24" fillId="3" borderId="20" xfId="0" applyFont="1" applyFill="1" applyBorder="1" applyAlignment="1">
      <alignment horizontal="center" vertical="center" wrapText="1"/>
    </xf>
    <xf numFmtId="0" fontId="42" fillId="0" borderId="21" xfId="0" applyFont="1" applyBorder="1" applyAlignment="1">
      <alignment horizontal="left" vertical="center" wrapText="1"/>
    </xf>
    <xf numFmtId="0" fontId="42" fillId="0" borderId="22" xfId="0" applyFont="1" applyBorder="1" applyAlignment="1">
      <alignment horizontal="left" vertical="center" wrapText="1"/>
    </xf>
    <xf numFmtId="0" fontId="9" fillId="3" borderId="2" xfId="0" applyFont="1" applyFill="1" applyBorder="1" applyAlignment="1">
      <alignment horizontal="center" vertical="center"/>
    </xf>
    <xf numFmtId="0" fontId="9" fillId="3" borderId="5" xfId="0" applyFont="1" applyFill="1" applyBorder="1" applyAlignment="1">
      <alignment horizontal="center" vertical="center"/>
    </xf>
    <xf numFmtId="0" fontId="9" fillId="3" borderId="1" xfId="0" applyFont="1" applyFill="1" applyBorder="1" applyAlignment="1">
      <alignment horizontal="center" vertical="center"/>
    </xf>
    <xf numFmtId="0" fontId="37" fillId="12" borderId="25" xfId="0" applyFont="1" applyFill="1" applyBorder="1" applyAlignment="1">
      <alignment horizontal="center" vertical="center"/>
    </xf>
    <xf numFmtId="0" fontId="8" fillId="6" borderId="24" xfId="0" applyFont="1" applyFill="1" applyBorder="1" applyAlignment="1" applyProtection="1">
      <alignment horizontal="center" vertical="center"/>
      <protection locked="0"/>
    </xf>
    <xf numFmtId="0" fontId="8" fillId="6" borderId="20" xfId="0" applyFont="1" applyFill="1" applyBorder="1" applyAlignment="1" applyProtection="1">
      <alignment horizontal="center" vertical="center"/>
      <protection locked="0"/>
    </xf>
    <xf numFmtId="0" fontId="3" fillId="3" borderId="2" xfId="0" applyFont="1" applyFill="1" applyBorder="1" applyAlignment="1">
      <alignment horizontal="left" vertical="center"/>
    </xf>
    <xf numFmtId="0" fontId="8" fillId="3" borderId="4" xfId="0" applyFont="1" applyFill="1" applyBorder="1" applyAlignment="1">
      <alignment horizontal="left" vertical="center"/>
    </xf>
    <xf numFmtId="0" fontId="9" fillId="3" borderId="24" xfId="0" applyFont="1" applyFill="1" applyBorder="1" applyAlignment="1">
      <alignment horizontal="center" vertical="center"/>
    </xf>
    <xf numFmtId="0" fontId="8" fillId="3" borderId="23" xfId="0" applyFont="1" applyFill="1" applyBorder="1" applyAlignment="1">
      <alignment horizontal="left" vertical="center" wrapText="1"/>
    </xf>
    <xf numFmtId="0" fontId="8" fillId="3" borderId="28" xfId="0" applyFont="1" applyFill="1" applyBorder="1" applyAlignment="1">
      <alignment horizontal="left" vertical="center" wrapText="1"/>
    </xf>
    <xf numFmtId="0" fontId="8" fillId="3" borderId="24" xfId="0" applyFont="1" applyFill="1" applyBorder="1" applyAlignment="1">
      <alignment horizontal="left" vertical="center" wrapText="1"/>
    </xf>
    <xf numFmtId="0" fontId="14" fillId="12" borderId="20" xfId="0" applyFont="1" applyFill="1" applyBorder="1" applyAlignment="1">
      <alignment horizontal="center" vertical="center"/>
    </xf>
    <xf numFmtId="0" fontId="13" fillId="10" borderId="25" xfId="0" applyFont="1" applyFill="1" applyBorder="1" applyAlignment="1">
      <alignment horizontal="center" vertical="center"/>
    </xf>
    <xf numFmtId="0" fontId="13" fillId="10" borderId="20" xfId="0" applyFont="1" applyFill="1" applyBorder="1" applyAlignment="1">
      <alignment horizontal="center" vertical="center"/>
    </xf>
    <xf numFmtId="0" fontId="8" fillId="3" borderId="20" xfId="0" applyFont="1" applyFill="1" applyBorder="1" applyAlignment="1">
      <alignment horizontal="left" vertical="center"/>
    </xf>
    <xf numFmtId="0" fontId="9" fillId="8" borderId="20" xfId="0" applyFont="1" applyFill="1" applyBorder="1" applyAlignment="1">
      <alignment horizontal="center" vertical="center"/>
    </xf>
    <xf numFmtId="0" fontId="8" fillId="0" borderId="20" xfId="0" applyFont="1" applyBorder="1" applyAlignment="1" applyProtection="1">
      <alignment horizontal="center" vertical="center" wrapText="1"/>
      <protection locked="0"/>
    </xf>
    <xf numFmtId="0" fontId="13" fillId="10" borderId="1" xfId="0" applyFont="1" applyFill="1" applyBorder="1" applyAlignment="1">
      <alignment horizontal="center" vertical="center"/>
    </xf>
    <xf numFmtId="0" fontId="13" fillId="10" borderId="2" xfId="0" applyFont="1" applyFill="1" applyBorder="1" applyAlignment="1">
      <alignment horizontal="center" vertical="center"/>
    </xf>
    <xf numFmtId="0" fontId="5" fillId="7" borderId="20" xfId="0" applyFont="1" applyFill="1" applyBorder="1" applyAlignment="1">
      <alignment horizontal="left" vertical="center" wrapText="1"/>
    </xf>
    <xf numFmtId="0" fontId="9" fillId="11" borderId="20" xfId="0" applyFont="1" applyFill="1" applyBorder="1" applyAlignment="1">
      <alignment horizontal="center" vertical="center"/>
    </xf>
    <xf numFmtId="0" fontId="8" fillId="3" borderId="23" xfId="0" applyFont="1" applyFill="1" applyBorder="1" applyAlignment="1" applyProtection="1">
      <alignment horizontal="left" vertical="center" wrapText="1"/>
      <protection locked="0"/>
    </xf>
    <xf numFmtId="0" fontId="9" fillId="3" borderId="28" xfId="0" applyFont="1" applyFill="1" applyBorder="1" applyAlignment="1" applyProtection="1">
      <alignment horizontal="left" vertical="center" wrapText="1"/>
      <protection locked="0"/>
    </xf>
    <xf numFmtId="0" fontId="9" fillId="3" borderId="24" xfId="0" applyFont="1" applyFill="1" applyBorder="1" applyAlignment="1" applyProtection="1">
      <alignment horizontal="left" vertical="center" wrapText="1"/>
      <protection locked="0"/>
    </xf>
    <xf numFmtId="0" fontId="8" fillId="6" borderId="28" xfId="0" applyFont="1" applyFill="1" applyBorder="1" applyAlignment="1" applyProtection="1">
      <alignment horizontal="center" vertical="center"/>
      <protection locked="0"/>
    </xf>
    <xf numFmtId="0" fontId="23" fillId="12" borderId="20" xfId="0" applyFont="1" applyFill="1" applyBorder="1" applyAlignment="1">
      <alignment horizontal="center"/>
    </xf>
    <xf numFmtId="0" fontId="8" fillId="3" borderId="2" xfId="0" applyFont="1" applyFill="1" applyBorder="1" applyAlignment="1" applyProtection="1">
      <alignment horizontal="left" vertical="center"/>
      <protection locked="0"/>
    </xf>
    <xf numFmtId="0" fontId="8" fillId="3" borderId="4" xfId="0" applyFont="1" applyFill="1" applyBorder="1" applyAlignment="1" applyProtection="1">
      <alignment horizontal="left" vertical="center"/>
      <protection locked="0"/>
    </xf>
    <xf numFmtId="0" fontId="8" fillId="7" borderId="20" xfId="0" applyFont="1" applyFill="1" applyBorder="1" applyAlignment="1">
      <alignment horizontal="left" vertical="center"/>
    </xf>
    <xf numFmtId="0" fontId="3" fillId="3" borderId="4" xfId="0" applyFont="1" applyFill="1" applyBorder="1" applyAlignment="1">
      <alignment horizontal="left" vertical="center"/>
    </xf>
    <xf numFmtId="0" fontId="3" fillId="3" borderId="64" xfId="0" applyFont="1" applyFill="1" applyBorder="1" applyAlignment="1">
      <alignment horizontal="left" vertical="center"/>
    </xf>
    <xf numFmtId="0" fontId="8" fillId="6" borderId="23" xfId="0" applyFont="1" applyFill="1" applyBorder="1" applyAlignment="1" applyProtection="1">
      <alignment horizontal="center" vertical="center"/>
      <protection locked="0"/>
    </xf>
    <xf numFmtId="1" fontId="8" fillId="0" borderId="23" xfId="0" applyNumberFormat="1" applyFont="1" applyBorder="1" applyAlignment="1" applyProtection="1">
      <alignment horizontal="center" vertical="center"/>
      <protection locked="0"/>
    </xf>
    <xf numFmtId="1" fontId="8" fillId="0" borderId="28" xfId="0" applyNumberFormat="1" applyFont="1" applyBorder="1" applyAlignment="1" applyProtection="1">
      <alignment horizontal="center" vertical="center"/>
      <protection locked="0"/>
    </xf>
    <xf numFmtId="1" fontId="8" fillId="0" borderId="24" xfId="0" applyNumberFormat="1" applyFont="1" applyBorder="1" applyAlignment="1" applyProtection="1">
      <alignment horizontal="center" vertical="center"/>
      <protection locked="0"/>
    </xf>
    <xf numFmtId="1" fontId="8" fillId="0" borderId="41" xfId="0" applyNumberFormat="1" applyFont="1" applyBorder="1" applyAlignment="1" applyProtection="1">
      <alignment horizontal="center" vertical="center"/>
      <protection locked="0"/>
    </xf>
    <xf numFmtId="1" fontId="8" fillId="0" borderId="47" xfId="0" applyNumberFormat="1" applyFont="1" applyBorder="1" applyAlignment="1" applyProtection="1">
      <alignment horizontal="center" vertical="center"/>
      <protection locked="0"/>
    </xf>
    <xf numFmtId="1" fontId="8" fillId="0" borderId="46" xfId="0" applyNumberFormat="1" applyFont="1" applyBorder="1" applyAlignment="1" applyProtection="1">
      <alignment horizontal="center" vertical="center"/>
      <protection locked="0"/>
    </xf>
    <xf numFmtId="0" fontId="8" fillId="6" borderId="1" xfId="0" applyFont="1" applyFill="1" applyBorder="1" applyAlignment="1" applyProtection="1">
      <alignment horizontal="center" vertical="center" wrapText="1"/>
      <protection locked="0"/>
    </xf>
    <xf numFmtId="0" fontId="3" fillId="3" borderId="1" xfId="0" applyFont="1" applyFill="1" applyBorder="1" applyAlignment="1" applyProtection="1">
      <alignment horizontal="left" vertical="center" wrapText="1"/>
      <protection locked="0"/>
    </xf>
    <xf numFmtId="0" fontId="8" fillId="3" borderId="1" xfId="0" applyFont="1" applyFill="1" applyBorder="1" applyAlignment="1" applyProtection="1">
      <alignment horizontal="left" vertical="center" wrapText="1"/>
      <protection locked="0"/>
    </xf>
    <xf numFmtId="0" fontId="51" fillId="0" borderId="16" xfId="0" applyFont="1" applyBorder="1" applyAlignment="1">
      <alignment horizontal="left" vertical="center" wrapText="1"/>
    </xf>
    <xf numFmtId="0" fontId="51" fillId="0" borderId="19" xfId="0" applyFont="1" applyBorder="1" applyAlignment="1">
      <alignment horizontal="left" vertical="center" wrapText="1"/>
    </xf>
    <xf numFmtId="0" fontId="51" fillId="0" borderId="62" xfId="0" applyFont="1" applyBorder="1" applyAlignment="1">
      <alignment horizontal="left" vertical="center" wrapText="1"/>
    </xf>
    <xf numFmtId="0" fontId="6" fillId="3" borderId="20" xfId="0" applyFont="1" applyFill="1" applyBorder="1" applyAlignment="1">
      <alignment horizontal="left" vertical="center" wrapText="1"/>
    </xf>
    <xf numFmtId="0" fontId="51" fillId="0" borderId="33" xfId="0" applyFont="1" applyBorder="1" applyAlignment="1">
      <alignment horizontal="left" vertical="center"/>
    </xf>
    <xf numFmtId="0" fontId="51" fillId="0" borderId="34" xfId="0" applyFont="1" applyBorder="1" applyAlignment="1">
      <alignment horizontal="left" vertical="center"/>
    </xf>
    <xf numFmtId="0" fontId="8" fillId="3" borderId="1" xfId="0" applyFont="1" applyFill="1" applyBorder="1" applyAlignment="1">
      <alignment horizontal="left" vertical="center" wrapText="1"/>
    </xf>
    <xf numFmtId="0" fontId="8" fillId="0" borderId="1" xfId="0" applyFont="1" applyBorder="1" applyAlignment="1" applyProtection="1">
      <alignment horizontal="center" vertical="center" wrapText="1"/>
      <protection locked="0"/>
    </xf>
    <xf numFmtId="0" fontId="9" fillId="3" borderId="1" xfId="0" applyFont="1" applyFill="1" applyBorder="1" applyAlignment="1">
      <alignment horizontal="center" vertical="center" wrapText="1"/>
    </xf>
    <xf numFmtId="0" fontId="8" fillId="3" borderId="1" xfId="0" applyFont="1" applyFill="1" applyBorder="1" applyAlignment="1">
      <alignment horizontal="left" vertical="center"/>
    </xf>
    <xf numFmtId="0" fontId="6" fillId="0" borderId="1" xfId="0" applyFont="1" applyBorder="1" applyAlignment="1" applyProtection="1">
      <alignment horizontal="center" vertical="center" wrapText="1"/>
      <protection locked="0"/>
    </xf>
    <xf numFmtId="0" fontId="8" fillId="3" borderId="1" xfId="0" applyFont="1" applyFill="1" applyBorder="1" applyAlignment="1">
      <alignment vertical="center" wrapText="1"/>
    </xf>
    <xf numFmtId="0" fontId="8" fillId="3" borderId="1" xfId="0" applyFont="1" applyFill="1" applyBorder="1" applyAlignment="1">
      <alignment vertical="center"/>
    </xf>
    <xf numFmtId="0" fontId="3" fillId="3" borderId="1" xfId="0" applyFont="1" applyFill="1" applyBorder="1" applyAlignment="1">
      <alignment horizontal="left" vertical="center" wrapText="1"/>
    </xf>
    <xf numFmtId="0" fontId="3" fillId="3" borderId="1" xfId="0" applyFont="1" applyFill="1" applyBorder="1" applyAlignment="1">
      <alignment horizontal="left" vertical="center"/>
    </xf>
    <xf numFmtId="0" fontId="41" fillId="12" borderId="1" xfId="0" applyFont="1" applyFill="1" applyBorder="1" applyAlignment="1">
      <alignment vertical="center"/>
    </xf>
    <xf numFmtId="0" fontId="8" fillId="3" borderId="1" xfId="0" applyFont="1" applyFill="1" applyBorder="1" applyAlignment="1">
      <alignment horizontal="center" vertical="center" wrapText="1"/>
    </xf>
    <xf numFmtId="0" fontId="38" fillId="12" borderId="1" xfId="0" applyFont="1" applyFill="1" applyBorder="1" applyAlignment="1">
      <alignment horizontal="center" vertical="center"/>
    </xf>
    <xf numFmtId="0" fontId="5" fillId="0" borderId="1" xfId="0" applyFont="1" applyBorder="1" applyAlignment="1" applyProtection="1">
      <alignment horizontal="center" vertical="center" wrapText="1"/>
      <protection locked="0"/>
    </xf>
    <xf numFmtId="0" fontId="14" fillId="12" borderId="1" xfId="0" applyFont="1" applyFill="1" applyBorder="1" applyAlignment="1">
      <alignment horizontal="center" vertical="center"/>
    </xf>
    <xf numFmtId="0" fontId="15" fillId="12" borderId="6" xfId="0" applyFont="1" applyFill="1" applyBorder="1" applyAlignment="1">
      <alignment horizontal="center" vertical="center" wrapText="1"/>
    </xf>
    <xf numFmtId="0" fontId="15" fillId="12" borderId="11" xfId="0" applyFont="1" applyFill="1" applyBorder="1" applyAlignment="1">
      <alignment horizontal="center" vertical="center" wrapText="1"/>
    </xf>
    <xf numFmtId="0" fontId="9" fillId="3" borderId="1" xfId="0" applyFont="1" applyFill="1" applyBorder="1" applyAlignment="1">
      <alignment horizontal="left" vertical="center" wrapText="1"/>
    </xf>
    <xf numFmtId="0" fontId="9" fillId="3" borderId="1" xfId="0" applyFont="1" applyFill="1" applyBorder="1" applyAlignment="1">
      <alignment horizontal="left" vertical="center"/>
    </xf>
    <xf numFmtId="0" fontId="2" fillId="3" borderId="1" xfId="0" applyFont="1" applyFill="1" applyBorder="1" applyAlignment="1">
      <alignment horizontal="left" vertical="center" wrapText="1"/>
    </xf>
    <xf numFmtId="0" fontId="13" fillId="12" borderId="9" xfId="0" applyFont="1" applyFill="1" applyBorder="1" applyAlignment="1">
      <alignment horizontal="center" vertical="center"/>
    </xf>
    <xf numFmtId="0" fontId="5" fillId="3" borderId="2" xfId="0" applyFont="1" applyFill="1" applyBorder="1" applyAlignment="1">
      <alignment horizontal="left" vertical="center" wrapText="1"/>
    </xf>
    <xf numFmtId="0" fontId="5" fillId="3" borderId="4" xfId="0" applyFont="1" applyFill="1" applyBorder="1" applyAlignment="1">
      <alignment horizontal="left" vertical="center" wrapText="1"/>
    </xf>
    <xf numFmtId="0" fontId="5" fillId="3" borderId="5" xfId="0" applyFont="1" applyFill="1" applyBorder="1" applyAlignment="1">
      <alignment horizontal="left" vertical="center" wrapText="1"/>
    </xf>
    <xf numFmtId="0" fontId="6" fillId="3" borderId="2" xfId="0" applyFont="1" applyFill="1" applyBorder="1" applyAlignment="1">
      <alignment horizontal="left" vertical="center" wrapText="1"/>
    </xf>
    <xf numFmtId="0" fontId="6" fillId="3" borderId="4" xfId="0" applyFont="1" applyFill="1" applyBorder="1" applyAlignment="1">
      <alignment horizontal="left" vertical="center" wrapText="1"/>
    </xf>
    <xf numFmtId="0" fontId="6" fillId="3" borderId="5" xfId="0" applyFont="1" applyFill="1" applyBorder="1" applyAlignment="1">
      <alignment horizontal="left" vertical="center" wrapText="1"/>
    </xf>
    <xf numFmtId="0" fontId="13" fillId="12" borderId="25" xfId="0" applyFont="1" applyFill="1" applyBorder="1" applyAlignment="1">
      <alignment horizontal="center" vertical="center"/>
    </xf>
    <xf numFmtId="0" fontId="5" fillId="3" borderId="20" xfId="0" applyFont="1" applyFill="1" applyBorder="1" applyAlignment="1">
      <alignment horizontal="center" vertical="center"/>
    </xf>
    <xf numFmtId="0" fontId="44" fillId="9" borderId="20" xfId="0" applyFont="1" applyFill="1" applyBorder="1" applyAlignment="1">
      <alignment horizontal="center" vertical="center"/>
    </xf>
    <xf numFmtId="0" fontId="23" fillId="12" borderId="26" xfId="0" applyFont="1" applyFill="1" applyBorder="1" applyAlignment="1">
      <alignment horizontal="center"/>
    </xf>
    <xf numFmtId="0" fontId="30" fillId="12" borderId="6" xfId="0" applyFont="1" applyFill="1" applyBorder="1" applyAlignment="1">
      <alignment horizontal="center" vertical="center"/>
    </xf>
    <xf numFmtId="0" fontId="30" fillId="12" borderId="11" xfId="0" applyFont="1" applyFill="1" applyBorder="1" applyAlignment="1">
      <alignment horizontal="center" vertical="center"/>
    </xf>
    <xf numFmtId="0" fontId="30" fillId="12" borderId="10" xfId="0" applyFont="1" applyFill="1" applyBorder="1" applyAlignment="1">
      <alignment horizontal="center" vertical="center"/>
    </xf>
    <xf numFmtId="0" fontId="50" fillId="0" borderId="18" xfId="0" applyFont="1" applyBorder="1" applyAlignment="1">
      <alignment horizontal="left" vertical="center" wrapText="1"/>
    </xf>
    <xf numFmtId="0" fontId="50" fillId="0" borderId="0" xfId="0" applyFont="1" applyAlignment="1">
      <alignment horizontal="left" vertical="center" wrapText="1"/>
    </xf>
    <xf numFmtId="0" fontId="50" fillId="0" borderId="19" xfId="0" applyFont="1" applyBorder="1" applyAlignment="1">
      <alignment horizontal="left" vertical="center" wrapText="1"/>
    </xf>
    <xf numFmtId="0" fontId="19" fillId="20" borderId="1" xfId="0" applyFont="1" applyFill="1" applyBorder="1" applyAlignment="1">
      <alignment horizontal="center"/>
    </xf>
    <xf numFmtId="0" fontId="19" fillId="20" borderId="9" xfId="0" applyFont="1" applyFill="1" applyBorder="1" applyAlignment="1">
      <alignment horizontal="center"/>
    </xf>
    <xf numFmtId="0" fontId="19" fillId="20" borderId="20" xfId="0" applyFont="1" applyFill="1" applyBorder="1" applyAlignment="1">
      <alignment horizontal="center"/>
    </xf>
    <xf numFmtId="0" fontId="19" fillId="0" borderId="12" xfId="0" applyFont="1" applyBorder="1" applyAlignment="1">
      <alignment horizontal="left"/>
    </xf>
    <xf numFmtId="0" fontId="19" fillId="20" borderId="2" xfId="0" applyFont="1" applyFill="1" applyBorder="1" applyAlignment="1">
      <alignment horizontal="center"/>
    </xf>
    <xf numFmtId="0" fontId="19" fillId="20" borderId="4" xfId="0" applyFont="1" applyFill="1" applyBorder="1" applyAlignment="1">
      <alignment horizontal="center"/>
    </xf>
    <xf numFmtId="0" fontId="19" fillId="20" borderId="5" xfId="0" applyFont="1" applyFill="1" applyBorder="1" applyAlignment="1">
      <alignment horizontal="center"/>
    </xf>
    <xf numFmtId="0" fontId="62" fillId="0" borderId="58" xfId="0" applyFont="1" applyBorder="1" applyAlignment="1">
      <alignment horizontal="center"/>
    </xf>
    <xf numFmtId="0" fontId="62" fillId="0" borderId="59" xfId="0" applyFont="1" applyBorder="1" applyAlignment="1">
      <alignment horizontal="center"/>
    </xf>
    <xf numFmtId="0" fontId="62" fillId="0" borderId="16" xfId="0" applyFont="1" applyBorder="1" applyAlignment="1">
      <alignment horizontal="center"/>
    </xf>
    <xf numFmtId="0" fontId="42" fillId="0" borderId="20" xfId="0" applyFont="1" applyBorder="1" applyAlignment="1">
      <alignment horizontal="left" vertical="center"/>
    </xf>
    <xf numFmtId="0" fontId="42" fillId="0" borderId="1" xfId="0" applyFont="1" applyBorder="1" applyAlignment="1">
      <alignment horizontal="center" vertical="center"/>
    </xf>
    <xf numFmtId="0" fontId="42" fillId="0" borderId="1" xfId="0" applyFont="1" applyBorder="1" applyAlignment="1">
      <alignment horizontal="left" vertical="center" wrapText="1"/>
    </xf>
    <xf numFmtId="0" fontId="42" fillId="0" borderId="1" xfId="0" applyFont="1" applyBorder="1" applyAlignment="1">
      <alignment horizontal="center" vertical="center" wrapText="1"/>
    </xf>
    <xf numFmtId="0" fontId="42" fillId="0" borderId="9" xfId="0" applyFont="1" applyBorder="1" applyAlignment="1">
      <alignment horizontal="center" vertical="center" wrapText="1"/>
    </xf>
    <xf numFmtId="0" fontId="42" fillId="0" borderId="1" xfId="0" applyFont="1" applyBorder="1" applyAlignment="1">
      <alignment vertical="center"/>
    </xf>
    <xf numFmtId="0" fontId="42" fillId="0" borderId="8" xfId="0" applyFont="1" applyBorder="1" applyAlignment="1">
      <alignment horizontal="center" vertical="center" wrapText="1"/>
    </xf>
    <xf numFmtId="0" fontId="42" fillId="0" borderId="9" xfId="0" applyFont="1" applyBorder="1" applyAlignment="1">
      <alignment horizontal="left" vertical="center" wrapText="1"/>
    </xf>
    <xf numFmtId="0" fontId="42" fillId="0" borderId="8" xfId="0" applyFont="1" applyBorder="1" applyAlignment="1">
      <alignment horizontal="left" vertical="center" wrapText="1"/>
    </xf>
    <xf numFmtId="0" fontId="42" fillId="0" borderId="2" xfId="1" applyFont="1" applyBorder="1" applyAlignment="1">
      <alignment horizontal="center" vertical="center" wrapText="1"/>
    </xf>
    <xf numFmtId="0" fontId="42" fillId="0" borderId="5" xfId="1" applyFont="1" applyBorder="1" applyAlignment="1">
      <alignment horizontal="center" vertical="center" wrapText="1"/>
    </xf>
    <xf numFmtId="0" fontId="42" fillId="0" borderId="7" xfId="0" applyFont="1" applyBorder="1" applyAlignment="1">
      <alignment horizontal="center" vertical="center" wrapText="1"/>
    </xf>
    <xf numFmtId="0" fontId="42" fillId="0" borderId="20" xfId="0" applyFont="1" applyBorder="1" applyAlignment="1">
      <alignment horizontal="center" vertical="center" wrapText="1"/>
    </xf>
    <xf numFmtId="0" fontId="42" fillId="0" borderId="25" xfId="0" applyFont="1" applyBorder="1" applyAlignment="1">
      <alignment horizontal="left" vertical="center" wrapText="1"/>
    </xf>
    <xf numFmtId="0" fontId="42" fillId="0" borderId="27" xfId="0" applyFont="1" applyBorder="1" applyAlignment="1">
      <alignment horizontal="left" vertical="center" wrapText="1"/>
    </xf>
    <xf numFmtId="0" fontId="42" fillId="0" borderId="26" xfId="0" applyFont="1" applyBorder="1" applyAlignment="1">
      <alignment horizontal="left" vertical="center" wrapText="1"/>
    </xf>
    <xf numFmtId="0" fontId="42" fillId="0" borderId="20" xfId="0" applyFont="1" applyBorder="1" applyAlignment="1">
      <alignment horizontal="left" vertical="center" wrapText="1"/>
    </xf>
    <xf numFmtId="0" fontId="42" fillId="0" borderId="9" xfId="0" applyFont="1" applyBorder="1" applyAlignment="1">
      <alignment horizontal="center" vertical="center"/>
    </xf>
    <xf numFmtId="0" fontId="42" fillId="0" borderId="1" xfId="1" applyFont="1" applyBorder="1" applyAlignment="1">
      <alignment horizontal="center" vertical="center" wrapText="1"/>
    </xf>
    <xf numFmtId="0" fontId="42" fillId="0" borderId="20" xfId="0" applyFont="1" applyBorder="1" applyAlignment="1">
      <alignment horizontal="center" vertical="center"/>
    </xf>
    <xf numFmtId="0" fontId="42" fillId="0" borderId="39" xfId="0" applyFont="1" applyBorder="1" applyAlignment="1">
      <alignment horizontal="left" vertical="center" wrapText="1"/>
    </xf>
    <xf numFmtId="0" fontId="42" fillId="0" borderId="40" xfId="0" applyFont="1" applyBorder="1" applyAlignment="1">
      <alignment horizontal="left" vertical="center" wrapText="1"/>
    </xf>
    <xf numFmtId="0" fontId="42" fillId="0" borderId="49" xfId="0" applyFont="1" applyBorder="1" applyAlignment="1">
      <alignment horizontal="left" vertical="center" wrapText="1"/>
    </xf>
    <xf numFmtId="0" fontId="42" fillId="0" borderId="53" xfId="0" applyFont="1" applyBorder="1" applyAlignment="1">
      <alignment horizontal="left" vertical="center" wrapText="1"/>
    </xf>
    <xf numFmtId="0" fontId="42" fillId="0" borderId="54" xfId="0" applyFont="1" applyBorder="1" applyAlignment="1">
      <alignment horizontal="left" vertical="center" wrapText="1"/>
    </xf>
    <xf numFmtId="0" fontId="42" fillId="0" borderId="55" xfId="0" applyFont="1" applyBorder="1" applyAlignment="1">
      <alignment horizontal="left" vertical="center" wrapText="1"/>
    </xf>
    <xf numFmtId="2" fontId="42" fillId="0" borderId="1" xfId="0" applyNumberFormat="1" applyFont="1" applyBorder="1" applyAlignment="1">
      <alignment horizontal="center" vertical="center"/>
    </xf>
    <xf numFmtId="0" fontId="42" fillId="0" borderId="26" xfId="0" applyFont="1" applyBorder="1" applyAlignment="1">
      <alignment horizontal="center" vertical="center" wrapText="1"/>
    </xf>
    <xf numFmtId="0" fontId="42" fillId="0" borderId="3" xfId="0" applyFont="1" applyBorder="1" applyAlignment="1">
      <alignment horizontal="left" vertical="center" wrapText="1"/>
    </xf>
    <xf numFmtId="0" fontId="42" fillId="0" borderId="43" xfId="0" applyFont="1" applyBorder="1" applyAlignment="1">
      <alignment horizontal="left" vertical="center" wrapText="1"/>
    </xf>
    <xf numFmtId="0" fontId="42" fillId="0" borderId="44" xfId="0" applyFont="1" applyBorder="1" applyAlignment="1">
      <alignment horizontal="left" vertical="center" wrapText="1"/>
    </xf>
    <xf numFmtId="0" fontId="42" fillId="0" borderId="20" xfId="0" quotePrefix="1" applyFont="1" applyBorder="1" applyAlignment="1">
      <alignment horizontal="center" vertical="center"/>
    </xf>
    <xf numFmtId="0" fontId="42" fillId="0" borderId="25" xfId="0" applyFont="1" applyBorder="1" applyAlignment="1">
      <alignment horizontal="center" vertical="center"/>
    </xf>
    <xf numFmtId="0" fontId="42" fillId="0" borderId="7" xfId="0" applyFont="1" applyBorder="1" applyAlignment="1">
      <alignment horizontal="center" vertical="center"/>
    </xf>
    <xf numFmtId="0" fontId="42" fillId="0" borderId="1" xfId="0" applyFont="1" applyBorder="1" applyAlignment="1">
      <alignment horizontal="left" vertical="center"/>
    </xf>
    <xf numFmtId="164" fontId="42" fillId="0" borderId="18" xfId="0" applyNumberFormat="1" applyFont="1" applyBorder="1" applyAlignment="1">
      <alignment horizontal="center" vertical="center"/>
    </xf>
    <xf numFmtId="164" fontId="42" fillId="0" borderId="3" xfId="0" applyNumberFormat="1" applyFont="1" applyBorder="1" applyAlignment="1">
      <alignment horizontal="center" vertical="center"/>
    </xf>
    <xf numFmtId="0" fontId="42" fillId="0" borderId="8" xfId="0" applyFont="1" applyBorder="1" applyAlignment="1">
      <alignment horizontal="center" vertical="center"/>
    </xf>
    <xf numFmtId="0" fontId="42" fillId="0" borderId="36" xfId="0" applyFont="1" applyBorder="1" applyAlignment="1">
      <alignment horizontal="center" vertical="center" wrapText="1"/>
    </xf>
    <xf numFmtId="0" fontId="42" fillId="0" borderId="37" xfId="0" applyFont="1" applyBorder="1" applyAlignment="1">
      <alignment horizontal="center" vertical="center" wrapText="1"/>
    </xf>
    <xf numFmtId="0" fontId="42" fillId="0" borderId="38" xfId="0" applyFont="1" applyBorder="1" applyAlignment="1">
      <alignment horizontal="center" vertical="center" wrapText="1"/>
    </xf>
    <xf numFmtId="0" fontId="42" fillId="0" borderId="24" xfId="0" applyFont="1" applyBorder="1" applyAlignment="1">
      <alignment horizontal="left" vertical="center" wrapText="1"/>
    </xf>
    <xf numFmtId="0" fontId="42" fillId="0" borderId="30" xfId="0" applyFont="1" applyBorder="1" applyAlignment="1">
      <alignment horizontal="center" vertical="center" wrapText="1"/>
    </xf>
    <xf numFmtId="0" fontId="42" fillId="0" borderId="31" xfId="0" applyFont="1" applyBorder="1" applyAlignment="1">
      <alignment horizontal="center" vertical="center" wrapText="1"/>
    </xf>
    <xf numFmtId="49" fontId="42" fillId="0" borderId="8" xfId="0" applyNumberFormat="1" applyFont="1" applyBorder="1" applyAlignment="1">
      <alignment horizontal="center" vertical="center"/>
    </xf>
    <xf numFmtId="49" fontId="42" fillId="0" borderId="1" xfId="0" applyNumberFormat="1" applyFont="1" applyBorder="1" applyAlignment="1">
      <alignment horizontal="center" vertical="center"/>
    </xf>
    <xf numFmtId="0" fontId="42" fillId="0" borderId="6" xfId="0" applyFont="1" applyBorder="1" applyAlignment="1">
      <alignment horizontal="center" vertical="center"/>
    </xf>
    <xf numFmtId="0" fontId="42" fillId="0" borderId="10" xfId="0" applyFont="1" applyBorder="1" applyAlignment="1">
      <alignment horizontal="center" vertical="center"/>
    </xf>
    <xf numFmtId="0" fontId="42" fillId="0" borderId="18" xfId="0" applyFont="1" applyBorder="1" applyAlignment="1">
      <alignment horizontal="center" vertical="center"/>
    </xf>
    <xf numFmtId="0" fontId="42" fillId="0" borderId="45" xfId="0" applyFont="1" applyBorder="1" applyAlignment="1">
      <alignment horizontal="center" vertical="center"/>
    </xf>
    <xf numFmtId="0" fontId="42" fillId="0" borderId="3" xfId="0" applyFont="1" applyBorder="1" applyAlignment="1">
      <alignment horizontal="center" vertical="center"/>
    </xf>
    <xf numFmtId="0" fontId="42" fillId="0" borderId="44" xfId="0" applyFont="1" applyBorder="1" applyAlignment="1">
      <alignment horizontal="center" vertical="center"/>
    </xf>
    <xf numFmtId="164" fontId="42" fillId="0" borderId="1" xfId="0" applyNumberFormat="1" applyFont="1" applyBorder="1" applyAlignment="1">
      <alignment horizontal="center" vertical="center"/>
    </xf>
    <xf numFmtId="0" fontId="42" fillId="0" borderId="7" xfId="0" applyFont="1" applyBorder="1" applyAlignment="1">
      <alignment horizontal="left" vertical="center" wrapText="1"/>
    </xf>
    <xf numFmtId="0" fontId="42" fillId="0" borderId="1" xfId="1" applyFont="1" applyBorder="1" applyAlignment="1">
      <alignment horizontal="left" vertical="center" wrapText="1"/>
    </xf>
    <xf numFmtId="0" fontId="42" fillId="0" borderId="29" xfId="0" applyFont="1" applyBorder="1" applyAlignment="1">
      <alignment horizontal="left" vertical="center" wrapText="1"/>
    </xf>
    <xf numFmtId="0" fontId="42" fillId="0" borderId="30" xfId="0" applyFont="1" applyBorder="1" applyAlignment="1">
      <alignment horizontal="left" vertical="center" wrapText="1"/>
    </xf>
    <xf numFmtId="0" fontId="42" fillId="0" borderId="31" xfId="0" applyFont="1" applyBorder="1" applyAlignment="1">
      <alignment horizontal="left" vertical="center" wrapText="1"/>
    </xf>
    <xf numFmtId="164" fontId="42" fillId="0" borderId="9" xfId="0" applyNumberFormat="1" applyFont="1" applyBorder="1" applyAlignment="1">
      <alignment horizontal="center" vertical="center"/>
    </xf>
  </cellXfs>
  <cellStyles count="9">
    <cellStyle name="Currency 2" xfId="8"/>
    <cellStyle name="Hyperlink" xfId="2" builtinId="8"/>
    <cellStyle name="Hyperlink 2" xfId="7"/>
    <cellStyle name="Normal" xfId="0" builtinId="0"/>
    <cellStyle name="Normal 2" xfId="1"/>
    <cellStyle name="Normal 2 2" xfId="4"/>
    <cellStyle name="Normal 3" xfId="3"/>
    <cellStyle name="Normal 4" xfId="6"/>
    <cellStyle name="Percent" xfId="5" builtinId="5"/>
  </cellStyles>
  <dxfs count="1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FF00"/>
        </patternFill>
      </fill>
    </dxf>
    <dxf>
      <fill>
        <patternFill>
          <bgColor rgb="FF92D050"/>
        </patternFill>
      </fill>
    </dxf>
    <dxf>
      <fill>
        <patternFill>
          <bgColor theme="0"/>
        </patternFill>
      </fill>
    </dxf>
    <dxf>
      <fill>
        <patternFill>
          <bgColor rgb="FFFF0000"/>
        </patternFill>
      </fill>
    </dxf>
    <dxf>
      <fill>
        <patternFill>
          <bgColor rgb="FFFFFF00"/>
        </patternFill>
      </fill>
    </dxf>
    <dxf>
      <fill>
        <patternFill>
          <bgColor rgb="FF92D050"/>
        </patternFill>
      </fill>
    </dxf>
    <dxf>
      <fill>
        <patternFill>
          <bgColor theme="0"/>
        </patternFill>
      </fill>
    </dxf>
    <dxf>
      <fill>
        <patternFill>
          <bgColor rgb="FFFF0000"/>
        </patternFill>
      </fill>
    </dxf>
    <dxf>
      <fill>
        <patternFill>
          <bgColor rgb="FFFFFF00"/>
        </patternFill>
      </fill>
    </dxf>
    <dxf>
      <fill>
        <patternFill>
          <bgColor rgb="FF92D050"/>
        </patternFill>
      </fill>
    </dxf>
    <dxf>
      <fill>
        <patternFill>
          <bgColor theme="0"/>
        </patternFill>
      </fill>
    </dxf>
    <dxf>
      <fill>
        <patternFill>
          <bgColor rgb="FFFF0000"/>
        </patternFill>
      </fill>
    </dxf>
    <dxf>
      <fill>
        <patternFill>
          <bgColor rgb="FFFFFF00"/>
        </patternFill>
      </fill>
    </dxf>
    <dxf>
      <fill>
        <patternFill>
          <bgColor rgb="FF92D050"/>
        </patternFill>
      </fill>
    </dxf>
    <dxf>
      <fill>
        <patternFill>
          <bgColor theme="0"/>
        </patternFill>
      </fill>
    </dxf>
    <dxf>
      <fill>
        <patternFill>
          <bgColor rgb="FFFF0000"/>
        </patternFill>
      </fill>
    </dxf>
    <dxf>
      <fill>
        <patternFill>
          <bgColor rgb="FFFFFF00"/>
        </patternFill>
      </fill>
    </dxf>
    <dxf>
      <fill>
        <patternFill>
          <bgColor rgb="FF92D050"/>
        </patternFill>
      </fill>
    </dxf>
    <dxf>
      <fill>
        <patternFill>
          <bgColor theme="0"/>
        </patternFill>
      </fill>
    </dxf>
    <dxf>
      <fill>
        <patternFill>
          <bgColor rgb="FFFF0000"/>
        </patternFill>
      </fill>
    </dxf>
    <dxf>
      <fill>
        <patternFill>
          <bgColor rgb="FFFFFF00"/>
        </patternFill>
      </fill>
    </dxf>
    <dxf>
      <fill>
        <patternFill>
          <bgColor rgb="FF92D050"/>
        </patternFill>
      </fill>
    </dxf>
    <dxf>
      <fill>
        <patternFill>
          <bgColor theme="0"/>
        </patternFill>
      </fill>
    </dxf>
    <dxf>
      <fill>
        <patternFill>
          <bgColor rgb="FFFF0000"/>
        </patternFill>
      </fill>
    </dxf>
    <dxf>
      <fill>
        <patternFill>
          <bgColor rgb="FFFFFF00"/>
        </patternFill>
      </fill>
    </dxf>
    <dxf>
      <fill>
        <patternFill>
          <bgColor rgb="FF92D050"/>
        </patternFill>
      </fill>
    </dxf>
    <dxf>
      <fill>
        <patternFill>
          <bgColor theme="0"/>
        </patternFill>
      </fill>
    </dxf>
    <dxf>
      <fill>
        <patternFill>
          <bgColor rgb="FF92D050"/>
        </patternFill>
      </fill>
    </dxf>
    <dxf>
      <fill>
        <patternFill>
          <bgColor rgb="FFFFFF0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rgb="FF92D050"/>
        </patternFill>
      </fill>
    </dxf>
    <dxf>
      <fill>
        <patternFill>
          <bgColor theme="0"/>
        </patternFill>
      </fill>
    </dxf>
    <dxf>
      <fill>
        <patternFill>
          <bgColor rgb="FFFF0000"/>
        </patternFill>
      </fill>
    </dxf>
    <dxf>
      <fill>
        <patternFill>
          <bgColor rgb="FFFFFF00"/>
        </patternFill>
      </fill>
    </dxf>
    <dxf>
      <fill>
        <patternFill>
          <bgColor rgb="FF92D050"/>
        </patternFill>
      </fill>
    </dxf>
    <dxf>
      <fill>
        <patternFill>
          <bgColor theme="0"/>
        </patternFill>
      </fill>
    </dxf>
    <dxf>
      <fill>
        <patternFill>
          <bgColor rgb="FFFF0000"/>
        </patternFill>
      </fill>
    </dxf>
    <dxf>
      <fill>
        <patternFill>
          <bgColor rgb="FFFFFF00"/>
        </patternFill>
      </fill>
    </dxf>
    <dxf>
      <fill>
        <patternFill>
          <bgColor rgb="FF92D050"/>
        </patternFill>
      </fill>
    </dxf>
    <dxf>
      <fill>
        <patternFill>
          <bgColor theme="0"/>
        </patternFill>
      </fill>
    </dxf>
    <dxf>
      <fill>
        <patternFill>
          <bgColor rgb="FFFF0000"/>
        </patternFill>
      </fill>
    </dxf>
    <dxf>
      <fill>
        <patternFill>
          <bgColor rgb="FFFFFF00"/>
        </patternFill>
      </fill>
    </dxf>
    <dxf>
      <fill>
        <patternFill>
          <bgColor rgb="FF92D050"/>
        </patternFill>
      </fill>
    </dxf>
    <dxf>
      <fill>
        <patternFill>
          <bgColor theme="0"/>
        </patternFill>
      </fill>
    </dxf>
    <dxf>
      <fill>
        <patternFill>
          <bgColor rgb="FFFF0000"/>
        </patternFill>
      </fill>
    </dxf>
    <dxf>
      <fill>
        <patternFill>
          <bgColor rgb="FFFFFF00"/>
        </patternFill>
      </fill>
    </dxf>
    <dxf>
      <fill>
        <patternFill>
          <bgColor rgb="FF92D050"/>
        </patternFill>
      </fill>
    </dxf>
    <dxf>
      <fill>
        <patternFill>
          <bgColor theme="0"/>
        </patternFill>
      </fill>
    </dxf>
    <dxf>
      <fill>
        <patternFill>
          <bgColor rgb="FF92D050"/>
        </patternFill>
      </fill>
    </dxf>
    <dxf>
      <fill>
        <patternFill>
          <bgColor rgb="FFFFFF00"/>
        </patternFill>
      </fill>
    </dxf>
    <dxf>
      <fill>
        <patternFill>
          <bgColor rgb="FFFF0000"/>
        </patternFill>
      </fill>
    </dxf>
    <dxf>
      <fill>
        <patternFill>
          <bgColor theme="0"/>
        </patternFill>
      </fill>
    </dxf>
    <dxf>
      <fill>
        <patternFill>
          <bgColor rgb="FF92D050"/>
        </patternFill>
      </fill>
    </dxf>
    <dxf>
      <fill>
        <patternFill>
          <bgColor rgb="FFFFFF0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rgb="FF92D05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ont>
        <b/>
        <i val="0"/>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font>
      <fill>
        <patternFill>
          <bgColor rgb="FFFF0000"/>
        </patternFill>
      </fill>
      <border>
        <left style="thin">
          <color auto="1"/>
        </left>
        <right style="thin">
          <color auto="1"/>
        </right>
        <top style="thin">
          <color auto="1"/>
        </top>
        <bottom style="thin">
          <color auto="1"/>
        </bottom>
        <vertical/>
        <horizontal/>
      </border>
    </dxf>
    <dxf>
      <font>
        <b/>
        <i val="0"/>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b/>
        <i val="0"/>
        <color theme="0"/>
      </font>
      <fill>
        <patternFill>
          <bgColor rgb="FFFF0000"/>
        </patternFill>
      </fill>
      <border>
        <left style="thin">
          <color auto="1"/>
        </left>
        <right style="thin">
          <color auto="1"/>
        </right>
        <top style="thin">
          <color auto="1"/>
        </top>
        <bottom style="thin">
          <color auto="1"/>
        </bottom>
        <vertical/>
        <horizontal/>
      </border>
    </dxf>
    <dxf>
      <font>
        <b/>
        <i val="0"/>
        <color theme="0"/>
      </font>
      <fill>
        <patternFill>
          <bgColor rgb="FFFF0000"/>
        </patternFill>
      </fill>
      <border>
        <left style="thin">
          <color auto="1"/>
        </left>
        <right style="thin">
          <color auto="1"/>
        </right>
        <top style="thin">
          <color auto="1"/>
        </top>
        <bottom style="thin">
          <color auto="1"/>
        </bottom>
        <vertical/>
        <horizontal/>
      </border>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s>
  <tableStyles count="0" defaultTableStyle="TableStyleMedium9" defaultPivotStyle="PivotStyleLight16"/>
  <colors>
    <mruColors>
      <color rgb="FFEADBC8"/>
      <color rgb="FFFF0000"/>
      <color rgb="FFFDE9D9"/>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numFmt formatCode="0%" sourceLinked="0"/>
            <c:spPr>
              <a:noFill/>
              <a:ln>
                <a:noFill/>
              </a:ln>
              <a:effectLst/>
            </c:spPr>
            <c:txPr>
              <a:bodyPr/>
              <a:lstStyle/>
              <a:p>
                <a:pPr>
                  <a:defRPr lang="en-IN"/>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'Analysis Sheet'!$A$2:$A$3</c:f>
              <c:strCache>
                <c:ptCount val="2"/>
                <c:pt idx="0">
                  <c:v>Pre-ART </c:v>
                </c:pt>
                <c:pt idx="1">
                  <c:v>On-ART</c:v>
                </c:pt>
              </c:strCache>
            </c:strRef>
          </c:cat>
          <c:val>
            <c:numRef>
              <c:f>'Analysis Sheet'!$C$2:$C$3</c:f>
              <c:numCache>
                <c:formatCode>General</c:formatCode>
                <c:ptCount val="2"/>
                <c:pt idx="0">
                  <c:v>495</c:v>
                </c:pt>
                <c:pt idx="1">
                  <c:v>3320</c:v>
                </c:pt>
              </c:numCache>
            </c:numRef>
          </c:val>
          <c:extLst>
            <c:ext xmlns:c16="http://schemas.microsoft.com/office/drawing/2014/chart" uri="{C3380CC4-5D6E-409C-BE32-E72D297353CC}">
              <c16:uniqueId val="{00000000-1C7D-4249-824C-8C4F72E4C356}"/>
            </c:ext>
          </c:extLst>
        </c:ser>
        <c:dLbls>
          <c:showLegendKey val="0"/>
          <c:showVal val="1"/>
          <c:showCatName val="0"/>
          <c:showSerName val="0"/>
          <c:showPercent val="0"/>
          <c:showBubbleSize val="0"/>
          <c:showLeaderLines val="0"/>
        </c:dLbls>
        <c:firstSliceAng val="0"/>
      </c:pieChart>
    </c:plotArea>
    <c:legend>
      <c:legendPos val="r"/>
      <c:overlay val="0"/>
      <c:txPr>
        <a:bodyPr/>
        <a:lstStyle/>
        <a:p>
          <a:pPr>
            <a:defRPr lang="en-IN"/>
          </a:pPr>
          <a:endParaRPr lang="en-US"/>
        </a:p>
      </c:txPr>
    </c:legend>
    <c:plotVisOnly val="1"/>
    <c:dispBlanksAs val="zero"/>
    <c:showDLblsOverMax val="0"/>
  </c:chart>
  <c:printSettings>
    <c:headerFooter/>
    <c:pageMargins b="0.75000000000000078" l="0.70000000000000062" r="0.70000000000000062" t="0.7500000000000007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numFmt formatCode="0%" sourceLinked="0"/>
            <c:spPr>
              <a:noFill/>
              <a:ln>
                <a:noFill/>
              </a:ln>
              <a:effectLst/>
            </c:spPr>
            <c:txPr>
              <a:bodyPr/>
              <a:lstStyle/>
              <a:p>
                <a:pPr>
                  <a:defRPr lang="en-IN"/>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'Analysis Sheet'!$A$7:$A$11</c:f>
              <c:strCache>
                <c:ptCount val="5"/>
                <c:pt idx="0">
                  <c:v>Pre-ART Alive</c:v>
                </c:pt>
                <c:pt idx="1">
                  <c:v>Died</c:v>
                </c:pt>
                <c:pt idx="2">
                  <c:v>LFU</c:v>
                </c:pt>
                <c:pt idx="3">
                  <c:v>Stopped / Opted Out</c:v>
                </c:pt>
                <c:pt idx="4">
                  <c:v>LFU (pre 2011)</c:v>
                </c:pt>
              </c:strCache>
            </c:strRef>
          </c:cat>
          <c:val>
            <c:numRef>
              <c:f>'Analysis Sheet'!$C$7:$C$11</c:f>
              <c:numCache>
                <c:formatCode>General</c:formatCode>
                <c:ptCount val="5"/>
                <c:pt idx="0">
                  <c:v>2</c:v>
                </c:pt>
                <c:pt idx="1">
                  <c:v>138</c:v>
                </c:pt>
                <c:pt idx="2">
                  <c:v>64</c:v>
                </c:pt>
                <c:pt idx="3">
                  <c:v>2</c:v>
                </c:pt>
                <c:pt idx="4">
                  <c:v>126</c:v>
                </c:pt>
              </c:numCache>
            </c:numRef>
          </c:val>
          <c:extLst>
            <c:ext xmlns:c16="http://schemas.microsoft.com/office/drawing/2014/chart" uri="{C3380CC4-5D6E-409C-BE32-E72D297353CC}">
              <c16:uniqueId val="{00000000-684B-41BE-AC0F-2636019EE9B6}"/>
            </c:ext>
          </c:extLst>
        </c:ser>
        <c:dLbls>
          <c:showLegendKey val="0"/>
          <c:showVal val="1"/>
          <c:showCatName val="0"/>
          <c:showSerName val="0"/>
          <c:showPercent val="0"/>
          <c:showBubbleSize val="0"/>
          <c:showLeaderLines val="0"/>
        </c:dLbls>
        <c:firstSliceAng val="0"/>
      </c:pieChart>
    </c:plotArea>
    <c:legend>
      <c:legendPos val="r"/>
      <c:layout>
        <c:manualLayout>
          <c:xMode val="edge"/>
          <c:yMode val="edge"/>
          <c:x val="0.63088194243278206"/>
          <c:y val="8.3919931997515032E-2"/>
          <c:w val="0.36911805756721888"/>
          <c:h val="0.91608006800248498"/>
        </c:manualLayout>
      </c:layout>
      <c:overlay val="0"/>
      <c:txPr>
        <a:bodyPr/>
        <a:lstStyle/>
        <a:p>
          <a:pPr>
            <a:defRPr lang="en-IN" sz="1000"/>
          </a:pPr>
          <a:endParaRPr lang="en-US"/>
        </a:p>
      </c:txPr>
    </c:legend>
    <c:plotVisOnly val="1"/>
    <c:dispBlanksAs val="zero"/>
    <c:showDLblsOverMax val="0"/>
  </c:chart>
  <c:printSettings>
    <c:headerFooter/>
    <c:pageMargins b="0.75000000000000078" l="0.70000000000000062" r="0.70000000000000062" t="0.75000000000000078"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numFmt formatCode="0%" sourceLinked="0"/>
            <c:spPr>
              <a:noFill/>
              <a:ln>
                <a:noFill/>
              </a:ln>
              <a:effectLst/>
            </c:spPr>
            <c:txPr>
              <a:bodyPr/>
              <a:lstStyle/>
              <a:p>
                <a:pPr>
                  <a:defRPr lang="en-IN"/>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'Analysis Sheet'!$A$15:$A$19</c:f>
              <c:strCache>
                <c:ptCount val="5"/>
                <c:pt idx="0">
                  <c:v>Alive and on ART</c:v>
                </c:pt>
                <c:pt idx="1">
                  <c:v>Died</c:v>
                </c:pt>
                <c:pt idx="2">
                  <c:v>Stopped</c:v>
                </c:pt>
                <c:pt idx="3">
                  <c:v>Opted Out</c:v>
                </c:pt>
                <c:pt idx="4">
                  <c:v>LFU</c:v>
                </c:pt>
              </c:strCache>
            </c:strRef>
          </c:cat>
          <c:val>
            <c:numRef>
              <c:f>'Analysis Sheet'!$C$15:$C$19</c:f>
              <c:numCache>
                <c:formatCode>General</c:formatCode>
                <c:ptCount val="5"/>
                <c:pt idx="0">
                  <c:v>2068</c:v>
                </c:pt>
                <c:pt idx="1">
                  <c:v>675</c:v>
                </c:pt>
                <c:pt idx="2">
                  <c:v>0</c:v>
                </c:pt>
                <c:pt idx="3">
                  <c:v>18</c:v>
                </c:pt>
                <c:pt idx="4">
                  <c:v>433</c:v>
                </c:pt>
              </c:numCache>
            </c:numRef>
          </c:val>
          <c:extLst>
            <c:ext xmlns:c16="http://schemas.microsoft.com/office/drawing/2014/chart" uri="{C3380CC4-5D6E-409C-BE32-E72D297353CC}">
              <c16:uniqueId val="{00000000-12BE-452B-B238-436A4CF4CD24}"/>
            </c:ext>
          </c:extLst>
        </c:ser>
        <c:dLbls>
          <c:showLegendKey val="0"/>
          <c:showVal val="1"/>
          <c:showCatName val="0"/>
          <c:showSerName val="0"/>
          <c:showPercent val="0"/>
          <c:showBubbleSize val="0"/>
          <c:showLeaderLines val="0"/>
        </c:dLbls>
        <c:firstSliceAng val="0"/>
      </c:pieChart>
    </c:plotArea>
    <c:legend>
      <c:legendPos val="r"/>
      <c:overlay val="0"/>
      <c:txPr>
        <a:bodyPr/>
        <a:lstStyle/>
        <a:p>
          <a:pPr>
            <a:defRPr lang="en-IN"/>
          </a:pPr>
          <a:endParaRPr lang="en-US"/>
        </a:p>
      </c:txPr>
    </c:legend>
    <c:plotVisOnly val="1"/>
    <c:dispBlanksAs val="zero"/>
    <c:showDLblsOverMax val="0"/>
  </c:chart>
  <c:printSettings>
    <c:headerFooter/>
    <c:pageMargins b="0.75000000000000078" l="0.70000000000000062" r="0.70000000000000062" t="0.7500000000000007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'Analysis Sheet'!$A$39</c:f>
              <c:strCache>
                <c:ptCount val="1"/>
                <c:pt idx="0">
                  <c:v>Male</c:v>
                </c:pt>
              </c:strCache>
            </c:strRef>
          </c:tx>
          <c:invertIfNegative val="0"/>
          <c:dLbls>
            <c:numFmt formatCode="0%" sourceLinked="0"/>
            <c:spPr>
              <a:noFill/>
              <a:ln>
                <a:noFill/>
              </a:ln>
              <a:effectLst/>
            </c:spPr>
            <c:txPr>
              <a:bodyPr/>
              <a:lstStyle/>
              <a:p>
                <a:pPr>
                  <a:defRPr lang="en-IN" sz="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 Sheet'!$B$38:$D$38</c:f>
              <c:strCache>
                <c:ptCount val="3"/>
                <c:pt idx="0">
                  <c:v>Pre-ART (Cumulative)</c:v>
                </c:pt>
                <c:pt idx="1">
                  <c:v>On-ART (Cumulative)</c:v>
                </c:pt>
                <c:pt idx="2">
                  <c:v>On-ART (Financial Year)</c:v>
                </c:pt>
              </c:strCache>
            </c:strRef>
          </c:cat>
          <c:val>
            <c:numRef>
              <c:f>'Analysis Sheet'!$B$39:$D$39</c:f>
              <c:numCache>
                <c:formatCode>0.0%</c:formatCode>
                <c:ptCount val="3"/>
                <c:pt idx="0">
                  <c:v>0.65800865800865804</c:v>
                </c:pt>
                <c:pt idx="1">
                  <c:v>0.16860787576261785</c:v>
                </c:pt>
                <c:pt idx="2">
                  <c:v>3.4090909090909088E-2</c:v>
                </c:pt>
              </c:numCache>
            </c:numRef>
          </c:val>
          <c:extLst>
            <c:ext xmlns:c16="http://schemas.microsoft.com/office/drawing/2014/chart" uri="{C3380CC4-5D6E-409C-BE32-E72D297353CC}">
              <c16:uniqueId val="{00000000-E5F8-4A62-87F6-5A18949368FC}"/>
            </c:ext>
          </c:extLst>
        </c:ser>
        <c:ser>
          <c:idx val="1"/>
          <c:order val="1"/>
          <c:tx>
            <c:strRef>
              <c:f>'Analysis Sheet'!$A$40</c:f>
              <c:strCache>
                <c:ptCount val="1"/>
                <c:pt idx="0">
                  <c:v>Female</c:v>
                </c:pt>
              </c:strCache>
            </c:strRef>
          </c:tx>
          <c:invertIfNegative val="0"/>
          <c:dLbls>
            <c:numFmt formatCode="0%" sourceLinked="0"/>
            <c:spPr>
              <a:noFill/>
              <a:ln>
                <a:noFill/>
              </a:ln>
              <a:effectLst/>
            </c:spPr>
            <c:txPr>
              <a:bodyPr/>
              <a:lstStyle/>
              <a:p>
                <a:pPr>
                  <a:defRPr lang="en-IN" sz="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 Sheet'!$B$38:$D$38</c:f>
              <c:strCache>
                <c:ptCount val="3"/>
                <c:pt idx="0">
                  <c:v>Pre-ART (Cumulative)</c:v>
                </c:pt>
                <c:pt idx="1">
                  <c:v>On-ART (Cumulative)</c:v>
                </c:pt>
                <c:pt idx="2">
                  <c:v>On-ART (Financial Year)</c:v>
                </c:pt>
              </c:strCache>
            </c:strRef>
          </c:cat>
          <c:val>
            <c:numRef>
              <c:f>'Analysis Sheet'!$B$40:$D$40</c:f>
              <c:numCache>
                <c:formatCode>0.0%</c:formatCode>
                <c:ptCount val="3"/>
                <c:pt idx="0">
                  <c:v>0.26126126126126126</c:v>
                </c:pt>
                <c:pt idx="1">
                  <c:v>0.14781491002570693</c:v>
                </c:pt>
                <c:pt idx="2">
                  <c:v>3.4482758620689655E-2</c:v>
                </c:pt>
              </c:numCache>
            </c:numRef>
          </c:val>
          <c:extLst>
            <c:ext xmlns:c16="http://schemas.microsoft.com/office/drawing/2014/chart" uri="{C3380CC4-5D6E-409C-BE32-E72D297353CC}">
              <c16:uniqueId val="{00000001-E5F8-4A62-87F6-5A18949368FC}"/>
            </c:ext>
          </c:extLst>
        </c:ser>
        <c:ser>
          <c:idx val="2"/>
          <c:order val="2"/>
          <c:tx>
            <c:strRef>
              <c:f>'Analysis Sheet'!$A$41</c:f>
              <c:strCache>
                <c:ptCount val="1"/>
                <c:pt idx="0">
                  <c:v>TS/TG</c:v>
                </c:pt>
              </c:strCache>
            </c:strRef>
          </c:tx>
          <c:invertIfNegative val="0"/>
          <c:dLbls>
            <c:numFmt formatCode="0%" sourceLinked="0"/>
            <c:spPr>
              <a:noFill/>
              <a:ln>
                <a:noFill/>
              </a:ln>
              <a:effectLst/>
            </c:spPr>
            <c:txPr>
              <a:bodyPr/>
              <a:lstStyle/>
              <a:p>
                <a:pPr>
                  <a:defRPr lang="en-IN" sz="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 Sheet'!$B$38:$D$38</c:f>
              <c:strCache>
                <c:ptCount val="3"/>
                <c:pt idx="0">
                  <c:v>Pre-ART (Cumulative)</c:v>
                </c:pt>
                <c:pt idx="1">
                  <c:v>On-ART (Cumulative)</c:v>
                </c:pt>
                <c:pt idx="2">
                  <c:v>On-ART (Financial Year)</c:v>
                </c:pt>
              </c:strCache>
            </c:strRef>
          </c:cat>
          <c:val>
            <c:numRef>
              <c:f>'Analysis Sheet'!$B$41:$D$41</c:f>
              <c:numCache>
                <c:formatCode>0.0%</c:formatCode>
                <c:ptCount val="3"/>
                <c:pt idx="0">
                  <c:v>1</c:v>
                </c:pt>
                <c:pt idx="1">
                  <c:v>0.27027027027027029</c:v>
                </c:pt>
                <c:pt idx="2">
                  <c:v>0</c:v>
                </c:pt>
              </c:numCache>
            </c:numRef>
          </c:val>
          <c:extLst>
            <c:ext xmlns:c16="http://schemas.microsoft.com/office/drawing/2014/chart" uri="{C3380CC4-5D6E-409C-BE32-E72D297353CC}">
              <c16:uniqueId val="{00000002-E5F8-4A62-87F6-5A18949368FC}"/>
            </c:ext>
          </c:extLst>
        </c:ser>
        <c:ser>
          <c:idx val="3"/>
          <c:order val="3"/>
          <c:tx>
            <c:strRef>
              <c:f>'Analysis Sheet'!$A$42</c:f>
              <c:strCache>
                <c:ptCount val="1"/>
                <c:pt idx="0">
                  <c:v>Male Children</c:v>
                </c:pt>
              </c:strCache>
            </c:strRef>
          </c:tx>
          <c:invertIfNegative val="0"/>
          <c:dLbls>
            <c:numFmt formatCode="0%" sourceLinked="0"/>
            <c:spPr>
              <a:noFill/>
              <a:ln>
                <a:noFill/>
              </a:ln>
              <a:effectLst/>
            </c:spPr>
            <c:txPr>
              <a:bodyPr/>
              <a:lstStyle/>
              <a:p>
                <a:pPr>
                  <a:defRPr lang="en-IN" sz="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 Sheet'!$B$38:$D$38</c:f>
              <c:strCache>
                <c:ptCount val="3"/>
                <c:pt idx="0">
                  <c:v>Pre-ART (Cumulative)</c:v>
                </c:pt>
                <c:pt idx="1">
                  <c:v>On-ART (Cumulative)</c:v>
                </c:pt>
                <c:pt idx="2">
                  <c:v>On-ART (Financial Year)</c:v>
                </c:pt>
              </c:strCache>
            </c:strRef>
          </c:cat>
          <c:val>
            <c:numRef>
              <c:f>'Analysis Sheet'!$B$42:$D$42</c:f>
              <c:numCache>
                <c:formatCode>0.0%</c:formatCode>
                <c:ptCount val="3"/>
                <c:pt idx="0">
                  <c:v>0.44444444444444442</c:v>
                </c:pt>
                <c:pt idx="1">
                  <c:v>0.11764705882352941</c:v>
                </c:pt>
                <c:pt idx="2">
                  <c:v>0</c:v>
                </c:pt>
              </c:numCache>
            </c:numRef>
          </c:val>
          <c:extLst>
            <c:ext xmlns:c16="http://schemas.microsoft.com/office/drawing/2014/chart" uri="{C3380CC4-5D6E-409C-BE32-E72D297353CC}">
              <c16:uniqueId val="{00000003-E5F8-4A62-87F6-5A18949368FC}"/>
            </c:ext>
          </c:extLst>
        </c:ser>
        <c:ser>
          <c:idx val="4"/>
          <c:order val="4"/>
          <c:tx>
            <c:strRef>
              <c:f>'Analysis Sheet'!$A$43</c:f>
              <c:strCache>
                <c:ptCount val="1"/>
                <c:pt idx="0">
                  <c:v>Female Children</c:v>
                </c:pt>
              </c:strCache>
            </c:strRef>
          </c:tx>
          <c:invertIfNegative val="0"/>
          <c:dLbls>
            <c:numFmt formatCode="0%" sourceLinked="0"/>
            <c:spPr>
              <a:noFill/>
              <a:ln>
                <a:noFill/>
              </a:ln>
              <a:effectLst/>
            </c:spPr>
            <c:txPr>
              <a:bodyPr/>
              <a:lstStyle/>
              <a:p>
                <a:pPr>
                  <a:defRPr lang="en-IN" sz="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 Sheet'!$B$38:$D$38</c:f>
              <c:strCache>
                <c:ptCount val="3"/>
                <c:pt idx="0">
                  <c:v>Pre-ART (Cumulative)</c:v>
                </c:pt>
                <c:pt idx="1">
                  <c:v>On-ART (Cumulative)</c:v>
                </c:pt>
                <c:pt idx="2">
                  <c:v>On-ART (Financial Year)</c:v>
                </c:pt>
              </c:strCache>
            </c:strRef>
          </c:cat>
          <c:val>
            <c:numRef>
              <c:f>'Analysis Sheet'!$B$43:$D$43</c:f>
              <c:numCache>
                <c:formatCode>0.0%</c:formatCode>
                <c:ptCount val="3"/>
                <c:pt idx="0">
                  <c:v>0.5</c:v>
                </c:pt>
                <c:pt idx="1">
                  <c:v>0.2</c:v>
                </c:pt>
                <c:pt idx="2">
                  <c:v>0</c:v>
                </c:pt>
              </c:numCache>
            </c:numRef>
          </c:val>
          <c:extLst>
            <c:ext xmlns:c16="http://schemas.microsoft.com/office/drawing/2014/chart" uri="{C3380CC4-5D6E-409C-BE32-E72D297353CC}">
              <c16:uniqueId val="{00000004-E5F8-4A62-87F6-5A18949368FC}"/>
            </c:ext>
          </c:extLst>
        </c:ser>
        <c:dLbls>
          <c:showLegendKey val="0"/>
          <c:showVal val="1"/>
          <c:showCatName val="0"/>
          <c:showSerName val="0"/>
          <c:showPercent val="0"/>
          <c:showBubbleSize val="0"/>
        </c:dLbls>
        <c:gapWidth val="150"/>
        <c:axId val="249489664"/>
        <c:axId val="249494760"/>
      </c:barChart>
      <c:catAx>
        <c:axId val="249489664"/>
        <c:scaling>
          <c:orientation val="minMax"/>
        </c:scaling>
        <c:delete val="0"/>
        <c:axPos val="b"/>
        <c:numFmt formatCode="General" sourceLinked="0"/>
        <c:majorTickMark val="out"/>
        <c:minorTickMark val="none"/>
        <c:tickLblPos val="nextTo"/>
        <c:txPr>
          <a:bodyPr/>
          <a:lstStyle/>
          <a:p>
            <a:pPr>
              <a:defRPr lang="en-IN" sz="1000"/>
            </a:pPr>
            <a:endParaRPr lang="en-US"/>
          </a:p>
        </c:txPr>
        <c:crossAx val="249494760"/>
        <c:crosses val="autoZero"/>
        <c:auto val="1"/>
        <c:lblAlgn val="ctr"/>
        <c:lblOffset val="100"/>
        <c:noMultiLvlLbl val="0"/>
      </c:catAx>
      <c:valAx>
        <c:axId val="249494760"/>
        <c:scaling>
          <c:orientation val="minMax"/>
        </c:scaling>
        <c:delete val="0"/>
        <c:axPos val="l"/>
        <c:numFmt formatCode="0.0%" sourceLinked="1"/>
        <c:majorTickMark val="out"/>
        <c:minorTickMark val="none"/>
        <c:tickLblPos val="nextTo"/>
        <c:txPr>
          <a:bodyPr/>
          <a:lstStyle/>
          <a:p>
            <a:pPr>
              <a:defRPr lang="en-IN" sz="1000"/>
            </a:pPr>
            <a:endParaRPr lang="en-US"/>
          </a:p>
        </c:txPr>
        <c:crossAx val="249489664"/>
        <c:crosses val="autoZero"/>
        <c:crossBetween val="between"/>
      </c:valAx>
    </c:plotArea>
    <c:legend>
      <c:legendPos val="r"/>
      <c:overlay val="0"/>
      <c:txPr>
        <a:bodyPr/>
        <a:lstStyle/>
        <a:p>
          <a:pPr>
            <a:defRPr lang="en-IN" sz="1000"/>
          </a:pPr>
          <a:endParaRPr lang="en-US"/>
        </a:p>
      </c:txPr>
    </c:legend>
    <c:plotVisOnly val="1"/>
    <c:dispBlanksAs val="gap"/>
    <c:showDLblsOverMax val="0"/>
  </c:chart>
  <c:txPr>
    <a:bodyPr/>
    <a:lstStyle/>
    <a:p>
      <a:pPr>
        <a:defRPr sz="900"/>
      </a:pPr>
      <a:endParaRPr lang="en-US"/>
    </a:p>
  </c:txPr>
  <c:printSettings>
    <c:headerFooter/>
    <c:pageMargins b="0.75000000000000078" l="0.70000000000000062" r="0.70000000000000062" t="0.75000000000000078"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'Analysis Sheet'!$A$48</c:f>
              <c:strCache>
                <c:ptCount val="1"/>
                <c:pt idx="0">
                  <c:v>Male</c:v>
                </c:pt>
              </c:strCache>
            </c:strRef>
          </c:tx>
          <c:invertIfNegative val="0"/>
          <c:dLbls>
            <c:numFmt formatCode="0%" sourceLinked="0"/>
            <c:spPr>
              <a:noFill/>
              <a:ln>
                <a:noFill/>
              </a:ln>
              <a:effectLst/>
            </c:spPr>
            <c:txPr>
              <a:bodyPr/>
              <a:lstStyle/>
              <a:p>
                <a:pPr>
                  <a:defRPr lang="en-IN" sz="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 Sheet'!$B$47:$D$47</c:f>
              <c:strCache>
                <c:ptCount val="3"/>
                <c:pt idx="0">
                  <c:v>Pre-ART (Cumulative)</c:v>
                </c:pt>
                <c:pt idx="1">
                  <c:v>On-ART (Cumulative)</c:v>
                </c:pt>
                <c:pt idx="2">
                  <c:v>On-ART (Financial Year)</c:v>
                </c:pt>
              </c:strCache>
            </c:strRef>
          </c:cat>
          <c:val>
            <c:numRef>
              <c:f>'Analysis Sheet'!$B$48:$D$48</c:f>
              <c:numCache>
                <c:formatCode>0.0%</c:formatCode>
                <c:ptCount val="3"/>
                <c:pt idx="0">
                  <c:v>0.30838323353293412</c:v>
                </c:pt>
                <c:pt idx="1">
                  <c:v>0.22082973206568712</c:v>
                </c:pt>
                <c:pt idx="2">
                  <c:v>0</c:v>
                </c:pt>
              </c:numCache>
            </c:numRef>
          </c:val>
          <c:extLst>
            <c:ext xmlns:c16="http://schemas.microsoft.com/office/drawing/2014/chart" uri="{C3380CC4-5D6E-409C-BE32-E72D297353CC}">
              <c16:uniqueId val="{00000000-B88D-4475-A3D7-1D3DE98F939F}"/>
            </c:ext>
          </c:extLst>
        </c:ser>
        <c:ser>
          <c:idx val="1"/>
          <c:order val="1"/>
          <c:tx>
            <c:strRef>
              <c:f>'Analysis Sheet'!$A$49</c:f>
              <c:strCache>
                <c:ptCount val="1"/>
                <c:pt idx="0">
                  <c:v>Female</c:v>
                </c:pt>
              </c:strCache>
            </c:strRef>
          </c:tx>
          <c:invertIfNegative val="0"/>
          <c:dLbls>
            <c:numFmt formatCode="0%" sourceLinked="0"/>
            <c:spPr>
              <a:noFill/>
              <a:ln>
                <a:noFill/>
              </a:ln>
              <a:effectLst/>
            </c:spPr>
            <c:txPr>
              <a:bodyPr/>
              <a:lstStyle/>
              <a:p>
                <a:pPr>
                  <a:defRPr lang="en-IN" sz="800" b="1"/>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 Sheet'!$B$47:$D$47</c:f>
              <c:strCache>
                <c:ptCount val="3"/>
                <c:pt idx="0">
                  <c:v>Pre-ART (Cumulative)</c:v>
                </c:pt>
                <c:pt idx="1">
                  <c:v>On-ART (Cumulative)</c:v>
                </c:pt>
                <c:pt idx="2">
                  <c:v>On-ART (Financial Year)</c:v>
                </c:pt>
              </c:strCache>
            </c:strRef>
          </c:cat>
          <c:val>
            <c:numRef>
              <c:f>'Analysis Sheet'!$B$49:$D$49</c:f>
              <c:numCache>
                <c:formatCode>0.0%</c:formatCode>
                <c:ptCount val="3"/>
                <c:pt idx="0">
                  <c:v>0.22916666666666666</c:v>
                </c:pt>
                <c:pt idx="1">
                  <c:v>0.16254036598493002</c:v>
                </c:pt>
                <c:pt idx="2">
                  <c:v>3.3333333333333333E-2</c:v>
                </c:pt>
              </c:numCache>
            </c:numRef>
          </c:val>
          <c:extLst>
            <c:ext xmlns:c16="http://schemas.microsoft.com/office/drawing/2014/chart" uri="{C3380CC4-5D6E-409C-BE32-E72D297353CC}">
              <c16:uniqueId val="{00000001-B88D-4475-A3D7-1D3DE98F939F}"/>
            </c:ext>
          </c:extLst>
        </c:ser>
        <c:ser>
          <c:idx val="2"/>
          <c:order val="2"/>
          <c:tx>
            <c:strRef>
              <c:f>'Analysis Sheet'!$A$50</c:f>
              <c:strCache>
                <c:ptCount val="1"/>
                <c:pt idx="0">
                  <c:v>TS/TG</c:v>
                </c:pt>
              </c:strCache>
            </c:strRef>
          </c:tx>
          <c:invertIfNegative val="0"/>
          <c:dLbls>
            <c:numFmt formatCode="0%" sourceLinked="0"/>
            <c:spPr>
              <a:noFill/>
              <a:ln>
                <a:noFill/>
              </a:ln>
              <a:effectLst/>
            </c:spPr>
            <c:txPr>
              <a:bodyPr/>
              <a:lstStyle/>
              <a:p>
                <a:pPr>
                  <a:defRPr lang="en-IN" sz="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 Sheet'!$B$47:$D$47</c:f>
              <c:strCache>
                <c:ptCount val="3"/>
                <c:pt idx="0">
                  <c:v>Pre-ART (Cumulative)</c:v>
                </c:pt>
                <c:pt idx="1">
                  <c:v>On-ART (Cumulative)</c:v>
                </c:pt>
                <c:pt idx="2">
                  <c:v>On-ART (Financial Year)</c:v>
                </c:pt>
              </c:strCache>
            </c:strRef>
          </c:cat>
          <c:val>
            <c:numRef>
              <c:f>'Analysis Sheet'!$B$50:$D$50</c:f>
              <c:numCache>
                <c:formatCode>0.0%</c:formatCode>
                <c:ptCount val="3"/>
                <c:pt idx="0">
                  <c:v>0</c:v>
                </c:pt>
                <c:pt idx="1">
                  <c:v>9.7560975609756101E-2</c:v>
                </c:pt>
                <c:pt idx="2">
                  <c:v>0</c:v>
                </c:pt>
              </c:numCache>
            </c:numRef>
          </c:val>
          <c:extLst>
            <c:ext xmlns:c16="http://schemas.microsoft.com/office/drawing/2014/chart" uri="{C3380CC4-5D6E-409C-BE32-E72D297353CC}">
              <c16:uniqueId val="{00000002-B88D-4475-A3D7-1D3DE98F939F}"/>
            </c:ext>
          </c:extLst>
        </c:ser>
        <c:ser>
          <c:idx val="3"/>
          <c:order val="3"/>
          <c:tx>
            <c:strRef>
              <c:f>'Analysis Sheet'!$A$51</c:f>
              <c:strCache>
                <c:ptCount val="1"/>
                <c:pt idx="0">
                  <c:v>Male Children</c:v>
                </c:pt>
              </c:strCache>
            </c:strRef>
          </c:tx>
          <c:invertIfNegative val="0"/>
          <c:dLbls>
            <c:numFmt formatCode="0%" sourceLinked="0"/>
            <c:spPr>
              <a:noFill/>
              <a:ln>
                <a:noFill/>
              </a:ln>
              <a:effectLst/>
            </c:spPr>
            <c:txPr>
              <a:bodyPr/>
              <a:lstStyle/>
              <a:p>
                <a:pPr>
                  <a:defRPr lang="en-IN" sz="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 Sheet'!$B$47:$D$47</c:f>
              <c:strCache>
                <c:ptCount val="3"/>
                <c:pt idx="0">
                  <c:v>Pre-ART (Cumulative)</c:v>
                </c:pt>
                <c:pt idx="1">
                  <c:v>On-ART (Cumulative)</c:v>
                </c:pt>
                <c:pt idx="2">
                  <c:v>On-ART (Financial Year)</c:v>
                </c:pt>
              </c:strCache>
            </c:strRef>
          </c:cat>
          <c:val>
            <c:numRef>
              <c:f>'Analysis Sheet'!$B$51:$D$51</c:f>
              <c:numCache>
                <c:formatCode>0.0%</c:formatCode>
                <c:ptCount val="3"/>
                <c:pt idx="0">
                  <c:v>0</c:v>
                </c:pt>
                <c:pt idx="1">
                  <c:v>0.32</c:v>
                </c:pt>
                <c:pt idx="2">
                  <c:v>0</c:v>
                </c:pt>
              </c:numCache>
            </c:numRef>
          </c:val>
          <c:extLst>
            <c:ext xmlns:c16="http://schemas.microsoft.com/office/drawing/2014/chart" uri="{C3380CC4-5D6E-409C-BE32-E72D297353CC}">
              <c16:uniqueId val="{00000003-B88D-4475-A3D7-1D3DE98F939F}"/>
            </c:ext>
          </c:extLst>
        </c:ser>
        <c:ser>
          <c:idx val="4"/>
          <c:order val="4"/>
          <c:tx>
            <c:strRef>
              <c:f>'Analysis Sheet'!$A$52</c:f>
              <c:strCache>
                <c:ptCount val="1"/>
                <c:pt idx="0">
                  <c:v>Female Children</c:v>
                </c:pt>
              </c:strCache>
            </c:strRef>
          </c:tx>
          <c:invertIfNegative val="0"/>
          <c:dLbls>
            <c:numFmt formatCode="0%" sourceLinked="0"/>
            <c:spPr>
              <a:noFill/>
              <a:ln>
                <a:noFill/>
              </a:ln>
              <a:effectLst/>
            </c:spPr>
            <c:txPr>
              <a:bodyPr/>
              <a:lstStyle/>
              <a:p>
                <a:pPr>
                  <a:defRPr lang="en-IN" sz="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 Sheet'!$B$47:$D$47</c:f>
              <c:strCache>
                <c:ptCount val="3"/>
                <c:pt idx="0">
                  <c:v>Pre-ART (Cumulative)</c:v>
                </c:pt>
                <c:pt idx="1">
                  <c:v>On-ART (Cumulative)</c:v>
                </c:pt>
                <c:pt idx="2">
                  <c:v>On-ART (Financial Year)</c:v>
                </c:pt>
              </c:strCache>
            </c:strRef>
          </c:cat>
          <c:val>
            <c:numRef>
              <c:f>'Analysis Sheet'!$B$52:$D$52</c:f>
              <c:numCache>
                <c:formatCode>0.0%</c:formatCode>
                <c:ptCount val="3"/>
                <c:pt idx="0">
                  <c:v>0.5</c:v>
                </c:pt>
                <c:pt idx="1">
                  <c:v>9.0909090909090912E-2</c:v>
                </c:pt>
                <c:pt idx="2">
                  <c:v>0</c:v>
                </c:pt>
              </c:numCache>
            </c:numRef>
          </c:val>
          <c:extLst>
            <c:ext xmlns:c16="http://schemas.microsoft.com/office/drawing/2014/chart" uri="{C3380CC4-5D6E-409C-BE32-E72D297353CC}">
              <c16:uniqueId val="{00000004-B88D-4475-A3D7-1D3DE98F939F}"/>
            </c:ext>
          </c:extLst>
        </c:ser>
        <c:dLbls>
          <c:showLegendKey val="0"/>
          <c:showVal val="1"/>
          <c:showCatName val="0"/>
          <c:showSerName val="0"/>
          <c:showPercent val="0"/>
          <c:showBubbleSize val="0"/>
        </c:dLbls>
        <c:gapWidth val="150"/>
        <c:axId val="249495152"/>
        <c:axId val="249495936"/>
      </c:barChart>
      <c:catAx>
        <c:axId val="249495152"/>
        <c:scaling>
          <c:orientation val="minMax"/>
        </c:scaling>
        <c:delete val="0"/>
        <c:axPos val="b"/>
        <c:numFmt formatCode="General" sourceLinked="0"/>
        <c:majorTickMark val="out"/>
        <c:minorTickMark val="none"/>
        <c:tickLblPos val="nextTo"/>
        <c:txPr>
          <a:bodyPr/>
          <a:lstStyle/>
          <a:p>
            <a:pPr>
              <a:defRPr lang="en-IN"/>
            </a:pPr>
            <a:endParaRPr lang="en-US"/>
          </a:p>
        </c:txPr>
        <c:crossAx val="249495936"/>
        <c:crosses val="autoZero"/>
        <c:auto val="1"/>
        <c:lblAlgn val="ctr"/>
        <c:lblOffset val="100"/>
        <c:noMultiLvlLbl val="0"/>
      </c:catAx>
      <c:valAx>
        <c:axId val="249495936"/>
        <c:scaling>
          <c:orientation val="minMax"/>
        </c:scaling>
        <c:delete val="0"/>
        <c:axPos val="l"/>
        <c:numFmt formatCode="0.0%" sourceLinked="1"/>
        <c:majorTickMark val="out"/>
        <c:minorTickMark val="none"/>
        <c:tickLblPos val="nextTo"/>
        <c:txPr>
          <a:bodyPr/>
          <a:lstStyle/>
          <a:p>
            <a:pPr>
              <a:defRPr lang="en-IN"/>
            </a:pPr>
            <a:endParaRPr lang="en-US"/>
          </a:p>
        </c:txPr>
        <c:crossAx val="249495152"/>
        <c:crosses val="autoZero"/>
        <c:crossBetween val="between"/>
      </c:valAx>
    </c:plotArea>
    <c:legend>
      <c:legendPos val="r"/>
      <c:overlay val="0"/>
      <c:txPr>
        <a:bodyPr/>
        <a:lstStyle/>
        <a:p>
          <a:pPr>
            <a:defRPr lang="en-IN"/>
          </a:pPr>
          <a:endParaRPr lang="en-US"/>
        </a:p>
      </c:txPr>
    </c:legend>
    <c:plotVisOnly val="1"/>
    <c:dispBlanksAs val="gap"/>
    <c:showDLblsOverMax val="0"/>
  </c:chart>
  <c:printSettings>
    <c:headerFooter/>
    <c:pageMargins b="0.75000000000000078" l="0.70000000000000062" r="0.70000000000000062" t="0.75000000000000078"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581025</xdr:colOff>
      <xdr:row>0</xdr:row>
      <xdr:rowOff>317239</xdr:rowOff>
    </xdr:to>
    <xdr:pic>
      <xdr:nvPicPr>
        <xdr:cNvPr id="2" name="Picture 18">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581025" cy="317239"/>
        </a:xfrm>
        <a:prstGeom prst="rect">
          <a:avLst/>
        </a:prstGeom>
        <a:noFill/>
        <a:ln w="1">
          <a:noFill/>
          <a:miter lim="800000"/>
          <a:headEnd/>
          <a:tailEnd/>
        </a:ln>
      </xdr:spPr>
    </xdr:pic>
    <xdr:clientData/>
  </xdr:twoCellAnchor>
  <xdr:twoCellAnchor editAs="oneCell">
    <xdr:from>
      <xdr:col>0</xdr:col>
      <xdr:colOff>44696</xdr:colOff>
      <xdr:row>77</xdr:row>
      <xdr:rowOff>30128</xdr:rowOff>
    </xdr:from>
    <xdr:to>
      <xdr:col>0</xdr:col>
      <xdr:colOff>524002</xdr:colOff>
      <xdr:row>77</xdr:row>
      <xdr:rowOff>190500</xdr:rowOff>
    </xdr:to>
    <xdr:pic>
      <xdr:nvPicPr>
        <xdr:cNvPr id="3" name="Picture 18">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4696" y="10088528"/>
          <a:ext cx="479306" cy="179422"/>
        </a:xfrm>
        <a:prstGeom prst="rect">
          <a:avLst/>
        </a:prstGeom>
        <a:noFill/>
        <a:ln w="1">
          <a:noFill/>
          <a:miter lim="800000"/>
          <a:headEnd/>
          <a:tailEnd/>
        </a:ln>
      </xdr:spPr>
    </xdr:pic>
    <xdr:clientData/>
  </xdr:twoCellAnchor>
  <xdr:twoCellAnchor editAs="oneCell">
    <xdr:from>
      <xdr:col>10</xdr:col>
      <xdr:colOff>97425</xdr:colOff>
      <xdr:row>18</xdr:row>
      <xdr:rowOff>190499</xdr:rowOff>
    </xdr:from>
    <xdr:to>
      <xdr:col>11</xdr:col>
      <xdr:colOff>42000</xdr:colOff>
      <xdr:row>19</xdr:row>
      <xdr:rowOff>179999</xdr:rowOff>
    </xdr:to>
    <xdr:sp macro="[0]!add_MO" textlink="">
      <xdr:nvSpPr>
        <xdr:cNvPr id="5" name="Rectangle 4">
          <a:extLst>
            <a:ext uri="{FF2B5EF4-FFF2-40B4-BE49-F238E27FC236}">
              <a16:creationId xmlns:a16="http://schemas.microsoft.com/office/drawing/2014/main" id="{00000000-0008-0000-0100-000005000000}"/>
            </a:ext>
          </a:extLst>
        </xdr:cNvPr>
        <xdr:cNvSpPr/>
      </xdr:nvSpPr>
      <xdr:spPr>
        <a:xfrm>
          <a:off x="9270000" y="4171949"/>
          <a:ext cx="1440000" cy="180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i="1"/>
            <a:t>Add Medical Officer</a:t>
          </a:r>
          <a:r>
            <a:rPr lang="en-IN" sz="1100"/>
            <a:t> </a:t>
          </a:r>
        </a:p>
      </xdr:txBody>
    </xdr:sp>
    <xdr:clientData/>
  </xdr:twoCellAnchor>
  <xdr:twoCellAnchor editAs="oneCell">
    <xdr:from>
      <xdr:col>10</xdr:col>
      <xdr:colOff>97425</xdr:colOff>
      <xdr:row>23</xdr:row>
      <xdr:rowOff>9524</xdr:rowOff>
    </xdr:from>
    <xdr:to>
      <xdr:col>11</xdr:col>
      <xdr:colOff>42000</xdr:colOff>
      <xdr:row>23</xdr:row>
      <xdr:rowOff>180975</xdr:rowOff>
    </xdr:to>
    <xdr:sp macro="[0]!add_Nurse" textlink="">
      <xdr:nvSpPr>
        <xdr:cNvPr id="14" name="Rectangle 13">
          <a:extLst>
            <a:ext uri="{FF2B5EF4-FFF2-40B4-BE49-F238E27FC236}">
              <a16:creationId xmlns:a16="http://schemas.microsoft.com/office/drawing/2014/main" id="{00000000-0008-0000-0100-00000E000000}"/>
            </a:ext>
          </a:extLst>
        </xdr:cNvPr>
        <xdr:cNvSpPr/>
      </xdr:nvSpPr>
      <xdr:spPr>
        <a:xfrm>
          <a:off x="9508125" y="4638674"/>
          <a:ext cx="1440000" cy="171451"/>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i="1"/>
            <a:t>Add Staff Nurse</a:t>
          </a:r>
          <a:endParaRPr lang="en-IN" sz="1100"/>
        </a:p>
      </xdr:txBody>
    </xdr:sp>
    <xdr:clientData/>
  </xdr:twoCellAnchor>
  <xdr:twoCellAnchor editAs="oneCell">
    <xdr:from>
      <xdr:col>10</xdr:col>
      <xdr:colOff>97425</xdr:colOff>
      <xdr:row>26</xdr:row>
      <xdr:rowOff>0</xdr:rowOff>
    </xdr:from>
    <xdr:to>
      <xdr:col>11</xdr:col>
      <xdr:colOff>42000</xdr:colOff>
      <xdr:row>26</xdr:row>
      <xdr:rowOff>180975</xdr:rowOff>
    </xdr:to>
    <xdr:sp macro="[0]!add_Coun" textlink="">
      <xdr:nvSpPr>
        <xdr:cNvPr id="15" name="Rectangle 14">
          <a:extLst>
            <a:ext uri="{FF2B5EF4-FFF2-40B4-BE49-F238E27FC236}">
              <a16:creationId xmlns:a16="http://schemas.microsoft.com/office/drawing/2014/main" id="{00000000-0008-0000-0100-00000F000000}"/>
            </a:ext>
          </a:extLst>
        </xdr:cNvPr>
        <xdr:cNvSpPr/>
      </xdr:nvSpPr>
      <xdr:spPr>
        <a:xfrm>
          <a:off x="9508125" y="5581650"/>
          <a:ext cx="1440000" cy="180975"/>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i="1"/>
            <a:t>Add Counsellor</a:t>
          </a:r>
        </a:p>
      </xdr:txBody>
    </xdr:sp>
    <xdr:clientData/>
  </xdr:twoCellAnchor>
  <xdr:twoCellAnchor editAs="oneCell">
    <xdr:from>
      <xdr:col>10</xdr:col>
      <xdr:colOff>97425</xdr:colOff>
      <xdr:row>30</xdr:row>
      <xdr:rowOff>0</xdr:rowOff>
    </xdr:from>
    <xdr:to>
      <xdr:col>11</xdr:col>
      <xdr:colOff>42000</xdr:colOff>
      <xdr:row>30</xdr:row>
      <xdr:rowOff>180975</xdr:rowOff>
    </xdr:to>
    <xdr:sp macro="[0]!add_Phar" textlink="">
      <xdr:nvSpPr>
        <xdr:cNvPr id="16" name="Rectangle 15">
          <a:extLst>
            <a:ext uri="{FF2B5EF4-FFF2-40B4-BE49-F238E27FC236}">
              <a16:creationId xmlns:a16="http://schemas.microsoft.com/office/drawing/2014/main" id="{00000000-0008-0000-0100-000010000000}"/>
            </a:ext>
          </a:extLst>
        </xdr:cNvPr>
        <xdr:cNvSpPr/>
      </xdr:nvSpPr>
      <xdr:spPr>
        <a:xfrm>
          <a:off x="9508125" y="6343650"/>
          <a:ext cx="1440000" cy="180975"/>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i="1"/>
            <a:t>Add Pharmacist</a:t>
          </a:r>
          <a:endParaRPr lang="en-IN" sz="1100"/>
        </a:p>
      </xdr:txBody>
    </xdr:sp>
    <xdr:clientData/>
  </xdr:twoCellAnchor>
  <xdr:twoCellAnchor editAs="oneCell">
    <xdr:from>
      <xdr:col>10</xdr:col>
      <xdr:colOff>97425</xdr:colOff>
      <xdr:row>33</xdr:row>
      <xdr:rowOff>0</xdr:rowOff>
    </xdr:from>
    <xdr:to>
      <xdr:col>11</xdr:col>
      <xdr:colOff>42000</xdr:colOff>
      <xdr:row>33</xdr:row>
      <xdr:rowOff>180975</xdr:rowOff>
    </xdr:to>
    <xdr:sp macro="[0]!add_LT" textlink="">
      <xdr:nvSpPr>
        <xdr:cNvPr id="17" name="Rectangle 16">
          <a:extLst>
            <a:ext uri="{FF2B5EF4-FFF2-40B4-BE49-F238E27FC236}">
              <a16:creationId xmlns:a16="http://schemas.microsoft.com/office/drawing/2014/main" id="{00000000-0008-0000-0100-000011000000}"/>
            </a:ext>
          </a:extLst>
        </xdr:cNvPr>
        <xdr:cNvSpPr/>
      </xdr:nvSpPr>
      <xdr:spPr>
        <a:xfrm>
          <a:off x="9508125" y="6915150"/>
          <a:ext cx="1440000" cy="180975"/>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i="1"/>
            <a:t>Add Lab</a:t>
          </a:r>
          <a:r>
            <a:rPr lang="en-IN" sz="1100" b="1" i="1" baseline="0"/>
            <a:t> Technician</a:t>
          </a:r>
        </a:p>
      </xdr:txBody>
    </xdr:sp>
    <xdr:clientData/>
  </xdr:twoCellAnchor>
  <xdr:twoCellAnchor editAs="oneCell">
    <xdr:from>
      <xdr:col>10</xdr:col>
      <xdr:colOff>97425</xdr:colOff>
      <xdr:row>35</xdr:row>
      <xdr:rowOff>180974</xdr:rowOff>
    </xdr:from>
    <xdr:to>
      <xdr:col>11</xdr:col>
      <xdr:colOff>42000</xdr:colOff>
      <xdr:row>36</xdr:row>
      <xdr:rowOff>180000</xdr:rowOff>
    </xdr:to>
    <xdr:sp macro="[0]!add_DM" textlink="">
      <xdr:nvSpPr>
        <xdr:cNvPr id="18" name="Rectangle 17">
          <a:extLst>
            <a:ext uri="{FF2B5EF4-FFF2-40B4-BE49-F238E27FC236}">
              <a16:creationId xmlns:a16="http://schemas.microsoft.com/office/drawing/2014/main" id="{00000000-0008-0000-0100-000012000000}"/>
            </a:ext>
          </a:extLst>
        </xdr:cNvPr>
        <xdr:cNvSpPr/>
      </xdr:nvSpPr>
      <xdr:spPr>
        <a:xfrm>
          <a:off x="9508125" y="7477124"/>
          <a:ext cx="1440000" cy="180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i="1"/>
            <a:t>Add Data Manager</a:t>
          </a:r>
          <a:endParaRPr lang="en-IN" sz="1100"/>
        </a:p>
      </xdr:txBody>
    </xdr:sp>
    <xdr:clientData/>
  </xdr:twoCellAnchor>
  <xdr:twoCellAnchor editAs="oneCell">
    <xdr:from>
      <xdr:col>10</xdr:col>
      <xdr:colOff>145050</xdr:colOff>
      <xdr:row>67</xdr:row>
      <xdr:rowOff>504824</xdr:rowOff>
    </xdr:from>
    <xdr:to>
      <xdr:col>11</xdr:col>
      <xdr:colOff>89625</xdr:colOff>
      <xdr:row>68</xdr:row>
      <xdr:rowOff>179999</xdr:rowOff>
    </xdr:to>
    <xdr:sp macro="[0]!add_CSC" textlink="">
      <xdr:nvSpPr>
        <xdr:cNvPr id="19" name="Rectangle 18">
          <a:extLst>
            <a:ext uri="{FF2B5EF4-FFF2-40B4-BE49-F238E27FC236}">
              <a16:creationId xmlns:a16="http://schemas.microsoft.com/office/drawing/2014/main" id="{00000000-0008-0000-0100-000013000000}"/>
            </a:ext>
          </a:extLst>
        </xdr:cNvPr>
        <xdr:cNvSpPr/>
      </xdr:nvSpPr>
      <xdr:spPr>
        <a:xfrm>
          <a:off x="9317625" y="8439149"/>
          <a:ext cx="1440000" cy="180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i="1"/>
            <a:t>Add CSC</a:t>
          </a:r>
          <a:endParaRPr lang="en-IN" sz="1100"/>
        </a:p>
      </xdr:txBody>
    </xdr:sp>
    <xdr:clientData/>
  </xdr:twoCellAnchor>
  <xdr:twoCellAnchor editAs="oneCell">
    <xdr:from>
      <xdr:col>10</xdr:col>
      <xdr:colOff>116475</xdr:colOff>
      <xdr:row>44</xdr:row>
      <xdr:rowOff>19049</xdr:rowOff>
    </xdr:from>
    <xdr:to>
      <xdr:col>11</xdr:col>
      <xdr:colOff>61050</xdr:colOff>
      <xdr:row>45</xdr:row>
      <xdr:rowOff>0</xdr:rowOff>
    </xdr:to>
    <xdr:sp macro="[0]!add_LAC" textlink="">
      <xdr:nvSpPr>
        <xdr:cNvPr id="20" name="Rectangle 19">
          <a:extLst>
            <a:ext uri="{FF2B5EF4-FFF2-40B4-BE49-F238E27FC236}">
              <a16:creationId xmlns:a16="http://schemas.microsoft.com/office/drawing/2014/main" id="{00000000-0008-0000-0100-000014000000}"/>
            </a:ext>
          </a:extLst>
        </xdr:cNvPr>
        <xdr:cNvSpPr/>
      </xdr:nvSpPr>
      <xdr:spPr>
        <a:xfrm>
          <a:off x="9289050" y="7191374"/>
          <a:ext cx="1440000" cy="171451"/>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i="1"/>
            <a:t>Add LAC</a:t>
          </a:r>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18317</xdr:colOff>
      <xdr:row>0</xdr:row>
      <xdr:rowOff>9525</xdr:rowOff>
    </xdr:from>
    <xdr:to>
      <xdr:col>0</xdr:col>
      <xdr:colOff>589817</xdr:colOff>
      <xdr:row>0</xdr:row>
      <xdr:rowOff>233729</xdr:rowOff>
    </xdr:to>
    <xdr:pic>
      <xdr:nvPicPr>
        <xdr:cNvPr id="2" name="Picture 18">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317" y="9525"/>
          <a:ext cx="571500" cy="224204"/>
        </a:xfrm>
        <a:prstGeom prst="rect">
          <a:avLst/>
        </a:prstGeom>
        <a:noFill/>
        <a:ln w="1">
          <a:noFill/>
          <a:miter lim="800000"/>
          <a:headEnd/>
          <a:tailEnd/>
        </a:ln>
      </xdr:spPr>
    </xdr:pic>
    <xdr:clientData/>
  </xdr:twoCellAnchor>
  <xdr:twoCellAnchor editAs="oneCell">
    <xdr:from>
      <xdr:col>0</xdr:col>
      <xdr:colOff>47113</xdr:colOff>
      <xdr:row>91</xdr:row>
      <xdr:rowOff>26057</xdr:rowOff>
    </xdr:from>
    <xdr:to>
      <xdr:col>0</xdr:col>
      <xdr:colOff>495811</xdr:colOff>
      <xdr:row>91</xdr:row>
      <xdr:rowOff>183493</xdr:rowOff>
    </xdr:to>
    <xdr:pic>
      <xdr:nvPicPr>
        <xdr:cNvPr id="4" name="Picture 18">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113" y="17847332"/>
          <a:ext cx="448698" cy="157436"/>
        </a:xfrm>
        <a:prstGeom prst="rect">
          <a:avLst/>
        </a:prstGeom>
        <a:noFill/>
        <a:ln w="1">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22860</xdr:colOff>
      <xdr:row>0</xdr:row>
      <xdr:rowOff>9525</xdr:rowOff>
    </xdr:from>
    <xdr:to>
      <xdr:col>0</xdr:col>
      <xdr:colOff>714374</xdr:colOff>
      <xdr:row>0</xdr:row>
      <xdr:rowOff>297180</xdr:rowOff>
    </xdr:to>
    <xdr:pic>
      <xdr:nvPicPr>
        <xdr:cNvPr id="2" name="Picture 18">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2860" y="9525"/>
          <a:ext cx="701039" cy="287655"/>
        </a:xfrm>
        <a:prstGeom prst="rect">
          <a:avLst/>
        </a:prstGeom>
        <a:noFill/>
        <a:ln w="1">
          <a:noFill/>
          <a:miter lim="800000"/>
          <a:headEnd/>
          <a:tailEnd/>
        </a:ln>
      </xdr:spPr>
    </xdr:pic>
    <xdr:clientData/>
  </xdr:twoCellAnchor>
  <xdr:twoCellAnchor editAs="oneCell">
    <xdr:from>
      <xdr:col>0</xdr:col>
      <xdr:colOff>47113</xdr:colOff>
      <xdr:row>46</xdr:row>
      <xdr:rowOff>26057</xdr:rowOff>
    </xdr:from>
    <xdr:to>
      <xdr:col>0</xdr:col>
      <xdr:colOff>495811</xdr:colOff>
      <xdr:row>46</xdr:row>
      <xdr:rowOff>26057</xdr:rowOff>
    </xdr:to>
    <xdr:pic>
      <xdr:nvPicPr>
        <xdr:cNvPr id="3" name="Picture 18">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113" y="12894332"/>
          <a:ext cx="448698" cy="157436"/>
        </a:xfrm>
        <a:prstGeom prst="rect">
          <a:avLst/>
        </a:prstGeom>
        <a:noFill/>
        <a:ln w="1">
          <a:noFill/>
          <a:miter lim="800000"/>
          <a:headEnd/>
          <a:tailEnd/>
        </a:ln>
      </xdr:spPr>
    </xdr:pic>
    <xdr:clientData/>
  </xdr:twoCellAnchor>
  <xdr:twoCellAnchor editAs="oneCell">
    <xdr:from>
      <xdr:col>0</xdr:col>
      <xdr:colOff>42954</xdr:colOff>
      <xdr:row>46</xdr:row>
      <xdr:rowOff>25196</xdr:rowOff>
    </xdr:from>
    <xdr:to>
      <xdr:col>0</xdr:col>
      <xdr:colOff>433296</xdr:colOff>
      <xdr:row>46</xdr:row>
      <xdr:rowOff>174828</xdr:rowOff>
    </xdr:to>
    <xdr:pic>
      <xdr:nvPicPr>
        <xdr:cNvPr id="4" name="Picture 18">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2954" y="11769521"/>
          <a:ext cx="390342" cy="149632"/>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22861</xdr:colOff>
      <xdr:row>0</xdr:row>
      <xdr:rowOff>9525</xdr:rowOff>
    </xdr:from>
    <xdr:to>
      <xdr:col>0</xdr:col>
      <xdr:colOff>590551</xdr:colOff>
      <xdr:row>0</xdr:row>
      <xdr:rowOff>259080</xdr:rowOff>
    </xdr:to>
    <xdr:pic>
      <xdr:nvPicPr>
        <xdr:cNvPr id="2" name="Picture 18">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2861" y="9525"/>
          <a:ext cx="567690" cy="249555"/>
        </a:xfrm>
        <a:prstGeom prst="rect">
          <a:avLst/>
        </a:prstGeom>
        <a:noFill/>
        <a:ln w="1">
          <a:noFill/>
          <a:miter lim="800000"/>
          <a:headEnd/>
          <a:tailEnd/>
        </a:ln>
      </xdr:spPr>
    </xdr:pic>
    <xdr:clientData/>
  </xdr:twoCellAnchor>
  <xdr:twoCellAnchor editAs="oneCell">
    <xdr:from>
      <xdr:col>0</xdr:col>
      <xdr:colOff>47625</xdr:colOff>
      <xdr:row>67</xdr:row>
      <xdr:rowOff>47625</xdr:rowOff>
    </xdr:from>
    <xdr:to>
      <xdr:col>0</xdr:col>
      <xdr:colOff>590550</xdr:colOff>
      <xdr:row>67</xdr:row>
      <xdr:rowOff>247650</xdr:rowOff>
    </xdr:to>
    <xdr:pic>
      <xdr:nvPicPr>
        <xdr:cNvPr id="4" name="Picture 18">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2374225"/>
          <a:ext cx="542925" cy="200025"/>
        </a:xfrm>
        <a:prstGeom prst="rect">
          <a:avLst/>
        </a:prstGeom>
        <a:noFill/>
        <a:ln w="1">
          <a:noFill/>
          <a:miter lim="800000"/>
          <a:headEnd/>
          <a:tailEnd/>
        </a:ln>
      </xdr:spPr>
    </xdr:pic>
    <xdr:clientData/>
  </xdr:twoCellAnchor>
  <xdr:twoCellAnchor editAs="oneCell">
    <xdr:from>
      <xdr:col>0</xdr:col>
      <xdr:colOff>47625</xdr:colOff>
      <xdr:row>67</xdr:row>
      <xdr:rowOff>0</xdr:rowOff>
    </xdr:from>
    <xdr:to>
      <xdr:col>0</xdr:col>
      <xdr:colOff>590550</xdr:colOff>
      <xdr:row>67</xdr:row>
      <xdr:rowOff>0</xdr:rowOff>
    </xdr:to>
    <xdr:pic>
      <xdr:nvPicPr>
        <xdr:cNvPr id="5" name="Picture 18">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18678525"/>
          <a:ext cx="542925" cy="0"/>
        </a:xfrm>
        <a:prstGeom prst="rect">
          <a:avLst/>
        </a:prstGeom>
        <a:noFill/>
        <a:ln w="1">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47625</xdr:colOff>
      <xdr:row>64</xdr:row>
      <xdr:rowOff>9525</xdr:rowOff>
    </xdr:from>
    <xdr:to>
      <xdr:col>0</xdr:col>
      <xdr:colOff>590550</xdr:colOff>
      <xdr:row>64</xdr:row>
      <xdr:rowOff>323850</xdr:rowOff>
    </xdr:to>
    <xdr:pic>
      <xdr:nvPicPr>
        <xdr:cNvPr id="2" name="Picture 18">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13020675"/>
          <a:ext cx="542925" cy="314325"/>
        </a:xfrm>
        <a:prstGeom prst="rect">
          <a:avLst/>
        </a:prstGeom>
        <a:noFill/>
        <a:ln w="1">
          <a:noFill/>
          <a:miter lim="800000"/>
          <a:headEnd/>
          <a:tailEnd/>
        </a:ln>
      </xdr:spPr>
    </xdr:pic>
    <xdr:clientData/>
  </xdr:twoCellAnchor>
  <xdr:twoCellAnchor editAs="oneCell">
    <xdr:from>
      <xdr:col>0</xdr:col>
      <xdr:colOff>0</xdr:colOff>
      <xdr:row>0</xdr:row>
      <xdr:rowOff>0</xdr:rowOff>
    </xdr:from>
    <xdr:to>
      <xdr:col>0</xdr:col>
      <xdr:colOff>617220</xdr:colOff>
      <xdr:row>0</xdr:row>
      <xdr:rowOff>304799</xdr:rowOff>
    </xdr:to>
    <xdr:pic>
      <xdr:nvPicPr>
        <xdr:cNvPr id="3" name="Picture 18">
          <a:extLst>
            <a:ext uri="{FF2B5EF4-FFF2-40B4-BE49-F238E27FC236}">
              <a16:creationId xmlns:a16="http://schemas.microsoft.com/office/drawing/2014/main" id="{30569C98-8290-4626-A9DA-844BFAF17BD8}"/>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617220" cy="304799"/>
        </a:xfrm>
        <a:prstGeom prst="rect">
          <a:avLst/>
        </a:prstGeom>
        <a:noFill/>
        <a:ln w="1">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47625</xdr:colOff>
      <xdr:row>0</xdr:row>
      <xdr:rowOff>9525</xdr:rowOff>
    </xdr:from>
    <xdr:to>
      <xdr:col>0</xdr:col>
      <xdr:colOff>590550</xdr:colOff>
      <xdr:row>0</xdr:row>
      <xdr:rowOff>205740</xdr:rowOff>
    </xdr:to>
    <xdr:pic>
      <xdr:nvPicPr>
        <xdr:cNvPr id="2" name="Picture 18">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9525"/>
          <a:ext cx="542925" cy="190500"/>
        </a:xfrm>
        <a:prstGeom prst="rect">
          <a:avLst/>
        </a:prstGeom>
        <a:noFill/>
        <a:ln w="1">
          <a:noFill/>
          <a:miter lim="800000"/>
          <a:headEnd/>
          <a:tailEnd/>
        </a:ln>
      </xdr:spPr>
    </xdr:pic>
    <xdr:clientData/>
  </xdr:twoCellAnchor>
  <xdr:twoCellAnchor editAs="oneCell">
    <xdr:from>
      <xdr:col>0</xdr:col>
      <xdr:colOff>0</xdr:colOff>
      <xdr:row>0</xdr:row>
      <xdr:rowOff>9525</xdr:rowOff>
    </xdr:from>
    <xdr:to>
      <xdr:col>1</xdr:col>
      <xdr:colOff>0</xdr:colOff>
      <xdr:row>1</xdr:row>
      <xdr:rowOff>7620</xdr:rowOff>
    </xdr:to>
    <xdr:pic>
      <xdr:nvPicPr>
        <xdr:cNvPr id="3" name="Picture 18">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9525"/>
          <a:ext cx="723900" cy="318135"/>
        </a:xfrm>
        <a:prstGeom prst="rect">
          <a:avLst/>
        </a:prstGeom>
        <a:noFill/>
        <a:ln w="1">
          <a:noFill/>
          <a:miter lim="800000"/>
          <a:headEnd/>
          <a:tailEnd/>
        </a:ln>
      </xdr:spPr>
    </xdr:pic>
    <xdr:clientData/>
  </xdr:twoCellAnchor>
  <xdr:twoCellAnchor editAs="oneCell">
    <xdr:from>
      <xdr:col>0</xdr:col>
      <xdr:colOff>47625</xdr:colOff>
      <xdr:row>26</xdr:row>
      <xdr:rowOff>47625</xdr:rowOff>
    </xdr:from>
    <xdr:to>
      <xdr:col>0</xdr:col>
      <xdr:colOff>590550</xdr:colOff>
      <xdr:row>27</xdr:row>
      <xdr:rowOff>0</xdr:rowOff>
    </xdr:to>
    <xdr:pic>
      <xdr:nvPicPr>
        <xdr:cNvPr id="4" name="Picture 18">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18783300"/>
          <a:ext cx="542925" cy="200025"/>
        </a:xfrm>
        <a:prstGeom prst="rect">
          <a:avLst/>
        </a:prstGeom>
        <a:noFill/>
        <a:ln w="1">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xdr:colOff>
      <xdr:row>0</xdr:row>
      <xdr:rowOff>1</xdr:rowOff>
    </xdr:from>
    <xdr:to>
      <xdr:col>1</xdr:col>
      <xdr:colOff>132523</xdr:colOff>
      <xdr:row>0</xdr:row>
      <xdr:rowOff>318053</xdr:rowOff>
    </xdr:to>
    <xdr:pic>
      <xdr:nvPicPr>
        <xdr:cNvPr id="3" name="Picture 18">
          <a:extLst>
            <a:ext uri="{FF2B5EF4-FFF2-40B4-BE49-F238E27FC236}">
              <a16:creationId xmlns:a16="http://schemas.microsoft.com/office/drawing/2014/main" id="{38FC2D8D-A047-4F79-B402-44DE22AF178C}"/>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 y="1"/>
          <a:ext cx="583096" cy="318052"/>
        </a:xfrm>
        <a:prstGeom prst="rect">
          <a:avLst/>
        </a:prstGeom>
        <a:noFill/>
        <a:ln w="1">
          <a:noFill/>
          <a:miter lim="800000"/>
          <a:headEnd/>
          <a:tailEnd/>
        </a:ln>
      </xdr:spPr>
    </xdr:pic>
    <xdr:clientData/>
  </xdr:twoCellAnchor>
  <xdr:twoCellAnchor editAs="oneCell">
    <xdr:from>
      <xdr:col>0</xdr:col>
      <xdr:colOff>9525</xdr:colOff>
      <xdr:row>19</xdr:row>
      <xdr:rowOff>22861</xdr:rowOff>
    </xdr:from>
    <xdr:to>
      <xdr:col>1</xdr:col>
      <xdr:colOff>205740</xdr:colOff>
      <xdr:row>19</xdr:row>
      <xdr:rowOff>373381</xdr:rowOff>
    </xdr:to>
    <xdr:pic>
      <xdr:nvPicPr>
        <xdr:cNvPr id="4" name="Picture 18">
          <a:extLst>
            <a:ext uri="{FF2B5EF4-FFF2-40B4-BE49-F238E27FC236}">
              <a16:creationId xmlns:a16="http://schemas.microsoft.com/office/drawing/2014/main" id="{356C7B77-0488-4CE6-8B53-60945E863B77}"/>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525" y="6156961"/>
          <a:ext cx="645795" cy="350520"/>
        </a:xfrm>
        <a:prstGeom prst="rect">
          <a:avLst/>
        </a:prstGeom>
        <a:noFill/>
        <a:ln w="1">
          <a:noFill/>
          <a:miter lim="800000"/>
          <a:headEnd/>
          <a:tailEnd/>
        </a:ln>
      </xdr:spPr>
    </xdr:pic>
    <xdr:clientData/>
  </xdr:twoCellAnchor>
  <xdr:twoCellAnchor>
    <xdr:from>
      <xdr:col>6</xdr:col>
      <xdr:colOff>1192696</xdr:colOff>
      <xdr:row>0</xdr:row>
      <xdr:rowOff>19878</xdr:rowOff>
    </xdr:from>
    <xdr:to>
      <xdr:col>6</xdr:col>
      <xdr:colOff>1895060</xdr:colOff>
      <xdr:row>1</xdr:row>
      <xdr:rowOff>6626</xdr:rowOff>
    </xdr:to>
    <xdr:sp macro="" textlink="">
      <xdr:nvSpPr>
        <xdr:cNvPr id="2" name="Rectangle 1">
          <a:extLst>
            <a:ext uri="{FF2B5EF4-FFF2-40B4-BE49-F238E27FC236}">
              <a16:creationId xmlns:a16="http://schemas.microsoft.com/office/drawing/2014/main" id="{D42FE9C1-26B0-4FA3-904B-477008C965CC}"/>
            </a:ext>
          </a:extLst>
        </xdr:cNvPr>
        <xdr:cNvSpPr/>
      </xdr:nvSpPr>
      <xdr:spPr>
        <a:xfrm>
          <a:off x="9369287" y="19878"/>
          <a:ext cx="702364" cy="384313"/>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latin typeface="Verdana" panose="020B0604030504040204" pitchFamily="34" charset="0"/>
              <a:ea typeface="Verdana" panose="020B0604030504040204" pitchFamily="34" charset="0"/>
            </a:rPr>
            <a:t>ART</a:t>
          </a:r>
          <a:endParaRPr lang="en-IN" sz="1200">
            <a:latin typeface="Verdana" panose="020B0604030504040204" pitchFamily="34" charset="0"/>
            <a:ea typeface="Verdana" panose="020B0604030504040204" pitchFamily="34" charset="0"/>
          </a:endParaRPr>
        </a:p>
      </xdr:txBody>
    </xdr:sp>
    <xdr:clientData/>
  </xdr:twoCellAnchor>
  <xdr:twoCellAnchor>
    <xdr:from>
      <xdr:col>4</xdr:col>
      <xdr:colOff>1192696</xdr:colOff>
      <xdr:row>0</xdr:row>
      <xdr:rowOff>19878</xdr:rowOff>
    </xdr:from>
    <xdr:to>
      <xdr:col>4</xdr:col>
      <xdr:colOff>1895060</xdr:colOff>
      <xdr:row>1</xdr:row>
      <xdr:rowOff>6626</xdr:rowOff>
    </xdr:to>
    <xdr:sp macro="" textlink="">
      <xdr:nvSpPr>
        <xdr:cNvPr id="6" name="Rectangle 5">
          <a:extLst>
            <a:ext uri="{FF2B5EF4-FFF2-40B4-BE49-F238E27FC236}">
              <a16:creationId xmlns:a16="http://schemas.microsoft.com/office/drawing/2014/main" id="{67C42EB4-7DA1-4A5D-86E8-759814BD8A3E}"/>
            </a:ext>
          </a:extLst>
        </xdr:cNvPr>
        <xdr:cNvSpPr/>
      </xdr:nvSpPr>
      <xdr:spPr>
        <a:xfrm>
          <a:off x="9369287" y="19878"/>
          <a:ext cx="702364" cy="384313"/>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latin typeface="Verdana" panose="020B0604030504040204" pitchFamily="34" charset="0"/>
              <a:ea typeface="Verdana" panose="020B0604030504040204" pitchFamily="34" charset="0"/>
            </a:rPr>
            <a:t>ART</a:t>
          </a:r>
          <a:endParaRPr lang="en-IN" sz="1200">
            <a:latin typeface="Verdana" panose="020B0604030504040204" pitchFamily="34" charset="0"/>
            <a:ea typeface="Verdana" panose="020B060403050404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38100</xdr:colOff>
      <xdr:row>0</xdr:row>
      <xdr:rowOff>47625</xdr:rowOff>
    </xdr:from>
    <xdr:to>
      <xdr:col>8</xdr:col>
      <xdr:colOff>390525</xdr:colOff>
      <xdr:row>4</xdr:row>
      <xdr:rowOff>57150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1990724</xdr:colOff>
      <xdr:row>4</xdr:row>
      <xdr:rowOff>133350</xdr:rowOff>
    </xdr:from>
    <xdr:to>
      <xdr:col>9</xdr:col>
      <xdr:colOff>457200</xdr:colOff>
      <xdr:row>11</xdr:row>
      <xdr:rowOff>180976</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1990725</xdr:colOff>
      <xdr:row>12</xdr:row>
      <xdr:rowOff>123824</xdr:rowOff>
    </xdr:from>
    <xdr:to>
      <xdr:col>9</xdr:col>
      <xdr:colOff>476250</xdr:colOff>
      <xdr:row>20</xdr:row>
      <xdr:rowOff>47625</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1200150</xdr:colOff>
      <xdr:row>25</xdr:row>
      <xdr:rowOff>66675</xdr:rowOff>
    </xdr:from>
    <xdr:to>
      <xdr:col>3</xdr:col>
      <xdr:colOff>1992238</xdr:colOff>
      <xdr:row>26</xdr:row>
      <xdr:rowOff>100955</xdr:rowOff>
    </xdr:to>
    <xdr:sp macro="" textlink="">
      <xdr:nvSpPr>
        <xdr:cNvPr id="11" name="Down Arrow 10">
          <a:extLst>
            <a:ext uri="{FF2B5EF4-FFF2-40B4-BE49-F238E27FC236}">
              <a16:creationId xmlns:a16="http://schemas.microsoft.com/office/drawing/2014/main" id="{00000000-0008-0000-0700-00000B000000}"/>
            </a:ext>
          </a:extLst>
        </xdr:cNvPr>
        <xdr:cNvSpPr/>
      </xdr:nvSpPr>
      <xdr:spPr>
        <a:xfrm>
          <a:off x="5457825" y="7305675"/>
          <a:ext cx="792088" cy="224780"/>
        </a:xfrm>
        <a:prstGeom prst="downArrow">
          <a:avLst/>
        </a:prstGeom>
        <a:solidFill>
          <a:schemeClr val="tx2">
            <a:lumMod val="20000"/>
            <a:lumOff val="80000"/>
          </a:schemeClr>
        </a:solidFill>
        <a:ln>
          <a:solidFill>
            <a:schemeClr val="tx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solidFill>
              <a:schemeClr val="tx2">
                <a:lumMod val="20000"/>
                <a:lumOff val="80000"/>
              </a:schemeClr>
            </a:solidFill>
          </a:endParaRPr>
        </a:p>
      </xdr:txBody>
    </xdr:sp>
    <xdr:clientData/>
  </xdr:twoCellAnchor>
  <xdr:twoCellAnchor>
    <xdr:from>
      <xdr:col>3</xdr:col>
      <xdr:colOff>1190625</xdr:colOff>
      <xdr:row>28</xdr:row>
      <xdr:rowOff>85725</xdr:rowOff>
    </xdr:from>
    <xdr:to>
      <xdr:col>3</xdr:col>
      <xdr:colOff>1982713</xdr:colOff>
      <xdr:row>29</xdr:row>
      <xdr:rowOff>120005</xdr:rowOff>
    </xdr:to>
    <xdr:sp macro="" textlink="">
      <xdr:nvSpPr>
        <xdr:cNvPr id="15" name="Down Arrow 14">
          <a:extLst>
            <a:ext uri="{FF2B5EF4-FFF2-40B4-BE49-F238E27FC236}">
              <a16:creationId xmlns:a16="http://schemas.microsoft.com/office/drawing/2014/main" id="{00000000-0008-0000-0700-00000F000000}"/>
            </a:ext>
          </a:extLst>
        </xdr:cNvPr>
        <xdr:cNvSpPr/>
      </xdr:nvSpPr>
      <xdr:spPr>
        <a:xfrm>
          <a:off x="5448300" y="7896225"/>
          <a:ext cx="792088" cy="224780"/>
        </a:xfrm>
        <a:prstGeom prst="downArrow">
          <a:avLst/>
        </a:prstGeom>
        <a:solidFill>
          <a:schemeClr val="tx2">
            <a:lumMod val="20000"/>
            <a:lumOff val="80000"/>
          </a:schemeClr>
        </a:solidFill>
        <a:ln>
          <a:solidFill>
            <a:schemeClr val="tx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solidFill>
              <a:schemeClr val="tx2">
                <a:lumMod val="20000"/>
                <a:lumOff val="80000"/>
              </a:schemeClr>
            </a:solidFill>
          </a:endParaRPr>
        </a:p>
      </xdr:txBody>
    </xdr:sp>
    <xdr:clientData/>
  </xdr:twoCellAnchor>
  <xdr:twoCellAnchor>
    <xdr:from>
      <xdr:col>3</xdr:col>
      <xdr:colOff>1200150</xdr:colOff>
      <xdr:row>31</xdr:row>
      <xdr:rowOff>76200</xdr:rowOff>
    </xdr:from>
    <xdr:to>
      <xdr:col>3</xdr:col>
      <xdr:colOff>1992238</xdr:colOff>
      <xdr:row>32</xdr:row>
      <xdr:rowOff>110480</xdr:rowOff>
    </xdr:to>
    <xdr:sp macro="" textlink="">
      <xdr:nvSpPr>
        <xdr:cNvPr id="16" name="Down Arrow 15">
          <a:extLst>
            <a:ext uri="{FF2B5EF4-FFF2-40B4-BE49-F238E27FC236}">
              <a16:creationId xmlns:a16="http://schemas.microsoft.com/office/drawing/2014/main" id="{00000000-0008-0000-0700-000010000000}"/>
            </a:ext>
          </a:extLst>
        </xdr:cNvPr>
        <xdr:cNvSpPr/>
      </xdr:nvSpPr>
      <xdr:spPr>
        <a:xfrm>
          <a:off x="5457825" y="8458200"/>
          <a:ext cx="792088" cy="224780"/>
        </a:xfrm>
        <a:prstGeom prst="downArrow">
          <a:avLst/>
        </a:prstGeom>
        <a:solidFill>
          <a:schemeClr val="tx2">
            <a:lumMod val="20000"/>
            <a:lumOff val="80000"/>
          </a:schemeClr>
        </a:solidFill>
        <a:ln>
          <a:solidFill>
            <a:schemeClr val="tx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solidFill>
              <a:schemeClr val="tx2">
                <a:lumMod val="20000"/>
                <a:lumOff val="80000"/>
              </a:schemeClr>
            </a:solidFill>
          </a:endParaRPr>
        </a:p>
      </xdr:txBody>
    </xdr:sp>
    <xdr:clientData/>
  </xdr:twoCellAnchor>
  <xdr:twoCellAnchor>
    <xdr:from>
      <xdr:col>4</xdr:col>
      <xdr:colOff>390525</xdr:colOff>
      <xdr:row>35</xdr:row>
      <xdr:rowOff>142875</xdr:rowOff>
    </xdr:from>
    <xdr:to>
      <xdr:col>12</xdr:col>
      <xdr:colOff>409575</xdr:colOff>
      <xdr:row>43</xdr:row>
      <xdr:rowOff>47625</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419100</xdr:colOff>
      <xdr:row>44</xdr:row>
      <xdr:rowOff>123825</xdr:rowOff>
    </xdr:from>
    <xdr:to>
      <xdr:col>12</xdr:col>
      <xdr:colOff>419100</xdr:colOff>
      <xdr:row>52</xdr:row>
      <xdr:rowOff>9524</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mailto:artreports@gmail.com,"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5"/>
  <sheetViews>
    <sheetView workbookViewId="0"/>
  </sheetViews>
  <sheetFormatPr defaultColWidth="9.140625" defaultRowHeight="15" x14ac:dyDescent="0.25"/>
  <cols>
    <col min="1" max="1" width="3.140625" style="5" customWidth="1"/>
    <col min="2" max="2" width="3.28515625" style="5" customWidth="1"/>
    <col min="3" max="16384" width="9.140625" style="5"/>
  </cols>
  <sheetData>
    <row r="1" spans="1:2" x14ac:dyDescent="0.25">
      <c r="A1" s="67" t="s">
        <v>1950</v>
      </c>
    </row>
    <row r="3" spans="1:2" x14ac:dyDescent="0.25">
      <c r="A3" s="66" t="s">
        <v>2417</v>
      </c>
    </row>
    <row r="4" spans="1:2" x14ac:dyDescent="0.25">
      <c r="B4" s="5" t="s">
        <v>2418</v>
      </c>
    </row>
    <row r="5" spans="1:2" x14ac:dyDescent="0.25">
      <c r="B5" s="5" t="s">
        <v>2421</v>
      </c>
    </row>
    <row r="6" spans="1:2" x14ac:dyDescent="0.25">
      <c r="B6" s="5" t="s">
        <v>2420</v>
      </c>
    </row>
    <row r="8" spans="1:2" x14ac:dyDescent="0.25">
      <c r="A8" s="66" t="s">
        <v>1951</v>
      </c>
    </row>
    <row r="9" spans="1:2" x14ac:dyDescent="0.25">
      <c r="B9" s="5" t="s">
        <v>2249</v>
      </c>
    </row>
    <row r="10" spans="1:2" x14ac:dyDescent="0.25">
      <c r="B10" s="5" t="s">
        <v>1975</v>
      </c>
    </row>
    <row r="11" spans="1:2" ht="15" customHeight="1" x14ac:dyDescent="0.25">
      <c r="B11" s="5" t="s">
        <v>2247</v>
      </c>
    </row>
    <row r="12" spans="1:2" x14ac:dyDescent="0.25">
      <c r="B12" s="5" t="s">
        <v>2248</v>
      </c>
    </row>
    <row r="13" spans="1:2" x14ac:dyDescent="0.25">
      <c r="B13" s="5" t="s">
        <v>1976</v>
      </c>
    </row>
    <row r="14" spans="1:2" x14ac:dyDescent="0.25">
      <c r="B14" s="5" t="s">
        <v>1977</v>
      </c>
    </row>
    <row r="16" spans="1:2" x14ac:dyDescent="0.25">
      <c r="A16" s="66" t="s">
        <v>1952</v>
      </c>
    </row>
    <row r="17" spans="1:3" x14ac:dyDescent="0.25">
      <c r="B17" s="5" t="s">
        <v>1978</v>
      </c>
    </row>
    <row r="18" spans="1:3" x14ac:dyDescent="0.25">
      <c r="B18" s="5" t="s">
        <v>1979</v>
      </c>
    </row>
    <row r="19" spans="1:3" x14ac:dyDescent="0.25">
      <c r="C19" s="70" t="s">
        <v>1980</v>
      </c>
    </row>
    <row r="20" spans="1:3" x14ac:dyDescent="0.25">
      <c r="B20" s="5" t="s">
        <v>1981</v>
      </c>
    </row>
    <row r="21" spans="1:3" x14ac:dyDescent="0.25">
      <c r="C21" s="70" t="s">
        <v>1982</v>
      </c>
    </row>
    <row r="23" spans="1:3" x14ac:dyDescent="0.25">
      <c r="A23" s="66" t="s">
        <v>1953</v>
      </c>
    </row>
    <row r="24" spans="1:3" x14ac:dyDescent="0.25">
      <c r="B24" s="5" t="s">
        <v>1983</v>
      </c>
    </row>
    <row r="25" spans="1:3" x14ac:dyDescent="0.25">
      <c r="B25" s="5" t="s">
        <v>1984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701"/>
  <sheetViews>
    <sheetView defaultGridColor="0" colorId="55" workbookViewId="0">
      <selection activeCell="E12" sqref="E12"/>
    </sheetView>
  </sheetViews>
  <sheetFormatPr defaultColWidth="0" defaultRowHeight="15" zeroHeight="1" x14ac:dyDescent="0.25"/>
  <cols>
    <col min="1" max="1" width="15" style="5" customWidth="1"/>
    <col min="2" max="2" width="14.85546875" style="5" customWidth="1"/>
    <col min="3" max="3" width="11.85546875" style="5" customWidth="1"/>
    <col min="4" max="4" width="15.42578125" style="5" customWidth="1"/>
    <col min="5" max="5" width="11.85546875" style="5" customWidth="1"/>
    <col min="6" max="6" width="13.42578125" style="5" customWidth="1"/>
    <col min="7" max="7" width="16.7109375" style="5" bestFit="1" customWidth="1"/>
    <col min="8" max="8" width="16.140625" style="5" bestFit="1" customWidth="1"/>
    <col min="9" max="9" width="11.85546875" style="5" customWidth="1"/>
    <col min="10" max="10" width="14" style="5" customWidth="1"/>
    <col min="11" max="11" width="22.42578125" style="5" customWidth="1"/>
    <col min="12" max="12" width="1.85546875" style="5" customWidth="1"/>
    <col min="13" max="16384" width="9.140625" style="5" hidden="1"/>
  </cols>
  <sheetData>
    <row r="1" spans="1:11" ht="26.45" customHeight="1" x14ac:dyDescent="0.25">
      <c r="A1" s="284" t="s">
        <v>1826</v>
      </c>
      <c r="B1" s="285"/>
      <c r="C1" s="285"/>
      <c r="D1" s="285"/>
      <c r="E1" s="285"/>
      <c r="F1" s="285"/>
      <c r="G1" s="285"/>
      <c r="H1" s="285"/>
      <c r="I1" s="285"/>
      <c r="J1" s="16" t="s">
        <v>21</v>
      </c>
      <c r="K1" s="57">
        <f ca="1">TODAY()</f>
        <v>45994</v>
      </c>
    </row>
    <row r="2" spans="1:11" x14ac:dyDescent="0.25">
      <c r="A2" s="286" t="s">
        <v>2538</v>
      </c>
      <c r="B2" s="287"/>
      <c r="C2" s="287"/>
      <c r="D2" s="287"/>
      <c r="E2" s="287"/>
      <c r="F2" s="287"/>
      <c r="G2" s="287"/>
      <c r="H2" s="287"/>
      <c r="I2" s="287"/>
      <c r="J2" s="287"/>
      <c r="K2" s="56"/>
    </row>
    <row r="3" spans="1:11" x14ac:dyDescent="0.25">
      <c r="A3" s="286" t="s">
        <v>82</v>
      </c>
      <c r="B3" s="287"/>
      <c r="C3" s="287"/>
      <c r="D3" s="287"/>
      <c r="E3" s="287"/>
      <c r="F3" s="287"/>
      <c r="G3" s="287"/>
      <c r="H3" s="287"/>
      <c r="I3" s="287"/>
      <c r="J3" s="287"/>
      <c r="K3" s="6"/>
    </row>
    <row r="4" spans="1:11" x14ac:dyDescent="0.25">
      <c r="A4" s="288" t="s">
        <v>1943</v>
      </c>
      <c r="B4" s="288"/>
      <c r="C4" s="288"/>
      <c r="D4" s="288"/>
      <c r="E4" s="288"/>
      <c r="F4" s="288"/>
      <c r="G4" s="288"/>
      <c r="H4" s="288"/>
      <c r="I4" s="288"/>
      <c r="J4" s="288"/>
      <c r="K4" s="6"/>
    </row>
    <row r="5" spans="1:11" x14ac:dyDescent="0.25">
      <c r="A5" s="289" t="s">
        <v>2414</v>
      </c>
      <c r="B5" s="289"/>
      <c r="C5" s="289"/>
      <c r="D5" s="289"/>
      <c r="E5" s="289"/>
      <c r="F5" s="289"/>
      <c r="G5" s="289"/>
      <c r="H5" s="289"/>
      <c r="I5" s="289"/>
      <c r="J5" s="289"/>
      <c r="K5" s="6"/>
    </row>
    <row r="6" spans="1:11" x14ac:dyDescent="0.25">
      <c r="A6" s="271" t="s">
        <v>176</v>
      </c>
      <c r="B6" s="271"/>
      <c r="C6" s="256" t="s">
        <v>3278</v>
      </c>
      <c r="D6" s="257"/>
      <c r="E6" s="257"/>
      <c r="F6" s="257"/>
      <c r="G6" s="257"/>
      <c r="H6" s="257"/>
      <c r="I6" s="257"/>
      <c r="J6" s="258"/>
      <c r="K6" s="6"/>
    </row>
    <row r="7" spans="1:11" x14ac:dyDescent="0.25">
      <c r="A7" s="290" t="s">
        <v>22</v>
      </c>
      <c r="B7" s="290"/>
      <c r="C7" s="290"/>
      <c r="D7" s="290"/>
      <c r="E7" s="290"/>
      <c r="F7" s="290"/>
      <c r="G7" s="290"/>
      <c r="H7" s="290"/>
      <c r="I7" s="290"/>
      <c r="J7" s="290"/>
      <c r="K7" s="6"/>
    </row>
    <row r="8" spans="1:11" x14ac:dyDescent="0.25">
      <c r="A8" s="262" t="s">
        <v>1944</v>
      </c>
      <c r="B8" s="262"/>
      <c r="C8" s="262"/>
      <c r="D8" s="294" t="s">
        <v>1639</v>
      </c>
      <c r="E8" s="294"/>
      <c r="F8" s="294"/>
      <c r="G8" s="294"/>
      <c r="H8" s="294"/>
      <c r="I8" s="294"/>
      <c r="J8" s="294"/>
      <c r="K8" s="6"/>
    </row>
    <row r="9" spans="1:11" ht="24.75" customHeight="1" x14ac:dyDescent="0.25">
      <c r="A9" s="293" t="s">
        <v>23</v>
      </c>
      <c r="B9" s="293"/>
      <c r="C9" s="293"/>
      <c r="D9" s="295" t="str">
        <f>IFERROR(VLOOKUP(unique_ID,'ART Centre Codes'!$A$4:$G$864,4,FALSE),"Please enter the unique ART Centre code")</f>
        <v>National Institute of Tuberculosis and Respiratory Diseases</v>
      </c>
      <c r="E9" s="296"/>
      <c r="F9" s="296"/>
      <c r="G9" s="296"/>
      <c r="H9" s="296"/>
      <c r="I9" s="296"/>
      <c r="J9" s="297"/>
      <c r="K9" s="6"/>
    </row>
    <row r="10" spans="1:11" ht="47.25" customHeight="1" x14ac:dyDescent="0.25">
      <c r="A10" s="264" t="s">
        <v>24</v>
      </c>
      <c r="B10" s="264"/>
      <c r="C10" s="264"/>
      <c r="D10" s="295" t="str">
        <f>IFERROR(VLOOKUP(unique_ID,'ART Centre Codes'!$A$4:$G$864,7,FALSE),"Please enter the unique ART Centre code")</f>
        <v>ART Centre, Ground  Floor,  Near OPD Block, National Institute of TB and Respiratory Diseases, Sri Aurobindo Marg, Near Qutub Minar, Mehrauli, New Delhi-110030</v>
      </c>
      <c r="E10" s="296"/>
      <c r="F10" s="296"/>
      <c r="G10" s="296"/>
      <c r="H10" s="296"/>
      <c r="I10" s="296"/>
      <c r="J10" s="297"/>
      <c r="K10" s="6"/>
    </row>
    <row r="11" spans="1:11" ht="32.25" customHeight="1" x14ac:dyDescent="0.25">
      <c r="A11" s="26" t="s">
        <v>1827</v>
      </c>
      <c r="B11" s="291" t="str">
        <f>IFERROR(VLOOKUP(unique_ID,'ART Centre Codes'!$A$4:$G$864,3,FALSE),"Please enter the unique ART Centre code")</f>
        <v>South</v>
      </c>
      <c r="C11" s="292"/>
      <c r="D11" s="282" t="s">
        <v>25</v>
      </c>
      <c r="E11" s="283"/>
      <c r="F11" s="291" t="str">
        <f>IFERROR(VLOOKUP(unique_ID,'ART Centre Codes'!$A$4:$G$864,2,FALSE),"Please enter the unique ART Centre code")</f>
        <v>Delhi</v>
      </c>
      <c r="G11" s="292"/>
      <c r="H11" s="26" t="s">
        <v>177</v>
      </c>
      <c r="I11" s="298"/>
      <c r="J11" s="299"/>
      <c r="K11" s="259" t="s">
        <v>1985</v>
      </c>
    </row>
    <row r="12" spans="1:11" ht="21" x14ac:dyDescent="0.25">
      <c r="A12" s="262" t="s">
        <v>26</v>
      </c>
      <c r="B12" s="300"/>
      <c r="C12" s="300"/>
      <c r="D12" s="28" t="s">
        <v>19</v>
      </c>
      <c r="E12" s="13" t="s">
        <v>3773</v>
      </c>
      <c r="F12" s="28" t="s">
        <v>20</v>
      </c>
      <c r="G12" s="13">
        <v>2025</v>
      </c>
      <c r="H12" s="26" t="s">
        <v>1804</v>
      </c>
      <c r="I12" s="298" t="s">
        <v>3362</v>
      </c>
      <c r="J12" s="299"/>
      <c r="K12" s="261"/>
    </row>
    <row r="13" spans="1:11" x14ac:dyDescent="0.25">
      <c r="A13" s="262" t="s">
        <v>27</v>
      </c>
      <c r="B13" s="262"/>
      <c r="C13" s="262"/>
      <c r="D13" s="303" t="s">
        <v>3770</v>
      </c>
      <c r="E13" s="303"/>
      <c r="F13" s="303"/>
      <c r="G13" s="303"/>
      <c r="H13" s="303"/>
      <c r="I13" s="303"/>
      <c r="J13" s="303"/>
      <c r="K13" s="260"/>
    </row>
    <row r="14" spans="1:11" ht="21" x14ac:dyDescent="0.25">
      <c r="A14" s="264" t="s">
        <v>28</v>
      </c>
      <c r="B14" s="264"/>
      <c r="C14" s="264"/>
      <c r="D14" s="26" t="s">
        <v>1899</v>
      </c>
      <c r="E14" s="303"/>
      <c r="F14" s="303"/>
      <c r="G14" s="27" t="s">
        <v>29</v>
      </c>
      <c r="H14" s="303" t="s">
        <v>3760</v>
      </c>
      <c r="I14" s="303"/>
      <c r="J14" s="303"/>
      <c r="K14" s="6"/>
    </row>
    <row r="15" spans="1:11" x14ac:dyDescent="0.25">
      <c r="A15" s="264"/>
      <c r="B15" s="264"/>
      <c r="C15" s="264"/>
      <c r="D15" s="27" t="s">
        <v>30</v>
      </c>
      <c r="E15" s="303"/>
      <c r="F15" s="303"/>
      <c r="G15" s="27" t="s">
        <v>1833</v>
      </c>
      <c r="H15" s="303" t="s">
        <v>3761</v>
      </c>
      <c r="I15" s="303"/>
      <c r="J15" s="303"/>
      <c r="K15" s="6"/>
    </row>
    <row r="16" spans="1:11" x14ac:dyDescent="0.25">
      <c r="A16" s="276" t="s">
        <v>1838</v>
      </c>
      <c r="B16" s="276"/>
      <c r="C16" s="276"/>
      <c r="D16" s="276"/>
      <c r="E16" s="276"/>
      <c r="F16" s="276"/>
      <c r="G16" s="276"/>
      <c r="H16" s="276"/>
      <c r="I16" s="276"/>
      <c r="J16" s="276"/>
      <c r="K16" s="6"/>
    </row>
    <row r="17" spans="1:11" x14ac:dyDescent="0.25">
      <c r="A17" s="301" t="s">
        <v>31</v>
      </c>
      <c r="B17" s="301"/>
      <c r="C17" s="301" t="s">
        <v>32</v>
      </c>
      <c r="D17" s="301"/>
      <c r="E17" s="271" t="s">
        <v>33</v>
      </c>
      <c r="F17" s="271" t="s">
        <v>34</v>
      </c>
      <c r="G17" s="271" t="s">
        <v>124</v>
      </c>
      <c r="H17" s="277"/>
      <c r="I17" s="271" t="s">
        <v>125</v>
      </c>
      <c r="J17" s="277"/>
      <c r="K17" s="259" t="s">
        <v>2415</v>
      </c>
    </row>
    <row r="18" spans="1:11" x14ac:dyDescent="0.25">
      <c r="A18" s="302"/>
      <c r="B18" s="302"/>
      <c r="C18" s="302"/>
      <c r="D18" s="302"/>
      <c r="E18" s="277"/>
      <c r="F18" s="271"/>
      <c r="G18" s="277"/>
      <c r="H18" s="277"/>
      <c r="I18" s="277"/>
      <c r="J18" s="277"/>
      <c r="K18" s="260"/>
    </row>
    <row r="19" spans="1:11" x14ac:dyDescent="0.25">
      <c r="A19" s="262" t="s">
        <v>35</v>
      </c>
      <c r="B19" s="272"/>
      <c r="C19" s="273"/>
      <c r="D19" s="273"/>
      <c r="E19" s="15"/>
      <c r="F19" s="14"/>
      <c r="G19" s="274"/>
      <c r="H19" s="275"/>
      <c r="I19" s="274"/>
      <c r="J19" s="275"/>
      <c r="K19" s="74"/>
    </row>
    <row r="20" spans="1:11" x14ac:dyDescent="0.25">
      <c r="A20" s="262" t="s">
        <v>36</v>
      </c>
      <c r="B20" s="272"/>
      <c r="C20" s="273" t="s">
        <v>3762</v>
      </c>
      <c r="D20" s="273"/>
      <c r="E20" s="15">
        <v>9205750657</v>
      </c>
      <c r="F20" s="14"/>
      <c r="G20" s="274"/>
      <c r="H20" s="275"/>
      <c r="I20" s="274"/>
      <c r="J20" s="275"/>
      <c r="K20" s="6"/>
    </row>
    <row r="21" spans="1:11" hidden="1" x14ac:dyDescent="0.25">
      <c r="A21" s="262" t="s">
        <v>37</v>
      </c>
      <c r="B21" s="272"/>
      <c r="C21" s="273"/>
      <c r="D21" s="273"/>
      <c r="E21" s="15"/>
      <c r="F21" s="14"/>
      <c r="G21" s="274"/>
      <c r="H21" s="275"/>
      <c r="I21" s="274"/>
      <c r="J21" s="275"/>
      <c r="K21" s="6"/>
    </row>
    <row r="22" spans="1:11" hidden="1" x14ac:dyDescent="0.25">
      <c r="A22" s="262" t="s">
        <v>127</v>
      </c>
      <c r="B22" s="272"/>
      <c r="C22" s="273"/>
      <c r="D22" s="273"/>
      <c r="E22" s="15"/>
      <c r="F22" s="14"/>
      <c r="G22" s="274"/>
      <c r="H22" s="275"/>
      <c r="I22" s="274"/>
      <c r="J22" s="275"/>
      <c r="K22" s="6"/>
    </row>
    <row r="23" spans="1:11" hidden="1" x14ac:dyDescent="0.25">
      <c r="A23" s="262" t="s">
        <v>38</v>
      </c>
      <c r="B23" s="272"/>
      <c r="C23" s="273"/>
      <c r="D23" s="273"/>
      <c r="E23" s="15"/>
      <c r="F23" s="14"/>
      <c r="G23" s="274"/>
      <c r="H23" s="275"/>
      <c r="I23" s="274"/>
      <c r="J23" s="275"/>
      <c r="K23" s="6"/>
    </row>
    <row r="24" spans="1:11" x14ac:dyDescent="0.25">
      <c r="A24" s="262" t="s">
        <v>39</v>
      </c>
      <c r="B24" s="272"/>
      <c r="C24" s="273" t="s">
        <v>3763</v>
      </c>
      <c r="D24" s="273"/>
      <c r="E24" s="15">
        <v>8920395678</v>
      </c>
      <c r="F24" s="14">
        <v>41463</v>
      </c>
      <c r="G24" s="274">
        <v>41483</v>
      </c>
      <c r="H24" s="275"/>
      <c r="I24" s="274">
        <v>42269</v>
      </c>
      <c r="J24" s="275"/>
      <c r="K24" s="6"/>
    </row>
    <row r="25" spans="1:11" hidden="1" x14ac:dyDescent="0.25">
      <c r="A25" s="262" t="s">
        <v>40</v>
      </c>
      <c r="B25" s="272"/>
      <c r="C25" s="273"/>
      <c r="D25" s="273"/>
      <c r="E25" s="15"/>
      <c r="F25" s="14"/>
      <c r="G25" s="274"/>
      <c r="H25" s="275"/>
      <c r="I25" s="274"/>
      <c r="J25" s="275"/>
      <c r="K25" s="6"/>
    </row>
    <row r="26" spans="1:11" hidden="1" x14ac:dyDescent="0.25">
      <c r="A26" s="262" t="s">
        <v>128</v>
      </c>
      <c r="B26" s="272"/>
      <c r="C26" s="273"/>
      <c r="D26" s="273"/>
      <c r="E26" s="15"/>
      <c r="F26" s="14"/>
      <c r="G26" s="274"/>
      <c r="H26" s="275"/>
      <c r="I26" s="274"/>
      <c r="J26" s="275"/>
      <c r="K26" s="6"/>
    </row>
    <row r="27" spans="1:11" x14ac:dyDescent="0.25">
      <c r="A27" s="262" t="s">
        <v>41</v>
      </c>
      <c r="B27" s="262"/>
      <c r="C27" s="273" t="s">
        <v>3764</v>
      </c>
      <c r="D27" s="273"/>
      <c r="E27" s="15">
        <v>9013234188</v>
      </c>
      <c r="F27" s="14">
        <v>41573</v>
      </c>
      <c r="G27" s="274">
        <v>42090</v>
      </c>
      <c r="H27" s="275"/>
      <c r="I27" s="274">
        <v>42323</v>
      </c>
      <c r="J27" s="275"/>
      <c r="K27" s="6"/>
    </row>
    <row r="28" spans="1:11" hidden="1" x14ac:dyDescent="0.25">
      <c r="A28" s="262" t="s">
        <v>42</v>
      </c>
      <c r="B28" s="272"/>
      <c r="C28" s="273"/>
      <c r="D28" s="273"/>
      <c r="E28" s="15"/>
      <c r="F28" s="14"/>
      <c r="G28" s="274"/>
      <c r="H28" s="275"/>
      <c r="I28" s="274"/>
      <c r="J28" s="275"/>
      <c r="K28" s="6"/>
    </row>
    <row r="29" spans="1:11" hidden="1" x14ac:dyDescent="0.25">
      <c r="A29" s="262" t="s">
        <v>43</v>
      </c>
      <c r="B29" s="272"/>
      <c r="C29" s="273"/>
      <c r="D29" s="273"/>
      <c r="E29" s="15"/>
      <c r="F29" s="14"/>
      <c r="G29" s="274"/>
      <c r="H29" s="275"/>
      <c r="I29" s="274"/>
      <c r="J29" s="275"/>
      <c r="K29" s="6"/>
    </row>
    <row r="30" spans="1:11" hidden="1" x14ac:dyDescent="0.25">
      <c r="A30" s="262" t="s">
        <v>44</v>
      </c>
      <c r="B30" s="272"/>
      <c r="C30" s="273"/>
      <c r="D30" s="273"/>
      <c r="E30" s="15"/>
      <c r="F30" s="14"/>
      <c r="G30" s="274"/>
      <c r="H30" s="275"/>
      <c r="I30" s="274"/>
      <c r="J30" s="275"/>
      <c r="K30" s="6" t="s">
        <v>1878</v>
      </c>
    </row>
    <row r="31" spans="1:11" x14ac:dyDescent="0.25">
      <c r="A31" s="262" t="s">
        <v>129</v>
      </c>
      <c r="B31" s="272"/>
      <c r="C31" s="273" t="s">
        <v>3765</v>
      </c>
      <c r="D31" s="273"/>
      <c r="E31" s="15">
        <v>9625525998</v>
      </c>
      <c r="F31" s="14">
        <v>39990</v>
      </c>
      <c r="G31" s="274">
        <v>39972</v>
      </c>
      <c r="H31" s="275"/>
      <c r="I31" s="274">
        <v>42271</v>
      </c>
      <c r="J31" s="275"/>
      <c r="K31" s="6"/>
    </row>
    <row r="32" spans="1:11" hidden="1" x14ac:dyDescent="0.25">
      <c r="A32" s="262" t="s">
        <v>130</v>
      </c>
      <c r="B32" s="272"/>
      <c r="C32" s="273"/>
      <c r="D32" s="273"/>
      <c r="E32" s="15"/>
      <c r="F32" s="14"/>
      <c r="G32" s="274"/>
      <c r="H32" s="275"/>
      <c r="I32" s="274"/>
      <c r="J32" s="275"/>
      <c r="K32" s="6"/>
    </row>
    <row r="33" spans="1:11" hidden="1" x14ac:dyDescent="0.25">
      <c r="A33" s="262" t="s">
        <v>131</v>
      </c>
      <c r="B33" s="272"/>
      <c r="C33" s="273"/>
      <c r="D33" s="273"/>
      <c r="E33" s="15"/>
      <c r="F33" s="14"/>
      <c r="G33" s="274"/>
      <c r="H33" s="275"/>
      <c r="I33" s="274"/>
      <c r="J33" s="275"/>
      <c r="K33" s="6"/>
    </row>
    <row r="34" spans="1:11" x14ac:dyDescent="0.25">
      <c r="A34" s="262" t="s">
        <v>45</v>
      </c>
      <c r="B34" s="272"/>
      <c r="C34" s="273" t="s">
        <v>3766</v>
      </c>
      <c r="D34" s="273"/>
      <c r="E34" s="15">
        <v>9971635261</v>
      </c>
      <c r="F34" s="14">
        <v>39934</v>
      </c>
      <c r="G34" s="274">
        <v>40337</v>
      </c>
      <c r="H34" s="275"/>
      <c r="I34" s="274">
        <v>43357</v>
      </c>
      <c r="J34" s="275"/>
      <c r="K34" s="6"/>
    </row>
    <row r="35" spans="1:11" hidden="1" x14ac:dyDescent="0.25">
      <c r="A35" s="262" t="s">
        <v>46</v>
      </c>
      <c r="B35" s="272"/>
      <c r="C35" s="273"/>
      <c r="D35" s="273"/>
      <c r="E35" s="15"/>
      <c r="F35" s="14"/>
      <c r="G35" s="274"/>
      <c r="H35" s="275"/>
      <c r="I35" s="274"/>
      <c r="J35" s="275"/>
      <c r="K35" s="6"/>
    </row>
    <row r="36" spans="1:11" hidden="1" x14ac:dyDescent="0.25">
      <c r="A36" s="262" t="s">
        <v>132</v>
      </c>
      <c r="B36" s="272"/>
      <c r="C36" s="273"/>
      <c r="D36" s="273"/>
      <c r="E36" s="15"/>
      <c r="F36" s="14"/>
      <c r="G36" s="274"/>
      <c r="H36" s="275"/>
      <c r="I36" s="274"/>
      <c r="J36" s="275"/>
      <c r="K36" s="6"/>
    </row>
    <row r="37" spans="1:11" x14ac:dyDescent="0.25">
      <c r="A37" s="262" t="s">
        <v>47</v>
      </c>
      <c r="B37" s="272"/>
      <c r="C37" s="273" t="s">
        <v>3767</v>
      </c>
      <c r="D37" s="273"/>
      <c r="E37" s="15">
        <v>9968708009</v>
      </c>
      <c r="F37" s="14">
        <v>38871</v>
      </c>
      <c r="G37" s="274">
        <v>39139</v>
      </c>
      <c r="H37" s="275"/>
      <c r="I37" s="274">
        <v>41291</v>
      </c>
      <c r="J37" s="275"/>
      <c r="K37" s="6"/>
    </row>
    <row r="38" spans="1:11" hidden="1" x14ac:dyDescent="0.25">
      <c r="A38" s="262" t="s">
        <v>48</v>
      </c>
      <c r="B38" s="272"/>
      <c r="C38" s="273"/>
      <c r="D38" s="273"/>
      <c r="E38" s="15"/>
      <c r="F38" s="14"/>
      <c r="G38" s="274"/>
      <c r="H38" s="275"/>
      <c r="I38" s="274"/>
      <c r="J38" s="275"/>
      <c r="K38" s="6"/>
    </row>
    <row r="39" spans="1:11" hidden="1" x14ac:dyDescent="0.25">
      <c r="A39" s="262" t="s">
        <v>133</v>
      </c>
      <c r="B39" s="272"/>
      <c r="C39" s="273"/>
      <c r="D39" s="273"/>
      <c r="E39" s="15"/>
      <c r="F39" s="14"/>
      <c r="G39" s="274"/>
      <c r="H39" s="275"/>
      <c r="I39" s="274"/>
      <c r="J39" s="275"/>
      <c r="K39" s="6"/>
    </row>
    <row r="40" spans="1:11" x14ac:dyDescent="0.25">
      <c r="A40" s="262" t="s">
        <v>49</v>
      </c>
      <c r="B40" s="272"/>
      <c r="C40" s="273" t="s">
        <v>3768</v>
      </c>
      <c r="D40" s="273"/>
      <c r="E40" s="15">
        <v>8375048385</v>
      </c>
      <c r="F40" s="14"/>
      <c r="G40" s="274"/>
      <c r="H40" s="275"/>
      <c r="I40" s="274"/>
      <c r="J40" s="275"/>
      <c r="K40" s="6"/>
    </row>
    <row r="41" spans="1:11" x14ac:dyDescent="0.25">
      <c r="A41" s="280" t="s">
        <v>1900</v>
      </c>
      <c r="B41" s="281"/>
      <c r="C41" s="273"/>
      <c r="D41" s="273"/>
      <c r="E41" s="15"/>
      <c r="F41" s="14"/>
      <c r="G41" s="274"/>
      <c r="H41" s="275"/>
      <c r="I41" s="274"/>
      <c r="J41" s="275"/>
      <c r="K41" s="6"/>
    </row>
    <row r="42" spans="1:11" x14ac:dyDescent="0.25">
      <c r="A42" s="276" t="s">
        <v>1839</v>
      </c>
      <c r="B42" s="276"/>
      <c r="C42" s="276"/>
      <c r="D42" s="276"/>
      <c r="E42" s="276"/>
      <c r="F42" s="276"/>
      <c r="G42" s="276"/>
      <c r="H42" s="276"/>
      <c r="I42" s="276"/>
      <c r="J42" s="276"/>
      <c r="K42" s="6"/>
    </row>
    <row r="43" spans="1:11" x14ac:dyDescent="0.25">
      <c r="A43" s="271" t="s">
        <v>1855</v>
      </c>
      <c r="B43" s="271" t="s">
        <v>50</v>
      </c>
      <c r="C43" s="271" t="s">
        <v>1834</v>
      </c>
      <c r="D43" s="271" t="s">
        <v>51</v>
      </c>
      <c r="E43" s="271"/>
      <c r="F43" s="271"/>
      <c r="G43" s="271"/>
      <c r="H43" s="271"/>
      <c r="I43" s="271"/>
      <c r="J43" s="271"/>
      <c r="K43" s="6"/>
    </row>
    <row r="44" spans="1:11" ht="31.5" x14ac:dyDescent="0.25">
      <c r="A44" s="271"/>
      <c r="B44" s="277"/>
      <c r="C44" s="277"/>
      <c r="D44" s="271" t="s">
        <v>1822</v>
      </c>
      <c r="E44" s="271"/>
      <c r="F44" s="23" t="s">
        <v>1835</v>
      </c>
      <c r="G44" s="278" t="s">
        <v>1836</v>
      </c>
      <c r="H44" s="279"/>
      <c r="I44" s="271" t="s">
        <v>1901</v>
      </c>
      <c r="J44" s="271"/>
      <c r="K44" s="75" t="s">
        <v>2275</v>
      </c>
    </row>
    <row r="45" spans="1:11" x14ac:dyDescent="0.25">
      <c r="A45" s="23">
        <v>1</v>
      </c>
      <c r="B45" s="8"/>
      <c r="C45" s="8"/>
      <c r="D45" s="8"/>
      <c r="E45" s="8"/>
      <c r="F45" s="8"/>
      <c r="G45" s="266"/>
      <c r="H45" s="267"/>
      <c r="I45" s="266"/>
      <c r="J45" s="267"/>
      <c r="K45" s="74"/>
    </row>
    <row r="46" spans="1:11" hidden="1" x14ac:dyDescent="0.25">
      <c r="A46" s="23">
        <v>2</v>
      </c>
      <c r="B46" s="8"/>
      <c r="C46" s="8"/>
      <c r="D46" s="8"/>
      <c r="E46" s="8"/>
      <c r="F46" s="8"/>
      <c r="G46" s="266"/>
      <c r="H46" s="267"/>
      <c r="I46" s="266"/>
      <c r="J46" s="267"/>
      <c r="K46" s="6"/>
    </row>
    <row r="47" spans="1:11" hidden="1" x14ac:dyDescent="0.25">
      <c r="A47" s="23">
        <v>3</v>
      </c>
      <c r="B47" s="8"/>
      <c r="C47" s="8"/>
      <c r="D47" s="8"/>
      <c r="E47" s="8"/>
      <c r="F47" s="8"/>
      <c r="G47" s="266"/>
      <c r="H47" s="267"/>
      <c r="I47" s="266"/>
      <c r="J47" s="267"/>
      <c r="K47" s="6"/>
    </row>
    <row r="48" spans="1:11" hidden="1" x14ac:dyDescent="0.25">
      <c r="A48" s="23">
        <v>4</v>
      </c>
      <c r="B48" s="8"/>
      <c r="C48" s="8"/>
      <c r="D48" s="8"/>
      <c r="E48" s="8"/>
      <c r="F48" s="8"/>
      <c r="G48" s="266"/>
      <c r="H48" s="267"/>
      <c r="I48" s="266"/>
      <c r="J48" s="267"/>
      <c r="K48" s="6"/>
    </row>
    <row r="49" spans="1:11" hidden="1" x14ac:dyDescent="0.25">
      <c r="A49" s="23">
        <v>5</v>
      </c>
      <c r="B49" s="8"/>
      <c r="C49" s="8"/>
      <c r="D49" s="8"/>
      <c r="E49" s="8"/>
      <c r="F49" s="8"/>
      <c r="G49" s="266"/>
      <c r="H49" s="267"/>
      <c r="I49" s="266"/>
      <c r="J49" s="267"/>
      <c r="K49" s="6"/>
    </row>
    <row r="50" spans="1:11" hidden="1" x14ac:dyDescent="0.25">
      <c r="A50" s="23">
        <v>6</v>
      </c>
      <c r="B50" s="8"/>
      <c r="C50" s="8"/>
      <c r="D50" s="8"/>
      <c r="E50" s="8"/>
      <c r="F50" s="8"/>
      <c r="G50" s="266"/>
      <c r="H50" s="267"/>
      <c r="I50" s="266"/>
      <c r="J50" s="267"/>
      <c r="K50" s="6"/>
    </row>
    <row r="51" spans="1:11" hidden="1" x14ac:dyDescent="0.25">
      <c r="A51" s="23">
        <v>7</v>
      </c>
      <c r="B51" s="8"/>
      <c r="C51" s="8"/>
      <c r="D51" s="8"/>
      <c r="E51" s="8"/>
      <c r="F51" s="8"/>
      <c r="G51" s="266"/>
      <c r="H51" s="267"/>
      <c r="I51" s="266"/>
      <c r="J51" s="267"/>
      <c r="K51" s="6"/>
    </row>
    <row r="52" spans="1:11" hidden="1" x14ac:dyDescent="0.25">
      <c r="A52" s="23">
        <v>8</v>
      </c>
      <c r="B52" s="8"/>
      <c r="C52" s="8"/>
      <c r="D52" s="8"/>
      <c r="E52" s="8"/>
      <c r="F52" s="8"/>
      <c r="G52" s="266"/>
      <c r="H52" s="267"/>
      <c r="I52" s="266"/>
      <c r="J52" s="267"/>
      <c r="K52" s="6"/>
    </row>
    <row r="53" spans="1:11" hidden="1" x14ac:dyDescent="0.25">
      <c r="A53" s="23">
        <v>9</v>
      </c>
      <c r="B53" s="8"/>
      <c r="C53" s="8"/>
      <c r="D53" s="8"/>
      <c r="E53" s="8"/>
      <c r="F53" s="8"/>
      <c r="G53" s="266"/>
      <c r="H53" s="267"/>
      <c r="I53" s="266"/>
      <c r="J53" s="267"/>
      <c r="K53" s="6"/>
    </row>
    <row r="54" spans="1:11" hidden="1" x14ac:dyDescent="0.25">
      <c r="A54" s="23">
        <v>10</v>
      </c>
      <c r="B54" s="8"/>
      <c r="C54" s="8"/>
      <c r="D54" s="8"/>
      <c r="E54" s="8"/>
      <c r="F54" s="8"/>
      <c r="G54" s="266"/>
      <c r="H54" s="267"/>
      <c r="I54" s="266"/>
      <c r="J54" s="267"/>
      <c r="K54" s="6"/>
    </row>
    <row r="55" spans="1:11" hidden="1" x14ac:dyDescent="0.25">
      <c r="A55" s="23">
        <v>11</v>
      </c>
      <c r="B55" s="8"/>
      <c r="C55" s="8"/>
      <c r="D55" s="8"/>
      <c r="E55" s="8"/>
      <c r="F55" s="8"/>
      <c r="G55" s="266"/>
      <c r="H55" s="267"/>
      <c r="I55" s="266"/>
      <c r="J55" s="267"/>
      <c r="K55" s="6"/>
    </row>
    <row r="56" spans="1:11" hidden="1" x14ac:dyDescent="0.25">
      <c r="A56" s="23">
        <v>12</v>
      </c>
      <c r="B56" s="8"/>
      <c r="C56" s="8"/>
      <c r="D56" s="8"/>
      <c r="E56" s="8"/>
      <c r="F56" s="8"/>
      <c r="G56" s="266"/>
      <c r="H56" s="267"/>
      <c r="I56" s="266"/>
      <c r="J56" s="267"/>
      <c r="K56" s="6"/>
    </row>
    <row r="57" spans="1:11" hidden="1" x14ac:dyDescent="0.25">
      <c r="A57" s="23">
        <v>13</v>
      </c>
      <c r="B57" s="8"/>
      <c r="C57" s="8"/>
      <c r="D57" s="8"/>
      <c r="E57" s="8"/>
      <c r="F57" s="8"/>
      <c r="G57" s="266"/>
      <c r="H57" s="267"/>
      <c r="I57" s="266"/>
      <c r="J57" s="267"/>
      <c r="K57" s="6"/>
    </row>
    <row r="58" spans="1:11" hidden="1" x14ac:dyDescent="0.25">
      <c r="A58" s="23">
        <v>14</v>
      </c>
      <c r="B58" s="8"/>
      <c r="C58" s="8"/>
      <c r="D58" s="8"/>
      <c r="E58" s="8"/>
      <c r="F58" s="8"/>
      <c r="G58" s="266"/>
      <c r="H58" s="267"/>
      <c r="I58" s="266"/>
      <c r="J58" s="267"/>
      <c r="K58" s="6"/>
    </row>
    <row r="59" spans="1:11" hidden="1" x14ac:dyDescent="0.25">
      <c r="A59" s="23">
        <v>15</v>
      </c>
      <c r="B59" s="8"/>
      <c r="C59" s="8"/>
      <c r="D59" s="8"/>
      <c r="E59" s="8"/>
      <c r="F59" s="8"/>
      <c r="G59" s="266"/>
      <c r="H59" s="267"/>
      <c r="I59" s="266"/>
      <c r="J59" s="267"/>
      <c r="K59" s="6"/>
    </row>
    <row r="60" spans="1:11" hidden="1" x14ac:dyDescent="0.25">
      <c r="A60" s="23">
        <v>16</v>
      </c>
      <c r="B60" s="8"/>
      <c r="C60" s="8"/>
      <c r="D60" s="8"/>
      <c r="E60" s="8"/>
      <c r="F60" s="8"/>
      <c r="G60" s="266"/>
      <c r="H60" s="267"/>
      <c r="I60" s="266"/>
      <c r="J60" s="267"/>
      <c r="K60" s="6"/>
    </row>
    <row r="61" spans="1:11" hidden="1" x14ac:dyDescent="0.25">
      <c r="A61" s="23">
        <v>17</v>
      </c>
      <c r="B61" s="8"/>
      <c r="C61" s="8"/>
      <c r="D61" s="8"/>
      <c r="E61" s="8"/>
      <c r="F61" s="8"/>
      <c r="G61" s="266"/>
      <c r="H61" s="267"/>
      <c r="I61" s="266"/>
      <c r="J61" s="267"/>
      <c r="K61" s="6"/>
    </row>
    <row r="62" spans="1:11" hidden="1" x14ac:dyDescent="0.25">
      <c r="A62" s="23">
        <v>18</v>
      </c>
      <c r="B62" s="8"/>
      <c r="C62" s="8"/>
      <c r="D62" s="8"/>
      <c r="E62" s="8"/>
      <c r="F62" s="8"/>
      <c r="G62" s="266"/>
      <c r="H62" s="267"/>
      <c r="I62" s="266"/>
      <c r="J62" s="267"/>
      <c r="K62" s="6"/>
    </row>
    <row r="63" spans="1:11" hidden="1" x14ac:dyDescent="0.25">
      <c r="A63" s="23">
        <v>19</v>
      </c>
      <c r="B63" s="8"/>
      <c r="C63" s="8"/>
      <c r="D63" s="8"/>
      <c r="E63" s="8"/>
      <c r="F63" s="8"/>
      <c r="G63" s="266"/>
      <c r="H63" s="267"/>
      <c r="I63" s="266"/>
      <c r="J63" s="267"/>
      <c r="K63" s="6"/>
    </row>
    <row r="64" spans="1:11" hidden="1" x14ac:dyDescent="0.25">
      <c r="A64" s="23">
        <v>20</v>
      </c>
      <c r="B64" s="8"/>
      <c r="C64" s="8"/>
      <c r="D64" s="8"/>
      <c r="E64" s="8"/>
      <c r="F64" s="8"/>
      <c r="G64" s="266"/>
      <c r="H64" s="267"/>
      <c r="I64" s="266"/>
      <c r="J64" s="267"/>
      <c r="K64" s="6"/>
    </row>
    <row r="65" spans="1:11" x14ac:dyDescent="0.25">
      <c r="A65" s="276" t="s">
        <v>1837</v>
      </c>
      <c r="B65" s="276"/>
      <c r="C65" s="276"/>
      <c r="D65" s="276"/>
      <c r="E65" s="276"/>
      <c r="F65" s="276"/>
      <c r="G65" s="276"/>
      <c r="H65" s="276"/>
      <c r="I65" s="276"/>
      <c r="J65" s="276"/>
      <c r="K65" s="6"/>
    </row>
    <row r="66" spans="1:11" x14ac:dyDescent="0.25">
      <c r="A66" s="276" t="s">
        <v>1840</v>
      </c>
      <c r="B66" s="276"/>
      <c r="C66" s="276"/>
      <c r="D66" s="276"/>
      <c r="E66" s="276"/>
      <c r="F66" s="276"/>
      <c r="G66" s="276"/>
      <c r="H66" s="276"/>
      <c r="I66" s="276"/>
      <c r="J66" s="276"/>
      <c r="K66" s="6"/>
    </row>
    <row r="67" spans="1:11" x14ac:dyDescent="0.25">
      <c r="A67" s="271" t="s">
        <v>1855</v>
      </c>
      <c r="B67" s="271" t="s">
        <v>52</v>
      </c>
      <c r="C67" s="271"/>
      <c r="D67" s="271"/>
      <c r="E67" s="271" t="s">
        <v>51</v>
      </c>
      <c r="F67" s="271"/>
      <c r="G67" s="271"/>
      <c r="H67" s="271"/>
      <c r="I67" s="271"/>
      <c r="J67" s="271"/>
      <c r="K67" s="6"/>
    </row>
    <row r="68" spans="1:11" ht="35.25" customHeight="1" x14ac:dyDescent="0.25">
      <c r="A68" s="271"/>
      <c r="B68" s="271"/>
      <c r="C68" s="271"/>
      <c r="D68" s="271"/>
      <c r="E68" s="271" t="s">
        <v>53</v>
      </c>
      <c r="F68" s="271"/>
      <c r="G68" s="271" t="s">
        <v>1823</v>
      </c>
      <c r="H68" s="271"/>
      <c r="I68" s="271" t="s">
        <v>54</v>
      </c>
      <c r="J68" s="271"/>
      <c r="K68" s="6"/>
    </row>
    <row r="69" spans="1:11" x14ac:dyDescent="0.25">
      <c r="A69" s="23">
        <v>1</v>
      </c>
      <c r="B69" s="263"/>
      <c r="C69" s="263"/>
      <c r="D69" s="263"/>
      <c r="E69" s="263"/>
      <c r="F69" s="263"/>
      <c r="G69" s="263"/>
      <c r="H69" s="263"/>
      <c r="I69" s="263"/>
      <c r="J69" s="263"/>
      <c r="K69" s="6"/>
    </row>
    <row r="70" spans="1:11" x14ac:dyDescent="0.25">
      <c r="A70" s="23">
        <v>2</v>
      </c>
      <c r="B70" s="263"/>
      <c r="C70" s="263"/>
      <c r="D70" s="263"/>
      <c r="E70" s="263"/>
      <c r="F70" s="263"/>
      <c r="G70" s="263"/>
      <c r="H70" s="263"/>
      <c r="I70" s="263"/>
      <c r="J70" s="263"/>
      <c r="K70" s="6"/>
    </row>
    <row r="71" spans="1:11" x14ac:dyDescent="0.25">
      <c r="A71" s="29">
        <v>3</v>
      </c>
      <c r="B71" s="263"/>
      <c r="C71" s="263"/>
      <c r="D71" s="263"/>
      <c r="E71" s="263"/>
      <c r="F71" s="263"/>
      <c r="G71" s="263"/>
      <c r="H71" s="263"/>
      <c r="I71" s="263"/>
      <c r="J71" s="263"/>
      <c r="K71" s="6"/>
    </row>
    <row r="72" spans="1:11" x14ac:dyDescent="0.25">
      <c r="A72" s="276" t="s">
        <v>1841</v>
      </c>
      <c r="B72" s="276"/>
      <c r="C72" s="276"/>
      <c r="D72" s="276"/>
      <c r="E72" s="276"/>
      <c r="F72" s="276"/>
      <c r="G72" s="276"/>
      <c r="H72" s="276"/>
      <c r="I72" s="276"/>
      <c r="J72" s="276"/>
      <c r="K72" s="6"/>
    </row>
    <row r="73" spans="1:11" x14ac:dyDescent="0.25">
      <c r="A73" s="262" t="s">
        <v>126</v>
      </c>
      <c r="B73" s="262"/>
      <c r="C73" s="262"/>
      <c r="D73" s="262"/>
      <c r="E73" s="262"/>
      <c r="F73" s="268" t="s">
        <v>3307</v>
      </c>
      <c r="G73" s="269"/>
      <c r="H73" s="269"/>
      <c r="I73" s="269"/>
      <c r="J73" s="270"/>
      <c r="K73" s="6"/>
    </row>
    <row r="74" spans="1:11" hidden="1" x14ac:dyDescent="0.25">
      <c r="A74" s="262" t="s">
        <v>1848</v>
      </c>
      <c r="B74" s="262"/>
      <c r="C74" s="262"/>
      <c r="D74" s="262"/>
      <c r="E74" s="262"/>
      <c r="F74" s="263"/>
      <c r="G74" s="263"/>
      <c r="H74" s="263"/>
      <c r="I74" s="263"/>
      <c r="J74" s="263"/>
      <c r="K74" s="6"/>
    </row>
    <row r="75" spans="1:11" hidden="1" x14ac:dyDescent="0.25">
      <c r="A75" s="262" t="s">
        <v>1808</v>
      </c>
      <c r="B75" s="262"/>
      <c r="C75" s="262"/>
      <c r="D75" s="262"/>
      <c r="E75" s="262"/>
      <c r="F75" s="263"/>
      <c r="G75" s="263"/>
      <c r="H75" s="263"/>
      <c r="I75" s="263"/>
      <c r="J75" s="263"/>
      <c r="K75" s="6"/>
    </row>
    <row r="76" spans="1:11" ht="21.75" customHeight="1" x14ac:dyDescent="0.25">
      <c r="A76" s="264" t="s">
        <v>1946</v>
      </c>
      <c r="B76" s="264"/>
      <c r="C76" s="264"/>
      <c r="D76" s="264"/>
      <c r="E76" s="264"/>
      <c r="F76" s="263"/>
      <c r="G76" s="263"/>
      <c r="H76" s="263"/>
      <c r="I76" s="263"/>
      <c r="J76" s="263"/>
      <c r="K76" s="6"/>
    </row>
    <row r="77" spans="1:11" ht="28.5" customHeight="1" x14ac:dyDescent="0.25">
      <c r="A77" s="264" t="s">
        <v>1947</v>
      </c>
      <c r="B77" s="264"/>
      <c r="C77" s="264"/>
      <c r="D77" s="264"/>
      <c r="E77" s="264"/>
      <c r="F77" s="265" t="str">
        <f>IFERROR(VLOOKUP(F76,'ART Centre Codes'!$A$4:$G$864,4,FALSE),"Please enter the unique ART Centre code above")</f>
        <v>Please enter the unique ART Centre code above</v>
      </c>
      <c r="G77" s="265"/>
      <c r="H77" s="265"/>
      <c r="I77" s="265"/>
      <c r="J77" s="265"/>
      <c r="K77" s="6"/>
    </row>
    <row r="78" spans="1:11" ht="18" x14ac:dyDescent="0.25">
      <c r="A78" s="304"/>
      <c r="B78" s="304"/>
      <c r="C78" s="304"/>
      <c r="D78" s="304"/>
      <c r="E78" s="304"/>
      <c r="F78" s="304"/>
      <c r="G78" s="304"/>
      <c r="H78" s="304"/>
      <c r="I78" s="304"/>
      <c r="J78" s="9" t="s">
        <v>21</v>
      </c>
      <c r="K78" s="6"/>
    </row>
    <row r="79" spans="1:11" hidden="1" x14ac:dyDescent="0.25">
      <c r="A79" s="7"/>
      <c r="B79" s="7"/>
      <c r="C79" s="7"/>
      <c r="D79" s="7"/>
      <c r="E79" s="7"/>
      <c r="F79" s="7"/>
      <c r="G79" s="7"/>
      <c r="H79" s="7"/>
      <c r="I79" s="7"/>
      <c r="J79" s="7"/>
    </row>
    <row r="81" spans="1:2" hidden="1" x14ac:dyDescent="0.25">
      <c r="A81" s="124" t="s">
        <v>1895</v>
      </c>
      <c r="B81" s="6"/>
    </row>
    <row r="82" spans="1:2" hidden="1" x14ac:dyDescent="0.25">
      <c r="A82" s="124" t="s">
        <v>1261</v>
      </c>
      <c r="B82" s="6"/>
    </row>
    <row r="83" spans="1:2" hidden="1" x14ac:dyDescent="0.25">
      <c r="A83" s="124" t="s">
        <v>1607</v>
      </c>
      <c r="B83" s="6"/>
    </row>
    <row r="84" spans="1:2" hidden="1" x14ac:dyDescent="0.25">
      <c r="A84" s="124" t="s">
        <v>1608</v>
      </c>
      <c r="B84" s="6"/>
    </row>
    <row r="85" spans="1:2" hidden="1" x14ac:dyDescent="0.25">
      <c r="A85" s="124" t="s">
        <v>1262</v>
      </c>
      <c r="B85" s="6"/>
    </row>
    <row r="86" spans="1:2" hidden="1" x14ac:dyDescent="0.25">
      <c r="A86" s="124" t="s">
        <v>1609</v>
      </c>
      <c r="B86" s="6"/>
    </row>
    <row r="87" spans="1:2" hidden="1" x14ac:dyDescent="0.25">
      <c r="A87" s="124" t="s">
        <v>1610</v>
      </c>
      <c r="B87" s="6"/>
    </row>
    <row r="88" spans="1:2" hidden="1" x14ac:dyDescent="0.25">
      <c r="A88" s="124" t="s">
        <v>1263</v>
      </c>
      <c r="B88" s="6"/>
    </row>
    <row r="89" spans="1:2" hidden="1" x14ac:dyDescent="0.25">
      <c r="A89" s="124" t="s">
        <v>1611</v>
      </c>
      <c r="B89" s="6"/>
    </row>
    <row r="90" spans="1:2" hidden="1" x14ac:dyDescent="0.25">
      <c r="A90" s="124" t="s">
        <v>1612</v>
      </c>
      <c r="B90" s="6"/>
    </row>
    <row r="91" spans="1:2" hidden="1" x14ac:dyDescent="0.25">
      <c r="A91" s="124" t="s">
        <v>1613</v>
      </c>
      <c r="B91" s="6"/>
    </row>
    <row r="92" spans="1:2" hidden="1" x14ac:dyDescent="0.25">
      <c r="A92" s="124" t="s">
        <v>1264</v>
      </c>
      <c r="B92" s="6"/>
    </row>
    <row r="93" spans="1:2" hidden="1" x14ac:dyDescent="0.25">
      <c r="A93" s="124" t="s">
        <v>1615</v>
      </c>
      <c r="B93" s="6"/>
    </row>
    <row r="94" spans="1:2" hidden="1" x14ac:dyDescent="0.25">
      <c r="A94" s="124" t="s">
        <v>1616</v>
      </c>
      <c r="B94" s="6"/>
    </row>
    <row r="95" spans="1:2" hidden="1" x14ac:dyDescent="0.25">
      <c r="A95" s="124" t="s">
        <v>1617</v>
      </c>
      <c r="B95" s="6"/>
    </row>
    <row r="96" spans="1:2" hidden="1" x14ac:dyDescent="0.25">
      <c r="A96" s="124" t="s">
        <v>1618</v>
      </c>
      <c r="B96" s="6"/>
    </row>
    <row r="97" spans="1:2" hidden="1" x14ac:dyDescent="0.25">
      <c r="A97" s="124" t="s">
        <v>1619</v>
      </c>
      <c r="B97" s="6"/>
    </row>
    <row r="98" spans="1:2" hidden="1" x14ac:dyDescent="0.25">
      <c r="A98" s="124" t="s">
        <v>1265</v>
      </c>
      <c r="B98" s="6"/>
    </row>
    <row r="99" spans="1:2" hidden="1" x14ac:dyDescent="0.25">
      <c r="A99" s="124" t="s">
        <v>1620</v>
      </c>
      <c r="B99" s="6"/>
    </row>
    <row r="100" spans="1:2" hidden="1" x14ac:dyDescent="0.25">
      <c r="A100" s="124" t="s">
        <v>1266</v>
      </c>
      <c r="B100" s="6"/>
    </row>
    <row r="101" spans="1:2" hidden="1" x14ac:dyDescent="0.25">
      <c r="A101" s="124" t="s">
        <v>1621</v>
      </c>
      <c r="B101" s="6"/>
    </row>
    <row r="102" spans="1:2" hidden="1" x14ac:dyDescent="0.25">
      <c r="A102" s="124" t="s">
        <v>1267</v>
      </c>
      <c r="B102" s="6"/>
    </row>
    <row r="103" spans="1:2" hidden="1" x14ac:dyDescent="0.25">
      <c r="A103" s="124" t="s">
        <v>1622</v>
      </c>
      <c r="B103" s="6"/>
    </row>
    <row r="104" spans="1:2" hidden="1" x14ac:dyDescent="0.25">
      <c r="A104" s="124" t="s">
        <v>1623</v>
      </c>
      <c r="B104" s="6"/>
    </row>
    <row r="105" spans="1:2" hidden="1" x14ac:dyDescent="0.25">
      <c r="A105" s="124" t="s">
        <v>1624</v>
      </c>
      <c r="B105" s="6"/>
    </row>
    <row r="106" spans="1:2" hidden="1" x14ac:dyDescent="0.25">
      <c r="A106" s="124" t="s">
        <v>1268</v>
      </c>
      <c r="B106" s="6"/>
    </row>
    <row r="107" spans="1:2" hidden="1" x14ac:dyDescent="0.25">
      <c r="A107" s="124" t="s">
        <v>1625</v>
      </c>
      <c r="B107" s="6"/>
    </row>
    <row r="108" spans="1:2" hidden="1" x14ac:dyDescent="0.25">
      <c r="A108" s="124" t="s">
        <v>1269</v>
      </c>
      <c r="B108" s="6"/>
    </row>
    <row r="109" spans="1:2" hidden="1" x14ac:dyDescent="0.25">
      <c r="A109" s="124" t="s">
        <v>1626</v>
      </c>
      <c r="B109" s="6"/>
    </row>
    <row r="110" spans="1:2" hidden="1" x14ac:dyDescent="0.25">
      <c r="A110" s="124" t="s">
        <v>1627</v>
      </c>
      <c r="B110" s="6"/>
    </row>
    <row r="111" spans="1:2" hidden="1" x14ac:dyDescent="0.25">
      <c r="A111" s="124" t="s">
        <v>1270</v>
      </c>
      <c r="B111" s="6"/>
    </row>
    <row r="112" spans="1:2" hidden="1" x14ac:dyDescent="0.25">
      <c r="A112" s="124" t="s">
        <v>1271</v>
      </c>
      <c r="B112" s="6"/>
    </row>
    <row r="113" spans="1:2" hidden="1" x14ac:dyDescent="0.25">
      <c r="A113" s="124" t="s">
        <v>1628</v>
      </c>
      <c r="B113" s="6"/>
    </row>
    <row r="114" spans="1:2" hidden="1" x14ac:dyDescent="0.25">
      <c r="A114" s="124" t="s">
        <v>1629</v>
      </c>
      <c r="B114" s="6"/>
    </row>
    <row r="115" spans="1:2" hidden="1" x14ac:dyDescent="0.25">
      <c r="A115" s="124" t="s">
        <v>1630</v>
      </c>
      <c r="B115" s="6"/>
    </row>
    <row r="116" spans="1:2" hidden="1" x14ac:dyDescent="0.25">
      <c r="A116" s="124" t="s">
        <v>1272</v>
      </c>
      <c r="B116" s="6"/>
    </row>
    <row r="117" spans="1:2" hidden="1" x14ac:dyDescent="0.25">
      <c r="A117" s="124" t="s">
        <v>1631</v>
      </c>
      <c r="B117" s="6"/>
    </row>
    <row r="118" spans="1:2" hidden="1" x14ac:dyDescent="0.25">
      <c r="A118" s="124" t="s">
        <v>1273</v>
      </c>
      <c r="B118" s="6"/>
    </row>
    <row r="119" spans="1:2" hidden="1" x14ac:dyDescent="0.25">
      <c r="A119" s="124" t="s">
        <v>1632</v>
      </c>
      <c r="B119" s="6"/>
    </row>
    <row r="120" spans="1:2" hidden="1" x14ac:dyDescent="0.25">
      <c r="A120" s="124" t="s">
        <v>1633</v>
      </c>
      <c r="B120" s="6"/>
    </row>
    <row r="121" spans="1:2" hidden="1" x14ac:dyDescent="0.25">
      <c r="A121" s="124" t="s">
        <v>1634</v>
      </c>
      <c r="B121" s="6"/>
    </row>
    <row r="122" spans="1:2" hidden="1" x14ac:dyDescent="0.25">
      <c r="A122" s="124" t="s">
        <v>1280</v>
      </c>
      <c r="B122" s="6"/>
    </row>
    <row r="123" spans="1:2" hidden="1" x14ac:dyDescent="0.25">
      <c r="A123" s="124" t="s">
        <v>1274</v>
      </c>
      <c r="B123" s="6"/>
    </row>
    <row r="124" spans="1:2" hidden="1" x14ac:dyDescent="0.25">
      <c r="A124" s="124" t="s">
        <v>1275</v>
      </c>
      <c r="B124" s="6"/>
    </row>
    <row r="125" spans="1:2" hidden="1" x14ac:dyDescent="0.25">
      <c r="A125" s="124" t="s">
        <v>1276</v>
      </c>
      <c r="B125" s="6"/>
    </row>
    <row r="126" spans="1:2" hidden="1" x14ac:dyDescent="0.25">
      <c r="A126" s="124" t="s">
        <v>1277</v>
      </c>
      <c r="B126" s="6"/>
    </row>
    <row r="127" spans="1:2" hidden="1" x14ac:dyDescent="0.25">
      <c r="A127" s="124" t="s">
        <v>1278</v>
      </c>
      <c r="B127" s="6"/>
    </row>
    <row r="128" spans="1:2" hidden="1" x14ac:dyDescent="0.25">
      <c r="A128" s="124" t="s">
        <v>1279</v>
      </c>
      <c r="B128" s="6"/>
    </row>
    <row r="129" spans="1:2" hidden="1" x14ac:dyDescent="0.25">
      <c r="A129" s="124" t="s">
        <v>2489</v>
      </c>
      <c r="B129" s="6"/>
    </row>
    <row r="130" spans="1:2" hidden="1" x14ac:dyDescent="0.25">
      <c r="A130" s="124" t="s">
        <v>2458</v>
      </c>
      <c r="B130" s="6"/>
    </row>
    <row r="131" spans="1:2" hidden="1" x14ac:dyDescent="0.25">
      <c r="A131" s="124" t="s">
        <v>1281</v>
      </c>
      <c r="B131" s="6"/>
    </row>
    <row r="132" spans="1:2" hidden="1" x14ac:dyDescent="0.25">
      <c r="A132" s="124" t="s">
        <v>1282</v>
      </c>
      <c r="B132" s="6"/>
    </row>
    <row r="133" spans="1:2" hidden="1" x14ac:dyDescent="0.25">
      <c r="A133" s="124" t="s">
        <v>2461</v>
      </c>
      <c r="B133" s="6"/>
    </row>
    <row r="134" spans="1:2" hidden="1" x14ac:dyDescent="0.25">
      <c r="A134" s="124" t="s">
        <v>2604</v>
      </c>
      <c r="B134" s="6"/>
    </row>
    <row r="135" spans="1:2" hidden="1" x14ac:dyDescent="0.25">
      <c r="A135" s="124" t="s">
        <v>1283</v>
      </c>
      <c r="B135" s="6"/>
    </row>
    <row r="136" spans="1:2" hidden="1" x14ac:dyDescent="0.25">
      <c r="A136" s="124" t="s">
        <v>1284</v>
      </c>
      <c r="B136" s="6"/>
    </row>
    <row r="137" spans="1:2" hidden="1" x14ac:dyDescent="0.25">
      <c r="A137" s="124" t="s">
        <v>2479</v>
      </c>
      <c r="B137" s="6"/>
    </row>
    <row r="138" spans="1:2" hidden="1" x14ac:dyDescent="0.25">
      <c r="A138" s="124" t="s">
        <v>1285</v>
      </c>
      <c r="B138" s="6"/>
    </row>
    <row r="139" spans="1:2" hidden="1" x14ac:dyDescent="0.25">
      <c r="A139" s="124" t="s">
        <v>1286</v>
      </c>
      <c r="B139" s="6"/>
    </row>
    <row r="140" spans="1:2" hidden="1" x14ac:dyDescent="0.25">
      <c r="A140" s="124" t="s">
        <v>1287</v>
      </c>
      <c r="B140" s="6"/>
    </row>
    <row r="141" spans="1:2" hidden="1" x14ac:dyDescent="0.25">
      <c r="A141" s="124" t="s">
        <v>2612</v>
      </c>
      <c r="B141" s="6"/>
    </row>
    <row r="142" spans="1:2" hidden="1" x14ac:dyDescent="0.25">
      <c r="A142" s="124" t="s">
        <v>1288</v>
      </c>
      <c r="B142" s="6"/>
    </row>
    <row r="143" spans="1:2" hidden="1" x14ac:dyDescent="0.25">
      <c r="A143" s="124" t="s">
        <v>1289</v>
      </c>
      <c r="B143" s="6"/>
    </row>
    <row r="144" spans="1:2" hidden="1" x14ac:dyDescent="0.25">
      <c r="A144" s="124" t="s">
        <v>2465</v>
      </c>
      <c r="B144" s="6"/>
    </row>
    <row r="145" spans="1:2" hidden="1" x14ac:dyDescent="0.25">
      <c r="A145" s="124" t="s">
        <v>2608</v>
      </c>
      <c r="B145" s="6"/>
    </row>
    <row r="146" spans="1:2" hidden="1" x14ac:dyDescent="0.25">
      <c r="A146" s="124" t="s">
        <v>1290</v>
      </c>
      <c r="B146" s="6"/>
    </row>
    <row r="147" spans="1:2" hidden="1" x14ac:dyDescent="0.25">
      <c r="A147" s="124" t="s">
        <v>2616</v>
      </c>
      <c r="B147" s="6"/>
    </row>
    <row r="148" spans="1:2" hidden="1" x14ac:dyDescent="0.25">
      <c r="A148" s="124" t="s">
        <v>1291</v>
      </c>
      <c r="B148" s="6"/>
    </row>
    <row r="149" spans="1:2" hidden="1" x14ac:dyDescent="0.25">
      <c r="A149" s="124" t="s">
        <v>2620</v>
      </c>
      <c r="B149" s="6"/>
    </row>
    <row r="150" spans="1:2" hidden="1" x14ac:dyDescent="0.25">
      <c r="A150" s="124" t="s">
        <v>1292</v>
      </c>
      <c r="B150" s="6"/>
    </row>
    <row r="151" spans="1:2" hidden="1" x14ac:dyDescent="0.25">
      <c r="A151" s="124" t="s">
        <v>1635</v>
      </c>
      <c r="B151" s="6"/>
    </row>
    <row r="152" spans="1:2" hidden="1" x14ac:dyDescent="0.25">
      <c r="A152" s="124" t="s">
        <v>2624</v>
      </c>
      <c r="B152" s="6"/>
    </row>
    <row r="153" spans="1:2" hidden="1" x14ac:dyDescent="0.25">
      <c r="A153" s="124" t="s">
        <v>2636</v>
      </c>
      <c r="B153" s="6"/>
    </row>
    <row r="154" spans="1:2" hidden="1" x14ac:dyDescent="0.25">
      <c r="A154" s="124" t="s">
        <v>1293</v>
      </c>
      <c r="B154" s="6"/>
    </row>
    <row r="155" spans="1:2" hidden="1" x14ac:dyDescent="0.25">
      <c r="A155" s="124" t="s">
        <v>1294</v>
      </c>
      <c r="B155" s="6"/>
    </row>
    <row r="156" spans="1:2" hidden="1" x14ac:dyDescent="0.25">
      <c r="A156" s="124" t="s">
        <v>2628</v>
      </c>
      <c r="B156" s="6"/>
    </row>
    <row r="157" spans="1:2" hidden="1" x14ac:dyDescent="0.25">
      <c r="A157" s="124" t="s">
        <v>1295</v>
      </c>
      <c r="B157" s="6"/>
    </row>
    <row r="158" spans="1:2" hidden="1" x14ac:dyDescent="0.25">
      <c r="A158" s="124" t="s">
        <v>2632</v>
      </c>
      <c r="B158" s="6"/>
    </row>
    <row r="159" spans="1:2" hidden="1" x14ac:dyDescent="0.25">
      <c r="A159" s="124" t="s">
        <v>2469</v>
      </c>
      <c r="B159" s="6"/>
    </row>
    <row r="160" spans="1:2" hidden="1" x14ac:dyDescent="0.25">
      <c r="A160" s="124" t="s">
        <v>1301</v>
      </c>
      <c r="B160" s="6"/>
    </row>
    <row r="161" spans="1:2" hidden="1" x14ac:dyDescent="0.25">
      <c r="A161" s="124" t="s">
        <v>2449</v>
      </c>
      <c r="B161" s="6"/>
    </row>
    <row r="162" spans="1:2" hidden="1" x14ac:dyDescent="0.25">
      <c r="A162" s="124" t="s">
        <v>1296</v>
      </c>
      <c r="B162" s="6"/>
    </row>
    <row r="163" spans="1:2" hidden="1" x14ac:dyDescent="0.25">
      <c r="A163" s="124" t="s">
        <v>1297</v>
      </c>
      <c r="B163" s="6"/>
    </row>
    <row r="164" spans="1:2" hidden="1" x14ac:dyDescent="0.25">
      <c r="A164" s="124" t="s">
        <v>1298</v>
      </c>
      <c r="B164" s="6"/>
    </row>
    <row r="165" spans="1:2" hidden="1" x14ac:dyDescent="0.25">
      <c r="A165" s="124" t="s">
        <v>2644</v>
      </c>
      <c r="B165" s="6"/>
    </row>
    <row r="166" spans="1:2" hidden="1" x14ac:dyDescent="0.25">
      <c r="A166" s="124" t="s">
        <v>2648</v>
      </c>
      <c r="B166" s="6"/>
    </row>
    <row r="167" spans="1:2" hidden="1" x14ac:dyDescent="0.25">
      <c r="A167" s="124" t="s">
        <v>1299</v>
      </c>
      <c r="B167" s="6"/>
    </row>
    <row r="168" spans="1:2" hidden="1" x14ac:dyDescent="0.25">
      <c r="A168" s="124" t="s">
        <v>2566</v>
      </c>
      <c r="B168" s="6"/>
    </row>
    <row r="169" spans="1:2" hidden="1" x14ac:dyDescent="0.25">
      <c r="A169" s="124" t="s">
        <v>2569</v>
      </c>
      <c r="B169" s="6"/>
    </row>
    <row r="170" spans="1:2" hidden="1" x14ac:dyDescent="0.25">
      <c r="A170" s="124" t="s">
        <v>2640</v>
      </c>
      <c r="B170" s="6"/>
    </row>
    <row r="171" spans="1:2" hidden="1" x14ac:dyDescent="0.25">
      <c r="A171" s="124" t="s">
        <v>1300</v>
      </c>
      <c r="B171" s="6"/>
    </row>
    <row r="172" spans="1:2" hidden="1" x14ac:dyDescent="0.25">
      <c r="A172" s="124" t="s">
        <v>1302</v>
      </c>
      <c r="B172" s="6"/>
    </row>
    <row r="173" spans="1:2" hidden="1" x14ac:dyDescent="0.25">
      <c r="A173" s="124" t="s">
        <v>1303</v>
      </c>
      <c r="B173" s="6"/>
    </row>
    <row r="174" spans="1:2" hidden="1" x14ac:dyDescent="0.25">
      <c r="A174" s="124" t="s">
        <v>1304</v>
      </c>
      <c r="B174" s="6"/>
    </row>
    <row r="175" spans="1:2" hidden="1" x14ac:dyDescent="0.25">
      <c r="A175" s="124" t="s">
        <v>1636</v>
      </c>
      <c r="B175" s="6"/>
    </row>
    <row r="176" spans="1:2" hidden="1" x14ac:dyDescent="0.25">
      <c r="A176" s="124" t="s">
        <v>1637</v>
      </c>
      <c r="B176" s="6"/>
    </row>
    <row r="177" spans="1:2" hidden="1" x14ac:dyDescent="0.25">
      <c r="A177" s="124" t="s">
        <v>1305</v>
      </c>
      <c r="B177" s="6"/>
    </row>
    <row r="178" spans="1:2" hidden="1" x14ac:dyDescent="0.25">
      <c r="A178" s="124" t="s">
        <v>1638</v>
      </c>
      <c r="B178" s="6"/>
    </row>
    <row r="179" spans="1:2" hidden="1" x14ac:dyDescent="0.25">
      <c r="A179" s="124" t="s">
        <v>1306</v>
      </c>
      <c r="B179" s="6"/>
    </row>
    <row r="180" spans="1:2" hidden="1" x14ac:dyDescent="0.25">
      <c r="A180" s="124" t="s">
        <v>1639</v>
      </c>
      <c r="B180" s="6"/>
    </row>
    <row r="181" spans="1:2" hidden="1" x14ac:dyDescent="0.25">
      <c r="A181" s="124" t="s">
        <v>1307</v>
      </c>
      <c r="B181" s="6"/>
    </row>
    <row r="182" spans="1:2" hidden="1" x14ac:dyDescent="0.25">
      <c r="A182" s="124" t="s">
        <v>1308</v>
      </c>
      <c r="B182" s="6"/>
    </row>
    <row r="183" spans="1:2" hidden="1" x14ac:dyDescent="0.25">
      <c r="A183" s="124" t="s">
        <v>2490</v>
      </c>
      <c r="B183" s="6"/>
    </row>
    <row r="184" spans="1:2" hidden="1" x14ac:dyDescent="0.25">
      <c r="A184" s="124" t="s">
        <v>1332</v>
      </c>
      <c r="B184" s="6"/>
    </row>
    <row r="185" spans="1:2" hidden="1" x14ac:dyDescent="0.25">
      <c r="A185" s="124" t="s">
        <v>1898</v>
      </c>
      <c r="B185" s="6"/>
    </row>
    <row r="186" spans="1:2" hidden="1" x14ac:dyDescent="0.25">
      <c r="A186" s="124" t="s">
        <v>1309</v>
      </c>
      <c r="B186" s="6"/>
    </row>
    <row r="187" spans="1:2" hidden="1" x14ac:dyDescent="0.25">
      <c r="A187" s="124" t="s">
        <v>1640</v>
      </c>
      <c r="B187" s="6"/>
    </row>
    <row r="188" spans="1:2" hidden="1" x14ac:dyDescent="0.25">
      <c r="A188" s="124" t="s">
        <v>1641</v>
      </c>
      <c r="B188" s="6"/>
    </row>
    <row r="189" spans="1:2" hidden="1" x14ac:dyDescent="0.25">
      <c r="A189" s="124" t="s">
        <v>1310</v>
      </c>
      <c r="B189" s="6"/>
    </row>
    <row r="190" spans="1:2" hidden="1" x14ac:dyDescent="0.25">
      <c r="A190" s="124" t="s">
        <v>1311</v>
      </c>
      <c r="B190" s="6"/>
    </row>
    <row r="191" spans="1:2" hidden="1" x14ac:dyDescent="0.25">
      <c r="A191" s="124" t="s">
        <v>1312</v>
      </c>
      <c r="B191" s="6"/>
    </row>
    <row r="192" spans="1:2" hidden="1" x14ac:dyDescent="0.25">
      <c r="A192" s="124" t="s">
        <v>1313</v>
      </c>
      <c r="B192" s="6"/>
    </row>
    <row r="193" spans="1:2" hidden="1" x14ac:dyDescent="0.25">
      <c r="A193" s="124" t="s">
        <v>1314</v>
      </c>
      <c r="B193" s="6"/>
    </row>
    <row r="194" spans="1:2" hidden="1" x14ac:dyDescent="0.25">
      <c r="A194" s="124" t="s">
        <v>1315</v>
      </c>
      <c r="B194" s="6"/>
    </row>
    <row r="195" spans="1:2" hidden="1" x14ac:dyDescent="0.25">
      <c r="A195" s="124" t="s">
        <v>1316</v>
      </c>
      <c r="B195" s="6"/>
    </row>
    <row r="196" spans="1:2" hidden="1" x14ac:dyDescent="0.25">
      <c r="A196" s="124" t="s">
        <v>1317</v>
      </c>
      <c r="B196" s="6"/>
    </row>
    <row r="197" spans="1:2" hidden="1" x14ac:dyDescent="0.25">
      <c r="A197" s="124" t="s">
        <v>1318</v>
      </c>
      <c r="B197" s="6"/>
    </row>
    <row r="198" spans="1:2" hidden="1" x14ac:dyDescent="0.25">
      <c r="A198" s="124" t="s">
        <v>1319</v>
      </c>
      <c r="B198" s="6"/>
    </row>
    <row r="199" spans="1:2" hidden="1" x14ac:dyDescent="0.25">
      <c r="A199" s="124" t="s">
        <v>1320</v>
      </c>
      <c r="B199" s="6"/>
    </row>
    <row r="200" spans="1:2" hidden="1" x14ac:dyDescent="0.25">
      <c r="A200" s="124" t="s">
        <v>1321</v>
      </c>
      <c r="B200" s="6"/>
    </row>
    <row r="201" spans="1:2" hidden="1" x14ac:dyDescent="0.25">
      <c r="A201" s="124" t="s">
        <v>1322</v>
      </c>
      <c r="B201" s="6"/>
    </row>
    <row r="202" spans="1:2" hidden="1" x14ac:dyDescent="0.25">
      <c r="A202" s="124" t="s">
        <v>1323</v>
      </c>
      <c r="B202" s="6"/>
    </row>
    <row r="203" spans="1:2" hidden="1" x14ac:dyDescent="0.25">
      <c r="A203" s="124" t="s">
        <v>1324</v>
      </c>
      <c r="B203" s="6"/>
    </row>
    <row r="204" spans="1:2" hidden="1" x14ac:dyDescent="0.25">
      <c r="A204" s="124" t="s">
        <v>1325</v>
      </c>
      <c r="B204" s="6"/>
    </row>
    <row r="205" spans="1:2" hidden="1" x14ac:dyDescent="0.25">
      <c r="A205" s="124" t="s">
        <v>1326</v>
      </c>
      <c r="B205" s="6"/>
    </row>
    <row r="206" spans="1:2" hidden="1" x14ac:dyDescent="0.25">
      <c r="A206" s="124" t="s">
        <v>1642</v>
      </c>
      <c r="B206" s="6"/>
    </row>
    <row r="207" spans="1:2" hidden="1" x14ac:dyDescent="0.25">
      <c r="A207" s="124" t="s">
        <v>1327</v>
      </c>
      <c r="B207" s="6"/>
    </row>
    <row r="208" spans="1:2" hidden="1" x14ac:dyDescent="0.25">
      <c r="A208" s="124" t="s">
        <v>1328</v>
      </c>
      <c r="B208" s="6"/>
    </row>
    <row r="209" spans="1:2" hidden="1" x14ac:dyDescent="0.25">
      <c r="A209" s="124" t="s">
        <v>1329</v>
      </c>
      <c r="B209" s="6"/>
    </row>
    <row r="210" spans="1:2" hidden="1" x14ac:dyDescent="0.25">
      <c r="A210" s="124" t="s">
        <v>1643</v>
      </c>
      <c r="B210" s="6"/>
    </row>
    <row r="211" spans="1:2" hidden="1" x14ac:dyDescent="0.25">
      <c r="A211" s="124" t="s">
        <v>1644</v>
      </c>
      <c r="B211" s="6"/>
    </row>
    <row r="212" spans="1:2" hidden="1" x14ac:dyDescent="0.25">
      <c r="A212" s="124" t="s">
        <v>1645</v>
      </c>
      <c r="B212" s="6"/>
    </row>
    <row r="213" spans="1:2" hidden="1" x14ac:dyDescent="0.25">
      <c r="A213" s="124" t="s">
        <v>1330</v>
      </c>
      <c r="B213" s="6"/>
    </row>
    <row r="214" spans="1:2" hidden="1" x14ac:dyDescent="0.25">
      <c r="A214" s="124" t="s">
        <v>1646</v>
      </c>
      <c r="B214" s="6"/>
    </row>
    <row r="215" spans="1:2" hidden="1" x14ac:dyDescent="0.25">
      <c r="A215" s="124" t="s">
        <v>2572</v>
      </c>
      <c r="B215" s="6"/>
    </row>
    <row r="216" spans="1:2" hidden="1" x14ac:dyDescent="0.25">
      <c r="A216" s="124" t="s">
        <v>2573</v>
      </c>
      <c r="B216" s="6"/>
    </row>
    <row r="217" spans="1:2" hidden="1" x14ac:dyDescent="0.25">
      <c r="A217" s="124" t="s">
        <v>1331</v>
      </c>
      <c r="B217" s="6"/>
    </row>
    <row r="218" spans="1:2" hidden="1" x14ac:dyDescent="0.25">
      <c r="A218" s="124" t="s">
        <v>2506</v>
      </c>
      <c r="B218" s="6"/>
    </row>
    <row r="219" spans="1:2" hidden="1" x14ac:dyDescent="0.25">
      <c r="A219" s="124" t="s">
        <v>2578</v>
      </c>
      <c r="B219" s="6"/>
    </row>
    <row r="220" spans="1:2" hidden="1" x14ac:dyDescent="0.25">
      <c r="A220" s="124" t="s">
        <v>2505</v>
      </c>
      <c r="B220" s="6"/>
    </row>
    <row r="221" spans="1:2" hidden="1" x14ac:dyDescent="0.25">
      <c r="A221" s="124" t="s">
        <v>2655</v>
      </c>
      <c r="B221" s="6"/>
    </row>
    <row r="222" spans="1:2" hidden="1" x14ac:dyDescent="0.25">
      <c r="A222" s="124" t="s">
        <v>2660</v>
      </c>
      <c r="B222" s="6"/>
    </row>
    <row r="223" spans="1:2" hidden="1" x14ac:dyDescent="0.25">
      <c r="A223" s="124" t="s">
        <v>2501</v>
      </c>
      <c r="B223" s="6"/>
    </row>
    <row r="224" spans="1:2" hidden="1" x14ac:dyDescent="0.25">
      <c r="A224" s="124" t="s">
        <v>2504</v>
      </c>
      <c r="B224" s="6"/>
    </row>
    <row r="225" spans="1:2" hidden="1" x14ac:dyDescent="0.25">
      <c r="A225" s="124" t="s">
        <v>2652</v>
      </c>
      <c r="B225" s="6"/>
    </row>
    <row r="226" spans="1:2" hidden="1" x14ac:dyDescent="0.25">
      <c r="A226" s="124" t="s">
        <v>2662</v>
      </c>
      <c r="B226" s="6"/>
    </row>
    <row r="227" spans="1:2" hidden="1" x14ac:dyDescent="0.25">
      <c r="A227" s="124" t="s">
        <v>2665</v>
      </c>
      <c r="B227" s="6"/>
    </row>
    <row r="228" spans="1:2" hidden="1" x14ac:dyDescent="0.25">
      <c r="A228" s="124" t="s">
        <v>2651</v>
      </c>
      <c r="B228" s="6"/>
    </row>
    <row r="229" spans="1:2" hidden="1" x14ac:dyDescent="0.25">
      <c r="A229" s="124" t="s">
        <v>2663</v>
      </c>
      <c r="B229" s="6"/>
    </row>
    <row r="230" spans="1:2" hidden="1" x14ac:dyDescent="0.25">
      <c r="A230" s="124" t="s">
        <v>1339</v>
      </c>
      <c r="B230" s="6"/>
    </row>
    <row r="231" spans="1:2" hidden="1" x14ac:dyDescent="0.25">
      <c r="A231" s="124" t="s">
        <v>2502</v>
      </c>
      <c r="B231" s="6"/>
    </row>
    <row r="232" spans="1:2" hidden="1" x14ac:dyDescent="0.25">
      <c r="A232" s="124" t="s">
        <v>2503</v>
      </c>
      <c r="B232" s="6"/>
    </row>
    <row r="233" spans="1:2" hidden="1" x14ac:dyDescent="0.25">
      <c r="A233" s="124" t="s">
        <v>1333</v>
      </c>
      <c r="B233" s="6"/>
    </row>
    <row r="234" spans="1:2" hidden="1" x14ac:dyDescent="0.25">
      <c r="A234" s="124" t="s">
        <v>1334</v>
      </c>
      <c r="B234" s="6"/>
    </row>
    <row r="235" spans="1:2" hidden="1" x14ac:dyDescent="0.25">
      <c r="A235" s="124" t="s">
        <v>1335</v>
      </c>
      <c r="B235" s="6"/>
    </row>
    <row r="236" spans="1:2" hidden="1" x14ac:dyDescent="0.25">
      <c r="A236" s="124" t="s">
        <v>1336</v>
      </c>
      <c r="B236" s="6"/>
    </row>
    <row r="237" spans="1:2" hidden="1" x14ac:dyDescent="0.25">
      <c r="A237" s="124" t="s">
        <v>1337</v>
      </c>
      <c r="B237" s="6"/>
    </row>
    <row r="238" spans="1:2" hidden="1" x14ac:dyDescent="0.25">
      <c r="A238" s="124" t="s">
        <v>1338</v>
      </c>
      <c r="B238" s="6"/>
    </row>
    <row r="239" spans="1:2" hidden="1" x14ac:dyDescent="0.25">
      <c r="A239" s="124" t="s">
        <v>1347</v>
      </c>
      <c r="B239" s="6"/>
    </row>
    <row r="240" spans="1:2" hidden="1" x14ac:dyDescent="0.25">
      <c r="A240" s="124" t="s">
        <v>2668</v>
      </c>
      <c r="B240" s="6"/>
    </row>
    <row r="241" spans="1:2" hidden="1" x14ac:dyDescent="0.25">
      <c r="A241" s="124" t="s">
        <v>1348</v>
      </c>
      <c r="B241" s="6"/>
    </row>
    <row r="242" spans="1:2" hidden="1" x14ac:dyDescent="0.25">
      <c r="A242" s="124" t="s">
        <v>2672</v>
      </c>
      <c r="B242" s="6"/>
    </row>
    <row r="243" spans="1:2" hidden="1" x14ac:dyDescent="0.25">
      <c r="A243" s="124" t="s">
        <v>1340</v>
      </c>
      <c r="B243" s="6"/>
    </row>
    <row r="244" spans="1:2" hidden="1" x14ac:dyDescent="0.25">
      <c r="A244" s="124" t="s">
        <v>1341</v>
      </c>
      <c r="B244" s="6"/>
    </row>
    <row r="245" spans="1:2" hidden="1" x14ac:dyDescent="0.25">
      <c r="A245" s="124" t="s">
        <v>1342</v>
      </c>
      <c r="B245" s="6"/>
    </row>
    <row r="246" spans="1:2" hidden="1" x14ac:dyDescent="0.25">
      <c r="A246" s="124" t="s">
        <v>2676</v>
      </c>
      <c r="B246" s="6"/>
    </row>
    <row r="247" spans="1:2" hidden="1" x14ac:dyDescent="0.25">
      <c r="A247" s="124" t="s">
        <v>1343</v>
      </c>
      <c r="B247" s="6"/>
    </row>
    <row r="248" spans="1:2" hidden="1" x14ac:dyDescent="0.25">
      <c r="A248" s="124" t="s">
        <v>1344</v>
      </c>
      <c r="B248" s="6"/>
    </row>
    <row r="249" spans="1:2" hidden="1" x14ac:dyDescent="0.25">
      <c r="A249" s="124" t="s">
        <v>1345</v>
      </c>
      <c r="B249" s="6"/>
    </row>
    <row r="250" spans="1:2" hidden="1" x14ac:dyDescent="0.25">
      <c r="A250" s="124" t="s">
        <v>2456</v>
      </c>
      <c r="B250" s="6"/>
    </row>
    <row r="251" spans="1:2" hidden="1" x14ac:dyDescent="0.25">
      <c r="A251" s="124" t="s">
        <v>1346</v>
      </c>
      <c r="B251" s="6"/>
    </row>
    <row r="252" spans="1:2" hidden="1" x14ac:dyDescent="0.25">
      <c r="A252" s="124" t="s">
        <v>2680</v>
      </c>
      <c r="B252" s="6"/>
    </row>
    <row r="253" spans="1:2" hidden="1" x14ac:dyDescent="0.25">
      <c r="A253" s="124" t="s">
        <v>2684</v>
      </c>
      <c r="B253" s="6"/>
    </row>
    <row r="254" spans="1:2" hidden="1" x14ac:dyDescent="0.25">
      <c r="A254" s="124" t="s">
        <v>1349</v>
      </c>
      <c r="B254" s="6"/>
    </row>
    <row r="255" spans="1:2" hidden="1" x14ac:dyDescent="0.25">
      <c r="A255" s="124" t="s">
        <v>1350</v>
      </c>
      <c r="B255" s="6"/>
    </row>
    <row r="256" spans="1:2" hidden="1" x14ac:dyDescent="0.25">
      <c r="A256" s="124" t="s">
        <v>1651</v>
      </c>
      <c r="B256" s="6"/>
    </row>
    <row r="257" spans="1:2" hidden="1" x14ac:dyDescent="0.25">
      <c r="A257" s="124" t="s">
        <v>1652</v>
      </c>
      <c r="B257" s="6"/>
    </row>
    <row r="258" spans="1:2" hidden="1" x14ac:dyDescent="0.25">
      <c r="A258" s="124" t="s">
        <v>1653</v>
      </c>
      <c r="B258" s="6"/>
    </row>
    <row r="259" spans="1:2" hidden="1" x14ac:dyDescent="0.25">
      <c r="A259" s="124" t="s">
        <v>1654</v>
      </c>
      <c r="B259" s="6"/>
    </row>
    <row r="260" spans="1:2" hidden="1" x14ac:dyDescent="0.25">
      <c r="A260" s="124" t="s">
        <v>1655</v>
      </c>
      <c r="B260" s="6"/>
    </row>
    <row r="261" spans="1:2" hidden="1" x14ac:dyDescent="0.25">
      <c r="A261" s="124" t="s">
        <v>1351</v>
      </c>
      <c r="B261" s="6"/>
    </row>
    <row r="262" spans="1:2" hidden="1" x14ac:dyDescent="0.25">
      <c r="A262" s="124" t="s">
        <v>1656</v>
      </c>
      <c r="B262" s="6"/>
    </row>
    <row r="263" spans="1:2" hidden="1" x14ac:dyDescent="0.25">
      <c r="A263" s="124" t="s">
        <v>1657</v>
      </c>
      <c r="B263" s="6"/>
    </row>
    <row r="264" spans="1:2" hidden="1" x14ac:dyDescent="0.25">
      <c r="A264" s="124" t="s">
        <v>1658</v>
      </c>
      <c r="B264" s="6"/>
    </row>
    <row r="265" spans="1:2" hidden="1" x14ac:dyDescent="0.25">
      <c r="A265" s="124" t="s">
        <v>1352</v>
      </c>
      <c r="B265" s="6"/>
    </row>
    <row r="266" spans="1:2" hidden="1" x14ac:dyDescent="0.25">
      <c r="A266" s="124" t="s">
        <v>1659</v>
      </c>
      <c r="B266" s="6"/>
    </row>
    <row r="267" spans="1:2" hidden="1" x14ac:dyDescent="0.25">
      <c r="A267" s="124" t="s">
        <v>1660</v>
      </c>
      <c r="B267" s="6"/>
    </row>
    <row r="268" spans="1:2" hidden="1" x14ac:dyDescent="0.25">
      <c r="A268" s="124" t="s">
        <v>1661</v>
      </c>
      <c r="B268" s="6"/>
    </row>
    <row r="269" spans="1:2" hidden="1" x14ac:dyDescent="0.25">
      <c r="A269" s="124" t="s">
        <v>1353</v>
      </c>
      <c r="B269" s="6"/>
    </row>
    <row r="270" spans="1:2" hidden="1" x14ac:dyDescent="0.25">
      <c r="A270" s="124" t="s">
        <v>1662</v>
      </c>
      <c r="B270" s="6"/>
    </row>
    <row r="271" spans="1:2" hidden="1" x14ac:dyDescent="0.25">
      <c r="A271" s="124" t="s">
        <v>1663</v>
      </c>
      <c r="B271" s="6"/>
    </row>
    <row r="272" spans="1:2" hidden="1" x14ac:dyDescent="0.25">
      <c r="A272" s="124" t="s">
        <v>1664</v>
      </c>
      <c r="B272" s="6"/>
    </row>
    <row r="273" spans="1:2" hidden="1" x14ac:dyDescent="0.25">
      <c r="A273" s="124" t="s">
        <v>1665</v>
      </c>
      <c r="B273" s="6"/>
    </row>
    <row r="274" spans="1:2" hidden="1" x14ac:dyDescent="0.25">
      <c r="A274" s="124" t="s">
        <v>1666</v>
      </c>
      <c r="B274" s="6"/>
    </row>
    <row r="275" spans="1:2" hidden="1" x14ac:dyDescent="0.25">
      <c r="A275" s="124" t="s">
        <v>1667</v>
      </c>
      <c r="B275" s="6"/>
    </row>
    <row r="276" spans="1:2" hidden="1" x14ac:dyDescent="0.25">
      <c r="A276" s="124" t="s">
        <v>2582</v>
      </c>
      <c r="B276" s="6"/>
    </row>
    <row r="277" spans="1:2" hidden="1" x14ac:dyDescent="0.25">
      <c r="A277" s="124" t="s">
        <v>1354</v>
      </c>
      <c r="B277" s="6"/>
    </row>
    <row r="278" spans="1:2" hidden="1" x14ac:dyDescent="0.25">
      <c r="A278" s="124" t="s">
        <v>1668</v>
      </c>
      <c r="B278" s="6"/>
    </row>
    <row r="279" spans="1:2" hidden="1" x14ac:dyDescent="0.25">
      <c r="A279" s="124" t="s">
        <v>1669</v>
      </c>
      <c r="B279" s="6"/>
    </row>
    <row r="280" spans="1:2" hidden="1" x14ac:dyDescent="0.25">
      <c r="A280" s="124" t="s">
        <v>1355</v>
      </c>
      <c r="B280" s="6"/>
    </row>
    <row r="281" spans="1:2" hidden="1" x14ac:dyDescent="0.25">
      <c r="A281" s="124" t="s">
        <v>1356</v>
      </c>
      <c r="B281" s="6"/>
    </row>
    <row r="282" spans="1:2" hidden="1" x14ac:dyDescent="0.25">
      <c r="A282" s="124" t="s">
        <v>1357</v>
      </c>
      <c r="B282" s="6"/>
    </row>
    <row r="283" spans="1:2" hidden="1" x14ac:dyDescent="0.25">
      <c r="A283" s="124" t="s">
        <v>1358</v>
      </c>
      <c r="B283" s="6"/>
    </row>
    <row r="284" spans="1:2" hidden="1" x14ac:dyDescent="0.25">
      <c r="A284" s="124" t="s">
        <v>1670</v>
      </c>
      <c r="B284" s="6"/>
    </row>
    <row r="285" spans="1:2" hidden="1" x14ac:dyDescent="0.25">
      <c r="A285" s="124" t="s">
        <v>1359</v>
      </c>
      <c r="B285" s="6"/>
    </row>
    <row r="286" spans="1:2" hidden="1" x14ac:dyDescent="0.25">
      <c r="A286" s="124" t="s">
        <v>1761</v>
      </c>
      <c r="B286" s="6"/>
    </row>
    <row r="287" spans="1:2" hidden="1" x14ac:dyDescent="0.25">
      <c r="A287" s="124" t="s">
        <v>1360</v>
      </c>
      <c r="B287" s="6"/>
    </row>
    <row r="288" spans="1:2" hidden="1" x14ac:dyDescent="0.25">
      <c r="A288" s="124" t="s">
        <v>1361</v>
      </c>
      <c r="B288" s="6"/>
    </row>
    <row r="289" spans="1:2" hidden="1" x14ac:dyDescent="0.25">
      <c r="A289" s="124" t="s">
        <v>1762</v>
      </c>
      <c r="B289" s="6"/>
    </row>
    <row r="290" spans="1:2" hidden="1" x14ac:dyDescent="0.25">
      <c r="A290" s="124" t="s">
        <v>1362</v>
      </c>
      <c r="B290" s="6"/>
    </row>
    <row r="291" spans="1:2" hidden="1" x14ac:dyDescent="0.25">
      <c r="A291" s="124" t="s">
        <v>1763</v>
      </c>
      <c r="B291" s="6"/>
    </row>
    <row r="292" spans="1:2" hidden="1" x14ac:dyDescent="0.25">
      <c r="A292" s="124" t="s">
        <v>1363</v>
      </c>
      <c r="B292" s="6"/>
    </row>
    <row r="293" spans="1:2" hidden="1" x14ac:dyDescent="0.25">
      <c r="A293" s="124" t="s">
        <v>1364</v>
      </c>
      <c r="B293" s="6"/>
    </row>
    <row r="294" spans="1:2" hidden="1" x14ac:dyDescent="0.25">
      <c r="A294" s="124" t="s">
        <v>1764</v>
      </c>
      <c r="B294" s="6"/>
    </row>
    <row r="295" spans="1:2" hidden="1" x14ac:dyDescent="0.25">
      <c r="A295" s="124" t="s">
        <v>1365</v>
      </c>
      <c r="B295" s="6"/>
    </row>
    <row r="296" spans="1:2" hidden="1" x14ac:dyDescent="0.25">
      <c r="A296" s="124" t="s">
        <v>1366</v>
      </c>
      <c r="B296" s="6"/>
    </row>
    <row r="297" spans="1:2" hidden="1" x14ac:dyDescent="0.25">
      <c r="A297" s="124" t="s">
        <v>1367</v>
      </c>
      <c r="B297" s="6"/>
    </row>
    <row r="298" spans="1:2" hidden="1" x14ac:dyDescent="0.25">
      <c r="A298" s="124" t="s">
        <v>1765</v>
      </c>
      <c r="B298" s="6"/>
    </row>
    <row r="299" spans="1:2" hidden="1" x14ac:dyDescent="0.25">
      <c r="A299" s="124" t="s">
        <v>1368</v>
      </c>
      <c r="B299" s="6"/>
    </row>
    <row r="300" spans="1:2" hidden="1" x14ac:dyDescent="0.25">
      <c r="A300" s="124" t="s">
        <v>1369</v>
      </c>
      <c r="B300" s="6"/>
    </row>
    <row r="301" spans="1:2" hidden="1" x14ac:dyDescent="0.25">
      <c r="A301" s="124" t="s">
        <v>1370</v>
      </c>
      <c r="B301" s="6"/>
    </row>
    <row r="302" spans="1:2" hidden="1" x14ac:dyDescent="0.25">
      <c r="A302" s="124" t="s">
        <v>1766</v>
      </c>
      <c r="B302" s="6"/>
    </row>
    <row r="303" spans="1:2" hidden="1" x14ac:dyDescent="0.25">
      <c r="A303" s="124" t="s">
        <v>1371</v>
      </c>
      <c r="B303" s="6"/>
    </row>
    <row r="304" spans="1:2" hidden="1" x14ac:dyDescent="0.25">
      <c r="A304" s="124" t="s">
        <v>1372</v>
      </c>
      <c r="B304" s="6"/>
    </row>
    <row r="305" spans="1:2" hidden="1" x14ac:dyDescent="0.25">
      <c r="A305" s="124" t="s">
        <v>1767</v>
      </c>
      <c r="B305" s="6"/>
    </row>
    <row r="306" spans="1:2" hidden="1" x14ac:dyDescent="0.25">
      <c r="A306" s="124" t="s">
        <v>2522</v>
      </c>
      <c r="B306" s="6"/>
    </row>
    <row r="307" spans="1:2" hidden="1" x14ac:dyDescent="0.25">
      <c r="A307" s="124" t="s">
        <v>1373</v>
      </c>
      <c r="B307" s="6"/>
    </row>
    <row r="308" spans="1:2" hidden="1" x14ac:dyDescent="0.25">
      <c r="A308" s="124" t="s">
        <v>1768</v>
      </c>
      <c r="B308" s="6"/>
    </row>
    <row r="309" spans="1:2" hidden="1" x14ac:dyDescent="0.25">
      <c r="A309" s="124" t="s">
        <v>1769</v>
      </c>
      <c r="B309" s="6"/>
    </row>
    <row r="310" spans="1:2" hidden="1" x14ac:dyDescent="0.25">
      <c r="A310" s="124" t="s">
        <v>1374</v>
      </c>
      <c r="B310" s="6"/>
    </row>
    <row r="311" spans="1:2" hidden="1" x14ac:dyDescent="0.25">
      <c r="A311" s="124" t="s">
        <v>1375</v>
      </c>
      <c r="B311" s="6"/>
    </row>
    <row r="312" spans="1:2" hidden="1" x14ac:dyDescent="0.25">
      <c r="A312" s="124" t="s">
        <v>1759</v>
      </c>
      <c r="B312" s="6"/>
    </row>
    <row r="313" spans="1:2" hidden="1" x14ac:dyDescent="0.25">
      <c r="A313" s="124" t="s">
        <v>1760</v>
      </c>
      <c r="B313" s="6"/>
    </row>
    <row r="314" spans="1:2" hidden="1" x14ac:dyDescent="0.25">
      <c r="A314" s="124" t="s">
        <v>1376</v>
      </c>
      <c r="B314" s="6"/>
    </row>
    <row r="315" spans="1:2" hidden="1" x14ac:dyDescent="0.25">
      <c r="A315" s="124" t="s">
        <v>1377</v>
      </c>
      <c r="B315" s="6"/>
    </row>
    <row r="316" spans="1:2" hidden="1" x14ac:dyDescent="0.25">
      <c r="A316" s="124" t="s">
        <v>1756</v>
      </c>
      <c r="B316" s="6"/>
    </row>
    <row r="317" spans="1:2" hidden="1" x14ac:dyDescent="0.25">
      <c r="A317" s="124" t="s">
        <v>1757</v>
      </c>
      <c r="B317" s="6"/>
    </row>
    <row r="318" spans="1:2" hidden="1" x14ac:dyDescent="0.25">
      <c r="A318" s="124" t="s">
        <v>1378</v>
      </c>
      <c r="B318" s="6"/>
    </row>
    <row r="319" spans="1:2" hidden="1" x14ac:dyDescent="0.25">
      <c r="A319" s="124" t="s">
        <v>1758</v>
      </c>
      <c r="B319" s="6"/>
    </row>
    <row r="320" spans="1:2" hidden="1" x14ac:dyDescent="0.25">
      <c r="A320" s="124" t="s">
        <v>1379</v>
      </c>
      <c r="B320" s="6"/>
    </row>
    <row r="321" spans="1:2" hidden="1" x14ac:dyDescent="0.25">
      <c r="A321" s="124" t="s">
        <v>1380</v>
      </c>
      <c r="B321" s="6"/>
    </row>
    <row r="322" spans="1:2" hidden="1" x14ac:dyDescent="0.25">
      <c r="A322" s="124" t="s">
        <v>1381</v>
      </c>
      <c r="B322" s="6"/>
    </row>
    <row r="323" spans="1:2" hidden="1" x14ac:dyDescent="0.25">
      <c r="A323" s="124" t="s">
        <v>1382</v>
      </c>
      <c r="B323" s="6"/>
    </row>
    <row r="324" spans="1:2" hidden="1" x14ac:dyDescent="0.25">
      <c r="A324" s="124" t="s">
        <v>1383</v>
      </c>
      <c r="B324" s="6"/>
    </row>
    <row r="325" spans="1:2" hidden="1" x14ac:dyDescent="0.25">
      <c r="A325" s="124" t="s">
        <v>1384</v>
      </c>
      <c r="B325" s="6"/>
    </row>
    <row r="326" spans="1:2" hidden="1" x14ac:dyDescent="0.25">
      <c r="A326" s="124" t="s">
        <v>1385</v>
      </c>
      <c r="B326" s="6"/>
    </row>
    <row r="327" spans="1:2" hidden="1" x14ac:dyDescent="0.25">
      <c r="A327" s="124" t="s">
        <v>1386</v>
      </c>
      <c r="B327" s="6"/>
    </row>
    <row r="328" spans="1:2" hidden="1" x14ac:dyDescent="0.25">
      <c r="A328" s="124" t="s">
        <v>1387</v>
      </c>
      <c r="B328" s="6"/>
    </row>
    <row r="329" spans="1:2" hidden="1" x14ac:dyDescent="0.25">
      <c r="A329" s="124" t="s">
        <v>1388</v>
      </c>
      <c r="B329" s="6"/>
    </row>
    <row r="330" spans="1:2" hidden="1" x14ac:dyDescent="0.25">
      <c r="A330" s="124" t="s">
        <v>1432</v>
      </c>
      <c r="B330" s="6"/>
    </row>
    <row r="331" spans="1:2" hidden="1" x14ac:dyDescent="0.25">
      <c r="A331" s="124" t="s">
        <v>1433</v>
      </c>
      <c r="B331" s="6"/>
    </row>
    <row r="332" spans="1:2" hidden="1" x14ac:dyDescent="0.25">
      <c r="A332" s="124" t="s">
        <v>2702</v>
      </c>
      <c r="B332" s="6"/>
    </row>
    <row r="333" spans="1:2" hidden="1" x14ac:dyDescent="0.25">
      <c r="A333" s="124" t="s">
        <v>2706</v>
      </c>
      <c r="B333" s="6"/>
    </row>
    <row r="334" spans="1:2" hidden="1" x14ac:dyDescent="0.25">
      <c r="A334" s="124" t="s">
        <v>1434</v>
      </c>
      <c r="B334" s="6"/>
    </row>
    <row r="335" spans="1:2" hidden="1" x14ac:dyDescent="0.25">
      <c r="A335" s="124" t="s">
        <v>1435</v>
      </c>
      <c r="B335" s="6"/>
    </row>
    <row r="336" spans="1:2" hidden="1" x14ac:dyDescent="0.25">
      <c r="A336" s="124" t="s">
        <v>2694</v>
      </c>
      <c r="B336" s="6"/>
    </row>
    <row r="337" spans="1:2" hidden="1" x14ac:dyDescent="0.25">
      <c r="A337" s="124" t="s">
        <v>1436</v>
      </c>
      <c r="B337" s="6"/>
    </row>
    <row r="338" spans="1:2" hidden="1" x14ac:dyDescent="0.25">
      <c r="A338" s="124" t="s">
        <v>2690</v>
      </c>
      <c r="B338" s="6"/>
    </row>
    <row r="339" spans="1:2" hidden="1" x14ac:dyDescent="0.25">
      <c r="A339" s="124" t="s">
        <v>1437</v>
      </c>
      <c r="B339" s="6"/>
    </row>
    <row r="340" spans="1:2" hidden="1" x14ac:dyDescent="0.25">
      <c r="A340" s="124" t="s">
        <v>2698</v>
      </c>
      <c r="B340" s="6"/>
    </row>
    <row r="341" spans="1:2" hidden="1" x14ac:dyDescent="0.25">
      <c r="A341" s="124" t="s">
        <v>1438</v>
      </c>
      <c r="B341" s="6"/>
    </row>
    <row r="342" spans="1:2" hidden="1" x14ac:dyDescent="0.25">
      <c r="A342" s="124" t="s">
        <v>1439</v>
      </c>
      <c r="B342" s="6"/>
    </row>
    <row r="343" spans="1:2" hidden="1" x14ac:dyDescent="0.25">
      <c r="A343" s="124" t="s">
        <v>1440</v>
      </c>
      <c r="B343" s="6"/>
    </row>
    <row r="344" spans="1:2" hidden="1" x14ac:dyDescent="0.25">
      <c r="A344" s="124" t="s">
        <v>1441</v>
      </c>
      <c r="B344" s="6"/>
    </row>
    <row r="345" spans="1:2" hidden="1" x14ac:dyDescent="0.25">
      <c r="A345" s="124" t="s">
        <v>1442</v>
      </c>
      <c r="B345" s="6"/>
    </row>
    <row r="346" spans="1:2" hidden="1" x14ac:dyDescent="0.25">
      <c r="A346" s="124" t="s">
        <v>2709</v>
      </c>
      <c r="B346" s="6"/>
    </row>
    <row r="347" spans="1:2" hidden="1" x14ac:dyDescent="0.25">
      <c r="A347" s="124" t="s">
        <v>1443</v>
      </c>
      <c r="B347" s="6"/>
    </row>
    <row r="348" spans="1:2" hidden="1" x14ac:dyDescent="0.25">
      <c r="A348" s="124" t="s">
        <v>1649</v>
      </c>
      <c r="B348" s="6"/>
    </row>
    <row r="349" spans="1:2" hidden="1" x14ac:dyDescent="0.25">
      <c r="A349" s="124" t="s">
        <v>1444</v>
      </c>
      <c r="B349" s="6"/>
    </row>
    <row r="350" spans="1:2" hidden="1" x14ac:dyDescent="0.25">
      <c r="A350" s="124" t="s">
        <v>1445</v>
      </c>
      <c r="B350" s="6"/>
    </row>
    <row r="351" spans="1:2" hidden="1" x14ac:dyDescent="0.25">
      <c r="A351" s="124" t="s">
        <v>1446</v>
      </c>
      <c r="B351" s="6"/>
    </row>
    <row r="352" spans="1:2" hidden="1" x14ac:dyDescent="0.25">
      <c r="A352" s="124" t="s">
        <v>1447</v>
      </c>
      <c r="B352" s="6"/>
    </row>
    <row r="353" spans="1:2" hidden="1" x14ac:dyDescent="0.25">
      <c r="A353" s="124" t="s">
        <v>1448</v>
      </c>
      <c r="B353" s="6"/>
    </row>
    <row r="354" spans="1:2" hidden="1" x14ac:dyDescent="0.25">
      <c r="A354" s="124" t="s">
        <v>1390</v>
      </c>
      <c r="B354" s="6"/>
    </row>
    <row r="355" spans="1:2" hidden="1" x14ac:dyDescent="0.25">
      <c r="A355" s="124" t="s">
        <v>1755</v>
      </c>
      <c r="B355" s="6"/>
    </row>
    <row r="356" spans="1:2" hidden="1" x14ac:dyDescent="0.25">
      <c r="A356" s="124" t="s">
        <v>1391</v>
      </c>
      <c r="B356" s="6"/>
    </row>
    <row r="357" spans="1:2" hidden="1" x14ac:dyDescent="0.25">
      <c r="A357" s="124" t="s">
        <v>1392</v>
      </c>
      <c r="B357" s="6"/>
    </row>
    <row r="358" spans="1:2" hidden="1" x14ac:dyDescent="0.25">
      <c r="A358" s="124" t="s">
        <v>1751</v>
      </c>
      <c r="B358" s="6"/>
    </row>
    <row r="359" spans="1:2" hidden="1" x14ac:dyDescent="0.25">
      <c r="A359" s="124" t="s">
        <v>1393</v>
      </c>
      <c r="B359" s="6"/>
    </row>
    <row r="360" spans="1:2" hidden="1" x14ac:dyDescent="0.25">
      <c r="A360" s="124" t="s">
        <v>1752</v>
      </c>
      <c r="B360" s="6"/>
    </row>
    <row r="361" spans="1:2" hidden="1" x14ac:dyDescent="0.25">
      <c r="A361" s="124" t="s">
        <v>1753</v>
      </c>
      <c r="B361" s="6"/>
    </row>
    <row r="362" spans="1:2" hidden="1" x14ac:dyDescent="0.25">
      <c r="A362" s="124" t="s">
        <v>1394</v>
      </c>
      <c r="B362" s="6"/>
    </row>
    <row r="363" spans="1:2" hidden="1" x14ac:dyDescent="0.25">
      <c r="A363" s="124" t="s">
        <v>1754</v>
      </c>
      <c r="B363" s="6"/>
    </row>
    <row r="364" spans="1:2" hidden="1" x14ac:dyDescent="0.25">
      <c r="A364" s="124" t="s">
        <v>1395</v>
      </c>
      <c r="B364" s="6"/>
    </row>
    <row r="365" spans="1:2" hidden="1" x14ac:dyDescent="0.25">
      <c r="A365" s="124" t="s">
        <v>1396</v>
      </c>
      <c r="B365" s="6"/>
    </row>
    <row r="366" spans="1:2" hidden="1" x14ac:dyDescent="0.25">
      <c r="A366" s="124" t="s">
        <v>1397</v>
      </c>
      <c r="B366" s="6"/>
    </row>
    <row r="367" spans="1:2" hidden="1" x14ac:dyDescent="0.25">
      <c r="A367" s="124" t="s">
        <v>1748</v>
      </c>
      <c r="B367" s="6"/>
    </row>
    <row r="368" spans="1:2" hidden="1" x14ac:dyDescent="0.25">
      <c r="A368" s="124" t="s">
        <v>1749</v>
      </c>
      <c r="B368" s="6"/>
    </row>
    <row r="369" spans="1:2" hidden="1" x14ac:dyDescent="0.25">
      <c r="A369" s="124" t="s">
        <v>1398</v>
      </c>
      <c r="B369" s="6"/>
    </row>
    <row r="370" spans="1:2" hidden="1" x14ac:dyDescent="0.25">
      <c r="A370" s="124" t="s">
        <v>1750</v>
      </c>
      <c r="B370" s="6"/>
    </row>
    <row r="371" spans="1:2" hidden="1" x14ac:dyDescent="0.25">
      <c r="A371" s="124" t="s">
        <v>1399</v>
      </c>
      <c r="B371" s="6"/>
    </row>
    <row r="372" spans="1:2" hidden="1" x14ac:dyDescent="0.25">
      <c r="A372" s="124" t="s">
        <v>1400</v>
      </c>
      <c r="B372" s="6"/>
    </row>
    <row r="373" spans="1:2" hidden="1" x14ac:dyDescent="0.25">
      <c r="A373" s="124" t="s">
        <v>1401</v>
      </c>
      <c r="B373" s="6"/>
    </row>
    <row r="374" spans="1:2" hidden="1" x14ac:dyDescent="0.25">
      <c r="A374" s="124" t="s">
        <v>1402</v>
      </c>
      <c r="B374" s="6"/>
    </row>
    <row r="375" spans="1:2" hidden="1" x14ac:dyDescent="0.25">
      <c r="A375" s="124" t="s">
        <v>1747</v>
      </c>
      <c r="B375" s="6"/>
    </row>
    <row r="376" spans="1:2" hidden="1" x14ac:dyDescent="0.25">
      <c r="A376" s="124" t="s">
        <v>1403</v>
      </c>
      <c r="B376" s="6"/>
    </row>
    <row r="377" spans="1:2" hidden="1" x14ac:dyDescent="0.25">
      <c r="A377" s="124" t="s">
        <v>1404</v>
      </c>
      <c r="B377" s="6"/>
    </row>
    <row r="378" spans="1:2" hidden="1" x14ac:dyDescent="0.25">
      <c r="A378" s="124" t="s">
        <v>1744</v>
      </c>
      <c r="B378" s="6"/>
    </row>
    <row r="379" spans="1:2" hidden="1" x14ac:dyDescent="0.25">
      <c r="A379" s="124" t="s">
        <v>1745</v>
      </c>
      <c r="B379" s="6"/>
    </row>
    <row r="380" spans="1:2" hidden="1" x14ac:dyDescent="0.25">
      <c r="A380" s="124" t="s">
        <v>1746</v>
      </c>
      <c r="B380" s="6"/>
    </row>
    <row r="381" spans="1:2" hidden="1" x14ac:dyDescent="0.25">
      <c r="A381" s="124" t="s">
        <v>2452</v>
      </c>
      <c r="B381" s="6"/>
    </row>
    <row r="382" spans="1:2" hidden="1" x14ac:dyDescent="0.25">
      <c r="A382" s="124" t="s">
        <v>1405</v>
      </c>
      <c r="B382" s="6"/>
    </row>
    <row r="383" spans="1:2" hidden="1" x14ac:dyDescent="0.25">
      <c r="A383" s="124" t="s">
        <v>1743</v>
      </c>
      <c r="B383" s="6"/>
    </row>
    <row r="384" spans="1:2" hidden="1" x14ac:dyDescent="0.25">
      <c r="A384" s="124" t="s">
        <v>1406</v>
      </c>
      <c r="B384" s="6"/>
    </row>
    <row r="385" spans="1:2" hidden="1" x14ac:dyDescent="0.25">
      <c r="A385" s="124" t="s">
        <v>1407</v>
      </c>
      <c r="B385" s="6"/>
    </row>
    <row r="386" spans="1:2" hidden="1" x14ac:dyDescent="0.25">
      <c r="A386" s="124" t="s">
        <v>1408</v>
      </c>
      <c r="B386" s="6"/>
    </row>
    <row r="387" spans="1:2" hidden="1" x14ac:dyDescent="0.25">
      <c r="A387" s="124" t="s">
        <v>1741</v>
      </c>
      <c r="B387" s="6"/>
    </row>
    <row r="388" spans="1:2" hidden="1" x14ac:dyDescent="0.25">
      <c r="A388" s="124" t="s">
        <v>1742</v>
      </c>
      <c r="B388" s="6"/>
    </row>
    <row r="389" spans="1:2" hidden="1" x14ac:dyDescent="0.25">
      <c r="A389" s="124" t="s">
        <v>1409</v>
      </c>
      <c r="B389" s="6"/>
    </row>
    <row r="390" spans="1:2" hidden="1" x14ac:dyDescent="0.25">
      <c r="A390" s="124" t="s">
        <v>1740</v>
      </c>
      <c r="B390" s="6"/>
    </row>
    <row r="391" spans="1:2" hidden="1" x14ac:dyDescent="0.25">
      <c r="A391" s="124" t="s">
        <v>1410</v>
      </c>
      <c r="B391" s="6"/>
    </row>
    <row r="392" spans="1:2" hidden="1" x14ac:dyDescent="0.25">
      <c r="A392" s="124" t="s">
        <v>1739</v>
      </c>
      <c r="B392" s="6"/>
    </row>
    <row r="393" spans="1:2" hidden="1" x14ac:dyDescent="0.25">
      <c r="A393" s="124" t="s">
        <v>1411</v>
      </c>
      <c r="B393" s="6"/>
    </row>
    <row r="394" spans="1:2" hidden="1" x14ac:dyDescent="0.25">
      <c r="A394" s="124" t="s">
        <v>1412</v>
      </c>
      <c r="B394" s="6"/>
    </row>
    <row r="395" spans="1:2" hidden="1" x14ac:dyDescent="0.25">
      <c r="A395" s="124" t="s">
        <v>1732</v>
      </c>
      <c r="B395" s="6"/>
    </row>
    <row r="396" spans="1:2" hidden="1" x14ac:dyDescent="0.25">
      <c r="A396" s="124" t="s">
        <v>1733</v>
      </c>
      <c r="B396" s="6"/>
    </row>
    <row r="397" spans="1:2" hidden="1" x14ac:dyDescent="0.25">
      <c r="A397" s="124" t="s">
        <v>1734</v>
      </c>
      <c r="B397" s="6"/>
    </row>
    <row r="398" spans="1:2" hidden="1" x14ac:dyDescent="0.25">
      <c r="A398" s="124" t="s">
        <v>1735</v>
      </c>
      <c r="B398" s="6"/>
    </row>
    <row r="399" spans="1:2" hidden="1" x14ac:dyDescent="0.25">
      <c r="A399" s="124" t="s">
        <v>1736</v>
      </c>
      <c r="B399" s="6"/>
    </row>
    <row r="400" spans="1:2" hidden="1" x14ac:dyDescent="0.25">
      <c r="A400" s="124" t="s">
        <v>1737</v>
      </c>
      <c r="B400" s="6"/>
    </row>
    <row r="401" spans="1:2" hidden="1" x14ac:dyDescent="0.25">
      <c r="A401" s="124" t="s">
        <v>1413</v>
      </c>
      <c r="B401" s="6"/>
    </row>
    <row r="402" spans="1:2" hidden="1" x14ac:dyDescent="0.25">
      <c r="A402" s="124" t="s">
        <v>1738</v>
      </c>
      <c r="B402" s="6"/>
    </row>
    <row r="403" spans="1:2" hidden="1" x14ac:dyDescent="0.25">
      <c r="A403" s="124" t="s">
        <v>2518</v>
      </c>
      <c r="B403" s="6"/>
    </row>
    <row r="404" spans="1:2" hidden="1" x14ac:dyDescent="0.25">
      <c r="A404" s="124" t="s">
        <v>1414</v>
      </c>
      <c r="B404" s="6"/>
    </row>
    <row r="405" spans="1:2" hidden="1" x14ac:dyDescent="0.25">
      <c r="A405" s="124" t="s">
        <v>2583</v>
      </c>
      <c r="B405" s="6"/>
    </row>
    <row r="406" spans="1:2" hidden="1" x14ac:dyDescent="0.25">
      <c r="A406" s="124" t="s">
        <v>1415</v>
      </c>
      <c r="B406" s="6"/>
    </row>
    <row r="407" spans="1:2" hidden="1" x14ac:dyDescent="0.25">
      <c r="A407" s="124" t="s">
        <v>1416</v>
      </c>
      <c r="B407" s="6"/>
    </row>
    <row r="408" spans="1:2" hidden="1" x14ac:dyDescent="0.25">
      <c r="A408" s="124" t="s">
        <v>1718</v>
      </c>
      <c r="B408" s="6"/>
    </row>
    <row r="409" spans="1:2" hidden="1" x14ac:dyDescent="0.25">
      <c r="A409" s="124" t="s">
        <v>1719</v>
      </c>
      <c r="B409" s="6"/>
    </row>
    <row r="410" spans="1:2" hidden="1" x14ac:dyDescent="0.25">
      <c r="A410" s="124" t="s">
        <v>1417</v>
      </c>
      <c r="B410" s="6"/>
    </row>
    <row r="411" spans="1:2" hidden="1" x14ac:dyDescent="0.25">
      <c r="A411" s="124" t="s">
        <v>1720</v>
      </c>
      <c r="B411" s="6"/>
    </row>
    <row r="412" spans="1:2" hidden="1" x14ac:dyDescent="0.25">
      <c r="A412" s="124" t="s">
        <v>1722</v>
      </c>
      <c r="B412" s="6"/>
    </row>
    <row r="413" spans="1:2" hidden="1" x14ac:dyDescent="0.25">
      <c r="A413" s="124" t="s">
        <v>1721</v>
      </c>
      <c r="B413" s="6"/>
    </row>
    <row r="414" spans="1:2" hidden="1" x14ac:dyDescent="0.25">
      <c r="A414" s="124" t="s">
        <v>2520</v>
      </c>
      <c r="B414" s="6"/>
    </row>
    <row r="415" spans="1:2" hidden="1" x14ac:dyDescent="0.25">
      <c r="A415" s="124" t="s">
        <v>2585</v>
      </c>
      <c r="B415" s="6"/>
    </row>
    <row r="416" spans="1:2" hidden="1" x14ac:dyDescent="0.25">
      <c r="A416" s="124" t="s">
        <v>1418</v>
      </c>
      <c r="B416" s="6"/>
    </row>
    <row r="417" spans="1:2" hidden="1" x14ac:dyDescent="0.25">
      <c r="A417" s="124" t="s">
        <v>1723</v>
      </c>
      <c r="B417" s="6"/>
    </row>
    <row r="418" spans="1:2" hidden="1" x14ac:dyDescent="0.25">
      <c r="A418" s="124" t="s">
        <v>1724</v>
      </c>
      <c r="B418" s="6"/>
    </row>
    <row r="419" spans="1:2" hidden="1" x14ac:dyDescent="0.25">
      <c r="A419" s="124" t="s">
        <v>1419</v>
      </c>
      <c r="B419" s="6"/>
    </row>
    <row r="420" spans="1:2" hidden="1" x14ac:dyDescent="0.25">
      <c r="A420" s="124" t="s">
        <v>1725</v>
      </c>
      <c r="B420" s="6"/>
    </row>
    <row r="421" spans="1:2" hidden="1" x14ac:dyDescent="0.25">
      <c r="A421" s="124" t="s">
        <v>1726</v>
      </c>
      <c r="B421" s="6"/>
    </row>
    <row r="422" spans="1:2" hidden="1" x14ac:dyDescent="0.25">
      <c r="A422" s="124" t="s">
        <v>1727</v>
      </c>
      <c r="B422" s="6"/>
    </row>
    <row r="423" spans="1:2" hidden="1" x14ac:dyDescent="0.25">
      <c r="A423" s="124" t="s">
        <v>1728</v>
      </c>
      <c r="B423" s="6"/>
    </row>
    <row r="424" spans="1:2" hidden="1" x14ac:dyDescent="0.25">
      <c r="A424" s="124" t="s">
        <v>1729</v>
      </c>
      <c r="B424" s="6"/>
    </row>
    <row r="425" spans="1:2" hidden="1" x14ac:dyDescent="0.25">
      <c r="A425" s="124" t="s">
        <v>1730</v>
      </c>
      <c r="B425" s="6"/>
    </row>
    <row r="426" spans="1:2" hidden="1" x14ac:dyDescent="0.25">
      <c r="A426" s="124" t="s">
        <v>1731</v>
      </c>
      <c r="B426" s="6"/>
    </row>
    <row r="427" spans="1:2" hidden="1" x14ac:dyDescent="0.25">
      <c r="A427" s="124" t="s">
        <v>1420</v>
      </c>
      <c r="B427" s="6"/>
    </row>
    <row r="428" spans="1:2" hidden="1" x14ac:dyDescent="0.25">
      <c r="A428" s="124" t="s">
        <v>1421</v>
      </c>
      <c r="B428" s="6"/>
    </row>
    <row r="429" spans="1:2" hidden="1" x14ac:dyDescent="0.25">
      <c r="A429" s="124" t="s">
        <v>1422</v>
      </c>
      <c r="B429" s="6"/>
    </row>
    <row r="430" spans="1:2" hidden="1" x14ac:dyDescent="0.25">
      <c r="A430" s="124" t="s">
        <v>1717</v>
      </c>
      <c r="B430" s="6"/>
    </row>
    <row r="431" spans="1:2" hidden="1" x14ac:dyDescent="0.25">
      <c r="A431" s="124" t="s">
        <v>1423</v>
      </c>
      <c r="B431" s="6"/>
    </row>
    <row r="432" spans="1:2" hidden="1" x14ac:dyDescent="0.25">
      <c r="A432" s="124" t="s">
        <v>1424</v>
      </c>
      <c r="B432" s="6"/>
    </row>
    <row r="433" spans="1:2" hidden="1" x14ac:dyDescent="0.25">
      <c r="A433" s="124" t="s">
        <v>1713</v>
      </c>
      <c r="B433" s="6"/>
    </row>
    <row r="434" spans="1:2" hidden="1" x14ac:dyDescent="0.25">
      <c r="A434" s="124" t="s">
        <v>1425</v>
      </c>
      <c r="B434" s="6"/>
    </row>
    <row r="435" spans="1:2" hidden="1" x14ac:dyDescent="0.25">
      <c r="A435" s="124" t="s">
        <v>1714</v>
      </c>
      <c r="B435" s="6"/>
    </row>
    <row r="436" spans="1:2" hidden="1" x14ac:dyDescent="0.25">
      <c r="A436" s="124" t="s">
        <v>1715</v>
      </c>
      <c r="B436" s="6"/>
    </row>
    <row r="437" spans="1:2" hidden="1" x14ac:dyDescent="0.25">
      <c r="A437" s="124" t="s">
        <v>1426</v>
      </c>
      <c r="B437" s="6"/>
    </row>
    <row r="438" spans="1:2" hidden="1" x14ac:dyDescent="0.25">
      <c r="A438" s="124" t="s">
        <v>1716</v>
      </c>
      <c r="B438" s="6"/>
    </row>
    <row r="439" spans="1:2" hidden="1" x14ac:dyDescent="0.25">
      <c r="A439" s="124" t="s">
        <v>1427</v>
      </c>
      <c r="B439" s="6"/>
    </row>
    <row r="440" spans="1:2" hidden="1" x14ac:dyDescent="0.25">
      <c r="A440" s="124" t="s">
        <v>1428</v>
      </c>
      <c r="B440" s="6"/>
    </row>
    <row r="441" spans="1:2" hidden="1" x14ac:dyDescent="0.25">
      <c r="A441" s="124" t="s">
        <v>1429</v>
      </c>
      <c r="B441" s="6"/>
    </row>
    <row r="442" spans="1:2" hidden="1" x14ac:dyDescent="0.25">
      <c r="A442" s="124" t="s">
        <v>1430</v>
      </c>
      <c r="B442" s="6"/>
    </row>
    <row r="443" spans="1:2" hidden="1" x14ac:dyDescent="0.25">
      <c r="A443" s="124" t="s">
        <v>1431</v>
      </c>
      <c r="B443" s="6"/>
    </row>
    <row r="444" spans="1:2" hidden="1" x14ac:dyDescent="0.25">
      <c r="A444" s="124" t="s">
        <v>1389</v>
      </c>
      <c r="B444" s="6"/>
    </row>
    <row r="445" spans="1:2" hidden="1" x14ac:dyDescent="0.25">
      <c r="A445" s="124" t="s">
        <v>2482</v>
      </c>
      <c r="B445" s="6"/>
    </row>
    <row r="446" spans="1:2" hidden="1" x14ac:dyDescent="0.25">
      <c r="A446" s="124" t="s">
        <v>2526</v>
      </c>
      <c r="B446" s="6"/>
    </row>
    <row r="447" spans="1:2" hidden="1" x14ac:dyDescent="0.25">
      <c r="A447" s="124" t="s">
        <v>2527</v>
      </c>
      <c r="B447" s="6"/>
    </row>
    <row r="448" spans="1:2" hidden="1" x14ac:dyDescent="0.25">
      <c r="A448" s="124" t="s">
        <v>1449</v>
      </c>
      <c r="B448" s="6"/>
    </row>
    <row r="449" spans="1:2" hidden="1" x14ac:dyDescent="0.25">
      <c r="A449" s="124" t="s">
        <v>1650</v>
      </c>
      <c r="B449" s="6"/>
    </row>
    <row r="450" spans="1:2" hidden="1" x14ac:dyDescent="0.25">
      <c r="A450" s="124" t="s">
        <v>1450</v>
      </c>
      <c r="B450" s="6"/>
    </row>
    <row r="451" spans="1:2" hidden="1" x14ac:dyDescent="0.25">
      <c r="A451" s="124" t="s">
        <v>1451</v>
      </c>
      <c r="B451" s="6"/>
    </row>
    <row r="452" spans="1:2" hidden="1" x14ac:dyDescent="0.25">
      <c r="A452" s="124" t="s">
        <v>1452</v>
      </c>
      <c r="B452" s="6"/>
    </row>
    <row r="453" spans="1:2" hidden="1" x14ac:dyDescent="0.25">
      <c r="A453" s="124" t="s">
        <v>1453</v>
      </c>
      <c r="B453" s="6"/>
    </row>
    <row r="454" spans="1:2" hidden="1" x14ac:dyDescent="0.25">
      <c r="A454" s="124" t="s">
        <v>2716</v>
      </c>
      <c r="B454" s="6"/>
    </row>
    <row r="455" spans="1:2" hidden="1" x14ac:dyDescent="0.25">
      <c r="A455" s="124" t="s">
        <v>2717</v>
      </c>
      <c r="B455" s="6"/>
    </row>
    <row r="456" spans="1:2" hidden="1" x14ac:dyDescent="0.25">
      <c r="A456" s="124" t="s">
        <v>2343</v>
      </c>
      <c r="B456" s="6"/>
    </row>
    <row r="457" spans="1:2" hidden="1" x14ac:dyDescent="0.25">
      <c r="A457" s="124" t="s">
        <v>2344</v>
      </c>
      <c r="B457" s="6"/>
    </row>
    <row r="458" spans="1:2" hidden="1" x14ac:dyDescent="0.25">
      <c r="A458" s="124" t="s">
        <v>2345</v>
      </c>
      <c r="B458" s="6"/>
    </row>
    <row r="459" spans="1:2" hidden="1" x14ac:dyDescent="0.25">
      <c r="A459" s="124" t="s">
        <v>2346</v>
      </c>
      <c r="B459" s="6"/>
    </row>
    <row r="460" spans="1:2" hidden="1" x14ac:dyDescent="0.25">
      <c r="A460" s="124" t="s">
        <v>2347</v>
      </c>
      <c r="B460" s="6"/>
    </row>
    <row r="461" spans="1:2" hidden="1" x14ac:dyDescent="0.25">
      <c r="A461" s="124" t="s">
        <v>2348</v>
      </c>
      <c r="B461" s="6"/>
    </row>
    <row r="462" spans="1:2" hidden="1" x14ac:dyDescent="0.25">
      <c r="A462" s="124" t="s">
        <v>2349</v>
      </c>
      <c r="B462" s="6"/>
    </row>
    <row r="463" spans="1:2" hidden="1" x14ac:dyDescent="0.25">
      <c r="A463" s="124" t="s">
        <v>2350</v>
      </c>
      <c r="B463" s="6"/>
    </row>
    <row r="464" spans="1:2" hidden="1" x14ac:dyDescent="0.25">
      <c r="A464" s="124" t="s">
        <v>2351</v>
      </c>
      <c r="B464" s="6"/>
    </row>
    <row r="465" spans="1:2" hidden="1" x14ac:dyDescent="0.25">
      <c r="A465" s="124" t="s">
        <v>2352</v>
      </c>
      <c r="B465" s="6"/>
    </row>
    <row r="466" spans="1:2" hidden="1" x14ac:dyDescent="0.25">
      <c r="A466" s="124" t="s">
        <v>2353</v>
      </c>
      <c r="B466" s="6"/>
    </row>
    <row r="467" spans="1:2" hidden="1" x14ac:dyDescent="0.25">
      <c r="A467" s="124" t="s">
        <v>2354</v>
      </c>
      <c r="B467" s="6"/>
    </row>
    <row r="468" spans="1:2" hidden="1" x14ac:dyDescent="0.25">
      <c r="A468" s="124" t="s">
        <v>2355</v>
      </c>
      <c r="B468" s="6"/>
    </row>
    <row r="469" spans="1:2" hidden="1" x14ac:dyDescent="0.25">
      <c r="A469" s="124" t="s">
        <v>2356</v>
      </c>
      <c r="B469" s="6"/>
    </row>
    <row r="470" spans="1:2" hidden="1" x14ac:dyDescent="0.25">
      <c r="A470" s="124" t="s">
        <v>2357</v>
      </c>
      <c r="B470" s="6"/>
    </row>
    <row r="471" spans="1:2" hidden="1" x14ac:dyDescent="0.25">
      <c r="A471" s="124" t="s">
        <v>2476</v>
      </c>
      <c r="B471" s="6"/>
    </row>
    <row r="472" spans="1:2" hidden="1" x14ac:dyDescent="0.25">
      <c r="A472" s="124" t="s">
        <v>2478</v>
      </c>
      <c r="B472" s="6"/>
    </row>
    <row r="473" spans="1:2" hidden="1" x14ac:dyDescent="0.25">
      <c r="A473" s="124" t="s">
        <v>2514</v>
      </c>
      <c r="B473" s="6"/>
    </row>
    <row r="474" spans="1:2" hidden="1" x14ac:dyDescent="0.25">
      <c r="A474" s="124" t="s">
        <v>2516</v>
      </c>
      <c r="B474" s="6"/>
    </row>
    <row r="475" spans="1:2" hidden="1" x14ac:dyDescent="0.25">
      <c r="A475" s="124" t="s">
        <v>1454</v>
      </c>
      <c r="B475" s="6"/>
    </row>
    <row r="476" spans="1:2" hidden="1" x14ac:dyDescent="0.25">
      <c r="A476" s="124" t="s">
        <v>2513</v>
      </c>
      <c r="B476" s="6"/>
    </row>
    <row r="477" spans="1:2" hidden="1" x14ac:dyDescent="0.25">
      <c r="A477" s="124" t="s">
        <v>1455</v>
      </c>
      <c r="B477" s="6"/>
    </row>
    <row r="478" spans="1:2" hidden="1" x14ac:dyDescent="0.25">
      <c r="A478" s="124" t="s">
        <v>1456</v>
      </c>
      <c r="B478" s="6"/>
    </row>
    <row r="479" spans="1:2" hidden="1" x14ac:dyDescent="0.25">
      <c r="A479" s="124" t="s">
        <v>1457</v>
      </c>
      <c r="B479" s="6"/>
    </row>
    <row r="480" spans="1:2" hidden="1" x14ac:dyDescent="0.25">
      <c r="A480" s="124" t="s">
        <v>1458</v>
      </c>
      <c r="B480" s="6"/>
    </row>
    <row r="481" spans="1:2" hidden="1" x14ac:dyDescent="0.25">
      <c r="A481" s="124" t="s">
        <v>1459</v>
      </c>
      <c r="B481" s="6"/>
    </row>
    <row r="482" spans="1:2" hidden="1" x14ac:dyDescent="0.25">
      <c r="A482" s="124" t="s">
        <v>1460</v>
      </c>
      <c r="B482" s="6"/>
    </row>
    <row r="483" spans="1:2" hidden="1" x14ac:dyDescent="0.25">
      <c r="A483" s="124" t="s">
        <v>1461</v>
      </c>
      <c r="B483" s="6"/>
    </row>
    <row r="484" spans="1:2" hidden="1" x14ac:dyDescent="0.25">
      <c r="A484" s="124" t="s">
        <v>1462</v>
      </c>
      <c r="B484" s="6"/>
    </row>
    <row r="485" spans="1:2" hidden="1" x14ac:dyDescent="0.25">
      <c r="A485" s="124" t="s">
        <v>1463</v>
      </c>
      <c r="B485" s="6"/>
    </row>
    <row r="486" spans="1:2" hidden="1" x14ac:dyDescent="0.25">
      <c r="A486" s="124" t="s">
        <v>1464</v>
      </c>
      <c r="B486" s="6"/>
    </row>
    <row r="487" spans="1:2" hidden="1" x14ac:dyDescent="0.25">
      <c r="A487" s="124" t="s">
        <v>1465</v>
      </c>
      <c r="B487" s="6"/>
    </row>
    <row r="488" spans="1:2" hidden="1" x14ac:dyDescent="0.25">
      <c r="A488" s="124" t="s">
        <v>1466</v>
      </c>
      <c r="B488" s="6"/>
    </row>
    <row r="489" spans="1:2" hidden="1" x14ac:dyDescent="0.25">
      <c r="A489" s="124" t="s">
        <v>1467</v>
      </c>
      <c r="B489" s="6"/>
    </row>
    <row r="490" spans="1:2" hidden="1" x14ac:dyDescent="0.25">
      <c r="A490" s="124" t="s">
        <v>1647</v>
      </c>
      <c r="B490" s="6"/>
    </row>
    <row r="491" spans="1:2" hidden="1" x14ac:dyDescent="0.25">
      <c r="A491" s="124" t="s">
        <v>1468</v>
      </c>
      <c r="B491" s="6"/>
    </row>
    <row r="492" spans="1:2" hidden="1" x14ac:dyDescent="0.25">
      <c r="A492" s="124" t="s">
        <v>1469</v>
      </c>
      <c r="B492" s="6"/>
    </row>
    <row r="493" spans="1:2" hidden="1" x14ac:dyDescent="0.25">
      <c r="A493" s="124" t="s">
        <v>2720</v>
      </c>
      <c r="B493" s="6"/>
    </row>
    <row r="494" spans="1:2" hidden="1" x14ac:dyDescent="0.25">
      <c r="A494" s="124" t="s">
        <v>1470</v>
      </c>
      <c r="B494" s="6"/>
    </row>
    <row r="495" spans="1:2" hidden="1" x14ac:dyDescent="0.25">
      <c r="A495" s="124" t="s">
        <v>1471</v>
      </c>
      <c r="B495" s="6"/>
    </row>
    <row r="496" spans="1:2" hidden="1" x14ac:dyDescent="0.25">
      <c r="A496" s="124" t="s">
        <v>1472</v>
      </c>
      <c r="B496" s="6"/>
    </row>
    <row r="497" spans="1:2" hidden="1" x14ac:dyDescent="0.25">
      <c r="A497" s="124" t="s">
        <v>1473</v>
      </c>
      <c r="B497" s="6"/>
    </row>
    <row r="498" spans="1:2" hidden="1" x14ac:dyDescent="0.25">
      <c r="A498" s="124" t="s">
        <v>1474</v>
      </c>
      <c r="B498" s="6"/>
    </row>
    <row r="499" spans="1:2" hidden="1" x14ac:dyDescent="0.25">
      <c r="A499" s="124" t="s">
        <v>1475</v>
      </c>
      <c r="B499" s="6"/>
    </row>
    <row r="500" spans="1:2" hidden="1" x14ac:dyDescent="0.25">
      <c r="A500" s="124" t="s">
        <v>1488</v>
      </c>
      <c r="B500" s="6"/>
    </row>
    <row r="501" spans="1:2" hidden="1" x14ac:dyDescent="0.25">
      <c r="A501" s="124" t="s">
        <v>1476</v>
      </c>
      <c r="B501" s="6"/>
    </row>
    <row r="502" spans="1:2" hidden="1" x14ac:dyDescent="0.25">
      <c r="A502" s="124" t="s">
        <v>1477</v>
      </c>
      <c r="B502" s="6"/>
    </row>
    <row r="503" spans="1:2" hidden="1" x14ac:dyDescent="0.25">
      <c r="A503" s="124" t="s">
        <v>2587</v>
      </c>
      <c r="B503" s="6"/>
    </row>
    <row r="504" spans="1:2" hidden="1" x14ac:dyDescent="0.25">
      <c r="A504" s="124" t="s">
        <v>1478</v>
      </c>
      <c r="B504" s="6"/>
    </row>
    <row r="505" spans="1:2" hidden="1" x14ac:dyDescent="0.25">
      <c r="A505" s="124" t="s">
        <v>1479</v>
      </c>
      <c r="B505" s="6"/>
    </row>
    <row r="506" spans="1:2" hidden="1" x14ac:dyDescent="0.25">
      <c r="A506" s="124" t="s">
        <v>1480</v>
      </c>
      <c r="B506" s="6"/>
    </row>
    <row r="507" spans="1:2" hidden="1" x14ac:dyDescent="0.25">
      <c r="A507" s="124" t="s">
        <v>1481</v>
      </c>
      <c r="B507" s="6"/>
    </row>
    <row r="508" spans="1:2" hidden="1" x14ac:dyDescent="0.25">
      <c r="A508" s="124" t="s">
        <v>1482</v>
      </c>
      <c r="B508" s="6"/>
    </row>
    <row r="509" spans="1:2" hidden="1" x14ac:dyDescent="0.25">
      <c r="A509" s="124" t="s">
        <v>1483</v>
      </c>
      <c r="B509" s="6"/>
    </row>
    <row r="510" spans="1:2" hidden="1" x14ac:dyDescent="0.25">
      <c r="A510" s="124" t="s">
        <v>2724</v>
      </c>
      <c r="B510" s="6"/>
    </row>
    <row r="511" spans="1:2" hidden="1" x14ac:dyDescent="0.25">
      <c r="A511" s="124" t="s">
        <v>1484</v>
      </c>
      <c r="B511" s="6"/>
    </row>
    <row r="512" spans="1:2" hidden="1" x14ac:dyDescent="0.25">
      <c r="A512" s="124" t="s">
        <v>1485</v>
      </c>
      <c r="B512" s="6"/>
    </row>
    <row r="513" spans="1:2" hidden="1" x14ac:dyDescent="0.25">
      <c r="A513" s="124" t="s">
        <v>1486</v>
      </c>
      <c r="B513" s="6"/>
    </row>
    <row r="514" spans="1:2" hidden="1" x14ac:dyDescent="0.25">
      <c r="A514" s="124" t="s">
        <v>2721</v>
      </c>
      <c r="B514" s="6"/>
    </row>
    <row r="515" spans="1:2" hidden="1" x14ac:dyDescent="0.25">
      <c r="A515" s="124" t="s">
        <v>1487</v>
      </c>
      <c r="B515" s="6"/>
    </row>
    <row r="516" spans="1:2" hidden="1" x14ac:dyDescent="0.25">
      <c r="A516" s="124" t="s">
        <v>2473</v>
      </c>
      <c r="B516" s="6"/>
    </row>
    <row r="517" spans="1:2" hidden="1" x14ac:dyDescent="0.25">
      <c r="A517" s="124" t="s">
        <v>1489</v>
      </c>
      <c r="B517" s="6"/>
    </row>
    <row r="518" spans="1:2" hidden="1" x14ac:dyDescent="0.25">
      <c r="A518" s="124" t="s">
        <v>1490</v>
      </c>
      <c r="B518" s="6"/>
    </row>
    <row r="519" spans="1:2" hidden="1" x14ac:dyDescent="0.25">
      <c r="A519" s="124" t="s">
        <v>1491</v>
      </c>
      <c r="B519" s="6"/>
    </row>
    <row r="520" spans="1:2" hidden="1" x14ac:dyDescent="0.25">
      <c r="A520" s="124" t="s">
        <v>1492</v>
      </c>
      <c r="B520" s="6"/>
    </row>
    <row r="521" spans="1:2" hidden="1" x14ac:dyDescent="0.25">
      <c r="A521" s="124" t="s">
        <v>1493</v>
      </c>
      <c r="B521" s="6"/>
    </row>
    <row r="522" spans="1:2" hidden="1" x14ac:dyDescent="0.25">
      <c r="A522" s="124" t="s">
        <v>1494</v>
      </c>
      <c r="B522" s="6"/>
    </row>
    <row r="523" spans="1:2" hidden="1" x14ac:dyDescent="0.25">
      <c r="A523" s="124" t="s">
        <v>1495</v>
      </c>
      <c r="B523" s="6"/>
    </row>
    <row r="524" spans="1:2" hidden="1" x14ac:dyDescent="0.25">
      <c r="A524" s="124" t="s">
        <v>1496</v>
      </c>
      <c r="B524" s="6"/>
    </row>
    <row r="525" spans="1:2" hidden="1" x14ac:dyDescent="0.25">
      <c r="A525" s="124" t="s">
        <v>1497</v>
      </c>
      <c r="B525" s="6"/>
    </row>
    <row r="526" spans="1:2" hidden="1" x14ac:dyDescent="0.25">
      <c r="A526" s="124" t="s">
        <v>2727</v>
      </c>
      <c r="B526" s="6"/>
    </row>
    <row r="527" spans="1:2" hidden="1" x14ac:dyDescent="0.25">
      <c r="A527" s="124" t="s">
        <v>1498</v>
      </c>
      <c r="B527" s="6"/>
    </row>
    <row r="528" spans="1:2" hidden="1" x14ac:dyDescent="0.25">
      <c r="A528" s="124" t="s">
        <v>1499</v>
      </c>
      <c r="B528" s="6"/>
    </row>
    <row r="529" spans="1:2" hidden="1" x14ac:dyDescent="0.25">
      <c r="A529" s="124" t="s">
        <v>1500</v>
      </c>
      <c r="B529" s="6"/>
    </row>
    <row r="530" spans="1:2" hidden="1" x14ac:dyDescent="0.25">
      <c r="A530" s="124" t="s">
        <v>2730</v>
      </c>
      <c r="B530" s="6"/>
    </row>
    <row r="531" spans="1:2" hidden="1" x14ac:dyDescent="0.25">
      <c r="A531" s="124" t="s">
        <v>1501</v>
      </c>
      <c r="B531" s="6"/>
    </row>
    <row r="532" spans="1:2" hidden="1" x14ac:dyDescent="0.25">
      <c r="A532" s="124" t="s">
        <v>1502</v>
      </c>
      <c r="B532" s="6"/>
    </row>
    <row r="533" spans="1:2" hidden="1" x14ac:dyDescent="0.25">
      <c r="A533" s="124" t="s">
        <v>1503</v>
      </c>
      <c r="B533" s="6"/>
    </row>
    <row r="534" spans="1:2" hidden="1" x14ac:dyDescent="0.25">
      <c r="A534" s="124" t="s">
        <v>2589</v>
      </c>
      <c r="B534" s="6"/>
    </row>
    <row r="535" spans="1:2" hidden="1" x14ac:dyDescent="0.25">
      <c r="A535" s="124" t="s">
        <v>2590</v>
      </c>
      <c r="B535" s="6"/>
    </row>
    <row r="536" spans="1:2" hidden="1" x14ac:dyDescent="0.25">
      <c r="A536" s="124" t="s">
        <v>2591</v>
      </c>
      <c r="B536" s="6"/>
    </row>
    <row r="537" spans="1:2" hidden="1" x14ac:dyDescent="0.25">
      <c r="A537" s="124" t="s">
        <v>1504</v>
      </c>
      <c r="B537" s="6"/>
    </row>
    <row r="538" spans="1:2" hidden="1" x14ac:dyDescent="0.25">
      <c r="A538" s="124" t="s">
        <v>1505</v>
      </c>
      <c r="B538" s="6"/>
    </row>
    <row r="539" spans="1:2" hidden="1" x14ac:dyDescent="0.25">
      <c r="A539" s="124" t="s">
        <v>1506</v>
      </c>
      <c r="B539" s="6"/>
    </row>
    <row r="540" spans="1:2" hidden="1" x14ac:dyDescent="0.25">
      <c r="A540" s="124" t="s">
        <v>1507</v>
      </c>
      <c r="B540" s="6"/>
    </row>
    <row r="541" spans="1:2" hidden="1" x14ac:dyDescent="0.25">
      <c r="A541" s="124" t="s">
        <v>2596</v>
      </c>
      <c r="B541" s="6"/>
    </row>
    <row r="542" spans="1:2" hidden="1" x14ac:dyDescent="0.25">
      <c r="A542" s="124" t="s">
        <v>1508</v>
      </c>
      <c r="B542" s="6"/>
    </row>
    <row r="543" spans="1:2" hidden="1" x14ac:dyDescent="0.25">
      <c r="A543" s="124" t="s">
        <v>1509</v>
      </c>
      <c r="B543" s="6"/>
    </row>
    <row r="544" spans="1:2" hidden="1" x14ac:dyDescent="0.25">
      <c r="A544" s="124" t="s">
        <v>1510</v>
      </c>
      <c r="B544" s="6"/>
    </row>
    <row r="545" spans="1:2" hidden="1" x14ac:dyDescent="0.25">
      <c r="A545" s="124" t="s">
        <v>1511</v>
      </c>
      <c r="B545" s="6"/>
    </row>
    <row r="546" spans="1:2" hidden="1" x14ac:dyDescent="0.25">
      <c r="A546" s="124" t="s">
        <v>2484</v>
      </c>
      <c r="B546" s="6"/>
    </row>
    <row r="547" spans="1:2" hidden="1" x14ac:dyDescent="0.25">
      <c r="A547" s="124" t="s">
        <v>2598</v>
      </c>
      <c r="B547" s="6"/>
    </row>
    <row r="548" spans="1:2" hidden="1" x14ac:dyDescent="0.25">
      <c r="A548" s="124" t="s">
        <v>2599</v>
      </c>
      <c r="B548" s="6"/>
    </row>
    <row r="549" spans="1:2" hidden="1" x14ac:dyDescent="0.25">
      <c r="A549" s="124" t="s">
        <v>1512</v>
      </c>
      <c r="B549" s="6"/>
    </row>
    <row r="550" spans="1:2" hidden="1" x14ac:dyDescent="0.25">
      <c r="A550" s="124" t="s">
        <v>1523</v>
      </c>
      <c r="B550" s="6"/>
    </row>
    <row r="551" spans="1:2" hidden="1" x14ac:dyDescent="0.25">
      <c r="A551" s="124" t="s">
        <v>1524</v>
      </c>
      <c r="B551" s="6"/>
    </row>
    <row r="552" spans="1:2" hidden="1" x14ac:dyDescent="0.25">
      <c r="A552" s="124" t="s">
        <v>1698</v>
      </c>
      <c r="B552" s="6"/>
    </row>
    <row r="553" spans="1:2" hidden="1" x14ac:dyDescent="0.25">
      <c r="A553" s="124" t="s">
        <v>1525</v>
      </c>
      <c r="B553" s="6"/>
    </row>
    <row r="554" spans="1:2" hidden="1" x14ac:dyDescent="0.25">
      <c r="A554" s="124" t="s">
        <v>1694</v>
      </c>
      <c r="B554" s="6"/>
    </row>
    <row r="555" spans="1:2" hidden="1" x14ac:dyDescent="0.25">
      <c r="A555" s="124" t="s">
        <v>1695</v>
      </c>
      <c r="B555" s="6"/>
    </row>
    <row r="556" spans="1:2" hidden="1" x14ac:dyDescent="0.25">
      <c r="A556" s="124" t="s">
        <v>1696</v>
      </c>
      <c r="B556" s="6"/>
    </row>
    <row r="557" spans="1:2" hidden="1" x14ac:dyDescent="0.25">
      <c r="A557" s="124" t="s">
        <v>1697</v>
      </c>
      <c r="B557" s="6"/>
    </row>
    <row r="558" spans="1:2" hidden="1" x14ac:dyDescent="0.25">
      <c r="A558" s="124" t="s">
        <v>1526</v>
      </c>
      <c r="B558" s="6"/>
    </row>
    <row r="559" spans="1:2" hidden="1" x14ac:dyDescent="0.25">
      <c r="A559" s="124" t="s">
        <v>1693</v>
      </c>
      <c r="B559" s="6"/>
    </row>
    <row r="560" spans="1:2" hidden="1" x14ac:dyDescent="0.25">
      <c r="A560" s="124" t="s">
        <v>1527</v>
      </c>
      <c r="B560" s="6"/>
    </row>
    <row r="561" spans="1:2" hidden="1" x14ac:dyDescent="0.25">
      <c r="A561" s="124" t="s">
        <v>1692</v>
      </c>
      <c r="B561" s="6"/>
    </row>
    <row r="562" spans="1:2" hidden="1" x14ac:dyDescent="0.25">
      <c r="A562" s="124" t="s">
        <v>1528</v>
      </c>
      <c r="B562" s="6"/>
    </row>
    <row r="563" spans="1:2" hidden="1" x14ac:dyDescent="0.25">
      <c r="A563" s="124" t="s">
        <v>1691</v>
      </c>
      <c r="B563" s="6"/>
    </row>
    <row r="564" spans="1:2" hidden="1" x14ac:dyDescent="0.25">
      <c r="A564" s="124" t="s">
        <v>1529</v>
      </c>
      <c r="B564" s="6"/>
    </row>
    <row r="565" spans="1:2" hidden="1" x14ac:dyDescent="0.25">
      <c r="A565" s="124" t="s">
        <v>1530</v>
      </c>
      <c r="B565" s="6"/>
    </row>
    <row r="566" spans="1:2" hidden="1" x14ac:dyDescent="0.25">
      <c r="A566" s="124" t="s">
        <v>1531</v>
      </c>
      <c r="B566" s="6"/>
    </row>
    <row r="567" spans="1:2" hidden="1" x14ac:dyDescent="0.25">
      <c r="A567" s="124" t="s">
        <v>1532</v>
      </c>
      <c r="B567" s="6"/>
    </row>
    <row r="568" spans="1:2" hidden="1" x14ac:dyDescent="0.25">
      <c r="A568" s="124" t="s">
        <v>2439</v>
      </c>
      <c r="B568" s="6"/>
    </row>
    <row r="569" spans="1:2" hidden="1" x14ac:dyDescent="0.25">
      <c r="A569" s="124" t="s">
        <v>2438</v>
      </c>
      <c r="B569" s="6"/>
    </row>
    <row r="570" spans="1:2" hidden="1" x14ac:dyDescent="0.25">
      <c r="A570" s="124" t="s">
        <v>2437</v>
      </c>
      <c r="B570" s="6"/>
    </row>
    <row r="571" spans="1:2" hidden="1" x14ac:dyDescent="0.25">
      <c r="A571" s="124" t="s">
        <v>1533</v>
      </c>
      <c r="B571" s="6"/>
    </row>
    <row r="572" spans="1:2" hidden="1" x14ac:dyDescent="0.25">
      <c r="A572" s="124" t="s">
        <v>1689</v>
      </c>
      <c r="B572" s="6"/>
    </row>
    <row r="573" spans="1:2" hidden="1" x14ac:dyDescent="0.25">
      <c r="A573" s="124" t="s">
        <v>1690</v>
      </c>
      <c r="B573" s="6"/>
    </row>
    <row r="574" spans="1:2" hidden="1" x14ac:dyDescent="0.25">
      <c r="A574" s="124" t="s">
        <v>1534</v>
      </c>
      <c r="B574" s="6"/>
    </row>
    <row r="575" spans="1:2" hidden="1" x14ac:dyDescent="0.25">
      <c r="A575" s="124" t="s">
        <v>1535</v>
      </c>
      <c r="B575" s="6"/>
    </row>
    <row r="576" spans="1:2" hidden="1" x14ac:dyDescent="0.25">
      <c r="A576" s="124" t="s">
        <v>1687</v>
      </c>
      <c r="B576" s="6"/>
    </row>
    <row r="577" spans="1:2" hidden="1" x14ac:dyDescent="0.25">
      <c r="A577" s="124" t="s">
        <v>1688</v>
      </c>
      <c r="B577" s="6"/>
    </row>
    <row r="578" spans="1:2" hidden="1" x14ac:dyDescent="0.25">
      <c r="A578" s="124" t="s">
        <v>1536</v>
      </c>
      <c r="B578" s="6"/>
    </row>
    <row r="579" spans="1:2" hidden="1" x14ac:dyDescent="0.25">
      <c r="A579" s="124" t="s">
        <v>1537</v>
      </c>
      <c r="B579" s="6"/>
    </row>
    <row r="580" spans="1:2" hidden="1" x14ac:dyDescent="0.25">
      <c r="A580" s="124" t="s">
        <v>1538</v>
      </c>
      <c r="B580" s="6"/>
    </row>
    <row r="581" spans="1:2" hidden="1" x14ac:dyDescent="0.25">
      <c r="A581" s="124" t="s">
        <v>1539</v>
      </c>
      <c r="B581" s="6"/>
    </row>
    <row r="582" spans="1:2" hidden="1" x14ac:dyDescent="0.25">
      <c r="A582" s="124" t="s">
        <v>1685</v>
      </c>
      <c r="B582" s="6"/>
    </row>
    <row r="583" spans="1:2" hidden="1" x14ac:dyDescent="0.25">
      <c r="A583" s="124" t="s">
        <v>1686</v>
      </c>
      <c r="B583" s="6"/>
    </row>
    <row r="584" spans="1:2" hidden="1" x14ac:dyDescent="0.25">
      <c r="A584" s="124" t="s">
        <v>1540</v>
      </c>
      <c r="B584" s="6"/>
    </row>
    <row r="585" spans="1:2" hidden="1" x14ac:dyDescent="0.25">
      <c r="A585" s="124" t="s">
        <v>1701</v>
      </c>
      <c r="B585" s="6"/>
    </row>
    <row r="586" spans="1:2" hidden="1" x14ac:dyDescent="0.25">
      <c r="A586" s="124" t="s">
        <v>1541</v>
      </c>
      <c r="B586" s="6"/>
    </row>
    <row r="587" spans="1:2" hidden="1" x14ac:dyDescent="0.25">
      <c r="A587" s="124" t="s">
        <v>1542</v>
      </c>
      <c r="B587" s="6"/>
    </row>
    <row r="588" spans="1:2" hidden="1" x14ac:dyDescent="0.25">
      <c r="A588" s="124" t="s">
        <v>1683</v>
      </c>
      <c r="B588" s="6"/>
    </row>
    <row r="589" spans="1:2" hidden="1" x14ac:dyDescent="0.25">
      <c r="A589" s="124" t="s">
        <v>1543</v>
      </c>
      <c r="B589" s="6"/>
    </row>
    <row r="590" spans="1:2" hidden="1" x14ac:dyDescent="0.25">
      <c r="A590" s="124" t="s">
        <v>1684</v>
      </c>
      <c r="B590" s="6"/>
    </row>
    <row r="591" spans="1:2" hidden="1" x14ac:dyDescent="0.25">
      <c r="A591" s="124" t="s">
        <v>1544</v>
      </c>
      <c r="B591" s="6"/>
    </row>
    <row r="592" spans="1:2" hidden="1" x14ac:dyDescent="0.25">
      <c r="A592" s="124" t="s">
        <v>1545</v>
      </c>
      <c r="B592" s="6"/>
    </row>
    <row r="593" spans="1:2" hidden="1" x14ac:dyDescent="0.25">
      <c r="A593" s="124" t="s">
        <v>1681</v>
      </c>
      <c r="B593" s="6"/>
    </row>
    <row r="594" spans="1:2" hidden="1" x14ac:dyDescent="0.25">
      <c r="A594" s="124" t="s">
        <v>1546</v>
      </c>
      <c r="B594" s="6"/>
    </row>
    <row r="595" spans="1:2" hidden="1" x14ac:dyDescent="0.25">
      <c r="A595" s="124" t="s">
        <v>1682</v>
      </c>
      <c r="B595" s="6"/>
    </row>
    <row r="596" spans="1:2" hidden="1" x14ac:dyDescent="0.25">
      <c r="A596" s="124" t="s">
        <v>1547</v>
      </c>
      <c r="B596" s="6"/>
    </row>
    <row r="597" spans="1:2" hidden="1" x14ac:dyDescent="0.25">
      <c r="A597" s="124" t="s">
        <v>1548</v>
      </c>
      <c r="B597" s="6"/>
    </row>
    <row r="598" spans="1:2" hidden="1" x14ac:dyDescent="0.25">
      <c r="A598" s="124" t="s">
        <v>1549</v>
      </c>
      <c r="B598" s="6"/>
    </row>
    <row r="599" spans="1:2" hidden="1" x14ac:dyDescent="0.25">
      <c r="A599" s="124" t="s">
        <v>1550</v>
      </c>
      <c r="B599" s="6"/>
    </row>
    <row r="600" spans="1:2" hidden="1" x14ac:dyDescent="0.25">
      <c r="A600" s="124" t="s">
        <v>1678</v>
      </c>
      <c r="B600" s="6"/>
    </row>
    <row r="601" spans="1:2" hidden="1" x14ac:dyDescent="0.25">
      <c r="A601" s="124" t="s">
        <v>1679</v>
      </c>
      <c r="B601" s="6"/>
    </row>
    <row r="602" spans="1:2" hidden="1" x14ac:dyDescent="0.25">
      <c r="A602" s="124" t="s">
        <v>1551</v>
      </c>
      <c r="B602" s="6"/>
    </row>
    <row r="603" spans="1:2" hidden="1" x14ac:dyDescent="0.25">
      <c r="A603" s="124" t="s">
        <v>1680</v>
      </c>
      <c r="B603" s="6"/>
    </row>
    <row r="604" spans="1:2" hidden="1" x14ac:dyDescent="0.25">
      <c r="A604" s="124" t="s">
        <v>1552</v>
      </c>
      <c r="B604" s="6"/>
    </row>
    <row r="605" spans="1:2" hidden="1" x14ac:dyDescent="0.25">
      <c r="A605" s="124" t="s">
        <v>1513</v>
      </c>
      <c r="B605" s="6"/>
    </row>
    <row r="606" spans="1:2" hidden="1" x14ac:dyDescent="0.25">
      <c r="A606" s="124" t="s">
        <v>1514</v>
      </c>
      <c r="B606" s="6"/>
    </row>
    <row r="607" spans="1:2" hidden="1" x14ac:dyDescent="0.25">
      <c r="A607" s="124" t="s">
        <v>1706</v>
      </c>
      <c r="B607" s="6"/>
    </row>
    <row r="608" spans="1:2" hidden="1" x14ac:dyDescent="0.25">
      <c r="A608" s="124" t="s">
        <v>1707</v>
      </c>
      <c r="B608" s="6"/>
    </row>
    <row r="609" spans="1:2" hidden="1" x14ac:dyDescent="0.25">
      <c r="A609" s="124" t="s">
        <v>1708</v>
      </c>
      <c r="B609" s="6"/>
    </row>
    <row r="610" spans="1:2" hidden="1" x14ac:dyDescent="0.25">
      <c r="A610" s="124" t="s">
        <v>1709</v>
      </c>
      <c r="B610" s="6"/>
    </row>
    <row r="611" spans="1:2" hidden="1" x14ac:dyDescent="0.25">
      <c r="A611" s="124" t="s">
        <v>2493</v>
      </c>
      <c r="B611" s="6"/>
    </row>
    <row r="612" spans="1:2" hidden="1" x14ac:dyDescent="0.25">
      <c r="A612" s="124" t="s">
        <v>1515</v>
      </c>
      <c r="B612" s="6"/>
    </row>
    <row r="613" spans="1:2" hidden="1" x14ac:dyDescent="0.25">
      <c r="A613" s="124" t="s">
        <v>1710</v>
      </c>
      <c r="B613" s="6"/>
    </row>
    <row r="614" spans="1:2" hidden="1" x14ac:dyDescent="0.25">
      <c r="A614" s="124" t="s">
        <v>1516</v>
      </c>
      <c r="B614" s="6"/>
    </row>
    <row r="615" spans="1:2" hidden="1" x14ac:dyDescent="0.25">
      <c r="A615" s="124" t="s">
        <v>1711</v>
      </c>
      <c r="B615" s="6"/>
    </row>
    <row r="616" spans="1:2" hidden="1" x14ac:dyDescent="0.25">
      <c r="A616" s="124" t="s">
        <v>1712</v>
      </c>
      <c r="B616" s="6"/>
    </row>
    <row r="617" spans="1:2" hidden="1" x14ac:dyDescent="0.25">
      <c r="A617" s="124" t="s">
        <v>1517</v>
      </c>
      <c r="B617" s="6"/>
    </row>
    <row r="618" spans="1:2" hidden="1" x14ac:dyDescent="0.25">
      <c r="A618" s="124" t="s">
        <v>1518</v>
      </c>
      <c r="B618" s="6"/>
    </row>
    <row r="619" spans="1:2" hidden="1" x14ac:dyDescent="0.25">
      <c r="A619" s="124" t="s">
        <v>1702</v>
      </c>
      <c r="B619" s="6"/>
    </row>
    <row r="620" spans="1:2" hidden="1" x14ac:dyDescent="0.25">
      <c r="A620" s="124" t="s">
        <v>1519</v>
      </c>
      <c r="B620" s="6"/>
    </row>
    <row r="621" spans="1:2" hidden="1" x14ac:dyDescent="0.25">
      <c r="A621" s="124" t="s">
        <v>1703</v>
      </c>
      <c r="B621" s="6"/>
    </row>
    <row r="622" spans="1:2" hidden="1" x14ac:dyDescent="0.25">
      <c r="A622" s="124" t="s">
        <v>1520</v>
      </c>
      <c r="B622" s="6"/>
    </row>
    <row r="623" spans="1:2" hidden="1" x14ac:dyDescent="0.25">
      <c r="A623" s="124" t="s">
        <v>1704</v>
      </c>
      <c r="B623" s="6"/>
    </row>
    <row r="624" spans="1:2" hidden="1" x14ac:dyDescent="0.25">
      <c r="A624" s="124" t="s">
        <v>1705</v>
      </c>
      <c r="B624" s="6"/>
    </row>
    <row r="625" spans="1:2" hidden="1" x14ac:dyDescent="0.25">
      <c r="A625" s="124" t="s">
        <v>1521</v>
      </c>
      <c r="B625" s="6"/>
    </row>
    <row r="626" spans="1:2" hidden="1" x14ac:dyDescent="0.25">
      <c r="A626" s="124" t="s">
        <v>1522</v>
      </c>
      <c r="B626" s="6"/>
    </row>
    <row r="627" spans="1:2" hidden="1" x14ac:dyDescent="0.25">
      <c r="A627" s="124" t="s">
        <v>1699</v>
      </c>
      <c r="B627" s="6"/>
    </row>
    <row r="628" spans="1:2" hidden="1" x14ac:dyDescent="0.25">
      <c r="A628" s="124" t="s">
        <v>1894</v>
      </c>
      <c r="B628" s="6"/>
    </row>
    <row r="629" spans="1:2" hidden="1" x14ac:dyDescent="0.25">
      <c r="A629" s="124" t="s">
        <v>1893</v>
      </c>
      <c r="B629" s="6"/>
    </row>
    <row r="630" spans="1:2" hidden="1" x14ac:dyDescent="0.25">
      <c r="A630" s="124" t="s">
        <v>1553</v>
      </c>
      <c r="B630" s="6"/>
    </row>
    <row r="631" spans="1:2" hidden="1" x14ac:dyDescent="0.25">
      <c r="A631" s="124" t="s">
        <v>1554</v>
      </c>
      <c r="B631" s="6"/>
    </row>
    <row r="632" spans="1:2" hidden="1" x14ac:dyDescent="0.25">
      <c r="A632" s="124" t="s">
        <v>1555</v>
      </c>
      <c r="B632" s="6"/>
    </row>
    <row r="633" spans="1:2" hidden="1" x14ac:dyDescent="0.25">
      <c r="A633" s="124" t="s">
        <v>1556</v>
      </c>
      <c r="B633" s="6"/>
    </row>
    <row r="634" spans="1:2" hidden="1" x14ac:dyDescent="0.25">
      <c r="A634" s="124" t="s">
        <v>2733</v>
      </c>
      <c r="B634" s="6"/>
    </row>
    <row r="635" spans="1:2" hidden="1" x14ac:dyDescent="0.25">
      <c r="A635" s="124" t="s">
        <v>1557</v>
      </c>
      <c r="B635" s="6"/>
    </row>
    <row r="636" spans="1:2" hidden="1" x14ac:dyDescent="0.25">
      <c r="A636" s="124" t="s">
        <v>1558</v>
      </c>
      <c r="B636" s="6"/>
    </row>
    <row r="637" spans="1:2" hidden="1" x14ac:dyDescent="0.25">
      <c r="A637" s="124" t="s">
        <v>1559</v>
      </c>
      <c r="B637" s="6"/>
    </row>
    <row r="638" spans="1:2" hidden="1" x14ac:dyDescent="0.25">
      <c r="A638" s="124" t="s">
        <v>1560</v>
      </c>
      <c r="B638" s="6"/>
    </row>
    <row r="639" spans="1:2" hidden="1" x14ac:dyDescent="0.25">
      <c r="A639" s="124" t="s">
        <v>1561</v>
      </c>
      <c r="B639" s="6"/>
    </row>
    <row r="640" spans="1:2" hidden="1" x14ac:dyDescent="0.25">
      <c r="A640" s="124" t="s">
        <v>1562</v>
      </c>
      <c r="B640" s="6"/>
    </row>
    <row r="641" spans="1:2" hidden="1" x14ac:dyDescent="0.25">
      <c r="A641" s="124" t="s">
        <v>1563</v>
      </c>
      <c r="B641" s="6"/>
    </row>
    <row r="642" spans="1:2" hidden="1" x14ac:dyDescent="0.25">
      <c r="A642" s="124" t="s">
        <v>1564</v>
      </c>
      <c r="B642" s="6"/>
    </row>
    <row r="643" spans="1:2" hidden="1" x14ac:dyDescent="0.25">
      <c r="A643" s="124" t="s">
        <v>2736</v>
      </c>
      <c r="B643" s="6"/>
    </row>
    <row r="644" spans="1:2" hidden="1" x14ac:dyDescent="0.25">
      <c r="A644" s="124" t="s">
        <v>1565</v>
      </c>
      <c r="B644" s="6"/>
    </row>
    <row r="645" spans="1:2" hidden="1" x14ac:dyDescent="0.25">
      <c r="A645" s="124" t="s">
        <v>1566</v>
      </c>
      <c r="B645" s="6"/>
    </row>
    <row r="646" spans="1:2" hidden="1" x14ac:dyDescent="0.25">
      <c r="A646" s="124" t="s">
        <v>1567</v>
      </c>
      <c r="B646" s="6"/>
    </row>
    <row r="647" spans="1:2" hidden="1" x14ac:dyDescent="0.25">
      <c r="A647" s="124" t="s">
        <v>2739</v>
      </c>
      <c r="B647" s="6"/>
    </row>
    <row r="648" spans="1:2" hidden="1" x14ac:dyDescent="0.25">
      <c r="A648" s="124" t="s">
        <v>2741</v>
      </c>
      <c r="B648" s="6"/>
    </row>
    <row r="649" spans="1:2" hidden="1" x14ac:dyDescent="0.25">
      <c r="A649" s="124" t="s">
        <v>1568</v>
      </c>
      <c r="B649" s="6"/>
    </row>
    <row r="650" spans="1:2" hidden="1" x14ac:dyDescent="0.25">
      <c r="A650" s="124" t="s">
        <v>1569</v>
      </c>
      <c r="B650" s="6"/>
    </row>
    <row r="651" spans="1:2" hidden="1" x14ac:dyDescent="0.25">
      <c r="A651" s="124" t="s">
        <v>1570</v>
      </c>
      <c r="B651" s="6"/>
    </row>
    <row r="652" spans="1:2" hidden="1" x14ac:dyDescent="0.25">
      <c r="A652" s="124" t="s">
        <v>1571</v>
      </c>
      <c r="B652" s="6"/>
    </row>
    <row r="653" spans="1:2" hidden="1" x14ac:dyDescent="0.25">
      <c r="A653" s="124" t="s">
        <v>1572</v>
      </c>
      <c r="B653" s="6"/>
    </row>
    <row r="654" spans="1:2" hidden="1" x14ac:dyDescent="0.25">
      <c r="A654" s="79" t="s">
        <v>1573</v>
      </c>
      <c r="B654" s="6"/>
    </row>
    <row r="655" spans="1:2" hidden="1" x14ac:dyDescent="0.25">
      <c r="A655" s="79" t="s">
        <v>1574</v>
      </c>
      <c r="B655" s="6"/>
    </row>
    <row r="656" spans="1:2" hidden="1" x14ac:dyDescent="0.25">
      <c r="A656" s="79" t="s">
        <v>1575</v>
      </c>
      <c r="B656" s="6"/>
    </row>
    <row r="657" spans="1:2" hidden="1" x14ac:dyDescent="0.25">
      <c r="A657" s="79" t="s">
        <v>1576</v>
      </c>
      <c r="B657" s="6"/>
    </row>
    <row r="658" spans="1:2" hidden="1" x14ac:dyDescent="0.25">
      <c r="A658" s="79" t="s">
        <v>1577</v>
      </c>
      <c r="B658" s="6"/>
    </row>
    <row r="659" spans="1:2" hidden="1" x14ac:dyDescent="0.25">
      <c r="A659" s="79" t="s">
        <v>1677</v>
      </c>
      <c r="B659" s="6"/>
    </row>
    <row r="660" spans="1:2" hidden="1" x14ac:dyDescent="0.25">
      <c r="A660" s="79" t="s">
        <v>1578</v>
      </c>
      <c r="B660" s="6"/>
    </row>
    <row r="661" spans="1:2" hidden="1" x14ac:dyDescent="0.25">
      <c r="A661" s="79" t="s">
        <v>1579</v>
      </c>
      <c r="B661" s="6"/>
    </row>
    <row r="662" spans="1:2" hidden="1" x14ac:dyDescent="0.25">
      <c r="A662" s="79" t="s">
        <v>1580</v>
      </c>
      <c r="B662" s="6"/>
    </row>
    <row r="663" spans="1:2" hidden="1" x14ac:dyDescent="0.25">
      <c r="A663" s="79" t="s">
        <v>1581</v>
      </c>
      <c r="B663" s="6"/>
    </row>
    <row r="664" spans="1:2" hidden="1" x14ac:dyDescent="0.25">
      <c r="A664" s="79" t="s">
        <v>1582</v>
      </c>
      <c r="B664" s="6"/>
    </row>
    <row r="665" spans="1:2" hidden="1" x14ac:dyDescent="0.25">
      <c r="A665" s="79" t="s">
        <v>1583</v>
      </c>
      <c r="B665" s="6"/>
    </row>
    <row r="666" spans="1:2" hidden="1" x14ac:dyDescent="0.25">
      <c r="A666" s="79" t="s">
        <v>1584</v>
      </c>
      <c r="B666" s="6"/>
    </row>
    <row r="667" spans="1:2" hidden="1" x14ac:dyDescent="0.25">
      <c r="A667" s="79" t="s">
        <v>1585</v>
      </c>
      <c r="B667" s="6"/>
    </row>
    <row r="668" spans="1:2" hidden="1" x14ac:dyDescent="0.25">
      <c r="A668" s="79" t="s">
        <v>1586</v>
      </c>
      <c r="B668" s="6"/>
    </row>
    <row r="669" spans="1:2" hidden="1" x14ac:dyDescent="0.25">
      <c r="A669" s="79" t="s">
        <v>1587</v>
      </c>
      <c r="B669" s="6"/>
    </row>
    <row r="670" spans="1:2" hidden="1" x14ac:dyDescent="0.25">
      <c r="A670" s="79" t="s">
        <v>2750</v>
      </c>
      <c r="B670" s="6"/>
    </row>
    <row r="671" spans="1:2" hidden="1" x14ac:dyDescent="0.25">
      <c r="A671" s="79" t="s">
        <v>2746</v>
      </c>
      <c r="B671" s="6"/>
    </row>
    <row r="672" spans="1:2" hidden="1" x14ac:dyDescent="0.25">
      <c r="A672" s="79" t="s">
        <v>2745</v>
      </c>
      <c r="B672" s="6"/>
    </row>
    <row r="673" spans="1:2" hidden="1" x14ac:dyDescent="0.25">
      <c r="A673" s="79" t="s">
        <v>1588</v>
      </c>
      <c r="B673" s="6"/>
    </row>
    <row r="674" spans="1:2" hidden="1" x14ac:dyDescent="0.25">
      <c r="A674" s="79" t="s">
        <v>2754</v>
      </c>
      <c r="B674" s="6"/>
    </row>
    <row r="675" spans="1:2" hidden="1" x14ac:dyDescent="0.25">
      <c r="A675" s="79" t="s">
        <v>1589</v>
      </c>
      <c r="B675" s="6"/>
    </row>
    <row r="676" spans="1:2" hidden="1" x14ac:dyDescent="0.25">
      <c r="A676" s="79" t="s">
        <v>1676</v>
      </c>
      <c r="B676" s="6"/>
    </row>
    <row r="677" spans="1:2" hidden="1" x14ac:dyDescent="0.25">
      <c r="A677" s="79" t="s">
        <v>1590</v>
      </c>
      <c r="B677" s="6"/>
    </row>
    <row r="678" spans="1:2" hidden="1" x14ac:dyDescent="0.25">
      <c r="A678" s="79" t="s">
        <v>2757</v>
      </c>
      <c r="B678" s="6"/>
    </row>
    <row r="679" spans="1:2" hidden="1" x14ac:dyDescent="0.25">
      <c r="A679" s="79" t="s">
        <v>1591</v>
      </c>
      <c r="B679" s="6"/>
    </row>
    <row r="680" spans="1:2" hidden="1" x14ac:dyDescent="0.25">
      <c r="A680" s="79" t="s">
        <v>1592</v>
      </c>
      <c r="B680" s="6"/>
    </row>
    <row r="681" spans="1:2" hidden="1" x14ac:dyDescent="0.25">
      <c r="A681" s="79" t="s">
        <v>1593</v>
      </c>
      <c r="B681" s="6"/>
    </row>
    <row r="682" spans="1:2" hidden="1" x14ac:dyDescent="0.25">
      <c r="A682" s="79" t="s">
        <v>1594</v>
      </c>
      <c r="B682" s="6"/>
    </row>
    <row r="683" spans="1:2" hidden="1" x14ac:dyDescent="0.25">
      <c r="A683" s="79" t="s">
        <v>2761</v>
      </c>
      <c r="B683" s="6"/>
    </row>
    <row r="684" spans="1:2" hidden="1" x14ac:dyDescent="0.25">
      <c r="A684" s="79" t="s">
        <v>1595</v>
      </c>
      <c r="B684" s="6"/>
    </row>
    <row r="685" spans="1:2" hidden="1" x14ac:dyDescent="0.25">
      <c r="A685" s="79" t="s">
        <v>1673</v>
      </c>
      <c r="B685" s="6"/>
    </row>
    <row r="686" spans="1:2" hidden="1" x14ac:dyDescent="0.25">
      <c r="A686" s="79" t="s">
        <v>1674</v>
      </c>
      <c r="B686" s="6"/>
    </row>
    <row r="687" spans="1:2" hidden="1" x14ac:dyDescent="0.25">
      <c r="A687" s="79" t="s">
        <v>1675</v>
      </c>
      <c r="B687" s="6"/>
    </row>
    <row r="688" spans="1:2" hidden="1" x14ac:dyDescent="0.25">
      <c r="A688" s="79" t="s">
        <v>1596</v>
      </c>
      <c r="B688" s="6"/>
    </row>
    <row r="689" spans="1:2" hidden="1" x14ac:dyDescent="0.25">
      <c r="A689" s="79" t="s">
        <v>1597</v>
      </c>
      <c r="B689" s="6"/>
    </row>
    <row r="690" spans="1:2" hidden="1" x14ac:dyDescent="0.25">
      <c r="A690" s="79" t="s">
        <v>1672</v>
      </c>
      <c r="B690" s="6"/>
    </row>
    <row r="691" spans="1:2" hidden="1" x14ac:dyDescent="0.25">
      <c r="A691" s="79" t="s">
        <v>1598</v>
      </c>
      <c r="B691" s="6"/>
    </row>
    <row r="692" spans="1:2" hidden="1" x14ac:dyDescent="0.25">
      <c r="A692" s="79" t="s">
        <v>1599</v>
      </c>
      <c r="B692" s="6"/>
    </row>
    <row r="693" spans="1:2" hidden="1" x14ac:dyDescent="0.25">
      <c r="A693" s="79" t="s">
        <v>1600</v>
      </c>
      <c r="B693" s="6"/>
    </row>
    <row r="694" spans="1:2" hidden="1" x14ac:dyDescent="0.25">
      <c r="A694" s="79" t="s">
        <v>1601</v>
      </c>
      <c r="B694" s="6"/>
    </row>
    <row r="695" spans="1:2" hidden="1" x14ac:dyDescent="0.25">
      <c r="A695" s="79" t="s">
        <v>1671</v>
      </c>
      <c r="B695" s="6"/>
    </row>
    <row r="696" spans="1:2" hidden="1" x14ac:dyDescent="0.25">
      <c r="A696" s="79" t="s">
        <v>1602</v>
      </c>
      <c r="B696" s="6"/>
    </row>
    <row r="697" spans="1:2" hidden="1" x14ac:dyDescent="0.25">
      <c r="A697" s="79" t="s">
        <v>1603</v>
      </c>
      <c r="B697" s="6"/>
    </row>
    <row r="698" spans="1:2" hidden="1" x14ac:dyDescent="0.25">
      <c r="A698" s="79" t="s">
        <v>1604</v>
      </c>
      <c r="B698" s="6"/>
    </row>
    <row r="699" spans="1:2" hidden="1" x14ac:dyDescent="0.25">
      <c r="A699" s="79" t="s">
        <v>1605</v>
      </c>
      <c r="B699" s="6"/>
    </row>
    <row r="700" spans="1:2" hidden="1" x14ac:dyDescent="0.25">
      <c r="A700" s="79" t="s">
        <v>1606</v>
      </c>
      <c r="B700" s="6"/>
    </row>
    <row r="701" spans="1:2" hidden="1" x14ac:dyDescent="0.25">
      <c r="A701" s="7"/>
    </row>
  </sheetData>
  <sheetProtection algorithmName="SHA-512" hashValue="3FgRvHuyBkpX9xtos58669M9R+lWzSoMhtQ51zDG6ltTA+MpGoUABdGi348DsOgmBNC3J4tpJanuPfJdsTUL7g==" saltValue="vd5eN2ZBmCKGZfNwlB1WzA==" spinCount="100000" sheet="1" objects="1" scenarios="1"/>
  <mergeCells count="209">
    <mergeCell ref="G41:H41"/>
    <mergeCell ref="E68:F68"/>
    <mergeCell ref="A78:I78"/>
    <mergeCell ref="I48:J48"/>
    <mergeCell ref="I45:J45"/>
    <mergeCell ref="D43:H43"/>
    <mergeCell ref="I43:J43"/>
    <mergeCell ref="D44:E44"/>
    <mergeCell ref="A40:B40"/>
    <mergeCell ref="C40:D40"/>
    <mergeCell ref="A65:J65"/>
    <mergeCell ref="A66:J66"/>
    <mergeCell ref="A67:A68"/>
    <mergeCell ref="B67:D68"/>
    <mergeCell ref="B71:D71"/>
    <mergeCell ref="E71:F71"/>
    <mergeCell ref="G71:H71"/>
    <mergeCell ref="I71:J71"/>
    <mergeCell ref="A72:J72"/>
    <mergeCell ref="A73:E73"/>
    <mergeCell ref="A74:E74"/>
    <mergeCell ref="F76:J76"/>
    <mergeCell ref="B69:D69"/>
    <mergeCell ref="G40:H40"/>
    <mergeCell ref="A21:B21"/>
    <mergeCell ref="C21:D21"/>
    <mergeCell ref="A23:B23"/>
    <mergeCell ref="C23:D23"/>
    <mergeCell ref="I23:J23"/>
    <mergeCell ref="G21:H21"/>
    <mergeCell ref="I21:J21"/>
    <mergeCell ref="G23:H23"/>
    <mergeCell ref="A24:B24"/>
    <mergeCell ref="C24:D24"/>
    <mergeCell ref="G24:H24"/>
    <mergeCell ref="I24:J24"/>
    <mergeCell ref="A12:C12"/>
    <mergeCell ref="A19:B19"/>
    <mergeCell ref="C19:D19"/>
    <mergeCell ref="A20:B20"/>
    <mergeCell ref="C20:D20"/>
    <mergeCell ref="A16:J16"/>
    <mergeCell ref="A17:B18"/>
    <mergeCell ref="F17:F18"/>
    <mergeCell ref="C17:D18"/>
    <mergeCell ref="E17:E18"/>
    <mergeCell ref="A13:C13"/>
    <mergeCell ref="D13:J13"/>
    <mergeCell ref="A14:C15"/>
    <mergeCell ref="E14:F14"/>
    <mergeCell ref="H14:J14"/>
    <mergeCell ref="E15:F15"/>
    <mergeCell ref="H15:J15"/>
    <mergeCell ref="G17:H18"/>
    <mergeCell ref="I17:J18"/>
    <mergeCell ref="G19:H19"/>
    <mergeCell ref="I19:J19"/>
    <mergeCell ref="G20:H20"/>
    <mergeCell ref="A41:B41"/>
    <mergeCell ref="I20:J20"/>
    <mergeCell ref="D11:E11"/>
    <mergeCell ref="A1:I1"/>
    <mergeCell ref="A2:J2"/>
    <mergeCell ref="A4:J4"/>
    <mergeCell ref="A5:J5"/>
    <mergeCell ref="A6:B6"/>
    <mergeCell ref="A7:J7"/>
    <mergeCell ref="A3:J3"/>
    <mergeCell ref="B11:C11"/>
    <mergeCell ref="A8:C8"/>
    <mergeCell ref="A9:C9"/>
    <mergeCell ref="A10:C10"/>
    <mergeCell ref="D8:J8"/>
    <mergeCell ref="F11:G11"/>
    <mergeCell ref="D9:J9"/>
    <mergeCell ref="D10:J10"/>
    <mergeCell ref="I11:J11"/>
    <mergeCell ref="I12:J12"/>
    <mergeCell ref="A22:B22"/>
    <mergeCell ref="C22:D22"/>
    <mergeCell ref="G22:H22"/>
    <mergeCell ref="I22:J22"/>
    <mergeCell ref="A25:B25"/>
    <mergeCell ref="C25:D25"/>
    <mergeCell ref="A29:B29"/>
    <mergeCell ref="C29:D29"/>
    <mergeCell ref="G31:H31"/>
    <mergeCell ref="I31:J31"/>
    <mergeCell ref="A30:B30"/>
    <mergeCell ref="C30:D30"/>
    <mergeCell ref="G29:H29"/>
    <mergeCell ref="I29:J29"/>
    <mergeCell ref="G30:H30"/>
    <mergeCell ref="I30:J30"/>
    <mergeCell ref="A31:B31"/>
    <mergeCell ref="C31:D31"/>
    <mergeCell ref="G25:H25"/>
    <mergeCell ref="I25:J25"/>
    <mergeCell ref="A27:B27"/>
    <mergeCell ref="C27:D27"/>
    <mergeCell ref="A28:B28"/>
    <mergeCell ref="C28:D28"/>
    <mergeCell ref="G27:H27"/>
    <mergeCell ref="I27:J27"/>
    <mergeCell ref="G28:H28"/>
    <mergeCell ref="I28:J28"/>
    <mergeCell ref="A26:B26"/>
    <mergeCell ref="C26:D26"/>
    <mergeCell ref="G26:H26"/>
    <mergeCell ref="I26:J26"/>
    <mergeCell ref="A33:B33"/>
    <mergeCell ref="C33:D33"/>
    <mergeCell ref="G33:H33"/>
    <mergeCell ref="I33:J33"/>
    <mergeCell ref="A32:B32"/>
    <mergeCell ref="C32:D32"/>
    <mergeCell ref="G32:H32"/>
    <mergeCell ref="I32:J32"/>
    <mergeCell ref="A36:B36"/>
    <mergeCell ref="C36:D36"/>
    <mergeCell ref="G36:H36"/>
    <mergeCell ref="I36:J36"/>
    <mergeCell ref="G34:H34"/>
    <mergeCell ref="I34:J34"/>
    <mergeCell ref="A35:B35"/>
    <mergeCell ref="C35:D35"/>
    <mergeCell ref="A34:B34"/>
    <mergeCell ref="C34:D34"/>
    <mergeCell ref="A37:B37"/>
    <mergeCell ref="C37:D37"/>
    <mergeCell ref="G35:H35"/>
    <mergeCell ref="I35:J35"/>
    <mergeCell ref="G37:H37"/>
    <mergeCell ref="I37:J37"/>
    <mergeCell ref="A38:B38"/>
    <mergeCell ref="C38:D38"/>
    <mergeCell ref="G45:H45"/>
    <mergeCell ref="G39:H39"/>
    <mergeCell ref="I39:J39"/>
    <mergeCell ref="I41:J41"/>
    <mergeCell ref="A39:B39"/>
    <mergeCell ref="C39:D39"/>
    <mergeCell ref="G38:H38"/>
    <mergeCell ref="I38:J38"/>
    <mergeCell ref="C41:D41"/>
    <mergeCell ref="A42:J42"/>
    <mergeCell ref="A43:A44"/>
    <mergeCell ref="B43:B44"/>
    <mergeCell ref="C43:C44"/>
    <mergeCell ref="I44:J44"/>
    <mergeCell ref="G44:H44"/>
    <mergeCell ref="I40:J40"/>
    <mergeCell ref="G46:H46"/>
    <mergeCell ref="G47:H47"/>
    <mergeCell ref="G48:H48"/>
    <mergeCell ref="G49:H49"/>
    <mergeCell ref="I49:J49"/>
    <mergeCell ref="G50:H50"/>
    <mergeCell ref="I50:J50"/>
    <mergeCell ref="G51:H51"/>
    <mergeCell ref="I51:J51"/>
    <mergeCell ref="I46:J46"/>
    <mergeCell ref="I47:J47"/>
    <mergeCell ref="G52:H52"/>
    <mergeCell ref="I52:J52"/>
    <mergeCell ref="G53:H53"/>
    <mergeCell ref="I53:J53"/>
    <mergeCell ref="G54:H54"/>
    <mergeCell ref="I54:J54"/>
    <mergeCell ref="G55:H55"/>
    <mergeCell ref="I55:J55"/>
    <mergeCell ref="G56:H56"/>
    <mergeCell ref="I56:J56"/>
    <mergeCell ref="E67:J67"/>
    <mergeCell ref="A76:E76"/>
    <mergeCell ref="G57:H57"/>
    <mergeCell ref="I57:J57"/>
    <mergeCell ref="G58:H58"/>
    <mergeCell ref="I58:J58"/>
    <mergeCell ref="G59:H59"/>
    <mergeCell ref="I59:J59"/>
    <mergeCell ref="G60:H60"/>
    <mergeCell ref="I60:J60"/>
    <mergeCell ref="G61:H61"/>
    <mergeCell ref="I61:J61"/>
    <mergeCell ref="C6:J6"/>
    <mergeCell ref="K17:K18"/>
    <mergeCell ref="K11:K13"/>
    <mergeCell ref="A75:E75"/>
    <mergeCell ref="F75:J75"/>
    <mergeCell ref="A77:E77"/>
    <mergeCell ref="F77:J77"/>
    <mergeCell ref="G62:H62"/>
    <mergeCell ref="I62:J62"/>
    <mergeCell ref="G63:H63"/>
    <mergeCell ref="I63:J63"/>
    <mergeCell ref="G64:H64"/>
    <mergeCell ref="I64:J64"/>
    <mergeCell ref="F73:J73"/>
    <mergeCell ref="F74:J74"/>
    <mergeCell ref="E69:F69"/>
    <mergeCell ref="G69:H69"/>
    <mergeCell ref="I69:J69"/>
    <mergeCell ref="B70:D70"/>
    <mergeCell ref="E70:F70"/>
    <mergeCell ref="G70:H70"/>
    <mergeCell ref="I70:J70"/>
    <mergeCell ref="I68:J68"/>
    <mergeCell ref="G68:H68"/>
  </mergeCells>
  <conditionalFormatting sqref="G12 E12">
    <cfRule type="expression" dxfId="153" priority="49">
      <formula>(CONCATENATE($E$12,$G$12)+1)&gt;$K$1</formula>
    </cfRule>
  </conditionalFormatting>
  <conditionalFormatting sqref="F19">
    <cfRule type="expression" dxfId="152" priority="44">
      <formula>AND(NOT(ISBLANK($C19)),(ISBLANK($F19)))</formula>
    </cfRule>
  </conditionalFormatting>
  <conditionalFormatting sqref="G19:H19">
    <cfRule type="expression" dxfId="151" priority="43">
      <formula>AND(NOT(ISBLANK($C19)),ISBLANK($G19))</formula>
    </cfRule>
  </conditionalFormatting>
  <conditionalFormatting sqref="I19:J19">
    <cfRule type="expression" dxfId="150" priority="42">
      <formula>AND(NOT(ISBLANK($C19)),ISBLANK($I19))</formula>
    </cfRule>
  </conditionalFormatting>
  <conditionalFormatting sqref="G45:H45">
    <cfRule type="expression" dxfId="149" priority="35">
      <formula>AND($F45="Yes",ISBLANK($G45))</formula>
    </cfRule>
  </conditionalFormatting>
  <conditionalFormatting sqref="F20:F23 F25:F26 F28:F30 F32:F33 F35:F36 F38:F41">
    <cfRule type="expression" dxfId="148" priority="33">
      <formula>AND(NOT(ISBLANK($C20)),(ISBLANK($F20)))</formula>
    </cfRule>
  </conditionalFormatting>
  <conditionalFormatting sqref="G20:H23 G25:H26 G28:H30 G32:H33 G35:H36 G38:H41">
    <cfRule type="expression" dxfId="147" priority="32">
      <formula>AND(NOT(ISBLANK($C20)),ISBLANK($G20))</formula>
    </cfRule>
  </conditionalFormatting>
  <conditionalFormatting sqref="I20:J23 I25:J26 I28:J30 I32:J33 I35:J36 I38:J41">
    <cfRule type="expression" dxfId="146" priority="31">
      <formula>AND(NOT(ISBLANK($C20)),ISBLANK($I20))</formula>
    </cfRule>
  </conditionalFormatting>
  <conditionalFormatting sqref="G46:H64">
    <cfRule type="expression" dxfId="145" priority="30">
      <formula>AND($F46="Yes",ISBLANK($G46))</formula>
    </cfRule>
  </conditionalFormatting>
  <conditionalFormatting sqref="A81:A497 A500:A509 A512:A653">
    <cfRule type="duplicateValues" dxfId="144" priority="18"/>
  </conditionalFormatting>
  <conditionalFormatting sqref="A498:A499">
    <cfRule type="duplicateValues" dxfId="143" priority="17"/>
  </conditionalFormatting>
  <conditionalFormatting sqref="A510:A511">
    <cfRule type="duplicateValues" dxfId="142" priority="16"/>
  </conditionalFormatting>
  <conditionalFormatting sqref="F24">
    <cfRule type="expression" dxfId="141" priority="15">
      <formula>AND(NOT(ISBLANK($C24)),(ISBLANK($F24)))</formula>
    </cfRule>
  </conditionalFormatting>
  <conditionalFormatting sqref="G24:H24">
    <cfRule type="expression" dxfId="140" priority="14">
      <formula>AND(NOT(ISBLANK($C24)),ISBLANK($G24))</formula>
    </cfRule>
  </conditionalFormatting>
  <conditionalFormatting sqref="I24:J24">
    <cfRule type="expression" dxfId="139" priority="13">
      <formula>AND(NOT(ISBLANK($C24)),ISBLANK($I24))</formula>
    </cfRule>
  </conditionalFormatting>
  <conditionalFormatting sqref="F27">
    <cfRule type="expression" dxfId="138" priority="12">
      <formula>AND(NOT(ISBLANK($C27)),(ISBLANK($F27)))</formula>
    </cfRule>
  </conditionalFormatting>
  <conditionalFormatting sqref="G27:H27">
    <cfRule type="expression" dxfId="137" priority="11">
      <formula>AND(NOT(ISBLANK($C27)),ISBLANK($G27))</formula>
    </cfRule>
  </conditionalFormatting>
  <conditionalFormatting sqref="I27:J27">
    <cfRule type="expression" dxfId="136" priority="10">
      <formula>AND(NOT(ISBLANK($C27)),ISBLANK($I27))</formula>
    </cfRule>
  </conditionalFormatting>
  <conditionalFormatting sqref="F31">
    <cfRule type="expression" dxfId="135" priority="9">
      <formula>AND(NOT(ISBLANK($C31)),(ISBLANK($F31)))</formula>
    </cfRule>
  </conditionalFormatting>
  <conditionalFormatting sqref="G31:H31">
    <cfRule type="expression" dxfId="134" priority="8">
      <formula>AND(NOT(ISBLANK($C31)),ISBLANK($G31))</formula>
    </cfRule>
  </conditionalFormatting>
  <conditionalFormatting sqref="I31:J31">
    <cfRule type="expression" dxfId="133" priority="7">
      <formula>AND(NOT(ISBLANK($C31)),ISBLANK($I31))</formula>
    </cfRule>
  </conditionalFormatting>
  <conditionalFormatting sqref="F34">
    <cfRule type="expression" dxfId="132" priority="6">
      <formula>AND(NOT(ISBLANK($C34)),(ISBLANK($F34)))</formula>
    </cfRule>
  </conditionalFormatting>
  <conditionalFormatting sqref="G34:H34">
    <cfRule type="expression" dxfId="131" priority="5">
      <formula>AND(NOT(ISBLANK($C34)),ISBLANK($G34))</formula>
    </cfRule>
  </conditionalFormatting>
  <conditionalFormatting sqref="I34:J34">
    <cfRule type="expression" dxfId="130" priority="4">
      <formula>AND(NOT(ISBLANK($C34)),ISBLANK($I34))</formula>
    </cfRule>
  </conditionalFormatting>
  <conditionalFormatting sqref="F37">
    <cfRule type="expression" dxfId="129" priority="3">
      <formula>AND(NOT(ISBLANK($C37)),(ISBLANK($F37)))</formula>
    </cfRule>
  </conditionalFormatting>
  <conditionalFormatting sqref="G37:H37">
    <cfRule type="expression" dxfId="128" priority="2">
      <formula>AND(NOT(ISBLANK($C37)),ISBLANK($G37))</formula>
    </cfRule>
  </conditionalFormatting>
  <conditionalFormatting sqref="I37:J37">
    <cfRule type="expression" dxfId="127" priority="1">
      <formula>AND(NOT(ISBLANK($C37)),ISBLANK($I37))</formula>
    </cfRule>
  </conditionalFormatting>
  <dataValidations xWindow="644" yWindow="370" count="23">
    <dataValidation type="date" allowBlank="1" showInputMessage="1" showErrorMessage="1" sqref="WVK19:WVK41 WLO19:WLO41 WBS19:WBS41 VRW19:VRW41 VIA19:VIA41 UYE19:UYE41 UOI19:UOI41 UEM19:UEM41 TUQ19:TUQ41 TKU19:TKU41 TAY19:TAY41 SRC19:SRC41 SHG19:SHG41 RXK19:RXK41 RNO19:RNO41 RDS19:RDS41 QTW19:QTW41 QKA19:QKA41 QAE19:QAE41 PQI19:PQI41 PGM19:PGM41 OWQ19:OWQ41 OMU19:OMU41 OCY19:OCY41 NTC19:NTC41 NJG19:NJG41 MZK19:MZK41 MPO19:MPO41 MFS19:MFS41 LVW19:LVW41 LMA19:LMA41 LCE19:LCE41 KSI19:KSI41 KIM19:KIM41 JYQ19:JYQ41 JOU19:JOU41 JEY19:JEY41 IVC19:IVC41 ILG19:ILG41 IBK19:IBK41 HRO19:HRO41 HHS19:HHS41 GXW19:GXW41 GOA19:GOA41 GEE19:GEE41 FUI19:FUI41 FKM19:FKM41 FAQ19:FAQ41 EQU19:EQU41 EGY19:EGY41 DXC19:DXC41 DNG19:DNG41 DDK19:DDK41 CTO19:CTO41 CJS19:CJS41 BZW19:BZW41 BQA19:BQA41 BGE19:BGE41 AWI19:AWI41 AMM19:AMM41 ACQ19:ACQ41 SU19:SU41 IY19:IY41">
      <formula1>36892</formula1>
      <formula2>43465</formula2>
    </dataValidation>
    <dataValidation type="date" allowBlank="1" showInputMessage="1" showErrorMessage="1" sqref="WVL19:WVO41 WLP19:WLS41 WBT19:WBW41 VRX19:VSA41 VIB19:VIE41 UYF19:UYI41 UOJ19:UOM41 UEN19:UEQ41 TUR19:TUU41 TKV19:TKY41 TAZ19:TBC41 SRD19:SRG41 SHH19:SHK41 RXL19:RXO41 RNP19:RNS41 RDT19:RDW41 QTX19:QUA41 QKB19:QKE41 QAF19:QAI41 PQJ19:PQM41 PGN19:PGQ41 OWR19:OWU41 OMV19:OMY41 OCZ19:ODC41 NTD19:NTG41 NJH19:NJK41 MZL19:MZO41 MPP19:MPS41 MFT19:MFW41 LVX19:LWA41 LMB19:LME41 LCF19:LCI41 KSJ19:KSM41 KIN19:KIQ41 JYR19:JYU41 JOV19:JOY41 JEZ19:JFC41 IVD19:IVG41 ILH19:ILK41 IBL19:IBO41 HRP19:HRS41 HHT19:HHW41 GXX19:GYA41 GOB19:GOE41 GEF19:GEI41 FUJ19:FUM41 FKN19:FKQ41 FAR19:FAU41 EQV19:EQY41 EGZ19:EHC41 DXD19:DXG41 DNH19:DNK41 DDL19:DDO41 CTP19:CTS41 CJT19:CJW41 BZX19:CAA41 BQB19:BQE41 BGF19:BGI41 AWJ19:AWM41 AMN19:AMQ41 ACR19:ACU41 SV19:SY41 IZ19:JC41">
      <formula1>37257</formula1>
      <formula2>43465</formula2>
    </dataValidation>
    <dataValidation type="whole" allowBlank="1" showInputMessage="1" showErrorMessage="1" prompt="Enter Distance in KM" sqref="WVO71:WVO77 JC71:JC77 SY71:SY77 ACU71:ACU77 AMQ71:AMQ77 AWM71:AWM77 BGI71:BGI77 BQE71:BQE77 CAA71:CAA77 CJW71:CJW77 CTS71:CTS77 DDO71:DDO77 DNK71:DNK77 DXG71:DXG77 EHC71:EHC77 EQY71:EQY77 FAU71:FAU77 FKQ71:FKQ77 FUM71:FUM77 GEI71:GEI77 GOE71:GOE77 GYA71:GYA77 HHW71:HHW77 HRS71:HRS77 IBO71:IBO77 ILK71:ILK77 IVG71:IVG77 JFC71:JFC77 JOY71:JOY77 JYU71:JYU77 KIQ71:KIQ77 KSM71:KSM77 LCI71:LCI77 LME71:LME77 LWA71:LWA77 MFW71:MFW77 MPS71:MPS77 MZO71:MZO77 NJK71:NJK77 NTG71:NTG77 ODC71:ODC77 OMY71:OMY77 OWU71:OWU77 PGQ71:PGQ77 PQM71:PQM77 QAI71:QAI77 QKE71:QKE77 QUA71:QUA77 RDW71:RDW77 RNS71:RNS77 RXO71:RXO77 SHK71:SHK77 SRG71:SRG77 TBC71:TBC77 TKY71:TKY77 TUU71:TUU77 UEQ71:UEQ77 UOM71:UOM77 UYI71:UYI77 VIE71:VIE77 VSA71:VSA77 WBW71:WBW77 WLS71:WLS77">
      <formula1>0</formula1>
      <formula2>9999</formula2>
    </dataValidation>
    <dataValidation type="whole" allowBlank="1" showInputMessage="1" showErrorMessage="1" prompt="Enter No. only" sqref="WVM71:WVN77 JA71:JB77 SW71:SX77 ACS71:ACT77 AMO71:AMP77 AWK71:AWL77 BGG71:BGH77 BQC71:BQD77 BZY71:BZZ77 CJU71:CJV77 CTQ71:CTR77 DDM71:DDN77 DNI71:DNJ77 DXE71:DXF77 EHA71:EHB77 EQW71:EQX77 FAS71:FAT77 FKO71:FKP77 FUK71:FUL77 GEG71:GEH77 GOC71:GOD77 GXY71:GXZ77 HHU71:HHV77 HRQ71:HRR77 IBM71:IBN77 ILI71:ILJ77 IVE71:IVF77 JFA71:JFB77 JOW71:JOX77 JYS71:JYT77 KIO71:KIP77 KSK71:KSL77 LCG71:LCH77 LMC71:LMD77 LVY71:LVZ77 MFU71:MFV77 MPQ71:MPR77 MZM71:MZN77 NJI71:NJJ77 NTE71:NTF77 ODA71:ODB77 OMW71:OMX77 OWS71:OWT77 PGO71:PGP77 PQK71:PQL77 QAG71:QAH77 QKC71:QKD77 QTY71:QTZ77 RDU71:RDV77 RNQ71:RNR77 RXM71:RXN77 SHI71:SHJ77 SRE71:SRF77 TBA71:TBB77 TKW71:TKX77 TUS71:TUT77 UEO71:UEP77 UOK71:UOL77 UYG71:UYH77 VIC71:VID77 VRY71:VRZ77 WBU71:WBV77 WLQ71:WLR77">
      <formula1>0</formula1>
      <formula2>99999</formula2>
    </dataValidation>
    <dataValidation type="list" allowBlank="1" showInputMessage="1" showErrorMessage="1" sqref="WVL12 WLP12 WBT12 VRX12 VIB12 UYF12 UOJ12 UEN12 TUR12 TKV12 TAZ12 SRD12 SHH12 RXL12 RNP12 RDT12 QTX12 QKB12 QAF12 PQJ12 PGN12 OWR12 OMV12 OCZ12 NTD12 NJH12 MZL12 MPP12 MFT12 LVX12 LMB12 LCF12 KSJ12 KIN12 JYR12 JOV12 JEZ12 IVD12 ILH12 IBL12 HRP12 HHT12 GXX12 GOB12 GEF12 FUJ12 FKN12 FAR12 EQV12 EGZ12 DXD12 DNH12 DDL12 CTP12 CJT12 BZX12 BQB12 BGF12 AWJ12 AMN12 ACR12 SV12 IZ12">
      <formula1>yearlist</formula1>
    </dataValidation>
    <dataValidation type="list" allowBlank="1" showInputMessage="1" showErrorMessage="1" sqref="WVJ12 WLN12 WBR12 VRV12 VHZ12 UYD12 UOH12 UEL12 TUP12 TKT12 TAX12 SRB12 SHF12 RXJ12 RNN12 RDR12 QTV12 QJZ12 QAD12 PQH12 PGL12 OWP12 OMT12 OCX12 NTB12 NJF12 MZJ12 MPN12 MFR12 LVV12 LLZ12 LCD12 KSH12 KIL12 JYP12 JOT12 JEX12 IVB12 ILF12 IBJ12 HRN12 HHR12 GXV12 GNZ12 GED12 FUH12 FKL12 FAP12 EQT12 EGX12 DXB12 DNF12 DDJ12 CTN12 CJR12 BZV12 BPZ12 BGD12 AWH12 AML12 ACP12 ST12 IX12">
      <formula1>monthlist</formula1>
    </dataValidation>
    <dataValidation type="list" allowBlank="1" showInputMessage="1" showErrorMessage="1" sqref="E12">
      <formula1>"Jan,Feb,Mar,Apr,May,Jun,Jul,Aug,Sep,Oct,Nov,Dec"</formula1>
    </dataValidation>
    <dataValidation type="list" allowBlank="1" showInputMessage="1" showErrorMessage="1" sqref="G12">
      <formula1>"2017,2018,2019,2020,2021,2022, 2023,2024,2025,2026"</formula1>
    </dataValidation>
    <dataValidation type="list" allowBlank="1" showInputMessage="1" showErrorMessage="1" sqref="F73:J73">
      <formula1>"Yes,No"</formula1>
    </dataValidation>
    <dataValidation allowBlank="1" showInputMessage="1" showErrorMessage="1" prompt="Please check code for linked ART centre from 'ART centre codes' worksheet" sqref="F77:J77"/>
    <dataValidation type="list" allowBlank="1" showInputMessage="1" showErrorMessage="1" sqref="F74:J74">
      <formula1>"BD FACS Count, BD FACS Calibur, Partec Cyflow, Alere PIMA, BD FACS Presto, Others"</formula1>
    </dataValidation>
    <dataValidation type="whole" operator="greaterThan" allowBlank="1" showErrorMessage="1" error="Please enter a valid phone number (Only numerical values are allowed)" sqref="E14:F14">
      <formula1>0</formula1>
    </dataValidation>
    <dataValidation type="whole" showErrorMessage="1" error="Please enter a valid 10 digit mobile number" sqref="E15:F15 E19:E41">
      <formula1>1000000000</formula1>
      <formula2>9999999999</formula2>
    </dataValidation>
    <dataValidation type="date" allowBlank="1" showInputMessage="1" showErrorMessage="1" error="Please enter a date greater than 01-01-1950 &amp; less than today's date (dd-mm-yyyy format)" prompt="Note: _x000a_Please enter a date in the dd-mm-yyyy format." sqref="F19:F41">
      <formula1>18264</formula1>
      <formula2>$K$1</formula2>
    </dataValidation>
    <dataValidation type="list" allowBlank="1" showInputMessage="1" showErrorMessage="1" sqref="F45:F64">
      <formula1>"Yes, No"</formula1>
    </dataValidation>
    <dataValidation type="whole" operator="greaterThan" showInputMessage="1" showErrorMessage="1" error="Please enter a valid phone number." sqref="D45:D64">
      <formula1>10000</formula1>
    </dataValidation>
    <dataValidation type="whole" operator="greaterThan" showInputMessage="1" showErrorMessage="1" error="Please enter a valid positive numerical value." sqref="I45:J64">
      <formula1>0</formula1>
    </dataValidation>
    <dataValidation type="list" allowBlank="1" showInputMessage="1" showErrorMessage="1" sqref="I11:J11">
      <formula1>"ARTC (under NACP), ARTC (under MCI Gazette), ARTC Plus (under NACP), FI-ARTC (under NACP), CoE (under NACP), pCoE (under NACP), PPP"</formula1>
    </dataValidation>
    <dataValidation type="list" allowBlank="1" showInputMessage="1" showErrorMessage="1" sqref="I12:J12">
      <formula1>"Medical College, District Hospital, Sub-district Hospital, Private Institution"</formula1>
    </dataValidation>
    <dataValidation type="whole" operator="greaterThan" showInputMessage="1" showErrorMessage="1" error="Please enter a valid phone number." sqref="G69:H71">
      <formula1>0</formula1>
    </dataValidation>
    <dataValidation type="date" showInputMessage="1" showErrorMessage="1" error="Please enter a date greater than 01-01-1950 &amp; less than today's date (dd-mm-yyyy format)" prompt="Note: _x000a_Please enter the 'Date of Appointment' before entering this date." sqref="G19:J41">
      <formula1>18264</formula1>
      <formula2>$K$1</formula2>
    </dataValidation>
    <dataValidation type="list" allowBlank="1" showInputMessage="1" showErrorMessage="1" sqref="A454">
      <formula1>$A$81:$A$619</formula1>
    </dataValidation>
    <dataValidation allowBlank="1" sqref="WVJ8 WLN8 WBR8 VRV8 VHZ8 UYD8 UOH8 UEL8 TUP8 TKT8 TAX8 SRB8 SHF8 RXJ8 RNN8 RDR8 QTV8 QJZ8 QAD8 PQH8 PGL8 OWP8 OMT8 OCX8 NTB8 NJF8 MZJ8 MPN8 MFR8 LVV8 LLZ8 LCD8 KSH8 KIL8 JYP8 JOT8 JEX8 IVB8 ILF8 IBJ8 HRN8 HHR8 GXV8 GNZ8 GED8 FUH8 FKL8 FAP8 EQT8 EGX8 DXB8 DNF8 DDJ8 CTN8 CJR8 BZV8 BPZ8 BGD8 AWH8 AML8 ACP8 ST8 IX8 B2:J2 WVG8:WVH8 WLK8:WLL8 WBO8:WBP8 VRS8:VRT8 VHW8:VHX8 UYA8:UYB8 UOE8:UOF8 UEI8:UEJ8 TUM8:TUN8 TKQ8:TKR8 TAU8:TAV8 SQY8:SQZ8 SHC8:SHD8 RXG8:RXH8 RNK8:RNL8 RDO8:RDP8 QTS8:QTT8 QJW8:QJX8 QAA8:QAB8 PQE8:PQF8 PGI8:PGJ8 OWM8:OWN8 OMQ8:OMR8 OCU8:OCV8 NSY8:NSZ8 NJC8:NJD8 MZG8:MZH8 MPK8:MPL8 MFO8:MFP8 LVS8:LVT8 LLW8:LLX8 LCA8:LCB8 KSE8:KSF8 KII8:KIJ8 JYM8:JYN8 JOQ8:JOR8 JEU8:JEV8 IUY8:IUZ8 ILC8:ILD8 IBG8:IBH8 HRK8:HRL8 HHO8:HHP8 GXS8:GXT8 GNW8:GNX8 GEA8:GEB8 FUE8:FUF8 FKI8:FKJ8 FAM8:FAN8 EQQ8:EQR8 EGU8:EGV8 DWY8:DWZ8 DNC8:DND8 DDG8:DDH8 CTK8:CTL8 CJO8:CJP8 BZS8:BZT8 BPW8:BPX8 BGA8:BGB8 AWE8:AWF8 AMI8:AMJ8 ACM8:ACN8 SQ8:SR8 IU8:IV8 A2:A3 WVK11:WVK12 WLO11:WLO12 WBS11:WBS12 VRW11:VRW12 VIA11:VIA12 UYE11:UYE12 UOI11:UOI12 UEM11:UEM12 TUQ11:TUQ12 TKU11:TKU12 TAY11:TAY12 SRC11:SRC12 SHG11:SHG12 RXK11:RXK12 RNO11:RNO12 RDS11:RDS12 QTW11:QTW12 QKA11:QKA12 QAE11:QAE12 PQI11:PQI12 PGM11:PGM12 OWQ11:OWQ12 OMU11:OMU12 OCY11:OCY12 NTC11:NTC12 NJG11:NJG12 MZK11:MZK12 MPO11:MPO12 MFS11:MFS12 LVW11:LVW12 LMA11:LMA12 LCE11:LCE12 KSI11:KSI12 KIM11:KIM12 JYQ11:JYQ12 JOU11:JOU12 JEY11:JEY12 IVC11:IVC12 ILG11:ILG12 IBK11:IBK12 HRO11:HRO12 HHS11:HHS12 GXW11:GXW12 GOA11:GOA12 GEE11:GEE12 FUI11:FUI12 FKM11:FKM12 FAQ11:FAQ12 EQU11:EQU12 EGY11:EGY12 DXC11:DXC12 DNG11:DNG12 DDK11:DDK12 CTO11:CTO12 CJS11:CJS12 BZW11:BZW12 BQA11:BQA12 BGE11:BGE12 AWI11:AWI12 AMM11:AMM12 ACQ11:ACQ12 SU11:SU12 IY11:IY12 WVJ13:WVO13 WLN13:WLS13 WBR13:WBW13 VRV13:VSA13 VHZ13:VIE13 UYD13:UYI13 UOH13:UOM13 UEL13:UEQ13 TUP13:TUU13 TKT13:TKY13 TAX13:TBC13 SRB13:SRG13 SHF13:SHK13 RXJ13:RXO13 RNN13:RNS13 RDR13:RDW13 QTV13:QUA13 QJZ13:QKE13 QAD13:QAI13 PQH13:PQM13 PGL13:PGQ13 OWP13:OWU13 OMT13:OMY13 OCX13:ODC13 NTB13:NTG13 NJF13:NJK13 MZJ13:MZO13 MPN13:MPS13 MFR13:MFW13 LVV13:LWA13 LLZ13:LME13 LCD13:LCI13 KSH13:KSM13 KIL13:KIQ13 JYP13:JYU13 JOT13:JOY13 JEX13:JFC13 IVB13:IVG13 ILF13:ILK13 IBJ13:IBO13 HRN13:HRS13 HHR13:HHW13 GXV13:GYA13 GNZ13:GOE13 GED13:GEI13 FUH13:FUM13 FKL13:FKQ13 FAP13:FAU13 EQT13:EQY13 EGX13:EHC13 DXB13:DXG13 DNF13:DNK13 DDJ13:DDO13 CTN13:CTS13 CJR13:CJW13 BZV13:CAA13 BPZ13:BQE13 BGD13:BGI13 AWH13:AWM13 AML13:AMQ13 ACP13:ACU13 ST13:SY13 IX13:JC13 E13:J13 WVH13 WLL13 WBP13 VRT13 VHX13 UYB13 UOF13 UEJ13 TUN13 TKR13 TAV13 SQZ13 SHD13 RXH13 RNL13 RDP13 QTT13 QJX13 QAB13 PQF13 PGJ13 OWN13 OMR13 OCV13 NSZ13 NJD13 MZH13 MPL13 MFP13 LVT13 LLX13 LCB13 KSF13 KIJ13 JYN13 JOR13 JEV13 IUZ13 ILD13 IBH13 HRL13 HHP13 GXT13 GNX13 GEB13 FUF13 FKJ13 FAN13 EQR13 EGV13 DWZ13 DND13 DDH13 CTL13 CJP13 BZT13 BPX13 BGB13 AWF13 AMJ13 ACN13 SR13 IV13 C13 WVN11 WLR11 WBV11 VRZ11 VID11 UYH11 UOL11 UEP11 TUT11 TKX11 TBB11 SRF11 SHJ11 RXN11 RNR11 RDV11 QTZ11 QKD11 QAH11 PQL11 PGP11 OWT11 OMX11 ODB11 NTF11 NJJ11 MZN11 MPR11 MFV11 LVZ11 LMD11 LCH11 KSL11 KIP11 JYT11 JOX11 JFB11 IVF11 ILJ11 IBN11 HRR11 HHV11 GXZ11 GOD11 GEH11 FUL11 FKP11 FAT11 EQX11 EHB11 DXF11 DNJ11 DDN11 CTR11 CJV11 BZZ11 BQD11 BGH11 AWL11 AMP11 ACT11 SX11 JB11 D11:D15 WVG12:WVG13 WLK12:WLK13 WBO12:WBO13 VRS12:VRS13 VHW12:VHW13 UYA12:UYA13 UOE12:UOE13 UEI12:UEI13 TUM12:TUM13 TKQ12:TKQ13 TAU12:TAU13 SQY12:SQY13 SHC12:SHC13 RXG12:RXG13 RNK12:RNK13 RDO12:RDO13 QTS12:QTS13 QJW12:QJW13 QAA12:QAA13 PQE12:PQE13 PGI12:PGI13 OWM12:OWM13 OMQ12:OMQ13 OCU12:OCU13 NSY12:NSY13 NJC12:NJC13 MZG12:MZG13 MPK12:MPK13 MFO12:MFO13 LVS12:LVS13 LLW12:LLW13 LCA12:LCA13 KSE12:KSE13 KII12:KII13 JYM12:JYM13 JOQ12:JOQ13 JEU12:JEU13 IUY12:IUY13 ILC12:ILC13 IBG12:IBG13 HRK12:HRK13 HHO12:HHO13 GXS12:GXS13 GNW12:GNW13 GEA12:GEA13 FUE12:FUE13 FKI12:FKI13 FAM12:FAM13 EQQ12:EQQ13 EGU12:EGU13 DWY12:DWY13 DNC12:DNC13 DDG12:DDG13 CTK12:CTK13 CJO12:CJO13 BZS12:BZS13 BPW12:BPW13 BGA12:BGA13 AWE12:AWE13 AMI12:AMI13 ACM12:ACM13 SQ12:SQ13 IU12:IU13 B12:B13 WVL15 WLP15 WBT15 VRX15 VIB15 UYF15 UOJ15 UEN15 TUR15 TKV15 TAZ15 SRD15 SHH15 RXL15 RNP15 RDT15 QTX15 QKB15 QAF15 PQJ15 PGN15 OWR15 OMV15 OCZ15 NTD15 NJH15 MZL15 MPP15 MFT15 LVX15 LMB15 LCF15 KSJ15 KIN15 JYR15 JOV15 JEZ15 IVD15 ILH15 IBL15 HRP15 HHT15 GXX15 GOB15 GEF15 FUJ15 FKN15 FAR15 EQV15 EGZ15 DXD15 DNH15 DDL15 CTP15 CJT15 BZX15 BQB15 BGF15 AWJ15 AMN15 ACR15 SV15 IZ15 G15 WVN15 WLR15 WBV15 VRZ15 VID15 UYH15 UOL15 UEP15 TUT15 TKX15 TBB15 SRF15 SHJ15 RXN15 RNR15 RDV15 QTZ15 QKD15 QAH15 PQL15 PGP15 OWT15 OMX15 ODB15 NTF15 NJJ15 MZN15 MPR15 MFV15 LVZ15 LMD15 LCH15 KSL15 KIP15 JYT15 JOX15 JFB15 IVF15 ILJ15 IBN15 HRR15 HHV15 GXZ15 GOD15 GEH15 FUL15 FKP15 FAT15 EQX15 EHB15 DXF15 DNJ15 DDN15 CTR15 CJV15 BZZ15 BQD15 BGH15 AWL15 AMP15 ACT15 SX15 JB15 I15 WVL14:WVM14 WLP14:WLQ14 WBT14:WBU14 VRX14:VRY14 VIB14:VIC14 UYF14:UYG14 UOJ14:UOK14 UEN14:UEO14 TUR14:TUS14 TKV14:TKW14 TAZ14:TBA14 SRD14:SRE14 SHH14:SHI14 RXL14:RXM14 RNP14:RNQ14 RDT14:RDU14 QTX14:QTY14 QKB14:QKC14 QAF14:QAG14 PQJ14:PQK14 PGN14:PGO14 OWR14:OWS14 OMV14:OMW14 OCZ14:ODA14 NTD14:NTE14 NJH14:NJI14 MZL14:MZM14 MPP14:MPQ14 MFT14:MFU14 LVX14:LVY14 LMB14:LMC14 LCF14:LCG14 KSJ14:KSK14 KIN14:KIO14 JYR14:JYS14 JOV14:JOW14 JEZ14:JFA14 IVD14:IVE14 ILH14:ILI14 IBL14:IBM14 HRP14:HRQ14 HHT14:HHU14 GXX14:GXY14 GOB14:GOC14 GEF14:GEG14 FUJ14:FUK14 FKN14:FKO14 FAR14:FAS14 EQV14:EQW14 EGZ14:EHA14 DXD14:DXE14 DNH14:DNI14 DDL14:DDM14 CTP14:CTQ14 CJT14:CJU14 BZX14:BZY14 BQB14:BQC14 BGF14:BGG14 AWJ14:AWK14 AMN14:AMO14 ACR14:ACS14 SV14:SW14 IZ14:JA14 G14:H14 WVI12:WVI15 WLM12:WLM15 WBQ12:WBQ15 VRU12:VRU15 VHY12:VHY15 UYC12:UYC15 UOG12:UOG15 UEK12:UEK15 TUO12:TUO15 TKS12:TKS15 TAW12:TAW15 SRA12:SRA15 SHE12:SHE15 RXI12:RXI15 RNM12:RNM15 RDQ12:RDQ15 QTU12:QTU15 QJY12:QJY15 QAC12:QAC15 PQG12:PQG15 PGK12:PGK15 OWO12:OWO15 OMS12:OMS15 OCW12:OCW15 NTA12:NTA15 NJE12:NJE15 MZI12:MZI15 MPM12:MPM15 MFQ12:MFQ15 LVU12:LVU15 LLY12:LLY15 LCC12:LCC15 KSG12:KSG15 KIK12:KIK15 JYO12:JYO15 JOS12:JOS15 JEW12:JEW15 IVA12:IVA15 ILE12:ILE15 IBI12:IBI15 HRM12:HRM15 HHQ12:HHQ15 GXU12:GXU15 GNY12:GNY15 GEC12:GEC15 FUG12:FUG15 FKK12:FKK15 FAO12:FAO15 EQS12:EQS15 EGW12:EGW15 DXA12:DXA15 DNE12:DNE15 DDI12:DDI15 CTM12:CTM15 CJQ12:CJQ15 BZU12:BZU15 BPY12:BPY15 BGC12:BGC15 AWG12:AWG15 AMK12:AMK15 ACO12:ACO15 SS12:SS15 IW12:IW15 WVJ14:WVJ15 WLN14:WLN15 WBR14:WBR15 VRV14:VRV15 VHZ14:VHZ15 UYD14:UYD15 UOH14:UOH15 UEL14:UEL15 TUP14:TUP15 TKT14:TKT15 TAX14:TAX15 SRB14:SRB15 SHF14:SHF15 RXJ14:RXJ15 RNN14:RNN15 RDR14:RDR15 QTV14:QTV15 QJZ14:QJZ15 QAD14:QAD15 PQH14:PQH15 PGL14:PGL15 OWP14:OWP15 OMT14:OMT15 OCX14:OCX15 NTB14:NTB15 NJF14:NJF15 MZJ14:MZJ15 MPN14:MPN15 MFR14:MFR15 LVV14:LVV15 LLZ14:LLZ15 LCD14:LCD15 KSH14:KSH15 KIL14:KIL15 JYP14:JYP15 JOT14:JOT15 JEX14:JEX15 IVB14:IVB15 ILF14:ILF15 IBJ14:IBJ15 HRN14:HRN15 HHR14:HHR15 GXV14:GXV15 GNZ14:GNZ15 GED14:GED15 FUH14:FUH15 FKL14:FKL15 FAP14:FAP15 EQT14:EQT15 EGX14:EGX15 DXB14:DXB15 DNF14:DNF15 DDJ14:DDJ15 CTN14:CTN15 CJR14:CJR15 BZV14:BZV15 BPZ14:BPZ15 BGD14:BGD15 AWH14:AWH15 AML14:AML15 ACP14:ACP15 ST14:ST15 IX14:IX15 SR10:SR11 WVF2:WVO3 WLJ2:WLS3 WBN2:WBW3 VRR2:VSA3 VHV2:VIE3 UXZ2:UYI3 UOD2:UOM3 UEH2:UEQ3 TUL2:TUU3 TKP2:TKY3 TAT2:TBC3 SQX2:SRG3 SHB2:SHK3 RXF2:RXO3 RNJ2:RNS3 RDN2:RDW3 QTR2:QUA3 QJV2:QKE3 PZZ2:QAI3 PQD2:PQM3 PGH2:PGQ3 OWL2:OWU3 OMP2:OMY3 OCT2:ODC3 NSX2:NTG3 NJB2:NJK3 MZF2:MZO3 MPJ2:MPS3 MFN2:MFW3 LVR2:LWA3 LLV2:LME3 LBZ2:LCI3 KSD2:KSM3 KIH2:KIQ3 JYL2:JYU3 JOP2:JOY3 JET2:JFC3 IUX2:IVG3 ILB2:ILK3 IBF2:IBO3 HRJ2:HRS3 HHN2:HHW3 GXR2:GYA3 GNV2:GOE3 GDZ2:GEI3 FUD2:FUM3 FKH2:FKQ3 FAL2:FAU3 EQP2:EQY3 EGT2:EHC3 DWX2:DXG3 DNB2:DNK3 DDF2:DDO3 CTJ2:CTS3 CJN2:CJW3 BZR2:CAA3 BPV2:BQE3 BFZ2:BGI3 AWD2:AWM3 AMH2:AMQ3 ACL2:ACU3 SP2:SY3 IT2:JC3 IV10:IV11 WVF6:WVF14 WLJ6:WLJ14 WBN6:WBN14 VRR6:VRR14 VHV6:VHV14 UXZ6:UXZ14 UOD6:UOD14 UEH6:UEH14 TUL6:TUL14 TKP6:TKP14 TAT6:TAT14 SQX6:SQX14 SHB6:SHB14 RXF6:RXF14 RNJ6:RNJ14 RDN6:RDN14 QTR6:QTR14 QJV6:QJV14 PZZ6:PZZ14 PQD6:PQD14 PGH6:PGH14 OWL6:OWL14 OMP6:OMP14 OCT6:OCT14 NSX6:NSX14 NJB6:NJB14 MZF6:MZF14 MPJ6:MPJ14 MFN6:MFN14 LVR6:LVR14 LLV6:LLV14 LBZ6:LBZ14 KSD6:KSD14 KIH6:KIH14 JYL6:JYL14 JOP6:JOP14 JET6:JET14 IUX6:IUX14 ILB6:ILB14 IBF6:IBF14 HRJ6:HRJ14 HHN6:HHN14 GXR6:GXR14 GNV6:GNV14 GDZ6:GDZ14 FUD6:FUD14 FKH6:FKH14 FAL6:FAL14 EQP6:EQP14 EGT6:EGT14 DWX6:DWX14 DNB6:DNB14 DDF6:DDF14 CTJ6:CTJ14 CJN6:CJN14 BZR6:BZR14 BPV6:BPV14 BFZ6:BFZ14 AWD6:AWD14 AMH6:AMH14 ACL6:ACL14 SP6:SP14 IT6:IT14 A6:A14 WVH6 WLL6 WBP6 VRT6 VHX6 UYB6 UOF6 UEJ6 TUN6 TKR6 TAV6 SQZ6 SHD6 RXH6 RNL6 RDP6 QTT6 QJX6 QAB6 PQF6 PGJ6 OWN6 OMR6 OCV6 NSZ6 NJD6 MZH6 MPL6 MFP6 LVT6 LLX6 LCB6 KSF6 KIJ6 JYN6 JOR6 JEV6 IUZ6 ILD6 IBH6 HRL6 HHP6 GXT6 GNX6 GEB6 FUF6 FKJ6 FAN6 EQR6 EGV6 DWZ6 DND6 DDH6 CTL6 CJP6 BZT6 BPX6 BGB6 AWF6 AMJ6 ACN6 SR6 IV6 C6 WVF4:WVM4 WLJ4:WLQ4 WBN4:WBU4 VRR4:VRY4 VHV4:VIC4 UXZ4:UYG4 UOD4:UOK4 UEH4:UEO4 TUL4:TUS4 TKP4:TKW4 TAT4:TBA4 SQX4:SRE4 SHB4:SHI4 RXF4:RXM4 RNJ4:RNQ4 RDN4:RDU4 QTR4:QTY4 QJV4:QKC4 PZZ4:QAG4 PQD4:PQK4 PGH4:PGO4 OWL4:OWS4 OMP4:OMW4 OCT4:ODA4 NSX4:NTE4 NJB4:NJI4 MZF4:MZM4 MPJ4:MPQ4 MFN4:MFU4 LVR4:LVY4 LLV4:LMC4 LBZ4:LCG4 KSD4:KSK4 KIH4:KIO4 JYL4:JYS4 JOP4:JOW4 JET4:JFA4 IUX4:IVE4 ILB4:ILI4 IBF4:IBM4 HRJ4:HRQ4 HHN4:HHU4 GXR4:GXY4 GNV4:GOC4 GDZ4:GEG4 FUD4:FUK4 FKH4:FKO4 FAL4:FAS4 EQP4:EQW4 EGT4:EHA4 DWX4:DXE4 DNB4:DNI4 DDF4:DDM4 CTJ4:CTQ4 CJN4:CJU4 BZR4:BZY4 BPV4:BQC4 BFZ4:BGG4 AWD4:AWK4 AMH4:AMO4 ACL4:ACS4 SP4:SW4 IT4:JA4 A4:H4 WVL8 WLP8 WBT8 VRX8 VIB8 UYF8 UOJ8 UEN8 TUR8 TKV8 TAZ8 SRD8 SHH8 RXL8 RNP8 RDT8 QTX8 QKB8 QAF8 PQJ8 PGN8 OWR8 OMV8 OCZ8 NTD8 NJH8 MZL8 MPP8 MFT8 LVX8 LMB8 LCF8 KSJ8 KIN8 JYR8 JOV8 JEZ8 IVD8 ILH8 IBL8 HRP8 HHT8 GXX8 GOB8 GEF8 FUJ8 FKN8 FAR8 EQV8 EGZ8 DXD8 DNH8 DDL8 CTP8 CJT8 BZX8 BQB8 BGF8 AWJ8 AMN8 ACR8 SV8 IZ8 F12 WVH10:WVH11 WLL10:WLL11 WBP10:WBP11 VRT10:VRT11 VHX10:VHX11 UYB10:UYB11 UOF10:UOF11 UEJ10:UEJ11 TUN10:TUN11 TKR10:TKR11 TAV10:TAV11 SQZ10:SQZ11 SHD10:SHD11 RXH10:RXH11 RNL10:RNL11 RDP10:RDP11 QTT10:QTT11 QJX10:QJX11 QAB10:QAB11 PQF10:PQF11 PGJ10:PGJ11 OWN10:OWN11 OMR10:OMR11 OCV10:OCV11 NSZ10:NSZ11 NJD10:NJD11 MZH10:MZH11 MPL10:MPL11 MFP10:MFP11 LVT10:LVT11 LLX10:LLX11 LCB10:LCB11 KSF10:KSF11 KIJ10:KIJ11 JYN10:JYN11 JOR10:JOR11 JEV10:JEV11 IUZ10:IUZ11 ILD10:ILD11 IBH10:IBH11 HRL10:HRL11 HHP10:HHP11 GXT10:GXT11 GNX10:GNX11 GEB10:GEB11 FUF10:FUF11 FKJ10:FKJ11 FAN10:FAN11 EQR10:EQR11 EGV10:EGV11 DWZ10:DWZ11 DND10:DND11 DDH10:DDH11 CTL10:CTL11 CJP10:CJP11 BZT10:BZT11 BPX10:BPX11 BGB10:BGB11 AWF10:AWF11 AMJ10:AMJ11 ACN10:ACN11"/>
  </dataValidations>
  <hyperlinks>
    <hyperlink ref="C6" r:id="rId1" display="artreports@gmail.com, "/>
  </hyperlinks>
  <printOptions gridLines="1"/>
  <pageMargins left="0.25" right="0.25" top="0.17" bottom="0.18" header="0.3" footer="0.3"/>
  <pageSetup scale="80" orientation="portrait" errors="blank" r:id="rId2"/>
  <ignoredErrors>
    <ignoredError sqref="B11" unlockedFormula="1"/>
  </ignoredErrors>
  <drawing r:id="rId3"/>
  <extLst>
    <ext xmlns:x14="http://schemas.microsoft.com/office/spreadsheetml/2009/9/main" uri="{CCE6A557-97BC-4b89-ADB6-D9C93CAAB3DF}">
      <x14:dataValidations xmlns:xm="http://schemas.microsoft.com/office/excel/2006/main" xWindow="644" yWindow="370" count="2">
        <x14:dataValidation type="list" allowBlank="1" showInputMessage="1" showErrorMessage="1" error="Please enter a valid ART Centre code" prompt="Please check code for the ART centre from 'ART Centre Codes' worksheet">
          <x14:formula1>
            <xm:f>'ART Centre Codes'!$A$4:$A$864</xm:f>
          </x14:formula1>
          <xm:sqref>D8:J8</xm:sqref>
        </x14:dataValidation>
        <x14:dataValidation type="list" allowBlank="1" showInputMessage="1" showErrorMessage="1" error="Please enter a valid ART Centre code" prompt="Please check code for linked ART centre from 'ART Centre Codes' worksheet">
          <x14:formula1>
            <xm:f>'ART Centre Codes'!$A$4:$A$864</xm:f>
          </x14:formula1>
          <xm:sqref>F76:J76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92"/>
  <sheetViews>
    <sheetView showGridLines="0" tabSelected="1" topLeftCell="E37" zoomScaleNormal="100" workbookViewId="0">
      <selection activeCell="J15" sqref="J15"/>
    </sheetView>
  </sheetViews>
  <sheetFormatPr defaultColWidth="0" defaultRowHeight="15" zeroHeight="1" x14ac:dyDescent="0.25"/>
  <cols>
    <col min="1" max="2" width="9.85546875" customWidth="1"/>
    <col min="3" max="3" width="14.7109375" customWidth="1"/>
    <col min="4" max="4" width="9.85546875" customWidth="1"/>
    <col min="5" max="5" width="24.85546875" customWidth="1"/>
    <col min="6" max="8" width="9.7109375" customWidth="1"/>
    <col min="9" max="9" width="9.85546875" customWidth="1"/>
    <col min="10" max="10" width="10" customWidth="1"/>
    <col min="11" max="11" width="10.7109375" customWidth="1"/>
    <col min="12" max="12" width="31.28515625" style="51" customWidth="1"/>
    <col min="13" max="16384" width="9.140625" hidden="1"/>
  </cols>
  <sheetData>
    <row r="1" spans="1:12" ht="19.149999999999999" customHeight="1" x14ac:dyDescent="0.25">
      <c r="A1" s="329" t="s">
        <v>1948</v>
      </c>
      <c r="B1" s="330"/>
      <c r="C1" s="330"/>
      <c r="D1" s="330"/>
      <c r="E1" s="330"/>
      <c r="F1" s="330"/>
      <c r="G1" s="330"/>
      <c r="H1" s="330"/>
      <c r="I1" s="330"/>
      <c r="J1" s="330"/>
      <c r="K1" s="31" t="s">
        <v>21</v>
      </c>
      <c r="L1" s="25"/>
    </row>
    <row r="2" spans="1:12" x14ac:dyDescent="0.25">
      <c r="A2" s="333" t="s">
        <v>1945</v>
      </c>
      <c r="B2" s="333"/>
      <c r="C2" s="333"/>
      <c r="D2" s="332" t="str">
        <f>ART_1!D8</f>
        <v>ART-DL-SOU-02</v>
      </c>
      <c r="E2" s="332"/>
      <c r="F2" s="332"/>
      <c r="G2" s="332"/>
      <c r="H2" s="332"/>
      <c r="I2" s="332"/>
      <c r="J2" s="332"/>
      <c r="K2" s="332"/>
      <c r="L2" s="25"/>
    </row>
    <row r="3" spans="1:12" x14ac:dyDescent="0.25">
      <c r="A3" s="334" t="s">
        <v>1842</v>
      </c>
      <c r="B3" s="334"/>
      <c r="C3" s="334"/>
      <c r="D3" s="334"/>
      <c r="E3" s="334"/>
      <c r="F3" s="334"/>
      <c r="G3" s="334"/>
      <c r="H3" s="334"/>
      <c r="I3" s="334"/>
      <c r="J3" s="334"/>
      <c r="K3" s="335"/>
      <c r="L3" s="25"/>
    </row>
    <row r="4" spans="1:12" x14ac:dyDescent="0.25">
      <c r="A4" s="314" t="s">
        <v>61</v>
      </c>
      <c r="B4" s="314"/>
      <c r="C4" s="314"/>
      <c r="D4" s="314"/>
      <c r="E4" s="314"/>
      <c r="F4" s="314" t="s">
        <v>7</v>
      </c>
      <c r="G4" s="314"/>
      <c r="H4" s="314"/>
      <c r="I4" s="315" t="s">
        <v>60</v>
      </c>
      <c r="J4" s="316"/>
      <c r="K4" s="311" t="s">
        <v>5</v>
      </c>
      <c r="L4" s="49"/>
    </row>
    <row r="5" spans="1:12" x14ac:dyDescent="0.25">
      <c r="A5" s="314"/>
      <c r="B5" s="314"/>
      <c r="C5" s="314"/>
      <c r="D5" s="314"/>
      <c r="E5" s="314"/>
      <c r="F5" s="32" t="s">
        <v>1</v>
      </c>
      <c r="G5" s="32" t="s">
        <v>2</v>
      </c>
      <c r="H5" s="32" t="s">
        <v>3</v>
      </c>
      <c r="I5" s="32" t="s">
        <v>1</v>
      </c>
      <c r="J5" s="32" t="s">
        <v>2</v>
      </c>
      <c r="K5" s="311"/>
      <c r="L5" s="49"/>
    </row>
    <row r="6" spans="1:12" ht="23.25" customHeight="1" x14ac:dyDescent="0.25">
      <c r="A6" s="336" t="s">
        <v>1885</v>
      </c>
      <c r="B6" s="337"/>
      <c r="C6" s="338"/>
      <c r="D6" s="338"/>
      <c r="E6" s="338"/>
      <c r="F6" s="33">
        <v>2630</v>
      </c>
      <c r="G6" s="33">
        <v>1070</v>
      </c>
      <c r="H6" s="33">
        <v>45</v>
      </c>
      <c r="I6" s="33">
        <v>34</v>
      </c>
      <c r="J6" s="33">
        <v>15</v>
      </c>
      <c r="K6" s="34">
        <f t="shared" ref="K6:K12" si="0">F6+G6+H6+I6+J6</f>
        <v>3794</v>
      </c>
      <c r="L6" s="49"/>
    </row>
    <row r="7" spans="1:12" ht="23.25" customHeight="1" x14ac:dyDescent="0.25">
      <c r="A7" s="337" t="s">
        <v>1886</v>
      </c>
      <c r="B7" s="337"/>
      <c r="C7" s="338"/>
      <c r="D7" s="338"/>
      <c r="E7" s="338"/>
      <c r="F7" s="33">
        <v>13</v>
      </c>
      <c r="G7" s="33">
        <v>3</v>
      </c>
      <c r="H7" s="33">
        <v>0</v>
      </c>
      <c r="I7" s="33">
        <v>0</v>
      </c>
      <c r="J7" s="33">
        <v>0</v>
      </c>
      <c r="K7" s="34">
        <f t="shared" si="0"/>
        <v>16</v>
      </c>
      <c r="L7" s="49"/>
    </row>
    <row r="8" spans="1:12" ht="23.25" customHeight="1" x14ac:dyDescent="0.25">
      <c r="A8" s="336" t="s">
        <v>1887</v>
      </c>
      <c r="B8" s="337"/>
      <c r="C8" s="338"/>
      <c r="D8" s="338"/>
      <c r="E8" s="338"/>
      <c r="F8" s="33">
        <v>6</v>
      </c>
      <c r="G8" s="33">
        <v>1</v>
      </c>
      <c r="H8" s="33">
        <v>0</v>
      </c>
      <c r="I8" s="33">
        <v>0</v>
      </c>
      <c r="J8" s="33">
        <v>0</v>
      </c>
      <c r="K8" s="34">
        <f t="shared" si="0"/>
        <v>7</v>
      </c>
      <c r="L8" s="49"/>
    </row>
    <row r="9" spans="1:12" ht="23.25" customHeight="1" x14ac:dyDescent="0.25">
      <c r="A9" s="312" t="s">
        <v>1882</v>
      </c>
      <c r="B9" s="313"/>
      <c r="C9" s="313"/>
      <c r="D9" s="313"/>
      <c r="E9" s="35" t="s">
        <v>63</v>
      </c>
      <c r="F9" s="33">
        <v>1</v>
      </c>
      <c r="G9" s="33">
        <v>0</v>
      </c>
      <c r="H9" s="33">
        <v>0</v>
      </c>
      <c r="I9" s="33">
        <v>0</v>
      </c>
      <c r="J9" s="33">
        <v>0</v>
      </c>
      <c r="K9" s="34">
        <f t="shared" si="0"/>
        <v>1</v>
      </c>
      <c r="L9" s="49"/>
    </row>
    <row r="10" spans="1:12" ht="23.25" customHeight="1" x14ac:dyDescent="0.25">
      <c r="A10" s="313"/>
      <c r="B10" s="313"/>
      <c r="C10" s="313"/>
      <c r="D10" s="313"/>
      <c r="E10" s="36" t="s">
        <v>62</v>
      </c>
      <c r="F10" s="33">
        <v>0</v>
      </c>
      <c r="G10" s="33">
        <v>1</v>
      </c>
      <c r="H10" s="33">
        <v>0</v>
      </c>
      <c r="I10" s="33">
        <v>0</v>
      </c>
      <c r="J10" s="33">
        <v>0</v>
      </c>
      <c r="K10" s="34">
        <f t="shared" si="0"/>
        <v>1</v>
      </c>
      <c r="L10" s="49"/>
    </row>
    <row r="11" spans="1:12" ht="47.25" customHeight="1" x14ac:dyDescent="0.25">
      <c r="A11" s="312" t="s">
        <v>1849</v>
      </c>
      <c r="B11" s="313"/>
      <c r="C11" s="313"/>
      <c r="D11" s="313"/>
      <c r="E11" s="313"/>
      <c r="F11" s="34">
        <f>F6+F7+F8-F9-F10</f>
        <v>2648</v>
      </c>
      <c r="G11" s="34">
        <f>G6+G7+G8-G9-G10</f>
        <v>1073</v>
      </c>
      <c r="H11" s="34">
        <f>H6+H7+H8-H9-H10</f>
        <v>45</v>
      </c>
      <c r="I11" s="34">
        <f>I6+I7+I8-I9-I10</f>
        <v>34</v>
      </c>
      <c r="J11" s="34">
        <f>J6+J7+J8-J9-J10</f>
        <v>15</v>
      </c>
      <c r="K11" s="34">
        <f t="shared" si="0"/>
        <v>3815</v>
      </c>
      <c r="L11" s="50" t="s">
        <v>1923</v>
      </c>
    </row>
    <row r="12" spans="1:12" ht="23.25" customHeight="1" x14ac:dyDescent="0.25">
      <c r="A12" s="312" t="s">
        <v>1805</v>
      </c>
      <c r="B12" s="313"/>
      <c r="C12" s="313"/>
      <c r="D12" s="313"/>
      <c r="E12" s="35" t="s">
        <v>63</v>
      </c>
      <c r="F12" s="33">
        <v>103</v>
      </c>
      <c r="G12" s="33">
        <v>33</v>
      </c>
      <c r="H12" s="33">
        <v>0</v>
      </c>
      <c r="I12" s="33">
        <v>0</v>
      </c>
      <c r="J12" s="33">
        <v>2</v>
      </c>
      <c r="K12" s="34">
        <f t="shared" si="0"/>
        <v>138</v>
      </c>
      <c r="L12" s="49"/>
    </row>
    <row r="13" spans="1:12" ht="23.25" customHeight="1" x14ac:dyDescent="0.25">
      <c r="A13" s="313"/>
      <c r="B13" s="313"/>
      <c r="C13" s="313"/>
      <c r="D13" s="313"/>
      <c r="E13" s="36" t="s">
        <v>62</v>
      </c>
      <c r="F13" s="33">
        <v>511</v>
      </c>
      <c r="G13" s="33">
        <v>151</v>
      </c>
      <c r="H13" s="33">
        <v>4</v>
      </c>
      <c r="I13" s="33">
        <v>8</v>
      </c>
      <c r="J13" s="33">
        <v>1</v>
      </c>
      <c r="K13" s="34">
        <f t="shared" ref="K13:K23" si="1">F13+G13+H13+I13+J13</f>
        <v>675</v>
      </c>
      <c r="L13" s="49"/>
    </row>
    <row r="14" spans="1:12" s="125" customFormat="1" ht="23.25" customHeight="1" x14ac:dyDescent="0.25">
      <c r="A14" s="312" t="s">
        <v>2533</v>
      </c>
      <c r="B14" s="313"/>
      <c r="C14" s="313"/>
      <c r="D14" s="313"/>
      <c r="E14" s="35" t="s">
        <v>2531</v>
      </c>
      <c r="F14" s="37">
        <v>48</v>
      </c>
      <c r="G14" s="37">
        <v>11</v>
      </c>
      <c r="H14" s="37">
        <v>2</v>
      </c>
      <c r="I14" s="37">
        <v>3</v>
      </c>
      <c r="J14" s="37">
        <v>0</v>
      </c>
      <c r="K14" s="34">
        <f t="shared" si="1"/>
        <v>64</v>
      </c>
      <c r="L14" s="49"/>
    </row>
    <row r="15" spans="1:12" s="125" customFormat="1" ht="23.25" customHeight="1" x14ac:dyDescent="0.25">
      <c r="A15" s="313"/>
      <c r="B15" s="313"/>
      <c r="C15" s="313"/>
      <c r="D15" s="313"/>
      <c r="E15" s="36" t="s">
        <v>2532</v>
      </c>
      <c r="F15" s="37">
        <v>304</v>
      </c>
      <c r="G15" s="37">
        <v>115</v>
      </c>
      <c r="H15" s="37">
        <v>10</v>
      </c>
      <c r="I15" s="37">
        <v>2</v>
      </c>
      <c r="J15" s="37">
        <v>2</v>
      </c>
      <c r="K15" s="34">
        <f t="shared" si="1"/>
        <v>433</v>
      </c>
      <c r="L15" s="49"/>
    </row>
    <row r="16" spans="1:12" ht="23.25" customHeight="1" x14ac:dyDescent="0.25">
      <c r="A16" s="312" t="s">
        <v>1850</v>
      </c>
      <c r="B16" s="313"/>
      <c r="C16" s="313"/>
      <c r="D16" s="313"/>
      <c r="E16" s="35" t="s">
        <v>63</v>
      </c>
      <c r="F16" s="33">
        <v>2</v>
      </c>
      <c r="G16" s="33">
        <v>0</v>
      </c>
      <c r="H16" s="33">
        <v>0</v>
      </c>
      <c r="I16" s="33">
        <v>0</v>
      </c>
      <c r="J16" s="33">
        <v>0</v>
      </c>
      <c r="K16" s="34">
        <f t="shared" si="1"/>
        <v>2</v>
      </c>
      <c r="L16" s="49"/>
    </row>
    <row r="17" spans="1:12" ht="23.25" customHeight="1" x14ac:dyDescent="0.25">
      <c r="A17" s="313"/>
      <c r="B17" s="313"/>
      <c r="C17" s="313"/>
      <c r="D17" s="313"/>
      <c r="E17" s="36" t="s">
        <v>62</v>
      </c>
      <c r="F17" s="33">
        <v>11</v>
      </c>
      <c r="G17" s="33">
        <v>7</v>
      </c>
      <c r="H17" s="33">
        <v>0</v>
      </c>
      <c r="I17" s="33">
        <v>0</v>
      </c>
      <c r="J17" s="33">
        <v>0</v>
      </c>
      <c r="K17" s="34">
        <f t="shared" si="1"/>
        <v>18</v>
      </c>
      <c r="L17" s="49"/>
    </row>
    <row r="18" spans="1:12" s="125" customFormat="1" ht="23.25" customHeight="1" x14ac:dyDescent="0.25">
      <c r="A18" s="321" t="s">
        <v>2534</v>
      </c>
      <c r="B18" s="322"/>
      <c r="C18" s="322"/>
      <c r="D18" s="323"/>
      <c r="E18" s="35" t="s">
        <v>63</v>
      </c>
      <c r="F18" s="37">
        <v>179</v>
      </c>
      <c r="G18" s="37">
        <v>100</v>
      </c>
      <c r="H18" s="37">
        <v>2</v>
      </c>
      <c r="I18" s="37">
        <v>6</v>
      </c>
      <c r="J18" s="37">
        <v>2</v>
      </c>
      <c r="K18" s="34">
        <f>F18+G18+H18+I18+J18</f>
        <v>289</v>
      </c>
      <c r="L18" s="49"/>
    </row>
    <row r="19" spans="1:12" s="125" customFormat="1" ht="23.25" customHeight="1" x14ac:dyDescent="0.25">
      <c r="A19" s="324"/>
      <c r="B19" s="325"/>
      <c r="C19" s="325"/>
      <c r="D19" s="326"/>
      <c r="E19" s="36" t="s">
        <v>62</v>
      </c>
      <c r="F19" s="37">
        <v>104</v>
      </c>
      <c r="G19" s="37">
        <v>18</v>
      </c>
      <c r="H19" s="37">
        <v>2</v>
      </c>
      <c r="I19" s="37">
        <v>1</v>
      </c>
      <c r="J19" s="37">
        <v>1</v>
      </c>
      <c r="K19" s="34">
        <f t="shared" si="1"/>
        <v>126</v>
      </c>
      <c r="L19" s="49"/>
    </row>
    <row r="20" spans="1:12" ht="42" x14ac:dyDescent="0.25">
      <c r="A20" s="312" t="s">
        <v>2536</v>
      </c>
      <c r="B20" s="313"/>
      <c r="C20" s="313"/>
      <c r="D20" s="313"/>
      <c r="E20" s="313"/>
      <c r="F20" s="34">
        <f>F11-(SUM(F12:F19))</f>
        <v>1386</v>
      </c>
      <c r="G20" s="34">
        <f>G11-(SUM(G12:G19))</f>
        <v>638</v>
      </c>
      <c r="H20" s="34">
        <f>H11-(SUM(H12:H19))</f>
        <v>25</v>
      </c>
      <c r="I20" s="34">
        <f>I11-(SUM(I12:I19))</f>
        <v>14</v>
      </c>
      <c r="J20" s="34">
        <f>J11-(SUM(J12:J19))</f>
        <v>7</v>
      </c>
      <c r="K20" s="34">
        <f t="shared" si="1"/>
        <v>2070</v>
      </c>
      <c r="L20" s="50" t="s">
        <v>1922</v>
      </c>
    </row>
    <row r="21" spans="1:12" ht="22.5" customHeight="1" x14ac:dyDescent="0.25">
      <c r="A21" s="320" t="s">
        <v>2294</v>
      </c>
      <c r="B21" s="319"/>
      <c r="C21" s="319"/>
      <c r="D21" s="319"/>
      <c r="E21" s="319"/>
      <c r="F21" s="33">
        <v>97</v>
      </c>
      <c r="G21" s="33">
        <v>31</v>
      </c>
      <c r="H21" s="33">
        <v>1</v>
      </c>
      <c r="I21" s="33">
        <v>0</v>
      </c>
      <c r="J21" s="33">
        <v>0</v>
      </c>
      <c r="K21" s="34">
        <f t="shared" si="1"/>
        <v>129</v>
      </c>
      <c r="L21" s="50"/>
    </row>
    <row r="22" spans="1:12" ht="22.5" customHeight="1" x14ac:dyDescent="0.25">
      <c r="A22" s="318" t="s">
        <v>2295</v>
      </c>
      <c r="B22" s="319"/>
      <c r="C22" s="319"/>
      <c r="D22" s="319"/>
      <c r="E22" s="319"/>
      <c r="F22" s="33">
        <v>84</v>
      </c>
      <c r="G22" s="33">
        <v>29</v>
      </c>
      <c r="H22" s="33">
        <v>1</v>
      </c>
      <c r="I22" s="33">
        <v>0</v>
      </c>
      <c r="J22" s="33">
        <v>0</v>
      </c>
      <c r="K22" s="34">
        <f t="shared" si="1"/>
        <v>114</v>
      </c>
      <c r="L22" s="49"/>
    </row>
    <row r="23" spans="1:12" ht="22.5" customHeight="1" x14ac:dyDescent="0.25">
      <c r="A23" s="331" t="s">
        <v>2313</v>
      </c>
      <c r="B23" s="331"/>
      <c r="C23" s="331"/>
      <c r="D23" s="331"/>
      <c r="E23" s="331"/>
      <c r="F23" s="33">
        <v>97</v>
      </c>
      <c r="G23" s="33">
        <v>31</v>
      </c>
      <c r="H23" s="33">
        <v>1</v>
      </c>
      <c r="I23" s="33">
        <v>0</v>
      </c>
      <c r="J23" s="33">
        <v>0</v>
      </c>
      <c r="K23" s="34">
        <f t="shared" si="1"/>
        <v>129</v>
      </c>
      <c r="L23" s="49"/>
    </row>
    <row r="24" spans="1:12" ht="22.5" customHeight="1" x14ac:dyDescent="0.25">
      <c r="A24" s="318" t="s">
        <v>2296</v>
      </c>
      <c r="B24" s="319"/>
      <c r="C24" s="319"/>
      <c r="D24" s="319"/>
      <c r="E24" s="319"/>
      <c r="F24" s="33">
        <v>91</v>
      </c>
      <c r="G24" s="33">
        <v>31</v>
      </c>
      <c r="H24" s="33">
        <v>1</v>
      </c>
      <c r="I24" s="33">
        <v>0</v>
      </c>
      <c r="J24" s="33">
        <v>0</v>
      </c>
      <c r="K24" s="34">
        <f>F24+G24+H24+I24+J24</f>
        <v>123</v>
      </c>
      <c r="L24" s="49"/>
    </row>
    <row r="25" spans="1:12" ht="22.5" customHeight="1" x14ac:dyDescent="0.25">
      <c r="A25" s="318" t="s">
        <v>2297</v>
      </c>
      <c r="B25" s="319"/>
      <c r="C25" s="319"/>
      <c r="D25" s="319"/>
      <c r="E25" s="319"/>
      <c r="F25" s="33">
        <v>0</v>
      </c>
      <c r="G25" s="33">
        <v>1</v>
      </c>
      <c r="H25" s="33">
        <v>0</v>
      </c>
      <c r="I25" s="33">
        <v>0</v>
      </c>
      <c r="J25" s="33">
        <v>0</v>
      </c>
      <c r="K25" s="34">
        <f>F25+G25+H25+I25+J25</f>
        <v>1</v>
      </c>
      <c r="L25" s="49"/>
    </row>
    <row r="26" spans="1:12" ht="22.5" customHeight="1" x14ac:dyDescent="0.25">
      <c r="A26" s="318" t="s">
        <v>2298</v>
      </c>
      <c r="B26" s="319"/>
      <c r="C26" s="319"/>
      <c r="D26" s="319"/>
      <c r="E26" s="319"/>
      <c r="F26" s="33">
        <v>3</v>
      </c>
      <c r="G26" s="33">
        <v>1</v>
      </c>
      <c r="H26" s="33">
        <v>0</v>
      </c>
      <c r="I26" s="33">
        <v>0</v>
      </c>
      <c r="J26" s="33">
        <v>0</v>
      </c>
      <c r="K26" s="34">
        <f t="shared" ref="K26:K31" si="2">F26+G26+H26+I26+J26</f>
        <v>4</v>
      </c>
      <c r="L26" s="49"/>
    </row>
    <row r="27" spans="1:12" ht="22.5" customHeight="1" x14ac:dyDescent="0.25">
      <c r="A27" s="318" t="s">
        <v>2299</v>
      </c>
      <c r="B27" s="319"/>
      <c r="C27" s="319"/>
      <c r="D27" s="319"/>
      <c r="E27" s="319"/>
      <c r="F27" s="33">
        <v>1</v>
      </c>
      <c r="G27" s="33">
        <v>0</v>
      </c>
      <c r="H27" s="33">
        <v>0</v>
      </c>
      <c r="I27" s="33">
        <v>0</v>
      </c>
      <c r="J27" s="33">
        <v>0</v>
      </c>
      <c r="K27" s="34">
        <f t="shared" si="2"/>
        <v>1</v>
      </c>
      <c r="L27" s="49"/>
    </row>
    <row r="28" spans="1:12" ht="22.5" customHeight="1" x14ac:dyDescent="0.25">
      <c r="A28" s="318" t="s">
        <v>2300</v>
      </c>
      <c r="B28" s="319"/>
      <c r="C28" s="319"/>
      <c r="D28" s="319"/>
      <c r="E28" s="319"/>
      <c r="F28" s="33">
        <v>3</v>
      </c>
      <c r="G28" s="33">
        <v>1</v>
      </c>
      <c r="H28" s="33">
        <v>0</v>
      </c>
      <c r="I28" s="33">
        <v>0</v>
      </c>
      <c r="J28" s="33">
        <v>0</v>
      </c>
      <c r="K28" s="34">
        <f t="shared" si="2"/>
        <v>4</v>
      </c>
      <c r="L28" s="49"/>
    </row>
    <row r="29" spans="1:12" ht="42" x14ac:dyDescent="0.25">
      <c r="A29" s="318" t="s">
        <v>2301</v>
      </c>
      <c r="B29" s="319"/>
      <c r="C29" s="319"/>
      <c r="D29" s="319"/>
      <c r="E29" s="319"/>
      <c r="F29" s="55">
        <f>F24-F25-F26-F27-F28</f>
        <v>84</v>
      </c>
      <c r="G29" s="55">
        <f>G24-G25-G26-G27-G28</f>
        <v>28</v>
      </c>
      <c r="H29" s="55">
        <f>H24-H25-H26-H27-H28</f>
        <v>1</v>
      </c>
      <c r="I29" s="55">
        <f>I24-I25-I26-I27-I28</f>
        <v>0</v>
      </c>
      <c r="J29" s="55">
        <f>J24-J25-J26-J27-J28</f>
        <v>0</v>
      </c>
      <c r="K29" s="34">
        <f t="shared" si="2"/>
        <v>113</v>
      </c>
      <c r="L29" s="50" t="s">
        <v>2277</v>
      </c>
    </row>
    <row r="30" spans="1:12" ht="23.25" customHeight="1" x14ac:dyDescent="0.25">
      <c r="A30" s="312" t="s">
        <v>2302</v>
      </c>
      <c r="B30" s="313"/>
      <c r="C30" s="313"/>
      <c r="D30" s="313"/>
      <c r="E30" s="313"/>
      <c r="F30" s="33">
        <v>23</v>
      </c>
      <c r="G30" s="33">
        <v>7</v>
      </c>
      <c r="H30" s="33">
        <v>0</v>
      </c>
      <c r="I30" s="33">
        <v>0</v>
      </c>
      <c r="J30" s="33">
        <v>0</v>
      </c>
      <c r="K30" s="34">
        <f t="shared" si="2"/>
        <v>30</v>
      </c>
      <c r="L30" s="49"/>
    </row>
    <row r="31" spans="1:12" ht="16.5" customHeight="1" x14ac:dyDescent="0.25">
      <c r="A31" s="312" t="s">
        <v>2303</v>
      </c>
      <c r="B31" s="313"/>
      <c r="C31" s="313"/>
      <c r="D31" s="313"/>
      <c r="E31" s="313"/>
      <c r="F31" s="33">
        <v>21</v>
      </c>
      <c r="G31" s="33">
        <v>7</v>
      </c>
      <c r="H31" s="33">
        <v>0</v>
      </c>
      <c r="I31" s="33">
        <v>0</v>
      </c>
      <c r="J31" s="33">
        <v>0</v>
      </c>
      <c r="K31" s="34">
        <f t="shared" si="2"/>
        <v>28</v>
      </c>
      <c r="L31" s="49"/>
    </row>
    <row r="32" spans="1:12" s="1" customFormat="1" ht="19.5" customHeight="1" x14ac:dyDescent="0.25">
      <c r="A32" s="327" t="s">
        <v>1843</v>
      </c>
      <c r="B32" s="327"/>
      <c r="C32" s="327"/>
      <c r="D32" s="327"/>
      <c r="E32" s="327"/>
      <c r="F32" s="327"/>
      <c r="G32" s="327"/>
      <c r="H32" s="327"/>
      <c r="I32" s="327"/>
      <c r="J32" s="327"/>
      <c r="K32" s="328"/>
      <c r="L32" s="49"/>
    </row>
    <row r="33" spans="1:12" ht="15" customHeight="1" x14ac:dyDescent="0.25">
      <c r="A33" s="314" t="s">
        <v>61</v>
      </c>
      <c r="B33" s="314"/>
      <c r="C33" s="314"/>
      <c r="D33" s="314"/>
      <c r="E33" s="314"/>
      <c r="F33" s="314" t="s">
        <v>7</v>
      </c>
      <c r="G33" s="314"/>
      <c r="H33" s="314"/>
      <c r="I33" s="315" t="s">
        <v>60</v>
      </c>
      <c r="J33" s="316"/>
      <c r="K33" s="317" t="s">
        <v>5</v>
      </c>
      <c r="L33" s="49"/>
    </row>
    <row r="34" spans="1:12" x14ac:dyDescent="0.25">
      <c r="A34" s="314"/>
      <c r="B34" s="314"/>
      <c r="C34" s="314"/>
      <c r="D34" s="314"/>
      <c r="E34" s="314"/>
      <c r="F34" s="32" t="s">
        <v>1</v>
      </c>
      <c r="G34" s="32" t="s">
        <v>2</v>
      </c>
      <c r="H34" s="32" t="s">
        <v>3</v>
      </c>
      <c r="I34" s="32" t="s">
        <v>1</v>
      </c>
      <c r="J34" s="32" t="s">
        <v>2</v>
      </c>
      <c r="K34" s="317"/>
      <c r="L34" s="49"/>
    </row>
    <row r="35" spans="1:12" ht="24.75" customHeight="1" x14ac:dyDescent="0.25">
      <c r="A35" s="313" t="s">
        <v>59</v>
      </c>
      <c r="B35" s="313"/>
      <c r="C35" s="313"/>
      <c r="D35" s="313"/>
      <c r="E35" s="313"/>
      <c r="F35" s="37">
        <v>2294</v>
      </c>
      <c r="G35" s="37">
        <v>925</v>
      </c>
      <c r="H35" s="37">
        <v>41</v>
      </c>
      <c r="I35" s="37">
        <v>25</v>
      </c>
      <c r="J35" s="37">
        <v>11</v>
      </c>
      <c r="K35" s="34">
        <f t="shared" ref="K35:K85" si="3">F35+G35+H35+I35+J35</f>
        <v>3296</v>
      </c>
      <c r="L35" s="49"/>
    </row>
    <row r="36" spans="1:12" ht="24.75" customHeight="1" x14ac:dyDescent="0.25">
      <c r="A36" s="313" t="s">
        <v>58</v>
      </c>
      <c r="B36" s="313"/>
      <c r="C36" s="313"/>
      <c r="D36" s="313"/>
      <c r="E36" s="313"/>
      <c r="F36" s="37">
        <v>14</v>
      </c>
      <c r="G36" s="37">
        <v>4</v>
      </c>
      <c r="H36" s="37">
        <v>0</v>
      </c>
      <c r="I36" s="37">
        <v>0</v>
      </c>
      <c r="J36" s="37">
        <v>0</v>
      </c>
      <c r="K36" s="34">
        <f t="shared" si="3"/>
        <v>18</v>
      </c>
      <c r="L36" s="49"/>
    </row>
    <row r="37" spans="1:12" ht="24.75" customHeight="1" x14ac:dyDescent="0.25">
      <c r="A37" s="312" t="s">
        <v>1851</v>
      </c>
      <c r="B37" s="313"/>
      <c r="C37" s="313"/>
      <c r="D37" s="313"/>
      <c r="E37" s="313"/>
      <c r="F37" s="37">
        <v>6</v>
      </c>
      <c r="G37" s="37">
        <v>1</v>
      </c>
      <c r="H37" s="37">
        <v>0</v>
      </c>
      <c r="I37" s="37">
        <v>0</v>
      </c>
      <c r="J37" s="37">
        <v>0</v>
      </c>
      <c r="K37" s="34">
        <f t="shared" si="3"/>
        <v>7</v>
      </c>
      <c r="L37" s="49"/>
    </row>
    <row r="38" spans="1:12" ht="24.75" customHeight="1" x14ac:dyDescent="0.25">
      <c r="A38" s="312" t="s">
        <v>1852</v>
      </c>
      <c r="B38" s="313"/>
      <c r="C38" s="313"/>
      <c r="D38" s="313"/>
      <c r="E38" s="313"/>
      <c r="F38" s="38">
        <f>F10</f>
        <v>0</v>
      </c>
      <c r="G38" s="38">
        <f>G10</f>
        <v>1</v>
      </c>
      <c r="H38" s="38">
        <f>H10</f>
        <v>0</v>
      </c>
      <c r="I38" s="38">
        <f>I10</f>
        <v>0</v>
      </c>
      <c r="J38" s="38">
        <f>J10</f>
        <v>0</v>
      </c>
      <c r="K38" s="34">
        <f t="shared" si="3"/>
        <v>1</v>
      </c>
      <c r="L38" s="49"/>
    </row>
    <row r="39" spans="1:12" ht="54" customHeight="1" x14ac:dyDescent="0.25">
      <c r="A39" s="312" t="s">
        <v>1877</v>
      </c>
      <c r="B39" s="313"/>
      <c r="C39" s="313"/>
      <c r="D39" s="313"/>
      <c r="E39" s="313"/>
      <c r="F39" s="34">
        <f>F35+F36+F37-F38</f>
        <v>2314</v>
      </c>
      <c r="G39" s="34">
        <f>G35+G36+G37-G38</f>
        <v>929</v>
      </c>
      <c r="H39" s="34">
        <f>H35+H36+H37-H38</f>
        <v>41</v>
      </c>
      <c r="I39" s="34">
        <f>I35+I36+I37-I38</f>
        <v>25</v>
      </c>
      <c r="J39" s="34">
        <f>J35+J36+J37-J38</f>
        <v>11</v>
      </c>
      <c r="K39" s="34">
        <f t="shared" si="3"/>
        <v>3320</v>
      </c>
      <c r="L39" s="50" t="s">
        <v>3279</v>
      </c>
    </row>
    <row r="40" spans="1:12" ht="24.75" customHeight="1" x14ac:dyDescent="0.25">
      <c r="A40" s="312" t="s">
        <v>1949</v>
      </c>
      <c r="B40" s="313"/>
      <c r="C40" s="313"/>
      <c r="D40" s="313"/>
      <c r="E40" s="313"/>
      <c r="F40" s="38">
        <f>F13</f>
        <v>511</v>
      </c>
      <c r="G40" s="38">
        <f>G13</f>
        <v>151</v>
      </c>
      <c r="H40" s="38">
        <f>H13</f>
        <v>4</v>
      </c>
      <c r="I40" s="38">
        <f>I13</f>
        <v>8</v>
      </c>
      <c r="J40" s="38">
        <f>J13</f>
        <v>1</v>
      </c>
      <c r="K40" s="34">
        <f t="shared" si="3"/>
        <v>675</v>
      </c>
      <c r="L40" s="49"/>
    </row>
    <row r="41" spans="1:12" ht="24.75" customHeight="1" x14ac:dyDescent="0.25">
      <c r="A41" s="312" t="s">
        <v>1853</v>
      </c>
      <c r="B41" s="313"/>
      <c r="C41" s="313"/>
      <c r="D41" s="313"/>
      <c r="E41" s="313"/>
      <c r="F41" s="37">
        <v>0</v>
      </c>
      <c r="G41" s="37">
        <v>0</v>
      </c>
      <c r="H41" s="37">
        <v>0</v>
      </c>
      <c r="I41" s="37">
        <v>0</v>
      </c>
      <c r="J41" s="37">
        <v>0</v>
      </c>
      <c r="K41" s="34">
        <f>F41+G41+H41+I41+J41</f>
        <v>0</v>
      </c>
      <c r="L41" s="49"/>
    </row>
    <row r="42" spans="1:12" ht="37.5" customHeight="1" x14ac:dyDescent="0.25">
      <c r="A42" s="312" t="s">
        <v>2401</v>
      </c>
      <c r="B42" s="313"/>
      <c r="C42" s="313"/>
      <c r="D42" s="313"/>
      <c r="E42" s="313"/>
      <c r="F42" s="37">
        <v>11</v>
      </c>
      <c r="G42" s="37">
        <v>7</v>
      </c>
      <c r="H42" s="37">
        <v>0</v>
      </c>
      <c r="I42" s="37">
        <v>0</v>
      </c>
      <c r="J42" s="37">
        <v>0</v>
      </c>
      <c r="K42" s="34">
        <f t="shared" si="3"/>
        <v>18</v>
      </c>
      <c r="L42" s="50" t="s">
        <v>2423</v>
      </c>
    </row>
    <row r="43" spans="1:12" ht="24.75" customHeight="1" x14ac:dyDescent="0.25">
      <c r="A43" s="313" t="s">
        <v>57</v>
      </c>
      <c r="B43" s="313"/>
      <c r="C43" s="313"/>
      <c r="D43" s="313"/>
      <c r="E43" s="313"/>
      <c r="F43" s="38">
        <f>F15</f>
        <v>304</v>
      </c>
      <c r="G43" s="38">
        <f>G15</f>
        <v>115</v>
      </c>
      <c r="H43" s="38">
        <f>H15</f>
        <v>10</v>
      </c>
      <c r="I43" s="38">
        <f>I15</f>
        <v>2</v>
      </c>
      <c r="J43" s="38">
        <f>J15</f>
        <v>2</v>
      </c>
      <c r="K43" s="34">
        <f t="shared" si="3"/>
        <v>433</v>
      </c>
      <c r="L43" s="49"/>
    </row>
    <row r="44" spans="1:12" ht="24.75" customHeight="1" x14ac:dyDescent="0.25">
      <c r="A44" s="312" t="s">
        <v>1854</v>
      </c>
      <c r="B44" s="313"/>
      <c r="C44" s="313"/>
      <c r="D44" s="313"/>
      <c r="E44" s="313"/>
      <c r="F44" s="37">
        <v>113</v>
      </c>
      <c r="G44" s="37">
        <v>49</v>
      </c>
      <c r="H44" s="37">
        <v>0</v>
      </c>
      <c r="I44" s="37">
        <v>4</v>
      </c>
      <c r="J44" s="37">
        <v>1</v>
      </c>
      <c r="K44" s="34">
        <f t="shared" si="3"/>
        <v>167</v>
      </c>
      <c r="L44" s="49"/>
    </row>
    <row r="45" spans="1:12" ht="63" customHeight="1" x14ac:dyDescent="0.25">
      <c r="A45" s="312" t="s">
        <v>2530</v>
      </c>
      <c r="B45" s="313"/>
      <c r="C45" s="313"/>
      <c r="D45" s="313"/>
      <c r="E45" s="313"/>
      <c r="F45" s="34">
        <f>F39-F40-F41- F42-F43-F19</f>
        <v>1384</v>
      </c>
      <c r="G45" s="34">
        <f>G39-G40-G41- G42-G43-G19</f>
        <v>638</v>
      </c>
      <c r="H45" s="34">
        <f>H39-H40-H41- H42-H43-H19</f>
        <v>25</v>
      </c>
      <c r="I45" s="34">
        <f>I39-I40-I41- I42-I43-I19</f>
        <v>14</v>
      </c>
      <c r="J45" s="34">
        <f>J39-J40-J41- J42-J43-J19</f>
        <v>7</v>
      </c>
      <c r="K45" s="34">
        <f t="shared" si="3"/>
        <v>2068</v>
      </c>
      <c r="L45" s="50" t="s">
        <v>2435</v>
      </c>
    </row>
    <row r="46" spans="1:12" x14ac:dyDescent="0.25">
      <c r="A46" s="312" t="s">
        <v>1856</v>
      </c>
      <c r="B46" s="312"/>
      <c r="C46" s="310">
        <f>ART_1!B45</f>
        <v>0</v>
      </c>
      <c r="D46" s="310"/>
      <c r="E46" s="64" t="s">
        <v>56</v>
      </c>
      <c r="F46" s="33"/>
      <c r="G46" s="33"/>
      <c r="H46" s="33"/>
      <c r="I46" s="33"/>
      <c r="J46" s="33"/>
      <c r="K46" s="34">
        <f t="shared" si="3"/>
        <v>0</v>
      </c>
      <c r="L46" s="308" t="s">
        <v>2276</v>
      </c>
    </row>
    <row r="47" spans="1:12" x14ac:dyDescent="0.25">
      <c r="A47" s="312"/>
      <c r="B47" s="312"/>
      <c r="C47" s="310"/>
      <c r="D47" s="310"/>
      <c r="E47" s="64" t="s">
        <v>55</v>
      </c>
      <c r="F47" s="33"/>
      <c r="G47" s="33"/>
      <c r="H47" s="33"/>
      <c r="I47" s="33"/>
      <c r="J47" s="33"/>
      <c r="K47" s="34">
        <f t="shared" si="3"/>
        <v>0</v>
      </c>
      <c r="L47" s="309"/>
    </row>
    <row r="48" spans="1:12" x14ac:dyDescent="0.25">
      <c r="A48" s="312"/>
      <c r="B48" s="312"/>
      <c r="C48" s="310">
        <f>ART_1!B46</f>
        <v>0</v>
      </c>
      <c r="D48" s="310"/>
      <c r="E48" s="64" t="s">
        <v>56</v>
      </c>
      <c r="F48" s="33"/>
      <c r="G48" s="33"/>
      <c r="H48" s="33"/>
      <c r="I48" s="33"/>
      <c r="J48" s="33"/>
      <c r="K48" s="34">
        <f t="shared" si="3"/>
        <v>0</v>
      </c>
      <c r="L48" s="49"/>
    </row>
    <row r="49" spans="1:12" x14ac:dyDescent="0.25">
      <c r="A49" s="312"/>
      <c r="B49" s="312"/>
      <c r="C49" s="310"/>
      <c r="D49" s="310"/>
      <c r="E49" s="64" t="s">
        <v>55</v>
      </c>
      <c r="F49" s="33"/>
      <c r="G49" s="33"/>
      <c r="H49" s="33"/>
      <c r="I49" s="33"/>
      <c r="J49" s="33"/>
      <c r="K49" s="34">
        <f t="shared" si="3"/>
        <v>0</v>
      </c>
      <c r="L49" s="49"/>
    </row>
    <row r="50" spans="1:12" hidden="1" x14ac:dyDescent="0.25">
      <c r="A50" s="312"/>
      <c r="B50" s="312"/>
      <c r="C50" s="310">
        <f>ART_1!B47</f>
        <v>0</v>
      </c>
      <c r="D50" s="310"/>
      <c r="E50" s="64" t="s">
        <v>56</v>
      </c>
      <c r="F50" s="33"/>
      <c r="G50" s="33"/>
      <c r="H50" s="33"/>
      <c r="I50" s="33"/>
      <c r="J50" s="33"/>
      <c r="K50" s="34">
        <f t="shared" si="3"/>
        <v>0</v>
      </c>
      <c r="L50" s="49"/>
    </row>
    <row r="51" spans="1:12" hidden="1" x14ac:dyDescent="0.25">
      <c r="A51" s="312"/>
      <c r="B51" s="312"/>
      <c r="C51" s="310"/>
      <c r="D51" s="310"/>
      <c r="E51" s="64" t="s">
        <v>55</v>
      </c>
      <c r="F51" s="33"/>
      <c r="G51" s="33"/>
      <c r="H51" s="33"/>
      <c r="I51" s="33"/>
      <c r="J51" s="33"/>
      <c r="K51" s="34">
        <f t="shared" si="3"/>
        <v>0</v>
      </c>
      <c r="L51" s="49"/>
    </row>
    <row r="52" spans="1:12" hidden="1" x14ac:dyDescent="0.25">
      <c r="A52" s="312"/>
      <c r="B52" s="312"/>
      <c r="C52" s="310">
        <f>ART_1!B48</f>
        <v>0</v>
      </c>
      <c r="D52" s="310"/>
      <c r="E52" s="64" t="s">
        <v>56</v>
      </c>
      <c r="F52" s="33"/>
      <c r="G52" s="33"/>
      <c r="H52" s="33"/>
      <c r="I52" s="33"/>
      <c r="J52" s="33"/>
      <c r="K52" s="34">
        <f t="shared" si="3"/>
        <v>0</v>
      </c>
      <c r="L52" s="49"/>
    </row>
    <row r="53" spans="1:12" hidden="1" x14ac:dyDescent="0.25">
      <c r="A53" s="312"/>
      <c r="B53" s="312"/>
      <c r="C53" s="310"/>
      <c r="D53" s="310"/>
      <c r="E53" s="64" t="s">
        <v>55</v>
      </c>
      <c r="F53" s="33"/>
      <c r="G53" s="33"/>
      <c r="H53" s="33"/>
      <c r="I53" s="33"/>
      <c r="J53" s="33"/>
      <c r="K53" s="34">
        <f t="shared" si="3"/>
        <v>0</v>
      </c>
      <c r="L53" s="49"/>
    </row>
    <row r="54" spans="1:12" hidden="1" x14ac:dyDescent="0.25">
      <c r="A54" s="312"/>
      <c r="B54" s="312"/>
      <c r="C54" s="310">
        <f>ART_1!B49</f>
        <v>0</v>
      </c>
      <c r="D54" s="310"/>
      <c r="E54" s="64" t="s">
        <v>56</v>
      </c>
      <c r="F54" s="33"/>
      <c r="G54" s="33"/>
      <c r="H54" s="33"/>
      <c r="I54" s="33"/>
      <c r="J54" s="33"/>
      <c r="K54" s="34">
        <f t="shared" si="3"/>
        <v>0</v>
      </c>
      <c r="L54" s="49"/>
    </row>
    <row r="55" spans="1:12" hidden="1" x14ac:dyDescent="0.25">
      <c r="A55" s="312"/>
      <c r="B55" s="312"/>
      <c r="C55" s="310"/>
      <c r="D55" s="310"/>
      <c r="E55" s="64" t="s">
        <v>55</v>
      </c>
      <c r="F55" s="33"/>
      <c r="G55" s="33"/>
      <c r="H55" s="33"/>
      <c r="I55" s="33"/>
      <c r="J55" s="33"/>
      <c r="K55" s="34">
        <f t="shared" si="3"/>
        <v>0</v>
      </c>
      <c r="L55" s="49"/>
    </row>
    <row r="56" spans="1:12" hidden="1" x14ac:dyDescent="0.25">
      <c r="A56" s="312"/>
      <c r="B56" s="312"/>
      <c r="C56" s="310">
        <f>ART_1!B50</f>
        <v>0</v>
      </c>
      <c r="D56" s="310"/>
      <c r="E56" s="64" t="s">
        <v>56</v>
      </c>
      <c r="F56" s="33"/>
      <c r="G56" s="33"/>
      <c r="H56" s="33"/>
      <c r="I56" s="33"/>
      <c r="J56" s="33"/>
      <c r="K56" s="34">
        <f t="shared" si="3"/>
        <v>0</v>
      </c>
      <c r="L56" s="49"/>
    </row>
    <row r="57" spans="1:12" hidden="1" x14ac:dyDescent="0.25">
      <c r="A57" s="312"/>
      <c r="B57" s="312"/>
      <c r="C57" s="310"/>
      <c r="D57" s="310"/>
      <c r="E57" s="64" t="s">
        <v>55</v>
      </c>
      <c r="F57" s="33"/>
      <c r="G57" s="33"/>
      <c r="H57" s="33"/>
      <c r="I57" s="33"/>
      <c r="J57" s="33"/>
      <c r="K57" s="34">
        <f t="shared" si="3"/>
        <v>0</v>
      </c>
      <c r="L57" s="49"/>
    </row>
    <row r="58" spans="1:12" hidden="1" x14ac:dyDescent="0.25">
      <c r="A58" s="312"/>
      <c r="B58" s="312"/>
      <c r="C58" s="310">
        <f>ART_1!B51</f>
        <v>0</v>
      </c>
      <c r="D58" s="310"/>
      <c r="E58" s="64" t="s">
        <v>56</v>
      </c>
      <c r="F58" s="33"/>
      <c r="G58" s="33"/>
      <c r="H58" s="33"/>
      <c r="I58" s="33"/>
      <c r="J58" s="33"/>
      <c r="K58" s="34">
        <f t="shared" si="3"/>
        <v>0</v>
      </c>
      <c r="L58" s="49"/>
    </row>
    <row r="59" spans="1:12" hidden="1" x14ac:dyDescent="0.25">
      <c r="A59" s="312"/>
      <c r="B59" s="312"/>
      <c r="C59" s="310"/>
      <c r="D59" s="310"/>
      <c r="E59" s="64" t="s">
        <v>55</v>
      </c>
      <c r="F59" s="33"/>
      <c r="G59" s="33"/>
      <c r="H59" s="33"/>
      <c r="I59" s="33"/>
      <c r="J59" s="33"/>
      <c r="K59" s="34">
        <f t="shared" si="3"/>
        <v>0</v>
      </c>
      <c r="L59" s="49"/>
    </row>
    <row r="60" spans="1:12" hidden="1" x14ac:dyDescent="0.25">
      <c r="A60" s="312"/>
      <c r="B60" s="312"/>
      <c r="C60" s="310">
        <f>ART_1!B52</f>
        <v>0</v>
      </c>
      <c r="D60" s="310"/>
      <c r="E60" s="64" t="s">
        <v>56</v>
      </c>
      <c r="F60" s="33"/>
      <c r="G60" s="33"/>
      <c r="H60" s="33"/>
      <c r="I60" s="33"/>
      <c r="J60" s="33"/>
      <c r="K60" s="34">
        <f t="shared" si="3"/>
        <v>0</v>
      </c>
      <c r="L60" s="49"/>
    </row>
    <row r="61" spans="1:12" hidden="1" x14ac:dyDescent="0.25">
      <c r="A61" s="312"/>
      <c r="B61" s="312"/>
      <c r="C61" s="310"/>
      <c r="D61" s="310"/>
      <c r="E61" s="64" t="s">
        <v>55</v>
      </c>
      <c r="F61" s="33"/>
      <c r="G61" s="33"/>
      <c r="H61" s="33"/>
      <c r="I61" s="33"/>
      <c r="J61" s="33"/>
      <c r="K61" s="34">
        <f t="shared" si="3"/>
        <v>0</v>
      </c>
      <c r="L61" s="49"/>
    </row>
    <row r="62" spans="1:12" hidden="1" x14ac:dyDescent="0.25">
      <c r="A62" s="312"/>
      <c r="B62" s="312"/>
      <c r="C62" s="310">
        <f>ART_1!B53</f>
        <v>0</v>
      </c>
      <c r="D62" s="310"/>
      <c r="E62" s="64" t="s">
        <v>56</v>
      </c>
      <c r="F62" s="33"/>
      <c r="G62" s="33"/>
      <c r="H62" s="33"/>
      <c r="I62" s="33"/>
      <c r="J62" s="33"/>
      <c r="K62" s="34">
        <f t="shared" si="3"/>
        <v>0</v>
      </c>
      <c r="L62" s="49"/>
    </row>
    <row r="63" spans="1:12" hidden="1" x14ac:dyDescent="0.25">
      <c r="A63" s="312"/>
      <c r="B63" s="312"/>
      <c r="C63" s="310"/>
      <c r="D63" s="310"/>
      <c r="E63" s="64" t="s">
        <v>55</v>
      </c>
      <c r="F63" s="33"/>
      <c r="G63" s="33"/>
      <c r="H63" s="33"/>
      <c r="I63" s="33"/>
      <c r="J63" s="33"/>
      <c r="K63" s="34">
        <f t="shared" si="3"/>
        <v>0</v>
      </c>
      <c r="L63" s="49"/>
    </row>
    <row r="64" spans="1:12" hidden="1" x14ac:dyDescent="0.25">
      <c r="A64" s="312"/>
      <c r="B64" s="312"/>
      <c r="C64" s="310">
        <f>ART_1!B54</f>
        <v>0</v>
      </c>
      <c r="D64" s="310"/>
      <c r="E64" s="64" t="s">
        <v>56</v>
      </c>
      <c r="F64" s="33"/>
      <c r="G64" s="33"/>
      <c r="H64" s="33"/>
      <c r="I64" s="33"/>
      <c r="J64" s="33"/>
      <c r="K64" s="34">
        <f t="shared" si="3"/>
        <v>0</v>
      </c>
      <c r="L64" s="49"/>
    </row>
    <row r="65" spans="1:12" hidden="1" x14ac:dyDescent="0.25">
      <c r="A65" s="312"/>
      <c r="B65" s="312"/>
      <c r="C65" s="310"/>
      <c r="D65" s="310"/>
      <c r="E65" s="64" t="s">
        <v>55</v>
      </c>
      <c r="F65" s="33"/>
      <c r="G65" s="33"/>
      <c r="H65" s="33"/>
      <c r="I65" s="33"/>
      <c r="J65" s="33"/>
      <c r="K65" s="34">
        <f t="shared" si="3"/>
        <v>0</v>
      </c>
      <c r="L65" s="49"/>
    </row>
    <row r="66" spans="1:12" hidden="1" x14ac:dyDescent="0.25">
      <c r="A66" s="312"/>
      <c r="B66" s="312"/>
      <c r="C66" s="310">
        <f>ART_1!B55</f>
        <v>0</v>
      </c>
      <c r="D66" s="310"/>
      <c r="E66" s="64" t="s">
        <v>56</v>
      </c>
      <c r="F66" s="33"/>
      <c r="G66" s="33"/>
      <c r="H66" s="33"/>
      <c r="I66" s="33"/>
      <c r="J66" s="33"/>
      <c r="K66" s="34">
        <f t="shared" si="3"/>
        <v>0</v>
      </c>
      <c r="L66" s="49"/>
    </row>
    <row r="67" spans="1:12" hidden="1" x14ac:dyDescent="0.25">
      <c r="A67" s="312"/>
      <c r="B67" s="312"/>
      <c r="C67" s="310"/>
      <c r="D67" s="310"/>
      <c r="E67" s="64" t="s">
        <v>55</v>
      </c>
      <c r="F67" s="33"/>
      <c r="G67" s="33"/>
      <c r="H67" s="33"/>
      <c r="I67" s="33"/>
      <c r="J67" s="33"/>
      <c r="K67" s="34">
        <f t="shared" si="3"/>
        <v>0</v>
      </c>
      <c r="L67" s="49"/>
    </row>
    <row r="68" spans="1:12" hidden="1" x14ac:dyDescent="0.25">
      <c r="A68" s="312"/>
      <c r="B68" s="312"/>
      <c r="C68" s="310">
        <f>ART_1!B56</f>
        <v>0</v>
      </c>
      <c r="D68" s="310"/>
      <c r="E68" s="64" t="s">
        <v>56</v>
      </c>
      <c r="F68" s="33"/>
      <c r="G68" s="33"/>
      <c r="H68" s="33"/>
      <c r="I68" s="33"/>
      <c r="J68" s="33"/>
      <c r="K68" s="34">
        <f t="shared" si="3"/>
        <v>0</v>
      </c>
      <c r="L68" s="49"/>
    </row>
    <row r="69" spans="1:12" hidden="1" x14ac:dyDescent="0.25">
      <c r="A69" s="312"/>
      <c r="B69" s="312"/>
      <c r="C69" s="310"/>
      <c r="D69" s="310"/>
      <c r="E69" s="64" t="s">
        <v>55</v>
      </c>
      <c r="F69" s="33"/>
      <c r="G69" s="33"/>
      <c r="H69" s="33"/>
      <c r="I69" s="33"/>
      <c r="J69" s="33"/>
      <c r="K69" s="34">
        <f t="shared" si="3"/>
        <v>0</v>
      </c>
      <c r="L69" s="49"/>
    </row>
    <row r="70" spans="1:12" hidden="1" x14ac:dyDescent="0.25">
      <c r="A70" s="312"/>
      <c r="B70" s="312"/>
      <c r="C70" s="310">
        <f>ART_1!B57</f>
        <v>0</v>
      </c>
      <c r="D70" s="310"/>
      <c r="E70" s="64" t="s">
        <v>56</v>
      </c>
      <c r="F70" s="33"/>
      <c r="G70" s="33"/>
      <c r="H70" s="33"/>
      <c r="I70" s="33"/>
      <c r="J70" s="33"/>
      <c r="K70" s="34">
        <f t="shared" si="3"/>
        <v>0</v>
      </c>
      <c r="L70" s="49"/>
    </row>
    <row r="71" spans="1:12" hidden="1" x14ac:dyDescent="0.25">
      <c r="A71" s="312"/>
      <c r="B71" s="312"/>
      <c r="C71" s="310"/>
      <c r="D71" s="310"/>
      <c r="E71" s="64" t="s">
        <v>55</v>
      </c>
      <c r="F71" s="33"/>
      <c r="G71" s="33"/>
      <c r="H71" s="33"/>
      <c r="I71" s="33"/>
      <c r="J71" s="33"/>
      <c r="K71" s="34">
        <f t="shared" si="3"/>
        <v>0</v>
      </c>
      <c r="L71" s="49"/>
    </row>
    <row r="72" spans="1:12" hidden="1" x14ac:dyDescent="0.25">
      <c r="A72" s="312"/>
      <c r="B72" s="312"/>
      <c r="C72" s="310">
        <f>ART_1!B58</f>
        <v>0</v>
      </c>
      <c r="D72" s="310"/>
      <c r="E72" s="64" t="s">
        <v>56</v>
      </c>
      <c r="F72" s="33"/>
      <c r="G72" s="33"/>
      <c r="H72" s="33"/>
      <c r="I72" s="33"/>
      <c r="J72" s="33"/>
      <c r="K72" s="34">
        <f t="shared" si="3"/>
        <v>0</v>
      </c>
      <c r="L72" s="49"/>
    </row>
    <row r="73" spans="1:12" hidden="1" x14ac:dyDescent="0.25">
      <c r="A73" s="312"/>
      <c r="B73" s="312"/>
      <c r="C73" s="310"/>
      <c r="D73" s="310"/>
      <c r="E73" s="64" t="s">
        <v>55</v>
      </c>
      <c r="F73" s="33"/>
      <c r="G73" s="33"/>
      <c r="H73" s="33"/>
      <c r="I73" s="33"/>
      <c r="J73" s="33"/>
      <c r="K73" s="34">
        <f t="shared" si="3"/>
        <v>0</v>
      </c>
      <c r="L73" s="49"/>
    </row>
    <row r="74" spans="1:12" hidden="1" x14ac:dyDescent="0.25">
      <c r="A74" s="312"/>
      <c r="B74" s="312"/>
      <c r="C74" s="310">
        <f>ART_1!B59</f>
        <v>0</v>
      </c>
      <c r="D74" s="310"/>
      <c r="E74" s="64" t="s">
        <v>56</v>
      </c>
      <c r="F74" s="33"/>
      <c r="G74" s="33"/>
      <c r="H74" s="33"/>
      <c r="I74" s="33"/>
      <c r="J74" s="33"/>
      <c r="K74" s="34">
        <f t="shared" si="3"/>
        <v>0</v>
      </c>
      <c r="L74" s="49"/>
    </row>
    <row r="75" spans="1:12" hidden="1" x14ac:dyDescent="0.25">
      <c r="A75" s="312"/>
      <c r="B75" s="312"/>
      <c r="C75" s="310"/>
      <c r="D75" s="310"/>
      <c r="E75" s="64" t="s">
        <v>55</v>
      </c>
      <c r="F75" s="33"/>
      <c r="G75" s="33"/>
      <c r="H75" s="33"/>
      <c r="I75" s="33"/>
      <c r="J75" s="33"/>
      <c r="K75" s="34">
        <f t="shared" si="3"/>
        <v>0</v>
      </c>
      <c r="L75" s="49"/>
    </row>
    <row r="76" spans="1:12" hidden="1" x14ac:dyDescent="0.25">
      <c r="A76" s="312"/>
      <c r="B76" s="312"/>
      <c r="C76" s="310">
        <f>ART_1!B60</f>
        <v>0</v>
      </c>
      <c r="D76" s="310"/>
      <c r="E76" s="64" t="s">
        <v>56</v>
      </c>
      <c r="F76" s="33"/>
      <c r="G76" s="33"/>
      <c r="H76" s="33"/>
      <c r="I76" s="33"/>
      <c r="J76" s="33"/>
      <c r="K76" s="34">
        <f t="shared" si="3"/>
        <v>0</v>
      </c>
      <c r="L76" s="49"/>
    </row>
    <row r="77" spans="1:12" hidden="1" x14ac:dyDescent="0.25">
      <c r="A77" s="312"/>
      <c r="B77" s="312"/>
      <c r="C77" s="310"/>
      <c r="D77" s="310"/>
      <c r="E77" s="64" t="s">
        <v>55</v>
      </c>
      <c r="F77" s="33"/>
      <c r="G77" s="33"/>
      <c r="H77" s="33"/>
      <c r="I77" s="33"/>
      <c r="J77" s="33"/>
      <c r="K77" s="34">
        <f t="shared" si="3"/>
        <v>0</v>
      </c>
      <c r="L77" s="49"/>
    </row>
    <row r="78" spans="1:12" hidden="1" x14ac:dyDescent="0.25">
      <c r="A78" s="312"/>
      <c r="B78" s="312"/>
      <c r="C78" s="310">
        <f>ART_1!B61</f>
        <v>0</v>
      </c>
      <c r="D78" s="310"/>
      <c r="E78" s="64" t="s">
        <v>56</v>
      </c>
      <c r="F78" s="33"/>
      <c r="G78" s="33"/>
      <c r="H78" s="33"/>
      <c r="I78" s="33"/>
      <c r="J78" s="33"/>
      <c r="K78" s="34">
        <f>SUM(F78:J78)</f>
        <v>0</v>
      </c>
      <c r="L78" s="49"/>
    </row>
    <row r="79" spans="1:12" hidden="1" x14ac:dyDescent="0.25">
      <c r="A79" s="312"/>
      <c r="B79" s="312"/>
      <c r="C79" s="310"/>
      <c r="D79" s="310"/>
      <c r="E79" s="64" t="s">
        <v>55</v>
      </c>
      <c r="F79" s="33"/>
      <c r="G79" s="33"/>
      <c r="H79" s="33"/>
      <c r="I79" s="33"/>
      <c r="J79" s="33"/>
      <c r="K79" s="34">
        <f>SUM(F79:J79)</f>
        <v>0</v>
      </c>
      <c r="L79" s="49"/>
    </row>
    <row r="80" spans="1:12" hidden="1" x14ac:dyDescent="0.25">
      <c r="A80" s="312"/>
      <c r="B80" s="312"/>
      <c r="C80" s="310">
        <f>ART_1!B62</f>
        <v>0</v>
      </c>
      <c r="D80" s="310"/>
      <c r="E80" s="64" t="s">
        <v>56</v>
      </c>
      <c r="F80" s="33"/>
      <c r="G80" s="33"/>
      <c r="H80" s="33"/>
      <c r="I80" s="33"/>
      <c r="J80" s="33"/>
      <c r="K80" s="34">
        <f>F80+G80+H80+I80+J80</f>
        <v>0</v>
      </c>
      <c r="L80" s="49"/>
    </row>
    <row r="81" spans="1:12" hidden="1" x14ac:dyDescent="0.25">
      <c r="A81" s="312"/>
      <c r="B81" s="312"/>
      <c r="C81" s="310"/>
      <c r="D81" s="310"/>
      <c r="E81" s="64" t="s">
        <v>55</v>
      </c>
      <c r="F81" s="33"/>
      <c r="G81" s="33"/>
      <c r="H81" s="33"/>
      <c r="I81" s="33"/>
      <c r="J81" s="33"/>
      <c r="K81" s="34">
        <f>F81+G81+H81+I81+J81</f>
        <v>0</v>
      </c>
      <c r="L81" s="49"/>
    </row>
    <row r="82" spans="1:12" hidden="1" x14ac:dyDescent="0.25">
      <c r="A82" s="312"/>
      <c r="B82" s="312"/>
      <c r="C82" s="310">
        <f>ART_1!B63</f>
        <v>0</v>
      </c>
      <c r="D82" s="310"/>
      <c r="E82" s="64" t="s">
        <v>56</v>
      </c>
      <c r="F82" s="33"/>
      <c r="G82" s="33"/>
      <c r="H82" s="33"/>
      <c r="I82" s="33"/>
      <c r="J82" s="33"/>
      <c r="K82" s="34">
        <f>F82+G82+H82+I82+J82</f>
        <v>0</v>
      </c>
      <c r="L82" s="49"/>
    </row>
    <row r="83" spans="1:12" hidden="1" x14ac:dyDescent="0.25">
      <c r="A83" s="312"/>
      <c r="B83" s="312"/>
      <c r="C83" s="310"/>
      <c r="D83" s="310"/>
      <c r="E83" s="64" t="s">
        <v>55</v>
      </c>
      <c r="F83" s="33"/>
      <c r="G83" s="33"/>
      <c r="H83" s="33"/>
      <c r="I83" s="33"/>
      <c r="J83" s="33"/>
      <c r="K83" s="34">
        <f>F83+G83+H83+I83+J83</f>
        <v>0</v>
      </c>
      <c r="L83" s="49"/>
    </row>
    <row r="84" spans="1:12" hidden="1" x14ac:dyDescent="0.25">
      <c r="A84" s="312"/>
      <c r="B84" s="312"/>
      <c r="C84" s="310">
        <f>ART_1!B64</f>
        <v>0</v>
      </c>
      <c r="D84" s="310"/>
      <c r="E84" s="64" t="s">
        <v>56</v>
      </c>
      <c r="F84" s="33"/>
      <c r="G84" s="33"/>
      <c r="H84" s="33"/>
      <c r="I84" s="33"/>
      <c r="J84" s="33"/>
      <c r="K84" s="34">
        <f t="shared" si="3"/>
        <v>0</v>
      </c>
      <c r="L84" s="49"/>
    </row>
    <row r="85" spans="1:12" hidden="1" x14ac:dyDescent="0.25">
      <c r="A85" s="312"/>
      <c r="B85" s="312"/>
      <c r="C85" s="310"/>
      <c r="D85" s="310"/>
      <c r="E85" s="64" t="s">
        <v>55</v>
      </c>
      <c r="F85" s="33"/>
      <c r="G85" s="33"/>
      <c r="H85" s="33"/>
      <c r="I85" s="33"/>
      <c r="J85" s="33"/>
      <c r="K85" s="34">
        <f t="shared" si="3"/>
        <v>0</v>
      </c>
      <c r="L85" s="49"/>
    </row>
    <row r="86" spans="1:12" x14ac:dyDescent="0.25">
      <c r="A86" s="327" t="s">
        <v>2368</v>
      </c>
      <c r="B86" s="327"/>
      <c r="C86" s="327"/>
      <c r="D86" s="327"/>
      <c r="E86" s="327"/>
      <c r="F86" s="327"/>
      <c r="G86" s="327"/>
      <c r="H86" s="327"/>
      <c r="I86" s="327"/>
      <c r="J86" s="327"/>
      <c r="K86" s="328"/>
      <c r="L86" s="49"/>
    </row>
    <row r="87" spans="1:12" x14ac:dyDescent="0.25">
      <c r="A87" s="314" t="s">
        <v>61</v>
      </c>
      <c r="B87" s="314"/>
      <c r="C87" s="314"/>
      <c r="D87" s="314"/>
      <c r="E87" s="314"/>
      <c r="F87" s="314" t="s">
        <v>7</v>
      </c>
      <c r="G87" s="314"/>
      <c r="H87" s="314"/>
      <c r="I87" s="315" t="s">
        <v>60</v>
      </c>
      <c r="J87" s="316"/>
      <c r="K87" s="311" t="s">
        <v>5</v>
      </c>
      <c r="L87" s="49"/>
    </row>
    <row r="88" spans="1:12" x14ac:dyDescent="0.25">
      <c r="A88" s="314"/>
      <c r="B88" s="314"/>
      <c r="C88" s="314"/>
      <c r="D88" s="314"/>
      <c r="E88" s="314"/>
      <c r="F88" s="32" t="s">
        <v>1</v>
      </c>
      <c r="G88" s="32" t="s">
        <v>2</v>
      </c>
      <c r="H88" s="32" t="s">
        <v>3</v>
      </c>
      <c r="I88" s="32" t="s">
        <v>1</v>
      </c>
      <c r="J88" s="32" t="s">
        <v>2</v>
      </c>
      <c r="K88" s="311"/>
      <c r="L88" s="49"/>
    </row>
    <row r="89" spans="1:12" ht="21.75" customHeight="1" x14ac:dyDescent="0.25">
      <c r="A89" s="312" t="s">
        <v>2366</v>
      </c>
      <c r="B89" s="313"/>
      <c r="C89" s="313"/>
      <c r="D89" s="313"/>
      <c r="E89" s="313"/>
      <c r="F89" s="37">
        <v>25</v>
      </c>
      <c r="G89" s="37">
        <v>4</v>
      </c>
      <c r="H89" s="37"/>
      <c r="I89" s="37"/>
      <c r="J89" s="37"/>
      <c r="K89" s="34">
        <f>F89+G89+H89+I89+J89</f>
        <v>29</v>
      </c>
      <c r="L89" s="49"/>
    </row>
    <row r="90" spans="1:12" x14ac:dyDescent="0.25">
      <c r="A90" s="312" t="s">
        <v>2367</v>
      </c>
      <c r="B90" s="313"/>
      <c r="C90" s="313"/>
      <c r="D90" s="313"/>
      <c r="E90" s="313"/>
      <c r="F90" s="37">
        <v>19</v>
      </c>
      <c r="G90" s="37">
        <v>4</v>
      </c>
      <c r="H90" s="37"/>
      <c r="I90" s="37"/>
      <c r="J90" s="37"/>
      <c r="K90" s="34">
        <f>F90+G90+H90+I90+J90</f>
        <v>23</v>
      </c>
      <c r="L90" s="49"/>
    </row>
    <row r="91" spans="1:12" x14ac:dyDescent="0.25">
      <c r="A91" s="312" t="s">
        <v>2443</v>
      </c>
      <c r="B91" s="313"/>
      <c r="C91" s="313"/>
      <c r="D91" s="313"/>
      <c r="E91" s="313"/>
      <c r="F91" s="37">
        <v>17</v>
      </c>
      <c r="G91" s="37">
        <v>4</v>
      </c>
      <c r="H91" s="37"/>
      <c r="I91" s="37"/>
      <c r="J91" s="37"/>
      <c r="K91" s="34">
        <f>F91+G91+H91+I91+J91</f>
        <v>21</v>
      </c>
      <c r="L91" s="49"/>
    </row>
    <row r="92" spans="1:12" ht="18" x14ac:dyDescent="0.25">
      <c r="A92" s="305"/>
      <c r="B92" s="306"/>
      <c r="C92" s="306"/>
      <c r="D92" s="306"/>
      <c r="E92" s="306"/>
      <c r="F92" s="306"/>
      <c r="G92" s="306"/>
      <c r="H92" s="306"/>
      <c r="I92" s="306"/>
      <c r="J92" s="307"/>
      <c r="K92" s="39" t="s">
        <v>21</v>
      </c>
      <c r="L92" s="49"/>
    </row>
  </sheetData>
  <sheetProtection algorithmName="SHA-512" hashValue="cI5UCt0AMZHyhCoRg4mutvEryH/Qfn6r8lEdMQOqiwcUxBeqoPbn3qB6k6Zt40O0L5Nab5pDzZi8Uvab1rvNeQ==" saltValue="UWuqLKBZrxnPcuAE9y8ZGQ==" spinCount="100000" sheet="1" selectLockedCells="1"/>
  <mergeCells count="76">
    <mergeCell ref="C68:D69"/>
    <mergeCell ref="C70:D71"/>
    <mergeCell ref="C58:D59"/>
    <mergeCell ref="C60:D61"/>
    <mergeCell ref="C62:D63"/>
    <mergeCell ref="C64:D65"/>
    <mergeCell ref="C66:D67"/>
    <mergeCell ref="A1:J1"/>
    <mergeCell ref="A4:E5"/>
    <mergeCell ref="F4:H4"/>
    <mergeCell ref="I4:J4"/>
    <mergeCell ref="A23:E23"/>
    <mergeCell ref="D2:K2"/>
    <mergeCell ref="A2:C2"/>
    <mergeCell ref="A3:K3"/>
    <mergeCell ref="K4:K5"/>
    <mergeCell ref="A12:D13"/>
    <mergeCell ref="A6:E6"/>
    <mergeCell ref="A7:E7"/>
    <mergeCell ref="A8:E8"/>
    <mergeCell ref="A20:E20"/>
    <mergeCell ref="A11:E11"/>
    <mergeCell ref="A9:D10"/>
    <mergeCell ref="A86:K86"/>
    <mergeCell ref="A37:E37"/>
    <mergeCell ref="A38:E38"/>
    <mergeCell ref="A39:E39"/>
    <mergeCell ref="A45:E45"/>
    <mergeCell ref="A41:E41"/>
    <mergeCell ref="A42:E42"/>
    <mergeCell ref="A44:E44"/>
    <mergeCell ref="A43:E43"/>
    <mergeCell ref="C82:D83"/>
    <mergeCell ref="C84:D85"/>
    <mergeCell ref="C48:D49"/>
    <mergeCell ref="C50:D51"/>
    <mergeCell ref="C52:D53"/>
    <mergeCell ref="C54:D55"/>
    <mergeCell ref="C56:D57"/>
    <mergeCell ref="A40:E40"/>
    <mergeCell ref="A24:E24"/>
    <mergeCell ref="A32:K32"/>
    <mergeCell ref="A36:E36"/>
    <mergeCell ref="I33:J33"/>
    <mergeCell ref="A35:E35"/>
    <mergeCell ref="A30:E30"/>
    <mergeCell ref="A31:E31"/>
    <mergeCell ref="A33:E34"/>
    <mergeCell ref="A14:D15"/>
    <mergeCell ref="A16:D17"/>
    <mergeCell ref="K33:K34"/>
    <mergeCell ref="A26:E26"/>
    <mergeCell ref="A27:E27"/>
    <mergeCell ref="F33:H33"/>
    <mergeCell ref="A28:E28"/>
    <mergeCell ref="A29:E29"/>
    <mergeCell ref="A22:E22"/>
    <mergeCell ref="A21:E21"/>
    <mergeCell ref="A18:D19"/>
    <mergeCell ref="A25:E25"/>
    <mergeCell ref="A92:J92"/>
    <mergeCell ref="L46:L47"/>
    <mergeCell ref="C72:D73"/>
    <mergeCell ref="C74:D75"/>
    <mergeCell ref="C76:D77"/>
    <mergeCell ref="C78:D79"/>
    <mergeCell ref="C80:D81"/>
    <mergeCell ref="K87:K88"/>
    <mergeCell ref="A90:E90"/>
    <mergeCell ref="A91:E91"/>
    <mergeCell ref="A89:E89"/>
    <mergeCell ref="A87:E88"/>
    <mergeCell ref="F87:H87"/>
    <mergeCell ref="I87:J87"/>
    <mergeCell ref="A46:B85"/>
    <mergeCell ref="C46:D47"/>
  </mergeCells>
  <conditionalFormatting sqref="F11:J11">
    <cfRule type="cellIs" dxfId="126" priority="49" operator="lessThan">
      <formula>0</formula>
    </cfRule>
  </conditionalFormatting>
  <conditionalFormatting sqref="F20:J20">
    <cfRule type="cellIs" dxfId="125" priority="48" operator="lessThan">
      <formula>0</formula>
    </cfRule>
  </conditionalFormatting>
  <conditionalFormatting sqref="F45:J45">
    <cfRule type="cellIs" dxfId="124" priority="44" operator="lessThan">
      <formula>0</formula>
    </cfRule>
  </conditionalFormatting>
  <conditionalFormatting sqref="C46:D85">
    <cfRule type="cellIs" dxfId="123" priority="43" operator="equal">
      <formula>0</formula>
    </cfRule>
  </conditionalFormatting>
  <conditionalFormatting sqref="F29:J29">
    <cfRule type="cellIs" dxfId="122" priority="41" operator="lessThan">
      <formula>0</formula>
    </cfRule>
  </conditionalFormatting>
  <conditionalFormatting sqref="F42">
    <cfRule type="cellIs" dxfId="121" priority="10" operator="notEqual">
      <formula>F$17-F$41</formula>
    </cfRule>
  </conditionalFormatting>
  <conditionalFormatting sqref="G42:J42">
    <cfRule type="cellIs" dxfId="120" priority="9" operator="notEqual">
      <formula>G$17-G$41</formula>
    </cfRule>
  </conditionalFormatting>
  <conditionalFormatting sqref="G39:K39">
    <cfRule type="cellIs" dxfId="119" priority="6" operator="greaterThan">
      <formula>G11</formula>
    </cfRule>
  </conditionalFormatting>
  <conditionalFormatting sqref="G39:K39">
    <cfRule type="cellIs" dxfId="118" priority="7" operator="lessThan">
      <formula>0</formula>
    </cfRule>
  </conditionalFormatting>
  <conditionalFormatting sqref="F45:J45">
    <cfRule type="cellIs" dxfId="117" priority="5" operator="greaterThan">
      <formula>F20</formula>
    </cfRule>
  </conditionalFormatting>
  <conditionalFormatting sqref="G45:K45">
    <cfRule type="cellIs" dxfId="116" priority="4" operator="lessThan">
      <formula>0</formula>
    </cfRule>
  </conditionalFormatting>
  <conditionalFormatting sqref="G45:K45">
    <cfRule type="cellIs" dxfId="115" priority="3" operator="greaterThan">
      <formula>G20</formula>
    </cfRule>
  </conditionalFormatting>
  <conditionalFormatting sqref="F39">
    <cfRule type="cellIs" dxfId="114" priority="2" operator="lessThan">
      <formula>0</formula>
    </cfRule>
  </conditionalFormatting>
  <conditionalFormatting sqref="F39">
    <cfRule type="cellIs" dxfId="113" priority="1" operator="greaterThan">
      <formula>F11</formula>
    </cfRule>
  </conditionalFormatting>
  <dataValidations xWindow="512" yWindow="335" count="24">
    <dataValidation type="whole" allowBlank="1" showInputMessage="1" showErrorMessage="1" sqref="WVN36:WVR38 WLR36:WLV38 WBV36:WBZ38 VRZ36:VSD38 VID36:VIH38 UYH36:UYL38 UOL36:UOP38 UEP36:UET38 TUT36:TUX38 TKX36:TLB38 TBB36:TBF38 SRF36:SRJ38 SHJ36:SHN38 RXN36:RXR38 RNR36:RNV38 RDV36:RDZ38 QTZ36:QUD38 QKD36:QKH38 QAH36:QAL38 PQL36:PQP38 PGP36:PGT38 OWT36:OWX38 OMX36:ONB38 ODB36:ODF38 NTF36:NTJ38 NJJ36:NJN38 MZN36:MZR38 MPR36:MPV38 MFV36:MFZ38 LVZ36:LWD38 LMD36:LMH38 LCH36:LCL38 KSL36:KSP38 KIP36:KIT38 JYT36:JYX38 JOX36:JPB38 JFB36:JFF38 IVF36:IVJ38 ILJ36:ILN38 IBN36:IBR38 HRR36:HRV38 HHV36:HHZ38 GXZ36:GYD38 GOD36:GOH38 GEH36:GEL38 FUL36:FUP38 FKP36:FKT38 FAT36:FAX38 EQX36:ERB38 EHB36:EHF38 DXF36:DXJ38 DNJ36:DNN38 DDN36:DDR38 CTR36:CTV38 CJV36:CJZ38 BZZ36:CAD38 BQD36:BQH38 BGH36:BGL38 AWL36:AWP38 AMP36:AMT38 ACT36:ACX38 SX36:TB38 JB36:JF38 WVN40:WVR44 WLR40:WLV44 WBV40:WBZ44 VRZ40:VSD44 VID40:VIH44 UYH40:UYL44 UOL40:UOP44 UEP40:UET44 TUT40:TUX44 TKX40:TLB44 TBB40:TBF44 SRF40:SRJ44 SHJ40:SHN44 RXN40:RXR44 RNR40:RNV44 RDV40:RDZ44 QTZ40:QUD44 QKD40:QKH44 QAH40:QAL44 PQL40:PQP44 PGP40:PGT44 OWT40:OWX44 OMX40:ONB44 ODB40:ODF44 NTF40:NTJ44 NJJ40:NJN44 MZN40:MZR44 MPR40:MPV44 MFV40:MFZ44 LVZ40:LWD44 LMD40:LMH44 LCH40:LCL44 KSL40:KSP44 KIP40:KIT44 JYT40:JYX44 JOX40:JPB44 JFB40:JFF44 IVF40:IVJ44 ILJ40:ILN44 IBN40:IBR44 HRR40:HRV44 HHV40:HHZ44 GXZ40:GYD44 GOD40:GOH44 GEH40:GEL44 FUL40:FUP44 FKP40:FKT44 FAT40:FAX44 EQX40:ERB44 EHB40:EHF44 DXF40:DXJ44 DNJ40:DNN44 DDN40:DDR44 CTR40:CTV44 CJV40:CJZ44 BZZ40:CAD44 BQD40:BQH44 BGH40:BGL44 AWL40:AWP44 AMP40:AMT44 ACT40:ACX44 SX40:TB44 JB40:JF44 WVN6:WVR6 WLR6:WLV6 WBV6:WBZ6 VRZ6:VSD6 VID6:VIH6 UYH6:UYL6 UOL6:UOP6 UEP6:UET6 TUT6:TUX6 TKX6:TLB6 TBB6:TBF6 SRF6:SRJ6 SHJ6:SHN6 RXN6:RXR6 RNR6:RNV6 RDV6:RDZ6 QTZ6:QUD6 QKD6:QKH6 QAH6:QAL6 PQL6:PQP6 PGP6:PGT6 OWT6:OWX6 OMX6:ONB6 ODB6:ODF6 NTF6:NTJ6 NJJ6:NJN6 MZN6:MZR6 MPR6:MPV6 MFV6:MFZ6 LVZ6:LWD6 LMD6:LMH6 LCH6:LCL6 KSL6:KSP6 KIP6:KIT6 JYT6:JYX6 JOX6:JPB6 JFB6:JFF6 IVF6:IVJ6 ILJ6:ILN6 IBN6:IBR6 HRR6:HRV6 HHV6:HHZ6 GXZ6:GYD6 GOD6:GOH6 GEH6:GEL6 FUL6:FUP6 FKP6:FKT6 FAT6:FAX6 EQX6:ERB6 EHB6:EHF6 DXF6:DXJ6 DNJ6:DNN6 DDN6:DDR6 CTR6:CTV6 CJV6:CJZ6 BZZ6:CAD6 BQD6:BQH6 BGH6:BGL6 AWL6:AWP6 AMP6:AMT6 ACT6:ACX6 SX6:TB6 JB6:JF6 WVN8:WVR10 WLR8:WLV10 WBV8:WBZ10 VRZ8:VSD10 VID8:VIH10 UYH8:UYL10 UOL8:UOP10 UEP8:UET10 TUT8:TUX10 TKX8:TLB10 TBB8:TBF10 SRF8:SRJ10 SHJ8:SHN10 RXN8:RXR10 RNR8:RNV10 RDV8:RDZ10 QTZ8:QUD10 QKD8:QKH10 QAH8:QAL10 PQL8:PQP10 PGP8:PGT10 OWT8:OWX10 OMX8:ONB10 ODB8:ODF10 NTF8:NTJ10 NJJ8:NJN10 MZN8:MZR10 MPR8:MPV10 MFV8:MFZ10 LVZ8:LWD10 LMD8:LMH10 LCH8:LCL10 KSL8:KSP10 KIP8:KIT10 JYT8:JYX10 JOX8:JPB10 JFB8:JFF10 IVF8:IVJ10 ILJ8:ILN10 IBN8:IBR10 HRR8:HRV10 HHV8:HHZ10 GXZ8:GYD10 GOD8:GOH10 GEH8:GEL10 FUL8:FUP10 FKP8:FKT10 FAT8:FAX10 EQX8:ERB10 EHB8:EHF10 DXF8:DXJ10 DNJ8:DNN10 DDN8:DDR10 CTR8:CTV10 CJV8:CJZ10 BZZ8:CAD10 BQD8:BQH10 BGH8:BGL10 AWL8:AWP10 AMP8:AMT10 ACT8:ACX10 SX8:TB10 JB8:JF10 WVN12:WVR19 WLR12:WLV19 WBV12:WBZ19 VRZ12:VSD19 VID12:VIH19 UYH12:UYL19 UOL12:UOP19 UEP12:UET19 TUT12:TUX19 TKX12:TLB19 TBB12:TBF19 SRF12:SRJ19 SHJ12:SHN19 RXN12:RXR19 RNR12:RNV19 RDV12:RDZ19 QTZ12:QUD19 QKD12:QKH19 QAH12:QAL19 PQL12:PQP19 PGP12:PGT19 OWT12:OWX19 OMX12:ONB19 ODB12:ODF19 NTF12:NTJ19 NJJ12:NJN19 MZN12:MZR19 MPR12:MPV19 MFV12:MFZ19 LVZ12:LWD19 LMD12:LMH19 LCH12:LCL19 KSL12:KSP19 KIP12:KIT19 JYT12:JYX19 JOX12:JPB19 JFB12:JFF19 IVF12:IVJ19 ILJ12:ILN19 IBN12:IBR19 HRR12:HRV19 HHV12:HHZ19 GXZ12:GYD19 GOD12:GOH19 GEH12:GEL19 FUL12:FUP19 FKP12:FKT19 FAT12:FAX19 EQX12:ERB19 EHB12:EHF19 DXF12:DXJ19 DNJ12:DNN19 DDN12:DDR19 CTR12:CTV19 CJV12:CJZ19 BZZ12:CAD19 BQD12:BQH19 BGH12:BGL19 AWL12:AWP19 AMP12:AMT19 ACT12:ACX19 SX12:TB19 JB12:JF19 F40:J40 F38:J38 F43:J43 UYH21:UYL31 VID21:VIH31 WVN21:WVR31 WLR21:WLV31 VRZ21:VSD31 WBV21:WBZ31 JB21:JF31 SX21:TB31 ACT21:ACX31 AMP21:AMT31 AWL21:AWP31 BGH21:BGL31 BQD21:BQH31 BZZ21:CAD31 CJV21:CJZ31 CTR21:CTV31 DDN21:DDR31 DNJ21:DNN31 DXF21:DXJ31 EHB21:EHF31 EQX21:ERB31 FAT21:FAX31 FKP21:FKT31 FUL21:FUP31 GEH21:GEL31 GOD21:GOH31 GXZ21:GYD31 HHV21:HHZ31 HRR21:HRV31 IBN21:IBR31 ILJ21:ILN31 IVF21:IVJ31 JFB21:JFF31 JOX21:JPB31 JYT21:JYX31 KIP21:KIT31 KSL21:KSP31 LCH21:LCL31 LMD21:LMH31 LVZ21:LWD31 MFV21:MFZ31 MPR21:MPV31 MZN21:MZR31 NJJ21:NJN31 NTF21:NTJ31 ODB21:ODF31 OMX21:ONB31 OWT21:OWX31 PGP21:PGT31 PQL21:PQP31 QAH21:QAL31 QKD21:QKH31 QTZ21:QUD31 RDV21:RDZ31 RNR21:RNV31 RXN21:RXR31 SHJ21:SHN31 SRF21:SRJ31 TBB21:TBF31 TKX21:TLB31 TUT21:TUX31 UEP21:UET31 UOL21:UOP31 WVN46:WVR85 WLR46:WLV85 WBV46:WBZ85 VRZ46:VSD85 VID46:VIH85 UYH46:UYL85 UOL46:UOP85 UEP46:UET85 TUT46:TUX85 TKX46:TLB85 TBB46:TBF85 SRF46:SRJ85 SHJ46:SHN85 RXN46:RXR85 RNR46:RNV85 RDV46:RDZ85 QTZ46:QUD85 QKD46:QKH85 QAH46:QAL85 PQL46:PQP85 PGP46:PGT85 OWT46:OWX85 OMX46:ONB85 ODB46:ODF85 NTF46:NTJ85 NJJ46:NJN85 MZN46:MZR85 MPR46:MPV85 MFV46:MFZ85 LVZ46:LWD85 LMD46:LMH85 LCH46:LCL85 KSL46:KSP85 KIP46:KIT85 JYT46:JYX85 JOX46:JPB85 JFB46:JFF85 IVF46:IVJ85 ILJ46:ILN85 IBN46:IBR85 HRR46:HRV85 HHV46:HHZ85 GXZ46:GYD85 GOD46:GOH85 GEH46:GEL85 FUL46:FUP85 FKP46:FKT85 FAT46:FAX85 EQX46:ERB85 EHB46:EHF85 DXF46:DXJ85 DNJ46:DNN85 DDN46:DDR85 CTR46:CTV85 CJV46:CJZ85 BZZ46:CAD85 BQD46:BQH85 BGH46:BGL85 AWL46:AWP85 AMP46:AMT85 ACT46:ACX85 SX46:TB85 JB46:JF85">
      <formula1>0</formula1>
      <formula2>9999999</formula2>
    </dataValidation>
    <dataValidation allowBlank="1" sqref="IO36:IP38 WVQ4:WVQ5 WLU4:WLU5 WBY4:WBY5 VSC4:VSC5 VIG4:VIG5 UYK4:UYK5 UOO4:UOO5 UES4:UES5 TUW4:TUW5 TLA4:TLA5 TBE4:TBE5 SRI4:SRI5 SHM4:SHM5 RXQ4:RXQ5 RNU4:RNU5 RDY4:RDY5 QUC4:QUC5 QKG4:QKG5 QAK4:QAK5 PQO4:PQO5 PGS4:PGS5 OWW4:OWW5 ONA4:ONA5 ODE4:ODE5 NTI4:NTI5 NJM4:NJM5 MZQ4:MZQ5 MPU4:MPU5 MFY4:MFY5 LWC4:LWC5 LMG4:LMG5 LCK4:LCK5 KSO4:KSO5 KIS4:KIS5 JYW4:JYW5 JPA4:JPA5 JFE4:JFE5 IVI4:IVI5 ILM4:ILM5 IBQ4:IBQ5 HRU4:HRU5 HHY4:HHY5 GYC4:GYC5 GOG4:GOG5 GEK4:GEK5 FUO4:FUO5 FKS4:FKS5 FAW4:FAW5 ERA4:ERA5 EHE4:EHE5 DXI4:DXI5 DNM4:DNM5 DDQ4:DDQ5 CTU4:CTU5 CJY4:CJY5 CAC4:CAC5 BQG4:BQG5 BGK4:BGK5 AWO4:AWO5 AMS4:AMS5 ACW4:ACW5 TA4:TA5 JE4:JE5 XEZ4:XEZ19 WVI6:WVI11 WLM6:WLM11 WBQ6:WBQ11 VRU6:VRU11 VHY6:VHY11 UYC6:UYC11 UOG6:UOG11 UEK6:UEK11 TUO6:TUO11 TKS6:TKS11 TAW6:TAW11 SRA6:SRA11 SHE6:SHE11 RXI6:RXI11 RNM6:RNM11 RDQ6:RDQ11 QTU6:QTU11 QJY6:QJY11 QAC6:QAC11 PQG6:PQG11 PGK6:PGK11 OWO6:OWO11 OMS6:OMS11 OCW6:OCW11 NTA6:NTA11 NJE6:NJE11 MZI6:MZI11 MPM6:MPM11 MFQ6:MFQ11 LVU6:LVU11 LLY6:LLY11 LCC6:LCC11 KSG6:KSG11 KIK6:KIK11 JYO6:JYO11 JOS6:JOS11 JEW6:JEW11 IVA6:IVA11 ILE6:ILE11 IBI6:IBI11 HRM6:HRM11 HHQ6:HHQ11 GXU6:GXU11 GNY6:GNY11 GEC6:GEC11 FUG6:FUG11 FKK6:FKK11 FAO6:FAO11 EQS6:EQS11 EGW6:EGW11 DXA6:DXA11 DNE6:DNE11 DDI6:DDI11 CTM6:CTM11 CJQ6:CJQ11 BZU6:BZU11 BPY6:BPY11 BGC6:BGC11 AWG6:AWG11 AMK6:AMK11 ACO6:ACO11 SS6:SS11 IW6:IW11 SK36:SL38 WVI20 WLM20 WBQ20 VRU20 VHY20 UYC20 UOG20 UEK20 TUO20 TKS20 TAW20 SRA20 SHE20 RXI20 RNM20 RDQ20 QTU20 QJY20 QAC20 PQG20 PGK20 OWO20 OMS20 OCW20 NTA20 NJE20 MZI20 MPM20 MFQ20 LVU20 LLY20 LCC20 KSG20 KIK20 JYO20 JOS20 JEW20 IVA20 ILE20 IBI20 HRM20 HHQ20 GXU20 GNY20 GEC20 FUG20 FKK20 FAO20 EQS20 EGW20 DXA20 DNE20 DDI20 CTM20 CJQ20 BZU20 BPY20 BGC20 AWG20 AMK20 ACO20 SS20 IW20 A11 WVI2:WVI4 WLM2:WLM4 WBQ2:WBQ4 VRU2:VRU4 VHY2:VHY4 UYC2:UYC4 UOG2:UOG4 UEK2:UEK4 TUO2:TUO4 TKS2:TKS4 TAW2:TAW4 SRA2:SRA4 SHE2:SHE4 RXI2:RXI4 RNM2:RNM4 RDQ2:RDQ4 QTU2:QTU4 QJY2:QJY4 QAC2:QAC4 PQG2:PQG4 PGK2:PGK4 OWO2:OWO4 OMS2:OMS4 OCW2:OCW4 NTA2:NTA4 NJE2:NJE4 MZI2:MZI4 MPM2:MPM4 MFQ2:MFQ4 LVU2:LVU4 LLY2:LLY4 LCC2:LCC4 KSG2:KSG4 KIK2:KIK4 JYO2:JYO4 JOS2:JOS4 JEW2:JEW4 IVA2:IVA4 ILE2:ILE4 IBI2:IBI4 HRM2:HRM4 HHQ2:HHQ4 GXU2:GXU4 GNY2:GNY4 GEC2:GEC4 FUG2:FUG4 FKK2:FKK4 FAO2:FAO4 EQS2:EQS4 EGW2:EGW4 DXA2:DXA4 DNE2:DNE4 DDI2:DDI4 CTM2:CTM4 CJQ2:CJQ4 BZU2:BZU4 BPY2:BPY4 BGC2:BGC4 AWG2:AWG4 AMK2:AMK4 ACO2:ACO4 SS2:SS4 IW2:IW4 A2:A4 WVJ2:WVL2 WLN2:WLP2 WBR2:WBT2 VRV2:VRX2 VHZ2:VIB2 UYD2:UYF2 UOH2:UOJ2 UEL2:UEN2 TUP2:TUR2 TKT2:TKV2 TAX2:TAZ2 SRB2:SRD2 SHF2:SHH2 RXJ2:RXL2 RNN2:RNP2 RDR2:RDT2 QTV2:QTX2 QJZ2:QKB2 QAD2:QAF2 PQH2:PQJ2 PGL2:PGN2 OWP2:OWR2 OMT2:OMV2 OCX2:OCZ2 NTB2:NTD2 NJF2:NJH2 MZJ2:MZL2 MPN2:MPP2 MFR2:MFT2 LVV2:LVX2 LLZ2:LMB2 LCD2:LCF2 KSH2:KSJ2 KIL2:KIN2 JYP2:JYR2 JOT2:JOV2 JEX2:JEZ2 IVB2:IVD2 ILF2:ILH2 IBJ2:IBL2 HRN2:HRP2 HHR2:HHT2 GXV2:GXX2 GNZ2:GOB2 GED2:GEF2 FUH2:FUJ2 FKL2:FKN2 FAP2:FAR2 EQT2:EQV2 EGX2:EGZ2 DXB2:DXD2 DNF2:DNH2 DDJ2:DDL2 CTN2:CTP2 CJR2:CJT2 BZV2:BZX2 BPZ2:BQB2 BGD2:BGF2 AWH2:AWJ2 AML2:AMN2 ACP2:ACR2 ST2:SV2 IX2:IZ2 B2:D2 WVS4 WLW4 WCA4 VSE4 VII4 UYM4 UOQ4 UEU4 TUY4 TLC4 TBG4 SRK4 SHO4 RXS4 RNW4 REA4 QUE4 QKI4 QAM4 PQQ4 PGU4 OWY4 ONC4 ODG4 NTK4 NJO4 MZS4 MPW4 MGA4 LWE4 LMI4 LCM4 KSQ4 KIU4 JYY4 JPC4 JFG4 IVK4 ILO4 IBS4 HRW4 HIA4 GYE4 GOI4 GEM4 FUQ4 FKU4 FAY4 ERC4 EHG4 DXK4 DNO4 DDS4 CTW4 CKA4 CAE4 BQI4 BGM4 AWQ4 AMU4 ACY4 TC4 JG4 K4 XEY11:XEY13 WVC11:WVC13 WLG11:WLG13 WBK11:WBK13 VRO11:VRO13 VHS11:VHS13 UXW11:UXW13 UOA11:UOA13 UEE11:UEE13 TUI11:TUI13 TKM11:TKM13 TAQ11:TAQ13 SQU11:SQU13 SGY11:SGY13 RXC11:RXC13 RNG11:RNG13 RDK11:RDK13 QTO11:QTO13 QJS11:QJS13 PZW11:PZW13 PQA11:PQA13 PGE11:PGE13 OWI11:OWI13 OMM11:OMM13 OCQ11:OCQ13 NSU11:NSU13 NIY11:NIY13 MZC11:MZC13 MPG11:MPG13 MFK11:MFK13 LVO11:LVO13 LLS11:LLS13 LBW11:LBW13 KSA11:KSA13 KIE11:KIE13 JYI11:JYI13 JOM11:JOM13 JEQ11:JEQ13 IUU11:IUU13 IKY11:IKY13 IBC11:IBC13 HRG11:HRG13 HHK11:HHK13 GXO11:GXO13 GNS11:GNS13 GDW11:GDW13 FUA11:FUA13 FKE11:FKE13 FAI11:FAI13 EQM11:EQM13 EGQ11:EGQ13 DWU11:DWU13 DMY11:DMY13 DDC11:DDC13 CTG11:CTG13 CJK11:CJK13 BZO11:BZO13 BPS11:BPS13 BFW11:BFW13 AWA11:AWA13 AME11:AME13 ACI11:ACI13 SM11:SM13 IQ11:IQ13 XFB11 WVF11 WLJ11 WBN11 VRR11 VHV11 UXZ11 UOD11 UEH11 TUL11 TKP11 TAT11 SQX11 SHB11 RXF11 RNJ11 RDN11 QTR11 QJV11 PZZ11 PQD11 PGH11 OWL11 OMP11 OCT11 NSX11 NJB11 MZF11 MPJ11 MFN11 LVR11 LLV11 LBZ11 KSD11 KIH11 JYL11 JOP11 JET11 IUX11 ILB11 IBF11 HRJ11 HHN11 GXR11 GNV11 GDZ11 FUD11 FKH11 FAL11 EQP11 EGT11 DWX11 DNB11 DDF11 CTJ11 CJN11 BZR11 BPV11 BFZ11 AWD11 AMH11 ACL11 SP11 IT11 XFB4 WVF4 WLJ4 WBN4 VRR4 VHV4 UXZ4 UOD4 UEH4 TUL4 TKP4 TAT4 SQX4 SHB4 RXF4 RNJ4 RDN4 QTR4 QJV4 PZZ4 PQD4 PGH4 OWL4 OMP4 OCT4 NSX4 NJB4 MZF4 MPJ4 MFN4 LVR4 LLV4 LBZ4 KSD4 KIH4 JYL4 JOP4 JET4 IUX4 ILB4 IBF4 HRJ4 HHN4 GXR4 GNV4 GDZ4 FUD4 FKH4 FAL4 EQP4 EGT4 DWX4 DNB4 DDF4 CTJ4 CJN4 BZR4 BPV4 BFZ4 AWD4 AMH4 ACL4 SP4 IT4 XES2:XEU2 WUW2:WUY2 WLA2:WLC2 WBE2:WBG2 VRI2:VRK2 VHM2:VHO2 UXQ2:UXS2 UNU2:UNW2 UDY2:UEA2 TUC2:TUE2 TKG2:TKI2 TAK2:TAM2 SQO2:SQQ2 SGS2:SGU2 RWW2:RWY2 RNA2:RNC2 RDE2:RDG2 QTI2:QTK2 QJM2:QJO2 PZQ2:PZS2 PPU2:PPW2 PFY2:PGA2 OWC2:OWE2 OMG2:OMI2 OCK2:OCM2 NSO2:NSQ2 NIS2:NIU2 MYW2:MYY2 MPA2:MPC2 MFE2:MFG2 LVI2:LVK2 LLM2:LLO2 LBQ2:LBS2 KRU2:KRW2 KHY2:KIA2 JYC2:JYE2 JOG2:JOI2 JEK2:JEM2 IUO2:IUQ2 IKS2:IKU2 IAW2:IAY2 HRA2:HRC2 HHE2:HHG2 GXI2:GXK2 GNM2:GNO2 GDQ2:GDS2 FTU2:FTW2 FJY2:FKA2 FAC2:FAE2 EQG2:EQI2 EGK2:EGM2 DWO2:DWQ2 DMS2:DMU2 DCW2:DCY2 CTA2:CTC2 CJE2:CJG2 BZI2:BZK2 BPM2:BPO2 BFQ2:BFS2 AVU2:AVW2 ALY2:AMA2 ACC2:ACE2 SG2:SI2 IK2:IM2 XER2:XER4 WUV2:WUV4 WKZ2:WKZ4 WBD2:WBD4 VRH2:VRH4 VHL2:VHL4 UXP2:UXP4 UNT2:UNT4 UDX2:UDX4 TUB2:TUB4 TKF2:TKF4 TAJ2:TAJ4 SQN2:SQN4 SGR2:SGR4 RWV2:RWV4 RMZ2:RMZ4 RDD2:RDD4 QTH2:QTH4 QJL2:QJL4 PZP2:PZP4 PPT2:PPT4 PFX2:PFX4 OWB2:OWB4 OMF2:OMF4 OCJ2:OCJ4 NSN2:NSN4 NIR2:NIR4 MYV2:MYV4 MOZ2:MOZ4 MFD2:MFD4 LVH2:LVH4 LLL2:LLL4 LBP2:LBP4 KRT2:KRT4 KHX2:KHX4 JYB2:JYB4 JOF2:JOF4 JEJ2:JEJ4 IUN2:IUN4 IKR2:IKR4 IAV2:IAV4 HQZ2:HQZ4 HHD2:HHD4 GXH2:GXH4 GNL2:GNL4 GDP2:GDP4 FTT2:FTT4 FJX2:FJX4 FAB2:FAB4 EQF2:EQF4 EGJ2:EGJ4 DWN2:DWN4 DMR2:DMR4 DCV2:DCV4 CSZ2:CSZ4 CJD2:CJD4 BZH2:BZH4 BPL2:BPL4 BFP2:BFP4 AVT2:AVT4 ALX2:ALX4 ACB2:ACB4 SF2:SF4 IJ2:IJ4 XER20 WUV20 WKZ20 WBD20 VRH20 VHL20 UXP20 UNT20 UDX20 TUB20 TKF20 TAJ20 SQN20 SGR20 RWV20 RMZ20 RDD20 QTH20 QJL20 PZP20 PPT20 PFX20 OWB20 OMF20 OCJ20 NSN20 NIR20 MYV20 MOZ20 MFD20 LVH20 LLL20 LBP20 KRT20 KHX20 JYB20 JOF20 JEJ20 IUN20 IKR20 IAV20 HQZ20 HHD20 GXH20 GNL20 GDP20 FTT20 FJX20 FAB20 EQF20 EGJ20 DWN20 DMR20 DCV20 CSZ20 CJD20 BZH20 BPL20 BFP20 AVT20 ALX20 ACB20 SF20 IJ20 XER6:XER11 WUV6:WUV11 WKZ6:WKZ11 WBD6:WBD11 VRH6:VRH11 VHL6:VHL11 UXP6:UXP11 UNT6:UNT11 UDX6:UDX11 TUB6:TUB11 TKF6:TKF11 TAJ6:TAJ11 SQN6:SQN11 SGR6:SGR11 RWV6:RWV11 RMZ6:RMZ11 RDD6:RDD11 QTH6:QTH11 QJL6:QJL11 PZP6:PZP11 PPT6:PPT11 PFX6:PFX11 OWB6:OWB11 OMF6:OMF11 OCJ6:OCJ11 NSN6:NSN11 NIR6:NIR11 MYV6:MYV11 MOZ6:MOZ11 MFD6:MFD11 LVH6:LVH11 LLL6:LLL11 LBP6:LBP11 KRT6:KRT11 KHX6:KHX11 JYB6:JYB11 JOF6:JOF11 JEJ6:JEJ11 IUN6:IUN11 IKR6:IKR11 IAV6:IAV11 HQZ6:HQZ11 HHD6:HHD11 GXH6:GXH11 GNL6:GNL11 GDP6:GDP11 FTT6:FTT11 FJX6:FJX11 FAB6:FAB11 EQF6:EQF11 EGJ6:EGJ11 DWN6:DWN11 DMR6:DMR11 DCV6:DCV11 CSZ6:CSZ11 CJD6:CJD11 BZH6:BZH11 BPL6:BPL11 BFP6:BFP11 AVT6:AVT11 ALX6:ALX11 ACB6:ACB11 SF6:SF11 IJ6:IJ11 XFA34 WVE34 WLI34 WBM34 VRQ34 VHU34 UXY34 UOC34 UEG34 TUK34 TKO34 TAS34 SQW34 SHA34 RXE34 RNI34 RDM34 QTQ34 QJU34 PZY34 PQC34 PGG34 OWK34 OMO34 OCS34 NSW34 NJA34 MZE34 MPI34 MFM34 LVQ34 LLU34 LBY34 KSC34 KIG34 JYK34 JOO34 JES34 IUW34 ILA34 IBE34 HRI34 HHM34 GXQ34 GNU34 GDY34 FUC34 FKG34 FAK34 EQO34 EGS34 DWW34 DNA34 DDE34 CTI34 CJM34 BZQ34 BPU34 BFY34 AWC34 AMG34 ACK34 SO34 IS34 XEZ43:XFA43 WVD43:WVE43 WLH43:WLI43 WBL43:WBM43 VRP43:VRQ43 VHT43:VHU43 UXX43:UXY43 UOB43:UOC43 UEF43:UEG43 TUJ43:TUK43 TKN43:TKO43 TAR43:TAS43 SQV43:SQW43 SGZ43:SHA43 RXD43:RXE43 RNH43:RNI43 RDL43:RDM43 QTP43:QTQ43 QJT43:QJU43 PZX43:PZY43 PQB43:PQC43 PGF43:PGG43 OWJ43:OWK43 OMN43:OMO43 OCR43:OCS43 NSV43:NSW43 NIZ43:NJA43 MZD43:MZE43 MPH43:MPI43 MFL43:MFM43 LVP43:LVQ43 LLT43:LLU43 LBX43:LBY43 KSB43:KSC43 KIF43:KIG43 JYJ43:JYK43 JON43:JOO43 JER43:JES43 IUV43:IUW43 IKZ43:ILA43 IBD43:IBE43 HRH43:HRI43 HHL43:HHM43 GXP43:GXQ43 GNT43:GNU43 GDX43:GDY43 FUB43:FUC43 FKF43:FKG43 FAJ43:FAK43 EQN43:EQO43 EGR43:EGS43 DWV43:DWW43 DMZ43:DNA43 DDD43:DDE43 CTH43:CTI43 CJL43:CJM43 BZP43:BZQ43 BPT43:BPU43 BFX43:BFY43 AWB43:AWC43 AMF43:AMG43 ACJ43:ACK43 SN43:SO43 IR43:IS43 XEW43:XEX43 WVA43:WVB43 WLE43:WLF43 WBI43:WBJ43 VRM43:VRN43 VHQ43:VHR43 UXU43:UXV43 UNY43:UNZ43 UEC43:UED43 TUG43:TUH43 TKK43:TKL43 TAO43:TAP43 SQS43:SQT43 SGW43:SGX43 RXA43:RXB43 RNE43:RNF43 RDI43:RDJ43 QTM43:QTN43 QJQ43:QJR43 PZU43:PZV43 PPY43:PPZ43 PGC43:PGD43 OWG43:OWH43 OMK43:OML43 OCO43:OCP43 NSS43:NST43 NIW43:NIX43 MZA43:MZB43 MPE43:MPF43 MFI43:MFJ43 LVM43:LVN43 LLQ43:LLR43 LBU43:LBV43 KRY43:KRZ43 KIC43:KID43 JYG43:JYH43 JOK43:JOL43 JEO43:JEP43 IUS43:IUT43 IKW43:IKX43 IBA43:IBB43 HRE43:HRF43 HHI43:HHJ43 GXM43:GXN43 GNQ43:GNR43 GDU43:GDV43 FTY43:FTZ43 FKC43:FKD43 FAG43:FAH43 EQK43:EQL43 EGO43:EGP43 DWS43:DWT43 DMW43:DMX43 DDA43:DDB43 CTE43:CTF43 CJI43:CJJ43 BZM43:BZN43 BPQ43:BPR43 BFU43:BFV43 AVY43:AVZ43 AMC43:AMD43 ACG43:ACH43 SK43:SL43 IO43:IP43 XFB33 WVF33 WLJ33 WBN33 VRR33 VHV33 UXZ33 UOD33 UEH33 TUL33 TKP33 TAT33 SQX33 SHB33 RXF33 RNJ33 RDN33 QTR33 QJV33 PZZ33 PQD33 PGH33 OWL33 OMP33 OCT33 NSX33 NJB33 MZF33 MPJ33 MFN33 LVR33 LLV33 LBZ33 KSD33 KIH33 JYL33 JOP33 JET33 IUX33 ILB33 IBF33 HRJ33 HHN33 GXR33 GNV33 GDZ33 FUD33 FKH33 FAL33 EQP33 EGT33 DWX33 DNB33 DDF33 CTJ33 CJN33 BZR33 BPV33 BFZ33 AWD33 AMH33 ACL33 SP33 IT33 XEX34 WVB34 WLF34 WBJ34 VRN34 VHR34 UXV34 UNZ34 UED34 TUH34 TKL34 TAP34 SQT34 SGX34 RXB34 RNF34 RDJ34 QTN34 QJR34 PZV34 PPZ34 PGD34 OWH34 OML34 OCP34 NST34 NIX34 MZB34 MPF34 MFJ34 LVN34 LLR34 LBV34 KRZ34 KID34 JYH34 JOL34 JEP34 IUT34 IKX34 IBB34 HRF34 HHJ34 GXN34 GNR34 GDV34 FTZ34 FKD34 FAH34 EQL34 EGP34 DWT34 DMX34 DDB34 CTF34 CJJ34 BZN34 BPR34 BFV34 AVZ34 AMD34 ACH34 SL34 IP34 XEW33:XEW34 WVA33:WVA34 WLE33:WLE34 WBI33:WBI34 VRM33:VRM34 VHQ33:VHQ34 UXU33:UXU34 UNY33:UNY34 UEC33:UEC34 TUG33:TUG34 TKK33:TKK34 TAO33:TAO34 SQS33:SQS34 SGW33:SGW34 RXA33:RXA34 RNE33:RNE34 RDI33:RDI34 QTM33:QTM34 QJQ33:QJQ34 PZU33:PZU34 PPY33:PPY34 PGC33:PGC34 OWG33:OWG34 OMK33:OMK34 OCO33:OCO34 NSS33:NSS34 NIW33:NIW34 MZA33:MZA34 MPE33:MPE34 MFI33:MFI34 LVM33:LVM34 LLQ33:LLQ34 LBU33:LBU34 KRY33:KRY34 KIC33:KIC34 JYG33:JYG34 JOK33:JOK34 JEO33:JEO34 IUS33:IUS34 IKW33:IKW34 IBA33:IBA34 HRE33:HRE34 HHI33:HHI34 GXM33:GXM34 GNQ33:GNQ34 GDU33:GDU34 FTY33:FTY34 FKC33:FKC34 FAG33:FAG34 EQK33:EQK34 EGO33:EGO34 DWS33:DWS34 DMW33:DMW34 DDA33:DDA34 CTE33:CTE34 CJI33:CJI34 BZM33:BZM34 BPQ33:BPQ34 BFU33:BFU34 AVY33:AVY34 AMC33:AMC34 ACG33:ACG34 SK33:SK34 IO33:IO34 XER32:XER33 WUV32:WUV33 WKZ32:WKZ33 WBD32:WBD33 VRH32:VRH33 VHL32:VHL33 UXP32:UXP33 UNT32:UNT33 UDX32:UDX33 TUB32:TUB33 TKF32:TKF33 TAJ32:TAJ33 SQN32:SQN33 SGR32:SGR33 RWV32:RWV33 RMZ32:RMZ33 RDD32:RDD33 QTH32:QTH33 QJL32:QJL33 PZP32:PZP33 PPT32:PPT33 PFX32:PFX33 OWB32:OWB33 OMF32:OMF33 OCJ32:OCJ33 NSN32:NSN33 NIR32:NIR33 MYV32:MYV33 MOZ32:MOZ33 MFD32:MFD33 LVH32:LVH33 LLL32:LLL33 LBP32:LBP33 KRT32:KRT33 KHX32:KHX33 JYB32:JYB33 JOF32:JOF33 JEJ32:JEJ33 IUN32:IUN33 IKR32:IKR33 IAV32:IAV33 HQZ32:HQZ33 HHD32:HHD33 GXH32:GXH33 GNL32:GNL33 GDP32:GDP33 FTT32:FTT33 FJX32:FJX33 FAB32:FAB33 EQF32:EQF33 EGJ32:EGJ33 DWN32:DWN33 DMR32:DMR33 DCV32:DCV33 CSZ32:CSZ33 CJD32:CJD33 BZH32:BZH33 BPL32:BPL33 BFP32:BFP33 AVT32:AVT33 ALX32:ALX33 ACB32:ACB33 SF32:SF33 IJ32:IJ33 XEZ33:XEZ34 WVD33:WVD34 WLH33:WLH34 WBL33:WBL34 VRP33:VRP34 VHT33:VHT34 UXX33:UXX34 UOB33:UOB34 UEF33:UEF34 TUJ33:TUJ34 TKN33:TKN34 TAR33:TAR34 SQV33:SQV34 SGZ33:SGZ34 RXD33:RXD34 RNH33:RNH34 RDL33:RDL34 QTP33:QTP34 QJT33:QJT34 PZX33:PZX34 PQB33:PQB34 PGF33:PGF34 OWJ33:OWJ34 OMN33:OMN34 OCR33:OCR34 NSV33:NSV34 NIZ33:NIZ34 MZD33:MZD34 MPH33:MPH34 MFL33:MFL34 LVP33:LVP34 LLT33:LLT34 LBX33:LBX34 KSB33:KSB34 KIF33:KIF34 JYJ33:JYJ34 JON33:JON34 JER33:JER34 IUV33:IUV34 IKZ33:IKZ34 IBD33:IBD34 HRH33:HRH34 HHL33:HHL34 GXP33:GXP34 GNT33:GNT34 GDX33:GDX34 FUB33:FUB34 FKF33:FKF34 FAJ33:FAJ34 EQN33:EQN34 EGR33:EGR34 DWV33:DWV34 DMZ33:DMZ34 DDD33:DDD34 CTH33:CTH34 CJL33:CJL34 BZP33:BZP34 BPT33:BPT34 BFX33:BFX34 AWB33:AWB34 AMF33:AMF34 ACJ33:ACJ34 SN33:SN34 IR33:IR34 XEW40:XFA40 WVA40:WVE40 WLE40:WLI40 WBI40:WBM40 VRM40:VRQ40 VHQ40:VHU40 UXU40:UXY40 UNY40:UOC40 UEC40:UEG40 TUG40:TUK40 TKK40:TKO40 TAO40:TAS40 SQS40:SQW40 SGW40:SHA40 RXA40:RXE40 RNE40:RNI40 RDI40:RDM40 QTM40:QTQ40 QJQ40:QJU40 PZU40:PZY40 PPY40:PQC40 PGC40:PGG40 OWG40:OWK40 OMK40:OMO40 OCO40:OCS40 NSS40:NSW40 NIW40:NJA40 MZA40:MZE40 MPE40:MPI40 MFI40:MFM40 LVM40:LVQ40 LLQ40:LLU40 LBU40:LBY40 KRY40:KSC40 KIC40:KIG40 JYG40:JYK40 JOK40:JOO40 JEO40:JES40 IUS40:IUW40 IKW40:ILA40 IBA40:IBE40 HRE40:HRI40 HHI40:HHM40 GXM40:GXQ40 GNQ40:GNU40 GDU40:GDY40 FTY40:FUC40 FKC40:FKG40 FAG40:FAK40 EQK40:EQO40 EGO40:EGS40 DWS40:DWW40 DMW40:DNA40 DDA40:DDE40 CTE40:CTI40 CJI40:CJM40 BZM40:BZQ40 BPQ40:BPU40 BFU40:BFY40 AVY40:AWC40 AMC40:AMG40 ACG40:ACK40 SK40:SO40 IO40:IS40 XEZ36:XFA38 WVD36:WVE38 WLH36:WLI38 WBL36:WBM38 VRP36:VRQ38 VHT36:VHU38 UXX36:UXY38 UOB36:UOC38 UEF36:UEG38 TUJ36:TUK38 TKN36:TKO38 TAR36:TAS38 SQV36:SQW38 SGZ36:SHA38 RXD36:RXE38 RNH36:RNI38 RDL36:RDM38 QTP36:QTQ38 QJT36:QJU38 PZX36:PZY38 PQB36:PQC38 PGF36:PGG38 OWJ36:OWK38 OMN36:OMO38 OCR36:OCS38 NSV36:NSW38 NIZ36:NJA38 MZD36:MZE38 MPH36:MPI38 MFL36:MFM38 LVP36:LVQ38 LLT36:LLU38 LBX36:LBY38 KSB36:KSC38 KIF36:KIG38 JYJ36:JYK38 JON36:JOO38 JER36:JES38 IUV36:IUW38 IKZ36:ILA38 IBD36:IBE38 HRH36:HRI38 HHL36:HHM38 GXP36:GXQ38 GNT36:GNU38 GDX36:GDY38 FUB36:FUC38 FKF36:FKG38 FAJ36:FAK38 EQN36:EQO38 EGR36:EGS38 DWV36:DWW38 DMZ36:DNA38 DDD36:DDE38 CTH36:CTI38 CJL36:CJM38 BZP36:BZQ38 BPT36:BPU38 BFX36:BFY38 AWB36:AWC38 AMF36:AMG38 ACJ36:ACK38 SN36:SO38 IR36:IS38 XEW36:XEX38 WVA36:WVB38 WLE36:WLF38 WBI36:WBJ38 VRM36:VRN38 VHQ36:VHR38 UXU36:UXV38 UNY36:UNZ38 UEC36:UED38 TUG36:TUH38 TKK36:TKL38 TAO36:TAP38 SQS36:SQT38 SGW36:SGX38 RXA36:RXB38 RNE36:RNF38 RDI36:RDJ38 QTM36:QTN38 QJQ36:QJR38 PZU36:PZV38 PPY36:PPZ38 PGC36:PGD38 OWG36:OWH38 OMK36:OML38 OCO36:OCP38 NSS36:NST38 NIW36:NIX38 MZA36:MZB38 MPE36:MPF38 MFI36:MFJ38 LVM36:LVN38 LLQ36:LLR38 LBU36:LBV38 KRY36:KRZ38 KIC36:KID38 JYG36:JYH38 JOK36:JOL38 JEO36:JEP38 IUS36:IUT38 IKW36:IKX38 IBA36:IBB38 HRE36:HRF38 HHI36:HHJ38 GXM36:GXN38 GNQ36:GNR38 GDU36:GDV38 FTY36:FTZ38 FKC36:FKD38 FAG36:FAH38 EQK36:EQL38 EGO36:EGP38 DWS36:DWT38 DMW36:DMX38 DDA36:DDB38 CTE36:CTF38 CJI36:CJJ38 BZM36:BZN38 BPQ36:BPR38 BFU36:BFV38 AVY36:AVZ38 AMC36:AMD38 ACG36:ACH38 A6:A9 IS5:IS19 SO5:SO19 ACK5:ACK19 AMG5:AMG19 AWC5:AWC19 BFY5:BFY19 BPU5:BPU19 BZQ5:BZQ19 CJM5:CJM19 CTI5:CTI19 DDE5:DDE19 DNA5:DNA19 DWW5:DWW19 EGS5:EGS19 EQO5:EQO19 FAK5:FAK19 FKG5:FKG19 FUC5:FUC19 GDY5:GDY19 GNU5:GNU19 GXQ5:GXQ19 HHM5:HHM19 HRI5:HRI19 IBE5:IBE19 ILA5:ILA19 IUW5:IUW19 JES5:JES19 JOO5:JOO19 JYK5:JYK19 KIG5:KIG19 KSC5:KSC19 LBY5:LBY19 LLU5:LLU19 LVQ5:LVQ19 MFM5:MFM19 MPI5:MPI19 MZE5:MZE19 NJA5:NJA19 NSW5:NSW19 OCS5:OCS19 OMO5:OMO19 OWK5:OWK19 PGG5:PGG19 PQC5:PQC19 PZY5:PZY19 QJU5:QJU19 QTQ5:QTQ19 RDM5:RDM19 RNI5:RNI19 RXE5:RXE19 SHA5:SHA19 SQW5:SQW19 TAS5:TAS19 TKO5:TKO19 TUK5:TUK19 UEG5:UEG19 UOC5:UOC19 UXY5:UXY19 VHU5:VHU19 VRQ5:VRQ19 WBM5:WBM19 WLI5:WLI19 WVE5:WVE19 XFA5:XFA19 IO4:IO19 SK4:SK19 ACG4:ACG19 AMC4:AMC19 AVY4:AVY19 BFU4:BFU19 BPQ4:BPQ19 BZM4:BZM19 CJI4:CJI19 CTE4:CTE19 DDA4:DDA19 DMW4:DMW19 DWS4:DWS19 EGO4:EGO19 EQK4:EQK19 FAG4:FAG19 FKC4:FKC19 FTY4:FTY19 GDU4:GDU19 GNQ4:GNQ19 GXM4:GXM19 HHI4:HHI19 HRE4:HRE19 IBA4:IBA19 IKW4:IKW19 IUS4:IUS19 JEO4:JEO19 JOK4:JOK19 JYG4:JYG19 KIC4:KIC19 KRY4:KRY19 LBU4:LBU19 LLQ4:LLQ19 LVM4:LVM19 MFI4:MFI19 MPE4:MPE19 MZA4:MZA19 NIW4:NIW19 NSS4:NSS19 OCO4:OCO19 OMK4:OMK19 OWG4:OWG19 PGC4:PGC19 PPY4:PPY19 PZU4:PZU19 QJQ4:QJQ19 QTM4:QTM19 RDI4:RDI19 RNE4:RNE19 RXA4:RXA19 SGW4:SGW19 SQS4:SQS19 TAO4:TAO19 TKK4:TKK19 TUG4:TUG19 UEC4:UEC19 UNY4:UNY19 UXU4:UXU19 VHQ4:VHQ19 VRM4:VRM19 WBI4:WBI19 WLE4:WLE19 WVA4:WVA19 XEW4:XEW19 IP5:IP19 SL5:SL19 ACH5:ACH19 AMD5:AMD19 AVZ5:AVZ19 BFV5:BFV19 BPR5:BPR19 BZN5:BZN19 CJJ5:CJJ19 CTF5:CTF19 DDB5:DDB19 DMX5:DMX19 DWT5:DWT19 EGP5:EGP19 EQL5:EQL19 FAH5:FAH19 FKD5:FKD19 FTZ5:FTZ19 GDV5:GDV19 GNR5:GNR19 GXN5:GXN19 HHJ5:HHJ19 HRF5:HRF19 IBB5:IBB19 IKX5:IKX19 IUT5:IUT19 JEP5:JEP19 JOL5:JOL19 JYH5:JYH19 KID5:KID19 KRZ5:KRZ19 LBV5:LBV19 LLR5:LLR19 LVN5:LVN19 MFJ5:MFJ19 MPF5:MPF19 MZB5:MZB19 NIX5:NIX19 NST5:NST19 OCP5:OCP19 OML5:OML19 OWH5:OWH19 PGD5:PGD19 PPZ5:PPZ19 PZV5:PZV19 QJR5:QJR19 QTN5:QTN19 RDJ5:RDJ19 RNF5:RNF19 RXB5:RXB19 SGX5:SGX19 SQT5:SQT19 TAP5:TAP19 TKL5:TKL19 TUH5:TUH19 UED5:UED19 UNZ5:UNZ19 UXV5:UXV19 VHR5:VHR19 VRN5:VRN19 WBJ5:WBJ19 WLF5:WLF19 WVB5:WVB19 XEX5:XEX19 IR4:IR19 SN4:SN19 ACJ4:ACJ19 AMF4:AMF19 AWB4:AWB19 BFX4:BFX19 BPT4:BPT19 BZP4:BZP19 CJL4:CJL19 CTH4:CTH19 DDD4:DDD19 DMZ4:DMZ19 DWV4:DWV19 EGR4:EGR19 EQN4:EQN19 FAJ4:FAJ19 FKF4:FKF19 FUB4:FUB19 GDX4:GDX19 GNT4:GNT19 GXP4:GXP19 HHL4:HHL19 HRH4:HRH19 IBD4:IBD19 IKZ4:IKZ19 IUV4:IUV19 JER4:JER19 JON4:JON19 JYJ4:JYJ19 KIF4:KIF19 KSB4:KSB19 LBX4:LBX19 LLT4:LLT19 LVP4:LVP19 MFL4:MFL19 MPH4:MPH19 MZD4:MZD19 NIZ4:NIZ19 NSV4:NSV19 OCR4:OCR19 OMN4:OMN19 OWJ4:OWJ19 PGF4:PGF19 PQB4:PQB19 PZX4:PZX19 QJT4:QJT19 QTP4:QTP19 RDL4:RDL19 RNH4:RNH19 RXD4:RXD19 SGZ4:SGZ19 SQV4:SQV19 TAR4:TAR19 TKN4:TKN19 TUJ4:TUJ19 UEF4:UEF19 UOB4:UOB19 UXX4:UXX19 VHT4:VHT19 VRP4:VRP19 WBL4:WBL19 WLH4:WLH19 WVD4:WVD19 A20 I4 WVH13:WVH31 WLL13:WLL31 WBP13:WBP31 VRT13:VRT31 VHX13:VHX31 UYB13:UYB31 UOF13:UOF31 UEJ13:UEJ31 TUN13:TUN31 TKR13:TKR31 TAV13:TAV31 SQZ13:SQZ31 SHD13:SHD31 RXH13:RXH31 RNL13:RNL31 RDP13:RDP31 QTT13:QTT31 QJX13:QJX31 QAB13:QAB31 PQF13:PQF31 PGJ13:PGJ31 OWN13:OWN31 OMR13:OMR31 OCV13:OCV31 NSZ13:NSZ31 NJD13:NJD31 MZH13:MZH31 MPL13:MPL31 MFP13:MFP31 LVT13:LVT31 LLX13:LLX31 LCB13:LCB31 KSF13:KSF31 KIJ13:KIJ31 JYN13:JYN31 JOR13:JOR31 JEV13:JEV31 IUZ13:IUZ31 ILD13:ILD31 IBH13:IBH31 HRL13:HRL31 HHP13:HHP31 GXT13:GXT31 GNX13:GNX31 GEB13:GEB31 FUF13:FUF31 FKJ13:FKJ31 FAN13:FAN31 EQR13:EQR31 EGV13:EGV31 DWZ13:DWZ31 DND13:DND31 DDH13:DDH31 CTL13:CTL31 CJP13:CJP31 BZT13:BZT31 BPX13:BPX31 BGB13:BGB31 AWF13:AWF31 AMJ13:AMJ31 ACN13:ACN31 SR13:SR31 IV13:IV31 XFD13:XFD31 IJ35:IJ46 SF35:SF46 ACB35:ACB46 ALX35:ALX46 AVT35:AVT46 BFP35:BFP46 BPL35:BPL46 BZH35:BZH46 CJD35:CJD46 CSZ35:CSZ46 DCV35:DCV46 DMR35:DMR46 DWN35:DWN46 EGJ35:EGJ46 EQF35:EQF46 FAB35:FAB46 FJX35:FJX46 FTT35:FTT46 GDP35:GDP46 GNL35:GNL46 GXH35:GXH46 HHD35:HHD46 HQZ35:HQZ46 IAV35:IAV46 IKR35:IKR46 IUN35:IUN46 JEJ35:JEJ46 JOF35:JOF46 JYB35:JYB46 KHX35:KHX46 KRT35:KRT46 LBP35:LBP46 LLL35:LLL46 LVH35:LVH46 MFD35:MFD46 MOZ35:MOZ46 MYV35:MYV46 NIR35:NIR46 NSN35:NSN46 OCJ35:OCJ46 OMF35:OMF46 OWB35:OWB46 PFX35:PFX46 PPT35:PPT46 PZP35:PZP46 QJL35:QJL46 QTH35:QTH46 RDD35:RDD46 RMZ35:RMZ46 RWV35:RWV46 SGR35:SGR46 SQN35:SQN46 TAJ35:TAJ46 TKF35:TKF46 TUB35:TUB46 UDX35:UDX46 UNT35:UNT46 UXP35:UXP46 VHL35:VHL46 VRH35:VRH46 WBD35:WBD46 WKZ35:WKZ46 WUV35:WUV46 XER35:XER46 I33"/>
    <dataValidation type="whole" operator="greaterThanOrEqual" allowBlank="1" showInputMessage="1" showErrorMessage="1" error="Please enter a valid postive numerical value" prompt="Please check that this value is same as 2.5 of last month" sqref="F6:J6">
      <formula1>0</formula1>
    </dataValidation>
    <dataValidation type="whole" operator="greaterThanOrEqual" allowBlank="1" showInputMessage="1" showErrorMessage="1" error="Please enter a valid positive numerical value" sqref="F7:J10">
      <formula1>0</formula1>
    </dataValidation>
    <dataValidation type="whole" showInputMessage="1" showErrorMessage="1" error="The value should be less than or equal to 2.11 (a). Please ensure that value for 2.11 (a) has been filled first" sqref="F22:J22">
      <formula1>0</formula1>
      <formula2>F21</formula2>
    </dataValidation>
    <dataValidation type="whole" showInputMessage="1" showErrorMessage="1" error="The value should be less than or equal to 2.12 (d). Please ensure that value for 2.12 (d) has been filled first" sqref="F29:J29">
      <formula1>0</formula1>
      <formula2>F24</formula2>
    </dataValidation>
    <dataValidation type="whole" showInputMessage="1" error="The value should be less than or equal to 2.12. Please ensure that value for 2.12 has been filled first" sqref="F31:J31">
      <formula1>0</formula1>
      <formula2>F30</formula2>
    </dataValidation>
    <dataValidation type="whole" showInputMessage="1" showErrorMessage="1" error="The value should be less than or equal to 2.10. Please ensure that value of 2.10 has been calculated first." sqref="F46:J46 F84:J84 F78:J78 F76:J76 F72:J72 F70:J70 F68:J68 F66:J66 F74:J74 F64:J64 F62:J62 F60:J60 F58:J58 F56:J56 F82:J82 F54:J54 F50:J50 F52:J52 F80:J80 F48:J48">
      <formula1>0</formula1>
      <formula2>F$20</formula2>
    </dataValidation>
    <dataValidation type="whole" showInputMessage="1" showErrorMessage="1" error="The value should be less than or equal to 3.10. Please ensure that value of 3.10 has been calculated first." sqref="F47:J47 F85:J85 F83:J83 F81:J81 F79:J79 F77:J77 F75:J75 F73:J73 F71:J71 F69:J69 F67:J67 F65:J65 F63:J63 F61:J61 F59:J59 F57:J57 F55:J55 F53:J53 F51:J51 F49:J49">
      <formula1>0</formula1>
      <formula2>F$45</formula2>
    </dataValidation>
    <dataValidation type="whole" showInputMessage="1" showErrorMessage="1" error="The value should be less than or equal to 3.a.1. Please ensure that value for 3.a.1 has been filled first" sqref="F90:J90">
      <formula1>0</formula1>
      <formula2>F89</formula2>
    </dataValidation>
    <dataValidation type="whole" showInputMessage="1" showErrorMessage="1" error="The value should be less than or equal to 3.a.2. Please ensure that value for 3.a.2 has been calculated first" sqref="F91:J91">
      <formula1>0</formula1>
      <formula2>F90</formula2>
    </dataValidation>
    <dataValidation type="whole" allowBlank="1" showInputMessage="1" showErrorMessage="1" error="The value should be less than or equal to 2.5. Please ensure that value of 2.5 has been calculated first." sqref="F12:J19">
      <formula1>0</formula1>
      <formula2>F$11</formula2>
    </dataValidation>
    <dataValidation type="whole" allowBlank="1" showInputMessage="1" error="The value should be less than or equal to 2.3. Pleas ensure that value of 2.3 has been filled first." sqref="F37:J37">
      <formula1>0</formula1>
      <formula2>F8</formula2>
    </dataValidation>
    <dataValidation type="whole" showInputMessage="1" showErrorMessage="1" error="The value should be less than or equal to 2.5. Please ensure that value of 2.5 has been calculated first." sqref="F89:J89">
      <formula1>0</formula1>
      <formula2>F11</formula2>
    </dataValidation>
    <dataValidation type="whole" showInputMessage="1" error="The value should bebetween 2.2 and 2.5. Please ensure that value of 2.2 and 2.5 has been filled first." sqref="F21:J21">
      <formula1>F7</formula1>
      <formula2>F11</formula2>
    </dataValidation>
    <dataValidation type="whole" showInputMessage="1" error="The value should be less than or equal to 2.5. Please ensure that value of 2.5 has been calculated first" sqref="F36:J36">
      <formula1>0</formula1>
      <formula2>F11</formula2>
    </dataValidation>
    <dataValidation type="whole" showInputMessage="1" error="The value should be less than or equal to 2.8 (b). Please ensure that 2.8 (b) has been filled first" sqref="F41:J42">
      <formula1>0</formula1>
      <formula2>F$17</formula2>
    </dataValidation>
    <dataValidation type="whole" showInputMessage="1" error="The value should be less than or equal to 3.5. Please ensure that 3.5 has been calculated first." sqref="F44:J44">
      <formula1>0</formula1>
      <formula2>F39</formula2>
    </dataValidation>
    <dataValidation type="whole" showInputMessage="1" showErrorMessage="1" error="The value should be less than or equal to 2.11 (c). Please ensure that values for 2.11 (c) has been filled first" sqref="F24:J24">
      <formula1>0</formula1>
      <formula2>F23</formula2>
    </dataValidation>
    <dataValidation type="whole" showInputMessage="1" showErrorMessage="1" error="The value should be less than or equal to 2.11 (d). Please ensure that value of 2.11 (d) has been filled first." sqref="F25:J28">
      <formula1>0</formula1>
      <formula2>F$24</formula2>
    </dataValidation>
    <dataValidation type="whole" showInputMessage="1" error="The value should be less than or equal to 2.5. Please ensure that value for 2.5 has been calculated first" sqref="F30:J30">
      <formula1>0</formula1>
      <formula2>F11</formula2>
    </dataValidation>
    <dataValidation type="whole" showInputMessage="1" showErrorMessage="1" error="The value should be less than or equal to 2.11 (a). Please ensure that value for 2.11 (a) has been filled first" sqref="F23:J23">
      <formula1>0</formula1>
      <formula2>F21</formula2>
    </dataValidation>
    <dataValidation type="whole" showInputMessage="1" error="The value should be between 2.11(d) and 2.5. Please ensure that values of 2.11(d) and 2.5 have been filled first." prompt="Please check that this value is same as 3.5 of last month" sqref="G35:J35">
      <formula1>G24</formula1>
      <formula2>G11</formula2>
    </dataValidation>
    <dataValidation type="whole" operator="lessThan" showInputMessage="1" error="The value should be between 2.11(d) and 2.5. Please ensure that values of 2.11(d) and 2.5 have been filled first." prompt="Please check that this value is same as 3.5 of last month" sqref="F35">
      <formula1>F24</formula1>
    </dataValidation>
  </dataValidations>
  <pageMargins left="0.17" right="0.18" top="0.18" bottom="0.17" header="0.3" footer="0.3"/>
  <pageSetup scale="60"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40" id="{3789A0B0-EF2D-49B9-861B-6C5B610CE3DC}">
            <xm:f>ART_1!$F$45="No"</xm:f>
            <x14:dxf>
              <fill>
                <patternFill>
                  <bgColor theme="0" tint="-0.499984740745262"/>
                </patternFill>
              </fill>
              <border>
                <left style="thin">
                  <color auto="1"/>
                </left>
                <right style="thin">
                  <color auto="1"/>
                </right>
                <top style="thin">
                  <color auto="1"/>
                </top>
                <bottom style="thin">
                  <color auto="1"/>
                </bottom>
                <vertical/>
                <horizontal/>
              </border>
            </x14:dxf>
          </x14:cfRule>
          <xm:sqref>F46</xm:sqref>
        </x14:conditionalFormatting>
        <x14:conditionalFormatting xmlns:xm="http://schemas.microsoft.com/office/excel/2006/main">
          <x14:cfRule type="expression" priority="39" id="{9DA9FB57-E099-4748-AA41-3F310D75815C}">
            <xm:f>ART_1!$F$45="No"</xm:f>
            <x14:dxf>
              <fill>
                <patternFill>
                  <bgColor theme="0" tint="-0.499984740745262"/>
                </patternFill>
              </fill>
              <border>
                <left style="thin">
                  <color auto="1"/>
                </left>
                <right style="thin">
                  <color auto="1"/>
                </right>
                <top style="thin">
                  <color auto="1"/>
                </top>
                <bottom style="thin">
                  <color auto="1"/>
                </bottom>
                <vertical/>
                <horizontal/>
              </border>
            </x14:dxf>
          </x14:cfRule>
          <xm:sqref>G46:J46</xm:sqref>
        </x14:conditionalFormatting>
        <x14:conditionalFormatting xmlns:xm="http://schemas.microsoft.com/office/excel/2006/main">
          <x14:cfRule type="expression" priority="38" id="{A25E5D82-6884-4A5E-95EA-2F01F696CA7C}">
            <xm:f>ART_1!$F$46="No"</xm:f>
            <x14:dxf>
              <fill>
                <patternFill>
                  <bgColor theme="0" tint="-0.499984740745262"/>
                </patternFill>
              </fill>
              <border>
                <left style="thin">
                  <color auto="1"/>
                </left>
                <right style="thin">
                  <color auto="1"/>
                </right>
                <top style="thin">
                  <color auto="1"/>
                </top>
                <bottom style="thin">
                  <color auto="1"/>
                </bottom>
                <vertical/>
                <horizontal/>
              </border>
            </x14:dxf>
          </x14:cfRule>
          <xm:sqref>F48</xm:sqref>
        </x14:conditionalFormatting>
        <x14:conditionalFormatting xmlns:xm="http://schemas.microsoft.com/office/excel/2006/main">
          <x14:cfRule type="expression" priority="37" id="{5D858AA5-D920-4621-B7CB-EDB256D8E9A0}">
            <xm:f>ART_1!$F$46="No"</xm:f>
            <x14:dxf>
              <fill>
                <patternFill>
                  <bgColor theme="0" tint="-0.499984740745262"/>
                </patternFill>
              </fill>
              <border>
                <left style="thin">
                  <color auto="1"/>
                </left>
                <right style="thin">
                  <color auto="1"/>
                </right>
                <top style="thin">
                  <color auto="1"/>
                </top>
                <bottom style="thin">
                  <color auto="1"/>
                </bottom>
                <vertical/>
                <horizontal/>
              </border>
            </x14:dxf>
          </x14:cfRule>
          <xm:sqref>G48:J48</xm:sqref>
        </x14:conditionalFormatting>
        <x14:conditionalFormatting xmlns:xm="http://schemas.microsoft.com/office/excel/2006/main">
          <x14:cfRule type="expression" priority="36" id="{BED5CBF3-5A90-4123-9BE9-2FE172E8CE62}">
            <xm:f>ART_1!$F$47="No"</xm:f>
            <x14:dxf>
              <fill>
                <patternFill>
                  <bgColor theme="0" tint="-0.499984740745262"/>
                </patternFill>
              </fill>
              <border>
                <left style="thin">
                  <color auto="1"/>
                </left>
                <right style="thin">
                  <color auto="1"/>
                </right>
                <top style="thin">
                  <color auto="1"/>
                </top>
                <bottom style="thin">
                  <color auto="1"/>
                </bottom>
                <vertical/>
                <horizontal/>
              </border>
            </x14:dxf>
          </x14:cfRule>
          <xm:sqref>F50</xm:sqref>
        </x14:conditionalFormatting>
        <x14:conditionalFormatting xmlns:xm="http://schemas.microsoft.com/office/excel/2006/main">
          <x14:cfRule type="expression" priority="35" id="{7259BC8A-398D-4224-AF27-DA6059693DD6}">
            <xm:f>ART_1!$F$47="No"</xm:f>
            <x14:dxf>
              <fill>
                <patternFill>
                  <bgColor theme="0" tint="-0.499984740745262"/>
                </patternFill>
              </fill>
              <border>
                <left style="thin">
                  <color auto="1"/>
                </left>
                <right style="thin">
                  <color auto="1"/>
                </right>
                <top style="thin">
                  <color auto="1"/>
                </top>
                <bottom style="thin">
                  <color auto="1"/>
                </bottom>
                <vertical/>
                <horizontal/>
              </border>
            </x14:dxf>
          </x14:cfRule>
          <xm:sqref>G50:J50</xm:sqref>
        </x14:conditionalFormatting>
        <x14:conditionalFormatting xmlns:xm="http://schemas.microsoft.com/office/excel/2006/main">
          <x14:cfRule type="expression" priority="34" id="{E222659D-9FAB-43E4-BC92-01356C001AF7}">
            <xm:f>ART_1!$F$48="No"</xm:f>
            <x14:dxf>
              <fill>
                <patternFill>
                  <bgColor theme="0" tint="-0.499984740745262"/>
                </patternFill>
              </fill>
              <border>
                <left style="thin">
                  <color auto="1"/>
                </left>
                <right style="thin">
                  <color auto="1"/>
                </right>
                <top style="thin">
                  <color auto="1"/>
                </top>
                <bottom style="thin">
                  <color auto="1"/>
                </bottom>
                <vertical/>
                <horizontal/>
              </border>
            </x14:dxf>
          </x14:cfRule>
          <xm:sqref>F52</xm:sqref>
        </x14:conditionalFormatting>
        <x14:conditionalFormatting xmlns:xm="http://schemas.microsoft.com/office/excel/2006/main">
          <x14:cfRule type="expression" priority="33" id="{F9EFD449-9382-47E6-B8FC-382DE4373670}">
            <xm:f>ART_1!$F$48="No"</xm:f>
            <x14:dxf>
              <fill>
                <patternFill>
                  <bgColor theme="0" tint="-0.499984740745262"/>
                </patternFill>
              </fill>
              <border>
                <left style="thin">
                  <color auto="1"/>
                </left>
                <right style="thin">
                  <color auto="1"/>
                </right>
                <top style="thin">
                  <color auto="1"/>
                </top>
                <bottom style="thin">
                  <color auto="1"/>
                </bottom>
                <vertical/>
                <horizontal/>
              </border>
            </x14:dxf>
          </x14:cfRule>
          <xm:sqref>G52:J52</xm:sqref>
        </x14:conditionalFormatting>
        <x14:conditionalFormatting xmlns:xm="http://schemas.microsoft.com/office/excel/2006/main">
          <x14:cfRule type="expression" priority="32" id="{27D2BE07-A3A8-4D93-83F3-BF0697F15DB8}">
            <xm:f>ART_1!$F$49="No"</xm:f>
            <x14:dxf>
              <fill>
                <patternFill>
                  <bgColor theme="0" tint="-0.499984740745262"/>
                </patternFill>
              </fill>
              <border>
                <left style="thin">
                  <color auto="1"/>
                </left>
                <right style="thin">
                  <color auto="1"/>
                </right>
                <top style="thin">
                  <color auto="1"/>
                </top>
                <bottom style="thin">
                  <color auto="1"/>
                </bottom>
                <vertical/>
                <horizontal/>
              </border>
            </x14:dxf>
          </x14:cfRule>
          <xm:sqref>F54:J54</xm:sqref>
        </x14:conditionalFormatting>
        <x14:conditionalFormatting xmlns:xm="http://schemas.microsoft.com/office/excel/2006/main">
          <x14:cfRule type="expression" priority="31" id="{7C5EFA9E-9B94-4E31-A02E-E411B1F3CB75}">
            <xm:f>ART_1!$F$50="No"</xm:f>
            <x14:dxf>
              <fill>
                <patternFill>
                  <bgColor theme="0" tint="-0.499984740745262"/>
                </patternFill>
              </fill>
              <border>
                <left style="thin">
                  <color auto="1"/>
                </left>
                <right style="thin">
                  <color auto="1"/>
                </right>
                <top style="thin">
                  <color auto="1"/>
                </top>
                <bottom style="thin">
                  <color auto="1"/>
                </bottom>
                <vertical/>
                <horizontal/>
              </border>
            </x14:dxf>
          </x14:cfRule>
          <xm:sqref>F56:J56</xm:sqref>
        </x14:conditionalFormatting>
        <x14:conditionalFormatting xmlns:xm="http://schemas.microsoft.com/office/excel/2006/main">
          <x14:cfRule type="expression" priority="30" id="{509B6216-4B28-463A-8B72-3DA47E2886B6}">
            <xm:f>ART_1!$F$51="No"</xm:f>
            <x14:dxf>
              <fill>
                <patternFill>
                  <bgColor theme="0" tint="-0.499984740745262"/>
                </patternFill>
              </fill>
              <border>
                <left style="thin">
                  <color auto="1"/>
                </left>
                <right style="thin">
                  <color auto="1"/>
                </right>
                <top style="thin">
                  <color auto="1"/>
                </top>
                <bottom style="thin">
                  <color auto="1"/>
                </bottom>
                <vertical/>
                <horizontal/>
              </border>
            </x14:dxf>
          </x14:cfRule>
          <xm:sqref>F58:J58</xm:sqref>
        </x14:conditionalFormatting>
        <x14:conditionalFormatting xmlns:xm="http://schemas.microsoft.com/office/excel/2006/main">
          <x14:cfRule type="expression" priority="29" id="{9F2C52F3-A257-43D2-B2EA-437F2B5F91F6}">
            <xm:f>ART_1!$F$52="No"</xm:f>
            <x14:dxf>
              <fill>
                <patternFill>
                  <bgColor theme="0" tint="-0.499984740745262"/>
                </patternFill>
              </fill>
              <border>
                <left style="thin">
                  <color auto="1"/>
                </left>
                <right style="thin">
                  <color auto="1"/>
                </right>
                <top style="thin">
                  <color auto="1"/>
                </top>
                <bottom style="thin">
                  <color auto="1"/>
                </bottom>
                <vertical/>
                <horizontal/>
              </border>
            </x14:dxf>
          </x14:cfRule>
          <xm:sqref>F60:J60</xm:sqref>
        </x14:conditionalFormatting>
        <x14:conditionalFormatting xmlns:xm="http://schemas.microsoft.com/office/excel/2006/main">
          <x14:cfRule type="expression" priority="28" id="{473C09EB-AABB-4898-A272-9F937231CDD0}">
            <xm:f>ART_1!$F$53="No"</xm:f>
            <x14:dxf>
              <fill>
                <patternFill>
                  <bgColor theme="0" tint="-0.499984740745262"/>
                </patternFill>
              </fill>
              <border>
                <left style="thin">
                  <color auto="1"/>
                </left>
                <right style="thin">
                  <color auto="1"/>
                </right>
                <top style="thin">
                  <color auto="1"/>
                </top>
                <bottom style="thin">
                  <color auto="1"/>
                </bottom>
                <vertical/>
                <horizontal/>
              </border>
            </x14:dxf>
          </x14:cfRule>
          <xm:sqref>F62:J62</xm:sqref>
        </x14:conditionalFormatting>
        <x14:conditionalFormatting xmlns:xm="http://schemas.microsoft.com/office/excel/2006/main">
          <x14:cfRule type="expression" priority="27" id="{5473C765-B5C7-4DFE-B66B-077A8ACD231A}">
            <xm:f>ART_1!$F$54="No"</xm:f>
            <x14:dxf>
              <fill>
                <patternFill>
                  <bgColor theme="0" tint="-0.499984740745262"/>
                </patternFill>
              </fill>
              <border>
                <left style="thin">
                  <color auto="1"/>
                </left>
                <right style="thin">
                  <color auto="1"/>
                </right>
                <top style="thin">
                  <color auto="1"/>
                </top>
                <bottom style="thin">
                  <color auto="1"/>
                </bottom>
                <vertical/>
                <horizontal/>
              </border>
            </x14:dxf>
          </x14:cfRule>
          <xm:sqref>F64:J64</xm:sqref>
        </x14:conditionalFormatting>
        <x14:conditionalFormatting xmlns:xm="http://schemas.microsoft.com/office/excel/2006/main">
          <x14:cfRule type="expression" priority="20" id="{14237E0E-BDF5-4A95-A6C2-886E7A559CF0}">
            <xm:f>ART_1!$F$61="No"</xm:f>
            <x14:dxf>
              <fill>
                <patternFill>
                  <bgColor theme="0" tint="-0.499984740745262"/>
                </patternFill>
              </fill>
              <border>
                <left style="thin">
                  <color auto="1"/>
                </left>
                <right style="thin">
                  <color auto="1"/>
                </right>
                <top style="thin">
                  <color auto="1"/>
                </top>
                <bottom style="thin">
                  <color auto="1"/>
                </bottom>
                <vertical/>
                <horizontal/>
              </border>
            </x14:dxf>
          </x14:cfRule>
          <xm:sqref>F78:J78</xm:sqref>
        </x14:conditionalFormatting>
        <x14:conditionalFormatting xmlns:xm="http://schemas.microsoft.com/office/excel/2006/main">
          <x14:cfRule type="expression" priority="19" id="{212A6D73-142B-4B09-8B68-BBDF534A68F2}">
            <xm:f>ART_1!$F$62="No"</xm:f>
            <x14:dxf>
              <fill>
                <patternFill>
                  <bgColor theme="0" tint="-0.499984740745262"/>
                </patternFill>
              </fill>
              <border>
                <left style="thin">
                  <color auto="1"/>
                </left>
                <right style="thin">
                  <color auto="1"/>
                </right>
                <top style="thin">
                  <color auto="1"/>
                </top>
                <bottom style="thin">
                  <color auto="1"/>
                </bottom>
                <vertical/>
                <horizontal/>
              </border>
            </x14:dxf>
          </x14:cfRule>
          <xm:sqref>F80:J80</xm:sqref>
        </x14:conditionalFormatting>
        <x14:conditionalFormatting xmlns:xm="http://schemas.microsoft.com/office/excel/2006/main">
          <x14:cfRule type="expression" priority="18" id="{56FBB950-8388-479A-A343-FEC0BD2A2973}">
            <xm:f>ART_1!$F$63="No"</xm:f>
            <x14:dxf>
              <fill>
                <patternFill>
                  <bgColor theme="0" tint="-0.499984740745262"/>
                </patternFill>
              </fill>
              <border>
                <left style="thin">
                  <color auto="1"/>
                </left>
                <right style="thin">
                  <color auto="1"/>
                </right>
                <top style="thin">
                  <color auto="1"/>
                </top>
                <bottom style="thin">
                  <color auto="1"/>
                </bottom>
                <vertical/>
                <horizontal/>
              </border>
            </x14:dxf>
          </x14:cfRule>
          <xm:sqref>F82:J82</xm:sqref>
        </x14:conditionalFormatting>
        <x14:conditionalFormatting xmlns:xm="http://schemas.microsoft.com/office/excel/2006/main">
          <x14:cfRule type="expression" priority="17" id="{99511582-9D36-41DD-A3B7-E3551B24695E}">
            <xm:f>ART_1!$F$64="No"</xm:f>
            <x14:dxf>
              <fill>
                <patternFill>
                  <bgColor theme="0" tint="-0.499984740745262"/>
                </patternFill>
              </fill>
              <border>
                <left style="thin">
                  <color auto="1"/>
                </left>
                <right style="thin">
                  <color auto="1"/>
                </right>
                <top style="thin">
                  <color auto="1"/>
                </top>
                <bottom style="thin">
                  <color auto="1"/>
                </bottom>
                <vertical/>
                <horizontal/>
              </border>
            </x14:dxf>
          </x14:cfRule>
          <xm:sqref>F84:J84</xm:sqref>
        </x14:conditionalFormatting>
        <x14:conditionalFormatting xmlns:xm="http://schemas.microsoft.com/office/excel/2006/main">
          <x14:cfRule type="expression" priority="16" id="{50103F7F-45A6-489C-A537-D76063943B56}">
            <xm:f>ART_1!$F$55="No"</xm:f>
            <x14:dxf>
              <fill>
                <patternFill>
                  <bgColor theme="0" tint="-0.499984740745262"/>
                </patternFill>
              </fill>
              <border>
                <left style="thin">
                  <color auto="1"/>
                </left>
                <right style="thin">
                  <color auto="1"/>
                </right>
                <top style="thin">
                  <color auto="1"/>
                </top>
                <bottom style="thin">
                  <color auto="1"/>
                </bottom>
                <vertical/>
                <horizontal/>
              </border>
            </x14:dxf>
          </x14:cfRule>
          <xm:sqref>F66:J66</xm:sqref>
        </x14:conditionalFormatting>
        <x14:conditionalFormatting xmlns:xm="http://schemas.microsoft.com/office/excel/2006/main">
          <x14:cfRule type="expression" priority="15" id="{9861ED51-2E83-427C-B8D6-73F67C2A6E09}">
            <xm:f>ART_1!$F$56="No"</xm:f>
            <x14:dxf>
              <fill>
                <patternFill>
                  <bgColor theme="0" tint="-0.499984740745262"/>
                </patternFill>
              </fill>
              <border>
                <left style="thin">
                  <color auto="1"/>
                </left>
                <right style="thin">
                  <color auto="1"/>
                </right>
                <top style="thin">
                  <color auto="1"/>
                </top>
                <bottom style="thin">
                  <color auto="1"/>
                </bottom>
                <vertical/>
                <horizontal/>
              </border>
            </x14:dxf>
          </x14:cfRule>
          <xm:sqref>F68:J68</xm:sqref>
        </x14:conditionalFormatting>
        <x14:conditionalFormatting xmlns:xm="http://schemas.microsoft.com/office/excel/2006/main">
          <x14:cfRule type="expression" priority="14" id="{F259C86D-C555-44F1-A1A2-CB3EC294B4C0}">
            <xm:f>ART_1!$F$57="No"</xm:f>
            <x14:dxf>
              <fill>
                <patternFill>
                  <bgColor theme="0" tint="-0.499984740745262"/>
                </patternFill>
              </fill>
              <border>
                <left style="thin">
                  <color auto="1"/>
                </left>
                <right style="thin">
                  <color auto="1"/>
                </right>
                <top style="thin">
                  <color auto="1"/>
                </top>
                <bottom style="thin">
                  <color auto="1"/>
                </bottom>
                <vertical/>
                <horizontal/>
              </border>
            </x14:dxf>
          </x14:cfRule>
          <xm:sqref>F70:J70</xm:sqref>
        </x14:conditionalFormatting>
        <x14:conditionalFormatting xmlns:xm="http://schemas.microsoft.com/office/excel/2006/main">
          <x14:cfRule type="expression" priority="13" id="{2E7C4DF7-1927-4479-A11D-33243C152831}">
            <xm:f>ART_1!$F$58="No"</xm:f>
            <x14:dxf>
              <fill>
                <patternFill>
                  <bgColor theme="0" tint="-0.499984740745262"/>
                </patternFill>
              </fill>
              <border>
                <left style="thin">
                  <color auto="1"/>
                </left>
                <right style="thin">
                  <color auto="1"/>
                </right>
                <top style="thin">
                  <color auto="1"/>
                </top>
                <bottom style="thin">
                  <color auto="1"/>
                </bottom>
                <vertical/>
                <horizontal/>
              </border>
            </x14:dxf>
          </x14:cfRule>
          <xm:sqref>F72:J72</xm:sqref>
        </x14:conditionalFormatting>
        <x14:conditionalFormatting xmlns:xm="http://schemas.microsoft.com/office/excel/2006/main">
          <x14:cfRule type="expression" priority="12" id="{2E9509F1-AD3C-47AB-BF4E-93CC412B2F9C}">
            <xm:f>ART_1!$F$59="No"</xm:f>
            <x14:dxf>
              <fill>
                <patternFill>
                  <bgColor theme="0" tint="-0.499984740745262"/>
                </patternFill>
              </fill>
              <border>
                <left style="thin">
                  <color auto="1"/>
                </left>
                <right style="thin">
                  <color auto="1"/>
                </right>
                <top style="thin">
                  <color auto="1"/>
                </top>
                <bottom style="thin">
                  <color auto="1"/>
                </bottom>
                <vertical/>
                <horizontal/>
              </border>
            </x14:dxf>
          </x14:cfRule>
          <xm:sqref>F74:J74</xm:sqref>
        </x14:conditionalFormatting>
        <x14:conditionalFormatting xmlns:xm="http://schemas.microsoft.com/office/excel/2006/main">
          <x14:cfRule type="expression" priority="11" id="{145F85B0-559B-4295-940B-9543F7B8B384}">
            <xm:f>ART_1!$F$60="No"</xm:f>
            <x14:dxf>
              <fill>
                <patternFill>
                  <bgColor theme="0" tint="-0.499984740745262"/>
                </patternFill>
              </fill>
              <border>
                <left style="thin">
                  <color auto="1"/>
                </left>
                <right style="thin">
                  <color auto="1"/>
                </right>
                <top style="thin">
                  <color auto="1"/>
                </top>
                <bottom style="thin">
                  <color auto="1"/>
                </bottom>
                <vertical/>
                <horizontal/>
              </border>
            </x14:dxf>
          </x14:cfRule>
          <xm:sqref>F76:J76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47"/>
  <sheetViews>
    <sheetView topLeftCell="A22" zoomScale="90" zoomScaleNormal="90" workbookViewId="0">
      <selection activeCell="H46" sqref="H46"/>
    </sheetView>
  </sheetViews>
  <sheetFormatPr defaultColWidth="0" defaultRowHeight="15" zeroHeight="1" x14ac:dyDescent="0.25"/>
  <cols>
    <col min="1" max="15" width="10.7109375" customWidth="1"/>
    <col min="16" max="16" width="21.5703125" customWidth="1"/>
    <col min="17" max="16384" width="9.140625" hidden="1"/>
  </cols>
  <sheetData>
    <row r="1" spans="1:16" s="4" customFormat="1" ht="24" customHeight="1" x14ac:dyDescent="0.25">
      <c r="A1" s="378" t="s">
        <v>1948</v>
      </c>
      <c r="B1" s="378"/>
      <c r="C1" s="378"/>
      <c r="D1" s="378"/>
      <c r="E1" s="378"/>
      <c r="F1" s="378"/>
      <c r="G1" s="378"/>
      <c r="H1" s="378"/>
      <c r="I1" s="378"/>
      <c r="J1" s="378"/>
      <c r="K1" s="378"/>
      <c r="L1" s="378"/>
      <c r="M1" s="378"/>
      <c r="N1" s="378"/>
      <c r="O1" s="42" t="s">
        <v>21</v>
      </c>
      <c r="P1" s="69"/>
    </row>
    <row r="2" spans="1:16" s="4" customFormat="1" x14ac:dyDescent="0.25">
      <c r="A2" s="369" t="s">
        <v>1945</v>
      </c>
      <c r="B2" s="369"/>
      <c r="C2" s="369"/>
      <c r="D2" s="379" t="str">
        <f>ART_1!D8</f>
        <v>ART-DL-SOU-02</v>
      </c>
      <c r="E2" s="379"/>
      <c r="F2" s="379"/>
      <c r="G2" s="379"/>
      <c r="H2" s="379"/>
      <c r="I2" s="379"/>
      <c r="J2" s="379"/>
      <c r="K2" s="379"/>
      <c r="L2" s="379"/>
      <c r="M2" s="379"/>
      <c r="N2" s="379"/>
      <c r="O2" s="379"/>
      <c r="P2" s="69"/>
    </row>
    <row r="3" spans="1:16" s="4" customFormat="1" x14ac:dyDescent="0.25">
      <c r="A3" s="327" t="s">
        <v>136</v>
      </c>
      <c r="B3" s="327"/>
      <c r="C3" s="327"/>
      <c r="D3" s="327"/>
      <c r="E3" s="327"/>
      <c r="F3" s="327"/>
      <c r="G3" s="327"/>
      <c r="H3" s="327"/>
      <c r="I3" s="327"/>
      <c r="J3" s="327"/>
      <c r="K3" s="327"/>
      <c r="L3" s="327"/>
      <c r="M3" s="327"/>
      <c r="N3" s="327"/>
      <c r="O3" s="327"/>
      <c r="P3" s="69"/>
    </row>
    <row r="4" spans="1:16" s="4" customFormat="1" x14ac:dyDescent="0.25">
      <c r="A4" s="314" t="s">
        <v>61</v>
      </c>
      <c r="B4" s="314"/>
      <c r="C4" s="314"/>
      <c r="D4" s="314"/>
      <c r="E4" s="314"/>
      <c r="F4" s="371" t="s">
        <v>2278</v>
      </c>
      <c r="G4" s="372"/>
      <c r="H4" s="372"/>
      <c r="I4" s="371" t="s">
        <v>2280</v>
      </c>
      <c r="J4" s="372"/>
      <c r="K4" s="372"/>
      <c r="L4" s="371" t="s">
        <v>2293</v>
      </c>
      <c r="M4" s="372"/>
      <c r="N4" s="372"/>
      <c r="O4" s="65" t="s">
        <v>5</v>
      </c>
      <c r="P4" s="69"/>
    </row>
    <row r="5" spans="1:16" s="4" customFormat="1" ht="42" x14ac:dyDescent="0.25">
      <c r="A5" s="312" t="s">
        <v>2279</v>
      </c>
      <c r="B5" s="313"/>
      <c r="C5" s="313"/>
      <c r="D5" s="313"/>
      <c r="E5" s="313"/>
      <c r="F5" s="373"/>
      <c r="G5" s="374"/>
      <c r="H5" s="374"/>
      <c r="I5" s="373"/>
      <c r="J5" s="374"/>
      <c r="K5" s="374"/>
      <c r="L5" s="373">
        <v>3</v>
      </c>
      <c r="M5" s="374"/>
      <c r="N5" s="374"/>
      <c r="O5" s="34">
        <f>F5+I5+L5</f>
        <v>3</v>
      </c>
      <c r="P5" s="100" t="s">
        <v>2416</v>
      </c>
    </row>
    <row r="6" spans="1:16" s="4" customFormat="1" ht="42" x14ac:dyDescent="0.25">
      <c r="A6" s="312" t="s">
        <v>1924</v>
      </c>
      <c r="B6" s="313"/>
      <c r="C6" s="313"/>
      <c r="D6" s="313"/>
      <c r="E6" s="313"/>
      <c r="F6" s="373"/>
      <c r="G6" s="374"/>
      <c r="H6" s="374"/>
      <c r="I6" s="373"/>
      <c r="J6" s="374"/>
      <c r="K6" s="374"/>
      <c r="L6" s="375"/>
      <c r="M6" s="376"/>
      <c r="N6" s="376"/>
      <c r="O6" s="34">
        <f t="shared" ref="O6:O9" si="0">F6+I6+L6</f>
        <v>0</v>
      </c>
      <c r="P6" s="77" t="s">
        <v>2365</v>
      </c>
    </row>
    <row r="7" spans="1:16" s="4" customFormat="1" ht="34.15" customHeight="1" x14ac:dyDescent="0.25">
      <c r="A7" s="313" t="s">
        <v>3640</v>
      </c>
      <c r="B7" s="313"/>
      <c r="C7" s="313"/>
      <c r="D7" s="313"/>
      <c r="E7" s="313"/>
      <c r="F7" s="373"/>
      <c r="G7" s="374"/>
      <c r="H7" s="377"/>
      <c r="I7" s="155"/>
      <c r="J7" s="156"/>
      <c r="K7" s="156"/>
      <c r="L7" s="373">
        <v>3</v>
      </c>
      <c r="M7" s="374"/>
      <c r="N7" s="377"/>
      <c r="O7" s="34">
        <f t="shared" si="0"/>
        <v>3</v>
      </c>
      <c r="P7" s="77"/>
    </row>
    <row r="8" spans="1:16" s="4" customFormat="1" ht="28.15" customHeight="1" x14ac:dyDescent="0.25">
      <c r="A8" s="313" t="s">
        <v>3434</v>
      </c>
      <c r="B8" s="313"/>
      <c r="C8" s="313"/>
      <c r="D8" s="313"/>
      <c r="E8" s="313"/>
      <c r="F8" s="373"/>
      <c r="G8" s="374"/>
      <c r="H8" s="377"/>
      <c r="I8" s="155"/>
      <c r="J8" s="156"/>
      <c r="K8" s="156"/>
      <c r="L8" s="373">
        <v>1</v>
      </c>
      <c r="M8" s="374"/>
      <c r="N8" s="377"/>
      <c r="O8" s="34">
        <f t="shared" si="0"/>
        <v>1</v>
      </c>
      <c r="P8" s="77"/>
    </row>
    <row r="9" spans="1:16" s="4" customFormat="1" ht="28.15" customHeight="1" x14ac:dyDescent="0.25">
      <c r="A9" s="313" t="s">
        <v>3435</v>
      </c>
      <c r="B9" s="313"/>
      <c r="C9" s="313"/>
      <c r="D9" s="313"/>
      <c r="E9" s="313"/>
      <c r="F9" s="373"/>
      <c r="G9" s="374"/>
      <c r="H9" s="377"/>
      <c r="I9" s="155"/>
      <c r="J9" s="156"/>
      <c r="K9" s="156"/>
      <c r="L9" s="373">
        <v>1</v>
      </c>
      <c r="M9" s="374"/>
      <c r="N9" s="377"/>
      <c r="O9" s="34">
        <f t="shared" si="0"/>
        <v>1</v>
      </c>
      <c r="P9" s="77"/>
    </row>
    <row r="10" spans="1:16" s="4" customFormat="1" x14ac:dyDescent="0.25">
      <c r="A10" s="327" t="s">
        <v>135</v>
      </c>
      <c r="B10" s="327"/>
      <c r="C10" s="327"/>
      <c r="D10" s="327"/>
      <c r="E10" s="327"/>
      <c r="F10" s="327"/>
      <c r="G10" s="327"/>
      <c r="H10" s="327"/>
      <c r="I10" s="327"/>
      <c r="J10" s="327"/>
      <c r="K10" s="327"/>
      <c r="L10" s="327"/>
      <c r="M10" s="327"/>
      <c r="N10" s="327"/>
      <c r="O10" s="327"/>
      <c r="P10" s="69"/>
    </row>
    <row r="11" spans="1:16" s="4" customFormat="1" x14ac:dyDescent="0.25">
      <c r="A11" s="314" t="s">
        <v>61</v>
      </c>
      <c r="B11" s="314"/>
      <c r="C11" s="314"/>
      <c r="D11" s="314"/>
      <c r="E11" s="314"/>
      <c r="F11" s="314" t="s">
        <v>1925</v>
      </c>
      <c r="G11" s="314"/>
      <c r="H11" s="314"/>
      <c r="I11" s="314"/>
      <c r="J11" s="314"/>
      <c r="K11" s="314" t="s">
        <v>1926</v>
      </c>
      <c r="L11" s="314"/>
      <c r="M11" s="314"/>
      <c r="N11" s="314"/>
      <c r="O11" s="65" t="s">
        <v>5</v>
      </c>
      <c r="P11" s="69"/>
    </row>
    <row r="12" spans="1:16" s="4" customFormat="1" ht="35.1" customHeight="1" x14ac:dyDescent="0.25">
      <c r="A12" s="312" t="s">
        <v>1888</v>
      </c>
      <c r="B12" s="312"/>
      <c r="C12" s="312"/>
      <c r="D12" s="312"/>
      <c r="E12" s="312"/>
      <c r="F12" s="380"/>
      <c r="G12" s="380"/>
      <c r="H12" s="380"/>
      <c r="I12" s="380"/>
      <c r="J12" s="380"/>
      <c r="K12" s="380"/>
      <c r="L12" s="380"/>
      <c r="M12" s="380"/>
      <c r="N12" s="380"/>
      <c r="O12" s="34">
        <f>F12+K12</f>
        <v>0</v>
      </c>
      <c r="P12" s="69"/>
    </row>
    <row r="13" spans="1:16" s="4" customFormat="1" ht="24.95" customHeight="1" x14ac:dyDescent="0.25">
      <c r="A13" s="312" t="s">
        <v>1879</v>
      </c>
      <c r="B13" s="312"/>
      <c r="C13" s="312"/>
      <c r="D13" s="312"/>
      <c r="E13" s="312"/>
      <c r="F13" s="380"/>
      <c r="G13" s="380"/>
      <c r="H13" s="380"/>
      <c r="I13" s="380"/>
      <c r="J13" s="380"/>
      <c r="K13" s="380"/>
      <c r="L13" s="380"/>
      <c r="M13" s="380"/>
      <c r="N13" s="380"/>
      <c r="O13" s="34">
        <f>F13+K13</f>
        <v>0</v>
      </c>
      <c r="P13" s="69"/>
    </row>
    <row r="14" spans="1:16" s="4" customFormat="1" x14ac:dyDescent="0.25">
      <c r="A14" s="370" t="s">
        <v>2251</v>
      </c>
      <c r="B14" s="370"/>
      <c r="C14" s="370"/>
      <c r="D14" s="370"/>
      <c r="E14" s="370"/>
      <c r="F14" s="370"/>
      <c r="G14" s="370"/>
      <c r="H14" s="370"/>
      <c r="I14" s="370"/>
      <c r="J14" s="370"/>
      <c r="K14" s="370"/>
      <c r="L14" s="370"/>
      <c r="M14" s="370"/>
      <c r="N14" s="370"/>
      <c r="O14" s="370"/>
      <c r="P14" s="69"/>
    </row>
    <row r="15" spans="1:16" s="4" customFormat="1" x14ac:dyDescent="0.25">
      <c r="A15" s="327" t="s">
        <v>1844</v>
      </c>
      <c r="B15" s="327"/>
      <c r="C15" s="327"/>
      <c r="D15" s="327"/>
      <c r="E15" s="327"/>
      <c r="F15" s="327"/>
      <c r="G15" s="327"/>
      <c r="H15" s="327"/>
      <c r="I15" s="327"/>
      <c r="J15" s="327"/>
      <c r="K15" s="327"/>
      <c r="L15" s="327"/>
      <c r="M15" s="327"/>
      <c r="N15" s="327"/>
      <c r="O15" s="327"/>
      <c r="P15" s="69"/>
    </row>
    <row r="16" spans="1:16" s="4" customFormat="1" x14ac:dyDescent="0.25">
      <c r="A16" s="367" t="s">
        <v>2250</v>
      </c>
      <c r="B16" s="367"/>
      <c r="C16" s="367"/>
      <c r="D16" s="367"/>
      <c r="E16" s="367"/>
      <c r="F16" s="367"/>
      <c r="G16" s="367"/>
      <c r="H16" s="367"/>
      <c r="I16" s="367"/>
      <c r="J16" s="367"/>
      <c r="K16" s="367"/>
      <c r="L16" s="367"/>
      <c r="M16" s="367"/>
      <c r="N16" s="367"/>
      <c r="O16" s="367"/>
      <c r="P16" s="69"/>
    </row>
    <row r="17" spans="1:16" s="4" customFormat="1" ht="24.95" customHeight="1" x14ac:dyDescent="0.25">
      <c r="A17" s="339" t="s">
        <v>1814</v>
      </c>
      <c r="B17" s="339"/>
      <c r="C17" s="339"/>
      <c r="D17" s="339"/>
      <c r="E17" s="339"/>
      <c r="F17" s="368">
        <v>1210</v>
      </c>
      <c r="G17" s="368"/>
      <c r="H17" s="368"/>
      <c r="I17" s="368"/>
      <c r="J17" s="368"/>
      <c r="K17" s="368"/>
      <c r="L17" s="368"/>
      <c r="M17" s="368"/>
      <c r="N17" s="368"/>
      <c r="O17" s="368"/>
      <c r="P17" s="69"/>
    </row>
    <row r="18" spans="1:16" s="4" customFormat="1" ht="24.95" customHeight="1" x14ac:dyDescent="0.25">
      <c r="A18" s="361" t="s">
        <v>1954</v>
      </c>
      <c r="B18" s="361"/>
      <c r="C18" s="361"/>
      <c r="D18" s="361"/>
      <c r="E18" s="361"/>
      <c r="F18" s="368">
        <v>1056</v>
      </c>
      <c r="G18" s="368"/>
      <c r="H18" s="368"/>
      <c r="I18" s="368"/>
      <c r="J18" s="368"/>
      <c r="K18" s="368"/>
      <c r="L18" s="368"/>
      <c r="M18" s="368"/>
      <c r="N18" s="368"/>
      <c r="O18" s="368"/>
      <c r="P18" s="69"/>
    </row>
    <row r="19" spans="1:16" s="4" customFormat="1" ht="24.95" customHeight="1" x14ac:dyDescent="0.25">
      <c r="A19" s="361" t="s">
        <v>1927</v>
      </c>
      <c r="B19" s="361"/>
      <c r="C19" s="361"/>
      <c r="D19" s="361"/>
      <c r="E19" s="361"/>
      <c r="F19" s="368">
        <v>30</v>
      </c>
      <c r="G19" s="368"/>
      <c r="H19" s="368"/>
      <c r="I19" s="368"/>
      <c r="J19" s="368"/>
      <c r="K19" s="368"/>
      <c r="L19" s="368"/>
      <c r="M19" s="368"/>
      <c r="N19" s="368"/>
      <c r="O19" s="368"/>
      <c r="P19" s="69"/>
    </row>
    <row r="20" spans="1:16" s="4" customFormat="1" ht="24.95" customHeight="1" x14ac:dyDescent="0.25">
      <c r="A20" s="361" t="s">
        <v>2244</v>
      </c>
      <c r="B20" s="361"/>
      <c r="C20" s="361"/>
      <c r="D20" s="361"/>
      <c r="E20" s="361"/>
      <c r="F20" s="368">
        <v>29</v>
      </c>
      <c r="G20" s="368"/>
      <c r="H20" s="368"/>
      <c r="I20" s="368"/>
      <c r="J20" s="368"/>
      <c r="K20" s="368"/>
      <c r="L20" s="368"/>
      <c r="M20" s="368"/>
      <c r="N20" s="368"/>
      <c r="O20" s="368"/>
      <c r="P20" s="397" t="s">
        <v>2245</v>
      </c>
    </row>
    <row r="21" spans="1:16" s="4" customFormat="1" ht="24.95" customHeight="1" x14ac:dyDescent="0.25">
      <c r="A21" s="361" t="s">
        <v>1955</v>
      </c>
      <c r="B21" s="361"/>
      <c r="C21" s="361"/>
      <c r="D21" s="361"/>
      <c r="E21" s="361"/>
      <c r="F21" s="368">
        <v>29</v>
      </c>
      <c r="G21" s="368"/>
      <c r="H21" s="368"/>
      <c r="I21" s="368"/>
      <c r="J21" s="368"/>
      <c r="K21" s="368"/>
      <c r="L21" s="368"/>
      <c r="M21" s="368"/>
      <c r="N21" s="368"/>
      <c r="O21" s="368"/>
      <c r="P21" s="398"/>
    </row>
    <row r="22" spans="1:16" s="4" customFormat="1" ht="24.95" customHeight="1" x14ac:dyDescent="0.25">
      <c r="A22" s="339" t="s">
        <v>1816</v>
      </c>
      <c r="B22" s="339"/>
      <c r="C22" s="339"/>
      <c r="D22" s="339"/>
      <c r="E22" s="339"/>
      <c r="F22" s="396" t="s">
        <v>83</v>
      </c>
      <c r="G22" s="396"/>
      <c r="H22" s="396"/>
      <c r="I22" s="396"/>
      <c r="J22" s="396" t="s">
        <v>84</v>
      </c>
      <c r="K22" s="396"/>
      <c r="L22" s="396"/>
      <c r="M22" s="396"/>
      <c r="N22" s="396" t="s">
        <v>5</v>
      </c>
      <c r="O22" s="396"/>
      <c r="P22" s="69"/>
    </row>
    <row r="23" spans="1:16" s="4" customFormat="1" ht="24.95" customHeight="1" x14ac:dyDescent="0.25">
      <c r="A23" s="339"/>
      <c r="B23" s="339"/>
      <c r="C23" s="339"/>
      <c r="D23" s="339"/>
      <c r="E23" s="339"/>
      <c r="F23" s="68" t="s">
        <v>1959</v>
      </c>
      <c r="G23" s="68" t="s">
        <v>137</v>
      </c>
      <c r="H23" s="68" t="s">
        <v>1960</v>
      </c>
      <c r="I23" s="68" t="s">
        <v>1961</v>
      </c>
      <c r="J23" s="68" t="s">
        <v>1959</v>
      </c>
      <c r="K23" s="68" t="s">
        <v>137</v>
      </c>
      <c r="L23" s="68" t="s">
        <v>1960</v>
      </c>
      <c r="M23" s="68" t="s">
        <v>1961</v>
      </c>
      <c r="N23" s="396"/>
      <c r="O23" s="396"/>
      <c r="P23" s="69"/>
    </row>
    <row r="24" spans="1:16" s="4" customFormat="1" ht="24.95" customHeight="1" x14ac:dyDescent="0.25">
      <c r="A24" s="340"/>
      <c r="B24" s="312" t="s">
        <v>1880</v>
      </c>
      <c r="C24" s="312"/>
      <c r="D24" s="312"/>
      <c r="E24" s="312"/>
      <c r="F24" s="71">
        <v>1</v>
      </c>
      <c r="G24" s="71"/>
      <c r="H24" s="71"/>
      <c r="I24" s="71"/>
      <c r="J24" s="71">
        <v>1</v>
      </c>
      <c r="K24" s="71"/>
      <c r="L24" s="71"/>
      <c r="M24" s="71"/>
      <c r="N24" s="341">
        <f t="shared" ref="N24:N29" si="1">SUM(F24:M24)</f>
        <v>2</v>
      </c>
      <c r="O24" s="341"/>
      <c r="P24" s="308" t="s">
        <v>1974</v>
      </c>
    </row>
    <row r="25" spans="1:16" s="4" customFormat="1" ht="24.95" customHeight="1" x14ac:dyDescent="0.25">
      <c r="A25" s="340"/>
      <c r="B25" s="312" t="s">
        <v>1881</v>
      </c>
      <c r="C25" s="312"/>
      <c r="D25" s="312"/>
      <c r="E25" s="312"/>
      <c r="F25" s="71"/>
      <c r="G25" s="71"/>
      <c r="H25" s="71"/>
      <c r="I25" s="71"/>
      <c r="J25" s="71">
        <v>1</v>
      </c>
      <c r="K25" s="71"/>
      <c r="L25" s="71"/>
      <c r="M25" s="71"/>
      <c r="N25" s="341">
        <f t="shared" si="1"/>
        <v>1</v>
      </c>
      <c r="O25" s="341"/>
      <c r="P25" s="395"/>
    </row>
    <row r="26" spans="1:16" s="4" customFormat="1" ht="24.95" customHeight="1" x14ac:dyDescent="0.25">
      <c r="A26" s="340"/>
      <c r="B26" s="312" t="s">
        <v>85</v>
      </c>
      <c r="C26" s="312"/>
      <c r="D26" s="312"/>
      <c r="E26" s="312"/>
      <c r="F26" s="71"/>
      <c r="G26" s="71"/>
      <c r="H26" s="71"/>
      <c r="I26" s="71"/>
      <c r="J26" s="71"/>
      <c r="K26" s="71"/>
      <c r="L26" s="71"/>
      <c r="M26" s="71"/>
      <c r="N26" s="341">
        <f t="shared" si="1"/>
        <v>0</v>
      </c>
      <c r="O26" s="341"/>
      <c r="P26" s="395"/>
    </row>
    <row r="27" spans="1:16" s="4" customFormat="1" ht="24.75" customHeight="1" x14ac:dyDescent="0.25">
      <c r="A27" s="340"/>
      <c r="B27" s="313" t="s">
        <v>86</v>
      </c>
      <c r="C27" s="313"/>
      <c r="D27" s="313"/>
      <c r="E27" s="313"/>
      <c r="F27" s="71"/>
      <c r="G27" s="71"/>
      <c r="H27" s="71"/>
      <c r="I27" s="71"/>
      <c r="J27" s="71"/>
      <c r="K27" s="71"/>
      <c r="L27" s="71"/>
      <c r="M27" s="71"/>
      <c r="N27" s="341">
        <f t="shared" si="1"/>
        <v>0</v>
      </c>
      <c r="O27" s="341"/>
      <c r="P27" s="395"/>
    </row>
    <row r="28" spans="1:16" s="4" customFormat="1" ht="24.95" customHeight="1" x14ac:dyDescent="0.25">
      <c r="A28" s="358" t="s">
        <v>1964</v>
      </c>
      <c r="B28" s="359"/>
      <c r="C28" s="359"/>
      <c r="D28" s="359"/>
      <c r="E28" s="360"/>
      <c r="F28" s="34">
        <f>SUM(F24:F27)</f>
        <v>1</v>
      </c>
      <c r="G28" s="34">
        <f t="shared" ref="G28:M28" si="2">SUM(G24:G27)</f>
        <v>0</v>
      </c>
      <c r="H28" s="34">
        <f t="shared" si="2"/>
        <v>0</v>
      </c>
      <c r="I28" s="34">
        <f t="shared" si="2"/>
        <v>0</v>
      </c>
      <c r="J28" s="34">
        <f t="shared" si="2"/>
        <v>2</v>
      </c>
      <c r="K28" s="34">
        <f t="shared" si="2"/>
        <v>0</v>
      </c>
      <c r="L28" s="34">
        <f t="shared" si="2"/>
        <v>0</v>
      </c>
      <c r="M28" s="34">
        <f t="shared" si="2"/>
        <v>0</v>
      </c>
      <c r="N28" s="341">
        <f t="shared" si="1"/>
        <v>3</v>
      </c>
      <c r="O28" s="341"/>
      <c r="P28" s="309"/>
    </row>
    <row r="29" spans="1:16" s="4" customFormat="1" ht="24.95" customHeight="1" x14ac:dyDescent="0.25">
      <c r="A29" s="361" t="s">
        <v>2252</v>
      </c>
      <c r="B29" s="361"/>
      <c r="C29" s="361"/>
      <c r="D29" s="361"/>
      <c r="E29" s="361"/>
      <c r="F29" s="37"/>
      <c r="G29" s="37"/>
      <c r="H29" s="37"/>
      <c r="I29" s="37"/>
      <c r="J29" s="37"/>
      <c r="K29" s="37"/>
      <c r="L29" s="37"/>
      <c r="M29" s="37"/>
      <c r="N29" s="341">
        <f t="shared" si="1"/>
        <v>0</v>
      </c>
      <c r="O29" s="341"/>
      <c r="P29" s="69"/>
    </row>
    <row r="30" spans="1:16" s="4" customFormat="1" x14ac:dyDescent="0.25">
      <c r="A30" s="362" t="s">
        <v>1845</v>
      </c>
      <c r="B30" s="362"/>
      <c r="C30" s="362"/>
      <c r="D30" s="362"/>
      <c r="E30" s="362"/>
      <c r="F30" s="362"/>
      <c r="G30" s="362"/>
      <c r="H30" s="362"/>
      <c r="I30" s="362"/>
      <c r="J30" s="362"/>
      <c r="K30" s="362"/>
      <c r="L30" s="362"/>
      <c r="M30" s="362"/>
      <c r="N30" s="362"/>
      <c r="O30" s="362"/>
      <c r="P30" s="69"/>
    </row>
    <row r="31" spans="1:16" s="4" customFormat="1" x14ac:dyDescent="0.25">
      <c r="A31" s="367" t="s">
        <v>1956</v>
      </c>
      <c r="B31" s="367"/>
      <c r="C31" s="367"/>
      <c r="D31" s="367"/>
      <c r="E31" s="367"/>
      <c r="F31" s="402"/>
      <c r="G31" s="402"/>
      <c r="H31" s="402"/>
      <c r="I31" s="402"/>
      <c r="J31" s="402"/>
      <c r="K31" s="402"/>
      <c r="L31" s="402"/>
      <c r="M31" s="402"/>
      <c r="N31" s="367"/>
      <c r="O31" s="367"/>
      <c r="P31" s="69"/>
    </row>
    <row r="32" spans="1:16" s="4" customFormat="1" x14ac:dyDescent="0.25">
      <c r="A32" s="314" t="s">
        <v>61</v>
      </c>
      <c r="B32" s="314"/>
      <c r="C32" s="314"/>
      <c r="D32" s="314"/>
      <c r="E32" s="371"/>
      <c r="F32" s="401" t="s">
        <v>7</v>
      </c>
      <c r="G32" s="401"/>
      <c r="H32" s="401"/>
      <c r="I32" s="401"/>
      <c r="J32" s="401"/>
      <c r="K32" s="401"/>
      <c r="L32" s="399" t="s">
        <v>60</v>
      </c>
      <c r="M32" s="400"/>
      <c r="N32" s="342" t="s">
        <v>5</v>
      </c>
      <c r="O32" s="343"/>
      <c r="P32" s="69"/>
    </row>
    <row r="33" spans="1:16" s="4" customFormat="1" x14ac:dyDescent="0.25">
      <c r="A33" s="314"/>
      <c r="B33" s="314"/>
      <c r="C33" s="314"/>
      <c r="D33" s="314"/>
      <c r="E33" s="371"/>
      <c r="F33" s="363" t="s">
        <v>1</v>
      </c>
      <c r="G33" s="363"/>
      <c r="H33" s="363" t="s">
        <v>2</v>
      </c>
      <c r="I33" s="363"/>
      <c r="J33" s="363" t="s">
        <v>3</v>
      </c>
      <c r="K33" s="363"/>
      <c r="L33" s="72" t="s">
        <v>1</v>
      </c>
      <c r="M33" s="72" t="s">
        <v>2</v>
      </c>
      <c r="N33" s="344"/>
      <c r="O33" s="345"/>
      <c r="P33" s="69"/>
    </row>
    <row r="34" spans="1:16" s="4" customFormat="1" ht="24.95" customHeight="1" x14ac:dyDescent="0.25">
      <c r="A34" s="346" t="s">
        <v>2265</v>
      </c>
      <c r="B34" s="347"/>
      <c r="C34" s="348"/>
      <c r="D34" s="356" t="s">
        <v>2260</v>
      </c>
      <c r="E34" s="356"/>
      <c r="F34" s="355">
        <v>21</v>
      </c>
      <c r="G34" s="355"/>
      <c r="H34" s="355">
        <v>7</v>
      </c>
      <c r="I34" s="355"/>
      <c r="J34" s="355"/>
      <c r="K34" s="355"/>
      <c r="L34" s="59"/>
      <c r="M34" s="59"/>
      <c r="N34" s="364">
        <f>SUM(F34:M34)</f>
        <v>28</v>
      </c>
      <c r="O34" s="364"/>
      <c r="P34" s="69"/>
    </row>
    <row r="35" spans="1:16" s="4" customFormat="1" ht="35.1" customHeight="1" x14ac:dyDescent="0.25">
      <c r="A35" s="349"/>
      <c r="B35" s="350"/>
      <c r="C35" s="351"/>
      <c r="D35" s="356" t="s">
        <v>2261</v>
      </c>
      <c r="E35" s="356"/>
      <c r="F35" s="355">
        <v>25</v>
      </c>
      <c r="G35" s="355"/>
      <c r="H35" s="355">
        <v>5</v>
      </c>
      <c r="I35" s="355"/>
      <c r="J35" s="355"/>
      <c r="K35" s="355"/>
      <c r="L35" s="59"/>
      <c r="M35" s="59"/>
      <c r="N35" s="364">
        <f>SUM(F35:M35)</f>
        <v>30</v>
      </c>
      <c r="O35" s="364"/>
      <c r="P35" s="69"/>
    </row>
    <row r="36" spans="1:16" s="4" customFormat="1" ht="24.95" customHeight="1" x14ac:dyDescent="0.25">
      <c r="A36" s="352"/>
      <c r="B36" s="353"/>
      <c r="C36" s="354"/>
      <c r="D36" s="357" t="s">
        <v>5</v>
      </c>
      <c r="E36" s="357"/>
      <c r="F36" s="364">
        <f>SUM(F34:G35)</f>
        <v>46</v>
      </c>
      <c r="G36" s="364"/>
      <c r="H36" s="364">
        <f>SUM(H34:I35)</f>
        <v>12</v>
      </c>
      <c r="I36" s="364"/>
      <c r="J36" s="364">
        <f>SUM(J34:K35)</f>
        <v>0</v>
      </c>
      <c r="K36" s="364"/>
      <c r="L36" s="73">
        <f>SUM(L34:L35)</f>
        <v>0</v>
      </c>
      <c r="M36" s="73">
        <f>SUM(M34:M35)</f>
        <v>0</v>
      </c>
      <c r="N36" s="364">
        <f>SUM(F36:M36)</f>
        <v>58</v>
      </c>
      <c r="O36" s="364"/>
      <c r="P36" s="69"/>
    </row>
    <row r="37" spans="1:16" s="4" customFormat="1" ht="24.95" customHeight="1" x14ac:dyDescent="0.25">
      <c r="A37" s="390" t="s">
        <v>1957</v>
      </c>
      <c r="B37" s="391"/>
      <c r="C37" s="392"/>
      <c r="D37" s="356" t="s">
        <v>2253</v>
      </c>
      <c r="E37" s="356"/>
      <c r="F37" s="355">
        <v>45</v>
      </c>
      <c r="G37" s="355"/>
      <c r="H37" s="355">
        <v>11</v>
      </c>
      <c r="I37" s="355"/>
      <c r="J37" s="355"/>
      <c r="K37" s="355"/>
      <c r="L37" s="59"/>
      <c r="M37" s="59"/>
      <c r="N37" s="364">
        <f t="shared" ref="N37:N42" si="3">SUM(F37:M37)</f>
        <v>56</v>
      </c>
      <c r="O37" s="364"/>
      <c r="P37" s="387" t="s">
        <v>1962</v>
      </c>
    </row>
    <row r="38" spans="1:16" s="4" customFormat="1" ht="24.95" customHeight="1" x14ac:dyDescent="0.25">
      <c r="A38" s="393"/>
      <c r="B38" s="350"/>
      <c r="C38" s="351"/>
      <c r="D38" s="356" t="s">
        <v>2254</v>
      </c>
      <c r="E38" s="356"/>
      <c r="F38" s="355">
        <v>1</v>
      </c>
      <c r="G38" s="355"/>
      <c r="H38" s="355">
        <v>1</v>
      </c>
      <c r="I38" s="355"/>
      <c r="J38" s="355"/>
      <c r="K38" s="355"/>
      <c r="L38" s="59"/>
      <c r="M38" s="59"/>
      <c r="N38" s="364">
        <f t="shared" si="3"/>
        <v>2</v>
      </c>
      <c r="O38" s="364"/>
      <c r="P38" s="388"/>
    </row>
    <row r="39" spans="1:16" s="4" customFormat="1" ht="24.95" customHeight="1" x14ac:dyDescent="0.25">
      <c r="A39" s="394"/>
      <c r="B39" s="353"/>
      <c r="C39" s="354"/>
      <c r="D39" s="385" t="s">
        <v>5</v>
      </c>
      <c r="E39" s="386"/>
      <c r="F39" s="365">
        <f>SUM(F37:G38)</f>
        <v>46</v>
      </c>
      <c r="G39" s="366"/>
      <c r="H39" s="365">
        <f>SUM(H37:I38)</f>
        <v>12</v>
      </c>
      <c r="I39" s="366"/>
      <c r="J39" s="365">
        <f>SUM(J37:K38)</f>
        <v>0</v>
      </c>
      <c r="K39" s="366"/>
      <c r="L39" s="73">
        <f>SUM(L37:L38)</f>
        <v>0</v>
      </c>
      <c r="M39" s="73">
        <f>SUM(M37:M38)</f>
        <v>0</v>
      </c>
      <c r="N39" s="364">
        <f>SUM(F39:M39)</f>
        <v>58</v>
      </c>
      <c r="O39" s="364"/>
      <c r="P39" s="389"/>
    </row>
    <row r="40" spans="1:16" s="4" customFormat="1" ht="24.95" customHeight="1" x14ac:dyDescent="0.25">
      <c r="A40" s="357" t="s">
        <v>1958</v>
      </c>
      <c r="B40" s="357"/>
      <c r="C40" s="357"/>
      <c r="D40" s="357"/>
      <c r="E40" s="357"/>
      <c r="F40" s="355">
        <v>3</v>
      </c>
      <c r="G40" s="355"/>
      <c r="H40" s="355">
        <v>0</v>
      </c>
      <c r="I40" s="355"/>
      <c r="J40" s="355"/>
      <c r="K40" s="355"/>
      <c r="L40" s="59"/>
      <c r="M40" s="59"/>
      <c r="N40" s="364">
        <f t="shared" si="3"/>
        <v>3</v>
      </c>
      <c r="O40" s="364"/>
      <c r="P40" s="69"/>
    </row>
    <row r="41" spans="1:16" s="4" customFormat="1" ht="24.95" customHeight="1" x14ac:dyDescent="0.25">
      <c r="A41" s="382" t="s">
        <v>174</v>
      </c>
      <c r="B41" s="382"/>
      <c r="C41" s="382"/>
      <c r="D41" s="382"/>
      <c r="E41" s="382"/>
      <c r="F41" s="355">
        <v>46</v>
      </c>
      <c r="G41" s="355"/>
      <c r="H41" s="355">
        <v>12</v>
      </c>
      <c r="I41" s="355"/>
      <c r="J41" s="355"/>
      <c r="K41" s="355"/>
      <c r="L41" s="59"/>
      <c r="M41" s="59"/>
      <c r="N41" s="364">
        <f t="shared" si="3"/>
        <v>58</v>
      </c>
      <c r="O41" s="364"/>
      <c r="P41" s="69"/>
    </row>
    <row r="42" spans="1:16" s="4" customFormat="1" ht="24.95" customHeight="1" x14ac:dyDescent="0.25">
      <c r="A42" s="339" t="s">
        <v>175</v>
      </c>
      <c r="B42" s="339"/>
      <c r="C42" s="339"/>
      <c r="D42" s="339"/>
      <c r="E42" s="339"/>
      <c r="F42" s="383">
        <v>40</v>
      </c>
      <c r="G42" s="384"/>
      <c r="H42" s="355">
        <v>11</v>
      </c>
      <c r="I42" s="355"/>
      <c r="J42" s="355"/>
      <c r="K42" s="355"/>
      <c r="L42" s="59"/>
      <c r="M42" s="59"/>
      <c r="N42" s="364">
        <f t="shared" si="3"/>
        <v>51</v>
      </c>
      <c r="O42" s="364"/>
      <c r="P42" s="69"/>
    </row>
    <row r="43" spans="1:16" s="4" customFormat="1" x14ac:dyDescent="0.25">
      <c r="A43" s="327" t="s">
        <v>87</v>
      </c>
      <c r="B43" s="327"/>
      <c r="C43" s="327"/>
      <c r="D43" s="327"/>
      <c r="E43" s="327"/>
      <c r="F43" s="327"/>
      <c r="G43" s="327"/>
      <c r="H43" s="327"/>
      <c r="I43" s="327"/>
      <c r="J43" s="327"/>
      <c r="K43" s="327"/>
      <c r="L43" s="327"/>
      <c r="M43" s="327"/>
      <c r="N43" s="327"/>
      <c r="O43" s="327"/>
      <c r="P43" s="69"/>
    </row>
    <row r="44" spans="1:16" s="4" customFormat="1" x14ac:dyDescent="0.25">
      <c r="A44" s="367" t="s">
        <v>2250</v>
      </c>
      <c r="B44" s="367"/>
      <c r="C44" s="367"/>
      <c r="D44" s="367"/>
      <c r="E44" s="367"/>
      <c r="F44" s="367"/>
      <c r="G44" s="367"/>
      <c r="H44" s="367"/>
      <c r="I44" s="367"/>
      <c r="J44" s="367"/>
      <c r="K44" s="367"/>
      <c r="L44" s="367"/>
      <c r="M44" s="367"/>
      <c r="N44" s="367"/>
      <c r="O44" s="367"/>
      <c r="P44" s="69"/>
    </row>
    <row r="45" spans="1:16" s="4" customFormat="1" ht="24.95" customHeight="1" x14ac:dyDescent="0.25">
      <c r="A45" s="313" t="s">
        <v>138</v>
      </c>
      <c r="B45" s="313"/>
      <c r="C45" s="313"/>
      <c r="D45" s="313"/>
      <c r="E45" s="313"/>
      <c r="F45" s="59">
        <v>8</v>
      </c>
      <c r="G45" s="59">
        <v>2</v>
      </c>
      <c r="H45" s="59"/>
      <c r="I45" s="59"/>
      <c r="J45" s="59"/>
      <c r="K45" s="59"/>
      <c r="L45" s="59"/>
      <c r="M45" s="59"/>
      <c r="N45" s="364">
        <f>SUM(F45:M45)</f>
        <v>10</v>
      </c>
      <c r="O45" s="364"/>
      <c r="P45" s="69"/>
    </row>
    <row r="46" spans="1:16" s="4" customFormat="1" ht="24.95" customHeight="1" x14ac:dyDescent="0.25">
      <c r="A46" s="313" t="s">
        <v>139</v>
      </c>
      <c r="B46" s="313"/>
      <c r="C46" s="313"/>
      <c r="D46" s="313"/>
      <c r="E46" s="313"/>
      <c r="F46" s="59">
        <v>15</v>
      </c>
      <c r="G46" s="59">
        <v>6</v>
      </c>
      <c r="H46" s="59"/>
      <c r="I46" s="59"/>
      <c r="J46" s="59"/>
      <c r="K46" s="59"/>
      <c r="L46" s="59"/>
      <c r="M46" s="59"/>
      <c r="N46" s="364">
        <f>SUM(F46:M46)</f>
        <v>21</v>
      </c>
      <c r="O46" s="364"/>
      <c r="P46" s="69"/>
    </row>
    <row r="47" spans="1:16" x14ac:dyDescent="0.25">
      <c r="A47" s="381"/>
      <c r="B47" s="381"/>
      <c r="C47" s="381"/>
      <c r="D47" s="381"/>
      <c r="E47" s="381"/>
      <c r="F47" s="381"/>
      <c r="G47" s="381"/>
      <c r="H47" s="381"/>
      <c r="I47" s="381"/>
      <c r="J47" s="381"/>
      <c r="K47" s="381"/>
      <c r="L47" s="381"/>
      <c r="M47" s="381"/>
      <c r="N47" s="381"/>
      <c r="O47" s="381"/>
      <c r="P47" s="6"/>
    </row>
  </sheetData>
  <sheetProtection algorithmName="SHA-512" hashValue="yaJSGDhPxs+7mXbcjeqjGkUtEsscMoYqgN8RRF1uJhyWJOz/3FvirSGk1gGTSH1L3JF2GXkAqlETGA1fc3MJOQ==" saltValue="+XWhZdgm6op7rlLuxSq7NA==" spinCount="100000" sheet="1" selectLockedCells="1"/>
  <mergeCells count="131">
    <mergeCell ref="P37:P39"/>
    <mergeCell ref="A37:C39"/>
    <mergeCell ref="F39:G39"/>
    <mergeCell ref="A19:E19"/>
    <mergeCell ref="A20:E20"/>
    <mergeCell ref="A21:E21"/>
    <mergeCell ref="P24:P28"/>
    <mergeCell ref="F19:O19"/>
    <mergeCell ref="F20:O20"/>
    <mergeCell ref="F21:O21"/>
    <mergeCell ref="F22:I22"/>
    <mergeCell ref="J22:M22"/>
    <mergeCell ref="N22:O23"/>
    <mergeCell ref="N24:O24"/>
    <mergeCell ref="N25:O25"/>
    <mergeCell ref="N28:O28"/>
    <mergeCell ref="P20:P21"/>
    <mergeCell ref="N34:O34"/>
    <mergeCell ref="N35:O35"/>
    <mergeCell ref="A32:E33"/>
    <mergeCell ref="L32:M32"/>
    <mergeCell ref="F32:K32"/>
    <mergeCell ref="A31:O31"/>
    <mergeCell ref="F36:G36"/>
    <mergeCell ref="A47:O47"/>
    <mergeCell ref="A40:E40"/>
    <mergeCell ref="A41:E41"/>
    <mergeCell ref="N38:O38"/>
    <mergeCell ref="N37:O37"/>
    <mergeCell ref="A45:E45"/>
    <mergeCell ref="A46:E46"/>
    <mergeCell ref="A42:E42"/>
    <mergeCell ref="A43:O43"/>
    <mergeCell ref="A44:O44"/>
    <mergeCell ref="F42:G42"/>
    <mergeCell ref="H42:I42"/>
    <mergeCell ref="J42:K42"/>
    <mergeCell ref="N42:O42"/>
    <mergeCell ref="D38:E38"/>
    <mergeCell ref="F37:G37"/>
    <mergeCell ref="H37:I37"/>
    <mergeCell ref="J37:K37"/>
    <mergeCell ref="F38:G38"/>
    <mergeCell ref="N45:O45"/>
    <mergeCell ref="N46:O46"/>
    <mergeCell ref="D37:E37"/>
    <mergeCell ref="D39:E39"/>
    <mergeCell ref="A1:N1"/>
    <mergeCell ref="D2:O2"/>
    <mergeCell ref="A3:O3"/>
    <mergeCell ref="A5:E5"/>
    <mergeCell ref="A6:E6"/>
    <mergeCell ref="A10:O10"/>
    <mergeCell ref="A11:E11"/>
    <mergeCell ref="A12:E12"/>
    <mergeCell ref="A13:E13"/>
    <mergeCell ref="K11:N11"/>
    <mergeCell ref="K12:N12"/>
    <mergeCell ref="K13:N13"/>
    <mergeCell ref="F11:J11"/>
    <mergeCell ref="F12:J12"/>
    <mergeCell ref="F13:J13"/>
    <mergeCell ref="L7:N7"/>
    <mergeCell ref="L8:N8"/>
    <mergeCell ref="L9:N9"/>
    <mergeCell ref="A15:O15"/>
    <mergeCell ref="A16:O16"/>
    <mergeCell ref="F17:O17"/>
    <mergeCell ref="F18:O18"/>
    <mergeCell ref="A17:E17"/>
    <mergeCell ref="A18:E18"/>
    <mergeCell ref="A2:C2"/>
    <mergeCell ref="A4:E4"/>
    <mergeCell ref="A14:O14"/>
    <mergeCell ref="F4:H4"/>
    <mergeCell ref="F5:H5"/>
    <mergeCell ref="F6:H6"/>
    <mergeCell ref="I5:K5"/>
    <mergeCell ref="L5:N5"/>
    <mergeCell ref="I6:K6"/>
    <mergeCell ref="L6:N6"/>
    <mergeCell ref="I4:K4"/>
    <mergeCell ref="L4:N4"/>
    <mergeCell ref="A7:E7"/>
    <mergeCell ref="A8:E8"/>
    <mergeCell ref="A9:E9"/>
    <mergeCell ref="F7:H7"/>
    <mergeCell ref="F8:H8"/>
    <mergeCell ref="F9:H9"/>
    <mergeCell ref="H36:I36"/>
    <mergeCell ref="J36:K36"/>
    <mergeCell ref="N36:O36"/>
    <mergeCell ref="J33:K33"/>
    <mergeCell ref="N26:O26"/>
    <mergeCell ref="N41:O41"/>
    <mergeCell ref="F40:G40"/>
    <mergeCell ref="H39:I39"/>
    <mergeCell ref="J39:K39"/>
    <mergeCell ref="H38:I38"/>
    <mergeCell ref="J38:K38"/>
    <mergeCell ref="N39:O39"/>
    <mergeCell ref="H40:I40"/>
    <mergeCell ref="J40:K40"/>
    <mergeCell ref="N40:O40"/>
    <mergeCell ref="F41:G41"/>
    <mergeCell ref="H41:I41"/>
    <mergeCell ref="J41:K41"/>
    <mergeCell ref="A22:E23"/>
    <mergeCell ref="A24:A27"/>
    <mergeCell ref="N27:O27"/>
    <mergeCell ref="B24:E24"/>
    <mergeCell ref="B25:E25"/>
    <mergeCell ref="B26:E26"/>
    <mergeCell ref="N32:O33"/>
    <mergeCell ref="A34:C36"/>
    <mergeCell ref="F34:G34"/>
    <mergeCell ref="H34:I34"/>
    <mergeCell ref="J34:K34"/>
    <mergeCell ref="F35:G35"/>
    <mergeCell ref="H35:I35"/>
    <mergeCell ref="J35:K35"/>
    <mergeCell ref="D34:E34"/>
    <mergeCell ref="D35:E35"/>
    <mergeCell ref="D36:E36"/>
    <mergeCell ref="N29:O29"/>
    <mergeCell ref="B27:E27"/>
    <mergeCell ref="A28:E28"/>
    <mergeCell ref="A29:E29"/>
    <mergeCell ref="A30:O30"/>
    <mergeCell ref="H33:I33"/>
    <mergeCell ref="F33:G33"/>
  </mergeCells>
  <conditionalFormatting sqref="N24:O28 F28:M28">
    <cfRule type="cellIs" dxfId="88" priority="9" operator="greaterThan">
      <formula>$F$21</formula>
    </cfRule>
  </conditionalFormatting>
  <conditionalFormatting sqref="P20:P21">
    <cfRule type="expression" dxfId="87" priority="7">
      <formula>$F$21&lt;$F$19</formula>
    </cfRule>
  </conditionalFormatting>
  <conditionalFormatting sqref="N39:O39">
    <cfRule type="expression" dxfId="86" priority="6">
      <formula>$N$37+$N$38&gt;$N$36</formula>
    </cfRule>
  </conditionalFormatting>
  <conditionalFormatting sqref="F39:G39">
    <cfRule type="cellIs" dxfId="85" priority="5" operator="greaterThan">
      <formula>F36</formula>
    </cfRule>
  </conditionalFormatting>
  <conditionalFormatting sqref="H39:K39">
    <cfRule type="cellIs" dxfId="84" priority="4" operator="greaterThan">
      <formula>H36</formula>
    </cfRule>
  </conditionalFormatting>
  <conditionalFormatting sqref="L39">
    <cfRule type="cellIs" dxfId="83" priority="3" operator="greaterThan">
      <formula>L36</formula>
    </cfRule>
  </conditionalFormatting>
  <conditionalFormatting sqref="M39">
    <cfRule type="cellIs" dxfId="82" priority="2" operator="greaterThan">
      <formula>M36</formula>
    </cfRule>
  </conditionalFormatting>
  <dataValidations count="24">
    <dataValidation type="whole" allowBlank="1" showErrorMessage="1" errorTitle="Error" error="Value is wrong please check" promptTitle="Instruction" prompt="Please enter no. of patients range (0-10000)" sqref="WVN6:WVN9 WLR6:WLR9 WBV6:WBV9 VRZ6:VRZ9 VID6:VID9 UYH6:UYH9 UOL6:UOL9 UEP6:UEP9 TUT6:TUT9 TKX6:TKX9 TBB6:TBB9 SRF6:SRF9 SHJ6:SHJ9 RXN6:RXN9 RNR6:RNR9 RDV6:RDV9 QTZ6:QTZ9 QKD6:QKD9 QAH6:QAH9 PQL6:PQL9 PGP6:PGP9 OWT6:OWT9 OMX6:OMX9 ODB6:ODB9 NTF6:NTF9 NJJ6:NJJ9 MZN6:MZN9 MPR6:MPR9 MFV6:MFV9 LVZ6:LVZ9 LMD6:LMD9 LCH6:LCH9 KSL6:KSL9 KIP6:KIP9 JYT6:JYT9 JOX6:JOX9 JFB6:JFB9 IVF6:IVF9 ILJ6:ILJ9 IBN6:IBN9 HRR6:HRR9 HHV6:HHV9 GXZ6:GXZ9 GOD6:GOD9 GEH6:GEH9 FUL6:FUL9 FKP6:FKP9 FAT6:FAT9 EQX6:EQX9 EHB6:EHB9 DXF6:DXF9 DNJ6:DNJ9 DDN6:DDN9 CTR6:CTR9 CJV6:CJV9 BZZ6:BZZ9 BQD6:BQD9 BGH6:BGH9 AWL6:AWL9 AMP6:AMP9 ACT6:ACT9 SX6:SX9 JB6:JB9 JE6:JE9 WVQ6:WVQ9 WLU6:WLU9 WBY6:WBY9 VSC6:VSC9 VIG6:VIG9 UYK6:UYK9 UOO6:UOO9 UES6:UES9 TUW6:TUW9 TLA6:TLA9 TBE6:TBE9 SRI6:SRI9 SHM6:SHM9 RXQ6:RXQ9 RNU6:RNU9 RDY6:RDY9 QUC6:QUC9 QKG6:QKG9 QAK6:QAK9 PQO6:PQO9 PGS6:PGS9 OWW6:OWW9 ONA6:ONA9 ODE6:ODE9 NTI6:NTI9 NJM6:NJM9 MZQ6:MZQ9 MPU6:MPU9 MFY6:MFY9 LWC6:LWC9 LMG6:LMG9 LCK6:LCK9 KSO6:KSO9 KIS6:KIS9 JYW6:JYW9 JPA6:JPA9 JFE6:JFE9 IVI6:IVI9 ILM6:ILM9 IBQ6:IBQ9 HRU6:HRU9 HHY6:HHY9 GYC6:GYC9 GOG6:GOG9 GEK6:GEK9 FUO6:FUO9 FKS6:FKS9 FAW6:FAW9 ERA6:ERA9 EHE6:EHE9 DXI6:DXI9 DNM6:DNM9 DDQ6:DDQ9 CTU6:CTU9 CJY6:CJY9 CAC6:CAC9 BQG6:BQG9 BGK6:BGK9 AWO6:AWO9 AMS6:AMS9 ACW6:ACW9 TA6:TA9 WVP15:WVQ15 JD15:JE15 SZ15:TA15 ACV15:ACW15 AMR15:AMS15 AWN15:AWO15 BGJ15:BGK15 BQF15:BQG15 CAB15:CAC15 CJX15:CJY15 CTT15:CTU15 DDP15:DDQ15 DNL15:DNM15 DXH15:DXI15 EHD15:EHE15 EQZ15:ERA15 FAV15:FAW15 FKR15:FKS15 FUN15:FUO15 GEJ15:GEK15 GOF15:GOG15 GYB15:GYC15 HHX15:HHY15 HRT15:HRU15 IBP15:IBQ15 ILL15:ILM15 IVH15:IVI15 JFD15:JFE15 JOZ15:JPA15 JYV15:JYW15 KIR15:KIS15 KSN15:KSO15 LCJ15:LCK15 LMF15:LMG15 LWB15:LWC15 MFX15:MFY15 MPT15:MPU15 MZP15:MZQ15 NJL15:NJM15 NTH15:NTI15 ODD15:ODE15 OMZ15:ONA15 OWV15:OWW15 PGR15:PGS15 PQN15:PQO15 QAJ15:QAK15 QKF15:QKG15 QUB15:QUC15 RDX15:RDY15 RNT15:RNU15 RXP15:RXQ15 SHL15:SHM15 SRH15:SRI15 TBD15:TBE15 TKZ15:TLA15 TUV15:TUW15 UER15:UES15 UON15:UOO15 UYJ15:UYK15 VIF15:VIG15 VSB15:VSC15 WBX15:WBY15 WLT15:WLU15 SW12:SY15 ACS12:ACU15 AMO12:AMQ15 AWK12:AWM15 BGG12:BGI15 BQC12:BQE15 BZY12:CAA15 CJU12:CJW15 CTQ12:CTS15 DDM12:DDO15 DNI12:DNK15 DXE12:DXG15 EHA12:EHC15 EQW12:EQY15 FAS12:FAU15 FKO12:FKQ15 FUK12:FUM15 GEG12:GEI15 GOC12:GOE15 GXY12:GYA15 HHU12:HHW15 HRQ12:HRS15 IBM12:IBO15 ILI12:ILK15 IVE12:IVG15 JFA12:JFC15 JOW12:JOY15 JYS12:JYU15 KIO12:KIQ15 KSK12:KSM15 LCG12:LCI15 LMC12:LME15 LVY12:LWA15 MFU12:MFW15 MPQ12:MPS15 MZM12:MZO15 NJI12:NJK15 NTE12:NTG15 ODA12:ODC15 OMW12:OMY15 OWS12:OWU15 PGO12:PGQ15 PQK12:PQM15 QAG12:QAI15 QKC12:QKE15 QTY12:QUA15 RDU12:RDW15 RNQ12:RNS15 RXM12:RXO15 SHI12:SHK15 SRE12:SRG15 TBA12:TBC15 TKW12:TKY15 TUS12:TUU15 UEO12:UEQ15 UOK12:UOM15 UYG12:UYI15 VIC12:VIE15 VRY12:VSA15 WBU12:WBW15 WLQ12:WLS15 WVM12:WVO15 JA12:JC15">
      <formula1>0</formula1>
      <formula2>1000000</formula2>
    </dataValidation>
    <dataValidation type="whole" allowBlank="1" showInputMessage="1" showErrorMessage="1" sqref="WVP12:WVQ14 JB5 SX5 ACT5 AMP5 AWL5 BGH5 BQD5 BZZ5 CJV5 CTR5 DDN5 DNJ5 DXF5 EHB5 EQX5 FAT5 FKP5 FUL5 GEH5 GOD5 GXZ5 HHV5 HRR5 IBN5 ILJ5 IVF5 JFB5 JOX5 JYT5 KIP5 KSL5 LCH5 LMD5 LVZ5 MFV5 MPR5 MZN5 NJJ5 NTF5 ODB5 OMX5 OWT5 PGP5 PQL5 QAH5 QKD5 QTZ5 RDV5 RNR5 RXN5 SHJ5 SRF5 TBB5 TKX5 TUT5 UEP5 UOL5 UYH5 VID5 VRZ5 WBV5 WLR5 WVN5 JE5 TA5 ACW5 AMS5 AWO5 BGK5 BQG5 CAC5 CJY5 CTU5 DDQ5 DNM5 DXI5 EHE5 ERA5 FAW5 FKS5 FUO5 GEK5 GOG5 GYC5 HHY5 HRU5 IBQ5 ILM5 IVI5 JFE5 JPA5 JYW5 KIS5 KSO5 LCK5 LMG5 LWC5 MFY5 MPU5 MZQ5 NJM5 NTI5 ODE5 ONA5 OWW5 PGS5 PQO5 QAK5 QKG5 QUC5 RDY5 RNU5 RXQ5 SHM5 SRI5 TBE5 TLA5 TUW5 UES5 UOO5 UYK5 VIG5 VSC5 WBY5 WLU5 WVQ5 JD12:JE14 SZ12:TA14 ACV12:ACW14 AMR12:AMS14 AWN12:AWO14 BGJ12:BGK14 BQF12:BQG14 CAB12:CAC14 CJX12:CJY14 CTT12:CTU14 DDP12:DDQ14 DNL12:DNM14 DXH12:DXI14 EHD12:EHE14 EQZ12:ERA14 FAV12:FAW14 FKR12:FKS14 FUN12:FUO14 GEJ12:GEK14 GOF12:GOG14 GYB12:GYC14 HHX12:HHY14 HRT12:HRU14 IBP12:IBQ14 ILL12:ILM14 IVH12:IVI14 JFD12:JFE14 JOZ12:JPA14 JYV12:JYW14 KIR12:KIS14 KSN12:KSO14 LCJ12:LCK14 LMF12:LMG14 LWB12:LWC14 MFX12:MFY14 MPT12:MPU14 MZP12:MZQ14 NJL12:NJM14 NTH12:NTI14 ODD12:ODE14 OMZ12:ONA14 OWV12:OWW14 PGR12:PGS14 PQN12:PQO14 QAJ12:QAK14 QKF12:QKG14 QUB12:QUC14 RDX12:RDY14 RNT12:RNU14 RXP12:RXQ14 SHL12:SHM14 SRH12:SRI14 TBD12:TBE14 TKZ12:TLA14 TUV12:TUW14 UER12:UES14 UON12:UOO14 UYJ12:UYK14 VIF12:VIG14 VSB12:VSC14 WBX12:WBY14 WLT12:WLU14">
      <formula1>0</formula1>
      <formula2>9999999</formula2>
    </dataValidation>
    <dataValidation allowBlank="1" sqref="WVH2:WVK2 WLL2:WLO2 WBP2:WBS2 VRT2:VRW2 VHX2:VIA2 UYB2:UYE2 UOF2:UOI2 UEJ2:UEM2 TUN2:TUQ2 TKR2:TKU2 TAV2:TAY2 SQZ2:SRC2 SHD2:SHG2 RXH2:RXK2 RNL2:RNO2 RDP2:RDS2 QTT2:QTW2 QJX2:QKA2 QAB2:QAE2 PQF2:PQI2 PGJ2:PGM2 OWN2:OWQ2 OMR2:OMU2 OCV2:OCY2 NSZ2:NTC2 NJD2:NJG2 MZH2:MZK2 MPL2:MPO2 MFP2:MFS2 LVT2:LVW2 LLX2:LMA2 LCB2:LCE2 KSF2:KSI2 KIJ2:KIM2 JYN2:JYQ2 JOR2:JOU2 JEV2:JEY2 IUZ2:IVC2 ILD2:ILG2 IBH2:IBK2 HRL2:HRO2 HHP2:HHS2 GXT2:GXW2 GNX2:GOA2 GEB2:GEE2 FUF2:FUI2 FKJ2:FKM2 FAN2:FAQ2 EQR2:EQU2 EGV2:EGY2 DWZ2:DXC2 DND2:DNG2 DDH2:DDK2 CTL2:CTO2 CJP2:CJS2 BZT2:BZW2 BPX2:BQA2 BGB2:BGE2 AWF2:AWI2 AMJ2:AMM2 ACN2:ACQ2 SR2:SU2 IV2:IY2 A2:D2 WVH5 WLL5 A5 IV5 SR5 ACN5 AMJ5 AWF5 BGB5 BPX5 BZT5 CJP5 CTL5 DDH5 DND5 DWZ5 EGV5 EQR5 FAN5 FKJ5 FUF5 GEB5 GNX5 GXT5 HHP5 HRL5 IBH5 ILD5 IUZ5 JEV5 JOR5 JYN5 KIJ5 KSF5 LCB5 LLX5 LVT5 MFP5 MPL5 MZH5 NJD5 NSZ5 OCV5 OMR5 OWN5 PGJ5 PQF5 QAB5 QJX5 QTT5 RDP5 RNL5 RXH5 SHD5 SQZ5 TAV5 TKR5 TUN5 UEJ5 UOF5 UYB5 VHX5 VRT5 WBP5 F4 JA4:JB4 SW4:SX4 ACS4:ACT4 AMO4:AMP4 AWK4:AWL4 BGG4:BGH4 BQC4:BQD4 BZY4:BZZ4 CJU4:CJV4 CTQ4:CTR4 DDM4:DDN4 DNI4:DNJ4 DXE4:DXF4 EHA4:EHB4 EQW4:EQX4 FAS4:FAT4 FKO4:FKP4 FUK4:FUL4 GEG4:GEH4 GOC4:GOD4 GXY4:GXZ4 HHU4:HHV4 HRQ4:HRR4 IBM4:IBN4 ILI4:ILJ4 IVE4:IVF4 JFA4:JFB4 JOW4:JOX4 JYS4:JYT4 KIO4:KIP4 KSK4:KSL4 LCG4:LCH4 LMC4:LMD4 LVY4:LVZ4 MFU4:MFV4 MPQ4:MPR4 MZM4:MZN4 NJI4:NJJ4 NTE4:NTF4 ODA4:ODB4 OMW4:OMX4 OWS4:OWT4 PGO4:PGP4 PQK4:PQL4 QAG4:QAH4 QKC4:QKD4 QTY4:QTZ4 RDU4:RDV4 RNQ4:RNR4 RXM4:RXN4 SHI4:SHJ4 SRE4:SRF4 TBA4:TBB4 TKW4:TKX4 TUS4:TUT4 UEO4:UEP4 UOK4:UOL4 UYG4:UYH4 VIC4:VID4 VRY4:VRZ4 WBU4:WBV4 WLQ4:WLR4 WVM4:WVN4 JD4:JE4 SZ4:TA4 ACV4:ACW4 AMR4:AMS4 AWN4:AWO4 BGJ4:BGK4 BQF4:BQG4 CAB4:CAC4 CJX4:CJY4 CTT4:CTU4 DDP4:DDQ4 DNL4:DNM4 DXH4:DXI4 EHD4:EHE4 EQZ4:ERA4 FAV4:FAW4 FKR4:FKS4 FUN4:FUO4 GEJ4:GEK4 GOF4:GOG4 GYB4:GYC4 HHX4:HHY4 HRT4:HRU4 IBP4:IBQ4 ILL4:ILM4 IVH4:IVI4 JFD4:JFE4 JOZ4:JPA4 JYV4:JYW4 KIR4:KIS4 KSN4:KSO4 LCJ4:LCK4 LMF4:LMG4 LWB4:LWC4 MFX4:MFY4 MPT4:MPU4 MZP4:MZQ4 NJL4:NJM4 NTH4:NTI4 ODD4:ODE4 OMZ4:ONA4 OWV4:OWW4 PGR4:PGS4 PQN4:PQO4 QAJ4:QAK4 QKF4:QKG4 QUB4:QUC4 RDX4:RDY4 RNT4:RNU4 RXP4:RXQ4 SHL4:SHM4 SRH4:SRI4 TBD4:TBE4 TKZ4:TLA4 TUV4:TUW4 UER4:UES4 UON4:UOO4 UYJ4:UYK4 VIF4:VIG4 VSB4:VSC4 WBX4:WBY4 WLT4:WLU4 WVP4:WVQ4 A32 L32 I4 L4"/>
    <dataValidation type="whole" showErrorMessage="1" errorTitle="Error" error="The value should be less than or equal to 4.b.1. Please ensure that value for 4.b.1 has been filled first" promptTitle="Instruction" prompt="Please enter no. of patients range (0-10000)" sqref="F13:J13">
      <formula1>0</formula1>
      <formula2>F12</formula2>
    </dataValidation>
    <dataValidation type="whole" showInputMessage="1" showErrorMessage="1" error="The value should be less than or equal to 4.b.1. Please ensure that value for 4.b.1 has been filled first" sqref="K13:N13">
      <formula1>0</formula1>
      <formula2>K12</formula2>
    </dataValidation>
    <dataValidation type="whole" showInputMessage="1" showErrorMessage="1" error="The value should be less than or eqaul to 4.c.1. Please ensure that the value of 4.c.1 has been filled first." sqref="F18:O18">
      <formula1>0</formula1>
      <formula2>F17</formula2>
    </dataValidation>
    <dataValidation type="whole" showInputMessage="1" showErrorMessage="1" error="The value should be less than or eqaul to 4.c.2. Please ensure that the value of 4.c.2 has been filled first." sqref="F19:O19">
      <formula1>0</formula1>
      <formula2>F18</formula2>
    </dataValidation>
    <dataValidation type="whole" showInputMessage="1" showErrorMessage="1" error="The value should be less than or eqaul to 4.c.3. Please ensure that the value of 4.c.3 has been filled first." sqref="F20:O20">
      <formula1>0</formula1>
      <formula2>F19</formula2>
    </dataValidation>
    <dataValidation type="whole" showInputMessage="1" showErrorMessage="1" error="The value should be less than or eqaul to 4.c.4.Please ensure that the value of 4.c.4 has been filled first." sqref="F21:O21">
      <formula1>0</formula1>
      <formula2>F20</formula2>
    </dataValidation>
    <dataValidation type="whole" showInputMessage="1" showErrorMessage="1" error="The value should be less than or equal to 4.c.5. Please ensure that the value of 4.c.5 has been filled first." sqref="F24:M27">
      <formula1>0</formula1>
      <formula2>$F$21</formula2>
    </dataValidation>
    <dataValidation type="whole" showInputMessage="1" showErrorMessage="1" error="The value should be less than or equal to 4.c.6. Please ensure that value of 4.c.6 has been calculated first" sqref="F29:M29">
      <formula1>0</formula1>
      <formula2>F28</formula2>
    </dataValidation>
    <dataValidation type="whole" operator="greaterThanOrEqual" showInputMessage="1" showErrorMessage="1" error="Please enter a valid positive value." sqref="F35:M35">
      <formula1>0</formula1>
    </dataValidation>
    <dataValidation type="whole" showInputMessage="1" showErrorMessage="1" error="The value should be less than or equal to 4.d.1. Please ensure that value of 4.d.1 has been filled first" sqref="F37:M37">
      <formula1>0</formula1>
      <formula2>F36</formula2>
    </dataValidation>
    <dataValidation type="whole" showInputMessage="1" showErrorMessage="1" error="The value should be less than or equal to 4.d.1. Please ensure that value of 4.d.1 has been filled first" sqref="F38:F39 G38 J38:J39 I38 K38 H38:H39 L38:M39">
      <formula1>0</formula1>
      <formula2>F36</formula2>
    </dataValidation>
    <dataValidation type="whole" showInputMessage="1" showErrorMessage="1" error="The value should be less than or equal to 4.d.2. Please ensure that value of 4.d.2 has been filled first. " sqref="F40:M40">
      <formula1>0</formula1>
      <formula2>F37+F38</formula2>
    </dataValidation>
    <dataValidation type="whole" showInputMessage="1" showErrorMessage="1" error="The value should be less than or equal to 4.d.1. Please ensure that value of 4.d.1 has been filled first" sqref="F41:M41">
      <formula1>0</formula1>
      <formula2>F36</formula2>
    </dataValidation>
    <dataValidation type="whole" showInputMessage="1" showErrorMessage="1" error="The value should be less than or equal to 4.d.1. Please ensure that value of 4.d.1 has been filled first" sqref="F42:M42">
      <formula1>0</formula1>
      <formula2>F36</formula2>
    </dataValidation>
    <dataValidation operator="greaterThanOrEqual" showInputMessage="1" showErrorMessage="1" error="Please enter a valid positive value." sqref="F36:M36"/>
    <dataValidation type="whole" operator="greaterThanOrEqual" showInputMessage="1" showErrorMessage="1" error="Please enter a valid positive number." sqref="F17:O17">
      <formula1>0</formula1>
    </dataValidation>
    <dataValidation type="whole" showInputMessage="1" showErrorMessage="1" error="The value should be less than or equal to 4.a.1. Please ensure that value of 4.a.1 has been calculated first" sqref="F6:K6">
      <formula1>0</formula1>
      <formula2>F5</formula2>
    </dataValidation>
    <dataValidation type="whole" showInputMessage="1" showErrorMessage="1" error="The value should be less than or equal to 4.a.2. Please ensure that value of 4.a. has been calculated first" sqref="F7:H7">
      <formula1>0</formula1>
      <formula2>F6</formula2>
    </dataValidation>
    <dataValidation type="whole" showInputMessage="1" showErrorMessage="1" error="The value should be less than or equal to 4.a.3. Please ensure that value of 4.a.3 has been calculated first" sqref="F8:H8 L8:N8">
      <formula1>0</formula1>
      <formula2>F7</formula2>
    </dataValidation>
    <dataValidation type="whole" showInputMessage="1" showErrorMessage="1" error="The value should be less than or equal to 4.a.4. Please ensure that value of 4.a.4 has been calculated first" sqref="F9:H9 L9:N9">
      <formula1>0</formula1>
      <formula2>F8</formula2>
    </dataValidation>
    <dataValidation type="whole" showInputMessage="1" showErrorMessage="1" error="The value should be less than or equal to 4.a.1. Please ensure that value of 4.a.1 has been calculated first" sqref="L7:N7">
      <formula1>0</formula1>
      <formula2>L5</formula2>
    </dataValidation>
  </dataValidations>
  <pageMargins left="0.17" right="0.18" top="0.18" bottom="0.17" header="0.3" footer="0.3"/>
  <pageSetup scale="60" orientation="portrait" r:id="rId1"/>
  <drawing r:id="rId2"/>
  <extLst>
    <ext xmlns:x14="http://schemas.microsoft.com/office/spreadsheetml/2009/9/main" uri="{78C0D931-6437-407d-A8EE-F0AAD7539E65}">
      <x14:conditionalFormattings>
        <x14:conditionalFormatting xmlns:xm="http://schemas.microsoft.com/office/excel/2006/main">
          <x14:cfRule type="cellIs" priority="1" operator="greaterThan" id="{EB2E042B-2C40-4AAA-A39A-C346FC62299E}">
            <xm:f>ART_2!$G$20</xm:f>
            <x14:dxf>
              <fill>
                <patternFill>
                  <bgColor rgb="FFFF0000"/>
                </patternFill>
              </fill>
              <border>
                <left style="thin">
                  <color auto="1"/>
                </left>
                <right style="thin">
                  <color auto="1"/>
                </right>
                <top style="thin">
                  <color auto="1"/>
                </top>
                <bottom style="thin">
                  <color auto="1"/>
                </bottom>
                <vertical/>
                <horizontal/>
              </border>
            </x14:dxf>
          </x14:cfRule>
          <xm:sqref>O5:O9</xm:sqref>
        </x14:conditionalFormatting>
      </x14:conditionalFormattings>
    </ext>
    <ext xmlns:x14="http://schemas.microsoft.com/office/spreadsheetml/2009/9/main" uri="{CCE6A557-97BC-4b89-ADB6-D9C93CAAB3DF}">
      <x14:dataValidations xmlns:xm="http://schemas.microsoft.com/office/excel/2006/main" count="21">
        <x14:dataValidation type="whole" showInputMessage="1" showErrorMessage="1" error="The value should be less than or equal to 2.11 (a) (adult women). Please ensure that value of 2.11 (a) has been calculated first">
          <x14:formula1>
            <xm:f>0</xm:f>
          </x14:formula1>
          <x14:formula2>
            <xm:f>ART_2!$G$21</xm:f>
          </x14:formula2>
          <xm:sqref>F5:H5</xm:sqref>
        </x14:dataValidation>
        <x14:dataValidation type="whole" showInputMessage="1" showErrorMessage="1" error="The value should be less than or equal to 2.5 (adult women). Please ensure that value of 2.5 has been calculated first">
          <x14:formula1>
            <xm:f>0</xm:f>
          </x14:formula1>
          <x14:formula2>
            <xm:f>ART_2!$G$11</xm:f>
          </x14:formula2>
          <xm:sqref>I5:N5</xm:sqref>
        </x14:dataValidation>
        <x14:dataValidation type="whole" showInputMessage="1" showErrorMessage="1" error="The value should be greater than or equal to 4.c.7 but less than or eaqual to 2.5. Please ensure that value of 2.5 and 4.c.7 has been calculated first.">
          <x14:formula1>
            <xm:f>V38</xm:f>
          </x14:formula1>
          <x14:formula2>
            <xm:f>ART_2!S24</xm:f>
          </x14:formula2>
          <xm:sqref>N45:N46</xm:sqref>
        </x14:dataValidation>
        <x14:dataValidation type="whole" showErrorMessage="1" errorTitle="Error" error="Value should be less than or equal to 2.11 (a). Please ensure that value of 2.11 (a) has been filled first" promptTitle="Instruction" prompt="Please enter no. of patients range (0-10000)">
          <x14:formula1>
            <xm:f>0</xm:f>
          </x14:formula1>
          <x14:formula2>
            <xm:f>ART_2!I21</xm:f>
          </x14:formula2>
          <xm:sqref>F12:J12</xm:sqref>
        </x14:dataValidation>
        <x14:dataValidation type="whole" showInputMessage="1" showErrorMessage="1" error="Value should be less than or equal to 2.11 (a). Please ensure that value of 2.11 (a) has been filled first">
          <x14:formula1>
            <xm:f>0</xm:f>
          </x14:formula1>
          <x14:formula2>
            <xm:f>ART_2!J21</xm:f>
          </x14:formula2>
          <xm:sqref>K12:N12</xm:sqref>
        </x14:dataValidation>
        <x14:dataValidation type="whole" showInputMessage="1" showErrorMessage="1" error="The value should be less than or equal to 2.10. Please ensure that value of 2.10 has been calculated first">
          <x14:formula1>
            <xm:f>0</xm:f>
          </x14:formula1>
          <x14:formula2>
            <xm:f>ART_2!F20</xm:f>
          </x14:formula2>
          <xm:sqref>F45:G45</xm:sqref>
        </x14:dataValidation>
        <x14:dataValidation type="whole" showInputMessage="1" showErrorMessage="1" error="The value should be less than or equal to 2.10. Please ensure that value of 2.10 has been calculated first">
          <x14:formula1>
            <xm:f>0</xm:f>
          </x14:formula1>
          <x14:formula2>
            <xm:f>ART_2!G20</xm:f>
          </x14:formula2>
          <xm:sqref>H45:I45</xm:sqref>
        </x14:dataValidation>
        <x14:dataValidation type="whole" showInputMessage="1" showErrorMessage="1" error="The value should be less than or equal to 2.10. Please ensure that value of 2.10 has been calculated first">
          <x14:formula1>
            <xm:f>0</xm:f>
          </x14:formula1>
          <x14:formula2>
            <xm:f>ART_2!H20</xm:f>
          </x14:formula2>
          <xm:sqref>J45:K45</xm:sqref>
        </x14:dataValidation>
        <x14:dataValidation type="whole" showInputMessage="1" showErrorMessage="1" error="The value should be less than or equal to 2.10. Please ensure that value of 2.10 has been calculated first">
          <x14:formula1>
            <xm:f>0</xm:f>
          </x14:formula1>
          <x14:formula2>
            <xm:f>ART_2!I20</xm:f>
          </x14:formula2>
          <xm:sqref>L45:M45</xm:sqref>
        </x14:dataValidation>
        <x14:dataValidation type="whole" showInputMessage="1" showErrorMessage="1" error="The value should be less than or equal to 2.10. Please ensure that value of 2.10 has been calculated first">
          <x14:formula1>
            <xm:f>0</xm:f>
          </x14:formula1>
          <x14:formula2>
            <xm:f>ART_2!F20</xm:f>
          </x14:formula2>
          <xm:sqref>F46:G46</xm:sqref>
        </x14:dataValidation>
        <x14:dataValidation type="whole" showInputMessage="1" showErrorMessage="1" error="The value should be less than or equal to 2.10. Please ensure that value of 2.10 has been calculated first">
          <x14:formula1>
            <xm:f>0</xm:f>
          </x14:formula1>
          <x14:formula2>
            <xm:f>ART_2!G20</xm:f>
          </x14:formula2>
          <xm:sqref>H46:I46</xm:sqref>
        </x14:dataValidation>
        <x14:dataValidation type="whole" showInputMessage="1" showErrorMessage="1" error="The value should be less than or equal to 2.10. Please ensure that value of 2.10 has been calculated first">
          <x14:formula1>
            <xm:f>0</xm:f>
          </x14:formula1>
          <x14:formula2>
            <xm:f>ART_2!H20</xm:f>
          </x14:formula2>
          <xm:sqref>J46:K46</xm:sqref>
        </x14:dataValidation>
        <x14:dataValidation type="whole" showInputMessage="1" showErrorMessage="1" error="The value should be less than or equal to 2.10. Please ensure that value of 2.10 has been calculated first">
          <x14:formula1>
            <xm:f>0</xm:f>
          </x14:formula1>
          <x14:formula2>
            <xm:f>ART_2!I20</xm:f>
          </x14:formula2>
          <xm:sqref>L46:M46</xm:sqref>
        </x14:dataValidation>
        <x14:dataValidation type="whole" showInputMessage="1" showErrorMessage="1" error="The value should be less than or equal to 2.5. Please ensure that value of 2.5 has been calculated first.">
          <x14:formula1>
            <xm:f>0</xm:f>
          </x14:formula1>
          <x14:formula2>
            <xm:f>ART_2!I11</xm:f>
          </x14:formula2>
          <xm:sqref>L34:M34</xm:sqref>
        </x14:dataValidation>
        <x14:dataValidation type="whole" showInputMessage="1" showErrorMessage="1" error="The value should be less than or equal to 2.5. Please ensure that value of 2.5 has been calculated first.">
          <x14:formula1>
            <xm:f>0</xm:f>
          </x14:formula1>
          <x14:formula2>
            <xm:f>ART_2!H11</xm:f>
          </x14:formula2>
          <xm:sqref>J34:K34</xm:sqref>
        </x14:dataValidation>
        <x14:dataValidation type="whole" showInputMessage="1" showErrorMessage="1" error="The value should be greater than or equal to 4.c.7 but less than or eaqual to 2.5. Please ensure that value of 2.5 and 4.c.7 has been calculated first.">
          <x14:formula1>
            <xm:f>V31</xm:f>
          </x14:formula1>
          <x14:formula2>
            <xm:f>ART_2!S17</xm:f>
          </x14:formula2>
          <xm:sqref>N40:N42</xm:sqref>
        </x14:dataValidation>
        <x14:dataValidation type="whole" showInputMessage="1" showErrorMessage="1" error="The value should be greater than or equal to 4.c.7 but less than or eaqual to 2.5. Please ensure that value of 2.5 and 4.c.7 has been calculated first.">
          <x14:formula1>
            <xm:f>V26</xm:f>
          </x14:formula1>
          <x14:formula2>
            <xm:f>ART_2!S12</xm:f>
          </x14:formula2>
          <xm:sqref>N34:N39</xm:sqref>
        </x14:dataValidation>
        <x14:dataValidation type="whole" showInputMessage="1" showErrorMessage="1" error="The value should be less than or equal to 2.5. Please ensure that value of 2.5 has been calculated first.">
          <x14:formula1>
            <xm:f>0</xm:f>
          </x14:formula1>
          <x14:formula2>
            <xm:f>ART_2!F11</xm:f>
          </x14:formula2>
          <xm:sqref>F34:G34</xm:sqref>
        </x14:dataValidation>
        <x14:dataValidation type="whole" showInputMessage="1" showErrorMessage="1" error="The value should be less than or equal to 2.5. Please ensure that value of 2.5 has been calculated first.">
          <x14:formula1>
            <xm:f>0</xm:f>
          </x14:formula1>
          <x14:formula2>
            <xm:f>ART_2!G11</xm:f>
          </x14:formula2>
          <xm:sqref>H34:I34</xm:sqref>
        </x14:dataValidation>
        <x14:dataValidation type="whole" showInputMessage="1" showErrorMessage="1" error="The value should be less than or equal to 2.5. Please ensure that value of 2.5 has been calculated first">
          <x14:formula1>
            <xm:f>0</xm:f>
          </x14:formula1>
          <x14:formula2>
            <xm:f>ART_2!J12</xm:f>
          </x14:formula2>
          <xm:sqref>I7 L6</xm:sqref>
        </x14:dataValidation>
        <x14:dataValidation type="whole" showInputMessage="1" showErrorMessage="1" error="The value should be less than or equal to 2.5. Please ensure that value of 2.5 has been calculated first">
          <x14:formula1>
            <xm:f>0</xm:f>
          </x14:formula1>
          <x14:formula2>
            <xm:f>ART_2!J13</xm:f>
          </x14:formula2>
          <xm:sqref>I8:I9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68"/>
  <sheetViews>
    <sheetView topLeftCell="A4" zoomScaleNormal="100" workbookViewId="0">
      <selection activeCell="D53" sqref="D53:K53"/>
    </sheetView>
  </sheetViews>
  <sheetFormatPr defaultColWidth="0" defaultRowHeight="15" zeroHeight="1" x14ac:dyDescent="0.25"/>
  <cols>
    <col min="1" max="1" width="16.42578125" customWidth="1"/>
    <col min="2" max="2" width="15" customWidth="1"/>
    <col min="3" max="3" width="21.5703125" customWidth="1"/>
    <col min="4" max="9" width="10.7109375" customWidth="1"/>
    <col min="10" max="10" width="15" customWidth="1"/>
    <col min="11" max="11" width="15" bestFit="1" customWidth="1"/>
    <col min="12" max="12" width="32.140625" bestFit="1" customWidth="1"/>
    <col min="13" max="16384" width="9.140625" hidden="1"/>
  </cols>
  <sheetData>
    <row r="1" spans="1:12" ht="21" customHeight="1" x14ac:dyDescent="0.25">
      <c r="A1" s="329" t="s">
        <v>1948</v>
      </c>
      <c r="B1" s="330"/>
      <c r="C1" s="330"/>
      <c r="D1" s="330"/>
      <c r="E1" s="330"/>
      <c r="F1" s="330"/>
      <c r="G1" s="330"/>
      <c r="H1" s="330"/>
      <c r="I1" s="330"/>
      <c r="J1" s="330"/>
      <c r="K1" s="42" t="s">
        <v>21</v>
      </c>
      <c r="L1" s="40"/>
    </row>
    <row r="2" spans="1:12" x14ac:dyDescent="0.25">
      <c r="A2" s="369" t="s">
        <v>1945</v>
      </c>
      <c r="B2" s="369"/>
      <c r="C2" s="369"/>
      <c r="D2" s="379" t="str">
        <f>ART_1!D8</f>
        <v>ART-DL-SOU-02</v>
      </c>
      <c r="E2" s="379"/>
      <c r="F2" s="379"/>
      <c r="G2" s="379"/>
      <c r="H2" s="379"/>
      <c r="I2" s="379"/>
      <c r="J2" s="379"/>
      <c r="K2" s="379"/>
      <c r="L2" s="40"/>
    </row>
    <row r="3" spans="1:12" x14ac:dyDescent="0.25">
      <c r="A3" s="327" t="s">
        <v>1846</v>
      </c>
      <c r="B3" s="327"/>
      <c r="C3" s="327"/>
      <c r="D3" s="327"/>
      <c r="E3" s="327"/>
      <c r="F3" s="327"/>
      <c r="G3" s="327"/>
      <c r="H3" s="327"/>
      <c r="I3" s="327"/>
      <c r="J3" s="327"/>
      <c r="K3" s="411"/>
      <c r="L3" s="40"/>
    </row>
    <row r="4" spans="1:12" ht="31.5" x14ac:dyDescent="0.25">
      <c r="A4" s="313" t="s">
        <v>1931</v>
      </c>
      <c r="B4" s="313"/>
      <c r="C4" s="313"/>
      <c r="D4" s="313"/>
      <c r="E4" s="313"/>
      <c r="F4" s="313"/>
      <c r="G4" s="313"/>
      <c r="H4" s="313"/>
      <c r="I4" s="313"/>
      <c r="J4" s="415">
        <f>SUM(D6:K6)</f>
        <v>2064</v>
      </c>
      <c r="K4" s="415"/>
      <c r="L4" s="77" t="s">
        <v>2419</v>
      </c>
    </row>
    <row r="5" spans="1:12" ht="15" customHeight="1" x14ac:dyDescent="0.25">
      <c r="A5" s="313" t="s">
        <v>1815</v>
      </c>
      <c r="B5" s="313"/>
      <c r="C5" s="313"/>
      <c r="D5" s="343" t="s">
        <v>1928</v>
      </c>
      <c r="E5" s="343"/>
      <c r="F5" s="343"/>
      <c r="G5" s="343" t="s">
        <v>1929</v>
      </c>
      <c r="H5" s="343"/>
      <c r="I5" s="343"/>
      <c r="J5" s="343" t="s">
        <v>1930</v>
      </c>
      <c r="K5" s="343"/>
      <c r="L5" s="40"/>
    </row>
    <row r="6" spans="1:12" x14ac:dyDescent="0.25">
      <c r="A6" s="313"/>
      <c r="B6" s="313"/>
      <c r="C6" s="313"/>
      <c r="D6" s="416">
        <v>2048</v>
      </c>
      <c r="E6" s="416"/>
      <c r="F6" s="416"/>
      <c r="G6" s="416"/>
      <c r="H6" s="416"/>
      <c r="I6" s="416"/>
      <c r="J6" s="416">
        <v>16</v>
      </c>
      <c r="K6" s="416"/>
      <c r="L6" s="40"/>
    </row>
    <row r="7" spans="1:12" ht="15.75" customHeight="1" x14ac:dyDescent="0.25">
      <c r="A7" s="327" t="s">
        <v>2281</v>
      </c>
      <c r="B7" s="327"/>
      <c r="C7" s="327"/>
      <c r="D7" s="327"/>
      <c r="E7" s="327"/>
      <c r="F7" s="327"/>
      <c r="G7" s="327"/>
      <c r="H7" s="327"/>
      <c r="I7" s="327"/>
      <c r="J7" s="327"/>
      <c r="K7" s="411"/>
      <c r="L7" s="40"/>
    </row>
    <row r="8" spans="1:12" ht="21" x14ac:dyDescent="0.25">
      <c r="A8" s="371" t="s">
        <v>2282</v>
      </c>
      <c r="B8" s="372"/>
      <c r="C8" s="407"/>
      <c r="D8" s="43" t="s">
        <v>11</v>
      </c>
      <c r="E8" s="43" t="s">
        <v>12</v>
      </c>
      <c r="F8" s="43" t="s">
        <v>13</v>
      </c>
      <c r="G8" s="45" t="s">
        <v>81</v>
      </c>
      <c r="H8" s="45" t="s">
        <v>14</v>
      </c>
      <c r="I8" s="45" t="s">
        <v>15</v>
      </c>
      <c r="J8" s="45" t="s">
        <v>2258</v>
      </c>
      <c r="K8" s="32" t="s">
        <v>5</v>
      </c>
      <c r="L8" s="40"/>
    </row>
    <row r="9" spans="1:12" ht="24.95" customHeight="1" x14ac:dyDescent="0.25">
      <c r="A9" s="313" t="s">
        <v>2446</v>
      </c>
      <c r="B9" s="313"/>
      <c r="C9" s="313"/>
      <c r="D9" s="33">
        <v>11</v>
      </c>
      <c r="E9" s="33">
        <v>60</v>
      </c>
      <c r="F9" s="33">
        <v>115</v>
      </c>
      <c r="G9" s="33">
        <v>57</v>
      </c>
      <c r="H9" s="33"/>
      <c r="I9" s="33"/>
      <c r="J9" s="33">
        <v>192</v>
      </c>
      <c r="K9" s="44">
        <f>SUM(D9:J9)</f>
        <v>435</v>
      </c>
      <c r="L9" s="52"/>
    </row>
    <row r="10" spans="1:12" ht="24.95" customHeight="1" x14ac:dyDescent="0.25">
      <c r="A10" s="408" t="s">
        <v>2447</v>
      </c>
      <c r="B10" s="409"/>
      <c r="C10" s="410"/>
      <c r="D10" s="33">
        <v>11</v>
      </c>
      <c r="E10" s="33">
        <v>56</v>
      </c>
      <c r="F10" s="33">
        <v>107</v>
      </c>
      <c r="G10" s="33">
        <v>50</v>
      </c>
      <c r="H10" s="33"/>
      <c r="I10" s="33"/>
      <c r="J10" s="33">
        <v>190</v>
      </c>
      <c r="K10" s="44">
        <f>SUM(D10:J10)</f>
        <v>414</v>
      </c>
      <c r="L10" s="52"/>
    </row>
    <row r="11" spans="1:12" x14ac:dyDescent="0.25">
      <c r="A11" s="414" t="s">
        <v>2283</v>
      </c>
      <c r="B11" s="414"/>
      <c r="C11" s="414"/>
      <c r="D11" s="33">
        <v>1</v>
      </c>
      <c r="E11" s="33">
        <v>4</v>
      </c>
      <c r="F11" s="33">
        <v>6</v>
      </c>
      <c r="G11" s="33">
        <v>4</v>
      </c>
      <c r="H11" s="33"/>
      <c r="I11" s="33"/>
      <c r="J11" s="33">
        <v>8</v>
      </c>
      <c r="K11" s="44">
        <f t="shared" ref="K11:K18" si="0">SUM(D11:J11)</f>
        <v>23</v>
      </c>
      <c r="L11" s="52"/>
    </row>
    <row r="12" spans="1:12" x14ac:dyDescent="0.25">
      <c r="A12" s="414" t="s">
        <v>2284</v>
      </c>
      <c r="B12" s="414"/>
      <c r="C12" s="414"/>
      <c r="D12" s="33">
        <v>4</v>
      </c>
      <c r="E12" s="33">
        <v>6</v>
      </c>
      <c r="F12" s="33">
        <v>26</v>
      </c>
      <c r="G12" s="33">
        <v>12</v>
      </c>
      <c r="H12" s="33"/>
      <c r="I12" s="33"/>
      <c r="J12" s="33">
        <v>10</v>
      </c>
      <c r="K12" s="44">
        <f t="shared" si="0"/>
        <v>58</v>
      </c>
      <c r="L12" s="52"/>
    </row>
    <row r="13" spans="1:12" ht="24.95" customHeight="1" x14ac:dyDescent="0.25">
      <c r="A13" s="408" t="s">
        <v>2285</v>
      </c>
      <c r="B13" s="409"/>
      <c r="C13" s="410"/>
      <c r="D13" s="33">
        <v>0</v>
      </c>
      <c r="E13" s="33">
        <v>0</v>
      </c>
      <c r="F13" s="33">
        <v>1</v>
      </c>
      <c r="G13" s="33">
        <v>0</v>
      </c>
      <c r="H13" s="33"/>
      <c r="I13" s="33"/>
      <c r="J13" s="33">
        <v>0</v>
      </c>
      <c r="K13" s="44">
        <f t="shared" si="0"/>
        <v>1</v>
      </c>
      <c r="L13" s="52"/>
    </row>
    <row r="14" spans="1:12" ht="24.95" customHeight="1" x14ac:dyDescent="0.25">
      <c r="A14" s="408" t="s">
        <v>2286</v>
      </c>
      <c r="B14" s="409"/>
      <c r="C14" s="410"/>
      <c r="D14" s="33">
        <v>0</v>
      </c>
      <c r="E14" s="33">
        <v>12</v>
      </c>
      <c r="F14" s="33">
        <v>14</v>
      </c>
      <c r="G14" s="33">
        <v>7</v>
      </c>
      <c r="H14" s="33"/>
      <c r="I14" s="33"/>
      <c r="J14" s="33">
        <v>10</v>
      </c>
      <c r="K14" s="44">
        <f t="shared" si="0"/>
        <v>43</v>
      </c>
      <c r="L14" s="52"/>
    </row>
    <row r="15" spans="1:12" ht="42" x14ac:dyDescent="0.25">
      <c r="A15" s="408" t="s">
        <v>2287</v>
      </c>
      <c r="B15" s="409"/>
      <c r="C15" s="410"/>
      <c r="D15" s="44">
        <f>D10-SUM(D11:D14)</f>
        <v>6</v>
      </c>
      <c r="E15" s="44">
        <f t="shared" ref="E15:J15" si="1">E10-SUM(E11:E14)</f>
        <v>34</v>
      </c>
      <c r="F15" s="44">
        <f t="shared" si="1"/>
        <v>60</v>
      </c>
      <c r="G15" s="44">
        <f t="shared" si="1"/>
        <v>27</v>
      </c>
      <c r="H15" s="44">
        <f t="shared" si="1"/>
        <v>0</v>
      </c>
      <c r="I15" s="44">
        <f t="shared" si="1"/>
        <v>0</v>
      </c>
      <c r="J15" s="44">
        <f t="shared" si="1"/>
        <v>162</v>
      </c>
      <c r="K15" s="44">
        <f t="shared" si="0"/>
        <v>289</v>
      </c>
      <c r="L15" s="50" t="s">
        <v>2288</v>
      </c>
    </row>
    <row r="16" spans="1:12" ht="24.95" customHeight="1" x14ac:dyDescent="0.25">
      <c r="A16" s="313" t="s">
        <v>2289</v>
      </c>
      <c r="B16" s="313"/>
      <c r="C16" s="313"/>
      <c r="D16" s="33">
        <v>5</v>
      </c>
      <c r="E16" s="33">
        <v>6</v>
      </c>
      <c r="F16" s="33">
        <v>18</v>
      </c>
      <c r="G16" s="33">
        <v>2</v>
      </c>
      <c r="H16" s="33"/>
      <c r="I16" s="33"/>
      <c r="J16" s="33">
        <v>33</v>
      </c>
      <c r="K16" s="44">
        <f t="shared" si="0"/>
        <v>64</v>
      </c>
      <c r="L16" s="50"/>
    </row>
    <row r="17" spans="1:12" x14ac:dyDescent="0.25">
      <c r="A17" s="313" t="s">
        <v>2291</v>
      </c>
      <c r="B17" s="313"/>
      <c r="C17" s="313"/>
      <c r="D17" s="33">
        <v>5</v>
      </c>
      <c r="E17" s="33">
        <v>6</v>
      </c>
      <c r="F17" s="33">
        <v>18</v>
      </c>
      <c r="G17" s="33">
        <v>2</v>
      </c>
      <c r="H17" s="33"/>
      <c r="I17" s="33"/>
      <c r="J17" s="33">
        <v>32</v>
      </c>
      <c r="K17" s="44">
        <f t="shared" si="0"/>
        <v>63</v>
      </c>
      <c r="L17" s="50"/>
    </row>
    <row r="18" spans="1:12" x14ac:dyDescent="0.25">
      <c r="A18" s="313" t="s">
        <v>2290</v>
      </c>
      <c r="B18" s="313"/>
      <c r="C18" s="313"/>
      <c r="D18" s="33">
        <v>4</v>
      </c>
      <c r="E18" s="33">
        <v>6</v>
      </c>
      <c r="F18" s="33">
        <v>16</v>
      </c>
      <c r="G18" s="33">
        <v>2</v>
      </c>
      <c r="H18" s="33"/>
      <c r="I18" s="33"/>
      <c r="J18" s="33">
        <v>32</v>
      </c>
      <c r="K18" s="44">
        <f t="shared" si="0"/>
        <v>60</v>
      </c>
      <c r="L18" s="50"/>
    </row>
    <row r="19" spans="1:12" x14ac:dyDescent="0.25">
      <c r="A19" s="327" t="s">
        <v>1847</v>
      </c>
      <c r="B19" s="327"/>
      <c r="C19" s="327"/>
      <c r="D19" s="327"/>
      <c r="E19" s="327"/>
      <c r="F19" s="327"/>
      <c r="G19" s="327"/>
      <c r="H19" s="327"/>
      <c r="I19" s="327"/>
      <c r="J19" s="327"/>
      <c r="K19" s="411"/>
      <c r="L19" s="40"/>
    </row>
    <row r="20" spans="1:12" ht="15" customHeight="1" x14ac:dyDescent="0.25">
      <c r="A20" s="412" t="s">
        <v>64</v>
      </c>
      <c r="B20" s="412"/>
      <c r="C20" s="412"/>
      <c r="D20" s="413" t="s">
        <v>1828</v>
      </c>
      <c r="E20" s="413"/>
      <c r="F20" s="413"/>
      <c r="G20" s="413"/>
      <c r="H20" s="413"/>
      <c r="I20" s="413"/>
      <c r="J20" s="413"/>
      <c r="K20" s="413"/>
      <c r="L20" s="40"/>
    </row>
    <row r="21" spans="1:12" ht="24.95" customHeight="1" x14ac:dyDescent="0.25">
      <c r="A21" s="313" t="s">
        <v>1857</v>
      </c>
      <c r="B21" s="313"/>
      <c r="C21" s="313"/>
      <c r="D21" s="403">
        <v>0</v>
      </c>
      <c r="E21" s="404"/>
      <c r="F21" s="404"/>
      <c r="G21" s="404"/>
      <c r="H21" s="404"/>
      <c r="I21" s="404"/>
      <c r="J21" s="404"/>
      <c r="K21" s="404"/>
      <c r="L21" s="40"/>
    </row>
    <row r="22" spans="1:12" ht="24.95" customHeight="1" x14ac:dyDescent="0.25">
      <c r="A22" s="313" t="s">
        <v>1858</v>
      </c>
      <c r="B22" s="313"/>
      <c r="C22" s="313"/>
      <c r="D22" s="403">
        <v>0</v>
      </c>
      <c r="E22" s="404"/>
      <c r="F22" s="404"/>
      <c r="G22" s="404"/>
      <c r="H22" s="404"/>
      <c r="I22" s="404"/>
      <c r="J22" s="404"/>
      <c r="K22" s="404"/>
      <c r="L22" s="40"/>
    </row>
    <row r="23" spans="1:12" ht="24.95" customHeight="1" x14ac:dyDescent="0.25">
      <c r="A23" s="313" t="s">
        <v>2539</v>
      </c>
      <c r="B23" s="313"/>
      <c r="C23" s="313"/>
      <c r="D23" s="403">
        <v>1993</v>
      </c>
      <c r="E23" s="404"/>
      <c r="F23" s="404"/>
      <c r="G23" s="404"/>
      <c r="H23" s="404"/>
      <c r="I23" s="404"/>
      <c r="J23" s="404"/>
      <c r="K23" s="404"/>
      <c r="L23" s="40"/>
    </row>
    <row r="24" spans="1:12" ht="24.95" customHeight="1" x14ac:dyDescent="0.25">
      <c r="A24" s="313" t="s">
        <v>2540</v>
      </c>
      <c r="B24" s="313"/>
      <c r="C24" s="313"/>
      <c r="D24" s="403">
        <v>19</v>
      </c>
      <c r="E24" s="404"/>
      <c r="F24" s="404"/>
      <c r="G24" s="404"/>
      <c r="H24" s="404"/>
      <c r="I24" s="404"/>
      <c r="J24" s="404"/>
      <c r="K24" s="404"/>
      <c r="L24" s="40"/>
    </row>
    <row r="25" spans="1:12" ht="24.95" customHeight="1" x14ac:dyDescent="0.25">
      <c r="A25" s="313" t="s">
        <v>1859</v>
      </c>
      <c r="B25" s="313"/>
      <c r="C25" s="313"/>
      <c r="D25" s="403">
        <v>0</v>
      </c>
      <c r="E25" s="404"/>
      <c r="F25" s="404"/>
      <c r="G25" s="404"/>
      <c r="H25" s="404"/>
      <c r="I25" s="404"/>
      <c r="J25" s="404"/>
      <c r="K25" s="404"/>
      <c r="L25" s="40"/>
    </row>
    <row r="26" spans="1:12" ht="24.95" customHeight="1" x14ac:dyDescent="0.25">
      <c r="A26" s="313" t="s">
        <v>1860</v>
      </c>
      <c r="B26" s="313"/>
      <c r="C26" s="313"/>
      <c r="D26" s="403">
        <v>0</v>
      </c>
      <c r="E26" s="404"/>
      <c r="F26" s="404"/>
      <c r="G26" s="404"/>
      <c r="H26" s="404"/>
      <c r="I26" s="404"/>
      <c r="J26" s="404"/>
      <c r="K26" s="404"/>
      <c r="L26" s="40"/>
    </row>
    <row r="27" spans="1:12" ht="24.95" customHeight="1" x14ac:dyDescent="0.25">
      <c r="A27" s="313" t="s">
        <v>1861</v>
      </c>
      <c r="B27" s="313"/>
      <c r="C27" s="313"/>
      <c r="D27" s="403">
        <v>0</v>
      </c>
      <c r="E27" s="404"/>
      <c r="F27" s="404"/>
      <c r="G27" s="404"/>
      <c r="H27" s="404"/>
      <c r="I27" s="404"/>
      <c r="J27" s="404"/>
      <c r="K27" s="404"/>
      <c r="L27" s="40"/>
    </row>
    <row r="28" spans="1:12" ht="24.95" customHeight="1" x14ac:dyDescent="0.25">
      <c r="A28" s="313" t="s">
        <v>1862</v>
      </c>
      <c r="B28" s="313"/>
      <c r="C28" s="313"/>
      <c r="D28" s="403">
        <v>0</v>
      </c>
      <c r="E28" s="404"/>
      <c r="F28" s="404"/>
      <c r="G28" s="404"/>
      <c r="H28" s="404"/>
      <c r="I28" s="404"/>
      <c r="J28" s="404"/>
      <c r="K28" s="404"/>
      <c r="L28" s="40"/>
    </row>
    <row r="29" spans="1:12" ht="24.95" customHeight="1" x14ac:dyDescent="0.25">
      <c r="A29" s="313" t="s">
        <v>2541</v>
      </c>
      <c r="B29" s="313"/>
      <c r="C29" s="313"/>
      <c r="D29" s="403">
        <v>28</v>
      </c>
      <c r="E29" s="404"/>
      <c r="F29" s="404"/>
      <c r="G29" s="404"/>
      <c r="H29" s="404"/>
      <c r="I29" s="404"/>
      <c r="J29" s="404"/>
      <c r="K29" s="404"/>
      <c r="L29" s="40"/>
    </row>
    <row r="30" spans="1:12" ht="24.95" customHeight="1" x14ac:dyDescent="0.25">
      <c r="A30" s="313" t="s">
        <v>1871</v>
      </c>
      <c r="B30" s="313"/>
      <c r="C30" s="313"/>
      <c r="D30" s="403">
        <v>0</v>
      </c>
      <c r="E30" s="404"/>
      <c r="F30" s="404"/>
      <c r="G30" s="404"/>
      <c r="H30" s="404"/>
      <c r="I30" s="404"/>
      <c r="J30" s="404"/>
      <c r="K30" s="404"/>
      <c r="L30" s="40"/>
    </row>
    <row r="31" spans="1:12" ht="24.95" customHeight="1" x14ac:dyDescent="0.25">
      <c r="A31" s="313" t="s">
        <v>1934</v>
      </c>
      <c r="B31" s="313"/>
      <c r="C31" s="313"/>
      <c r="D31" s="403">
        <v>0</v>
      </c>
      <c r="E31" s="404"/>
      <c r="F31" s="404"/>
      <c r="G31" s="404"/>
      <c r="H31" s="404"/>
      <c r="I31" s="404"/>
      <c r="J31" s="404"/>
      <c r="K31" s="404"/>
      <c r="L31" s="40"/>
    </row>
    <row r="32" spans="1:12" ht="24.95" customHeight="1" x14ac:dyDescent="0.25">
      <c r="A32" s="313" t="s">
        <v>1863</v>
      </c>
      <c r="B32" s="313"/>
      <c r="C32" s="313"/>
      <c r="D32" s="403">
        <v>0</v>
      </c>
      <c r="E32" s="404"/>
      <c r="F32" s="404"/>
      <c r="G32" s="404"/>
      <c r="H32" s="404"/>
      <c r="I32" s="404"/>
      <c r="J32" s="404"/>
      <c r="K32" s="404"/>
      <c r="L32" s="40"/>
    </row>
    <row r="33" spans="1:12" ht="24.95" customHeight="1" x14ac:dyDescent="0.25">
      <c r="A33" s="313" t="s">
        <v>1865</v>
      </c>
      <c r="B33" s="313"/>
      <c r="C33" s="313"/>
      <c r="D33" s="403">
        <v>2</v>
      </c>
      <c r="E33" s="404"/>
      <c r="F33" s="404"/>
      <c r="G33" s="404"/>
      <c r="H33" s="404"/>
      <c r="I33" s="404"/>
      <c r="J33" s="404"/>
      <c r="K33" s="404"/>
      <c r="L33" s="40"/>
    </row>
    <row r="34" spans="1:12" ht="24.95" customHeight="1" x14ac:dyDescent="0.25">
      <c r="A34" s="313" t="s">
        <v>1864</v>
      </c>
      <c r="B34" s="313"/>
      <c r="C34" s="313"/>
      <c r="D34" s="403">
        <v>5</v>
      </c>
      <c r="E34" s="404"/>
      <c r="F34" s="404"/>
      <c r="G34" s="404"/>
      <c r="H34" s="404"/>
      <c r="I34" s="404"/>
      <c r="J34" s="404"/>
      <c r="K34" s="404"/>
      <c r="L34" s="40"/>
    </row>
    <row r="35" spans="1:12" ht="24.95" customHeight="1" x14ac:dyDescent="0.25">
      <c r="A35" s="313" t="s">
        <v>1866</v>
      </c>
      <c r="B35" s="313"/>
      <c r="C35" s="313"/>
      <c r="D35" s="403">
        <v>0</v>
      </c>
      <c r="E35" s="404"/>
      <c r="F35" s="404"/>
      <c r="G35" s="404"/>
      <c r="H35" s="404"/>
      <c r="I35" s="404"/>
      <c r="J35" s="404"/>
      <c r="K35" s="404"/>
      <c r="L35" s="40"/>
    </row>
    <row r="36" spans="1:12" ht="24.95" customHeight="1" x14ac:dyDescent="0.25">
      <c r="A36" s="313" t="s">
        <v>1867</v>
      </c>
      <c r="B36" s="313"/>
      <c r="C36" s="313"/>
      <c r="D36" s="403">
        <v>0</v>
      </c>
      <c r="E36" s="404"/>
      <c r="F36" s="404"/>
      <c r="G36" s="404"/>
      <c r="H36" s="404"/>
      <c r="I36" s="404"/>
      <c r="J36" s="404"/>
      <c r="K36" s="404"/>
      <c r="L36" s="40"/>
    </row>
    <row r="37" spans="1:12" ht="24.95" customHeight="1" x14ac:dyDescent="0.25">
      <c r="A37" s="313" t="s">
        <v>1868</v>
      </c>
      <c r="B37" s="313"/>
      <c r="C37" s="313"/>
      <c r="D37" s="403">
        <v>0</v>
      </c>
      <c r="E37" s="404"/>
      <c r="F37" s="404"/>
      <c r="G37" s="404"/>
      <c r="H37" s="404"/>
      <c r="I37" s="404"/>
      <c r="J37" s="404"/>
      <c r="K37" s="404"/>
      <c r="L37" s="40"/>
    </row>
    <row r="38" spans="1:12" ht="24.95" customHeight="1" x14ac:dyDescent="0.25">
      <c r="A38" s="313" t="s">
        <v>1935</v>
      </c>
      <c r="B38" s="313"/>
      <c r="C38" s="313"/>
      <c r="D38" s="403">
        <v>0</v>
      </c>
      <c r="E38" s="404"/>
      <c r="F38" s="404"/>
      <c r="G38" s="404"/>
      <c r="H38" s="404"/>
      <c r="I38" s="404"/>
      <c r="J38" s="404"/>
      <c r="K38" s="404"/>
      <c r="L38" s="40"/>
    </row>
    <row r="39" spans="1:12" ht="24.95" customHeight="1" x14ac:dyDescent="0.25">
      <c r="A39" s="313" t="s">
        <v>1936</v>
      </c>
      <c r="B39" s="313"/>
      <c r="C39" s="313"/>
      <c r="D39" s="403">
        <v>0</v>
      </c>
      <c r="E39" s="404"/>
      <c r="F39" s="404"/>
      <c r="G39" s="404"/>
      <c r="H39" s="404"/>
      <c r="I39" s="404"/>
      <c r="J39" s="404"/>
      <c r="K39" s="404"/>
      <c r="L39" s="40"/>
    </row>
    <row r="40" spans="1:12" ht="24.95" customHeight="1" x14ac:dyDescent="0.25">
      <c r="A40" s="313" t="s">
        <v>2603</v>
      </c>
      <c r="B40" s="313"/>
      <c r="C40" s="313"/>
      <c r="D40" s="403">
        <v>0</v>
      </c>
      <c r="E40" s="404"/>
      <c r="F40" s="404"/>
      <c r="G40" s="404"/>
      <c r="H40" s="404"/>
      <c r="I40" s="404"/>
      <c r="J40" s="404"/>
      <c r="K40" s="404"/>
      <c r="L40" s="40"/>
    </row>
    <row r="41" spans="1:12" ht="24.95" customHeight="1" x14ac:dyDescent="0.25">
      <c r="A41" s="313" t="s">
        <v>1933</v>
      </c>
      <c r="B41" s="313"/>
      <c r="C41" s="313"/>
      <c r="D41" s="424">
        <v>0</v>
      </c>
      <c r="E41" s="424"/>
      <c r="F41" s="424"/>
      <c r="G41" s="424"/>
      <c r="H41" s="424"/>
      <c r="I41" s="424"/>
      <c r="J41" s="424"/>
      <c r="K41" s="403"/>
      <c r="L41" s="40"/>
    </row>
    <row r="42" spans="1:12" ht="24.95" customHeight="1" x14ac:dyDescent="0.25">
      <c r="A42" s="313" t="s">
        <v>2542</v>
      </c>
      <c r="B42" s="313"/>
      <c r="C42" s="313"/>
      <c r="D42" s="424">
        <v>0</v>
      </c>
      <c r="E42" s="424"/>
      <c r="F42" s="424"/>
      <c r="G42" s="424"/>
      <c r="H42" s="424"/>
      <c r="I42" s="424"/>
      <c r="J42" s="424"/>
      <c r="K42" s="403"/>
      <c r="L42" s="40"/>
    </row>
    <row r="43" spans="1:12" ht="24.95" customHeight="1" x14ac:dyDescent="0.25">
      <c r="A43" s="421" t="s">
        <v>2361</v>
      </c>
      <c r="B43" s="422"/>
      <c r="C43" s="423"/>
      <c r="D43" s="404">
        <v>0</v>
      </c>
      <c r="E43" s="404"/>
      <c r="F43" s="404"/>
      <c r="G43" s="404"/>
      <c r="H43" s="404"/>
      <c r="I43" s="404"/>
      <c r="J43" s="404"/>
      <c r="K43" s="404"/>
      <c r="L43" s="40"/>
    </row>
    <row r="44" spans="1:12" ht="24.95" customHeight="1" x14ac:dyDescent="0.25">
      <c r="A44" s="421" t="s">
        <v>2362</v>
      </c>
      <c r="B44" s="422"/>
      <c r="C44" s="423"/>
      <c r="D44" s="404">
        <v>0</v>
      </c>
      <c r="E44" s="404"/>
      <c r="F44" s="404"/>
      <c r="G44" s="404"/>
      <c r="H44" s="404"/>
      <c r="I44" s="404"/>
      <c r="J44" s="404"/>
      <c r="K44" s="404"/>
      <c r="L44" s="40"/>
    </row>
    <row r="45" spans="1:12" s="11" customFormat="1" ht="35.1" customHeight="1" x14ac:dyDescent="0.25">
      <c r="A45" s="419" t="s">
        <v>142</v>
      </c>
      <c r="B45" s="419"/>
      <c r="C45" s="419"/>
      <c r="D45" s="420">
        <f>SUM(D21:K44)</f>
        <v>2047</v>
      </c>
      <c r="E45" s="420"/>
      <c r="F45" s="420"/>
      <c r="G45" s="420"/>
      <c r="H45" s="420"/>
      <c r="I45" s="420"/>
      <c r="J45" s="420"/>
      <c r="K45" s="420"/>
      <c r="L45" s="50" t="s">
        <v>1932</v>
      </c>
    </row>
    <row r="46" spans="1:12" x14ac:dyDescent="0.25">
      <c r="A46" s="417" t="s">
        <v>1965</v>
      </c>
      <c r="B46" s="417"/>
      <c r="C46" s="418"/>
      <c r="D46" s="413" t="s">
        <v>1828</v>
      </c>
      <c r="E46" s="413"/>
      <c r="F46" s="413"/>
      <c r="G46" s="413"/>
      <c r="H46" s="413"/>
      <c r="I46" s="413"/>
      <c r="J46" s="413"/>
      <c r="K46" s="413"/>
    </row>
    <row r="47" spans="1:12" ht="24.95" customHeight="1" x14ac:dyDescent="0.25">
      <c r="A47" s="405" t="s">
        <v>1966</v>
      </c>
      <c r="B47" s="406"/>
      <c r="C47" s="406"/>
      <c r="D47" s="404">
        <v>0</v>
      </c>
      <c r="E47" s="404"/>
      <c r="F47" s="404"/>
      <c r="G47" s="404"/>
      <c r="H47" s="404"/>
      <c r="I47" s="404"/>
      <c r="J47" s="404"/>
      <c r="K47" s="404"/>
      <c r="L47" s="6"/>
    </row>
    <row r="48" spans="1:12" ht="24.95" customHeight="1" x14ac:dyDescent="0.25">
      <c r="A48" s="405" t="s">
        <v>1967</v>
      </c>
      <c r="B48" s="406"/>
      <c r="C48" s="406"/>
      <c r="D48" s="404">
        <v>0</v>
      </c>
      <c r="E48" s="404"/>
      <c r="F48" s="404"/>
      <c r="G48" s="404"/>
      <c r="H48" s="404"/>
      <c r="I48" s="404"/>
      <c r="J48" s="404"/>
      <c r="K48" s="404"/>
      <c r="L48" s="6"/>
    </row>
    <row r="49" spans="1:12" ht="24.95" customHeight="1" x14ac:dyDescent="0.25">
      <c r="A49" s="405" t="s">
        <v>2543</v>
      </c>
      <c r="B49" s="406"/>
      <c r="C49" s="406"/>
      <c r="D49" s="404">
        <v>3</v>
      </c>
      <c r="E49" s="404"/>
      <c r="F49" s="404"/>
      <c r="G49" s="404"/>
      <c r="H49" s="404"/>
      <c r="I49" s="404"/>
      <c r="J49" s="404"/>
      <c r="K49" s="404"/>
      <c r="L49" s="6"/>
    </row>
    <row r="50" spans="1:12" ht="24.95" customHeight="1" x14ac:dyDescent="0.25">
      <c r="A50" s="405" t="s">
        <v>1968</v>
      </c>
      <c r="B50" s="406"/>
      <c r="C50" s="406"/>
      <c r="D50" s="404">
        <v>0</v>
      </c>
      <c r="E50" s="404"/>
      <c r="F50" s="404"/>
      <c r="G50" s="404"/>
      <c r="H50" s="404"/>
      <c r="I50" s="404"/>
      <c r="J50" s="404"/>
      <c r="K50" s="404"/>
      <c r="L50" s="6"/>
    </row>
    <row r="51" spans="1:12" ht="24.95" customHeight="1" x14ac:dyDescent="0.25">
      <c r="A51" s="405" t="s">
        <v>1969</v>
      </c>
      <c r="B51" s="406"/>
      <c r="C51" s="406"/>
      <c r="D51" s="404">
        <v>0</v>
      </c>
      <c r="E51" s="404"/>
      <c r="F51" s="404"/>
      <c r="G51" s="404"/>
      <c r="H51" s="404"/>
      <c r="I51" s="404"/>
      <c r="J51" s="404"/>
      <c r="K51" s="404"/>
      <c r="L51" s="6"/>
    </row>
    <row r="52" spans="1:12" ht="24.95" customHeight="1" x14ac:dyDescent="0.25">
      <c r="A52" s="405" t="s">
        <v>1970</v>
      </c>
      <c r="B52" s="406"/>
      <c r="C52" s="406"/>
      <c r="D52" s="404">
        <v>0</v>
      </c>
      <c r="E52" s="404"/>
      <c r="F52" s="404"/>
      <c r="G52" s="404"/>
      <c r="H52" s="404"/>
      <c r="I52" s="404"/>
      <c r="J52" s="404"/>
      <c r="K52" s="404"/>
      <c r="L52" s="6"/>
    </row>
    <row r="53" spans="1:12" ht="24.95" customHeight="1" x14ac:dyDescent="0.25">
      <c r="A53" s="405" t="s">
        <v>2541</v>
      </c>
      <c r="B53" s="429"/>
      <c r="C53" s="430"/>
      <c r="D53" s="431">
        <v>18</v>
      </c>
      <c r="E53" s="424"/>
      <c r="F53" s="424"/>
      <c r="G53" s="424"/>
      <c r="H53" s="424"/>
      <c r="I53" s="424"/>
      <c r="J53" s="424"/>
      <c r="K53" s="403"/>
      <c r="L53" s="6"/>
    </row>
    <row r="54" spans="1:12" ht="24.95" customHeight="1" x14ac:dyDescent="0.25">
      <c r="A54" s="405" t="s">
        <v>2544</v>
      </c>
      <c r="B54" s="429"/>
      <c r="C54" s="430"/>
      <c r="D54" s="431">
        <v>0</v>
      </c>
      <c r="E54" s="424"/>
      <c r="F54" s="424"/>
      <c r="G54" s="424"/>
      <c r="H54" s="424"/>
      <c r="I54" s="424"/>
      <c r="J54" s="424"/>
      <c r="K54" s="403"/>
      <c r="L54" s="6"/>
    </row>
    <row r="55" spans="1:12" ht="24.95" customHeight="1" x14ac:dyDescent="0.25">
      <c r="A55" s="405" t="s">
        <v>1869</v>
      </c>
      <c r="B55" s="429"/>
      <c r="C55" s="429"/>
      <c r="D55" s="380">
        <v>0</v>
      </c>
      <c r="E55" s="380"/>
      <c r="F55" s="380"/>
      <c r="G55" s="380"/>
      <c r="H55" s="380"/>
      <c r="I55" s="380"/>
      <c r="J55" s="380"/>
      <c r="K55" s="380"/>
      <c r="L55" s="6"/>
    </row>
    <row r="56" spans="1:12" ht="24.95" customHeight="1" x14ac:dyDescent="0.25">
      <c r="A56" s="405" t="s">
        <v>1870</v>
      </c>
      <c r="B56" s="406"/>
      <c r="C56" s="406"/>
      <c r="D56" s="380">
        <v>0</v>
      </c>
      <c r="E56" s="380"/>
      <c r="F56" s="380"/>
      <c r="G56" s="380"/>
      <c r="H56" s="380"/>
      <c r="I56" s="380"/>
      <c r="J56" s="380"/>
      <c r="K56" s="380"/>
      <c r="L56" s="6"/>
    </row>
    <row r="57" spans="1:12" ht="24.95" customHeight="1" x14ac:dyDescent="0.25">
      <c r="A57" s="405" t="s">
        <v>1876</v>
      </c>
      <c r="B57" s="406"/>
      <c r="C57" s="406"/>
      <c r="D57" s="380">
        <v>0</v>
      </c>
      <c r="E57" s="380"/>
      <c r="F57" s="380"/>
      <c r="G57" s="380"/>
      <c r="H57" s="380"/>
      <c r="I57" s="380"/>
      <c r="J57" s="380"/>
      <c r="K57" s="380"/>
      <c r="L57" s="6"/>
    </row>
    <row r="58" spans="1:12" ht="24.95" customHeight="1" x14ac:dyDescent="0.25">
      <c r="A58" s="405" t="s">
        <v>1871</v>
      </c>
      <c r="B58" s="406"/>
      <c r="C58" s="406"/>
      <c r="D58" s="380">
        <v>0</v>
      </c>
      <c r="E58" s="380"/>
      <c r="F58" s="380"/>
      <c r="G58" s="380"/>
      <c r="H58" s="380"/>
      <c r="I58" s="380"/>
      <c r="J58" s="380"/>
      <c r="K58" s="380"/>
      <c r="L58" s="6"/>
    </row>
    <row r="59" spans="1:12" ht="24.95" customHeight="1" x14ac:dyDescent="0.25">
      <c r="A59" s="405" t="s">
        <v>1872</v>
      </c>
      <c r="B59" s="406"/>
      <c r="C59" s="406"/>
      <c r="D59" s="380">
        <v>0</v>
      </c>
      <c r="E59" s="380"/>
      <c r="F59" s="380"/>
      <c r="G59" s="380"/>
      <c r="H59" s="380"/>
      <c r="I59" s="380"/>
      <c r="J59" s="380"/>
      <c r="K59" s="380"/>
      <c r="L59" s="6"/>
    </row>
    <row r="60" spans="1:12" ht="24.95" customHeight="1" x14ac:dyDescent="0.25">
      <c r="A60" s="405" t="s">
        <v>1862</v>
      </c>
      <c r="B60" s="406"/>
      <c r="C60" s="406"/>
      <c r="D60" s="380">
        <v>0</v>
      </c>
      <c r="E60" s="380"/>
      <c r="F60" s="380"/>
      <c r="G60" s="380"/>
      <c r="H60" s="380"/>
      <c r="I60" s="380"/>
      <c r="J60" s="380"/>
      <c r="K60" s="380"/>
      <c r="L60" s="6"/>
    </row>
    <row r="61" spans="1:12" ht="24.95" customHeight="1" x14ac:dyDescent="0.25">
      <c r="A61" s="405" t="s">
        <v>1873</v>
      </c>
      <c r="B61" s="406"/>
      <c r="C61" s="406"/>
      <c r="D61" s="380">
        <v>0</v>
      </c>
      <c r="E61" s="380"/>
      <c r="F61" s="380"/>
      <c r="G61" s="380"/>
      <c r="H61" s="380"/>
      <c r="I61" s="380"/>
      <c r="J61" s="380"/>
      <c r="K61" s="380"/>
      <c r="L61" s="6"/>
    </row>
    <row r="62" spans="1:12" ht="24.95" customHeight="1" x14ac:dyDescent="0.25">
      <c r="A62" s="405" t="s">
        <v>1874</v>
      </c>
      <c r="B62" s="406"/>
      <c r="C62" s="406"/>
      <c r="D62" s="380">
        <v>0</v>
      </c>
      <c r="E62" s="380"/>
      <c r="F62" s="380"/>
      <c r="G62" s="380"/>
      <c r="H62" s="380"/>
      <c r="I62" s="380"/>
      <c r="J62" s="380"/>
      <c r="K62" s="380"/>
      <c r="L62" s="6"/>
    </row>
    <row r="63" spans="1:12" ht="24.95" customHeight="1" x14ac:dyDescent="0.25">
      <c r="A63" s="405" t="s">
        <v>1875</v>
      </c>
      <c r="B63" s="406"/>
      <c r="C63" s="406"/>
      <c r="D63" s="380">
        <v>0</v>
      </c>
      <c r="E63" s="380"/>
      <c r="F63" s="380"/>
      <c r="G63" s="380"/>
      <c r="H63" s="380"/>
      <c r="I63" s="380"/>
      <c r="J63" s="380"/>
      <c r="K63" s="380"/>
      <c r="L63" s="6"/>
    </row>
    <row r="64" spans="1:12" ht="24.95" customHeight="1" x14ac:dyDescent="0.25">
      <c r="A64" s="426" t="s">
        <v>2363</v>
      </c>
      <c r="B64" s="427"/>
      <c r="C64" s="427"/>
      <c r="D64" s="404">
        <v>0</v>
      </c>
      <c r="E64" s="404"/>
      <c r="F64" s="404"/>
      <c r="G64" s="404"/>
      <c r="H64" s="404"/>
      <c r="I64" s="404"/>
      <c r="J64" s="404"/>
      <c r="K64" s="404"/>
      <c r="L64" s="6"/>
    </row>
    <row r="65" spans="1:12" ht="24.95" customHeight="1" x14ac:dyDescent="0.25">
      <c r="A65" s="426" t="s">
        <v>2364</v>
      </c>
      <c r="B65" s="427"/>
      <c r="C65" s="427"/>
      <c r="D65" s="404">
        <v>0</v>
      </c>
      <c r="E65" s="404"/>
      <c r="F65" s="404"/>
      <c r="G65" s="404"/>
      <c r="H65" s="404"/>
      <c r="I65" s="404"/>
      <c r="J65" s="404"/>
      <c r="K65" s="404"/>
      <c r="L65" s="6"/>
    </row>
    <row r="66" spans="1:12" s="10" customFormat="1" ht="24.95" customHeight="1" x14ac:dyDescent="0.2">
      <c r="A66" s="419" t="s">
        <v>141</v>
      </c>
      <c r="B66" s="419"/>
      <c r="C66" s="428"/>
      <c r="D66" s="420">
        <f>SUM(D47:K65)</f>
        <v>21</v>
      </c>
      <c r="E66" s="420"/>
      <c r="F66" s="420"/>
      <c r="G66" s="420"/>
      <c r="H66" s="420"/>
      <c r="I66" s="420"/>
      <c r="J66" s="420"/>
      <c r="K66" s="420"/>
      <c r="L66" s="50" t="s">
        <v>1937</v>
      </c>
    </row>
    <row r="67" spans="1:12" s="3" customFormat="1" ht="24.95" customHeight="1" x14ac:dyDescent="0.25">
      <c r="A67" s="419" t="s">
        <v>140</v>
      </c>
      <c r="B67" s="419"/>
      <c r="C67" s="428"/>
      <c r="D67" s="420">
        <f>D66+D45</f>
        <v>2068</v>
      </c>
      <c r="E67" s="420"/>
      <c r="F67" s="420"/>
      <c r="G67" s="420"/>
      <c r="H67" s="420"/>
      <c r="I67" s="420"/>
      <c r="J67" s="420"/>
      <c r="K67" s="420"/>
      <c r="L67" s="53"/>
    </row>
    <row r="68" spans="1:12" ht="22.5" customHeight="1" x14ac:dyDescent="0.25">
      <c r="A68" s="425"/>
      <c r="B68" s="425"/>
      <c r="C68" s="425"/>
      <c r="D68" s="425"/>
      <c r="E68" s="425"/>
      <c r="F68" s="425"/>
      <c r="G68" s="425"/>
      <c r="H68" s="425"/>
      <c r="I68" s="425"/>
      <c r="J68" s="425"/>
      <c r="K68" s="425"/>
      <c r="L68" s="6"/>
    </row>
  </sheetData>
  <sheetProtection algorithmName="SHA-512" hashValue="4oa/h6ySLi9f6XE11AgUVViXPUo0VKoakRXII5dqWtliqV/6drcrE7jBwUZl+m9LzxnLkk+qxEebI6DAPF8I9w==" saltValue="2kw1PHIkunbi5bRV1mxhGw==" spinCount="100000" sheet="1" objects="1" scenarios="1" selectLockedCells="1"/>
  <mergeCells count="123">
    <mergeCell ref="A51:C51"/>
    <mergeCell ref="D51:K51"/>
    <mergeCell ref="A52:C52"/>
    <mergeCell ref="D52:K52"/>
    <mergeCell ref="A55:C55"/>
    <mergeCell ref="D55:K55"/>
    <mergeCell ref="A56:C56"/>
    <mergeCell ref="D56:K56"/>
    <mergeCell ref="A57:C57"/>
    <mergeCell ref="D57:K57"/>
    <mergeCell ref="A53:C53"/>
    <mergeCell ref="D53:K53"/>
    <mergeCell ref="A54:C54"/>
    <mergeCell ref="D54:K54"/>
    <mergeCell ref="D33:K33"/>
    <mergeCell ref="D35:K35"/>
    <mergeCell ref="A68:K68"/>
    <mergeCell ref="A61:C61"/>
    <mergeCell ref="D61:K61"/>
    <mergeCell ref="A62:C62"/>
    <mergeCell ref="D62:K62"/>
    <mergeCell ref="A63:C63"/>
    <mergeCell ref="D63:K63"/>
    <mergeCell ref="A64:C64"/>
    <mergeCell ref="D64:K64"/>
    <mergeCell ref="A67:C67"/>
    <mergeCell ref="D67:K67"/>
    <mergeCell ref="A66:C66"/>
    <mergeCell ref="D66:K66"/>
    <mergeCell ref="A65:C65"/>
    <mergeCell ref="D65:K65"/>
    <mergeCell ref="A58:C58"/>
    <mergeCell ref="D58:K58"/>
    <mergeCell ref="A59:C59"/>
    <mergeCell ref="D59:K59"/>
    <mergeCell ref="A60:C60"/>
    <mergeCell ref="D60:K60"/>
    <mergeCell ref="D50:K50"/>
    <mergeCell ref="A50:C50"/>
    <mergeCell ref="A46:C46"/>
    <mergeCell ref="D46:K46"/>
    <mergeCell ref="D36:K36"/>
    <mergeCell ref="D37:K37"/>
    <mergeCell ref="D43:K43"/>
    <mergeCell ref="A45:C45"/>
    <mergeCell ref="D45:K45"/>
    <mergeCell ref="A36:C36"/>
    <mergeCell ref="A37:C37"/>
    <mergeCell ref="A38:C38"/>
    <mergeCell ref="A39:C39"/>
    <mergeCell ref="A41:C41"/>
    <mergeCell ref="A44:C44"/>
    <mergeCell ref="D44:K44"/>
    <mergeCell ref="A43:C43"/>
    <mergeCell ref="A47:C47"/>
    <mergeCell ref="D38:K38"/>
    <mergeCell ref="D39:K39"/>
    <mergeCell ref="D41:K41"/>
    <mergeCell ref="D42:K42"/>
    <mergeCell ref="A40:C40"/>
    <mergeCell ref="D40:K40"/>
    <mergeCell ref="A1:J1"/>
    <mergeCell ref="A2:C2"/>
    <mergeCell ref="A3:K3"/>
    <mergeCell ref="A4:I4"/>
    <mergeCell ref="J4:K4"/>
    <mergeCell ref="J5:K5"/>
    <mergeCell ref="J6:K6"/>
    <mergeCell ref="D2:K2"/>
    <mergeCell ref="A7:K7"/>
    <mergeCell ref="A5:C6"/>
    <mergeCell ref="D5:F5"/>
    <mergeCell ref="G5:I5"/>
    <mergeCell ref="D6:F6"/>
    <mergeCell ref="G6:I6"/>
    <mergeCell ref="A8:C8"/>
    <mergeCell ref="A10:C10"/>
    <mergeCell ref="D27:K27"/>
    <mergeCell ref="A19:K19"/>
    <mergeCell ref="A20:C20"/>
    <mergeCell ref="D20:K20"/>
    <mergeCell ref="D25:K25"/>
    <mergeCell ref="D26:K26"/>
    <mergeCell ref="A9:C9"/>
    <mergeCell ref="A11:C11"/>
    <mergeCell ref="A12:C12"/>
    <mergeCell ref="A13:C13"/>
    <mergeCell ref="A15:C15"/>
    <mergeCell ref="A14:C14"/>
    <mergeCell ref="A16:C16"/>
    <mergeCell ref="A17:C17"/>
    <mergeCell ref="A18:C18"/>
    <mergeCell ref="A22:C22"/>
    <mergeCell ref="A25:C25"/>
    <mergeCell ref="A26:C26"/>
    <mergeCell ref="A27:C27"/>
    <mergeCell ref="A21:C21"/>
    <mergeCell ref="D21:K21"/>
    <mergeCell ref="D22:K22"/>
    <mergeCell ref="A23:C23"/>
    <mergeCell ref="D23:K23"/>
    <mergeCell ref="A24:C24"/>
    <mergeCell ref="D24:K24"/>
    <mergeCell ref="A34:C34"/>
    <mergeCell ref="D34:K34"/>
    <mergeCell ref="A42:C42"/>
    <mergeCell ref="A49:C49"/>
    <mergeCell ref="D49:K49"/>
    <mergeCell ref="D47:K47"/>
    <mergeCell ref="A48:C48"/>
    <mergeCell ref="D48:K48"/>
    <mergeCell ref="A33:C33"/>
    <mergeCell ref="A35:C35"/>
    <mergeCell ref="A28:C28"/>
    <mergeCell ref="A29:C29"/>
    <mergeCell ref="A30:C30"/>
    <mergeCell ref="A31:C31"/>
    <mergeCell ref="A32:C32"/>
    <mergeCell ref="D28:K28"/>
    <mergeCell ref="D30:K30"/>
    <mergeCell ref="D31:K31"/>
    <mergeCell ref="D29:K29"/>
    <mergeCell ref="D32:K32"/>
  </mergeCells>
  <conditionalFormatting sqref="D15:J18">
    <cfRule type="cellIs" dxfId="80" priority="1" operator="lessThan">
      <formula>0</formula>
    </cfRule>
  </conditionalFormatting>
  <dataValidations count="9">
    <dataValidation allowBlank="1" error="Error in value" prompt="Please  % no. of patients" sqref="J65502 JC65502 SY65502 ACU65502 AMQ65502 AWM65502 BGI65502 BQE65502 CAA65502 CJW65502 CTS65502 DDO65502 DNK65502 DXG65502 EHC65502 EQY65502 FAU65502 FKQ65502 FUM65502 GEI65502 GOE65502 GYA65502 HHW65502 HRS65502 IBO65502 ILK65502 IVG65502 JFC65502 JOY65502 JYU65502 KIQ65502 KSM65502 LCI65502 LME65502 LWA65502 MFW65502 MPS65502 MZO65502 NJK65502 NTG65502 ODC65502 OMY65502 OWU65502 PGQ65502 PQM65502 QAI65502 QKE65502 QUA65502 RDW65502 RNS65502 RXO65502 SHK65502 SRG65502 TBC65502 TKY65502 TUU65502 UEQ65502 UOM65502 UYI65502 VIE65502 VSA65502 WBW65502 WLS65502 WVO65502 J131038 JC131038 SY131038 ACU131038 AMQ131038 AWM131038 BGI131038 BQE131038 CAA131038 CJW131038 CTS131038 DDO131038 DNK131038 DXG131038 EHC131038 EQY131038 FAU131038 FKQ131038 FUM131038 GEI131038 GOE131038 GYA131038 HHW131038 HRS131038 IBO131038 ILK131038 IVG131038 JFC131038 JOY131038 JYU131038 KIQ131038 KSM131038 LCI131038 LME131038 LWA131038 MFW131038 MPS131038 MZO131038 NJK131038 NTG131038 ODC131038 OMY131038 OWU131038 PGQ131038 PQM131038 QAI131038 QKE131038 QUA131038 RDW131038 RNS131038 RXO131038 SHK131038 SRG131038 TBC131038 TKY131038 TUU131038 UEQ131038 UOM131038 UYI131038 VIE131038 VSA131038 WBW131038 WLS131038 WVO131038 J196574 JC196574 SY196574 ACU196574 AMQ196574 AWM196574 BGI196574 BQE196574 CAA196574 CJW196574 CTS196574 DDO196574 DNK196574 DXG196574 EHC196574 EQY196574 FAU196574 FKQ196574 FUM196574 GEI196574 GOE196574 GYA196574 HHW196574 HRS196574 IBO196574 ILK196574 IVG196574 JFC196574 JOY196574 JYU196574 KIQ196574 KSM196574 LCI196574 LME196574 LWA196574 MFW196574 MPS196574 MZO196574 NJK196574 NTG196574 ODC196574 OMY196574 OWU196574 PGQ196574 PQM196574 QAI196574 QKE196574 QUA196574 RDW196574 RNS196574 RXO196574 SHK196574 SRG196574 TBC196574 TKY196574 TUU196574 UEQ196574 UOM196574 UYI196574 VIE196574 VSA196574 WBW196574 WLS196574 WVO196574 J262110 JC262110 SY262110 ACU262110 AMQ262110 AWM262110 BGI262110 BQE262110 CAA262110 CJW262110 CTS262110 DDO262110 DNK262110 DXG262110 EHC262110 EQY262110 FAU262110 FKQ262110 FUM262110 GEI262110 GOE262110 GYA262110 HHW262110 HRS262110 IBO262110 ILK262110 IVG262110 JFC262110 JOY262110 JYU262110 KIQ262110 KSM262110 LCI262110 LME262110 LWA262110 MFW262110 MPS262110 MZO262110 NJK262110 NTG262110 ODC262110 OMY262110 OWU262110 PGQ262110 PQM262110 QAI262110 QKE262110 QUA262110 RDW262110 RNS262110 RXO262110 SHK262110 SRG262110 TBC262110 TKY262110 TUU262110 UEQ262110 UOM262110 UYI262110 VIE262110 VSA262110 WBW262110 WLS262110 WVO262110 J327646 JC327646 SY327646 ACU327646 AMQ327646 AWM327646 BGI327646 BQE327646 CAA327646 CJW327646 CTS327646 DDO327646 DNK327646 DXG327646 EHC327646 EQY327646 FAU327646 FKQ327646 FUM327646 GEI327646 GOE327646 GYA327646 HHW327646 HRS327646 IBO327646 ILK327646 IVG327646 JFC327646 JOY327646 JYU327646 KIQ327646 KSM327646 LCI327646 LME327646 LWA327646 MFW327646 MPS327646 MZO327646 NJK327646 NTG327646 ODC327646 OMY327646 OWU327646 PGQ327646 PQM327646 QAI327646 QKE327646 QUA327646 RDW327646 RNS327646 RXO327646 SHK327646 SRG327646 TBC327646 TKY327646 TUU327646 UEQ327646 UOM327646 UYI327646 VIE327646 VSA327646 WBW327646 WLS327646 WVO327646 J393182 JC393182 SY393182 ACU393182 AMQ393182 AWM393182 BGI393182 BQE393182 CAA393182 CJW393182 CTS393182 DDO393182 DNK393182 DXG393182 EHC393182 EQY393182 FAU393182 FKQ393182 FUM393182 GEI393182 GOE393182 GYA393182 HHW393182 HRS393182 IBO393182 ILK393182 IVG393182 JFC393182 JOY393182 JYU393182 KIQ393182 KSM393182 LCI393182 LME393182 LWA393182 MFW393182 MPS393182 MZO393182 NJK393182 NTG393182 ODC393182 OMY393182 OWU393182 PGQ393182 PQM393182 QAI393182 QKE393182 QUA393182 RDW393182 RNS393182 RXO393182 SHK393182 SRG393182 TBC393182 TKY393182 TUU393182 UEQ393182 UOM393182 UYI393182 VIE393182 VSA393182 WBW393182 WLS393182 WVO393182 J458718 JC458718 SY458718 ACU458718 AMQ458718 AWM458718 BGI458718 BQE458718 CAA458718 CJW458718 CTS458718 DDO458718 DNK458718 DXG458718 EHC458718 EQY458718 FAU458718 FKQ458718 FUM458718 GEI458718 GOE458718 GYA458718 HHW458718 HRS458718 IBO458718 ILK458718 IVG458718 JFC458718 JOY458718 JYU458718 KIQ458718 KSM458718 LCI458718 LME458718 LWA458718 MFW458718 MPS458718 MZO458718 NJK458718 NTG458718 ODC458718 OMY458718 OWU458718 PGQ458718 PQM458718 QAI458718 QKE458718 QUA458718 RDW458718 RNS458718 RXO458718 SHK458718 SRG458718 TBC458718 TKY458718 TUU458718 UEQ458718 UOM458718 UYI458718 VIE458718 VSA458718 WBW458718 WLS458718 WVO458718 J524254 JC524254 SY524254 ACU524254 AMQ524254 AWM524254 BGI524254 BQE524254 CAA524254 CJW524254 CTS524254 DDO524254 DNK524254 DXG524254 EHC524254 EQY524254 FAU524254 FKQ524254 FUM524254 GEI524254 GOE524254 GYA524254 HHW524254 HRS524254 IBO524254 ILK524254 IVG524254 JFC524254 JOY524254 JYU524254 KIQ524254 KSM524254 LCI524254 LME524254 LWA524254 MFW524254 MPS524254 MZO524254 NJK524254 NTG524254 ODC524254 OMY524254 OWU524254 PGQ524254 PQM524254 QAI524254 QKE524254 QUA524254 RDW524254 RNS524254 RXO524254 SHK524254 SRG524254 TBC524254 TKY524254 TUU524254 UEQ524254 UOM524254 UYI524254 VIE524254 VSA524254 WBW524254 WLS524254 WVO524254 J589790 JC589790 SY589790 ACU589790 AMQ589790 AWM589790 BGI589790 BQE589790 CAA589790 CJW589790 CTS589790 DDO589790 DNK589790 DXG589790 EHC589790 EQY589790 FAU589790 FKQ589790 FUM589790 GEI589790 GOE589790 GYA589790 HHW589790 HRS589790 IBO589790 ILK589790 IVG589790 JFC589790 JOY589790 JYU589790 KIQ589790 KSM589790 LCI589790 LME589790 LWA589790 MFW589790 MPS589790 MZO589790 NJK589790 NTG589790 ODC589790 OMY589790 OWU589790 PGQ589790 PQM589790 QAI589790 QKE589790 QUA589790 RDW589790 RNS589790 RXO589790 SHK589790 SRG589790 TBC589790 TKY589790 TUU589790 UEQ589790 UOM589790 UYI589790 VIE589790 VSA589790 WBW589790 WLS589790 WVO589790 J655326 JC655326 SY655326 ACU655326 AMQ655326 AWM655326 BGI655326 BQE655326 CAA655326 CJW655326 CTS655326 DDO655326 DNK655326 DXG655326 EHC655326 EQY655326 FAU655326 FKQ655326 FUM655326 GEI655326 GOE655326 GYA655326 HHW655326 HRS655326 IBO655326 ILK655326 IVG655326 JFC655326 JOY655326 JYU655326 KIQ655326 KSM655326 LCI655326 LME655326 LWA655326 MFW655326 MPS655326 MZO655326 NJK655326 NTG655326 ODC655326 OMY655326 OWU655326 PGQ655326 PQM655326 QAI655326 QKE655326 QUA655326 RDW655326 RNS655326 RXO655326 SHK655326 SRG655326 TBC655326 TKY655326 TUU655326 UEQ655326 UOM655326 UYI655326 VIE655326 VSA655326 WBW655326 WLS655326 WVO655326 J720862 JC720862 SY720862 ACU720862 AMQ720862 AWM720862 BGI720862 BQE720862 CAA720862 CJW720862 CTS720862 DDO720862 DNK720862 DXG720862 EHC720862 EQY720862 FAU720862 FKQ720862 FUM720862 GEI720862 GOE720862 GYA720862 HHW720862 HRS720862 IBO720862 ILK720862 IVG720862 JFC720862 JOY720862 JYU720862 KIQ720862 KSM720862 LCI720862 LME720862 LWA720862 MFW720862 MPS720862 MZO720862 NJK720862 NTG720862 ODC720862 OMY720862 OWU720862 PGQ720862 PQM720862 QAI720862 QKE720862 QUA720862 RDW720862 RNS720862 RXO720862 SHK720862 SRG720862 TBC720862 TKY720862 TUU720862 UEQ720862 UOM720862 UYI720862 VIE720862 VSA720862 WBW720862 WLS720862 WVO720862 J786398 JC786398 SY786398 ACU786398 AMQ786398 AWM786398 BGI786398 BQE786398 CAA786398 CJW786398 CTS786398 DDO786398 DNK786398 DXG786398 EHC786398 EQY786398 FAU786398 FKQ786398 FUM786398 GEI786398 GOE786398 GYA786398 HHW786398 HRS786398 IBO786398 ILK786398 IVG786398 JFC786398 JOY786398 JYU786398 KIQ786398 KSM786398 LCI786398 LME786398 LWA786398 MFW786398 MPS786398 MZO786398 NJK786398 NTG786398 ODC786398 OMY786398 OWU786398 PGQ786398 PQM786398 QAI786398 QKE786398 QUA786398 RDW786398 RNS786398 RXO786398 SHK786398 SRG786398 TBC786398 TKY786398 TUU786398 UEQ786398 UOM786398 UYI786398 VIE786398 VSA786398 WBW786398 WLS786398 WVO786398 J851934 JC851934 SY851934 ACU851934 AMQ851934 AWM851934 BGI851934 BQE851934 CAA851934 CJW851934 CTS851934 DDO851934 DNK851934 DXG851934 EHC851934 EQY851934 FAU851934 FKQ851934 FUM851934 GEI851934 GOE851934 GYA851934 HHW851934 HRS851934 IBO851934 ILK851934 IVG851934 JFC851934 JOY851934 JYU851934 KIQ851934 KSM851934 LCI851934 LME851934 LWA851934 MFW851934 MPS851934 MZO851934 NJK851934 NTG851934 ODC851934 OMY851934 OWU851934 PGQ851934 PQM851934 QAI851934 QKE851934 QUA851934 RDW851934 RNS851934 RXO851934 SHK851934 SRG851934 TBC851934 TKY851934 TUU851934 UEQ851934 UOM851934 UYI851934 VIE851934 VSA851934 WBW851934 WLS851934 WVO851934 J917470 JC917470 SY917470 ACU917470 AMQ917470 AWM917470 BGI917470 BQE917470 CAA917470 CJW917470 CTS917470 DDO917470 DNK917470 DXG917470 EHC917470 EQY917470 FAU917470 FKQ917470 FUM917470 GEI917470 GOE917470 GYA917470 HHW917470 HRS917470 IBO917470 ILK917470 IVG917470 JFC917470 JOY917470 JYU917470 KIQ917470 KSM917470 LCI917470 LME917470 LWA917470 MFW917470 MPS917470 MZO917470 NJK917470 NTG917470 ODC917470 OMY917470 OWU917470 PGQ917470 PQM917470 QAI917470 QKE917470 QUA917470 RDW917470 RNS917470 RXO917470 SHK917470 SRG917470 TBC917470 TKY917470 TUU917470 UEQ917470 UOM917470 UYI917470 VIE917470 VSA917470 WBW917470 WLS917470 WVO917470 J983006 JC983006 SY983006 ACU983006 AMQ983006 AWM983006 BGI983006 BQE983006 CAA983006 CJW983006 CTS983006 DDO983006 DNK983006 DXG983006 EHC983006 EQY983006 FAU983006 FKQ983006 FUM983006 GEI983006 GOE983006 GYA983006 HHW983006 HRS983006 IBO983006 ILK983006 IVG983006 JFC983006 JOY983006 JYU983006 KIQ983006 KSM983006 LCI983006 LME983006 LWA983006 MFW983006 MPS983006 MZO983006 NJK983006 NTG983006 ODC983006 OMY983006 OWU983006 PGQ983006 PQM983006 QAI983006 QKE983006 QUA983006 RDW983006 RNS983006 RXO983006 SHK983006 SRG983006 TBC983006 TKY983006 TUU983006 UEQ983006 UOM983006 UYI983006 VIE983006 VSA983006 WBW983006 WLS983006 WVO983006 WVO6 JC6 SY6 ACU6 AMQ6 AWM6 BGI6 BQE6 CAA6 CJW6 CTS6 DDO6 DNK6 DXG6 EHC6 EQY6 FAU6 FKQ6 FUM6 GEI6 GOE6 GYA6 HHW6 HRS6 IBO6 ILK6 IVG6 JFC6 JOY6 JYU6 KIQ6 KSM6 LCI6 LME6 LWA6 MFW6 MPS6 MZO6 NJK6 NTG6 ODC6 OMY6 OWU6 PGQ6 PQM6 QAI6 QKE6 QUA6 RDW6 RNS6 RXO6 SHK6 SRG6 TBC6 TKY6 TUU6 UEQ6 UOM6 UYI6 VIE6 VSA6 WBW6 WLS6"/>
    <dataValidation showErrorMessage="1" error="Error in value" prompt="Please enter No. of patients not % no. of patients" sqref="H65501 JA65501 SW65501 ACS65501 AMO65501 AWK65501 BGG65501 BQC65501 BZY65501 CJU65501 CTQ65501 DDM65501 DNI65501 DXE65501 EHA65501 EQW65501 FAS65501 FKO65501 FUK65501 GEG65501 GOC65501 GXY65501 HHU65501 HRQ65501 IBM65501 ILI65501 IVE65501 JFA65501 JOW65501 JYS65501 KIO65501 KSK65501 LCG65501 LMC65501 LVY65501 MFU65501 MPQ65501 MZM65501 NJI65501 NTE65501 ODA65501 OMW65501 OWS65501 PGO65501 PQK65501 QAG65501 QKC65501 QTY65501 RDU65501 RNQ65501 RXM65501 SHI65501 SRE65501 TBA65501 TKW65501 TUS65501 UEO65501 UOK65501 UYG65501 VIC65501 VRY65501 WBU65501 WLQ65501 WVM65501 H131037 JA131037 SW131037 ACS131037 AMO131037 AWK131037 BGG131037 BQC131037 BZY131037 CJU131037 CTQ131037 DDM131037 DNI131037 DXE131037 EHA131037 EQW131037 FAS131037 FKO131037 FUK131037 GEG131037 GOC131037 GXY131037 HHU131037 HRQ131037 IBM131037 ILI131037 IVE131037 JFA131037 JOW131037 JYS131037 KIO131037 KSK131037 LCG131037 LMC131037 LVY131037 MFU131037 MPQ131037 MZM131037 NJI131037 NTE131037 ODA131037 OMW131037 OWS131037 PGO131037 PQK131037 QAG131037 QKC131037 QTY131037 RDU131037 RNQ131037 RXM131037 SHI131037 SRE131037 TBA131037 TKW131037 TUS131037 UEO131037 UOK131037 UYG131037 VIC131037 VRY131037 WBU131037 WLQ131037 WVM131037 H196573 JA196573 SW196573 ACS196573 AMO196573 AWK196573 BGG196573 BQC196573 BZY196573 CJU196573 CTQ196573 DDM196573 DNI196573 DXE196573 EHA196573 EQW196573 FAS196573 FKO196573 FUK196573 GEG196573 GOC196573 GXY196573 HHU196573 HRQ196573 IBM196573 ILI196573 IVE196573 JFA196573 JOW196573 JYS196573 KIO196573 KSK196573 LCG196573 LMC196573 LVY196573 MFU196573 MPQ196573 MZM196573 NJI196573 NTE196573 ODA196573 OMW196573 OWS196573 PGO196573 PQK196573 QAG196573 QKC196573 QTY196573 RDU196573 RNQ196573 RXM196573 SHI196573 SRE196573 TBA196573 TKW196573 TUS196573 UEO196573 UOK196573 UYG196573 VIC196573 VRY196573 WBU196573 WLQ196573 WVM196573 H262109 JA262109 SW262109 ACS262109 AMO262109 AWK262109 BGG262109 BQC262109 BZY262109 CJU262109 CTQ262109 DDM262109 DNI262109 DXE262109 EHA262109 EQW262109 FAS262109 FKO262109 FUK262109 GEG262109 GOC262109 GXY262109 HHU262109 HRQ262109 IBM262109 ILI262109 IVE262109 JFA262109 JOW262109 JYS262109 KIO262109 KSK262109 LCG262109 LMC262109 LVY262109 MFU262109 MPQ262109 MZM262109 NJI262109 NTE262109 ODA262109 OMW262109 OWS262109 PGO262109 PQK262109 QAG262109 QKC262109 QTY262109 RDU262109 RNQ262109 RXM262109 SHI262109 SRE262109 TBA262109 TKW262109 TUS262109 UEO262109 UOK262109 UYG262109 VIC262109 VRY262109 WBU262109 WLQ262109 WVM262109 H327645 JA327645 SW327645 ACS327645 AMO327645 AWK327645 BGG327645 BQC327645 BZY327645 CJU327645 CTQ327645 DDM327645 DNI327645 DXE327645 EHA327645 EQW327645 FAS327645 FKO327645 FUK327645 GEG327645 GOC327645 GXY327645 HHU327645 HRQ327645 IBM327645 ILI327645 IVE327645 JFA327645 JOW327645 JYS327645 KIO327645 KSK327645 LCG327645 LMC327645 LVY327645 MFU327645 MPQ327645 MZM327645 NJI327645 NTE327645 ODA327645 OMW327645 OWS327645 PGO327645 PQK327645 QAG327645 QKC327645 QTY327645 RDU327645 RNQ327645 RXM327645 SHI327645 SRE327645 TBA327645 TKW327645 TUS327645 UEO327645 UOK327645 UYG327645 VIC327645 VRY327645 WBU327645 WLQ327645 WVM327645 H393181 JA393181 SW393181 ACS393181 AMO393181 AWK393181 BGG393181 BQC393181 BZY393181 CJU393181 CTQ393181 DDM393181 DNI393181 DXE393181 EHA393181 EQW393181 FAS393181 FKO393181 FUK393181 GEG393181 GOC393181 GXY393181 HHU393181 HRQ393181 IBM393181 ILI393181 IVE393181 JFA393181 JOW393181 JYS393181 KIO393181 KSK393181 LCG393181 LMC393181 LVY393181 MFU393181 MPQ393181 MZM393181 NJI393181 NTE393181 ODA393181 OMW393181 OWS393181 PGO393181 PQK393181 QAG393181 QKC393181 QTY393181 RDU393181 RNQ393181 RXM393181 SHI393181 SRE393181 TBA393181 TKW393181 TUS393181 UEO393181 UOK393181 UYG393181 VIC393181 VRY393181 WBU393181 WLQ393181 WVM393181 H458717 JA458717 SW458717 ACS458717 AMO458717 AWK458717 BGG458717 BQC458717 BZY458717 CJU458717 CTQ458717 DDM458717 DNI458717 DXE458717 EHA458717 EQW458717 FAS458717 FKO458717 FUK458717 GEG458717 GOC458717 GXY458717 HHU458717 HRQ458717 IBM458717 ILI458717 IVE458717 JFA458717 JOW458717 JYS458717 KIO458717 KSK458717 LCG458717 LMC458717 LVY458717 MFU458717 MPQ458717 MZM458717 NJI458717 NTE458717 ODA458717 OMW458717 OWS458717 PGO458717 PQK458717 QAG458717 QKC458717 QTY458717 RDU458717 RNQ458717 RXM458717 SHI458717 SRE458717 TBA458717 TKW458717 TUS458717 UEO458717 UOK458717 UYG458717 VIC458717 VRY458717 WBU458717 WLQ458717 WVM458717 H524253 JA524253 SW524253 ACS524253 AMO524253 AWK524253 BGG524253 BQC524253 BZY524253 CJU524253 CTQ524253 DDM524253 DNI524253 DXE524253 EHA524253 EQW524253 FAS524253 FKO524253 FUK524253 GEG524253 GOC524253 GXY524253 HHU524253 HRQ524253 IBM524253 ILI524253 IVE524253 JFA524253 JOW524253 JYS524253 KIO524253 KSK524253 LCG524253 LMC524253 LVY524253 MFU524253 MPQ524253 MZM524253 NJI524253 NTE524253 ODA524253 OMW524253 OWS524253 PGO524253 PQK524253 QAG524253 QKC524253 QTY524253 RDU524253 RNQ524253 RXM524253 SHI524253 SRE524253 TBA524253 TKW524253 TUS524253 UEO524253 UOK524253 UYG524253 VIC524253 VRY524253 WBU524253 WLQ524253 WVM524253 H589789 JA589789 SW589789 ACS589789 AMO589789 AWK589789 BGG589789 BQC589789 BZY589789 CJU589789 CTQ589789 DDM589789 DNI589789 DXE589789 EHA589789 EQW589789 FAS589789 FKO589789 FUK589789 GEG589789 GOC589789 GXY589789 HHU589789 HRQ589789 IBM589789 ILI589789 IVE589789 JFA589789 JOW589789 JYS589789 KIO589789 KSK589789 LCG589789 LMC589789 LVY589789 MFU589789 MPQ589789 MZM589789 NJI589789 NTE589789 ODA589789 OMW589789 OWS589789 PGO589789 PQK589789 QAG589789 QKC589789 QTY589789 RDU589789 RNQ589789 RXM589789 SHI589789 SRE589789 TBA589789 TKW589789 TUS589789 UEO589789 UOK589789 UYG589789 VIC589789 VRY589789 WBU589789 WLQ589789 WVM589789 H655325 JA655325 SW655325 ACS655325 AMO655325 AWK655325 BGG655325 BQC655325 BZY655325 CJU655325 CTQ655325 DDM655325 DNI655325 DXE655325 EHA655325 EQW655325 FAS655325 FKO655325 FUK655325 GEG655325 GOC655325 GXY655325 HHU655325 HRQ655325 IBM655325 ILI655325 IVE655325 JFA655325 JOW655325 JYS655325 KIO655325 KSK655325 LCG655325 LMC655325 LVY655325 MFU655325 MPQ655325 MZM655325 NJI655325 NTE655325 ODA655325 OMW655325 OWS655325 PGO655325 PQK655325 QAG655325 QKC655325 QTY655325 RDU655325 RNQ655325 RXM655325 SHI655325 SRE655325 TBA655325 TKW655325 TUS655325 UEO655325 UOK655325 UYG655325 VIC655325 VRY655325 WBU655325 WLQ655325 WVM655325 H720861 JA720861 SW720861 ACS720861 AMO720861 AWK720861 BGG720861 BQC720861 BZY720861 CJU720861 CTQ720861 DDM720861 DNI720861 DXE720861 EHA720861 EQW720861 FAS720861 FKO720861 FUK720861 GEG720861 GOC720861 GXY720861 HHU720861 HRQ720861 IBM720861 ILI720861 IVE720861 JFA720861 JOW720861 JYS720861 KIO720861 KSK720861 LCG720861 LMC720861 LVY720861 MFU720861 MPQ720861 MZM720861 NJI720861 NTE720861 ODA720861 OMW720861 OWS720861 PGO720861 PQK720861 QAG720861 QKC720861 QTY720861 RDU720861 RNQ720861 RXM720861 SHI720861 SRE720861 TBA720861 TKW720861 TUS720861 UEO720861 UOK720861 UYG720861 VIC720861 VRY720861 WBU720861 WLQ720861 WVM720861 H786397 JA786397 SW786397 ACS786397 AMO786397 AWK786397 BGG786397 BQC786397 BZY786397 CJU786397 CTQ786397 DDM786397 DNI786397 DXE786397 EHA786397 EQW786397 FAS786397 FKO786397 FUK786397 GEG786397 GOC786397 GXY786397 HHU786397 HRQ786397 IBM786397 ILI786397 IVE786397 JFA786397 JOW786397 JYS786397 KIO786397 KSK786397 LCG786397 LMC786397 LVY786397 MFU786397 MPQ786397 MZM786397 NJI786397 NTE786397 ODA786397 OMW786397 OWS786397 PGO786397 PQK786397 QAG786397 QKC786397 QTY786397 RDU786397 RNQ786397 RXM786397 SHI786397 SRE786397 TBA786397 TKW786397 TUS786397 UEO786397 UOK786397 UYG786397 VIC786397 VRY786397 WBU786397 WLQ786397 WVM786397 H851933 JA851933 SW851933 ACS851933 AMO851933 AWK851933 BGG851933 BQC851933 BZY851933 CJU851933 CTQ851933 DDM851933 DNI851933 DXE851933 EHA851933 EQW851933 FAS851933 FKO851933 FUK851933 GEG851933 GOC851933 GXY851933 HHU851933 HRQ851933 IBM851933 ILI851933 IVE851933 JFA851933 JOW851933 JYS851933 KIO851933 KSK851933 LCG851933 LMC851933 LVY851933 MFU851933 MPQ851933 MZM851933 NJI851933 NTE851933 ODA851933 OMW851933 OWS851933 PGO851933 PQK851933 QAG851933 QKC851933 QTY851933 RDU851933 RNQ851933 RXM851933 SHI851933 SRE851933 TBA851933 TKW851933 TUS851933 UEO851933 UOK851933 UYG851933 VIC851933 VRY851933 WBU851933 WLQ851933 WVM851933 H917469 JA917469 SW917469 ACS917469 AMO917469 AWK917469 BGG917469 BQC917469 BZY917469 CJU917469 CTQ917469 DDM917469 DNI917469 DXE917469 EHA917469 EQW917469 FAS917469 FKO917469 FUK917469 GEG917469 GOC917469 GXY917469 HHU917469 HRQ917469 IBM917469 ILI917469 IVE917469 JFA917469 JOW917469 JYS917469 KIO917469 KSK917469 LCG917469 LMC917469 LVY917469 MFU917469 MPQ917469 MZM917469 NJI917469 NTE917469 ODA917469 OMW917469 OWS917469 PGO917469 PQK917469 QAG917469 QKC917469 QTY917469 RDU917469 RNQ917469 RXM917469 SHI917469 SRE917469 TBA917469 TKW917469 TUS917469 UEO917469 UOK917469 UYG917469 VIC917469 VRY917469 WBU917469 WLQ917469 WVM917469 H983005 JA983005 SW983005 ACS983005 AMO983005 AWK983005 BGG983005 BQC983005 BZY983005 CJU983005 CTQ983005 DDM983005 DNI983005 DXE983005 EHA983005 EQW983005 FAS983005 FKO983005 FUK983005 GEG983005 GOC983005 GXY983005 HHU983005 HRQ983005 IBM983005 ILI983005 IVE983005 JFA983005 JOW983005 JYS983005 KIO983005 KSK983005 LCG983005 LMC983005 LVY983005 MFU983005 MPQ983005 MZM983005 NJI983005 NTE983005 ODA983005 OMW983005 OWS983005 PGO983005 PQK983005 QAG983005 QKC983005 QTY983005 RDU983005 RNQ983005 RXM983005 SHI983005 SRE983005 TBA983005 TKW983005 TUS983005 UEO983005 UOK983005 UYG983005 VIC983005 VRY983005 WBU983005 WLQ983005 WVM983005 J65501 JC65501 SY65501 ACU65501 AMQ65501 AWM65501 BGI65501 BQE65501 CAA65501 CJW65501 CTS65501 DDO65501 DNK65501 DXG65501 EHC65501 EQY65501 FAU65501 FKQ65501 FUM65501 GEI65501 GOE65501 GYA65501 HHW65501 HRS65501 IBO65501 ILK65501 IVG65501 JFC65501 JOY65501 JYU65501 KIQ65501 KSM65501 LCI65501 LME65501 LWA65501 MFW65501 MPS65501 MZO65501 NJK65501 NTG65501 ODC65501 OMY65501 OWU65501 PGQ65501 PQM65501 QAI65501 QKE65501 QUA65501 RDW65501 RNS65501 RXO65501 SHK65501 SRG65501 TBC65501 TKY65501 TUU65501 UEQ65501 UOM65501 UYI65501 VIE65501 VSA65501 WBW65501 WLS65501 WVO65501 J131037 JC131037 SY131037 ACU131037 AMQ131037 AWM131037 BGI131037 BQE131037 CAA131037 CJW131037 CTS131037 DDO131037 DNK131037 DXG131037 EHC131037 EQY131037 FAU131037 FKQ131037 FUM131037 GEI131037 GOE131037 GYA131037 HHW131037 HRS131037 IBO131037 ILK131037 IVG131037 JFC131037 JOY131037 JYU131037 KIQ131037 KSM131037 LCI131037 LME131037 LWA131037 MFW131037 MPS131037 MZO131037 NJK131037 NTG131037 ODC131037 OMY131037 OWU131037 PGQ131037 PQM131037 QAI131037 QKE131037 QUA131037 RDW131037 RNS131037 RXO131037 SHK131037 SRG131037 TBC131037 TKY131037 TUU131037 UEQ131037 UOM131037 UYI131037 VIE131037 VSA131037 WBW131037 WLS131037 WVO131037 J196573 JC196573 SY196573 ACU196573 AMQ196573 AWM196573 BGI196573 BQE196573 CAA196573 CJW196573 CTS196573 DDO196573 DNK196573 DXG196573 EHC196573 EQY196573 FAU196573 FKQ196573 FUM196573 GEI196573 GOE196573 GYA196573 HHW196573 HRS196573 IBO196573 ILK196573 IVG196573 JFC196573 JOY196573 JYU196573 KIQ196573 KSM196573 LCI196573 LME196573 LWA196573 MFW196573 MPS196573 MZO196573 NJK196573 NTG196573 ODC196573 OMY196573 OWU196573 PGQ196573 PQM196573 QAI196573 QKE196573 QUA196573 RDW196573 RNS196573 RXO196573 SHK196573 SRG196573 TBC196573 TKY196573 TUU196573 UEQ196573 UOM196573 UYI196573 VIE196573 VSA196573 WBW196573 WLS196573 WVO196573 J262109 JC262109 SY262109 ACU262109 AMQ262109 AWM262109 BGI262109 BQE262109 CAA262109 CJW262109 CTS262109 DDO262109 DNK262109 DXG262109 EHC262109 EQY262109 FAU262109 FKQ262109 FUM262109 GEI262109 GOE262109 GYA262109 HHW262109 HRS262109 IBO262109 ILK262109 IVG262109 JFC262109 JOY262109 JYU262109 KIQ262109 KSM262109 LCI262109 LME262109 LWA262109 MFW262109 MPS262109 MZO262109 NJK262109 NTG262109 ODC262109 OMY262109 OWU262109 PGQ262109 PQM262109 QAI262109 QKE262109 QUA262109 RDW262109 RNS262109 RXO262109 SHK262109 SRG262109 TBC262109 TKY262109 TUU262109 UEQ262109 UOM262109 UYI262109 VIE262109 VSA262109 WBW262109 WLS262109 WVO262109 J327645 JC327645 SY327645 ACU327645 AMQ327645 AWM327645 BGI327645 BQE327645 CAA327645 CJW327645 CTS327645 DDO327645 DNK327645 DXG327645 EHC327645 EQY327645 FAU327645 FKQ327645 FUM327645 GEI327645 GOE327645 GYA327645 HHW327645 HRS327645 IBO327645 ILK327645 IVG327645 JFC327645 JOY327645 JYU327645 KIQ327645 KSM327645 LCI327645 LME327645 LWA327645 MFW327645 MPS327645 MZO327645 NJK327645 NTG327645 ODC327645 OMY327645 OWU327645 PGQ327645 PQM327645 QAI327645 QKE327645 QUA327645 RDW327645 RNS327645 RXO327645 SHK327645 SRG327645 TBC327645 TKY327645 TUU327645 UEQ327645 UOM327645 UYI327645 VIE327645 VSA327645 WBW327645 WLS327645 WVO327645 J393181 JC393181 SY393181 ACU393181 AMQ393181 AWM393181 BGI393181 BQE393181 CAA393181 CJW393181 CTS393181 DDO393181 DNK393181 DXG393181 EHC393181 EQY393181 FAU393181 FKQ393181 FUM393181 GEI393181 GOE393181 GYA393181 HHW393181 HRS393181 IBO393181 ILK393181 IVG393181 JFC393181 JOY393181 JYU393181 KIQ393181 KSM393181 LCI393181 LME393181 LWA393181 MFW393181 MPS393181 MZO393181 NJK393181 NTG393181 ODC393181 OMY393181 OWU393181 PGQ393181 PQM393181 QAI393181 QKE393181 QUA393181 RDW393181 RNS393181 RXO393181 SHK393181 SRG393181 TBC393181 TKY393181 TUU393181 UEQ393181 UOM393181 UYI393181 VIE393181 VSA393181 WBW393181 WLS393181 WVO393181 J458717 JC458717 SY458717 ACU458717 AMQ458717 AWM458717 BGI458717 BQE458717 CAA458717 CJW458717 CTS458717 DDO458717 DNK458717 DXG458717 EHC458717 EQY458717 FAU458717 FKQ458717 FUM458717 GEI458717 GOE458717 GYA458717 HHW458717 HRS458717 IBO458717 ILK458717 IVG458717 JFC458717 JOY458717 JYU458717 KIQ458717 KSM458717 LCI458717 LME458717 LWA458717 MFW458717 MPS458717 MZO458717 NJK458717 NTG458717 ODC458717 OMY458717 OWU458717 PGQ458717 PQM458717 QAI458717 QKE458717 QUA458717 RDW458717 RNS458717 RXO458717 SHK458717 SRG458717 TBC458717 TKY458717 TUU458717 UEQ458717 UOM458717 UYI458717 VIE458717 VSA458717 WBW458717 WLS458717 WVO458717 J524253 JC524253 SY524253 ACU524253 AMQ524253 AWM524253 BGI524253 BQE524253 CAA524253 CJW524253 CTS524253 DDO524253 DNK524253 DXG524253 EHC524253 EQY524253 FAU524253 FKQ524253 FUM524253 GEI524253 GOE524253 GYA524253 HHW524253 HRS524253 IBO524253 ILK524253 IVG524253 JFC524253 JOY524253 JYU524253 KIQ524253 KSM524253 LCI524253 LME524253 LWA524253 MFW524253 MPS524253 MZO524253 NJK524253 NTG524253 ODC524253 OMY524253 OWU524253 PGQ524253 PQM524253 QAI524253 QKE524253 QUA524253 RDW524253 RNS524253 RXO524253 SHK524253 SRG524253 TBC524253 TKY524253 TUU524253 UEQ524253 UOM524253 UYI524253 VIE524253 VSA524253 WBW524253 WLS524253 WVO524253 J589789 JC589789 SY589789 ACU589789 AMQ589789 AWM589789 BGI589789 BQE589789 CAA589789 CJW589789 CTS589789 DDO589789 DNK589789 DXG589789 EHC589789 EQY589789 FAU589789 FKQ589789 FUM589789 GEI589789 GOE589789 GYA589789 HHW589789 HRS589789 IBO589789 ILK589789 IVG589789 JFC589789 JOY589789 JYU589789 KIQ589789 KSM589789 LCI589789 LME589789 LWA589789 MFW589789 MPS589789 MZO589789 NJK589789 NTG589789 ODC589789 OMY589789 OWU589789 PGQ589789 PQM589789 QAI589789 QKE589789 QUA589789 RDW589789 RNS589789 RXO589789 SHK589789 SRG589789 TBC589789 TKY589789 TUU589789 UEQ589789 UOM589789 UYI589789 VIE589789 VSA589789 WBW589789 WLS589789 WVO589789 J655325 JC655325 SY655325 ACU655325 AMQ655325 AWM655325 BGI655325 BQE655325 CAA655325 CJW655325 CTS655325 DDO655325 DNK655325 DXG655325 EHC655325 EQY655325 FAU655325 FKQ655325 FUM655325 GEI655325 GOE655325 GYA655325 HHW655325 HRS655325 IBO655325 ILK655325 IVG655325 JFC655325 JOY655325 JYU655325 KIQ655325 KSM655325 LCI655325 LME655325 LWA655325 MFW655325 MPS655325 MZO655325 NJK655325 NTG655325 ODC655325 OMY655325 OWU655325 PGQ655325 PQM655325 QAI655325 QKE655325 QUA655325 RDW655325 RNS655325 RXO655325 SHK655325 SRG655325 TBC655325 TKY655325 TUU655325 UEQ655325 UOM655325 UYI655325 VIE655325 VSA655325 WBW655325 WLS655325 WVO655325 J720861 JC720861 SY720861 ACU720861 AMQ720861 AWM720861 BGI720861 BQE720861 CAA720861 CJW720861 CTS720861 DDO720861 DNK720861 DXG720861 EHC720861 EQY720861 FAU720861 FKQ720861 FUM720861 GEI720861 GOE720861 GYA720861 HHW720861 HRS720861 IBO720861 ILK720861 IVG720861 JFC720861 JOY720861 JYU720861 KIQ720861 KSM720861 LCI720861 LME720861 LWA720861 MFW720861 MPS720861 MZO720861 NJK720861 NTG720861 ODC720861 OMY720861 OWU720861 PGQ720861 PQM720861 QAI720861 QKE720861 QUA720861 RDW720861 RNS720861 RXO720861 SHK720861 SRG720861 TBC720861 TKY720861 TUU720861 UEQ720861 UOM720861 UYI720861 VIE720861 VSA720861 WBW720861 WLS720861 WVO720861 J786397 JC786397 SY786397 ACU786397 AMQ786397 AWM786397 BGI786397 BQE786397 CAA786397 CJW786397 CTS786397 DDO786397 DNK786397 DXG786397 EHC786397 EQY786397 FAU786397 FKQ786397 FUM786397 GEI786397 GOE786397 GYA786397 HHW786397 HRS786397 IBO786397 ILK786397 IVG786397 JFC786397 JOY786397 JYU786397 KIQ786397 KSM786397 LCI786397 LME786397 LWA786397 MFW786397 MPS786397 MZO786397 NJK786397 NTG786397 ODC786397 OMY786397 OWU786397 PGQ786397 PQM786397 QAI786397 QKE786397 QUA786397 RDW786397 RNS786397 RXO786397 SHK786397 SRG786397 TBC786397 TKY786397 TUU786397 UEQ786397 UOM786397 UYI786397 VIE786397 VSA786397 WBW786397 WLS786397 WVO786397 J851933 JC851933 SY851933 ACU851933 AMQ851933 AWM851933 BGI851933 BQE851933 CAA851933 CJW851933 CTS851933 DDO851933 DNK851933 DXG851933 EHC851933 EQY851933 FAU851933 FKQ851933 FUM851933 GEI851933 GOE851933 GYA851933 HHW851933 HRS851933 IBO851933 ILK851933 IVG851933 JFC851933 JOY851933 JYU851933 KIQ851933 KSM851933 LCI851933 LME851933 LWA851933 MFW851933 MPS851933 MZO851933 NJK851933 NTG851933 ODC851933 OMY851933 OWU851933 PGQ851933 PQM851933 QAI851933 QKE851933 QUA851933 RDW851933 RNS851933 RXO851933 SHK851933 SRG851933 TBC851933 TKY851933 TUU851933 UEQ851933 UOM851933 UYI851933 VIE851933 VSA851933 WBW851933 WLS851933 WVO851933 J917469 JC917469 SY917469 ACU917469 AMQ917469 AWM917469 BGI917469 BQE917469 CAA917469 CJW917469 CTS917469 DDO917469 DNK917469 DXG917469 EHC917469 EQY917469 FAU917469 FKQ917469 FUM917469 GEI917469 GOE917469 GYA917469 HHW917469 HRS917469 IBO917469 ILK917469 IVG917469 JFC917469 JOY917469 JYU917469 KIQ917469 KSM917469 LCI917469 LME917469 LWA917469 MFW917469 MPS917469 MZO917469 NJK917469 NTG917469 ODC917469 OMY917469 OWU917469 PGQ917469 PQM917469 QAI917469 QKE917469 QUA917469 RDW917469 RNS917469 RXO917469 SHK917469 SRG917469 TBC917469 TKY917469 TUU917469 UEQ917469 UOM917469 UYI917469 VIE917469 VSA917469 WBW917469 WLS917469 WVO917469 J983005 JC983005 SY983005 ACU983005 AMQ983005 AWM983005 BGI983005 BQE983005 CAA983005 CJW983005 CTS983005 DDO983005 DNK983005 DXG983005 EHC983005 EQY983005 FAU983005 FKQ983005 FUM983005 GEI983005 GOE983005 GYA983005 HHW983005 HRS983005 IBO983005 ILK983005 IVG983005 JFC983005 JOY983005 JYU983005 KIQ983005 KSM983005 LCI983005 LME983005 LWA983005 MFW983005 MPS983005 MZO983005 NJK983005 NTG983005 ODC983005 OMY983005 OWU983005 PGQ983005 PQM983005 QAI983005 QKE983005 QUA983005 RDW983005 RNS983005 RXO983005 SHK983005 SRG983005 TBC983005 TKY983005 TUU983005 UEQ983005 UOM983005 UYI983005 VIE983005 VSA983005 WBW983005 WLS983005 WVO983005 WLS5 JA5 SW5 ACS5 AMO5 AWK5 BGG5 BQC5 BZY5 CJU5 CTQ5 DDM5 DNI5 DXE5 EHA5 EQW5 FAS5 FKO5 FUK5 GEG5 GOC5 GXY5 HHU5 HRQ5 IBM5 ILI5 IVE5 JFA5 JOW5 JYS5 KIO5 KSK5 LCG5 LMC5 LVY5 MFU5 MPQ5 MZM5 NJI5 NTE5 ODA5 OMW5 OWS5 PGO5 PQK5 QAG5 QKC5 QTY5 RDU5 RNQ5 RXM5 SHI5 SRE5 TBA5 TKW5 TUS5 UEO5 UOK5 UYG5 VIC5 VRY5 WBU5 WLQ5 WVM5 WVO5 JC5 SY5 ACU5 AMQ5 AWM5 BGI5 BQE5 CAA5 CJW5 CTS5 DDO5 DNK5 DXG5 EHC5 EQY5 FAU5 FKQ5 FUM5 GEI5 GOE5 GYA5 HHW5 HRS5 IBO5 ILK5 IVG5 JFC5 JOY5 JYU5 KIQ5 KSM5 LCI5 LME5 LWA5 MFW5 MPS5 MZO5 NJK5 NTG5 ODC5 OMY5 OWU5 PGQ5 PQM5 QAI5 QKE5 QUA5 RDW5 RNS5 RXO5 SHK5 SRG5 TBC5 TKY5 TUU5 UEQ5 UOM5 UYI5 VIE5 VSA5 WBW5"/>
    <dataValidation allowBlank="1" errorTitle="Error" error="Value is wrong please check" promptTitle="Instruction" prompt="Please enter no. of patients range (0-10000)" sqref="IW45 D65557:D65558 IW65557:IW65558 SS65557:SS65558 ACO65557:ACO65558 AMK65557:AMK65558 AWG65557:AWG65558 BGC65557:BGC65558 BPY65557:BPY65558 BZU65557:BZU65558 CJQ65557:CJQ65558 CTM65557:CTM65558 DDI65557:DDI65558 DNE65557:DNE65558 DXA65557:DXA65558 EGW65557:EGW65558 EQS65557:EQS65558 FAO65557:FAO65558 FKK65557:FKK65558 FUG65557:FUG65558 GEC65557:GEC65558 GNY65557:GNY65558 GXU65557:GXU65558 HHQ65557:HHQ65558 HRM65557:HRM65558 IBI65557:IBI65558 ILE65557:ILE65558 IVA65557:IVA65558 JEW65557:JEW65558 JOS65557:JOS65558 JYO65557:JYO65558 KIK65557:KIK65558 KSG65557:KSG65558 LCC65557:LCC65558 LLY65557:LLY65558 LVU65557:LVU65558 MFQ65557:MFQ65558 MPM65557:MPM65558 MZI65557:MZI65558 NJE65557:NJE65558 NTA65557:NTA65558 OCW65557:OCW65558 OMS65557:OMS65558 OWO65557:OWO65558 PGK65557:PGK65558 PQG65557:PQG65558 QAC65557:QAC65558 QJY65557:QJY65558 QTU65557:QTU65558 RDQ65557:RDQ65558 RNM65557:RNM65558 RXI65557:RXI65558 SHE65557:SHE65558 SRA65557:SRA65558 TAW65557:TAW65558 TKS65557:TKS65558 TUO65557:TUO65558 UEK65557:UEK65558 UOG65557:UOG65558 UYC65557:UYC65558 VHY65557:VHY65558 VRU65557:VRU65558 WBQ65557:WBQ65558 WLM65557:WLM65558 WVI65557:WVI65558 D131093:D131094 IW131093:IW131094 SS131093:SS131094 ACO131093:ACO131094 AMK131093:AMK131094 AWG131093:AWG131094 BGC131093:BGC131094 BPY131093:BPY131094 BZU131093:BZU131094 CJQ131093:CJQ131094 CTM131093:CTM131094 DDI131093:DDI131094 DNE131093:DNE131094 DXA131093:DXA131094 EGW131093:EGW131094 EQS131093:EQS131094 FAO131093:FAO131094 FKK131093:FKK131094 FUG131093:FUG131094 GEC131093:GEC131094 GNY131093:GNY131094 GXU131093:GXU131094 HHQ131093:HHQ131094 HRM131093:HRM131094 IBI131093:IBI131094 ILE131093:ILE131094 IVA131093:IVA131094 JEW131093:JEW131094 JOS131093:JOS131094 JYO131093:JYO131094 KIK131093:KIK131094 KSG131093:KSG131094 LCC131093:LCC131094 LLY131093:LLY131094 LVU131093:LVU131094 MFQ131093:MFQ131094 MPM131093:MPM131094 MZI131093:MZI131094 NJE131093:NJE131094 NTA131093:NTA131094 OCW131093:OCW131094 OMS131093:OMS131094 OWO131093:OWO131094 PGK131093:PGK131094 PQG131093:PQG131094 QAC131093:QAC131094 QJY131093:QJY131094 QTU131093:QTU131094 RDQ131093:RDQ131094 RNM131093:RNM131094 RXI131093:RXI131094 SHE131093:SHE131094 SRA131093:SRA131094 TAW131093:TAW131094 TKS131093:TKS131094 TUO131093:TUO131094 UEK131093:UEK131094 UOG131093:UOG131094 UYC131093:UYC131094 VHY131093:VHY131094 VRU131093:VRU131094 WBQ131093:WBQ131094 WLM131093:WLM131094 WVI131093:WVI131094 D196629:D196630 IW196629:IW196630 SS196629:SS196630 ACO196629:ACO196630 AMK196629:AMK196630 AWG196629:AWG196630 BGC196629:BGC196630 BPY196629:BPY196630 BZU196629:BZU196630 CJQ196629:CJQ196630 CTM196629:CTM196630 DDI196629:DDI196630 DNE196629:DNE196630 DXA196629:DXA196630 EGW196629:EGW196630 EQS196629:EQS196630 FAO196629:FAO196630 FKK196629:FKK196630 FUG196629:FUG196630 GEC196629:GEC196630 GNY196629:GNY196630 GXU196629:GXU196630 HHQ196629:HHQ196630 HRM196629:HRM196630 IBI196629:IBI196630 ILE196629:ILE196630 IVA196629:IVA196630 JEW196629:JEW196630 JOS196629:JOS196630 JYO196629:JYO196630 KIK196629:KIK196630 KSG196629:KSG196630 LCC196629:LCC196630 LLY196629:LLY196630 LVU196629:LVU196630 MFQ196629:MFQ196630 MPM196629:MPM196630 MZI196629:MZI196630 NJE196629:NJE196630 NTA196629:NTA196630 OCW196629:OCW196630 OMS196629:OMS196630 OWO196629:OWO196630 PGK196629:PGK196630 PQG196629:PQG196630 QAC196629:QAC196630 QJY196629:QJY196630 QTU196629:QTU196630 RDQ196629:RDQ196630 RNM196629:RNM196630 RXI196629:RXI196630 SHE196629:SHE196630 SRA196629:SRA196630 TAW196629:TAW196630 TKS196629:TKS196630 TUO196629:TUO196630 UEK196629:UEK196630 UOG196629:UOG196630 UYC196629:UYC196630 VHY196629:VHY196630 VRU196629:VRU196630 WBQ196629:WBQ196630 WLM196629:WLM196630 WVI196629:WVI196630 D262165:D262166 IW262165:IW262166 SS262165:SS262166 ACO262165:ACO262166 AMK262165:AMK262166 AWG262165:AWG262166 BGC262165:BGC262166 BPY262165:BPY262166 BZU262165:BZU262166 CJQ262165:CJQ262166 CTM262165:CTM262166 DDI262165:DDI262166 DNE262165:DNE262166 DXA262165:DXA262166 EGW262165:EGW262166 EQS262165:EQS262166 FAO262165:FAO262166 FKK262165:FKK262166 FUG262165:FUG262166 GEC262165:GEC262166 GNY262165:GNY262166 GXU262165:GXU262166 HHQ262165:HHQ262166 HRM262165:HRM262166 IBI262165:IBI262166 ILE262165:ILE262166 IVA262165:IVA262166 JEW262165:JEW262166 JOS262165:JOS262166 JYO262165:JYO262166 KIK262165:KIK262166 KSG262165:KSG262166 LCC262165:LCC262166 LLY262165:LLY262166 LVU262165:LVU262166 MFQ262165:MFQ262166 MPM262165:MPM262166 MZI262165:MZI262166 NJE262165:NJE262166 NTA262165:NTA262166 OCW262165:OCW262166 OMS262165:OMS262166 OWO262165:OWO262166 PGK262165:PGK262166 PQG262165:PQG262166 QAC262165:QAC262166 QJY262165:QJY262166 QTU262165:QTU262166 RDQ262165:RDQ262166 RNM262165:RNM262166 RXI262165:RXI262166 SHE262165:SHE262166 SRA262165:SRA262166 TAW262165:TAW262166 TKS262165:TKS262166 TUO262165:TUO262166 UEK262165:UEK262166 UOG262165:UOG262166 UYC262165:UYC262166 VHY262165:VHY262166 VRU262165:VRU262166 WBQ262165:WBQ262166 WLM262165:WLM262166 WVI262165:WVI262166 D327701:D327702 IW327701:IW327702 SS327701:SS327702 ACO327701:ACO327702 AMK327701:AMK327702 AWG327701:AWG327702 BGC327701:BGC327702 BPY327701:BPY327702 BZU327701:BZU327702 CJQ327701:CJQ327702 CTM327701:CTM327702 DDI327701:DDI327702 DNE327701:DNE327702 DXA327701:DXA327702 EGW327701:EGW327702 EQS327701:EQS327702 FAO327701:FAO327702 FKK327701:FKK327702 FUG327701:FUG327702 GEC327701:GEC327702 GNY327701:GNY327702 GXU327701:GXU327702 HHQ327701:HHQ327702 HRM327701:HRM327702 IBI327701:IBI327702 ILE327701:ILE327702 IVA327701:IVA327702 JEW327701:JEW327702 JOS327701:JOS327702 JYO327701:JYO327702 KIK327701:KIK327702 KSG327701:KSG327702 LCC327701:LCC327702 LLY327701:LLY327702 LVU327701:LVU327702 MFQ327701:MFQ327702 MPM327701:MPM327702 MZI327701:MZI327702 NJE327701:NJE327702 NTA327701:NTA327702 OCW327701:OCW327702 OMS327701:OMS327702 OWO327701:OWO327702 PGK327701:PGK327702 PQG327701:PQG327702 QAC327701:QAC327702 QJY327701:QJY327702 QTU327701:QTU327702 RDQ327701:RDQ327702 RNM327701:RNM327702 RXI327701:RXI327702 SHE327701:SHE327702 SRA327701:SRA327702 TAW327701:TAW327702 TKS327701:TKS327702 TUO327701:TUO327702 UEK327701:UEK327702 UOG327701:UOG327702 UYC327701:UYC327702 VHY327701:VHY327702 VRU327701:VRU327702 WBQ327701:WBQ327702 WLM327701:WLM327702 WVI327701:WVI327702 D393237:D393238 IW393237:IW393238 SS393237:SS393238 ACO393237:ACO393238 AMK393237:AMK393238 AWG393237:AWG393238 BGC393237:BGC393238 BPY393237:BPY393238 BZU393237:BZU393238 CJQ393237:CJQ393238 CTM393237:CTM393238 DDI393237:DDI393238 DNE393237:DNE393238 DXA393237:DXA393238 EGW393237:EGW393238 EQS393237:EQS393238 FAO393237:FAO393238 FKK393237:FKK393238 FUG393237:FUG393238 GEC393237:GEC393238 GNY393237:GNY393238 GXU393237:GXU393238 HHQ393237:HHQ393238 HRM393237:HRM393238 IBI393237:IBI393238 ILE393237:ILE393238 IVA393237:IVA393238 JEW393237:JEW393238 JOS393237:JOS393238 JYO393237:JYO393238 KIK393237:KIK393238 KSG393237:KSG393238 LCC393237:LCC393238 LLY393237:LLY393238 LVU393237:LVU393238 MFQ393237:MFQ393238 MPM393237:MPM393238 MZI393237:MZI393238 NJE393237:NJE393238 NTA393237:NTA393238 OCW393237:OCW393238 OMS393237:OMS393238 OWO393237:OWO393238 PGK393237:PGK393238 PQG393237:PQG393238 QAC393237:QAC393238 QJY393237:QJY393238 QTU393237:QTU393238 RDQ393237:RDQ393238 RNM393237:RNM393238 RXI393237:RXI393238 SHE393237:SHE393238 SRA393237:SRA393238 TAW393237:TAW393238 TKS393237:TKS393238 TUO393237:TUO393238 UEK393237:UEK393238 UOG393237:UOG393238 UYC393237:UYC393238 VHY393237:VHY393238 VRU393237:VRU393238 WBQ393237:WBQ393238 WLM393237:WLM393238 WVI393237:WVI393238 D458773:D458774 IW458773:IW458774 SS458773:SS458774 ACO458773:ACO458774 AMK458773:AMK458774 AWG458773:AWG458774 BGC458773:BGC458774 BPY458773:BPY458774 BZU458773:BZU458774 CJQ458773:CJQ458774 CTM458773:CTM458774 DDI458773:DDI458774 DNE458773:DNE458774 DXA458773:DXA458774 EGW458773:EGW458774 EQS458773:EQS458774 FAO458773:FAO458774 FKK458773:FKK458774 FUG458773:FUG458774 GEC458773:GEC458774 GNY458773:GNY458774 GXU458773:GXU458774 HHQ458773:HHQ458774 HRM458773:HRM458774 IBI458773:IBI458774 ILE458773:ILE458774 IVA458773:IVA458774 JEW458773:JEW458774 JOS458773:JOS458774 JYO458773:JYO458774 KIK458773:KIK458774 KSG458773:KSG458774 LCC458773:LCC458774 LLY458773:LLY458774 LVU458773:LVU458774 MFQ458773:MFQ458774 MPM458773:MPM458774 MZI458773:MZI458774 NJE458773:NJE458774 NTA458773:NTA458774 OCW458773:OCW458774 OMS458773:OMS458774 OWO458773:OWO458774 PGK458773:PGK458774 PQG458773:PQG458774 QAC458773:QAC458774 QJY458773:QJY458774 QTU458773:QTU458774 RDQ458773:RDQ458774 RNM458773:RNM458774 RXI458773:RXI458774 SHE458773:SHE458774 SRA458773:SRA458774 TAW458773:TAW458774 TKS458773:TKS458774 TUO458773:TUO458774 UEK458773:UEK458774 UOG458773:UOG458774 UYC458773:UYC458774 VHY458773:VHY458774 VRU458773:VRU458774 WBQ458773:WBQ458774 WLM458773:WLM458774 WVI458773:WVI458774 D524309:D524310 IW524309:IW524310 SS524309:SS524310 ACO524309:ACO524310 AMK524309:AMK524310 AWG524309:AWG524310 BGC524309:BGC524310 BPY524309:BPY524310 BZU524309:BZU524310 CJQ524309:CJQ524310 CTM524309:CTM524310 DDI524309:DDI524310 DNE524309:DNE524310 DXA524309:DXA524310 EGW524309:EGW524310 EQS524309:EQS524310 FAO524309:FAO524310 FKK524309:FKK524310 FUG524309:FUG524310 GEC524309:GEC524310 GNY524309:GNY524310 GXU524309:GXU524310 HHQ524309:HHQ524310 HRM524309:HRM524310 IBI524309:IBI524310 ILE524309:ILE524310 IVA524309:IVA524310 JEW524309:JEW524310 JOS524309:JOS524310 JYO524309:JYO524310 KIK524309:KIK524310 KSG524309:KSG524310 LCC524309:LCC524310 LLY524309:LLY524310 LVU524309:LVU524310 MFQ524309:MFQ524310 MPM524309:MPM524310 MZI524309:MZI524310 NJE524309:NJE524310 NTA524309:NTA524310 OCW524309:OCW524310 OMS524309:OMS524310 OWO524309:OWO524310 PGK524309:PGK524310 PQG524309:PQG524310 QAC524309:QAC524310 QJY524309:QJY524310 QTU524309:QTU524310 RDQ524309:RDQ524310 RNM524309:RNM524310 RXI524309:RXI524310 SHE524309:SHE524310 SRA524309:SRA524310 TAW524309:TAW524310 TKS524309:TKS524310 TUO524309:TUO524310 UEK524309:UEK524310 UOG524309:UOG524310 UYC524309:UYC524310 VHY524309:VHY524310 VRU524309:VRU524310 WBQ524309:WBQ524310 WLM524309:WLM524310 WVI524309:WVI524310 D589845:D589846 IW589845:IW589846 SS589845:SS589846 ACO589845:ACO589846 AMK589845:AMK589846 AWG589845:AWG589846 BGC589845:BGC589846 BPY589845:BPY589846 BZU589845:BZU589846 CJQ589845:CJQ589846 CTM589845:CTM589846 DDI589845:DDI589846 DNE589845:DNE589846 DXA589845:DXA589846 EGW589845:EGW589846 EQS589845:EQS589846 FAO589845:FAO589846 FKK589845:FKK589846 FUG589845:FUG589846 GEC589845:GEC589846 GNY589845:GNY589846 GXU589845:GXU589846 HHQ589845:HHQ589846 HRM589845:HRM589846 IBI589845:IBI589846 ILE589845:ILE589846 IVA589845:IVA589846 JEW589845:JEW589846 JOS589845:JOS589846 JYO589845:JYO589846 KIK589845:KIK589846 KSG589845:KSG589846 LCC589845:LCC589846 LLY589845:LLY589846 LVU589845:LVU589846 MFQ589845:MFQ589846 MPM589845:MPM589846 MZI589845:MZI589846 NJE589845:NJE589846 NTA589845:NTA589846 OCW589845:OCW589846 OMS589845:OMS589846 OWO589845:OWO589846 PGK589845:PGK589846 PQG589845:PQG589846 QAC589845:QAC589846 QJY589845:QJY589846 QTU589845:QTU589846 RDQ589845:RDQ589846 RNM589845:RNM589846 RXI589845:RXI589846 SHE589845:SHE589846 SRA589845:SRA589846 TAW589845:TAW589846 TKS589845:TKS589846 TUO589845:TUO589846 UEK589845:UEK589846 UOG589845:UOG589846 UYC589845:UYC589846 VHY589845:VHY589846 VRU589845:VRU589846 WBQ589845:WBQ589846 WLM589845:WLM589846 WVI589845:WVI589846 D655381:D655382 IW655381:IW655382 SS655381:SS655382 ACO655381:ACO655382 AMK655381:AMK655382 AWG655381:AWG655382 BGC655381:BGC655382 BPY655381:BPY655382 BZU655381:BZU655382 CJQ655381:CJQ655382 CTM655381:CTM655382 DDI655381:DDI655382 DNE655381:DNE655382 DXA655381:DXA655382 EGW655381:EGW655382 EQS655381:EQS655382 FAO655381:FAO655382 FKK655381:FKK655382 FUG655381:FUG655382 GEC655381:GEC655382 GNY655381:GNY655382 GXU655381:GXU655382 HHQ655381:HHQ655382 HRM655381:HRM655382 IBI655381:IBI655382 ILE655381:ILE655382 IVA655381:IVA655382 JEW655381:JEW655382 JOS655381:JOS655382 JYO655381:JYO655382 KIK655381:KIK655382 KSG655381:KSG655382 LCC655381:LCC655382 LLY655381:LLY655382 LVU655381:LVU655382 MFQ655381:MFQ655382 MPM655381:MPM655382 MZI655381:MZI655382 NJE655381:NJE655382 NTA655381:NTA655382 OCW655381:OCW655382 OMS655381:OMS655382 OWO655381:OWO655382 PGK655381:PGK655382 PQG655381:PQG655382 QAC655381:QAC655382 QJY655381:QJY655382 QTU655381:QTU655382 RDQ655381:RDQ655382 RNM655381:RNM655382 RXI655381:RXI655382 SHE655381:SHE655382 SRA655381:SRA655382 TAW655381:TAW655382 TKS655381:TKS655382 TUO655381:TUO655382 UEK655381:UEK655382 UOG655381:UOG655382 UYC655381:UYC655382 VHY655381:VHY655382 VRU655381:VRU655382 WBQ655381:WBQ655382 WLM655381:WLM655382 WVI655381:WVI655382 D720917:D720918 IW720917:IW720918 SS720917:SS720918 ACO720917:ACO720918 AMK720917:AMK720918 AWG720917:AWG720918 BGC720917:BGC720918 BPY720917:BPY720918 BZU720917:BZU720918 CJQ720917:CJQ720918 CTM720917:CTM720918 DDI720917:DDI720918 DNE720917:DNE720918 DXA720917:DXA720918 EGW720917:EGW720918 EQS720917:EQS720918 FAO720917:FAO720918 FKK720917:FKK720918 FUG720917:FUG720918 GEC720917:GEC720918 GNY720917:GNY720918 GXU720917:GXU720918 HHQ720917:HHQ720918 HRM720917:HRM720918 IBI720917:IBI720918 ILE720917:ILE720918 IVA720917:IVA720918 JEW720917:JEW720918 JOS720917:JOS720918 JYO720917:JYO720918 KIK720917:KIK720918 KSG720917:KSG720918 LCC720917:LCC720918 LLY720917:LLY720918 LVU720917:LVU720918 MFQ720917:MFQ720918 MPM720917:MPM720918 MZI720917:MZI720918 NJE720917:NJE720918 NTA720917:NTA720918 OCW720917:OCW720918 OMS720917:OMS720918 OWO720917:OWO720918 PGK720917:PGK720918 PQG720917:PQG720918 QAC720917:QAC720918 QJY720917:QJY720918 QTU720917:QTU720918 RDQ720917:RDQ720918 RNM720917:RNM720918 RXI720917:RXI720918 SHE720917:SHE720918 SRA720917:SRA720918 TAW720917:TAW720918 TKS720917:TKS720918 TUO720917:TUO720918 UEK720917:UEK720918 UOG720917:UOG720918 UYC720917:UYC720918 VHY720917:VHY720918 VRU720917:VRU720918 WBQ720917:WBQ720918 WLM720917:WLM720918 WVI720917:WVI720918 D786453:D786454 IW786453:IW786454 SS786453:SS786454 ACO786453:ACO786454 AMK786453:AMK786454 AWG786453:AWG786454 BGC786453:BGC786454 BPY786453:BPY786454 BZU786453:BZU786454 CJQ786453:CJQ786454 CTM786453:CTM786454 DDI786453:DDI786454 DNE786453:DNE786454 DXA786453:DXA786454 EGW786453:EGW786454 EQS786453:EQS786454 FAO786453:FAO786454 FKK786453:FKK786454 FUG786453:FUG786454 GEC786453:GEC786454 GNY786453:GNY786454 GXU786453:GXU786454 HHQ786453:HHQ786454 HRM786453:HRM786454 IBI786453:IBI786454 ILE786453:ILE786454 IVA786453:IVA786454 JEW786453:JEW786454 JOS786453:JOS786454 JYO786453:JYO786454 KIK786453:KIK786454 KSG786453:KSG786454 LCC786453:LCC786454 LLY786453:LLY786454 LVU786453:LVU786454 MFQ786453:MFQ786454 MPM786453:MPM786454 MZI786453:MZI786454 NJE786453:NJE786454 NTA786453:NTA786454 OCW786453:OCW786454 OMS786453:OMS786454 OWO786453:OWO786454 PGK786453:PGK786454 PQG786453:PQG786454 QAC786453:QAC786454 QJY786453:QJY786454 QTU786453:QTU786454 RDQ786453:RDQ786454 RNM786453:RNM786454 RXI786453:RXI786454 SHE786453:SHE786454 SRA786453:SRA786454 TAW786453:TAW786454 TKS786453:TKS786454 TUO786453:TUO786454 UEK786453:UEK786454 UOG786453:UOG786454 UYC786453:UYC786454 VHY786453:VHY786454 VRU786453:VRU786454 WBQ786453:WBQ786454 WLM786453:WLM786454 WVI786453:WVI786454 D851989:D851990 IW851989:IW851990 SS851989:SS851990 ACO851989:ACO851990 AMK851989:AMK851990 AWG851989:AWG851990 BGC851989:BGC851990 BPY851989:BPY851990 BZU851989:BZU851990 CJQ851989:CJQ851990 CTM851989:CTM851990 DDI851989:DDI851990 DNE851989:DNE851990 DXA851989:DXA851990 EGW851989:EGW851990 EQS851989:EQS851990 FAO851989:FAO851990 FKK851989:FKK851990 FUG851989:FUG851990 GEC851989:GEC851990 GNY851989:GNY851990 GXU851989:GXU851990 HHQ851989:HHQ851990 HRM851989:HRM851990 IBI851989:IBI851990 ILE851989:ILE851990 IVA851989:IVA851990 JEW851989:JEW851990 JOS851989:JOS851990 JYO851989:JYO851990 KIK851989:KIK851990 KSG851989:KSG851990 LCC851989:LCC851990 LLY851989:LLY851990 LVU851989:LVU851990 MFQ851989:MFQ851990 MPM851989:MPM851990 MZI851989:MZI851990 NJE851989:NJE851990 NTA851989:NTA851990 OCW851989:OCW851990 OMS851989:OMS851990 OWO851989:OWO851990 PGK851989:PGK851990 PQG851989:PQG851990 QAC851989:QAC851990 QJY851989:QJY851990 QTU851989:QTU851990 RDQ851989:RDQ851990 RNM851989:RNM851990 RXI851989:RXI851990 SHE851989:SHE851990 SRA851989:SRA851990 TAW851989:TAW851990 TKS851989:TKS851990 TUO851989:TUO851990 UEK851989:UEK851990 UOG851989:UOG851990 UYC851989:UYC851990 VHY851989:VHY851990 VRU851989:VRU851990 WBQ851989:WBQ851990 WLM851989:WLM851990 WVI851989:WVI851990 D917525:D917526 IW917525:IW917526 SS917525:SS917526 ACO917525:ACO917526 AMK917525:AMK917526 AWG917525:AWG917526 BGC917525:BGC917526 BPY917525:BPY917526 BZU917525:BZU917526 CJQ917525:CJQ917526 CTM917525:CTM917526 DDI917525:DDI917526 DNE917525:DNE917526 DXA917525:DXA917526 EGW917525:EGW917526 EQS917525:EQS917526 FAO917525:FAO917526 FKK917525:FKK917526 FUG917525:FUG917526 GEC917525:GEC917526 GNY917525:GNY917526 GXU917525:GXU917526 HHQ917525:HHQ917526 HRM917525:HRM917526 IBI917525:IBI917526 ILE917525:ILE917526 IVA917525:IVA917526 JEW917525:JEW917526 JOS917525:JOS917526 JYO917525:JYO917526 KIK917525:KIK917526 KSG917525:KSG917526 LCC917525:LCC917526 LLY917525:LLY917526 LVU917525:LVU917526 MFQ917525:MFQ917526 MPM917525:MPM917526 MZI917525:MZI917526 NJE917525:NJE917526 NTA917525:NTA917526 OCW917525:OCW917526 OMS917525:OMS917526 OWO917525:OWO917526 PGK917525:PGK917526 PQG917525:PQG917526 QAC917525:QAC917526 QJY917525:QJY917526 QTU917525:QTU917526 RDQ917525:RDQ917526 RNM917525:RNM917526 RXI917525:RXI917526 SHE917525:SHE917526 SRA917525:SRA917526 TAW917525:TAW917526 TKS917525:TKS917526 TUO917525:TUO917526 UEK917525:UEK917526 UOG917525:UOG917526 UYC917525:UYC917526 VHY917525:VHY917526 VRU917525:VRU917526 WBQ917525:WBQ917526 WLM917525:WLM917526 WVI917525:WVI917526 D983061:D983062 IW983061:IW983062 SS983061:SS983062 ACO983061:ACO983062 AMK983061:AMK983062 AWG983061:AWG983062 BGC983061:BGC983062 BPY983061:BPY983062 BZU983061:BZU983062 CJQ983061:CJQ983062 CTM983061:CTM983062 DDI983061:DDI983062 DNE983061:DNE983062 DXA983061:DXA983062 EGW983061:EGW983062 EQS983061:EQS983062 FAO983061:FAO983062 FKK983061:FKK983062 FUG983061:FUG983062 GEC983061:GEC983062 GNY983061:GNY983062 GXU983061:GXU983062 HHQ983061:HHQ983062 HRM983061:HRM983062 IBI983061:IBI983062 ILE983061:ILE983062 IVA983061:IVA983062 JEW983061:JEW983062 JOS983061:JOS983062 JYO983061:JYO983062 KIK983061:KIK983062 KSG983061:KSG983062 LCC983061:LCC983062 LLY983061:LLY983062 LVU983061:LVU983062 MFQ983061:MFQ983062 MPM983061:MPM983062 MZI983061:MZI983062 NJE983061:NJE983062 NTA983061:NTA983062 OCW983061:OCW983062 OMS983061:OMS983062 OWO983061:OWO983062 PGK983061:PGK983062 PQG983061:PQG983062 QAC983061:QAC983062 QJY983061:QJY983062 QTU983061:QTU983062 RDQ983061:RDQ983062 RNM983061:RNM983062 RXI983061:RXI983062 SHE983061:SHE983062 SRA983061:SRA983062 TAW983061:TAW983062 TKS983061:TKS983062 TUO983061:TUO983062 UEK983061:UEK983062 UOG983061:UOG983062 UYC983061:UYC983062 VHY983061:VHY983062 VRU983061:VRU983062 WBQ983061:WBQ983062 WLM983061:WLM983062 WVI983061:WVI983062 D65540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6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2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8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4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0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6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2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8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4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0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6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2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8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4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SS45 ACO45 AMK45 AWG45 BGC45 BPY45 BZU45 CJQ45 CTM45 DDI45 DNE45 DXA45 EGW45 EQS45 FAO45 FKK45 FUG45 GEC45 GNY45 GXU45 HHQ45 HRM45 IBI45 ILE45 IVA45 JEW45 JOS45 JYO45 KIK45 KSG45 LCC45 LLY45 LVU45 MFQ45 MPM45 MZI45 NJE45 NTA45 OCW45 OMS45 OWO45 PGK45 PQG45 QAC45 QJY45 QTU45 RDQ45 RNM45 RXI45 SHE45 SRA45 TAW45 TKS45 TUO45 UEK45 UOG45 UYC45 VHY45 VRU45 WBQ45 WLM45 WVI45 D66:D67 WVI66 WLM66 WBQ66 VRU66 VHY66 UYC66 UOG66 UEK66 TUO66 TKS66 TAW66 SRA66 SHE66 RXI66 RNM66 RDQ66 QTU66 QJY66 QAC66 PQG66 PGK66 OWO66 OMS66 OCW66 NTA66 NJE66 MZI66 MPM66 MFQ66 LVU66 LLY66 LCC66 KSG66 KIK66 JYO66 JOS66 JEW66 IVA66 ILE66 IBI66 HRM66 HHQ66 GXU66 GNY66 GEC66 FUG66 FKK66 FAO66 EQS66 EGW66 DXA66 DNE66 DDI66 CTM66 CJQ66 BZU66 BPY66 BGC66 AWG66 AMK66 ACO66 SS66 IW66 D45"/>
    <dataValidation operator="lessThanOrEqual" showInputMessage="1" showErrorMessage="1" error="The value should be less than or equal to 3.10" prompt="Please fill the values in 5.2 to calculate 5.1" sqref="J4:K4"/>
    <dataValidation type="whole" showInputMessage="1" showErrorMessage="1" error="The value should be less that or equal to 6.1. Please ensure that value of 6.1 has been filled first" sqref="D10:J10">
      <formula1>0</formula1>
      <formula2>D9</formula2>
    </dataValidation>
    <dataValidation type="whole" operator="lessThanOrEqual" showInputMessage="1" showErrorMessage="1" error="The value should be less than or equal to 6.2" sqref="D11:J14">
      <formula1>D$10</formula1>
    </dataValidation>
    <dataValidation type="whole" showInputMessage="1" showErrorMessage="1" error="The value should be less that or equal to 6.8. Please ensure that value of 6.8 has been filled first" sqref="D17:J17">
      <formula1>0</formula1>
      <formula2>D16</formula2>
    </dataValidation>
    <dataValidation type="whole" showInputMessage="1" showErrorMessage="1" error="The value should be less that or equal to 6.9. Please ensure that value of 6.9 has been filled first" sqref="D18:J18">
      <formula1>0</formula1>
      <formula2>D17</formula2>
    </dataValidation>
    <dataValidation type="whole" operator="greaterThanOrEqual" showInputMessage="1" showErrorMessage="1" error="Please enter a valid positive number." sqref="D16:J16">
      <formula1>0</formula1>
    </dataValidation>
  </dataValidations>
  <pageMargins left="0.17" right="0.18" top="0.18" bottom="0.19" header="0.3" footer="0.3"/>
  <pageSetup scale="60" orientation="portrait" r:id="rId1"/>
  <drawing r:id="rId2"/>
  <extLst>
    <ext xmlns:x14="http://schemas.microsoft.com/office/spreadsheetml/2009/9/main" uri="{78C0D931-6437-407d-A8EE-F0AAD7539E65}">
      <x14:conditionalFormattings>
        <x14:conditionalFormatting xmlns:xm="http://schemas.microsoft.com/office/excel/2006/main">
          <x14:cfRule type="cellIs" priority="9" operator="notEqual" id="{D29AEE76-6C02-43BA-A369-D0889E48CE25}">
            <xm:f>ART_2!$F$45+ART_2!$G$45+ART_2!$H$45</xm:f>
            <x14:dxf>
              <font>
                <color theme="0"/>
              </font>
              <fill>
                <patternFill>
                  <bgColor rgb="FFFF0000"/>
                </patternFill>
              </fill>
              <border>
                <left style="thin">
                  <color auto="1"/>
                </left>
                <right style="thin">
                  <color auto="1"/>
                </right>
                <top style="thin">
                  <color auto="1"/>
                </top>
                <bottom style="thin">
                  <color auto="1"/>
                </bottom>
                <vertical/>
                <horizontal/>
              </border>
            </x14:dxf>
          </x14:cfRule>
          <xm:sqref>D45:K45</xm:sqref>
        </x14:conditionalFormatting>
        <x14:conditionalFormatting xmlns:xm="http://schemas.microsoft.com/office/excel/2006/main">
          <x14:cfRule type="cellIs" priority="8" operator="notEqual" id="{9D6FF2FD-97AD-46AC-9645-880B97DE7640}">
            <xm:f>ART_2!$I$45+ART_2!$J$45</xm:f>
            <x14:dxf>
              <font>
                <color theme="0"/>
              </font>
              <fill>
                <patternFill>
                  <bgColor rgb="FFFF0000"/>
                </patternFill>
              </fill>
              <border>
                <left style="thin">
                  <color auto="1"/>
                </left>
                <right style="thin">
                  <color auto="1"/>
                </right>
                <top style="thin">
                  <color auto="1"/>
                </top>
                <bottom style="thin">
                  <color auto="1"/>
                </bottom>
                <vertical/>
                <horizontal/>
              </border>
            </x14:dxf>
          </x14:cfRule>
          <xm:sqref>D66:K66</xm:sqref>
        </x14:conditionalFormatting>
      </x14:conditionalFormattings>
    </ext>
    <ext xmlns:x14="http://schemas.microsoft.com/office/spreadsheetml/2009/9/main" uri="{CCE6A557-97BC-4b89-ADB6-D9C93CAAB3DF}">
      <x14:dataValidations xmlns:xm="http://schemas.microsoft.com/office/excel/2006/main" count="6">
        <x14:dataValidation allowBlank="1">
          <xm:sqref>A65556 IT65556 SP65556 ACL65556 AMH65556 AWD65556 BFZ65556 BPV65556 BZR65556 CJN65556 CTJ65556 DDF65556 DNB65556 DWX65556 EGT65556 EQP65556 FAL65556 FKH65556 FUD65556 GDZ65556 GNV65556 GXR65556 HHN65556 HRJ65556 IBF65556 ILB65556 IUX65556 JET65556 JOP65556 JYL65556 KIH65556 KSD65556 LBZ65556 LLV65556 LVR65556 MFN65556 MPJ65556 MZF65556 NJB65556 NSX65556 OCT65556 OMP65556 OWL65556 PGH65556 PQD65556 PZZ65556 QJV65556 QTR65556 RDN65556 RNJ65556 RXF65556 SHB65556 SQX65556 TAT65556 TKP65556 TUL65556 UEH65556 UOD65556 UXZ65556 VHV65556 VRR65556 WBN65556 WLJ65556 WVF65556 A131092 IT131092 SP131092 ACL131092 AMH131092 AWD131092 BFZ131092 BPV131092 BZR131092 CJN131092 CTJ131092 DDF131092 DNB131092 DWX131092 EGT131092 EQP131092 FAL131092 FKH131092 FUD131092 GDZ131092 GNV131092 GXR131092 HHN131092 HRJ131092 IBF131092 ILB131092 IUX131092 JET131092 JOP131092 JYL131092 KIH131092 KSD131092 LBZ131092 LLV131092 LVR131092 MFN131092 MPJ131092 MZF131092 NJB131092 NSX131092 OCT131092 OMP131092 OWL131092 PGH131092 PQD131092 PZZ131092 QJV131092 QTR131092 RDN131092 RNJ131092 RXF131092 SHB131092 SQX131092 TAT131092 TKP131092 TUL131092 UEH131092 UOD131092 UXZ131092 VHV131092 VRR131092 WBN131092 WLJ131092 WVF131092 A196628 IT196628 SP196628 ACL196628 AMH196628 AWD196628 BFZ196628 BPV196628 BZR196628 CJN196628 CTJ196628 DDF196628 DNB196628 DWX196628 EGT196628 EQP196628 FAL196628 FKH196628 FUD196628 GDZ196628 GNV196628 GXR196628 HHN196628 HRJ196628 IBF196628 ILB196628 IUX196628 JET196628 JOP196628 JYL196628 KIH196628 KSD196628 LBZ196628 LLV196628 LVR196628 MFN196628 MPJ196628 MZF196628 NJB196628 NSX196628 OCT196628 OMP196628 OWL196628 PGH196628 PQD196628 PZZ196628 QJV196628 QTR196628 RDN196628 RNJ196628 RXF196628 SHB196628 SQX196628 TAT196628 TKP196628 TUL196628 UEH196628 UOD196628 UXZ196628 VHV196628 VRR196628 WBN196628 WLJ196628 WVF196628 A262164 IT262164 SP262164 ACL262164 AMH262164 AWD262164 BFZ262164 BPV262164 BZR262164 CJN262164 CTJ262164 DDF262164 DNB262164 DWX262164 EGT262164 EQP262164 FAL262164 FKH262164 FUD262164 GDZ262164 GNV262164 GXR262164 HHN262164 HRJ262164 IBF262164 ILB262164 IUX262164 JET262164 JOP262164 JYL262164 KIH262164 KSD262164 LBZ262164 LLV262164 LVR262164 MFN262164 MPJ262164 MZF262164 NJB262164 NSX262164 OCT262164 OMP262164 OWL262164 PGH262164 PQD262164 PZZ262164 QJV262164 QTR262164 RDN262164 RNJ262164 RXF262164 SHB262164 SQX262164 TAT262164 TKP262164 TUL262164 UEH262164 UOD262164 UXZ262164 VHV262164 VRR262164 WBN262164 WLJ262164 WVF262164 A327700 IT327700 SP327700 ACL327700 AMH327700 AWD327700 BFZ327700 BPV327700 BZR327700 CJN327700 CTJ327700 DDF327700 DNB327700 DWX327700 EGT327700 EQP327700 FAL327700 FKH327700 FUD327700 GDZ327700 GNV327700 GXR327700 HHN327700 HRJ327700 IBF327700 ILB327700 IUX327700 JET327700 JOP327700 JYL327700 KIH327700 KSD327700 LBZ327700 LLV327700 LVR327700 MFN327700 MPJ327700 MZF327700 NJB327700 NSX327700 OCT327700 OMP327700 OWL327700 PGH327700 PQD327700 PZZ327700 QJV327700 QTR327700 RDN327700 RNJ327700 RXF327700 SHB327700 SQX327700 TAT327700 TKP327700 TUL327700 UEH327700 UOD327700 UXZ327700 VHV327700 VRR327700 WBN327700 WLJ327700 WVF327700 A393236 IT393236 SP393236 ACL393236 AMH393236 AWD393236 BFZ393236 BPV393236 BZR393236 CJN393236 CTJ393236 DDF393236 DNB393236 DWX393236 EGT393236 EQP393236 FAL393236 FKH393236 FUD393236 GDZ393236 GNV393236 GXR393236 HHN393236 HRJ393236 IBF393236 ILB393236 IUX393236 JET393236 JOP393236 JYL393236 KIH393236 KSD393236 LBZ393236 LLV393236 LVR393236 MFN393236 MPJ393236 MZF393236 NJB393236 NSX393236 OCT393236 OMP393236 OWL393236 PGH393236 PQD393236 PZZ393236 QJV393236 QTR393236 RDN393236 RNJ393236 RXF393236 SHB393236 SQX393236 TAT393236 TKP393236 TUL393236 UEH393236 UOD393236 UXZ393236 VHV393236 VRR393236 WBN393236 WLJ393236 WVF393236 A458772 IT458772 SP458772 ACL458772 AMH458772 AWD458772 BFZ458772 BPV458772 BZR458772 CJN458772 CTJ458772 DDF458772 DNB458772 DWX458772 EGT458772 EQP458772 FAL458772 FKH458772 FUD458772 GDZ458772 GNV458772 GXR458772 HHN458772 HRJ458772 IBF458772 ILB458772 IUX458772 JET458772 JOP458772 JYL458772 KIH458772 KSD458772 LBZ458772 LLV458772 LVR458772 MFN458772 MPJ458772 MZF458772 NJB458772 NSX458772 OCT458772 OMP458772 OWL458772 PGH458772 PQD458772 PZZ458772 QJV458772 QTR458772 RDN458772 RNJ458772 RXF458772 SHB458772 SQX458772 TAT458772 TKP458772 TUL458772 UEH458772 UOD458772 UXZ458772 VHV458772 VRR458772 WBN458772 WLJ458772 WVF458772 A524308 IT524308 SP524308 ACL524308 AMH524308 AWD524308 BFZ524308 BPV524308 BZR524308 CJN524308 CTJ524308 DDF524308 DNB524308 DWX524308 EGT524308 EQP524308 FAL524308 FKH524308 FUD524308 GDZ524308 GNV524308 GXR524308 HHN524308 HRJ524308 IBF524308 ILB524308 IUX524308 JET524308 JOP524308 JYL524308 KIH524308 KSD524308 LBZ524308 LLV524308 LVR524308 MFN524308 MPJ524308 MZF524308 NJB524308 NSX524308 OCT524308 OMP524308 OWL524308 PGH524308 PQD524308 PZZ524308 QJV524308 QTR524308 RDN524308 RNJ524308 RXF524308 SHB524308 SQX524308 TAT524308 TKP524308 TUL524308 UEH524308 UOD524308 UXZ524308 VHV524308 VRR524308 WBN524308 WLJ524308 WVF524308 A589844 IT589844 SP589844 ACL589844 AMH589844 AWD589844 BFZ589844 BPV589844 BZR589844 CJN589844 CTJ589844 DDF589844 DNB589844 DWX589844 EGT589844 EQP589844 FAL589844 FKH589844 FUD589844 GDZ589844 GNV589844 GXR589844 HHN589844 HRJ589844 IBF589844 ILB589844 IUX589844 JET589844 JOP589844 JYL589844 KIH589844 KSD589844 LBZ589844 LLV589844 LVR589844 MFN589844 MPJ589844 MZF589844 NJB589844 NSX589844 OCT589844 OMP589844 OWL589844 PGH589844 PQD589844 PZZ589844 QJV589844 QTR589844 RDN589844 RNJ589844 RXF589844 SHB589844 SQX589844 TAT589844 TKP589844 TUL589844 UEH589844 UOD589844 UXZ589844 VHV589844 VRR589844 WBN589844 WLJ589844 WVF589844 A655380 IT655380 SP655380 ACL655380 AMH655380 AWD655380 BFZ655380 BPV655380 BZR655380 CJN655380 CTJ655380 DDF655380 DNB655380 DWX655380 EGT655380 EQP655380 FAL655380 FKH655380 FUD655380 GDZ655380 GNV655380 GXR655380 HHN655380 HRJ655380 IBF655380 ILB655380 IUX655380 JET655380 JOP655380 JYL655380 KIH655380 KSD655380 LBZ655380 LLV655380 LVR655380 MFN655380 MPJ655380 MZF655380 NJB655380 NSX655380 OCT655380 OMP655380 OWL655380 PGH655380 PQD655380 PZZ655380 QJV655380 QTR655380 RDN655380 RNJ655380 RXF655380 SHB655380 SQX655380 TAT655380 TKP655380 TUL655380 UEH655380 UOD655380 UXZ655380 VHV655380 VRR655380 WBN655380 WLJ655380 WVF655380 A720916 IT720916 SP720916 ACL720916 AMH720916 AWD720916 BFZ720916 BPV720916 BZR720916 CJN720916 CTJ720916 DDF720916 DNB720916 DWX720916 EGT720916 EQP720916 FAL720916 FKH720916 FUD720916 GDZ720916 GNV720916 GXR720916 HHN720916 HRJ720916 IBF720916 ILB720916 IUX720916 JET720916 JOP720916 JYL720916 KIH720916 KSD720916 LBZ720916 LLV720916 LVR720916 MFN720916 MPJ720916 MZF720916 NJB720916 NSX720916 OCT720916 OMP720916 OWL720916 PGH720916 PQD720916 PZZ720916 QJV720916 QTR720916 RDN720916 RNJ720916 RXF720916 SHB720916 SQX720916 TAT720916 TKP720916 TUL720916 UEH720916 UOD720916 UXZ720916 VHV720916 VRR720916 WBN720916 WLJ720916 WVF720916 A786452 IT786452 SP786452 ACL786452 AMH786452 AWD786452 BFZ786452 BPV786452 BZR786452 CJN786452 CTJ786452 DDF786452 DNB786452 DWX786452 EGT786452 EQP786452 FAL786452 FKH786452 FUD786452 GDZ786452 GNV786452 GXR786452 HHN786452 HRJ786452 IBF786452 ILB786452 IUX786452 JET786452 JOP786452 JYL786452 KIH786452 KSD786452 LBZ786452 LLV786452 LVR786452 MFN786452 MPJ786452 MZF786452 NJB786452 NSX786452 OCT786452 OMP786452 OWL786452 PGH786452 PQD786452 PZZ786452 QJV786452 QTR786452 RDN786452 RNJ786452 RXF786452 SHB786452 SQX786452 TAT786452 TKP786452 TUL786452 UEH786452 UOD786452 UXZ786452 VHV786452 VRR786452 WBN786452 WLJ786452 WVF786452 A851988 IT851988 SP851988 ACL851988 AMH851988 AWD851988 BFZ851988 BPV851988 BZR851988 CJN851988 CTJ851988 DDF851988 DNB851988 DWX851988 EGT851988 EQP851988 FAL851988 FKH851988 FUD851988 GDZ851988 GNV851988 GXR851988 HHN851988 HRJ851988 IBF851988 ILB851988 IUX851988 JET851988 JOP851988 JYL851988 KIH851988 KSD851988 LBZ851988 LLV851988 LVR851988 MFN851988 MPJ851988 MZF851988 NJB851988 NSX851988 OCT851988 OMP851988 OWL851988 PGH851988 PQD851988 PZZ851988 QJV851988 QTR851988 RDN851988 RNJ851988 RXF851988 SHB851988 SQX851988 TAT851988 TKP851988 TUL851988 UEH851988 UOD851988 UXZ851988 VHV851988 VRR851988 WBN851988 WLJ851988 WVF851988 A917524 IT917524 SP917524 ACL917524 AMH917524 AWD917524 BFZ917524 BPV917524 BZR917524 CJN917524 CTJ917524 DDF917524 DNB917524 DWX917524 EGT917524 EQP917524 FAL917524 FKH917524 FUD917524 GDZ917524 GNV917524 GXR917524 HHN917524 HRJ917524 IBF917524 ILB917524 IUX917524 JET917524 JOP917524 JYL917524 KIH917524 KSD917524 LBZ917524 LLV917524 LVR917524 MFN917524 MPJ917524 MZF917524 NJB917524 NSX917524 OCT917524 OMP917524 OWL917524 PGH917524 PQD917524 PZZ917524 QJV917524 QTR917524 RDN917524 RNJ917524 RXF917524 SHB917524 SQX917524 TAT917524 TKP917524 TUL917524 UEH917524 UOD917524 UXZ917524 VHV917524 VRR917524 WBN917524 WLJ917524 WVF917524 A983060 IT983060 SP983060 ACL983060 AMH983060 AWD983060 BFZ983060 BPV983060 BZR983060 CJN983060 CTJ983060 DDF983060 DNB983060 DWX983060 EGT983060 EQP983060 FAL983060 FKH983060 FUD983060 GDZ983060 GNV983060 GXR983060 HHN983060 HRJ983060 IBF983060 ILB983060 IUX983060 JET983060 JOP983060 JYL983060 KIH983060 KSD983060 LBZ983060 LLV983060 LVR983060 MFN983060 MPJ983060 MZF983060 NJB983060 NSX983060 OCT983060 OMP983060 OWL983060 PGH983060 PQD983060 PZZ983060 QJV983060 QTR983060 RDN983060 RNJ983060 RXF983060 SHB983060 SQX983060 TAT983060 TKP983060 TUL983060 UEH983060 UOD983060 UXZ983060 VHV983060 VRR983060 WBN983060 WLJ983060 WVF983060 D65541 IW65541 SS65541 ACO65541 AMK65541 AWG65541 BGC65541 BPY65541 BZU65541 CJQ65541 CTM65541 DDI65541 DNE65541 DXA65541 EGW65541 EQS65541 FAO65541 FKK65541 FUG65541 GEC65541 GNY65541 GXU65541 HHQ65541 HRM65541 IBI65541 ILE65541 IVA65541 JEW65541 JOS65541 JYO65541 KIK65541 KSG65541 LCC65541 LLY65541 LVU65541 MFQ65541 MPM65541 MZI65541 NJE65541 NTA65541 OCW65541 OMS65541 OWO65541 PGK65541 PQG65541 QAC65541 QJY65541 QTU65541 RDQ65541 RNM65541 RXI65541 SHE65541 SRA65541 TAW65541 TKS65541 TUO65541 UEK65541 UOG65541 UYC65541 VHY65541 VRU65541 WBQ65541 WLM65541 WVI65541 D131077 IW131077 SS131077 ACO131077 AMK131077 AWG131077 BGC131077 BPY131077 BZU131077 CJQ131077 CTM131077 DDI131077 DNE131077 DXA131077 EGW131077 EQS131077 FAO131077 FKK131077 FUG131077 GEC131077 GNY131077 GXU131077 HHQ131077 HRM131077 IBI131077 ILE131077 IVA131077 JEW131077 JOS131077 JYO131077 KIK131077 KSG131077 LCC131077 LLY131077 LVU131077 MFQ131077 MPM131077 MZI131077 NJE131077 NTA131077 OCW131077 OMS131077 OWO131077 PGK131077 PQG131077 QAC131077 QJY131077 QTU131077 RDQ131077 RNM131077 RXI131077 SHE131077 SRA131077 TAW131077 TKS131077 TUO131077 UEK131077 UOG131077 UYC131077 VHY131077 VRU131077 WBQ131077 WLM131077 WVI131077 D196613 IW196613 SS196613 ACO196613 AMK196613 AWG196613 BGC196613 BPY196613 BZU196613 CJQ196613 CTM196613 DDI196613 DNE196613 DXA196613 EGW196613 EQS196613 FAO196613 FKK196613 FUG196613 GEC196613 GNY196613 GXU196613 HHQ196613 HRM196613 IBI196613 ILE196613 IVA196613 JEW196613 JOS196613 JYO196613 KIK196613 KSG196613 LCC196613 LLY196613 LVU196613 MFQ196613 MPM196613 MZI196613 NJE196613 NTA196613 OCW196613 OMS196613 OWO196613 PGK196613 PQG196613 QAC196613 QJY196613 QTU196613 RDQ196613 RNM196613 RXI196613 SHE196613 SRA196613 TAW196613 TKS196613 TUO196613 UEK196613 UOG196613 UYC196613 VHY196613 VRU196613 WBQ196613 WLM196613 WVI196613 D262149 IW262149 SS262149 ACO262149 AMK262149 AWG262149 BGC262149 BPY262149 BZU262149 CJQ262149 CTM262149 DDI262149 DNE262149 DXA262149 EGW262149 EQS262149 FAO262149 FKK262149 FUG262149 GEC262149 GNY262149 GXU262149 HHQ262149 HRM262149 IBI262149 ILE262149 IVA262149 JEW262149 JOS262149 JYO262149 KIK262149 KSG262149 LCC262149 LLY262149 LVU262149 MFQ262149 MPM262149 MZI262149 NJE262149 NTA262149 OCW262149 OMS262149 OWO262149 PGK262149 PQG262149 QAC262149 QJY262149 QTU262149 RDQ262149 RNM262149 RXI262149 SHE262149 SRA262149 TAW262149 TKS262149 TUO262149 UEK262149 UOG262149 UYC262149 VHY262149 VRU262149 WBQ262149 WLM262149 WVI262149 D327685 IW327685 SS327685 ACO327685 AMK327685 AWG327685 BGC327685 BPY327685 BZU327685 CJQ327685 CTM327685 DDI327685 DNE327685 DXA327685 EGW327685 EQS327685 FAO327685 FKK327685 FUG327685 GEC327685 GNY327685 GXU327685 HHQ327685 HRM327685 IBI327685 ILE327685 IVA327685 JEW327685 JOS327685 JYO327685 KIK327685 KSG327685 LCC327685 LLY327685 LVU327685 MFQ327685 MPM327685 MZI327685 NJE327685 NTA327685 OCW327685 OMS327685 OWO327685 PGK327685 PQG327685 QAC327685 QJY327685 QTU327685 RDQ327685 RNM327685 RXI327685 SHE327685 SRA327685 TAW327685 TKS327685 TUO327685 UEK327685 UOG327685 UYC327685 VHY327685 VRU327685 WBQ327685 WLM327685 WVI327685 D393221 IW393221 SS393221 ACO393221 AMK393221 AWG393221 BGC393221 BPY393221 BZU393221 CJQ393221 CTM393221 DDI393221 DNE393221 DXA393221 EGW393221 EQS393221 FAO393221 FKK393221 FUG393221 GEC393221 GNY393221 GXU393221 HHQ393221 HRM393221 IBI393221 ILE393221 IVA393221 JEW393221 JOS393221 JYO393221 KIK393221 KSG393221 LCC393221 LLY393221 LVU393221 MFQ393221 MPM393221 MZI393221 NJE393221 NTA393221 OCW393221 OMS393221 OWO393221 PGK393221 PQG393221 QAC393221 QJY393221 QTU393221 RDQ393221 RNM393221 RXI393221 SHE393221 SRA393221 TAW393221 TKS393221 TUO393221 UEK393221 UOG393221 UYC393221 VHY393221 VRU393221 WBQ393221 WLM393221 WVI393221 D458757 IW458757 SS458757 ACO458757 AMK458757 AWG458757 BGC458757 BPY458757 BZU458757 CJQ458757 CTM458757 DDI458757 DNE458757 DXA458757 EGW458757 EQS458757 FAO458757 FKK458757 FUG458757 GEC458757 GNY458757 GXU458757 HHQ458757 HRM458757 IBI458757 ILE458757 IVA458757 JEW458757 JOS458757 JYO458757 KIK458757 KSG458757 LCC458757 LLY458757 LVU458757 MFQ458757 MPM458757 MZI458757 NJE458757 NTA458757 OCW458757 OMS458757 OWO458757 PGK458757 PQG458757 QAC458757 QJY458757 QTU458757 RDQ458757 RNM458757 RXI458757 SHE458757 SRA458757 TAW458757 TKS458757 TUO458757 UEK458757 UOG458757 UYC458757 VHY458757 VRU458757 WBQ458757 WLM458757 WVI458757 D524293 IW524293 SS524293 ACO524293 AMK524293 AWG524293 BGC524293 BPY524293 BZU524293 CJQ524293 CTM524293 DDI524293 DNE524293 DXA524293 EGW524293 EQS524293 FAO524293 FKK524293 FUG524293 GEC524293 GNY524293 GXU524293 HHQ524293 HRM524293 IBI524293 ILE524293 IVA524293 JEW524293 JOS524293 JYO524293 KIK524293 KSG524293 LCC524293 LLY524293 LVU524293 MFQ524293 MPM524293 MZI524293 NJE524293 NTA524293 OCW524293 OMS524293 OWO524293 PGK524293 PQG524293 QAC524293 QJY524293 QTU524293 RDQ524293 RNM524293 RXI524293 SHE524293 SRA524293 TAW524293 TKS524293 TUO524293 UEK524293 UOG524293 UYC524293 VHY524293 VRU524293 WBQ524293 WLM524293 WVI524293 D589829 IW589829 SS589829 ACO589829 AMK589829 AWG589829 BGC589829 BPY589829 BZU589829 CJQ589829 CTM589829 DDI589829 DNE589829 DXA589829 EGW589829 EQS589829 FAO589829 FKK589829 FUG589829 GEC589829 GNY589829 GXU589829 HHQ589829 HRM589829 IBI589829 ILE589829 IVA589829 JEW589829 JOS589829 JYO589829 KIK589829 KSG589829 LCC589829 LLY589829 LVU589829 MFQ589829 MPM589829 MZI589829 NJE589829 NTA589829 OCW589829 OMS589829 OWO589829 PGK589829 PQG589829 QAC589829 QJY589829 QTU589829 RDQ589829 RNM589829 RXI589829 SHE589829 SRA589829 TAW589829 TKS589829 TUO589829 UEK589829 UOG589829 UYC589829 VHY589829 VRU589829 WBQ589829 WLM589829 WVI589829 D655365 IW655365 SS655365 ACO655365 AMK655365 AWG655365 BGC655365 BPY655365 BZU655365 CJQ655365 CTM655365 DDI655365 DNE655365 DXA655365 EGW655365 EQS655365 FAO655365 FKK655365 FUG655365 GEC655365 GNY655365 GXU655365 HHQ655365 HRM655365 IBI655365 ILE655365 IVA655365 JEW655365 JOS655365 JYO655365 KIK655365 KSG655365 LCC655365 LLY655365 LVU655365 MFQ655365 MPM655365 MZI655365 NJE655365 NTA655365 OCW655365 OMS655365 OWO655365 PGK655365 PQG655365 QAC655365 QJY655365 QTU655365 RDQ655365 RNM655365 RXI655365 SHE655365 SRA655365 TAW655365 TKS655365 TUO655365 UEK655365 UOG655365 UYC655365 VHY655365 VRU655365 WBQ655365 WLM655365 WVI655365 D720901 IW720901 SS720901 ACO720901 AMK720901 AWG720901 BGC720901 BPY720901 BZU720901 CJQ720901 CTM720901 DDI720901 DNE720901 DXA720901 EGW720901 EQS720901 FAO720901 FKK720901 FUG720901 GEC720901 GNY720901 GXU720901 HHQ720901 HRM720901 IBI720901 ILE720901 IVA720901 JEW720901 JOS720901 JYO720901 KIK720901 KSG720901 LCC720901 LLY720901 LVU720901 MFQ720901 MPM720901 MZI720901 NJE720901 NTA720901 OCW720901 OMS720901 OWO720901 PGK720901 PQG720901 QAC720901 QJY720901 QTU720901 RDQ720901 RNM720901 RXI720901 SHE720901 SRA720901 TAW720901 TKS720901 TUO720901 UEK720901 UOG720901 UYC720901 VHY720901 VRU720901 WBQ720901 WLM720901 WVI720901 D786437 IW786437 SS786437 ACO786437 AMK786437 AWG786437 BGC786437 BPY786437 BZU786437 CJQ786437 CTM786437 DDI786437 DNE786437 DXA786437 EGW786437 EQS786437 FAO786437 FKK786437 FUG786437 GEC786437 GNY786437 GXU786437 HHQ786437 HRM786437 IBI786437 ILE786437 IVA786437 JEW786437 JOS786437 JYO786437 KIK786437 KSG786437 LCC786437 LLY786437 LVU786437 MFQ786437 MPM786437 MZI786437 NJE786437 NTA786437 OCW786437 OMS786437 OWO786437 PGK786437 PQG786437 QAC786437 QJY786437 QTU786437 RDQ786437 RNM786437 RXI786437 SHE786437 SRA786437 TAW786437 TKS786437 TUO786437 UEK786437 UOG786437 UYC786437 VHY786437 VRU786437 WBQ786437 WLM786437 WVI786437 D851973 IW851973 SS851973 ACO851973 AMK851973 AWG851973 BGC851973 BPY851973 BZU851973 CJQ851973 CTM851973 DDI851973 DNE851973 DXA851973 EGW851973 EQS851973 FAO851973 FKK851973 FUG851973 GEC851973 GNY851973 GXU851973 HHQ851973 HRM851973 IBI851973 ILE851973 IVA851973 JEW851973 JOS851973 JYO851973 KIK851973 KSG851973 LCC851973 LLY851973 LVU851973 MFQ851973 MPM851973 MZI851973 NJE851973 NTA851973 OCW851973 OMS851973 OWO851973 PGK851973 PQG851973 QAC851973 QJY851973 QTU851973 RDQ851973 RNM851973 RXI851973 SHE851973 SRA851973 TAW851973 TKS851973 TUO851973 UEK851973 UOG851973 UYC851973 VHY851973 VRU851973 WBQ851973 WLM851973 WVI851973 D917509 IW917509 SS917509 ACO917509 AMK917509 AWG917509 BGC917509 BPY917509 BZU917509 CJQ917509 CTM917509 DDI917509 DNE917509 DXA917509 EGW917509 EQS917509 FAO917509 FKK917509 FUG917509 GEC917509 GNY917509 GXU917509 HHQ917509 HRM917509 IBI917509 ILE917509 IVA917509 JEW917509 JOS917509 JYO917509 KIK917509 KSG917509 LCC917509 LLY917509 LVU917509 MFQ917509 MPM917509 MZI917509 NJE917509 NTA917509 OCW917509 OMS917509 OWO917509 PGK917509 PQG917509 QAC917509 QJY917509 QTU917509 RDQ917509 RNM917509 RXI917509 SHE917509 SRA917509 TAW917509 TKS917509 TUO917509 UEK917509 UOG917509 UYC917509 VHY917509 VRU917509 WBQ917509 WLM917509 WVI917509 D983045 IW983045 SS983045 ACO983045 AMK983045 AWG983045 BGC983045 BPY983045 BZU983045 CJQ983045 CTM983045 DDI983045 DNE983045 DXA983045 EGW983045 EQS983045 FAO983045 FKK983045 FUG983045 GEC983045 GNY983045 GXU983045 HHQ983045 HRM983045 IBI983045 ILE983045 IVA983045 JEW983045 JOS983045 JYO983045 KIK983045 KSG983045 LCC983045 LLY983045 LVU983045 MFQ983045 MPM983045 MZI983045 NJE983045 NTA983045 OCW983045 OMS983045 OWO983045 PGK983045 PQG983045 QAC983045 QJY983045 QTU983045 RDQ983045 RNM983045 RXI983045 SHE983045 SRA983045 TAW983045 TKS983045 TUO983045 UEK983045 UOG983045 UYC983045 VHY983045 VRU983045 WBQ983045 WLM983045 WVI983045 A65539 IT65539 SP65539 ACL65539 AMH65539 AWD65539 BFZ65539 BPV65539 BZR65539 CJN65539 CTJ65539 DDF65539 DNB65539 DWX65539 EGT65539 EQP65539 FAL65539 FKH65539 FUD65539 GDZ65539 GNV65539 GXR65539 HHN65539 HRJ65539 IBF65539 ILB65539 IUX65539 JET65539 JOP65539 JYL65539 KIH65539 KSD65539 LBZ65539 LLV65539 LVR65539 MFN65539 MPJ65539 MZF65539 NJB65539 NSX65539 OCT65539 OMP65539 OWL65539 PGH65539 PQD65539 PZZ65539 QJV65539 QTR65539 RDN65539 RNJ65539 RXF65539 SHB65539 SQX65539 TAT65539 TKP65539 TUL65539 UEH65539 UOD65539 UXZ65539 VHV65539 VRR65539 WBN65539 WLJ65539 WVF65539 A131075 IT131075 SP131075 ACL131075 AMH131075 AWD131075 BFZ131075 BPV131075 BZR131075 CJN131075 CTJ131075 DDF131075 DNB131075 DWX131075 EGT131075 EQP131075 FAL131075 FKH131075 FUD131075 GDZ131075 GNV131075 GXR131075 HHN131075 HRJ131075 IBF131075 ILB131075 IUX131075 JET131075 JOP131075 JYL131075 KIH131075 KSD131075 LBZ131075 LLV131075 LVR131075 MFN131075 MPJ131075 MZF131075 NJB131075 NSX131075 OCT131075 OMP131075 OWL131075 PGH131075 PQD131075 PZZ131075 QJV131075 QTR131075 RDN131075 RNJ131075 RXF131075 SHB131075 SQX131075 TAT131075 TKP131075 TUL131075 UEH131075 UOD131075 UXZ131075 VHV131075 VRR131075 WBN131075 WLJ131075 WVF131075 A196611 IT196611 SP196611 ACL196611 AMH196611 AWD196611 BFZ196611 BPV196611 BZR196611 CJN196611 CTJ196611 DDF196611 DNB196611 DWX196611 EGT196611 EQP196611 FAL196611 FKH196611 FUD196611 GDZ196611 GNV196611 GXR196611 HHN196611 HRJ196611 IBF196611 ILB196611 IUX196611 JET196611 JOP196611 JYL196611 KIH196611 KSD196611 LBZ196611 LLV196611 LVR196611 MFN196611 MPJ196611 MZF196611 NJB196611 NSX196611 OCT196611 OMP196611 OWL196611 PGH196611 PQD196611 PZZ196611 QJV196611 QTR196611 RDN196611 RNJ196611 RXF196611 SHB196611 SQX196611 TAT196611 TKP196611 TUL196611 UEH196611 UOD196611 UXZ196611 VHV196611 VRR196611 WBN196611 WLJ196611 WVF196611 A262147 IT262147 SP262147 ACL262147 AMH262147 AWD262147 BFZ262147 BPV262147 BZR262147 CJN262147 CTJ262147 DDF262147 DNB262147 DWX262147 EGT262147 EQP262147 FAL262147 FKH262147 FUD262147 GDZ262147 GNV262147 GXR262147 HHN262147 HRJ262147 IBF262147 ILB262147 IUX262147 JET262147 JOP262147 JYL262147 KIH262147 KSD262147 LBZ262147 LLV262147 LVR262147 MFN262147 MPJ262147 MZF262147 NJB262147 NSX262147 OCT262147 OMP262147 OWL262147 PGH262147 PQD262147 PZZ262147 QJV262147 QTR262147 RDN262147 RNJ262147 RXF262147 SHB262147 SQX262147 TAT262147 TKP262147 TUL262147 UEH262147 UOD262147 UXZ262147 VHV262147 VRR262147 WBN262147 WLJ262147 WVF262147 A327683 IT327683 SP327683 ACL327683 AMH327683 AWD327683 BFZ327683 BPV327683 BZR327683 CJN327683 CTJ327683 DDF327683 DNB327683 DWX327683 EGT327683 EQP327683 FAL327683 FKH327683 FUD327683 GDZ327683 GNV327683 GXR327683 HHN327683 HRJ327683 IBF327683 ILB327683 IUX327683 JET327683 JOP327683 JYL327683 KIH327683 KSD327683 LBZ327683 LLV327683 LVR327683 MFN327683 MPJ327683 MZF327683 NJB327683 NSX327683 OCT327683 OMP327683 OWL327683 PGH327683 PQD327683 PZZ327683 QJV327683 QTR327683 RDN327683 RNJ327683 RXF327683 SHB327683 SQX327683 TAT327683 TKP327683 TUL327683 UEH327683 UOD327683 UXZ327683 VHV327683 VRR327683 WBN327683 WLJ327683 WVF327683 A393219 IT393219 SP393219 ACL393219 AMH393219 AWD393219 BFZ393219 BPV393219 BZR393219 CJN393219 CTJ393219 DDF393219 DNB393219 DWX393219 EGT393219 EQP393219 FAL393219 FKH393219 FUD393219 GDZ393219 GNV393219 GXR393219 HHN393219 HRJ393219 IBF393219 ILB393219 IUX393219 JET393219 JOP393219 JYL393219 KIH393219 KSD393219 LBZ393219 LLV393219 LVR393219 MFN393219 MPJ393219 MZF393219 NJB393219 NSX393219 OCT393219 OMP393219 OWL393219 PGH393219 PQD393219 PZZ393219 QJV393219 QTR393219 RDN393219 RNJ393219 RXF393219 SHB393219 SQX393219 TAT393219 TKP393219 TUL393219 UEH393219 UOD393219 UXZ393219 VHV393219 VRR393219 WBN393219 WLJ393219 WVF393219 A458755 IT458755 SP458755 ACL458755 AMH458755 AWD458755 BFZ458755 BPV458755 BZR458755 CJN458755 CTJ458755 DDF458755 DNB458755 DWX458755 EGT458755 EQP458755 FAL458755 FKH458755 FUD458755 GDZ458755 GNV458755 GXR458755 HHN458755 HRJ458755 IBF458755 ILB458755 IUX458755 JET458755 JOP458755 JYL458755 KIH458755 KSD458755 LBZ458755 LLV458755 LVR458755 MFN458755 MPJ458755 MZF458755 NJB458755 NSX458755 OCT458755 OMP458755 OWL458755 PGH458755 PQD458755 PZZ458755 QJV458755 QTR458755 RDN458755 RNJ458755 RXF458755 SHB458755 SQX458755 TAT458755 TKP458755 TUL458755 UEH458755 UOD458755 UXZ458755 VHV458755 VRR458755 WBN458755 WLJ458755 WVF458755 A524291 IT524291 SP524291 ACL524291 AMH524291 AWD524291 BFZ524291 BPV524291 BZR524291 CJN524291 CTJ524291 DDF524291 DNB524291 DWX524291 EGT524291 EQP524291 FAL524291 FKH524291 FUD524291 GDZ524291 GNV524291 GXR524291 HHN524291 HRJ524291 IBF524291 ILB524291 IUX524291 JET524291 JOP524291 JYL524291 KIH524291 KSD524291 LBZ524291 LLV524291 LVR524291 MFN524291 MPJ524291 MZF524291 NJB524291 NSX524291 OCT524291 OMP524291 OWL524291 PGH524291 PQD524291 PZZ524291 QJV524291 QTR524291 RDN524291 RNJ524291 RXF524291 SHB524291 SQX524291 TAT524291 TKP524291 TUL524291 UEH524291 UOD524291 UXZ524291 VHV524291 VRR524291 WBN524291 WLJ524291 WVF524291 A589827 IT589827 SP589827 ACL589827 AMH589827 AWD589827 BFZ589827 BPV589827 BZR589827 CJN589827 CTJ589827 DDF589827 DNB589827 DWX589827 EGT589827 EQP589827 FAL589827 FKH589827 FUD589827 GDZ589827 GNV589827 GXR589827 HHN589827 HRJ589827 IBF589827 ILB589827 IUX589827 JET589827 JOP589827 JYL589827 KIH589827 KSD589827 LBZ589827 LLV589827 LVR589827 MFN589827 MPJ589827 MZF589827 NJB589827 NSX589827 OCT589827 OMP589827 OWL589827 PGH589827 PQD589827 PZZ589827 QJV589827 QTR589827 RDN589827 RNJ589827 RXF589827 SHB589827 SQX589827 TAT589827 TKP589827 TUL589827 UEH589827 UOD589827 UXZ589827 VHV589827 VRR589827 WBN589827 WLJ589827 WVF589827 A655363 IT655363 SP655363 ACL655363 AMH655363 AWD655363 BFZ655363 BPV655363 BZR655363 CJN655363 CTJ655363 DDF655363 DNB655363 DWX655363 EGT655363 EQP655363 FAL655363 FKH655363 FUD655363 GDZ655363 GNV655363 GXR655363 HHN655363 HRJ655363 IBF655363 ILB655363 IUX655363 JET655363 JOP655363 JYL655363 KIH655363 KSD655363 LBZ655363 LLV655363 LVR655363 MFN655363 MPJ655363 MZF655363 NJB655363 NSX655363 OCT655363 OMP655363 OWL655363 PGH655363 PQD655363 PZZ655363 QJV655363 QTR655363 RDN655363 RNJ655363 RXF655363 SHB655363 SQX655363 TAT655363 TKP655363 TUL655363 UEH655363 UOD655363 UXZ655363 VHV655363 VRR655363 WBN655363 WLJ655363 WVF655363 A720899 IT720899 SP720899 ACL720899 AMH720899 AWD720899 BFZ720899 BPV720899 BZR720899 CJN720899 CTJ720899 DDF720899 DNB720899 DWX720899 EGT720899 EQP720899 FAL720899 FKH720899 FUD720899 GDZ720899 GNV720899 GXR720899 HHN720899 HRJ720899 IBF720899 ILB720899 IUX720899 JET720899 JOP720899 JYL720899 KIH720899 KSD720899 LBZ720899 LLV720899 LVR720899 MFN720899 MPJ720899 MZF720899 NJB720899 NSX720899 OCT720899 OMP720899 OWL720899 PGH720899 PQD720899 PZZ720899 QJV720899 QTR720899 RDN720899 RNJ720899 RXF720899 SHB720899 SQX720899 TAT720899 TKP720899 TUL720899 UEH720899 UOD720899 UXZ720899 VHV720899 VRR720899 WBN720899 WLJ720899 WVF720899 A786435 IT786435 SP786435 ACL786435 AMH786435 AWD786435 BFZ786435 BPV786435 BZR786435 CJN786435 CTJ786435 DDF786435 DNB786435 DWX786435 EGT786435 EQP786435 FAL786435 FKH786435 FUD786435 GDZ786435 GNV786435 GXR786435 HHN786435 HRJ786435 IBF786435 ILB786435 IUX786435 JET786435 JOP786435 JYL786435 KIH786435 KSD786435 LBZ786435 LLV786435 LVR786435 MFN786435 MPJ786435 MZF786435 NJB786435 NSX786435 OCT786435 OMP786435 OWL786435 PGH786435 PQD786435 PZZ786435 QJV786435 QTR786435 RDN786435 RNJ786435 RXF786435 SHB786435 SQX786435 TAT786435 TKP786435 TUL786435 UEH786435 UOD786435 UXZ786435 VHV786435 VRR786435 WBN786435 WLJ786435 WVF786435 A851971 IT851971 SP851971 ACL851971 AMH851971 AWD851971 BFZ851971 BPV851971 BZR851971 CJN851971 CTJ851971 DDF851971 DNB851971 DWX851971 EGT851971 EQP851971 FAL851971 FKH851971 FUD851971 GDZ851971 GNV851971 GXR851971 HHN851971 HRJ851971 IBF851971 ILB851971 IUX851971 JET851971 JOP851971 JYL851971 KIH851971 KSD851971 LBZ851971 LLV851971 LVR851971 MFN851971 MPJ851971 MZF851971 NJB851971 NSX851971 OCT851971 OMP851971 OWL851971 PGH851971 PQD851971 PZZ851971 QJV851971 QTR851971 RDN851971 RNJ851971 RXF851971 SHB851971 SQX851971 TAT851971 TKP851971 TUL851971 UEH851971 UOD851971 UXZ851971 VHV851971 VRR851971 WBN851971 WLJ851971 WVF851971 A917507 IT917507 SP917507 ACL917507 AMH917507 AWD917507 BFZ917507 BPV917507 BZR917507 CJN917507 CTJ917507 DDF917507 DNB917507 DWX917507 EGT917507 EQP917507 FAL917507 FKH917507 FUD917507 GDZ917507 GNV917507 GXR917507 HHN917507 HRJ917507 IBF917507 ILB917507 IUX917507 JET917507 JOP917507 JYL917507 KIH917507 KSD917507 LBZ917507 LLV917507 LVR917507 MFN917507 MPJ917507 MZF917507 NJB917507 NSX917507 OCT917507 OMP917507 OWL917507 PGH917507 PQD917507 PZZ917507 QJV917507 QTR917507 RDN917507 RNJ917507 RXF917507 SHB917507 SQX917507 TAT917507 TKP917507 TUL917507 UEH917507 UOD917507 UXZ917507 VHV917507 VRR917507 WBN917507 WLJ917507 WVF917507 A983043 IT983043 SP983043 ACL983043 AMH983043 AWD983043 BFZ983043 BPV983043 BZR983043 CJN983043 CTJ983043 DDF983043 DNB983043 DWX983043 EGT983043 EQP983043 FAL983043 FKH983043 FUD983043 GDZ983043 GNV983043 GXR983043 HHN983043 HRJ983043 IBF983043 ILB983043 IUX983043 JET983043 JOP983043 JYL983043 KIH983043 KSD983043 LBZ983043 LLV983043 LVR983043 MFN983043 MPJ983043 MZF983043 NJB983043 NSX983043 OCT983043 OMP983043 OWL983043 PGH983043 PQD983043 PZZ983043 QJV983043 QTR983043 RDN983043 RNJ983043 RXF983043 SHB983043 SQX983043 TAT983043 TKP983043 TUL983043 UEH983043 UOD983043 UXZ983043 VHV983043 VRR983043 WBN983043 WLJ983043 WVF983043 A65525 IT65525 SP65525 ACL65525 AMH65525 AWD65525 BFZ65525 BPV65525 BZR65525 CJN65525 CTJ65525 DDF65525 DNB65525 DWX65525 EGT65525 EQP65525 FAL65525 FKH65525 FUD65525 GDZ65525 GNV65525 GXR65525 HHN65525 HRJ65525 IBF65525 ILB65525 IUX65525 JET65525 JOP65525 JYL65525 KIH65525 KSD65525 LBZ65525 LLV65525 LVR65525 MFN65525 MPJ65525 MZF65525 NJB65525 NSX65525 OCT65525 OMP65525 OWL65525 PGH65525 PQD65525 PZZ65525 QJV65525 QTR65525 RDN65525 RNJ65525 RXF65525 SHB65525 SQX65525 TAT65525 TKP65525 TUL65525 UEH65525 UOD65525 UXZ65525 VHV65525 VRR65525 WBN65525 WLJ65525 WVF65525 A131061 IT131061 SP131061 ACL131061 AMH131061 AWD131061 BFZ131061 BPV131061 BZR131061 CJN131061 CTJ131061 DDF131061 DNB131061 DWX131061 EGT131061 EQP131061 FAL131061 FKH131061 FUD131061 GDZ131061 GNV131061 GXR131061 HHN131061 HRJ131061 IBF131061 ILB131061 IUX131061 JET131061 JOP131061 JYL131061 KIH131061 KSD131061 LBZ131061 LLV131061 LVR131061 MFN131061 MPJ131061 MZF131061 NJB131061 NSX131061 OCT131061 OMP131061 OWL131061 PGH131061 PQD131061 PZZ131061 QJV131061 QTR131061 RDN131061 RNJ131061 RXF131061 SHB131061 SQX131061 TAT131061 TKP131061 TUL131061 UEH131061 UOD131061 UXZ131061 VHV131061 VRR131061 WBN131061 WLJ131061 WVF131061 A196597 IT196597 SP196597 ACL196597 AMH196597 AWD196597 BFZ196597 BPV196597 BZR196597 CJN196597 CTJ196597 DDF196597 DNB196597 DWX196597 EGT196597 EQP196597 FAL196597 FKH196597 FUD196597 GDZ196597 GNV196597 GXR196597 HHN196597 HRJ196597 IBF196597 ILB196597 IUX196597 JET196597 JOP196597 JYL196597 KIH196597 KSD196597 LBZ196597 LLV196597 LVR196597 MFN196597 MPJ196597 MZF196597 NJB196597 NSX196597 OCT196597 OMP196597 OWL196597 PGH196597 PQD196597 PZZ196597 QJV196597 QTR196597 RDN196597 RNJ196597 RXF196597 SHB196597 SQX196597 TAT196597 TKP196597 TUL196597 UEH196597 UOD196597 UXZ196597 VHV196597 VRR196597 WBN196597 WLJ196597 WVF196597 A262133 IT262133 SP262133 ACL262133 AMH262133 AWD262133 BFZ262133 BPV262133 BZR262133 CJN262133 CTJ262133 DDF262133 DNB262133 DWX262133 EGT262133 EQP262133 FAL262133 FKH262133 FUD262133 GDZ262133 GNV262133 GXR262133 HHN262133 HRJ262133 IBF262133 ILB262133 IUX262133 JET262133 JOP262133 JYL262133 KIH262133 KSD262133 LBZ262133 LLV262133 LVR262133 MFN262133 MPJ262133 MZF262133 NJB262133 NSX262133 OCT262133 OMP262133 OWL262133 PGH262133 PQD262133 PZZ262133 QJV262133 QTR262133 RDN262133 RNJ262133 RXF262133 SHB262133 SQX262133 TAT262133 TKP262133 TUL262133 UEH262133 UOD262133 UXZ262133 VHV262133 VRR262133 WBN262133 WLJ262133 WVF262133 A327669 IT327669 SP327669 ACL327669 AMH327669 AWD327669 BFZ327669 BPV327669 BZR327669 CJN327669 CTJ327669 DDF327669 DNB327669 DWX327669 EGT327669 EQP327669 FAL327669 FKH327669 FUD327669 GDZ327669 GNV327669 GXR327669 HHN327669 HRJ327669 IBF327669 ILB327669 IUX327669 JET327669 JOP327669 JYL327669 KIH327669 KSD327669 LBZ327669 LLV327669 LVR327669 MFN327669 MPJ327669 MZF327669 NJB327669 NSX327669 OCT327669 OMP327669 OWL327669 PGH327669 PQD327669 PZZ327669 QJV327669 QTR327669 RDN327669 RNJ327669 RXF327669 SHB327669 SQX327669 TAT327669 TKP327669 TUL327669 UEH327669 UOD327669 UXZ327669 VHV327669 VRR327669 WBN327669 WLJ327669 WVF327669 A393205 IT393205 SP393205 ACL393205 AMH393205 AWD393205 BFZ393205 BPV393205 BZR393205 CJN393205 CTJ393205 DDF393205 DNB393205 DWX393205 EGT393205 EQP393205 FAL393205 FKH393205 FUD393205 GDZ393205 GNV393205 GXR393205 HHN393205 HRJ393205 IBF393205 ILB393205 IUX393205 JET393205 JOP393205 JYL393205 KIH393205 KSD393205 LBZ393205 LLV393205 LVR393205 MFN393205 MPJ393205 MZF393205 NJB393205 NSX393205 OCT393205 OMP393205 OWL393205 PGH393205 PQD393205 PZZ393205 QJV393205 QTR393205 RDN393205 RNJ393205 RXF393205 SHB393205 SQX393205 TAT393205 TKP393205 TUL393205 UEH393205 UOD393205 UXZ393205 VHV393205 VRR393205 WBN393205 WLJ393205 WVF393205 A458741 IT458741 SP458741 ACL458741 AMH458741 AWD458741 BFZ458741 BPV458741 BZR458741 CJN458741 CTJ458741 DDF458741 DNB458741 DWX458741 EGT458741 EQP458741 FAL458741 FKH458741 FUD458741 GDZ458741 GNV458741 GXR458741 HHN458741 HRJ458741 IBF458741 ILB458741 IUX458741 JET458741 JOP458741 JYL458741 KIH458741 KSD458741 LBZ458741 LLV458741 LVR458741 MFN458741 MPJ458741 MZF458741 NJB458741 NSX458741 OCT458741 OMP458741 OWL458741 PGH458741 PQD458741 PZZ458741 QJV458741 QTR458741 RDN458741 RNJ458741 RXF458741 SHB458741 SQX458741 TAT458741 TKP458741 TUL458741 UEH458741 UOD458741 UXZ458741 VHV458741 VRR458741 WBN458741 WLJ458741 WVF458741 A524277 IT524277 SP524277 ACL524277 AMH524277 AWD524277 BFZ524277 BPV524277 BZR524277 CJN524277 CTJ524277 DDF524277 DNB524277 DWX524277 EGT524277 EQP524277 FAL524277 FKH524277 FUD524277 GDZ524277 GNV524277 GXR524277 HHN524277 HRJ524277 IBF524277 ILB524277 IUX524277 JET524277 JOP524277 JYL524277 KIH524277 KSD524277 LBZ524277 LLV524277 LVR524277 MFN524277 MPJ524277 MZF524277 NJB524277 NSX524277 OCT524277 OMP524277 OWL524277 PGH524277 PQD524277 PZZ524277 QJV524277 QTR524277 RDN524277 RNJ524277 RXF524277 SHB524277 SQX524277 TAT524277 TKP524277 TUL524277 UEH524277 UOD524277 UXZ524277 VHV524277 VRR524277 WBN524277 WLJ524277 WVF524277 A589813 IT589813 SP589813 ACL589813 AMH589813 AWD589813 BFZ589813 BPV589813 BZR589813 CJN589813 CTJ589813 DDF589813 DNB589813 DWX589813 EGT589813 EQP589813 FAL589813 FKH589813 FUD589813 GDZ589813 GNV589813 GXR589813 HHN589813 HRJ589813 IBF589813 ILB589813 IUX589813 JET589813 JOP589813 JYL589813 KIH589813 KSD589813 LBZ589813 LLV589813 LVR589813 MFN589813 MPJ589813 MZF589813 NJB589813 NSX589813 OCT589813 OMP589813 OWL589813 PGH589813 PQD589813 PZZ589813 QJV589813 QTR589813 RDN589813 RNJ589813 RXF589813 SHB589813 SQX589813 TAT589813 TKP589813 TUL589813 UEH589813 UOD589813 UXZ589813 VHV589813 VRR589813 WBN589813 WLJ589813 WVF589813 A655349 IT655349 SP655349 ACL655349 AMH655349 AWD655349 BFZ655349 BPV655349 BZR655349 CJN655349 CTJ655349 DDF655349 DNB655349 DWX655349 EGT655349 EQP655349 FAL655349 FKH655349 FUD655349 GDZ655349 GNV655349 GXR655349 HHN655349 HRJ655349 IBF655349 ILB655349 IUX655349 JET655349 JOP655349 JYL655349 KIH655349 KSD655349 LBZ655349 LLV655349 LVR655349 MFN655349 MPJ655349 MZF655349 NJB655349 NSX655349 OCT655349 OMP655349 OWL655349 PGH655349 PQD655349 PZZ655349 QJV655349 QTR655349 RDN655349 RNJ655349 RXF655349 SHB655349 SQX655349 TAT655349 TKP655349 TUL655349 UEH655349 UOD655349 UXZ655349 VHV655349 VRR655349 WBN655349 WLJ655349 WVF655349 A720885 IT720885 SP720885 ACL720885 AMH720885 AWD720885 BFZ720885 BPV720885 BZR720885 CJN720885 CTJ720885 DDF720885 DNB720885 DWX720885 EGT720885 EQP720885 FAL720885 FKH720885 FUD720885 GDZ720885 GNV720885 GXR720885 HHN720885 HRJ720885 IBF720885 ILB720885 IUX720885 JET720885 JOP720885 JYL720885 KIH720885 KSD720885 LBZ720885 LLV720885 LVR720885 MFN720885 MPJ720885 MZF720885 NJB720885 NSX720885 OCT720885 OMP720885 OWL720885 PGH720885 PQD720885 PZZ720885 QJV720885 QTR720885 RDN720885 RNJ720885 RXF720885 SHB720885 SQX720885 TAT720885 TKP720885 TUL720885 UEH720885 UOD720885 UXZ720885 VHV720885 VRR720885 WBN720885 WLJ720885 WVF720885 A786421 IT786421 SP786421 ACL786421 AMH786421 AWD786421 BFZ786421 BPV786421 BZR786421 CJN786421 CTJ786421 DDF786421 DNB786421 DWX786421 EGT786421 EQP786421 FAL786421 FKH786421 FUD786421 GDZ786421 GNV786421 GXR786421 HHN786421 HRJ786421 IBF786421 ILB786421 IUX786421 JET786421 JOP786421 JYL786421 KIH786421 KSD786421 LBZ786421 LLV786421 LVR786421 MFN786421 MPJ786421 MZF786421 NJB786421 NSX786421 OCT786421 OMP786421 OWL786421 PGH786421 PQD786421 PZZ786421 QJV786421 QTR786421 RDN786421 RNJ786421 RXF786421 SHB786421 SQX786421 TAT786421 TKP786421 TUL786421 UEH786421 UOD786421 UXZ786421 VHV786421 VRR786421 WBN786421 WLJ786421 WVF786421 A851957 IT851957 SP851957 ACL851957 AMH851957 AWD851957 BFZ851957 BPV851957 BZR851957 CJN851957 CTJ851957 DDF851957 DNB851957 DWX851957 EGT851957 EQP851957 FAL851957 FKH851957 FUD851957 GDZ851957 GNV851957 GXR851957 HHN851957 HRJ851957 IBF851957 ILB851957 IUX851957 JET851957 JOP851957 JYL851957 KIH851957 KSD851957 LBZ851957 LLV851957 LVR851957 MFN851957 MPJ851957 MZF851957 NJB851957 NSX851957 OCT851957 OMP851957 OWL851957 PGH851957 PQD851957 PZZ851957 QJV851957 QTR851957 RDN851957 RNJ851957 RXF851957 SHB851957 SQX851957 TAT851957 TKP851957 TUL851957 UEH851957 UOD851957 UXZ851957 VHV851957 VRR851957 WBN851957 WLJ851957 WVF851957 A917493 IT917493 SP917493 ACL917493 AMH917493 AWD917493 BFZ917493 BPV917493 BZR917493 CJN917493 CTJ917493 DDF917493 DNB917493 DWX917493 EGT917493 EQP917493 FAL917493 FKH917493 FUD917493 GDZ917493 GNV917493 GXR917493 HHN917493 HRJ917493 IBF917493 ILB917493 IUX917493 JET917493 JOP917493 JYL917493 KIH917493 KSD917493 LBZ917493 LLV917493 LVR917493 MFN917493 MPJ917493 MZF917493 NJB917493 NSX917493 OCT917493 OMP917493 OWL917493 PGH917493 PQD917493 PZZ917493 QJV917493 QTR917493 RDN917493 RNJ917493 RXF917493 SHB917493 SQX917493 TAT917493 TKP917493 TUL917493 UEH917493 UOD917493 UXZ917493 VHV917493 VRR917493 WBN917493 WLJ917493 WVF917493 A983029 IT983029 SP983029 ACL983029 AMH983029 AWD983029 BFZ983029 BPV983029 BZR983029 CJN983029 CTJ983029 DDF983029 DNB983029 DWX983029 EGT983029 EQP983029 FAL983029 FKH983029 FUD983029 GDZ983029 GNV983029 GXR983029 HHN983029 HRJ983029 IBF983029 ILB983029 IUX983029 JET983029 JOP983029 JYL983029 KIH983029 KSD983029 LBZ983029 LLV983029 LVR983029 MFN983029 MPJ983029 MZF983029 NJB983029 NSX983029 OCT983029 OMP983029 OWL983029 PGH983029 PQD983029 PZZ983029 QJV983029 QTR983029 RDN983029 RNJ983029 RXF983029 SHB983029 SQX983029 TAT983029 TKP983029 TUL983029 UEH983029 UOD983029 UXZ983029 VHV983029 VRR983029 WBN983029 WLJ983029 WVF983029 D65526 IW65526 SS65526 ACO65526 AMK65526 AWG65526 BGC65526 BPY65526 BZU65526 CJQ65526 CTM65526 DDI65526 DNE65526 DXA65526 EGW65526 EQS65526 FAO65526 FKK65526 FUG65526 GEC65526 GNY65526 GXU65526 HHQ65526 HRM65526 IBI65526 ILE65526 IVA65526 JEW65526 JOS65526 JYO65526 KIK65526 KSG65526 LCC65526 LLY65526 LVU65526 MFQ65526 MPM65526 MZI65526 NJE65526 NTA65526 OCW65526 OMS65526 OWO65526 PGK65526 PQG65526 QAC65526 QJY65526 QTU65526 RDQ65526 RNM65526 RXI65526 SHE65526 SRA65526 TAW65526 TKS65526 TUO65526 UEK65526 UOG65526 UYC65526 VHY65526 VRU65526 WBQ65526 WLM65526 WVI65526 D131062 IW131062 SS131062 ACO131062 AMK131062 AWG131062 BGC131062 BPY131062 BZU131062 CJQ131062 CTM131062 DDI131062 DNE131062 DXA131062 EGW131062 EQS131062 FAO131062 FKK131062 FUG131062 GEC131062 GNY131062 GXU131062 HHQ131062 HRM131062 IBI131062 ILE131062 IVA131062 JEW131062 JOS131062 JYO131062 KIK131062 KSG131062 LCC131062 LLY131062 LVU131062 MFQ131062 MPM131062 MZI131062 NJE131062 NTA131062 OCW131062 OMS131062 OWO131062 PGK131062 PQG131062 QAC131062 QJY131062 QTU131062 RDQ131062 RNM131062 RXI131062 SHE131062 SRA131062 TAW131062 TKS131062 TUO131062 UEK131062 UOG131062 UYC131062 VHY131062 VRU131062 WBQ131062 WLM131062 WVI131062 D196598 IW196598 SS196598 ACO196598 AMK196598 AWG196598 BGC196598 BPY196598 BZU196598 CJQ196598 CTM196598 DDI196598 DNE196598 DXA196598 EGW196598 EQS196598 FAO196598 FKK196598 FUG196598 GEC196598 GNY196598 GXU196598 HHQ196598 HRM196598 IBI196598 ILE196598 IVA196598 JEW196598 JOS196598 JYO196598 KIK196598 KSG196598 LCC196598 LLY196598 LVU196598 MFQ196598 MPM196598 MZI196598 NJE196598 NTA196598 OCW196598 OMS196598 OWO196598 PGK196598 PQG196598 QAC196598 QJY196598 QTU196598 RDQ196598 RNM196598 RXI196598 SHE196598 SRA196598 TAW196598 TKS196598 TUO196598 UEK196598 UOG196598 UYC196598 VHY196598 VRU196598 WBQ196598 WLM196598 WVI196598 D262134 IW262134 SS262134 ACO262134 AMK262134 AWG262134 BGC262134 BPY262134 BZU262134 CJQ262134 CTM262134 DDI262134 DNE262134 DXA262134 EGW262134 EQS262134 FAO262134 FKK262134 FUG262134 GEC262134 GNY262134 GXU262134 HHQ262134 HRM262134 IBI262134 ILE262134 IVA262134 JEW262134 JOS262134 JYO262134 KIK262134 KSG262134 LCC262134 LLY262134 LVU262134 MFQ262134 MPM262134 MZI262134 NJE262134 NTA262134 OCW262134 OMS262134 OWO262134 PGK262134 PQG262134 QAC262134 QJY262134 QTU262134 RDQ262134 RNM262134 RXI262134 SHE262134 SRA262134 TAW262134 TKS262134 TUO262134 UEK262134 UOG262134 UYC262134 VHY262134 VRU262134 WBQ262134 WLM262134 WVI262134 D327670 IW327670 SS327670 ACO327670 AMK327670 AWG327670 BGC327670 BPY327670 BZU327670 CJQ327670 CTM327670 DDI327670 DNE327670 DXA327670 EGW327670 EQS327670 FAO327670 FKK327670 FUG327670 GEC327670 GNY327670 GXU327670 HHQ327670 HRM327670 IBI327670 ILE327670 IVA327670 JEW327670 JOS327670 JYO327670 KIK327670 KSG327670 LCC327670 LLY327670 LVU327670 MFQ327670 MPM327670 MZI327670 NJE327670 NTA327670 OCW327670 OMS327670 OWO327670 PGK327670 PQG327670 QAC327670 QJY327670 QTU327670 RDQ327670 RNM327670 RXI327670 SHE327670 SRA327670 TAW327670 TKS327670 TUO327670 UEK327670 UOG327670 UYC327670 VHY327670 VRU327670 WBQ327670 WLM327670 WVI327670 D393206 IW393206 SS393206 ACO393206 AMK393206 AWG393206 BGC393206 BPY393206 BZU393206 CJQ393206 CTM393206 DDI393206 DNE393206 DXA393206 EGW393206 EQS393206 FAO393206 FKK393206 FUG393206 GEC393206 GNY393206 GXU393206 HHQ393206 HRM393206 IBI393206 ILE393206 IVA393206 JEW393206 JOS393206 JYO393206 KIK393206 KSG393206 LCC393206 LLY393206 LVU393206 MFQ393206 MPM393206 MZI393206 NJE393206 NTA393206 OCW393206 OMS393206 OWO393206 PGK393206 PQG393206 QAC393206 QJY393206 QTU393206 RDQ393206 RNM393206 RXI393206 SHE393206 SRA393206 TAW393206 TKS393206 TUO393206 UEK393206 UOG393206 UYC393206 VHY393206 VRU393206 WBQ393206 WLM393206 WVI393206 D458742 IW458742 SS458742 ACO458742 AMK458742 AWG458742 BGC458742 BPY458742 BZU458742 CJQ458742 CTM458742 DDI458742 DNE458742 DXA458742 EGW458742 EQS458742 FAO458742 FKK458742 FUG458742 GEC458742 GNY458742 GXU458742 HHQ458742 HRM458742 IBI458742 ILE458742 IVA458742 JEW458742 JOS458742 JYO458742 KIK458742 KSG458742 LCC458742 LLY458742 LVU458742 MFQ458742 MPM458742 MZI458742 NJE458742 NTA458742 OCW458742 OMS458742 OWO458742 PGK458742 PQG458742 QAC458742 QJY458742 QTU458742 RDQ458742 RNM458742 RXI458742 SHE458742 SRA458742 TAW458742 TKS458742 TUO458742 UEK458742 UOG458742 UYC458742 VHY458742 VRU458742 WBQ458742 WLM458742 WVI458742 D524278 IW524278 SS524278 ACO524278 AMK524278 AWG524278 BGC524278 BPY524278 BZU524278 CJQ524278 CTM524278 DDI524278 DNE524278 DXA524278 EGW524278 EQS524278 FAO524278 FKK524278 FUG524278 GEC524278 GNY524278 GXU524278 HHQ524278 HRM524278 IBI524278 ILE524278 IVA524278 JEW524278 JOS524278 JYO524278 KIK524278 KSG524278 LCC524278 LLY524278 LVU524278 MFQ524278 MPM524278 MZI524278 NJE524278 NTA524278 OCW524278 OMS524278 OWO524278 PGK524278 PQG524278 QAC524278 QJY524278 QTU524278 RDQ524278 RNM524278 RXI524278 SHE524278 SRA524278 TAW524278 TKS524278 TUO524278 UEK524278 UOG524278 UYC524278 VHY524278 VRU524278 WBQ524278 WLM524278 WVI524278 D589814 IW589814 SS589814 ACO589814 AMK589814 AWG589814 BGC589814 BPY589814 BZU589814 CJQ589814 CTM589814 DDI589814 DNE589814 DXA589814 EGW589814 EQS589814 FAO589814 FKK589814 FUG589814 GEC589814 GNY589814 GXU589814 HHQ589814 HRM589814 IBI589814 ILE589814 IVA589814 JEW589814 JOS589814 JYO589814 KIK589814 KSG589814 LCC589814 LLY589814 LVU589814 MFQ589814 MPM589814 MZI589814 NJE589814 NTA589814 OCW589814 OMS589814 OWO589814 PGK589814 PQG589814 QAC589814 QJY589814 QTU589814 RDQ589814 RNM589814 RXI589814 SHE589814 SRA589814 TAW589814 TKS589814 TUO589814 UEK589814 UOG589814 UYC589814 VHY589814 VRU589814 WBQ589814 WLM589814 WVI589814 D655350 IW655350 SS655350 ACO655350 AMK655350 AWG655350 BGC655350 BPY655350 BZU655350 CJQ655350 CTM655350 DDI655350 DNE655350 DXA655350 EGW655350 EQS655350 FAO655350 FKK655350 FUG655350 GEC655350 GNY655350 GXU655350 HHQ655350 HRM655350 IBI655350 ILE655350 IVA655350 JEW655350 JOS655350 JYO655350 KIK655350 KSG655350 LCC655350 LLY655350 LVU655350 MFQ655350 MPM655350 MZI655350 NJE655350 NTA655350 OCW655350 OMS655350 OWO655350 PGK655350 PQG655350 QAC655350 QJY655350 QTU655350 RDQ655350 RNM655350 RXI655350 SHE655350 SRA655350 TAW655350 TKS655350 TUO655350 UEK655350 UOG655350 UYC655350 VHY655350 VRU655350 WBQ655350 WLM655350 WVI655350 D720886 IW720886 SS720886 ACO720886 AMK720886 AWG720886 BGC720886 BPY720886 BZU720886 CJQ720886 CTM720886 DDI720886 DNE720886 DXA720886 EGW720886 EQS720886 FAO720886 FKK720886 FUG720886 GEC720886 GNY720886 GXU720886 HHQ720886 HRM720886 IBI720886 ILE720886 IVA720886 JEW720886 JOS720886 JYO720886 KIK720886 KSG720886 LCC720886 LLY720886 LVU720886 MFQ720886 MPM720886 MZI720886 NJE720886 NTA720886 OCW720886 OMS720886 OWO720886 PGK720886 PQG720886 QAC720886 QJY720886 QTU720886 RDQ720886 RNM720886 RXI720886 SHE720886 SRA720886 TAW720886 TKS720886 TUO720886 UEK720886 UOG720886 UYC720886 VHY720886 VRU720886 WBQ720886 WLM720886 WVI720886 D786422 IW786422 SS786422 ACO786422 AMK786422 AWG786422 BGC786422 BPY786422 BZU786422 CJQ786422 CTM786422 DDI786422 DNE786422 DXA786422 EGW786422 EQS786422 FAO786422 FKK786422 FUG786422 GEC786422 GNY786422 GXU786422 HHQ786422 HRM786422 IBI786422 ILE786422 IVA786422 JEW786422 JOS786422 JYO786422 KIK786422 KSG786422 LCC786422 LLY786422 LVU786422 MFQ786422 MPM786422 MZI786422 NJE786422 NTA786422 OCW786422 OMS786422 OWO786422 PGK786422 PQG786422 QAC786422 QJY786422 QTU786422 RDQ786422 RNM786422 RXI786422 SHE786422 SRA786422 TAW786422 TKS786422 TUO786422 UEK786422 UOG786422 UYC786422 VHY786422 VRU786422 WBQ786422 WLM786422 WVI786422 D851958 IW851958 SS851958 ACO851958 AMK851958 AWG851958 BGC851958 BPY851958 BZU851958 CJQ851958 CTM851958 DDI851958 DNE851958 DXA851958 EGW851958 EQS851958 FAO851958 FKK851958 FUG851958 GEC851958 GNY851958 GXU851958 HHQ851958 HRM851958 IBI851958 ILE851958 IVA851958 JEW851958 JOS851958 JYO851958 KIK851958 KSG851958 LCC851958 LLY851958 LVU851958 MFQ851958 MPM851958 MZI851958 NJE851958 NTA851958 OCW851958 OMS851958 OWO851958 PGK851958 PQG851958 QAC851958 QJY851958 QTU851958 RDQ851958 RNM851958 RXI851958 SHE851958 SRA851958 TAW851958 TKS851958 TUO851958 UEK851958 UOG851958 UYC851958 VHY851958 VRU851958 WBQ851958 WLM851958 WVI851958 D917494 IW917494 SS917494 ACO917494 AMK917494 AWG917494 BGC917494 BPY917494 BZU917494 CJQ917494 CTM917494 DDI917494 DNE917494 DXA917494 EGW917494 EQS917494 FAO917494 FKK917494 FUG917494 GEC917494 GNY917494 GXU917494 HHQ917494 HRM917494 IBI917494 ILE917494 IVA917494 JEW917494 JOS917494 JYO917494 KIK917494 KSG917494 LCC917494 LLY917494 LVU917494 MFQ917494 MPM917494 MZI917494 NJE917494 NTA917494 OCW917494 OMS917494 OWO917494 PGK917494 PQG917494 QAC917494 QJY917494 QTU917494 RDQ917494 RNM917494 RXI917494 SHE917494 SRA917494 TAW917494 TKS917494 TUO917494 UEK917494 UOG917494 UYC917494 VHY917494 VRU917494 WBQ917494 WLM917494 WVI917494 D983030 IW983030 SS983030 ACO983030 AMK983030 AWG983030 BGC983030 BPY983030 BZU983030 CJQ983030 CTM983030 DDI983030 DNE983030 DXA983030 EGW983030 EQS983030 FAO983030 FKK983030 FUG983030 GEC983030 GNY983030 GXU983030 HHQ983030 HRM983030 IBI983030 ILE983030 IVA983030 JEW983030 JOS983030 JYO983030 KIK983030 KSG983030 LCC983030 LLY983030 LVU983030 MFQ983030 MPM983030 MZI983030 NJE983030 NTA983030 OCW983030 OMS983030 OWO983030 PGK983030 PQG983030 QAC983030 QJY983030 QTU983030 RDQ983030 RNM983030 RXI983030 SHE983030 SRA983030 TAW983030 TKS983030 TUO983030 UEK983030 UOG983030 UYC983030 VHY983030 VRU983030 WBQ983030 WLM983030 WVI983030 A65503 IT65503 SP65503 ACL65503 AMH65503 AWD65503 BFZ65503 BPV65503 BZR65503 CJN65503 CTJ65503 DDF65503 DNB65503 DWX65503 EGT65503 EQP65503 FAL65503 FKH65503 FUD65503 GDZ65503 GNV65503 GXR65503 HHN65503 HRJ65503 IBF65503 ILB65503 IUX65503 JET65503 JOP65503 JYL65503 KIH65503 KSD65503 LBZ65503 LLV65503 LVR65503 MFN65503 MPJ65503 MZF65503 NJB65503 NSX65503 OCT65503 OMP65503 OWL65503 PGH65503 PQD65503 PZZ65503 QJV65503 QTR65503 RDN65503 RNJ65503 RXF65503 SHB65503 SQX65503 TAT65503 TKP65503 TUL65503 UEH65503 UOD65503 UXZ65503 VHV65503 VRR65503 WBN65503 WLJ65503 WVF65503 A131039 IT131039 SP131039 ACL131039 AMH131039 AWD131039 BFZ131039 BPV131039 BZR131039 CJN131039 CTJ131039 DDF131039 DNB131039 DWX131039 EGT131039 EQP131039 FAL131039 FKH131039 FUD131039 GDZ131039 GNV131039 GXR131039 HHN131039 HRJ131039 IBF131039 ILB131039 IUX131039 JET131039 JOP131039 JYL131039 KIH131039 KSD131039 LBZ131039 LLV131039 LVR131039 MFN131039 MPJ131039 MZF131039 NJB131039 NSX131039 OCT131039 OMP131039 OWL131039 PGH131039 PQD131039 PZZ131039 QJV131039 QTR131039 RDN131039 RNJ131039 RXF131039 SHB131039 SQX131039 TAT131039 TKP131039 TUL131039 UEH131039 UOD131039 UXZ131039 VHV131039 VRR131039 WBN131039 WLJ131039 WVF131039 A196575 IT196575 SP196575 ACL196575 AMH196575 AWD196575 BFZ196575 BPV196575 BZR196575 CJN196575 CTJ196575 DDF196575 DNB196575 DWX196575 EGT196575 EQP196575 FAL196575 FKH196575 FUD196575 GDZ196575 GNV196575 GXR196575 HHN196575 HRJ196575 IBF196575 ILB196575 IUX196575 JET196575 JOP196575 JYL196575 KIH196575 KSD196575 LBZ196575 LLV196575 LVR196575 MFN196575 MPJ196575 MZF196575 NJB196575 NSX196575 OCT196575 OMP196575 OWL196575 PGH196575 PQD196575 PZZ196575 QJV196575 QTR196575 RDN196575 RNJ196575 RXF196575 SHB196575 SQX196575 TAT196575 TKP196575 TUL196575 UEH196575 UOD196575 UXZ196575 VHV196575 VRR196575 WBN196575 WLJ196575 WVF196575 A262111 IT262111 SP262111 ACL262111 AMH262111 AWD262111 BFZ262111 BPV262111 BZR262111 CJN262111 CTJ262111 DDF262111 DNB262111 DWX262111 EGT262111 EQP262111 FAL262111 FKH262111 FUD262111 GDZ262111 GNV262111 GXR262111 HHN262111 HRJ262111 IBF262111 ILB262111 IUX262111 JET262111 JOP262111 JYL262111 KIH262111 KSD262111 LBZ262111 LLV262111 LVR262111 MFN262111 MPJ262111 MZF262111 NJB262111 NSX262111 OCT262111 OMP262111 OWL262111 PGH262111 PQD262111 PZZ262111 QJV262111 QTR262111 RDN262111 RNJ262111 RXF262111 SHB262111 SQX262111 TAT262111 TKP262111 TUL262111 UEH262111 UOD262111 UXZ262111 VHV262111 VRR262111 WBN262111 WLJ262111 WVF262111 A327647 IT327647 SP327647 ACL327647 AMH327647 AWD327647 BFZ327647 BPV327647 BZR327647 CJN327647 CTJ327647 DDF327647 DNB327647 DWX327647 EGT327647 EQP327647 FAL327647 FKH327647 FUD327647 GDZ327647 GNV327647 GXR327647 HHN327647 HRJ327647 IBF327647 ILB327647 IUX327647 JET327647 JOP327647 JYL327647 KIH327647 KSD327647 LBZ327647 LLV327647 LVR327647 MFN327647 MPJ327647 MZF327647 NJB327647 NSX327647 OCT327647 OMP327647 OWL327647 PGH327647 PQD327647 PZZ327647 QJV327647 QTR327647 RDN327647 RNJ327647 RXF327647 SHB327647 SQX327647 TAT327647 TKP327647 TUL327647 UEH327647 UOD327647 UXZ327647 VHV327647 VRR327647 WBN327647 WLJ327647 WVF327647 A393183 IT393183 SP393183 ACL393183 AMH393183 AWD393183 BFZ393183 BPV393183 BZR393183 CJN393183 CTJ393183 DDF393183 DNB393183 DWX393183 EGT393183 EQP393183 FAL393183 FKH393183 FUD393183 GDZ393183 GNV393183 GXR393183 HHN393183 HRJ393183 IBF393183 ILB393183 IUX393183 JET393183 JOP393183 JYL393183 KIH393183 KSD393183 LBZ393183 LLV393183 LVR393183 MFN393183 MPJ393183 MZF393183 NJB393183 NSX393183 OCT393183 OMP393183 OWL393183 PGH393183 PQD393183 PZZ393183 QJV393183 QTR393183 RDN393183 RNJ393183 RXF393183 SHB393183 SQX393183 TAT393183 TKP393183 TUL393183 UEH393183 UOD393183 UXZ393183 VHV393183 VRR393183 WBN393183 WLJ393183 WVF393183 A458719 IT458719 SP458719 ACL458719 AMH458719 AWD458719 BFZ458719 BPV458719 BZR458719 CJN458719 CTJ458719 DDF458719 DNB458719 DWX458719 EGT458719 EQP458719 FAL458719 FKH458719 FUD458719 GDZ458719 GNV458719 GXR458719 HHN458719 HRJ458719 IBF458719 ILB458719 IUX458719 JET458719 JOP458719 JYL458719 KIH458719 KSD458719 LBZ458719 LLV458719 LVR458719 MFN458719 MPJ458719 MZF458719 NJB458719 NSX458719 OCT458719 OMP458719 OWL458719 PGH458719 PQD458719 PZZ458719 QJV458719 QTR458719 RDN458719 RNJ458719 RXF458719 SHB458719 SQX458719 TAT458719 TKP458719 TUL458719 UEH458719 UOD458719 UXZ458719 VHV458719 VRR458719 WBN458719 WLJ458719 WVF458719 A524255 IT524255 SP524255 ACL524255 AMH524255 AWD524255 BFZ524255 BPV524255 BZR524255 CJN524255 CTJ524255 DDF524255 DNB524255 DWX524255 EGT524255 EQP524255 FAL524255 FKH524255 FUD524255 GDZ524255 GNV524255 GXR524255 HHN524255 HRJ524255 IBF524255 ILB524255 IUX524255 JET524255 JOP524255 JYL524255 KIH524255 KSD524255 LBZ524255 LLV524255 LVR524255 MFN524255 MPJ524255 MZF524255 NJB524255 NSX524255 OCT524255 OMP524255 OWL524255 PGH524255 PQD524255 PZZ524255 QJV524255 QTR524255 RDN524255 RNJ524255 RXF524255 SHB524255 SQX524255 TAT524255 TKP524255 TUL524255 UEH524255 UOD524255 UXZ524255 VHV524255 VRR524255 WBN524255 WLJ524255 WVF524255 A589791 IT589791 SP589791 ACL589791 AMH589791 AWD589791 BFZ589791 BPV589791 BZR589791 CJN589791 CTJ589791 DDF589791 DNB589791 DWX589791 EGT589791 EQP589791 FAL589791 FKH589791 FUD589791 GDZ589791 GNV589791 GXR589791 HHN589791 HRJ589791 IBF589791 ILB589791 IUX589791 JET589791 JOP589791 JYL589791 KIH589791 KSD589791 LBZ589791 LLV589791 LVR589791 MFN589791 MPJ589791 MZF589791 NJB589791 NSX589791 OCT589791 OMP589791 OWL589791 PGH589791 PQD589791 PZZ589791 QJV589791 QTR589791 RDN589791 RNJ589791 RXF589791 SHB589791 SQX589791 TAT589791 TKP589791 TUL589791 UEH589791 UOD589791 UXZ589791 VHV589791 VRR589791 WBN589791 WLJ589791 WVF589791 A655327 IT655327 SP655327 ACL655327 AMH655327 AWD655327 BFZ655327 BPV655327 BZR655327 CJN655327 CTJ655327 DDF655327 DNB655327 DWX655327 EGT655327 EQP655327 FAL655327 FKH655327 FUD655327 GDZ655327 GNV655327 GXR655327 HHN655327 HRJ655327 IBF655327 ILB655327 IUX655327 JET655327 JOP655327 JYL655327 KIH655327 KSD655327 LBZ655327 LLV655327 LVR655327 MFN655327 MPJ655327 MZF655327 NJB655327 NSX655327 OCT655327 OMP655327 OWL655327 PGH655327 PQD655327 PZZ655327 QJV655327 QTR655327 RDN655327 RNJ655327 RXF655327 SHB655327 SQX655327 TAT655327 TKP655327 TUL655327 UEH655327 UOD655327 UXZ655327 VHV655327 VRR655327 WBN655327 WLJ655327 WVF655327 A720863 IT720863 SP720863 ACL720863 AMH720863 AWD720863 BFZ720863 BPV720863 BZR720863 CJN720863 CTJ720863 DDF720863 DNB720863 DWX720863 EGT720863 EQP720863 FAL720863 FKH720863 FUD720863 GDZ720863 GNV720863 GXR720863 HHN720863 HRJ720863 IBF720863 ILB720863 IUX720863 JET720863 JOP720863 JYL720863 KIH720863 KSD720863 LBZ720863 LLV720863 LVR720863 MFN720863 MPJ720863 MZF720863 NJB720863 NSX720863 OCT720863 OMP720863 OWL720863 PGH720863 PQD720863 PZZ720863 QJV720863 QTR720863 RDN720863 RNJ720863 RXF720863 SHB720863 SQX720863 TAT720863 TKP720863 TUL720863 UEH720863 UOD720863 UXZ720863 VHV720863 VRR720863 WBN720863 WLJ720863 WVF720863 A786399 IT786399 SP786399 ACL786399 AMH786399 AWD786399 BFZ786399 BPV786399 BZR786399 CJN786399 CTJ786399 DDF786399 DNB786399 DWX786399 EGT786399 EQP786399 FAL786399 FKH786399 FUD786399 GDZ786399 GNV786399 GXR786399 HHN786399 HRJ786399 IBF786399 ILB786399 IUX786399 JET786399 JOP786399 JYL786399 KIH786399 KSD786399 LBZ786399 LLV786399 LVR786399 MFN786399 MPJ786399 MZF786399 NJB786399 NSX786399 OCT786399 OMP786399 OWL786399 PGH786399 PQD786399 PZZ786399 QJV786399 QTR786399 RDN786399 RNJ786399 RXF786399 SHB786399 SQX786399 TAT786399 TKP786399 TUL786399 UEH786399 UOD786399 UXZ786399 VHV786399 VRR786399 WBN786399 WLJ786399 WVF786399 A851935 IT851935 SP851935 ACL851935 AMH851935 AWD851935 BFZ851935 BPV851935 BZR851935 CJN851935 CTJ851935 DDF851935 DNB851935 DWX851935 EGT851935 EQP851935 FAL851935 FKH851935 FUD851935 GDZ851935 GNV851935 GXR851935 HHN851935 HRJ851935 IBF851935 ILB851935 IUX851935 JET851935 JOP851935 JYL851935 KIH851935 KSD851935 LBZ851935 LLV851935 LVR851935 MFN851935 MPJ851935 MZF851935 NJB851935 NSX851935 OCT851935 OMP851935 OWL851935 PGH851935 PQD851935 PZZ851935 QJV851935 QTR851935 RDN851935 RNJ851935 RXF851935 SHB851935 SQX851935 TAT851935 TKP851935 TUL851935 UEH851935 UOD851935 UXZ851935 VHV851935 VRR851935 WBN851935 WLJ851935 WVF851935 A917471 IT917471 SP917471 ACL917471 AMH917471 AWD917471 BFZ917471 BPV917471 BZR917471 CJN917471 CTJ917471 DDF917471 DNB917471 DWX917471 EGT917471 EQP917471 FAL917471 FKH917471 FUD917471 GDZ917471 GNV917471 GXR917471 HHN917471 HRJ917471 IBF917471 ILB917471 IUX917471 JET917471 JOP917471 JYL917471 KIH917471 KSD917471 LBZ917471 LLV917471 LVR917471 MFN917471 MPJ917471 MZF917471 NJB917471 NSX917471 OCT917471 OMP917471 OWL917471 PGH917471 PQD917471 PZZ917471 QJV917471 QTR917471 RDN917471 RNJ917471 RXF917471 SHB917471 SQX917471 TAT917471 TKP917471 TUL917471 UEH917471 UOD917471 UXZ917471 VHV917471 VRR917471 WBN917471 WLJ917471 WVF917471 A983007 IT983007 SP983007 ACL983007 AMH983007 AWD983007 BFZ983007 BPV983007 BZR983007 CJN983007 CTJ983007 DDF983007 DNB983007 DWX983007 EGT983007 EQP983007 FAL983007 FKH983007 FUD983007 GDZ983007 GNV983007 GXR983007 HHN983007 HRJ983007 IBF983007 ILB983007 IUX983007 JET983007 JOP983007 JYL983007 KIH983007 KSD983007 LBZ983007 LLV983007 LVR983007 MFN983007 MPJ983007 MZF983007 NJB983007 NSX983007 OCT983007 OMP983007 OWL983007 PGH983007 PQD983007 PZZ983007 QJV983007 QTR983007 RDN983007 RNJ983007 RXF983007 SHB983007 SQX983007 TAT983007 TKP983007 TUL983007 UEH983007 UOD983007 UXZ983007 VHV983007 VRR983007 WBN983007 WLJ983007 WVF983007 A65499:A65501 IT65499:IT65501 SP65499:SP65501 ACL65499:ACL65501 AMH65499:AMH65501 AWD65499:AWD65501 BFZ65499:BFZ65501 BPV65499:BPV65501 BZR65499:BZR65501 CJN65499:CJN65501 CTJ65499:CTJ65501 DDF65499:DDF65501 DNB65499:DNB65501 DWX65499:DWX65501 EGT65499:EGT65501 EQP65499:EQP65501 FAL65499:FAL65501 FKH65499:FKH65501 FUD65499:FUD65501 GDZ65499:GDZ65501 GNV65499:GNV65501 GXR65499:GXR65501 HHN65499:HHN65501 HRJ65499:HRJ65501 IBF65499:IBF65501 ILB65499:ILB65501 IUX65499:IUX65501 JET65499:JET65501 JOP65499:JOP65501 JYL65499:JYL65501 KIH65499:KIH65501 KSD65499:KSD65501 LBZ65499:LBZ65501 LLV65499:LLV65501 LVR65499:LVR65501 MFN65499:MFN65501 MPJ65499:MPJ65501 MZF65499:MZF65501 NJB65499:NJB65501 NSX65499:NSX65501 OCT65499:OCT65501 OMP65499:OMP65501 OWL65499:OWL65501 PGH65499:PGH65501 PQD65499:PQD65501 PZZ65499:PZZ65501 QJV65499:QJV65501 QTR65499:QTR65501 RDN65499:RDN65501 RNJ65499:RNJ65501 RXF65499:RXF65501 SHB65499:SHB65501 SQX65499:SQX65501 TAT65499:TAT65501 TKP65499:TKP65501 TUL65499:TUL65501 UEH65499:UEH65501 UOD65499:UOD65501 UXZ65499:UXZ65501 VHV65499:VHV65501 VRR65499:VRR65501 WBN65499:WBN65501 WLJ65499:WLJ65501 WVF65499:WVF65501 A131035:A131037 IT131035:IT131037 SP131035:SP131037 ACL131035:ACL131037 AMH131035:AMH131037 AWD131035:AWD131037 BFZ131035:BFZ131037 BPV131035:BPV131037 BZR131035:BZR131037 CJN131035:CJN131037 CTJ131035:CTJ131037 DDF131035:DDF131037 DNB131035:DNB131037 DWX131035:DWX131037 EGT131035:EGT131037 EQP131035:EQP131037 FAL131035:FAL131037 FKH131035:FKH131037 FUD131035:FUD131037 GDZ131035:GDZ131037 GNV131035:GNV131037 GXR131035:GXR131037 HHN131035:HHN131037 HRJ131035:HRJ131037 IBF131035:IBF131037 ILB131035:ILB131037 IUX131035:IUX131037 JET131035:JET131037 JOP131035:JOP131037 JYL131035:JYL131037 KIH131035:KIH131037 KSD131035:KSD131037 LBZ131035:LBZ131037 LLV131035:LLV131037 LVR131035:LVR131037 MFN131035:MFN131037 MPJ131035:MPJ131037 MZF131035:MZF131037 NJB131035:NJB131037 NSX131035:NSX131037 OCT131035:OCT131037 OMP131035:OMP131037 OWL131035:OWL131037 PGH131035:PGH131037 PQD131035:PQD131037 PZZ131035:PZZ131037 QJV131035:QJV131037 QTR131035:QTR131037 RDN131035:RDN131037 RNJ131035:RNJ131037 RXF131035:RXF131037 SHB131035:SHB131037 SQX131035:SQX131037 TAT131035:TAT131037 TKP131035:TKP131037 TUL131035:TUL131037 UEH131035:UEH131037 UOD131035:UOD131037 UXZ131035:UXZ131037 VHV131035:VHV131037 VRR131035:VRR131037 WBN131035:WBN131037 WLJ131035:WLJ131037 WVF131035:WVF131037 A196571:A196573 IT196571:IT196573 SP196571:SP196573 ACL196571:ACL196573 AMH196571:AMH196573 AWD196571:AWD196573 BFZ196571:BFZ196573 BPV196571:BPV196573 BZR196571:BZR196573 CJN196571:CJN196573 CTJ196571:CTJ196573 DDF196571:DDF196573 DNB196571:DNB196573 DWX196571:DWX196573 EGT196571:EGT196573 EQP196571:EQP196573 FAL196571:FAL196573 FKH196571:FKH196573 FUD196571:FUD196573 GDZ196571:GDZ196573 GNV196571:GNV196573 GXR196571:GXR196573 HHN196571:HHN196573 HRJ196571:HRJ196573 IBF196571:IBF196573 ILB196571:ILB196573 IUX196571:IUX196573 JET196571:JET196573 JOP196571:JOP196573 JYL196571:JYL196573 KIH196571:KIH196573 KSD196571:KSD196573 LBZ196571:LBZ196573 LLV196571:LLV196573 LVR196571:LVR196573 MFN196571:MFN196573 MPJ196571:MPJ196573 MZF196571:MZF196573 NJB196571:NJB196573 NSX196571:NSX196573 OCT196571:OCT196573 OMP196571:OMP196573 OWL196571:OWL196573 PGH196571:PGH196573 PQD196571:PQD196573 PZZ196571:PZZ196573 QJV196571:QJV196573 QTR196571:QTR196573 RDN196571:RDN196573 RNJ196571:RNJ196573 RXF196571:RXF196573 SHB196571:SHB196573 SQX196571:SQX196573 TAT196571:TAT196573 TKP196571:TKP196573 TUL196571:TUL196573 UEH196571:UEH196573 UOD196571:UOD196573 UXZ196571:UXZ196573 VHV196571:VHV196573 VRR196571:VRR196573 WBN196571:WBN196573 WLJ196571:WLJ196573 WVF196571:WVF196573 A262107:A262109 IT262107:IT262109 SP262107:SP262109 ACL262107:ACL262109 AMH262107:AMH262109 AWD262107:AWD262109 BFZ262107:BFZ262109 BPV262107:BPV262109 BZR262107:BZR262109 CJN262107:CJN262109 CTJ262107:CTJ262109 DDF262107:DDF262109 DNB262107:DNB262109 DWX262107:DWX262109 EGT262107:EGT262109 EQP262107:EQP262109 FAL262107:FAL262109 FKH262107:FKH262109 FUD262107:FUD262109 GDZ262107:GDZ262109 GNV262107:GNV262109 GXR262107:GXR262109 HHN262107:HHN262109 HRJ262107:HRJ262109 IBF262107:IBF262109 ILB262107:ILB262109 IUX262107:IUX262109 JET262107:JET262109 JOP262107:JOP262109 JYL262107:JYL262109 KIH262107:KIH262109 KSD262107:KSD262109 LBZ262107:LBZ262109 LLV262107:LLV262109 LVR262107:LVR262109 MFN262107:MFN262109 MPJ262107:MPJ262109 MZF262107:MZF262109 NJB262107:NJB262109 NSX262107:NSX262109 OCT262107:OCT262109 OMP262107:OMP262109 OWL262107:OWL262109 PGH262107:PGH262109 PQD262107:PQD262109 PZZ262107:PZZ262109 QJV262107:QJV262109 QTR262107:QTR262109 RDN262107:RDN262109 RNJ262107:RNJ262109 RXF262107:RXF262109 SHB262107:SHB262109 SQX262107:SQX262109 TAT262107:TAT262109 TKP262107:TKP262109 TUL262107:TUL262109 UEH262107:UEH262109 UOD262107:UOD262109 UXZ262107:UXZ262109 VHV262107:VHV262109 VRR262107:VRR262109 WBN262107:WBN262109 WLJ262107:WLJ262109 WVF262107:WVF262109 A327643:A327645 IT327643:IT327645 SP327643:SP327645 ACL327643:ACL327645 AMH327643:AMH327645 AWD327643:AWD327645 BFZ327643:BFZ327645 BPV327643:BPV327645 BZR327643:BZR327645 CJN327643:CJN327645 CTJ327643:CTJ327645 DDF327643:DDF327645 DNB327643:DNB327645 DWX327643:DWX327645 EGT327643:EGT327645 EQP327643:EQP327645 FAL327643:FAL327645 FKH327643:FKH327645 FUD327643:FUD327645 GDZ327643:GDZ327645 GNV327643:GNV327645 GXR327643:GXR327645 HHN327643:HHN327645 HRJ327643:HRJ327645 IBF327643:IBF327645 ILB327643:ILB327645 IUX327643:IUX327645 JET327643:JET327645 JOP327643:JOP327645 JYL327643:JYL327645 KIH327643:KIH327645 KSD327643:KSD327645 LBZ327643:LBZ327645 LLV327643:LLV327645 LVR327643:LVR327645 MFN327643:MFN327645 MPJ327643:MPJ327645 MZF327643:MZF327645 NJB327643:NJB327645 NSX327643:NSX327645 OCT327643:OCT327645 OMP327643:OMP327645 OWL327643:OWL327645 PGH327643:PGH327645 PQD327643:PQD327645 PZZ327643:PZZ327645 QJV327643:QJV327645 QTR327643:QTR327645 RDN327643:RDN327645 RNJ327643:RNJ327645 RXF327643:RXF327645 SHB327643:SHB327645 SQX327643:SQX327645 TAT327643:TAT327645 TKP327643:TKP327645 TUL327643:TUL327645 UEH327643:UEH327645 UOD327643:UOD327645 UXZ327643:UXZ327645 VHV327643:VHV327645 VRR327643:VRR327645 WBN327643:WBN327645 WLJ327643:WLJ327645 WVF327643:WVF327645 A393179:A393181 IT393179:IT393181 SP393179:SP393181 ACL393179:ACL393181 AMH393179:AMH393181 AWD393179:AWD393181 BFZ393179:BFZ393181 BPV393179:BPV393181 BZR393179:BZR393181 CJN393179:CJN393181 CTJ393179:CTJ393181 DDF393179:DDF393181 DNB393179:DNB393181 DWX393179:DWX393181 EGT393179:EGT393181 EQP393179:EQP393181 FAL393179:FAL393181 FKH393179:FKH393181 FUD393179:FUD393181 GDZ393179:GDZ393181 GNV393179:GNV393181 GXR393179:GXR393181 HHN393179:HHN393181 HRJ393179:HRJ393181 IBF393179:IBF393181 ILB393179:ILB393181 IUX393179:IUX393181 JET393179:JET393181 JOP393179:JOP393181 JYL393179:JYL393181 KIH393179:KIH393181 KSD393179:KSD393181 LBZ393179:LBZ393181 LLV393179:LLV393181 LVR393179:LVR393181 MFN393179:MFN393181 MPJ393179:MPJ393181 MZF393179:MZF393181 NJB393179:NJB393181 NSX393179:NSX393181 OCT393179:OCT393181 OMP393179:OMP393181 OWL393179:OWL393181 PGH393179:PGH393181 PQD393179:PQD393181 PZZ393179:PZZ393181 QJV393179:QJV393181 QTR393179:QTR393181 RDN393179:RDN393181 RNJ393179:RNJ393181 RXF393179:RXF393181 SHB393179:SHB393181 SQX393179:SQX393181 TAT393179:TAT393181 TKP393179:TKP393181 TUL393179:TUL393181 UEH393179:UEH393181 UOD393179:UOD393181 UXZ393179:UXZ393181 VHV393179:VHV393181 VRR393179:VRR393181 WBN393179:WBN393181 WLJ393179:WLJ393181 WVF393179:WVF393181 A458715:A458717 IT458715:IT458717 SP458715:SP458717 ACL458715:ACL458717 AMH458715:AMH458717 AWD458715:AWD458717 BFZ458715:BFZ458717 BPV458715:BPV458717 BZR458715:BZR458717 CJN458715:CJN458717 CTJ458715:CTJ458717 DDF458715:DDF458717 DNB458715:DNB458717 DWX458715:DWX458717 EGT458715:EGT458717 EQP458715:EQP458717 FAL458715:FAL458717 FKH458715:FKH458717 FUD458715:FUD458717 GDZ458715:GDZ458717 GNV458715:GNV458717 GXR458715:GXR458717 HHN458715:HHN458717 HRJ458715:HRJ458717 IBF458715:IBF458717 ILB458715:ILB458717 IUX458715:IUX458717 JET458715:JET458717 JOP458715:JOP458717 JYL458715:JYL458717 KIH458715:KIH458717 KSD458715:KSD458717 LBZ458715:LBZ458717 LLV458715:LLV458717 LVR458715:LVR458717 MFN458715:MFN458717 MPJ458715:MPJ458717 MZF458715:MZF458717 NJB458715:NJB458717 NSX458715:NSX458717 OCT458715:OCT458717 OMP458715:OMP458717 OWL458715:OWL458717 PGH458715:PGH458717 PQD458715:PQD458717 PZZ458715:PZZ458717 QJV458715:QJV458717 QTR458715:QTR458717 RDN458715:RDN458717 RNJ458715:RNJ458717 RXF458715:RXF458717 SHB458715:SHB458717 SQX458715:SQX458717 TAT458715:TAT458717 TKP458715:TKP458717 TUL458715:TUL458717 UEH458715:UEH458717 UOD458715:UOD458717 UXZ458715:UXZ458717 VHV458715:VHV458717 VRR458715:VRR458717 WBN458715:WBN458717 WLJ458715:WLJ458717 WVF458715:WVF458717 A524251:A524253 IT524251:IT524253 SP524251:SP524253 ACL524251:ACL524253 AMH524251:AMH524253 AWD524251:AWD524253 BFZ524251:BFZ524253 BPV524251:BPV524253 BZR524251:BZR524253 CJN524251:CJN524253 CTJ524251:CTJ524253 DDF524251:DDF524253 DNB524251:DNB524253 DWX524251:DWX524253 EGT524251:EGT524253 EQP524251:EQP524253 FAL524251:FAL524253 FKH524251:FKH524253 FUD524251:FUD524253 GDZ524251:GDZ524253 GNV524251:GNV524253 GXR524251:GXR524253 HHN524251:HHN524253 HRJ524251:HRJ524253 IBF524251:IBF524253 ILB524251:ILB524253 IUX524251:IUX524253 JET524251:JET524253 JOP524251:JOP524253 JYL524251:JYL524253 KIH524251:KIH524253 KSD524251:KSD524253 LBZ524251:LBZ524253 LLV524251:LLV524253 LVR524251:LVR524253 MFN524251:MFN524253 MPJ524251:MPJ524253 MZF524251:MZF524253 NJB524251:NJB524253 NSX524251:NSX524253 OCT524251:OCT524253 OMP524251:OMP524253 OWL524251:OWL524253 PGH524251:PGH524253 PQD524251:PQD524253 PZZ524251:PZZ524253 QJV524251:QJV524253 QTR524251:QTR524253 RDN524251:RDN524253 RNJ524251:RNJ524253 RXF524251:RXF524253 SHB524251:SHB524253 SQX524251:SQX524253 TAT524251:TAT524253 TKP524251:TKP524253 TUL524251:TUL524253 UEH524251:UEH524253 UOD524251:UOD524253 UXZ524251:UXZ524253 VHV524251:VHV524253 VRR524251:VRR524253 WBN524251:WBN524253 WLJ524251:WLJ524253 WVF524251:WVF524253 A589787:A589789 IT589787:IT589789 SP589787:SP589789 ACL589787:ACL589789 AMH589787:AMH589789 AWD589787:AWD589789 BFZ589787:BFZ589789 BPV589787:BPV589789 BZR589787:BZR589789 CJN589787:CJN589789 CTJ589787:CTJ589789 DDF589787:DDF589789 DNB589787:DNB589789 DWX589787:DWX589789 EGT589787:EGT589789 EQP589787:EQP589789 FAL589787:FAL589789 FKH589787:FKH589789 FUD589787:FUD589789 GDZ589787:GDZ589789 GNV589787:GNV589789 GXR589787:GXR589789 HHN589787:HHN589789 HRJ589787:HRJ589789 IBF589787:IBF589789 ILB589787:ILB589789 IUX589787:IUX589789 JET589787:JET589789 JOP589787:JOP589789 JYL589787:JYL589789 KIH589787:KIH589789 KSD589787:KSD589789 LBZ589787:LBZ589789 LLV589787:LLV589789 LVR589787:LVR589789 MFN589787:MFN589789 MPJ589787:MPJ589789 MZF589787:MZF589789 NJB589787:NJB589789 NSX589787:NSX589789 OCT589787:OCT589789 OMP589787:OMP589789 OWL589787:OWL589789 PGH589787:PGH589789 PQD589787:PQD589789 PZZ589787:PZZ589789 QJV589787:QJV589789 QTR589787:QTR589789 RDN589787:RDN589789 RNJ589787:RNJ589789 RXF589787:RXF589789 SHB589787:SHB589789 SQX589787:SQX589789 TAT589787:TAT589789 TKP589787:TKP589789 TUL589787:TUL589789 UEH589787:UEH589789 UOD589787:UOD589789 UXZ589787:UXZ589789 VHV589787:VHV589789 VRR589787:VRR589789 WBN589787:WBN589789 WLJ589787:WLJ589789 WVF589787:WVF589789 A655323:A655325 IT655323:IT655325 SP655323:SP655325 ACL655323:ACL655325 AMH655323:AMH655325 AWD655323:AWD655325 BFZ655323:BFZ655325 BPV655323:BPV655325 BZR655323:BZR655325 CJN655323:CJN655325 CTJ655323:CTJ655325 DDF655323:DDF655325 DNB655323:DNB655325 DWX655323:DWX655325 EGT655323:EGT655325 EQP655323:EQP655325 FAL655323:FAL655325 FKH655323:FKH655325 FUD655323:FUD655325 GDZ655323:GDZ655325 GNV655323:GNV655325 GXR655323:GXR655325 HHN655323:HHN655325 HRJ655323:HRJ655325 IBF655323:IBF655325 ILB655323:ILB655325 IUX655323:IUX655325 JET655323:JET655325 JOP655323:JOP655325 JYL655323:JYL655325 KIH655323:KIH655325 KSD655323:KSD655325 LBZ655323:LBZ655325 LLV655323:LLV655325 LVR655323:LVR655325 MFN655323:MFN655325 MPJ655323:MPJ655325 MZF655323:MZF655325 NJB655323:NJB655325 NSX655323:NSX655325 OCT655323:OCT655325 OMP655323:OMP655325 OWL655323:OWL655325 PGH655323:PGH655325 PQD655323:PQD655325 PZZ655323:PZZ655325 QJV655323:QJV655325 QTR655323:QTR655325 RDN655323:RDN655325 RNJ655323:RNJ655325 RXF655323:RXF655325 SHB655323:SHB655325 SQX655323:SQX655325 TAT655323:TAT655325 TKP655323:TKP655325 TUL655323:TUL655325 UEH655323:UEH655325 UOD655323:UOD655325 UXZ655323:UXZ655325 VHV655323:VHV655325 VRR655323:VRR655325 WBN655323:WBN655325 WLJ655323:WLJ655325 WVF655323:WVF655325 A720859:A720861 IT720859:IT720861 SP720859:SP720861 ACL720859:ACL720861 AMH720859:AMH720861 AWD720859:AWD720861 BFZ720859:BFZ720861 BPV720859:BPV720861 BZR720859:BZR720861 CJN720859:CJN720861 CTJ720859:CTJ720861 DDF720859:DDF720861 DNB720859:DNB720861 DWX720859:DWX720861 EGT720859:EGT720861 EQP720859:EQP720861 FAL720859:FAL720861 FKH720859:FKH720861 FUD720859:FUD720861 GDZ720859:GDZ720861 GNV720859:GNV720861 GXR720859:GXR720861 HHN720859:HHN720861 HRJ720859:HRJ720861 IBF720859:IBF720861 ILB720859:ILB720861 IUX720859:IUX720861 JET720859:JET720861 JOP720859:JOP720861 JYL720859:JYL720861 KIH720859:KIH720861 KSD720859:KSD720861 LBZ720859:LBZ720861 LLV720859:LLV720861 LVR720859:LVR720861 MFN720859:MFN720861 MPJ720859:MPJ720861 MZF720859:MZF720861 NJB720859:NJB720861 NSX720859:NSX720861 OCT720859:OCT720861 OMP720859:OMP720861 OWL720859:OWL720861 PGH720859:PGH720861 PQD720859:PQD720861 PZZ720859:PZZ720861 QJV720859:QJV720861 QTR720859:QTR720861 RDN720859:RDN720861 RNJ720859:RNJ720861 RXF720859:RXF720861 SHB720859:SHB720861 SQX720859:SQX720861 TAT720859:TAT720861 TKP720859:TKP720861 TUL720859:TUL720861 UEH720859:UEH720861 UOD720859:UOD720861 UXZ720859:UXZ720861 VHV720859:VHV720861 VRR720859:VRR720861 WBN720859:WBN720861 WLJ720859:WLJ720861 WVF720859:WVF720861 A786395:A786397 IT786395:IT786397 SP786395:SP786397 ACL786395:ACL786397 AMH786395:AMH786397 AWD786395:AWD786397 BFZ786395:BFZ786397 BPV786395:BPV786397 BZR786395:BZR786397 CJN786395:CJN786397 CTJ786395:CTJ786397 DDF786395:DDF786397 DNB786395:DNB786397 DWX786395:DWX786397 EGT786395:EGT786397 EQP786395:EQP786397 FAL786395:FAL786397 FKH786395:FKH786397 FUD786395:FUD786397 GDZ786395:GDZ786397 GNV786395:GNV786397 GXR786395:GXR786397 HHN786395:HHN786397 HRJ786395:HRJ786397 IBF786395:IBF786397 ILB786395:ILB786397 IUX786395:IUX786397 JET786395:JET786397 JOP786395:JOP786397 JYL786395:JYL786397 KIH786395:KIH786397 KSD786395:KSD786397 LBZ786395:LBZ786397 LLV786395:LLV786397 LVR786395:LVR786397 MFN786395:MFN786397 MPJ786395:MPJ786397 MZF786395:MZF786397 NJB786395:NJB786397 NSX786395:NSX786397 OCT786395:OCT786397 OMP786395:OMP786397 OWL786395:OWL786397 PGH786395:PGH786397 PQD786395:PQD786397 PZZ786395:PZZ786397 QJV786395:QJV786397 QTR786395:QTR786397 RDN786395:RDN786397 RNJ786395:RNJ786397 RXF786395:RXF786397 SHB786395:SHB786397 SQX786395:SQX786397 TAT786395:TAT786397 TKP786395:TKP786397 TUL786395:TUL786397 UEH786395:UEH786397 UOD786395:UOD786397 UXZ786395:UXZ786397 VHV786395:VHV786397 VRR786395:VRR786397 WBN786395:WBN786397 WLJ786395:WLJ786397 WVF786395:WVF786397 A851931:A851933 IT851931:IT851933 SP851931:SP851933 ACL851931:ACL851933 AMH851931:AMH851933 AWD851931:AWD851933 BFZ851931:BFZ851933 BPV851931:BPV851933 BZR851931:BZR851933 CJN851931:CJN851933 CTJ851931:CTJ851933 DDF851931:DDF851933 DNB851931:DNB851933 DWX851931:DWX851933 EGT851931:EGT851933 EQP851931:EQP851933 FAL851931:FAL851933 FKH851931:FKH851933 FUD851931:FUD851933 GDZ851931:GDZ851933 GNV851931:GNV851933 GXR851931:GXR851933 HHN851931:HHN851933 HRJ851931:HRJ851933 IBF851931:IBF851933 ILB851931:ILB851933 IUX851931:IUX851933 JET851931:JET851933 JOP851931:JOP851933 JYL851931:JYL851933 KIH851931:KIH851933 KSD851931:KSD851933 LBZ851931:LBZ851933 LLV851931:LLV851933 LVR851931:LVR851933 MFN851931:MFN851933 MPJ851931:MPJ851933 MZF851931:MZF851933 NJB851931:NJB851933 NSX851931:NSX851933 OCT851931:OCT851933 OMP851931:OMP851933 OWL851931:OWL851933 PGH851931:PGH851933 PQD851931:PQD851933 PZZ851931:PZZ851933 QJV851931:QJV851933 QTR851931:QTR851933 RDN851931:RDN851933 RNJ851931:RNJ851933 RXF851931:RXF851933 SHB851931:SHB851933 SQX851931:SQX851933 TAT851931:TAT851933 TKP851931:TKP851933 TUL851931:TUL851933 UEH851931:UEH851933 UOD851931:UOD851933 UXZ851931:UXZ851933 VHV851931:VHV851933 VRR851931:VRR851933 WBN851931:WBN851933 WLJ851931:WLJ851933 WVF851931:WVF851933 A917467:A917469 IT917467:IT917469 SP917467:SP917469 ACL917467:ACL917469 AMH917467:AMH917469 AWD917467:AWD917469 BFZ917467:BFZ917469 BPV917467:BPV917469 BZR917467:BZR917469 CJN917467:CJN917469 CTJ917467:CTJ917469 DDF917467:DDF917469 DNB917467:DNB917469 DWX917467:DWX917469 EGT917467:EGT917469 EQP917467:EQP917469 FAL917467:FAL917469 FKH917467:FKH917469 FUD917467:FUD917469 GDZ917467:GDZ917469 GNV917467:GNV917469 GXR917467:GXR917469 HHN917467:HHN917469 HRJ917467:HRJ917469 IBF917467:IBF917469 ILB917467:ILB917469 IUX917467:IUX917469 JET917467:JET917469 JOP917467:JOP917469 JYL917467:JYL917469 KIH917467:KIH917469 KSD917467:KSD917469 LBZ917467:LBZ917469 LLV917467:LLV917469 LVR917467:LVR917469 MFN917467:MFN917469 MPJ917467:MPJ917469 MZF917467:MZF917469 NJB917467:NJB917469 NSX917467:NSX917469 OCT917467:OCT917469 OMP917467:OMP917469 OWL917467:OWL917469 PGH917467:PGH917469 PQD917467:PQD917469 PZZ917467:PZZ917469 QJV917467:QJV917469 QTR917467:QTR917469 RDN917467:RDN917469 RNJ917467:RNJ917469 RXF917467:RXF917469 SHB917467:SHB917469 SQX917467:SQX917469 TAT917467:TAT917469 TKP917467:TKP917469 TUL917467:TUL917469 UEH917467:UEH917469 UOD917467:UOD917469 UXZ917467:UXZ917469 VHV917467:VHV917469 VRR917467:VRR917469 WBN917467:WBN917469 WLJ917467:WLJ917469 WVF917467:WVF917469 A983003:A983005 IT983003:IT983005 SP983003:SP983005 ACL983003:ACL983005 AMH983003:AMH983005 AWD983003:AWD983005 BFZ983003:BFZ983005 BPV983003:BPV983005 BZR983003:BZR983005 CJN983003:CJN983005 CTJ983003:CTJ983005 DDF983003:DDF983005 DNB983003:DNB983005 DWX983003:DWX983005 EGT983003:EGT983005 EQP983003:EQP983005 FAL983003:FAL983005 FKH983003:FKH983005 FUD983003:FUD983005 GDZ983003:GDZ983005 GNV983003:GNV983005 GXR983003:GXR983005 HHN983003:HHN983005 HRJ983003:HRJ983005 IBF983003:IBF983005 ILB983003:ILB983005 IUX983003:IUX983005 JET983003:JET983005 JOP983003:JOP983005 JYL983003:JYL983005 KIH983003:KIH983005 KSD983003:KSD983005 LBZ983003:LBZ983005 LLV983003:LLV983005 LVR983003:LVR983005 MFN983003:MFN983005 MPJ983003:MPJ983005 MZF983003:MZF983005 NJB983003:NJB983005 NSX983003:NSX983005 OCT983003:OCT983005 OMP983003:OMP983005 OWL983003:OWL983005 PGH983003:PGH983005 PQD983003:PQD983005 PZZ983003:PZZ983005 QJV983003:QJV983005 QTR983003:QTR983005 RDN983003:RDN983005 RNJ983003:RNJ983005 RXF983003:RXF983005 SHB983003:SHB983005 SQX983003:SQX983005 TAT983003:TAT983005 TKP983003:TKP983005 TUL983003:TUL983005 UEH983003:UEH983005 UOD983003:UOD983005 UXZ983003:UXZ983005 VHV983003:VHV983005 VRR983003:VRR983005 WBN983003:WBN983005 WLJ983003:WLJ983005 WVF983003:WVF983005 A65498:D65498 IT65498:IW65498 SP65498:SS65498 ACL65498:ACO65498 AMH65498:AMK65498 AWD65498:AWG65498 BFZ65498:BGC65498 BPV65498:BPY65498 BZR65498:BZU65498 CJN65498:CJQ65498 CTJ65498:CTM65498 DDF65498:DDI65498 DNB65498:DNE65498 DWX65498:DXA65498 EGT65498:EGW65498 EQP65498:EQS65498 FAL65498:FAO65498 FKH65498:FKK65498 FUD65498:FUG65498 GDZ65498:GEC65498 GNV65498:GNY65498 GXR65498:GXU65498 HHN65498:HHQ65498 HRJ65498:HRM65498 IBF65498:IBI65498 ILB65498:ILE65498 IUX65498:IVA65498 JET65498:JEW65498 JOP65498:JOS65498 JYL65498:JYO65498 KIH65498:KIK65498 KSD65498:KSG65498 LBZ65498:LCC65498 LLV65498:LLY65498 LVR65498:LVU65498 MFN65498:MFQ65498 MPJ65498:MPM65498 MZF65498:MZI65498 NJB65498:NJE65498 NSX65498:NTA65498 OCT65498:OCW65498 OMP65498:OMS65498 OWL65498:OWO65498 PGH65498:PGK65498 PQD65498:PQG65498 PZZ65498:QAC65498 QJV65498:QJY65498 QTR65498:QTU65498 RDN65498:RDQ65498 RNJ65498:RNM65498 RXF65498:RXI65498 SHB65498:SHE65498 SQX65498:SRA65498 TAT65498:TAW65498 TKP65498:TKS65498 TUL65498:TUO65498 UEH65498:UEK65498 UOD65498:UOG65498 UXZ65498:UYC65498 VHV65498:VHY65498 VRR65498:VRU65498 WBN65498:WBQ65498 WLJ65498:WLM65498 WVF65498:WVI65498 A131034:D131034 IT131034:IW131034 SP131034:SS131034 ACL131034:ACO131034 AMH131034:AMK131034 AWD131034:AWG131034 BFZ131034:BGC131034 BPV131034:BPY131034 BZR131034:BZU131034 CJN131034:CJQ131034 CTJ131034:CTM131034 DDF131034:DDI131034 DNB131034:DNE131034 DWX131034:DXA131034 EGT131034:EGW131034 EQP131034:EQS131034 FAL131034:FAO131034 FKH131034:FKK131034 FUD131034:FUG131034 GDZ131034:GEC131034 GNV131034:GNY131034 GXR131034:GXU131034 HHN131034:HHQ131034 HRJ131034:HRM131034 IBF131034:IBI131034 ILB131034:ILE131034 IUX131034:IVA131034 JET131034:JEW131034 JOP131034:JOS131034 JYL131034:JYO131034 KIH131034:KIK131034 KSD131034:KSG131034 LBZ131034:LCC131034 LLV131034:LLY131034 LVR131034:LVU131034 MFN131034:MFQ131034 MPJ131034:MPM131034 MZF131034:MZI131034 NJB131034:NJE131034 NSX131034:NTA131034 OCT131034:OCW131034 OMP131034:OMS131034 OWL131034:OWO131034 PGH131034:PGK131034 PQD131034:PQG131034 PZZ131034:QAC131034 QJV131034:QJY131034 QTR131034:QTU131034 RDN131034:RDQ131034 RNJ131034:RNM131034 RXF131034:RXI131034 SHB131034:SHE131034 SQX131034:SRA131034 TAT131034:TAW131034 TKP131034:TKS131034 TUL131034:TUO131034 UEH131034:UEK131034 UOD131034:UOG131034 UXZ131034:UYC131034 VHV131034:VHY131034 VRR131034:VRU131034 WBN131034:WBQ131034 WLJ131034:WLM131034 WVF131034:WVI131034 A196570:D196570 IT196570:IW196570 SP196570:SS196570 ACL196570:ACO196570 AMH196570:AMK196570 AWD196570:AWG196570 BFZ196570:BGC196570 BPV196570:BPY196570 BZR196570:BZU196570 CJN196570:CJQ196570 CTJ196570:CTM196570 DDF196570:DDI196570 DNB196570:DNE196570 DWX196570:DXA196570 EGT196570:EGW196570 EQP196570:EQS196570 FAL196570:FAO196570 FKH196570:FKK196570 FUD196570:FUG196570 GDZ196570:GEC196570 GNV196570:GNY196570 GXR196570:GXU196570 HHN196570:HHQ196570 HRJ196570:HRM196570 IBF196570:IBI196570 ILB196570:ILE196570 IUX196570:IVA196570 JET196570:JEW196570 JOP196570:JOS196570 JYL196570:JYO196570 KIH196570:KIK196570 KSD196570:KSG196570 LBZ196570:LCC196570 LLV196570:LLY196570 LVR196570:LVU196570 MFN196570:MFQ196570 MPJ196570:MPM196570 MZF196570:MZI196570 NJB196570:NJE196570 NSX196570:NTA196570 OCT196570:OCW196570 OMP196570:OMS196570 OWL196570:OWO196570 PGH196570:PGK196570 PQD196570:PQG196570 PZZ196570:QAC196570 QJV196570:QJY196570 QTR196570:QTU196570 RDN196570:RDQ196570 RNJ196570:RNM196570 RXF196570:RXI196570 SHB196570:SHE196570 SQX196570:SRA196570 TAT196570:TAW196570 TKP196570:TKS196570 TUL196570:TUO196570 UEH196570:UEK196570 UOD196570:UOG196570 UXZ196570:UYC196570 VHV196570:VHY196570 VRR196570:VRU196570 WBN196570:WBQ196570 WLJ196570:WLM196570 WVF196570:WVI196570 A262106:D262106 IT262106:IW262106 SP262106:SS262106 ACL262106:ACO262106 AMH262106:AMK262106 AWD262106:AWG262106 BFZ262106:BGC262106 BPV262106:BPY262106 BZR262106:BZU262106 CJN262106:CJQ262106 CTJ262106:CTM262106 DDF262106:DDI262106 DNB262106:DNE262106 DWX262106:DXA262106 EGT262106:EGW262106 EQP262106:EQS262106 FAL262106:FAO262106 FKH262106:FKK262106 FUD262106:FUG262106 GDZ262106:GEC262106 GNV262106:GNY262106 GXR262106:GXU262106 HHN262106:HHQ262106 HRJ262106:HRM262106 IBF262106:IBI262106 ILB262106:ILE262106 IUX262106:IVA262106 JET262106:JEW262106 JOP262106:JOS262106 JYL262106:JYO262106 KIH262106:KIK262106 KSD262106:KSG262106 LBZ262106:LCC262106 LLV262106:LLY262106 LVR262106:LVU262106 MFN262106:MFQ262106 MPJ262106:MPM262106 MZF262106:MZI262106 NJB262106:NJE262106 NSX262106:NTA262106 OCT262106:OCW262106 OMP262106:OMS262106 OWL262106:OWO262106 PGH262106:PGK262106 PQD262106:PQG262106 PZZ262106:QAC262106 QJV262106:QJY262106 QTR262106:QTU262106 RDN262106:RDQ262106 RNJ262106:RNM262106 RXF262106:RXI262106 SHB262106:SHE262106 SQX262106:SRA262106 TAT262106:TAW262106 TKP262106:TKS262106 TUL262106:TUO262106 UEH262106:UEK262106 UOD262106:UOG262106 UXZ262106:UYC262106 VHV262106:VHY262106 VRR262106:VRU262106 WBN262106:WBQ262106 WLJ262106:WLM262106 WVF262106:WVI262106 A327642:D327642 IT327642:IW327642 SP327642:SS327642 ACL327642:ACO327642 AMH327642:AMK327642 AWD327642:AWG327642 BFZ327642:BGC327642 BPV327642:BPY327642 BZR327642:BZU327642 CJN327642:CJQ327642 CTJ327642:CTM327642 DDF327642:DDI327642 DNB327642:DNE327642 DWX327642:DXA327642 EGT327642:EGW327642 EQP327642:EQS327642 FAL327642:FAO327642 FKH327642:FKK327642 FUD327642:FUG327642 GDZ327642:GEC327642 GNV327642:GNY327642 GXR327642:GXU327642 HHN327642:HHQ327642 HRJ327642:HRM327642 IBF327642:IBI327642 ILB327642:ILE327642 IUX327642:IVA327642 JET327642:JEW327642 JOP327642:JOS327642 JYL327642:JYO327642 KIH327642:KIK327642 KSD327642:KSG327642 LBZ327642:LCC327642 LLV327642:LLY327642 LVR327642:LVU327642 MFN327642:MFQ327642 MPJ327642:MPM327642 MZF327642:MZI327642 NJB327642:NJE327642 NSX327642:NTA327642 OCT327642:OCW327642 OMP327642:OMS327642 OWL327642:OWO327642 PGH327642:PGK327642 PQD327642:PQG327642 PZZ327642:QAC327642 QJV327642:QJY327642 QTR327642:QTU327642 RDN327642:RDQ327642 RNJ327642:RNM327642 RXF327642:RXI327642 SHB327642:SHE327642 SQX327642:SRA327642 TAT327642:TAW327642 TKP327642:TKS327642 TUL327642:TUO327642 UEH327642:UEK327642 UOD327642:UOG327642 UXZ327642:UYC327642 VHV327642:VHY327642 VRR327642:VRU327642 WBN327642:WBQ327642 WLJ327642:WLM327642 WVF327642:WVI327642 A393178:D393178 IT393178:IW393178 SP393178:SS393178 ACL393178:ACO393178 AMH393178:AMK393178 AWD393178:AWG393178 BFZ393178:BGC393178 BPV393178:BPY393178 BZR393178:BZU393178 CJN393178:CJQ393178 CTJ393178:CTM393178 DDF393178:DDI393178 DNB393178:DNE393178 DWX393178:DXA393178 EGT393178:EGW393178 EQP393178:EQS393178 FAL393178:FAO393178 FKH393178:FKK393178 FUD393178:FUG393178 GDZ393178:GEC393178 GNV393178:GNY393178 GXR393178:GXU393178 HHN393178:HHQ393178 HRJ393178:HRM393178 IBF393178:IBI393178 ILB393178:ILE393178 IUX393178:IVA393178 JET393178:JEW393178 JOP393178:JOS393178 JYL393178:JYO393178 KIH393178:KIK393178 KSD393178:KSG393178 LBZ393178:LCC393178 LLV393178:LLY393178 LVR393178:LVU393178 MFN393178:MFQ393178 MPJ393178:MPM393178 MZF393178:MZI393178 NJB393178:NJE393178 NSX393178:NTA393178 OCT393178:OCW393178 OMP393178:OMS393178 OWL393178:OWO393178 PGH393178:PGK393178 PQD393178:PQG393178 PZZ393178:QAC393178 QJV393178:QJY393178 QTR393178:QTU393178 RDN393178:RDQ393178 RNJ393178:RNM393178 RXF393178:RXI393178 SHB393178:SHE393178 SQX393178:SRA393178 TAT393178:TAW393178 TKP393178:TKS393178 TUL393178:TUO393178 UEH393178:UEK393178 UOD393178:UOG393178 UXZ393178:UYC393178 VHV393178:VHY393178 VRR393178:VRU393178 WBN393178:WBQ393178 WLJ393178:WLM393178 WVF393178:WVI393178 A458714:D458714 IT458714:IW458714 SP458714:SS458714 ACL458714:ACO458714 AMH458714:AMK458714 AWD458714:AWG458714 BFZ458714:BGC458714 BPV458714:BPY458714 BZR458714:BZU458714 CJN458714:CJQ458714 CTJ458714:CTM458714 DDF458714:DDI458714 DNB458714:DNE458714 DWX458714:DXA458714 EGT458714:EGW458714 EQP458714:EQS458714 FAL458714:FAO458714 FKH458714:FKK458714 FUD458714:FUG458714 GDZ458714:GEC458714 GNV458714:GNY458714 GXR458714:GXU458714 HHN458714:HHQ458714 HRJ458714:HRM458714 IBF458714:IBI458714 ILB458714:ILE458714 IUX458714:IVA458714 JET458714:JEW458714 JOP458714:JOS458714 JYL458714:JYO458714 KIH458714:KIK458714 KSD458714:KSG458714 LBZ458714:LCC458714 LLV458714:LLY458714 LVR458714:LVU458714 MFN458714:MFQ458714 MPJ458714:MPM458714 MZF458714:MZI458714 NJB458714:NJE458714 NSX458714:NTA458714 OCT458714:OCW458714 OMP458714:OMS458714 OWL458714:OWO458714 PGH458714:PGK458714 PQD458714:PQG458714 PZZ458714:QAC458714 QJV458714:QJY458714 QTR458714:QTU458714 RDN458714:RDQ458714 RNJ458714:RNM458714 RXF458714:RXI458714 SHB458714:SHE458714 SQX458714:SRA458714 TAT458714:TAW458714 TKP458714:TKS458714 TUL458714:TUO458714 UEH458714:UEK458714 UOD458714:UOG458714 UXZ458714:UYC458714 VHV458714:VHY458714 VRR458714:VRU458714 WBN458714:WBQ458714 WLJ458714:WLM458714 WVF458714:WVI458714 A524250:D524250 IT524250:IW524250 SP524250:SS524250 ACL524250:ACO524250 AMH524250:AMK524250 AWD524250:AWG524250 BFZ524250:BGC524250 BPV524250:BPY524250 BZR524250:BZU524250 CJN524250:CJQ524250 CTJ524250:CTM524250 DDF524250:DDI524250 DNB524250:DNE524250 DWX524250:DXA524250 EGT524250:EGW524250 EQP524250:EQS524250 FAL524250:FAO524250 FKH524250:FKK524250 FUD524250:FUG524250 GDZ524250:GEC524250 GNV524250:GNY524250 GXR524250:GXU524250 HHN524250:HHQ524250 HRJ524250:HRM524250 IBF524250:IBI524250 ILB524250:ILE524250 IUX524250:IVA524250 JET524250:JEW524250 JOP524250:JOS524250 JYL524250:JYO524250 KIH524250:KIK524250 KSD524250:KSG524250 LBZ524250:LCC524250 LLV524250:LLY524250 LVR524250:LVU524250 MFN524250:MFQ524250 MPJ524250:MPM524250 MZF524250:MZI524250 NJB524250:NJE524250 NSX524250:NTA524250 OCT524250:OCW524250 OMP524250:OMS524250 OWL524250:OWO524250 PGH524250:PGK524250 PQD524250:PQG524250 PZZ524250:QAC524250 QJV524250:QJY524250 QTR524250:QTU524250 RDN524250:RDQ524250 RNJ524250:RNM524250 RXF524250:RXI524250 SHB524250:SHE524250 SQX524250:SRA524250 TAT524250:TAW524250 TKP524250:TKS524250 TUL524250:TUO524250 UEH524250:UEK524250 UOD524250:UOG524250 UXZ524250:UYC524250 VHV524250:VHY524250 VRR524250:VRU524250 WBN524250:WBQ524250 WLJ524250:WLM524250 WVF524250:WVI524250 A589786:D589786 IT589786:IW589786 SP589786:SS589786 ACL589786:ACO589786 AMH589786:AMK589786 AWD589786:AWG589786 BFZ589786:BGC589786 BPV589786:BPY589786 BZR589786:BZU589786 CJN589786:CJQ589786 CTJ589786:CTM589786 DDF589786:DDI589786 DNB589786:DNE589786 DWX589786:DXA589786 EGT589786:EGW589786 EQP589786:EQS589786 FAL589786:FAO589786 FKH589786:FKK589786 FUD589786:FUG589786 GDZ589786:GEC589786 GNV589786:GNY589786 GXR589786:GXU589786 HHN589786:HHQ589786 HRJ589786:HRM589786 IBF589786:IBI589786 ILB589786:ILE589786 IUX589786:IVA589786 JET589786:JEW589786 JOP589786:JOS589786 JYL589786:JYO589786 KIH589786:KIK589786 KSD589786:KSG589786 LBZ589786:LCC589786 LLV589786:LLY589786 LVR589786:LVU589786 MFN589786:MFQ589786 MPJ589786:MPM589786 MZF589786:MZI589786 NJB589786:NJE589786 NSX589786:NTA589786 OCT589786:OCW589786 OMP589786:OMS589786 OWL589786:OWO589786 PGH589786:PGK589786 PQD589786:PQG589786 PZZ589786:QAC589786 QJV589786:QJY589786 QTR589786:QTU589786 RDN589786:RDQ589786 RNJ589786:RNM589786 RXF589786:RXI589786 SHB589786:SHE589786 SQX589786:SRA589786 TAT589786:TAW589786 TKP589786:TKS589786 TUL589786:TUO589786 UEH589786:UEK589786 UOD589786:UOG589786 UXZ589786:UYC589786 VHV589786:VHY589786 VRR589786:VRU589786 WBN589786:WBQ589786 WLJ589786:WLM589786 WVF589786:WVI589786 A655322:D655322 IT655322:IW655322 SP655322:SS655322 ACL655322:ACO655322 AMH655322:AMK655322 AWD655322:AWG655322 BFZ655322:BGC655322 BPV655322:BPY655322 BZR655322:BZU655322 CJN655322:CJQ655322 CTJ655322:CTM655322 DDF655322:DDI655322 DNB655322:DNE655322 DWX655322:DXA655322 EGT655322:EGW655322 EQP655322:EQS655322 FAL655322:FAO655322 FKH655322:FKK655322 FUD655322:FUG655322 GDZ655322:GEC655322 GNV655322:GNY655322 GXR655322:GXU655322 HHN655322:HHQ655322 HRJ655322:HRM655322 IBF655322:IBI655322 ILB655322:ILE655322 IUX655322:IVA655322 JET655322:JEW655322 JOP655322:JOS655322 JYL655322:JYO655322 KIH655322:KIK655322 KSD655322:KSG655322 LBZ655322:LCC655322 LLV655322:LLY655322 LVR655322:LVU655322 MFN655322:MFQ655322 MPJ655322:MPM655322 MZF655322:MZI655322 NJB655322:NJE655322 NSX655322:NTA655322 OCT655322:OCW655322 OMP655322:OMS655322 OWL655322:OWO655322 PGH655322:PGK655322 PQD655322:PQG655322 PZZ655322:QAC655322 QJV655322:QJY655322 QTR655322:QTU655322 RDN655322:RDQ655322 RNJ655322:RNM655322 RXF655322:RXI655322 SHB655322:SHE655322 SQX655322:SRA655322 TAT655322:TAW655322 TKP655322:TKS655322 TUL655322:TUO655322 UEH655322:UEK655322 UOD655322:UOG655322 UXZ655322:UYC655322 VHV655322:VHY655322 VRR655322:VRU655322 WBN655322:WBQ655322 WLJ655322:WLM655322 WVF655322:WVI655322 A720858:D720858 IT720858:IW720858 SP720858:SS720858 ACL720858:ACO720858 AMH720858:AMK720858 AWD720858:AWG720858 BFZ720858:BGC720858 BPV720858:BPY720858 BZR720858:BZU720858 CJN720858:CJQ720858 CTJ720858:CTM720858 DDF720858:DDI720858 DNB720858:DNE720858 DWX720858:DXA720858 EGT720858:EGW720858 EQP720858:EQS720858 FAL720858:FAO720858 FKH720858:FKK720858 FUD720858:FUG720858 GDZ720858:GEC720858 GNV720858:GNY720858 GXR720858:GXU720858 HHN720858:HHQ720858 HRJ720858:HRM720858 IBF720858:IBI720858 ILB720858:ILE720858 IUX720858:IVA720858 JET720858:JEW720858 JOP720858:JOS720858 JYL720858:JYO720858 KIH720858:KIK720858 KSD720858:KSG720858 LBZ720858:LCC720858 LLV720858:LLY720858 LVR720858:LVU720858 MFN720858:MFQ720858 MPJ720858:MPM720858 MZF720858:MZI720858 NJB720858:NJE720858 NSX720858:NTA720858 OCT720858:OCW720858 OMP720858:OMS720858 OWL720858:OWO720858 PGH720858:PGK720858 PQD720858:PQG720858 PZZ720858:QAC720858 QJV720858:QJY720858 QTR720858:QTU720858 RDN720858:RDQ720858 RNJ720858:RNM720858 RXF720858:RXI720858 SHB720858:SHE720858 SQX720858:SRA720858 TAT720858:TAW720858 TKP720858:TKS720858 TUL720858:TUO720858 UEH720858:UEK720858 UOD720858:UOG720858 UXZ720858:UYC720858 VHV720858:VHY720858 VRR720858:VRU720858 WBN720858:WBQ720858 WLJ720858:WLM720858 WVF720858:WVI720858 A786394:D786394 IT786394:IW786394 SP786394:SS786394 ACL786394:ACO786394 AMH786394:AMK786394 AWD786394:AWG786394 BFZ786394:BGC786394 BPV786394:BPY786394 BZR786394:BZU786394 CJN786394:CJQ786394 CTJ786394:CTM786394 DDF786394:DDI786394 DNB786394:DNE786394 DWX786394:DXA786394 EGT786394:EGW786394 EQP786394:EQS786394 FAL786394:FAO786394 FKH786394:FKK786394 FUD786394:FUG786394 GDZ786394:GEC786394 GNV786394:GNY786394 GXR786394:GXU786394 HHN786394:HHQ786394 HRJ786394:HRM786394 IBF786394:IBI786394 ILB786394:ILE786394 IUX786394:IVA786394 JET786394:JEW786394 JOP786394:JOS786394 JYL786394:JYO786394 KIH786394:KIK786394 KSD786394:KSG786394 LBZ786394:LCC786394 LLV786394:LLY786394 LVR786394:LVU786394 MFN786394:MFQ786394 MPJ786394:MPM786394 MZF786394:MZI786394 NJB786394:NJE786394 NSX786394:NTA786394 OCT786394:OCW786394 OMP786394:OMS786394 OWL786394:OWO786394 PGH786394:PGK786394 PQD786394:PQG786394 PZZ786394:QAC786394 QJV786394:QJY786394 QTR786394:QTU786394 RDN786394:RDQ786394 RNJ786394:RNM786394 RXF786394:RXI786394 SHB786394:SHE786394 SQX786394:SRA786394 TAT786394:TAW786394 TKP786394:TKS786394 TUL786394:TUO786394 UEH786394:UEK786394 UOD786394:UOG786394 UXZ786394:UYC786394 VHV786394:VHY786394 VRR786394:VRU786394 WBN786394:WBQ786394 WLJ786394:WLM786394 WVF786394:WVI786394 A851930:D851930 IT851930:IW851930 SP851930:SS851930 ACL851930:ACO851930 AMH851930:AMK851930 AWD851930:AWG851930 BFZ851930:BGC851930 BPV851930:BPY851930 BZR851930:BZU851930 CJN851930:CJQ851930 CTJ851930:CTM851930 DDF851930:DDI851930 DNB851930:DNE851930 DWX851930:DXA851930 EGT851930:EGW851930 EQP851930:EQS851930 FAL851930:FAO851930 FKH851930:FKK851930 FUD851930:FUG851930 GDZ851930:GEC851930 GNV851930:GNY851930 GXR851930:GXU851930 HHN851930:HHQ851930 HRJ851930:HRM851930 IBF851930:IBI851930 ILB851930:ILE851930 IUX851930:IVA851930 JET851930:JEW851930 JOP851930:JOS851930 JYL851930:JYO851930 KIH851930:KIK851930 KSD851930:KSG851930 LBZ851930:LCC851930 LLV851930:LLY851930 LVR851930:LVU851930 MFN851930:MFQ851930 MPJ851930:MPM851930 MZF851930:MZI851930 NJB851930:NJE851930 NSX851930:NTA851930 OCT851930:OCW851930 OMP851930:OMS851930 OWL851930:OWO851930 PGH851930:PGK851930 PQD851930:PQG851930 PZZ851930:QAC851930 QJV851930:QJY851930 QTR851930:QTU851930 RDN851930:RDQ851930 RNJ851930:RNM851930 RXF851930:RXI851930 SHB851930:SHE851930 SQX851930:SRA851930 TAT851930:TAW851930 TKP851930:TKS851930 TUL851930:TUO851930 UEH851930:UEK851930 UOD851930:UOG851930 UXZ851930:UYC851930 VHV851930:VHY851930 VRR851930:VRU851930 WBN851930:WBQ851930 WLJ851930:WLM851930 WVF851930:WVI851930 A917466:D917466 IT917466:IW917466 SP917466:SS917466 ACL917466:ACO917466 AMH917466:AMK917466 AWD917466:AWG917466 BFZ917466:BGC917466 BPV917466:BPY917466 BZR917466:BZU917466 CJN917466:CJQ917466 CTJ917466:CTM917466 DDF917466:DDI917466 DNB917466:DNE917466 DWX917466:DXA917466 EGT917466:EGW917466 EQP917466:EQS917466 FAL917466:FAO917466 FKH917466:FKK917466 FUD917466:FUG917466 GDZ917466:GEC917466 GNV917466:GNY917466 GXR917466:GXU917466 HHN917466:HHQ917466 HRJ917466:HRM917466 IBF917466:IBI917466 ILB917466:ILE917466 IUX917466:IVA917466 JET917466:JEW917466 JOP917466:JOS917466 JYL917466:JYO917466 KIH917466:KIK917466 KSD917466:KSG917466 LBZ917466:LCC917466 LLV917466:LLY917466 LVR917466:LVU917466 MFN917466:MFQ917466 MPJ917466:MPM917466 MZF917466:MZI917466 NJB917466:NJE917466 NSX917466:NTA917466 OCT917466:OCW917466 OMP917466:OMS917466 OWL917466:OWO917466 PGH917466:PGK917466 PQD917466:PQG917466 PZZ917466:QAC917466 QJV917466:QJY917466 QTR917466:QTU917466 RDN917466:RDQ917466 RNJ917466:RNM917466 RXF917466:RXI917466 SHB917466:SHE917466 SQX917466:SRA917466 TAT917466:TAW917466 TKP917466:TKS917466 TUL917466:TUO917466 UEH917466:UEK917466 UOD917466:UOG917466 UXZ917466:UYC917466 VHV917466:VHY917466 VRR917466:VRU917466 WBN917466:WBQ917466 WLJ917466:WLM917466 WVF917466:WVI917466 A983002:D983002 IT983002:IW983002 SP983002:SS983002 ACL983002:ACO983002 AMH983002:AMK983002 AWD983002:AWG983002 BFZ983002:BGC983002 BPV983002:BPY983002 BZR983002:BZU983002 CJN983002:CJQ983002 CTJ983002:CTM983002 DDF983002:DDI983002 DNB983002:DNE983002 DWX983002:DXA983002 EGT983002:EGW983002 EQP983002:EQS983002 FAL983002:FAO983002 FKH983002:FKK983002 FUD983002:FUG983002 GDZ983002:GEC983002 GNV983002:GNY983002 GXR983002:GXU983002 HHN983002:HHQ983002 HRJ983002:HRM983002 IBF983002:IBI983002 ILB983002:ILE983002 IUX983002:IVA983002 JET983002:JEW983002 JOP983002:JOS983002 JYL983002:JYO983002 KIH983002:KIK983002 KSD983002:KSG983002 LBZ983002:LCC983002 LLV983002:LLY983002 LVR983002:LVU983002 MFN983002:MFQ983002 MPJ983002:MPM983002 MZF983002:MZI983002 NJB983002:NJE983002 NSX983002:NTA983002 OCT983002:OCW983002 OMP983002:OMS983002 OWL983002:OWO983002 PGH983002:PGK983002 PQD983002:PQG983002 PZZ983002:QAC983002 QJV983002:QJY983002 QTR983002:QTU983002 RDN983002:RDQ983002 RNJ983002:RNM983002 RXF983002:RXI983002 SHB983002:SHE983002 SQX983002:SRA983002 TAT983002:TAW983002 TKP983002:TKS983002 TUL983002:TUO983002 UEH983002:UEK983002 UOD983002:UOG983002 UXZ983002:UYC983002 VHV983002:VHY983002 VRR983002:VRU983002 WBN983002:WBQ983002 WLJ983002:WLM983002 WVF983002:WVI983002 IT3:IT5 IT43:IT44 SP43:SP44 ACL43:ACL44 AMH43:AMH44 AWD43:AWD44 BFZ43:BFZ44 BPV43:BPV44 BZR43:BZR44 CJN43:CJN44 CTJ43:CTJ44 DDF43:DDF44 DNB43:DNB44 DWX43:DWX44 EGT43:EGT44 EQP43:EQP44 FAL43:FAL44 FKH43:FKH44 FUD43:FUD44 GDZ43:GDZ44 GNV43:GNV44 GXR43:GXR44 HHN43:HHN44 HRJ43:HRJ44 IBF43:IBF44 ILB43:ILB44 IUX43:IUX44 JET43:JET44 JOP43:JOP44 JYL43:JYL44 KIH43:KIH44 KSD43:KSD44 LBZ43:LBZ44 LLV43:LLV44 LVR43:LVR44 MFN43:MFN44 MPJ43:MPJ44 MZF43:MZF44 NJB43:NJB44 NSX43:NSX44 OCT43:OCT44 OMP43:OMP44 OWL43:OWL44 PGH43:PGH44 PQD43:PQD44 PZZ43:PZZ44 QJV43:QJV44 QTR43:QTR44 RDN43:RDN44 RNJ43:RNJ44 RXF43:RXF44 SHB43:SHB44 SQX43:SQX44 TAT43:TAT44 TKP43:TKP44 TUL43:TUL44 UEH43:UEH44 UOD43:UOD44 UXZ43:UXZ44 VHV43:VHV44 VRR43:VRR44 WBN43:WBN44 WLJ43:WLJ44 WVF43:WVF44 A19 IT19 SP19 ACL19 AMH19 AWD19 BFZ19 BPV19 BZR19 CJN19 CTJ19 DDF19 DNB19 DWX19 EGT19 EQP19 FAL19 FKH19 FUD19 GDZ19 GNV19 GXR19 HHN19 HRJ19 IBF19 ILB19 IUX19 JET19 JOP19 JYL19 KIH19 KSD19 LBZ19 LLV19 LVR19 MFN19 MPJ19 MZF19 NJB19 NSX19 OCT19 OMP19 OWL19 PGH19 PQD19 PZZ19 QJV19 QTR19 RDN19 RNJ19 RXF19 SHB19 SQX19 TAT19 TKP19 TUL19 UEH19 UOD19 UXZ19 VHV19 VRR19 WBN19 WLJ19 WVF19 D20 IW20 SS20 ACO20 AMK20 AWG20 BGC20 BPY20 BZU20 CJQ20 CTM20 DDI20 DNE20 DXA20 EGW20 EQS20 FAO20 FKK20 FUG20 GEC20 GNY20 GXU20 HHQ20 HRM20 IBI20 ILE20 IVA20 JEW20 JOS20 JYO20 KIK20 KSG20 LCC20 LLY20 LVU20 MFQ20 MPM20 MZI20 NJE20 NTA20 OCW20 OMS20 OWO20 PGK20 PQG20 QAC20 QJY20 QTU20 RDQ20 RNM20 RXI20 SHE20 SRA20 TAW20 TKS20 TUO20 UEK20 UOG20 UYC20 VHY20 VRU20 WBQ20 WLM20 WVI20 A7 IT7 SP7 ACL7 AMH7 AWD7 BFZ7 BPV7 BZR7 CJN7 CTJ7 DDF7 DNB7 DWX7 EGT7 EQP7 FAL7 FKH7 FUD7 GDZ7 GNV7 GXR7 HHN7 HRJ7 IBF7 ILB7 IUX7 JET7 JOP7 JYL7 KIH7 KSD7 LBZ7 LLV7 LVR7 MFN7 MPJ7 MZF7 NJB7 NSX7 OCT7 OMP7 OWL7 PGH7 PQD7 PZZ7 QJV7 QTR7 RDN7 RNJ7 RXF7 SHB7 SQX7 TAT7 TKP7 TUL7 UEH7 UOD7 UXZ7 VHV7 VRR7 WBN7 WLJ7 WVF7 A2:D2 IT2:IW2 SP2:SS2 ACL2:ACO2 AMH2:AMK2 AWD2:AWG2 BFZ2:BGC2 BPV2:BPY2 BZR2:BZU2 CJN2:CJQ2 CTJ2:CTM2 DDF2:DDI2 DNB2:DNE2 DWX2:DXA2 EGT2:EGW2 EQP2:EQS2 FAL2:FAO2 FKH2:FKK2 FUD2:FUG2 GDZ2:GEC2 GNV2:GNY2 GXR2:GXU2 HHN2:HHQ2 HRJ2:HRM2 IBF2:IBI2 ILB2:ILE2 IUX2:IVA2 JET2:JEW2 JOP2:JOS2 JYL2:JYO2 KIH2:KIK2 KSD2:KSG2 LBZ2:LCC2 LLV2:LLY2 LVR2:LVU2 MFN2:MFQ2 MPJ2:MPM2 MZF2:MZI2 NJB2:NJE2 NSX2:NTA2 OCT2:OCW2 OMP2:OMS2 OWL2:OWO2 PGH2:PGK2 PQD2:PQG2 PZZ2:QAC2 QJV2:QJY2 QTR2:QTU2 RDN2:RDQ2 RNJ2:RNM2 RXF2:RXI2 SHB2:SHE2 SQX2:SRA2 TAT2:TAW2 TKP2:TKS2 TUL2:TUO2 UEH2:UEK2 UOD2:UOG2 UXZ2:UYC2 VHV2:VHY2 VRR2:VRU2 WBN2:WBQ2 WLJ2:WLM2 WVF2:WVI2 A43:A44 IT64:IT65 SP64:SP65 ACL64:ACL65 AMH64:AMH65 AWD64:AWD65 BFZ64:BFZ65 BPV64:BPV65 BZR64:BZR65 CJN64:CJN65 CTJ64:CTJ65 DDF64:DDF65 DNB64:DNB65 DWX64:DWX65 EGT64:EGT65 EQP64:EQP65 FAL64:FAL65 FKH64:FKH65 FUD64:FUD65 GDZ64:GDZ65 GNV64:GNV65 GXR64:GXR65 HHN64:HHN65 HRJ64:HRJ65 IBF64:IBF65 ILB64:ILB65 IUX64:IUX65 JET64:JET65 JOP64:JOP65 JYL64:JYL65 KIH64:KIH65 KSD64:KSD65 LBZ64:LBZ65 LLV64:LLV65 LVR64:LVR65 MFN64:MFN65 MPJ64:MPJ65 MZF64:MZF65 NJB64:NJB65 NSX64:NSX65 OCT64:OCT65 OMP64:OMP65 OWL64:OWL65 PGH64:PGH65 PQD64:PQD65 PZZ64:PZZ65 QJV64:QJV65 QTR64:QTR65 RDN64:RDN65 RNJ64:RNJ65 RXF64:RXF65 SHB64:SHB65 SQX64:SQX65 TAT64:TAT65 TKP64:TKP65 TUL64:TUL65 UEH64:UEH65 UOD64:UOD65 UXZ64:UXZ65 VHV64:VHV65 VRR64:VRR65 WBN64:WBN65 WLJ64:WLJ65 WVF64:WVF65 D46 IW46 SS46 ACO46 AMK46 AWG46 BGC46 BPY46 BZU46 CJQ46 CTM46 DDI46 DNE46 DXA46 EGW46 EQS46 FAO46 FKK46 FUG46 GEC46 GNY46 GXU46 HHQ46 HRM46 IBI46 ILE46 IVA46 JEW46 JOS46 JYO46 KIK46 KSG46 LCC46 LLY46 LVU46 MFQ46 MPM46 MZI46 NJE46 NTA46 OCW46 OMS46 OWO46 PGK46 PQG46 QAC46 QJY46 QTU46 RDQ46 RNM46 RXI46 SHE46 SRA46 TAW46 TKS46 TUO46 UEK46 UOG46 UYC46 VHY46 VRU46 WBQ46 WLM46 WVI46 A3:A5 WVF3:WVF5 WLJ3:WLJ5 WBN3:WBN5 VRR3:VRR5 VHV3:VHV5 UXZ3:UXZ5 UOD3:UOD5 UEH3:UEH5 TUL3:TUL5 TKP3:TKP5 TAT3:TAT5 SQX3:SQX5 SHB3:SHB5 RXF3:RXF5 RNJ3:RNJ5 RDN3:RDN5 QTR3:QTR5 QJV3:QJV5 PZZ3:PZZ5 PQD3:PQD5 PGH3:PGH5 OWL3:OWL5 OMP3:OMP5 OCT3:OCT5 NSX3:NSX5 NJB3:NJB5 MZF3:MZF5 MPJ3:MPJ5 MFN3:MFN5 LVR3:LVR5 LLV3:LLV5 LBZ3:LBZ5 KSD3:KSD5 KIH3:KIH5 JYL3:JYL5 JOP3:JOP5 JET3:JET5 IUX3:IUX5 ILB3:ILB5 IBF3:IBF5 HRJ3:HRJ5 HHN3:HHN5 GXR3:GXR5 GNV3:GNV5 GDZ3:GDZ5 FUD3:FUD5 FKH3:FKH5 FAL3:FAL5 EQP3:EQP5 EGT3:EGT5 DWX3:DWX5 DNB3:DNB5 DDF3:DDF5 CTJ3:CTJ5 CJN3:CJN5 BZR3:BZR5 BPV3:BPV5 BFZ3:BFZ5 AWD3:AWD5 AMH3:AMH5 ACL3:ACL5 SP3:SP5 A64:A65</xm:sqref>
        </x14:dataValidation>
        <x14:dataValidation type="whole" allowBlank="1" showErrorMessage="1" error="Error in value" prompt="Please enter No. of patients ">
          <x14:formula1>
            <xm:f>0</xm:f>
          </x14:formula1>
          <x14:formula2>
            <xm:f>99999999</xm:f>
          </x14:formula2>
          <xm:sqref>J65500:K65500 JC65500:JD65500 SY65500:SZ65500 ACU65500:ACV65500 AMQ65500:AMR65500 AWM65500:AWN65500 BGI65500:BGJ65500 BQE65500:BQF65500 CAA65500:CAB65500 CJW65500:CJX65500 CTS65500:CTT65500 DDO65500:DDP65500 DNK65500:DNL65500 DXG65500:DXH65500 EHC65500:EHD65500 EQY65500:EQZ65500 FAU65500:FAV65500 FKQ65500:FKR65500 FUM65500:FUN65500 GEI65500:GEJ65500 GOE65500:GOF65500 GYA65500:GYB65500 HHW65500:HHX65500 HRS65500:HRT65500 IBO65500:IBP65500 ILK65500:ILL65500 IVG65500:IVH65500 JFC65500:JFD65500 JOY65500:JOZ65500 JYU65500:JYV65500 KIQ65500:KIR65500 KSM65500:KSN65500 LCI65500:LCJ65500 LME65500:LMF65500 LWA65500:LWB65500 MFW65500:MFX65500 MPS65500:MPT65500 MZO65500:MZP65500 NJK65500:NJL65500 NTG65500:NTH65500 ODC65500:ODD65500 OMY65500:OMZ65500 OWU65500:OWV65500 PGQ65500:PGR65500 PQM65500:PQN65500 QAI65500:QAJ65500 QKE65500:QKF65500 QUA65500:QUB65500 RDW65500:RDX65500 RNS65500:RNT65500 RXO65500:RXP65500 SHK65500:SHL65500 SRG65500:SRH65500 TBC65500:TBD65500 TKY65500:TKZ65500 TUU65500:TUV65500 UEQ65500:UER65500 UOM65500:UON65500 UYI65500:UYJ65500 VIE65500:VIF65500 VSA65500:VSB65500 WBW65500:WBX65500 WLS65500:WLT65500 WVO65500:WVP65500 J131036:K131036 JC131036:JD131036 SY131036:SZ131036 ACU131036:ACV131036 AMQ131036:AMR131036 AWM131036:AWN131036 BGI131036:BGJ131036 BQE131036:BQF131036 CAA131036:CAB131036 CJW131036:CJX131036 CTS131036:CTT131036 DDO131036:DDP131036 DNK131036:DNL131036 DXG131036:DXH131036 EHC131036:EHD131036 EQY131036:EQZ131036 FAU131036:FAV131036 FKQ131036:FKR131036 FUM131036:FUN131036 GEI131036:GEJ131036 GOE131036:GOF131036 GYA131036:GYB131036 HHW131036:HHX131036 HRS131036:HRT131036 IBO131036:IBP131036 ILK131036:ILL131036 IVG131036:IVH131036 JFC131036:JFD131036 JOY131036:JOZ131036 JYU131036:JYV131036 KIQ131036:KIR131036 KSM131036:KSN131036 LCI131036:LCJ131036 LME131036:LMF131036 LWA131036:LWB131036 MFW131036:MFX131036 MPS131036:MPT131036 MZO131036:MZP131036 NJK131036:NJL131036 NTG131036:NTH131036 ODC131036:ODD131036 OMY131036:OMZ131036 OWU131036:OWV131036 PGQ131036:PGR131036 PQM131036:PQN131036 QAI131036:QAJ131036 QKE131036:QKF131036 QUA131036:QUB131036 RDW131036:RDX131036 RNS131036:RNT131036 RXO131036:RXP131036 SHK131036:SHL131036 SRG131036:SRH131036 TBC131036:TBD131036 TKY131036:TKZ131036 TUU131036:TUV131036 UEQ131036:UER131036 UOM131036:UON131036 UYI131036:UYJ131036 VIE131036:VIF131036 VSA131036:VSB131036 WBW131036:WBX131036 WLS131036:WLT131036 WVO131036:WVP131036 J196572:K196572 JC196572:JD196572 SY196572:SZ196572 ACU196572:ACV196572 AMQ196572:AMR196572 AWM196572:AWN196572 BGI196572:BGJ196572 BQE196572:BQF196572 CAA196572:CAB196572 CJW196572:CJX196572 CTS196572:CTT196572 DDO196572:DDP196572 DNK196572:DNL196572 DXG196572:DXH196572 EHC196572:EHD196572 EQY196572:EQZ196572 FAU196572:FAV196572 FKQ196572:FKR196572 FUM196572:FUN196572 GEI196572:GEJ196572 GOE196572:GOF196572 GYA196572:GYB196572 HHW196572:HHX196572 HRS196572:HRT196572 IBO196572:IBP196572 ILK196572:ILL196572 IVG196572:IVH196572 JFC196572:JFD196572 JOY196572:JOZ196572 JYU196572:JYV196572 KIQ196572:KIR196572 KSM196572:KSN196572 LCI196572:LCJ196572 LME196572:LMF196572 LWA196572:LWB196572 MFW196572:MFX196572 MPS196572:MPT196572 MZO196572:MZP196572 NJK196572:NJL196572 NTG196572:NTH196572 ODC196572:ODD196572 OMY196572:OMZ196572 OWU196572:OWV196572 PGQ196572:PGR196572 PQM196572:PQN196572 QAI196572:QAJ196572 QKE196572:QKF196572 QUA196572:QUB196572 RDW196572:RDX196572 RNS196572:RNT196572 RXO196572:RXP196572 SHK196572:SHL196572 SRG196572:SRH196572 TBC196572:TBD196572 TKY196572:TKZ196572 TUU196572:TUV196572 UEQ196572:UER196572 UOM196572:UON196572 UYI196572:UYJ196572 VIE196572:VIF196572 VSA196572:VSB196572 WBW196572:WBX196572 WLS196572:WLT196572 WVO196572:WVP196572 J262108:K262108 JC262108:JD262108 SY262108:SZ262108 ACU262108:ACV262108 AMQ262108:AMR262108 AWM262108:AWN262108 BGI262108:BGJ262108 BQE262108:BQF262108 CAA262108:CAB262108 CJW262108:CJX262108 CTS262108:CTT262108 DDO262108:DDP262108 DNK262108:DNL262108 DXG262108:DXH262108 EHC262108:EHD262108 EQY262108:EQZ262108 FAU262108:FAV262108 FKQ262108:FKR262108 FUM262108:FUN262108 GEI262108:GEJ262108 GOE262108:GOF262108 GYA262108:GYB262108 HHW262108:HHX262108 HRS262108:HRT262108 IBO262108:IBP262108 ILK262108:ILL262108 IVG262108:IVH262108 JFC262108:JFD262108 JOY262108:JOZ262108 JYU262108:JYV262108 KIQ262108:KIR262108 KSM262108:KSN262108 LCI262108:LCJ262108 LME262108:LMF262108 LWA262108:LWB262108 MFW262108:MFX262108 MPS262108:MPT262108 MZO262108:MZP262108 NJK262108:NJL262108 NTG262108:NTH262108 ODC262108:ODD262108 OMY262108:OMZ262108 OWU262108:OWV262108 PGQ262108:PGR262108 PQM262108:PQN262108 QAI262108:QAJ262108 QKE262108:QKF262108 QUA262108:QUB262108 RDW262108:RDX262108 RNS262108:RNT262108 RXO262108:RXP262108 SHK262108:SHL262108 SRG262108:SRH262108 TBC262108:TBD262108 TKY262108:TKZ262108 TUU262108:TUV262108 UEQ262108:UER262108 UOM262108:UON262108 UYI262108:UYJ262108 VIE262108:VIF262108 VSA262108:VSB262108 WBW262108:WBX262108 WLS262108:WLT262108 WVO262108:WVP262108 J327644:K327644 JC327644:JD327644 SY327644:SZ327644 ACU327644:ACV327644 AMQ327644:AMR327644 AWM327644:AWN327644 BGI327644:BGJ327644 BQE327644:BQF327644 CAA327644:CAB327644 CJW327644:CJX327644 CTS327644:CTT327644 DDO327644:DDP327644 DNK327644:DNL327644 DXG327644:DXH327644 EHC327644:EHD327644 EQY327644:EQZ327644 FAU327644:FAV327644 FKQ327644:FKR327644 FUM327644:FUN327644 GEI327644:GEJ327644 GOE327644:GOF327644 GYA327644:GYB327644 HHW327644:HHX327644 HRS327644:HRT327644 IBO327644:IBP327644 ILK327644:ILL327644 IVG327644:IVH327644 JFC327644:JFD327644 JOY327644:JOZ327644 JYU327644:JYV327644 KIQ327644:KIR327644 KSM327644:KSN327644 LCI327644:LCJ327644 LME327644:LMF327644 LWA327644:LWB327644 MFW327644:MFX327644 MPS327644:MPT327644 MZO327644:MZP327644 NJK327644:NJL327644 NTG327644:NTH327644 ODC327644:ODD327644 OMY327644:OMZ327644 OWU327644:OWV327644 PGQ327644:PGR327644 PQM327644:PQN327644 QAI327644:QAJ327644 QKE327644:QKF327644 QUA327644:QUB327644 RDW327644:RDX327644 RNS327644:RNT327644 RXO327644:RXP327644 SHK327644:SHL327644 SRG327644:SRH327644 TBC327644:TBD327644 TKY327644:TKZ327644 TUU327644:TUV327644 UEQ327644:UER327644 UOM327644:UON327644 UYI327644:UYJ327644 VIE327644:VIF327644 VSA327644:VSB327644 WBW327644:WBX327644 WLS327644:WLT327644 WVO327644:WVP327644 J393180:K393180 JC393180:JD393180 SY393180:SZ393180 ACU393180:ACV393180 AMQ393180:AMR393180 AWM393180:AWN393180 BGI393180:BGJ393180 BQE393180:BQF393180 CAA393180:CAB393180 CJW393180:CJX393180 CTS393180:CTT393180 DDO393180:DDP393180 DNK393180:DNL393180 DXG393180:DXH393180 EHC393180:EHD393180 EQY393180:EQZ393180 FAU393180:FAV393180 FKQ393180:FKR393180 FUM393180:FUN393180 GEI393180:GEJ393180 GOE393180:GOF393180 GYA393180:GYB393180 HHW393180:HHX393180 HRS393180:HRT393180 IBO393180:IBP393180 ILK393180:ILL393180 IVG393180:IVH393180 JFC393180:JFD393180 JOY393180:JOZ393180 JYU393180:JYV393180 KIQ393180:KIR393180 KSM393180:KSN393180 LCI393180:LCJ393180 LME393180:LMF393180 LWA393180:LWB393180 MFW393180:MFX393180 MPS393180:MPT393180 MZO393180:MZP393180 NJK393180:NJL393180 NTG393180:NTH393180 ODC393180:ODD393180 OMY393180:OMZ393180 OWU393180:OWV393180 PGQ393180:PGR393180 PQM393180:PQN393180 QAI393180:QAJ393180 QKE393180:QKF393180 QUA393180:QUB393180 RDW393180:RDX393180 RNS393180:RNT393180 RXO393180:RXP393180 SHK393180:SHL393180 SRG393180:SRH393180 TBC393180:TBD393180 TKY393180:TKZ393180 TUU393180:TUV393180 UEQ393180:UER393180 UOM393180:UON393180 UYI393180:UYJ393180 VIE393180:VIF393180 VSA393180:VSB393180 WBW393180:WBX393180 WLS393180:WLT393180 WVO393180:WVP393180 J458716:K458716 JC458716:JD458716 SY458716:SZ458716 ACU458716:ACV458716 AMQ458716:AMR458716 AWM458716:AWN458716 BGI458716:BGJ458716 BQE458716:BQF458716 CAA458716:CAB458716 CJW458716:CJX458716 CTS458716:CTT458716 DDO458716:DDP458716 DNK458716:DNL458716 DXG458716:DXH458716 EHC458716:EHD458716 EQY458716:EQZ458716 FAU458716:FAV458716 FKQ458716:FKR458716 FUM458716:FUN458716 GEI458716:GEJ458716 GOE458716:GOF458716 GYA458716:GYB458716 HHW458716:HHX458716 HRS458716:HRT458716 IBO458716:IBP458716 ILK458716:ILL458716 IVG458716:IVH458716 JFC458716:JFD458716 JOY458716:JOZ458716 JYU458716:JYV458716 KIQ458716:KIR458716 KSM458716:KSN458716 LCI458716:LCJ458716 LME458716:LMF458716 LWA458716:LWB458716 MFW458716:MFX458716 MPS458716:MPT458716 MZO458716:MZP458716 NJK458716:NJL458716 NTG458716:NTH458716 ODC458716:ODD458716 OMY458716:OMZ458716 OWU458716:OWV458716 PGQ458716:PGR458716 PQM458716:PQN458716 QAI458716:QAJ458716 QKE458716:QKF458716 QUA458716:QUB458716 RDW458716:RDX458716 RNS458716:RNT458716 RXO458716:RXP458716 SHK458716:SHL458716 SRG458716:SRH458716 TBC458716:TBD458716 TKY458716:TKZ458716 TUU458716:TUV458716 UEQ458716:UER458716 UOM458716:UON458716 UYI458716:UYJ458716 VIE458716:VIF458716 VSA458716:VSB458716 WBW458716:WBX458716 WLS458716:WLT458716 WVO458716:WVP458716 J524252:K524252 JC524252:JD524252 SY524252:SZ524252 ACU524252:ACV524252 AMQ524252:AMR524252 AWM524252:AWN524252 BGI524252:BGJ524252 BQE524252:BQF524252 CAA524252:CAB524252 CJW524252:CJX524252 CTS524252:CTT524252 DDO524252:DDP524252 DNK524252:DNL524252 DXG524252:DXH524252 EHC524252:EHD524252 EQY524252:EQZ524252 FAU524252:FAV524252 FKQ524252:FKR524252 FUM524252:FUN524252 GEI524252:GEJ524252 GOE524252:GOF524252 GYA524252:GYB524252 HHW524252:HHX524252 HRS524252:HRT524252 IBO524252:IBP524252 ILK524252:ILL524252 IVG524252:IVH524252 JFC524252:JFD524252 JOY524252:JOZ524252 JYU524252:JYV524252 KIQ524252:KIR524252 KSM524252:KSN524252 LCI524252:LCJ524252 LME524252:LMF524252 LWA524252:LWB524252 MFW524252:MFX524252 MPS524252:MPT524252 MZO524252:MZP524252 NJK524252:NJL524252 NTG524252:NTH524252 ODC524252:ODD524252 OMY524252:OMZ524252 OWU524252:OWV524252 PGQ524252:PGR524252 PQM524252:PQN524252 QAI524252:QAJ524252 QKE524252:QKF524252 QUA524252:QUB524252 RDW524252:RDX524252 RNS524252:RNT524252 RXO524252:RXP524252 SHK524252:SHL524252 SRG524252:SRH524252 TBC524252:TBD524252 TKY524252:TKZ524252 TUU524252:TUV524252 UEQ524252:UER524252 UOM524252:UON524252 UYI524252:UYJ524252 VIE524252:VIF524252 VSA524252:VSB524252 WBW524252:WBX524252 WLS524252:WLT524252 WVO524252:WVP524252 J589788:K589788 JC589788:JD589788 SY589788:SZ589788 ACU589788:ACV589788 AMQ589788:AMR589788 AWM589788:AWN589788 BGI589788:BGJ589788 BQE589788:BQF589788 CAA589788:CAB589788 CJW589788:CJX589788 CTS589788:CTT589788 DDO589788:DDP589788 DNK589788:DNL589788 DXG589788:DXH589788 EHC589788:EHD589788 EQY589788:EQZ589788 FAU589788:FAV589788 FKQ589788:FKR589788 FUM589788:FUN589788 GEI589788:GEJ589788 GOE589788:GOF589788 GYA589788:GYB589788 HHW589788:HHX589788 HRS589788:HRT589788 IBO589788:IBP589788 ILK589788:ILL589788 IVG589788:IVH589788 JFC589788:JFD589788 JOY589788:JOZ589788 JYU589788:JYV589788 KIQ589788:KIR589788 KSM589788:KSN589788 LCI589788:LCJ589788 LME589788:LMF589788 LWA589788:LWB589788 MFW589788:MFX589788 MPS589788:MPT589788 MZO589788:MZP589788 NJK589788:NJL589788 NTG589788:NTH589788 ODC589788:ODD589788 OMY589788:OMZ589788 OWU589788:OWV589788 PGQ589788:PGR589788 PQM589788:PQN589788 QAI589788:QAJ589788 QKE589788:QKF589788 QUA589788:QUB589788 RDW589788:RDX589788 RNS589788:RNT589788 RXO589788:RXP589788 SHK589788:SHL589788 SRG589788:SRH589788 TBC589788:TBD589788 TKY589788:TKZ589788 TUU589788:TUV589788 UEQ589788:UER589788 UOM589788:UON589788 UYI589788:UYJ589788 VIE589788:VIF589788 VSA589788:VSB589788 WBW589788:WBX589788 WLS589788:WLT589788 WVO589788:WVP589788 J655324:K655324 JC655324:JD655324 SY655324:SZ655324 ACU655324:ACV655324 AMQ655324:AMR655324 AWM655324:AWN655324 BGI655324:BGJ655324 BQE655324:BQF655324 CAA655324:CAB655324 CJW655324:CJX655324 CTS655324:CTT655324 DDO655324:DDP655324 DNK655324:DNL655324 DXG655324:DXH655324 EHC655324:EHD655324 EQY655324:EQZ655324 FAU655324:FAV655324 FKQ655324:FKR655324 FUM655324:FUN655324 GEI655324:GEJ655324 GOE655324:GOF655324 GYA655324:GYB655324 HHW655324:HHX655324 HRS655324:HRT655324 IBO655324:IBP655324 ILK655324:ILL655324 IVG655324:IVH655324 JFC655324:JFD655324 JOY655324:JOZ655324 JYU655324:JYV655324 KIQ655324:KIR655324 KSM655324:KSN655324 LCI655324:LCJ655324 LME655324:LMF655324 LWA655324:LWB655324 MFW655324:MFX655324 MPS655324:MPT655324 MZO655324:MZP655324 NJK655324:NJL655324 NTG655324:NTH655324 ODC655324:ODD655324 OMY655324:OMZ655324 OWU655324:OWV655324 PGQ655324:PGR655324 PQM655324:PQN655324 QAI655324:QAJ655324 QKE655324:QKF655324 QUA655324:QUB655324 RDW655324:RDX655324 RNS655324:RNT655324 RXO655324:RXP655324 SHK655324:SHL655324 SRG655324:SRH655324 TBC655324:TBD655324 TKY655324:TKZ655324 TUU655324:TUV655324 UEQ655324:UER655324 UOM655324:UON655324 UYI655324:UYJ655324 VIE655324:VIF655324 VSA655324:VSB655324 WBW655324:WBX655324 WLS655324:WLT655324 WVO655324:WVP655324 J720860:K720860 JC720860:JD720860 SY720860:SZ720860 ACU720860:ACV720860 AMQ720860:AMR720860 AWM720860:AWN720860 BGI720860:BGJ720860 BQE720860:BQF720860 CAA720860:CAB720860 CJW720860:CJX720860 CTS720860:CTT720860 DDO720860:DDP720860 DNK720860:DNL720860 DXG720860:DXH720860 EHC720860:EHD720860 EQY720860:EQZ720860 FAU720860:FAV720860 FKQ720860:FKR720860 FUM720860:FUN720860 GEI720860:GEJ720860 GOE720860:GOF720860 GYA720860:GYB720860 HHW720860:HHX720860 HRS720860:HRT720860 IBO720860:IBP720860 ILK720860:ILL720860 IVG720860:IVH720860 JFC720860:JFD720860 JOY720860:JOZ720860 JYU720860:JYV720860 KIQ720860:KIR720860 KSM720860:KSN720860 LCI720860:LCJ720860 LME720860:LMF720860 LWA720860:LWB720860 MFW720860:MFX720860 MPS720860:MPT720860 MZO720860:MZP720860 NJK720860:NJL720860 NTG720860:NTH720860 ODC720860:ODD720860 OMY720860:OMZ720860 OWU720860:OWV720860 PGQ720860:PGR720860 PQM720860:PQN720860 QAI720860:QAJ720860 QKE720860:QKF720860 QUA720860:QUB720860 RDW720860:RDX720860 RNS720860:RNT720860 RXO720860:RXP720860 SHK720860:SHL720860 SRG720860:SRH720860 TBC720860:TBD720860 TKY720860:TKZ720860 TUU720860:TUV720860 UEQ720860:UER720860 UOM720860:UON720860 UYI720860:UYJ720860 VIE720860:VIF720860 VSA720860:VSB720860 WBW720860:WBX720860 WLS720860:WLT720860 WVO720860:WVP720860 J786396:K786396 JC786396:JD786396 SY786396:SZ786396 ACU786396:ACV786396 AMQ786396:AMR786396 AWM786396:AWN786396 BGI786396:BGJ786396 BQE786396:BQF786396 CAA786396:CAB786396 CJW786396:CJX786396 CTS786396:CTT786396 DDO786396:DDP786396 DNK786396:DNL786396 DXG786396:DXH786396 EHC786396:EHD786396 EQY786396:EQZ786396 FAU786396:FAV786396 FKQ786396:FKR786396 FUM786396:FUN786396 GEI786396:GEJ786396 GOE786396:GOF786396 GYA786396:GYB786396 HHW786396:HHX786396 HRS786396:HRT786396 IBO786396:IBP786396 ILK786396:ILL786396 IVG786396:IVH786396 JFC786396:JFD786396 JOY786396:JOZ786396 JYU786396:JYV786396 KIQ786396:KIR786396 KSM786396:KSN786396 LCI786396:LCJ786396 LME786396:LMF786396 LWA786396:LWB786396 MFW786396:MFX786396 MPS786396:MPT786396 MZO786396:MZP786396 NJK786396:NJL786396 NTG786396:NTH786396 ODC786396:ODD786396 OMY786396:OMZ786396 OWU786396:OWV786396 PGQ786396:PGR786396 PQM786396:PQN786396 QAI786396:QAJ786396 QKE786396:QKF786396 QUA786396:QUB786396 RDW786396:RDX786396 RNS786396:RNT786396 RXO786396:RXP786396 SHK786396:SHL786396 SRG786396:SRH786396 TBC786396:TBD786396 TKY786396:TKZ786396 TUU786396:TUV786396 UEQ786396:UER786396 UOM786396:UON786396 UYI786396:UYJ786396 VIE786396:VIF786396 VSA786396:VSB786396 WBW786396:WBX786396 WLS786396:WLT786396 WVO786396:WVP786396 J851932:K851932 JC851932:JD851932 SY851932:SZ851932 ACU851932:ACV851932 AMQ851932:AMR851932 AWM851932:AWN851932 BGI851932:BGJ851932 BQE851932:BQF851932 CAA851932:CAB851932 CJW851932:CJX851932 CTS851932:CTT851932 DDO851932:DDP851932 DNK851932:DNL851932 DXG851932:DXH851932 EHC851932:EHD851932 EQY851932:EQZ851932 FAU851932:FAV851932 FKQ851932:FKR851932 FUM851932:FUN851932 GEI851932:GEJ851932 GOE851932:GOF851932 GYA851932:GYB851932 HHW851932:HHX851932 HRS851932:HRT851932 IBO851932:IBP851932 ILK851932:ILL851932 IVG851932:IVH851932 JFC851932:JFD851932 JOY851932:JOZ851932 JYU851932:JYV851932 KIQ851932:KIR851932 KSM851932:KSN851932 LCI851932:LCJ851932 LME851932:LMF851932 LWA851932:LWB851932 MFW851932:MFX851932 MPS851932:MPT851932 MZO851932:MZP851932 NJK851932:NJL851932 NTG851932:NTH851932 ODC851932:ODD851932 OMY851932:OMZ851932 OWU851932:OWV851932 PGQ851932:PGR851932 PQM851932:PQN851932 QAI851932:QAJ851932 QKE851932:QKF851932 QUA851932:QUB851932 RDW851932:RDX851932 RNS851932:RNT851932 RXO851932:RXP851932 SHK851932:SHL851932 SRG851932:SRH851932 TBC851932:TBD851932 TKY851932:TKZ851932 TUU851932:TUV851932 UEQ851932:UER851932 UOM851932:UON851932 UYI851932:UYJ851932 VIE851932:VIF851932 VSA851932:VSB851932 WBW851932:WBX851932 WLS851932:WLT851932 WVO851932:WVP851932 J917468:K917468 JC917468:JD917468 SY917468:SZ917468 ACU917468:ACV917468 AMQ917468:AMR917468 AWM917468:AWN917468 BGI917468:BGJ917468 BQE917468:BQF917468 CAA917468:CAB917468 CJW917468:CJX917468 CTS917468:CTT917468 DDO917468:DDP917468 DNK917468:DNL917468 DXG917468:DXH917468 EHC917468:EHD917468 EQY917468:EQZ917468 FAU917468:FAV917468 FKQ917468:FKR917468 FUM917468:FUN917468 GEI917468:GEJ917468 GOE917468:GOF917468 GYA917468:GYB917468 HHW917468:HHX917468 HRS917468:HRT917468 IBO917468:IBP917468 ILK917468:ILL917468 IVG917468:IVH917468 JFC917468:JFD917468 JOY917468:JOZ917468 JYU917468:JYV917468 KIQ917468:KIR917468 KSM917468:KSN917468 LCI917468:LCJ917468 LME917468:LMF917468 LWA917468:LWB917468 MFW917468:MFX917468 MPS917468:MPT917468 MZO917468:MZP917468 NJK917468:NJL917468 NTG917468:NTH917468 ODC917468:ODD917468 OMY917468:OMZ917468 OWU917468:OWV917468 PGQ917468:PGR917468 PQM917468:PQN917468 QAI917468:QAJ917468 QKE917468:QKF917468 QUA917468:QUB917468 RDW917468:RDX917468 RNS917468:RNT917468 RXO917468:RXP917468 SHK917468:SHL917468 SRG917468:SRH917468 TBC917468:TBD917468 TKY917468:TKZ917468 TUU917468:TUV917468 UEQ917468:UER917468 UOM917468:UON917468 UYI917468:UYJ917468 VIE917468:VIF917468 VSA917468:VSB917468 WBW917468:WBX917468 WLS917468:WLT917468 WVO917468:WVP917468 J983004:K983004 JC983004:JD983004 SY983004:SZ983004 ACU983004:ACV983004 AMQ983004:AMR983004 AWM983004:AWN983004 BGI983004:BGJ983004 BQE983004:BQF983004 CAA983004:CAB983004 CJW983004:CJX983004 CTS983004:CTT983004 DDO983004:DDP983004 DNK983004:DNL983004 DXG983004:DXH983004 EHC983004:EHD983004 EQY983004:EQZ983004 FAU983004:FAV983004 FKQ983004:FKR983004 FUM983004:FUN983004 GEI983004:GEJ983004 GOE983004:GOF983004 GYA983004:GYB983004 HHW983004:HHX983004 HRS983004:HRT983004 IBO983004:IBP983004 ILK983004:ILL983004 IVG983004:IVH983004 JFC983004:JFD983004 JOY983004:JOZ983004 JYU983004:JYV983004 KIQ983004:KIR983004 KSM983004:KSN983004 LCI983004:LCJ983004 LME983004:LMF983004 LWA983004:LWB983004 MFW983004:MFX983004 MPS983004:MPT983004 MZO983004:MZP983004 NJK983004:NJL983004 NTG983004:NTH983004 ODC983004:ODD983004 OMY983004:OMZ983004 OWU983004:OWV983004 PGQ983004:PGR983004 PQM983004:PQN983004 QAI983004:QAJ983004 QKE983004:QKF983004 QUA983004:QUB983004 RDW983004:RDX983004 RNS983004:RNT983004 RXO983004:RXP983004 SHK983004:SHL983004 SRG983004:SRH983004 TBC983004:TBD983004 TKY983004:TKZ983004 TUU983004:TUV983004 UEQ983004:UER983004 UOM983004:UON983004 UYI983004:UYJ983004 VIE983004:VIF983004 VSA983004:VSB983004 WBW983004:WBX983004 WLS983004:WLT983004 WVO983004:WVP983004 D65542:K65556 IW65542:JD65556 SS65542:SZ65556 ACO65542:ACV65556 AMK65542:AMR65556 AWG65542:AWN65556 BGC65542:BGJ65556 BPY65542:BQF65556 BZU65542:CAB65556 CJQ65542:CJX65556 CTM65542:CTT65556 DDI65542:DDP65556 DNE65542:DNL65556 DXA65542:DXH65556 EGW65542:EHD65556 EQS65542:EQZ65556 FAO65542:FAV65556 FKK65542:FKR65556 FUG65542:FUN65556 GEC65542:GEJ65556 GNY65542:GOF65556 GXU65542:GYB65556 HHQ65542:HHX65556 HRM65542:HRT65556 IBI65542:IBP65556 ILE65542:ILL65556 IVA65542:IVH65556 JEW65542:JFD65556 JOS65542:JOZ65556 JYO65542:JYV65556 KIK65542:KIR65556 KSG65542:KSN65556 LCC65542:LCJ65556 LLY65542:LMF65556 LVU65542:LWB65556 MFQ65542:MFX65556 MPM65542:MPT65556 MZI65542:MZP65556 NJE65542:NJL65556 NTA65542:NTH65556 OCW65542:ODD65556 OMS65542:OMZ65556 OWO65542:OWV65556 PGK65542:PGR65556 PQG65542:PQN65556 QAC65542:QAJ65556 QJY65542:QKF65556 QTU65542:QUB65556 RDQ65542:RDX65556 RNM65542:RNT65556 RXI65542:RXP65556 SHE65542:SHL65556 SRA65542:SRH65556 TAW65542:TBD65556 TKS65542:TKZ65556 TUO65542:TUV65556 UEK65542:UER65556 UOG65542:UON65556 UYC65542:UYJ65556 VHY65542:VIF65556 VRU65542:VSB65556 WBQ65542:WBX65556 WLM65542:WLT65556 WVI65542:WVP65556 D131078:K131092 IW131078:JD131092 SS131078:SZ131092 ACO131078:ACV131092 AMK131078:AMR131092 AWG131078:AWN131092 BGC131078:BGJ131092 BPY131078:BQF131092 BZU131078:CAB131092 CJQ131078:CJX131092 CTM131078:CTT131092 DDI131078:DDP131092 DNE131078:DNL131092 DXA131078:DXH131092 EGW131078:EHD131092 EQS131078:EQZ131092 FAO131078:FAV131092 FKK131078:FKR131092 FUG131078:FUN131092 GEC131078:GEJ131092 GNY131078:GOF131092 GXU131078:GYB131092 HHQ131078:HHX131092 HRM131078:HRT131092 IBI131078:IBP131092 ILE131078:ILL131092 IVA131078:IVH131092 JEW131078:JFD131092 JOS131078:JOZ131092 JYO131078:JYV131092 KIK131078:KIR131092 KSG131078:KSN131092 LCC131078:LCJ131092 LLY131078:LMF131092 LVU131078:LWB131092 MFQ131078:MFX131092 MPM131078:MPT131092 MZI131078:MZP131092 NJE131078:NJL131092 NTA131078:NTH131092 OCW131078:ODD131092 OMS131078:OMZ131092 OWO131078:OWV131092 PGK131078:PGR131092 PQG131078:PQN131092 QAC131078:QAJ131092 QJY131078:QKF131092 QTU131078:QUB131092 RDQ131078:RDX131092 RNM131078:RNT131092 RXI131078:RXP131092 SHE131078:SHL131092 SRA131078:SRH131092 TAW131078:TBD131092 TKS131078:TKZ131092 TUO131078:TUV131092 UEK131078:UER131092 UOG131078:UON131092 UYC131078:UYJ131092 VHY131078:VIF131092 VRU131078:VSB131092 WBQ131078:WBX131092 WLM131078:WLT131092 WVI131078:WVP131092 D196614:K196628 IW196614:JD196628 SS196614:SZ196628 ACO196614:ACV196628 AMK196614:AMR196628 AWG196614:AWN196628 BGC196614:BGJ196628 BPY196614:BQF196628 BZU196614:CAB196628 CJQ196614:CJX196628 CTM196614:CTT196628 DDI196614:DDP196628 DNE196614:DNL196628 DXA196614:DXH196628 EGW196614:EHD196628 EQS196614:EQZ196628 FAO196614:FAV196628 FKK196614:FKR196628 FUG196614:FUN196628 GEC196614:GEJ196628 GNY196614:GOF196628 GXU196614:GYB196628 HHQ196614:HHX196628 HRM196614:HRT196628 IBI196614:IBP196628 ILE196614:ILL196628 IVA196614:IVH196628 JEW196614:JFD196628 JOS196614:JOZ196628 JYO196614:JYV196628 KIK196614:KIR196628 KSG196614:KSN196628 LCC196614:LCJ196628 LLY196614:LMF196628 LVU196614:LWB196628 MFQ196614:MFX196628 MPM196614:MPT196628 MZI196614:MZP196628 NJE196614:NJL196628 NTA196614:NTH196628 OCW196614:ODD196628 OMS196614:OMZ196628 OWO196614:OWV196628 PGK196614:PGR196628 PQG196614:PQN196628 QAC196614:QAJ196628 QJY196614:QKF196628 QTU196614:QUB196628 RDQ196614:RDX196628 RNM196614:RNT196628 RXI196614:RXP196628 SHE196614:SHL196628 SRA196614:SRH196628 TAW196614:TBD196628 TKS196614:TKZ196628 TUO196614:TUV196628 UEK196614:UER196628 UOG196614:UON196628 UYC196614:UYJ196628 VHY196614:VIF196628 VRU196614:VSB196628 WBQ196614:WBX196628 WLM196614:WLT196628 WVI196614:WVP196628 D262150:K262164 IW262150:JD262164 SS262150:SZ262164 ACO262150:ACV262164 AMK262150:AMR262164 AWG262150:AWN262164 BGC262150:BGJ262164 BPY262150:BQF262164 BZU262150:CAB262164 CJQ262150:CJX262164 CTM262150:CTT262164 DDI262150:DDP262164 DNE262150:DNL262164 DXA262150:DXH262164 EGW262150:EHD262164 EQS262150:EQZ262164 FAO262150:FAV262164 FKK262150:FKR262164 FUG262150:FUN262164 GEC262150:GEJ262164 GNY262150:GOF262164 GXU262150:GYB262164 HHQ262150:HHX262164 HRM262150:HRT262164 IBI262150:IBP262164 ILE262150:ILL262164 IVA262150:IVH262164 JEW262150:JFD262164 JOS262150:JOZ262164 JYO262150:JYV262164 KIK262150:KIR262164 KSG262150:KSN262164 LCC262150:LCJ262164 LLY262150:LMF262164 LVU262150:LWB262164 MFQ262150:MFX262164 MPM262150:MPT262164 MZI262150:MZP262164 NJE262150:NJL262164 NTA262150:NTH262164 OCW262150:ODD262164 OMS262150:OMZ262164 OWO262150:OWV262164 PGK262150:PGR262164 PQG262150:PQN262164 QAC262150:QAJ262164 QJY262150:QKF262164 QTU262150:QUB262164 RDQ262150:RDX262164 RNM262150:RNT262164 RXI262150:RXP262164 SHE262150:SHL262164 SRA262150:SRH262164 TAW262150:TBD262164 TKS262150:TKZ262164 TUO262150:TUV262164 UEK262150:UER262164 UOG262150:UON262164 UYC262150:UYJ262164 VHY262150:VIF262164 VRU262150:VSB262164 WBQ262150:WBX262164 WLM262150:WLT262164 WVI262150:WVP262164 D327686:K327700 IW327686:JD327700 SS327686:SZ327700 ACO327686:ACV327700 AMK327686:AMR327700 AWG327686:AWN327700 BGC327686:BGJ327700 BPY327686:BQF327700 BZU327686:CAB327700 CJQ327686:CJX327700 CTM327686:CTT327700 DDI327686:DDP327700 DNE327686:DNL327700 DXA327686:DXH327700 EGW327686:EHD327700 EQS327686:EQZ327700 FAO327686:FAV327700 FKK327686:FKR327700 FUG327686:FUN327700 GEC327686:GEJ327700 GNY327686:GOF327700 GXU327686:GYB327700 HHQ327686:HHX327700 HRM327686:HRT327700 IBI327686:IBP327700 ILE327686:ILL327700 IVA327686:IVH327700 JEW327686:JFD327700 JOS327686:JOZ327700 JYO327686:JYV327700 KIK327686:KIR327700 KSG327686:KSN327700 LCC327686:LCJ327700 LLY327686:LMF327700 LVU327686:LWB327700 MFQ327686:MFX327700 MPM327686:MPT327700 MZI327686:MZP327700 NJE327686:NJL327700 NTA327686:NTH327700 OCW327686:ODD327700 OMS327686:OMZ327700 OWO327686:OWV327700 PGK327686:PGR327700 PQG327686:PQN327700 QAC327686:QAJ327700 QJY327686:QKF327700 QTU327686:QUB327700 RDQ327686:RDX327700 RNM327686:RNT327700 RXI327686:RXP327700 SHE327686:SHL327700 SRA327686:SRH327700 TAW327686:TBD327700 TKS327686:TKZ327700 TUO327686:TUV327700 UEK327686:UER327700 UOG327686:UON327700 UYC327686:UYJ327700 VHY327686:VIF327700 VRU327686:VSB327700 WBQ327686:WBX327700 WLM327686:WLT327700 WVI327686:WVP327700 D393222:K393236 IW393222:JD393236 SS393222:SZ393236 ACO393222:ACV393236 AMK393222:AMR393236 AWG393222:AWN393236 BGC393222:BGJ393236 BPY393222:BQF393236 BZU393222:CAB393236 CJQ393222:CJX393236 CTM393222:CTT393236 DDI393222:DDP393236 DNE393222:DNL393236 DXA393222:DXH393236 EGW393222:EHD393236 EQS393222:EQZ393236 FAO393222:FAV393236 FKK393222:FKR393236 FUG393222:FUN393236 GEC393222:GEJ393236 GNY393222:GOF393236 GXU393222:GYB393236 HHQ393222:HHX393236 HRM393222:HRT393236 IBI393222:IBP393236 ILE393222:ILL393236 IVA393222:IVH393236 JEW393222:JFD393236 JOS393222:JOZ393236 JYO393222:JYV393236 KIK393222:KIR393236 KSG393222:KSN393236 LCC393222:LCJ393236 LLY393222:LMF393236 LVU393222:LWB393236 MFQ393222:MFX393236 MPM393222:MPT393236 MZI393222:MZP393236 NJE393222:NJL393236 NTA393222:NTH393236 OCW393222:ODD393236 OMS393222:OMZ393236 OWO393222:OWV393236 PGK393222:PGR393236 PQG393222:PQN393236 QAC393222:QAJ393236 QJY393222:QKF393236 QTU393222:QUB393236 RDQ393222:RDX393236 RNM393222:RNT393236 RXI393222:RXP393236 SHE393222:SHL393236 SRA393222:SRH393236 TAW393222:TBD393236 TKS393222:TKZ393236 TUO393222:TUV393236 UEK393222:UER393236 UOG393222:UON393236 UYC393222:UYJ393236 VHY393222:VIF393236 VRU393222:VSB393236 WBQ393222:WBX393236 WLM393222:WLT393236 WVI393222:WVP393236 D458758:K458772 IW458758:JD458772 SS458758:SZ458772 ACO458758:ACV458772 AMK458758:AMR458772 AWG458758:AWN458772 BGC458758:BGJ458772 BPY458758:BQF458772 BZU458758:CAB458772 CJQ458758:CJX458772 CTM458758:CTT458772 DDI458758:DDP458772 DNE458758:DNL458772 DXA458758:DXH458772 EGW458758:EHD458772 EQS458758:EQZ458772 FAO458758:FAV458772 FKK458758:FKR458772 FUG458758:FUN458772 GEC458758:GEJ458772 GNY458758:GOF458772 GXU458758:GYB458772 HHQ458758:HHX458772 HRM458758:HRT458772 IBI458758:IBP458772 ILE458758:ILL458772 IVA458758:IVH458772 JEW458758:JFD458772 JOS458758:JOZ458772 JYO458758:JYV458772 KIK458758:KIR458772 KSG458758:KSN458772 LCC458758:LCJ458772 LLY458758:LMF458772 LVU458758:LWB458772 MFQ458758:MFX458772 MPM458758:MPT458772 MZI458758:MZP458772 NJE458758:NJL458772 NTA458758:NTH458772 OCW458758:ODD458772 OMS458758:OMZ458772 OWO458758:OWV458772 PGK458758:PGR458772 PQG458758:PQN458772 QAC458758:QAJ458772 QJY458758:QKF458772 QTU458758:QUB458772 RDQ458758:RDX458772 RNM458758:RNT458772 RXI458758:RXP458772 SHE458758:SHL458772 SRA458758:SRH458772 TAW458758:TBD458772 TKS458758:TKZ458772 TUO458758:TUV458772 UEK458758:UER458772 UOG458758:UON458772 UYC458758:UYJ458772 VHY458758:VIF458772 VRU458758:VSB458772 WBQ458758:WBX458772 WLM458758:WLT458772 WVI458758:WVP458772 D524294:K524308 IW524294:JD524308 SS524294:SZ524308 ACO524294:ACV524308 AMK524294:AMR524308 AWG524294:AWN524308 BGC524294:BGJ524308 BPY524294:BQF524308 BZU524294:CAB524308 CJQ524294:CJX524308 CTM524294:CTT524308 DDI524294:DDP524308 DNE524294:DNL524308 DXA524294:DXH524308 EGW524294:EHD524308 EQS524294:EQZ524308 FAO524294:FAV524308 FKK524294:FKR524308 FUG524294:FUN524308 GEC524294:GEJ524308 GNY524294:GOF524308 GXU524294:GYB524308 HHQ524294:HHX524308 HRM524294:HRT524308 IBI524294:IBP524308 ILE524294:ILL524308 IVA524294:IVH524308 JEW524294:JFD524308 JOS524294:JOZ524308 JYO524294:JYV524308 KIK524294:KIR524308 KSG524294:KSN524308 LCC524294:LCJ524308 LLY524294:LMF524308 LVU524294:LWB524308 MFQ524294:MFX524308 MPM524294:MPT524308 MZI524294:MZP524308 NJE524294:NJL524308 NTA524294:NTH524308 OCW524294:ODD524308 OMS524294:OMZ524308 OWO524294:OWV524308 PGK524294:PGR524308 PQG524294:PQN524308 QAC524294:QAJ524308 QJY524294:QKF524308 QTU524294:QUB524308 RDQ524294:RDX524308 RNM524294:RNT524308 RXI524294:RXP524308 SHE524294:SHL524308 SRA524294:SRH524308 TAW524294:TBD524308 TKS524294:TKZ524308 TUO524294:TUV524308 UEK524294:UER524308 UOG524294:UON524308 UYC524294:UYJ524308 VHY524294:VIF524308 VRU524294:VSB524308 WBQ524294:WBX524308 WLM524294:WLT524308 WVI524294:WVP524308 D589830:K589844 IW589830:JD589844 SS589830:SZ589844 ACO589830:ACV589844 AMK589830:AMR589844 AWG589830:AWN589844 BGC589830:BGJ589844 BPY589830:BQF589844 BZU589830:CAB589844 CJQ589830:CJX589844 CTM589830:CTT589844 DDI589830:DDP589844 DNE589830:DNL589844 DXA589830:DXH589844 EGW589830:EHD589844 EQS589830:EQZ589844 FAO589830:FAV589844 FKK589830:FKR589844 FUG589830:FUN589844 GEC589830:GEJ589844 GNY589830:GOF589844 GXU589830:GYB589844 HHQ589830:HHX589844 HRM589830:HRT589844 IBI589830:IBP589844 ILE589830:ILL589844 IVA589830:IVH589844 JEW589830:JFD589844 JOS589830:JOZ589844 JYO589830:JYV589844 KIK589830:KIR589844 KSG589830:KSN589844 LCC589830:LCJ589844 LLY589830:LMF589844 LVU589830:LWB589844 MFQ589830:MFX589844 MPM589830:MPT589844 MZI589830:MZP589844 NJE589830:NJL589844 NTA589830:NTH589844 OCW589830:ODD589844 OMS589830:OMZ589844 OWO589830:OWV589844 PGK589830:PGR589844 PQG589830:PQN589844 QAC589830:QAJ589844 QJY589830:QKF589844 QTU589830:QUB589844 RDQ589830:RDX589844 RNM589830:RNT589844 RXI589830:RXP589844 SHE589830:SHL589844 SRA589830:SRH589844 TAW589830:TBD589844 TKS589830:TKZ589844 TUO589830:TUV589844 UEK589830:UER589844 UOG589830:UON589844 UYC589830:UYJ589844 VHY589830:VIF589844 VRU589830:VSB589844 WBQ589830:WBX589844 WLM589830:WLT589844 WVI589830:WVP589844 D655366:K655380 IW655366:JD655380 SS655366:SZ655380 ACO655366:ACV655380 AMK655366:AMR655380 AWG655366:AWN655380 BGC655366:BGJ655380 BPY655366:BQF655380 BZU655366:CAB655380 CJQ655366:CJX655380 CTM655366:CTT655380 DDI655366:DDP655380 DNE655366:DNL655380 DXA655366:DXH655380 EGW655366:EHD655380 EQS655366:EQZ655380 FAO655366:FAV655380 FKK655366:FKR655380 FUG655366:FUN655380 GEC655366:GEJ655380 GNY655366:GOF655380 GXU655366:GYB655380 HHQ655366:HHX655380 HRM655366:HRT655380 IBI655366:IBP655380 ILE655366:ILL655380 IVA655366:IVH655380 JEW655366:JFD655380 JOS655366:JOZ655380 JYO655366:JYV655380 KIK655366:KIR655380 KSG655366:KSN655380 LCC655366:LCJ655380 LLY655366:LMF655380 LVU655366:LWB655380 MFQ655366:MFX655380 MPM655366:MPT655380 MZI655366:MZP655380 NJE655366:NJL655380 NTA655366:NTH655380 OCW655366:ODD655380 OMS655366:OMZ655380 OWO655366:OWV655380 PGK655366:PGR655380 PQG655366:PQN655380 QAC655366:QAJ655380 QJY655366:QKF655380 QTU655366:QUB655380 RDQ655366:RDX655380 RNM655366:RNT655380 RXI655366:RXP655380 SHE655366:SHL655380 SRA655366:SRH655380 TAW655366:TBD655380 TKS655366:TKZ655380 TUO655366:TUV655380 UEK655366:UER655380 UOG655366:UON655380 UYC655366:UYJ655380 VHY655366:VIF655380 VRU655366:VSB655380 WBQ655366:WBX655380 WLM655366:WLT655380 WVI655366:WVP655380 D720902:K720916 IW720902:JD720916 SS720902:SZ720916 ACO720902:ACV720916 AMK720902:AMR720916 AWG720902:AWN720916 BGC720902:BGJ720916 BPY720902:BQF720916 BZU720902:CAB720916 CJQ720902:CJX720916 CTM720902:CTT720916 DDI720902:DDP720916 DNE720902:DNL720916 DXA720902:DXH720916 EGW720902:EHD720916 EQS720902:EQZ720916 FAO720902:FAV720916 FKK720902:FKR720916 FUG720902:FUN720916 GEC720902:GEJ720916 GNY720902:GOF720916 GXU720902:GYB720916 HHQ720902:HHX720916 HRM720902:HRT720916 IBI720902:IBP720916 ILE720902:ILL720916 IVA720902:IVH720916 JEW720902:JFD720916 JOS720902:JOZ720916 JYO720902:JYV720916 KIK720902:KIR720916 KSG720902:KSN720916 LCC720902:LCJ720916 LLY720902:LMF720916 LVU720902:LWB720916 MFQ720902:MFX720916 MPM720902:MPT720916 MZI720902:MZP720916 NJE720902:NJL720916 NTA720902:NTH720916 OCW720902:ODD720916 OMS720902:OMZ720916 OWO720902:OWV720916 PGK720902:PGR720916 PQG720902:PQN720916 QAC720902:QAJ720916 QJY720902:QKF720916 QTU720902:QUB720916 RDQ720902:RDX720916 RNM720902:RNT720916 RXI720902:RXP720916 SHE720902:SHL720916 SRA720902:SRH720916 TAW720902:TBD720916 TKS720902:TKZ720916 TUO720902:TUV720916 UEK720902:UER720916 UOG720902:UON720916 UYC720902:UYJ720916 VHY720902:VIF720916 VRU720902:VSB720916 WBQ720902:WBX720916 WLM720902:WLT720916 WVI720902:WVP720916 D786438:K786452 IW786438:JD786452 SS786438:SZ786452 ACO786438:ACV786452 AMK786438:AMR786452 AWG786438:AWN786452 BGC786438:BGJ786452 BPY786438:BQF786452 BZU786438:CAB786452 CJQ786438:CJX786452 CTM786438:CTT786452 DDI786438:DDP786452 DNE786438:DNL786452 DXA786438:DXH786452 EGW786438:EHD786452 EQS786438:EQZ786452 FAO786438:FAV786452 FKK786438:FKR786452 FUG786438:FUN786452 GEC786438:GEJ786452 GNY786438:GOF786452 GXU786438:GYB786452 HHQ786438:HHX786452 HRM786438:HRT786452 IBI786438:IBP786452 ILE786438:ILL786452 IVA786438:IVH786452 JEW786438:JFD786452 JOS786438:JOZ786452 JYO786438:JYV786452 KIK786438:KIR786452 KSG786438:KSN786452 LCC786438:LCJ786452 LLY786438:LMF786452 LVU786438:LWB786452 MFQ786438:MFX786452 MPM786438:MPT786452 MZI786438:MZP786452 NJE786438:NJL786452 NTA786438:NTH786452 OCW786438:ODD786452 OMS786438:OMZ786452 OWO786438:OWV786452 PGK786438:PGR786452 PQG786438:PQN786452 QAC786438:QAJ786452 QJY786438:QKF786452 QTU786438:QUB786452 RDQ786438:RDX786452 RNM786438:RNT786452 RXI786438:RXP786452 SHE786438:SHL786452 SRA786438:SRH786452 TAW786438:TBD786452 TKS786438:TKZ786452 TUO786438:TUV786452 UEK786438:UER786452 UOG786438:UON786452 UYC786438:UYJ786452 VHY786438:VIF786452 VRU786438:VSB786452 WBQ786438:WBX786452 WLM786438:WLT786452 WVI786438:WVP786452 D851974:K851988 IW851974:JD851988 SS851974:SZ851988 ACO851974:ACV851988 AMK851974:AMR851988 AWG851974:AWN851988 BGC851974:BGJ851988 BPY851974:BQF851988 BZU851974:CAB851988 CJQ851974:CJX851988 CTM851974:CTT851988 DDI851974:DDP851988 DNE851974:DNL851988 DXA851974:DXH851988 EGW851974:EHD851988 EQS851974:EQZ851988 FAO851974:FAV851988 FKK851974:FKR851988 FUG851974:FUN851988 GEC851974:GEJ851988 GNY851974:GOF851988 GXU851974:GYB851988 HHQ851974:HHX851988 HRM851974:HRT851988 IBI851974:IBP851988 ILE851974:ILL851988 IVA851974:IVH851988 JEW851974:JFD851988 JOS851974:JOZ851988 JYO851974:JYV851988 KIK851974:KIR851988 KSG851974:KSN851988 LCC851974:LCJ851988 LLY851974:LMF851988 LVU851974:LWB851988 MFQ851974:MFX851988 MPM851974:MPT851988 MZI851974:MZP851988 NJE851974:NJL851988 NTA851974:NTH851988 OCW851974:ODD851988 OMS851974:OMZ851988 OWO851974:OWV851988 PGK851974:PGR851988 PQG851974:PQN851988 QAC851974:QAJ851988 QJY851974:QKF851988 QTU851974:QUB851988 RDQ851974:RDX851988 RNM851974:RNT851988 RXI851974:RXP851988 SHE851974:SHL851988 SRA851974:SRH851988 TAW851974:TBD851988 TKS851974:TKZ851988 TUO851974:TUV851988 UEK851974:UER851988 UOG851974:UON851988 UYC851974:UYJ851988 VHY851974:VIF851988 VRU851974:VSB851988 WBQ851974:WBX851988 WLM851974:WLT851988 WVI851974:WVP851988 D917510:K917524 IW917510:JD917524 SS917510:SZ917524 ACO917510:ACV917524 AMK917510:AMR917524 AWG917510:AWN917524 BGC917510:BGJ917524 BPY917510:BQF917524 BZU917510:CAB917524 CJQ917510:CJX917524 CTM917510:CTT917524 DDI917510:DDP917524 DNE917510:DNL917524 DXA917510:DXH917524 EGW917510:EHD917524 EQS917510:EQZ917524 FAO917510:FAV917524 FKK917510:FKR917524 FUG917510:FUN917524 GEC917510:GEJ917524 GNY917510:GOF917524 GXU917510:GYB917524 HHQ917510:HHX917524 HRM917510:HRT917524 IBI917510:IBP917524 ILE917510:ILL917524 IVA917510:IVH917524 JEW917510:JFD917524 JOS917510:JOZ917524 JYO917510:JYV917524 KIK917510:KIR917524 KSG917510:KSN917524 LCC917510:LCJ917524 LLY917510:LMF917524 LVU917510:LWB917524 MFQ917510:MFX917524 MPM917510:MPT917524 MZI917510:MZP917524 NJE917510:NJL917524 NTA917510:NTH917524 OCW917510:ODD917524 OMS917510:OMZ917524 OWO917510:OWV917524 PGK917510:PGR917524 PQG917510:PQN917524 QAC917510:QAJ917524 QJY917510:QKF917524 QTU917510:QUB917524 RDQ917510:RDX917524 RNM917510:RNT917524 RXI917510:RXP917524 SHE917510:SHL917524 SRA917510:SRH917524 TAW917510:TBD917524 TKS917510:TKZ917524 TUO917510:TUV917524 UEK917510:UER917524 UOG917510:UON917524 UYC917510:UYJ917524 VHY917510:VIF917524 VRU917510:VSB917524 WBQ917510:WBX917524 WLM917510:WLT917524 WVI917510:WVP917524 D983046:K983060 IW983046:JD983060 SS983046:SZ983060 ACO983046:ACV983060 AMK983046:AMR983060 AWG983046:AWN983060 BGC983046:BGJ983060 BPY983046:BQF983060 BZU983046:CAB983060 CJQ983046:CJX983060 CTM983046:CTT983060 DDI983046:DDP983060 DNE983046:DNL983060 DXA983046:DXH983060 EGW983046:EHD983060 EQS983046:EQZ983060 FAO983046:FAV983060 FKK983046:FKR983060 FUG983046:FUN983060 GEC983046:GEJ983060 GNY983046:GOF983060 GXU983046:GYB983060 HHQ983046:HHX983060 HRM983046:HRT983060 IBI983046:IBP983060 ILE983046:ILL983060 IVA983046:IVH983060 JEW983046:JFD983060 JOS983046:JOZ983060 JYO983046:JYV983060 KIK983046:KIR983060 KSG983046:KSN983060 LCC983046:LCJ983060 LLY983046:LMF983060 LVU983046:LWB983060 MFQ983046:MFX983060 MPM983046:MPT983060 MZI983046:MZP983060 NJE983046:NJL983060 NTA983046:NTH983060 OCW983046:ODD983060 OMS983046:OMZ983060 OWO983046:OWV983060 PGK983046:PGR983060 PQG983046:PQN983060 QAC983046:QAJ983060 QJY983046:QKF983060 QTU983046:QUB983060 RDQ983046:RDX983060 RNM983046:RNT983060 RXI983046:RXP983060 SHE983046:SHL983060 SRA983046:SRH983060 TAW983046:TBD983060 TKS983046:TKZ983060 TUO983046:TUV983060 UEK983046:UER983060 UOG983046:UON983060 UYC983046:UYJ983060 VHY983046:VIF983060 VRU983046:VSB983060 WBQ983046:WBX983060 WLM983046:WLT983060 WVI983046:WVP983060 H65502:I65502 JA65502:JB65502 SW65502:SX65502 ACS65502:ACT65502 AMO65502:AMP65502 AWK65502:AWL65502 BGG65502:BGH65502 BQC65502:BQD65502 BZY65502:BZZ65502 CJU65502:CJV65502 CTQ65502:CTR65502 DDM65502:DDN65502 DNI65502:DNJ65502 DXE65502:DXF65502 EHA65502:EHB65502 EQW65502:EQX65502 FAS65502:FAT65502 FKO65502:FKP65502 FUK65502:FUL65502 GEG65502:GEH65502 GOC65502:GOD65502 GXY65502:GXZ65502 HHU65502:HHV65502 HRQ65502:HRR65502 IBM65502:IBN65502 ILI65502:ILJ65502 IVE65502:IVF65502 JFA65502:JFB65502 JOW65502:JOX65502 JYS65502:JYT65502 KIO65502:KIP65502 KSK65502:KSL65502 LCG65502:LCH65502 LMC65502:LMD65502 LVY65502:LVZ65502 MFU65502:MFV65502 MPQ65502:MPR65502 MZM65502:MZN65502 NJI65502:NJJ65502 NTE65502:NTF65502 ODA65502:ODB65502 OMW65502:OMX65502 OWS65502:OWT65502 PGO65502:PGP65502 PQK65502:PQL65502 QAG65502:QAH65502 QKC65502:QKD65502 QTY65502:QTZ65502 RDU65502:RDV65502 RNQ65502:RNR65502 RXM65502:RXN65502 SHI65502:SHJ65502 SRE65502:SRF65502 TBA65502:TBB65502 TKW65502:TKX65502 TUS65502:TUT65502 UEO65502:UEP65502 UOK65502:UOL65502 UYG65502:UYH65502 VIC65502:VID65502 VRY65502:VRZ65502 WBU65502:WBV65502 WLQ65502:WLR65502 WVM65502:WVN65502 H131038:I131038 JA131038:JB131038 SW131038:SX131038 ACS131038:ACT131038 AMO131038:AMP131038 AWK131038:AWL131038 BGG131038:BGH131038 BQC131038:BQD131038 BZY131038:BZZ131038 CJU131038:CJV131038 CTQ131038:CTR131038 DDM131038:DDN131038 DNI131038:DNJ131038 DXE131038:DXF131038 EHA131038:EHB131038 EQW131038:EQX131038 FAS131038:FAT131038 FKO131038:FKP131038 FUK131038:FUL131038 GEG131038:GEH131038 GOC131038:GOD131038 GXY131038:GXZ131038 HHU131038:HHV131038 HRQ131038:HRR131038 IBM131038:IBN131038 ILI131038:ILJ131038 IVE131038:IVF131038 JFA131038:JFB131038 JOW131038:JOX131038 JYS131038:JYT131038 KIO131038:KIP131038 KSK131038:KSL131038 LCG131038:LCH131038 LMC131038:LMD131038 LVY131038:LVZ131038 MFU131038:MFV131038 MPQ131038:MPR131038 MZM131038:MZN131038 NJI131038:NJJ131038 NTE131038:NTF131038 ODA131038:ODB131038 OMW131038:OMX131038 OWS131038:OWT131038 PGO131038:PGP131038 PQK131038:PQL131038 QAG131038:QAH131038 QKC131038:QKD131038 QTY131038:QTZ131038 RDU131038:RDV131038 RNQ131038:RNR131038 RXM131038:RXN131038 SHI131038:SHJ131038 SRE131038:SRF131038 TBA131038:TBB131038 TKW131038:TKX131038 TUS131038:TUT131038 UEO131038:UEP131038 UOK131038:UOL131038 UYG131038:UYH131038 VIC131038:VID131038 VRY131038:VRZ131038 WBU131038:WBV131038 WLQ131038:WLR131038 WVM131038:WVN131038 H196574:I196574 JA196574:JB196574 SW196574:SX196574 ACS196574:ACT196574 AMO196574:AMP196574 AWK196574:AWL196574 BGG196574:BGH196574 BQC196574:BQD196574 BZY196574:BZZ196574 CJU196574:CJV196574 CTQ196574:CTR196574 DDM196574:DDN196574 DNI196574:DNJ196574 DXE196574:DXF196574 EHA196574:EHB196574 EQW196574:EQX196574 FAS196574:FAT196574 FKO196574:FKP196574 FUK196574:FUL196574 GEG196574:GEH196574 GOC196574:GOD196574 GXY196574:GXZ196574 HHU196574:HHV196574 HRQ196574:HRR196574 IBM196574:IBN196574 ILI196574:ILJ196574 IVE196574:IVF196574 JFA196574:JFB196574 JOW196574:JOX196574 JYS196574:JYT196574 KIO196574:KIP196574 KSK196574:KSL196574 LCG196574:LCH196574 LMC196574:LMD196574 LVY196574:LVZ196574 MFU196574:MFV196574 MPQ196574:MPR196574 MZM196574:MZN196574 NJI196574:NJJ196574 NTE196574:NTF196574 ODA196574:ODB196574 OMW196574:OMX196574 OWS196574:OWT196574 PGO196574:PGP196574 PQK196574:PQL196574 QAG196574:QAH196574 QKC196574:QKD196574 QTY196574:QTZ196574 RDU196574:RDV196574 RNQ196574:RNR196574 RXM196574:RXN196574 SHI196574:SHJ196574 SRE196574:SRF196574 TBA196574:TBB196574 TKW196574:TKX196574 TUS196574:TUT196574 UEO196574:UEP196574 UOK196574:UOL196574 UYG196574:UYH196574 VIC196574:VID196574 VRY196574:VRZ196574 WBU196574:WBV196574 WLQ196574:WLR196574 WVM196574:WVN196574 H262110:I262110 JA262110:JB262110 SW262110:SX262110 ACS262110:ACT262110 AMO262110:AMP262110 AWK262110:AWL262110 BGG262110:BGH262110 BQC262110:BQD262110 BZY262110:BZZ262110 CJU262110:CJV262110 CTQ262110:CTR262110 DDM262110:DDN262110 DNI262110:DNJ262110 DXE262110:DXF262110 EHA262110:EHB262110 EQW262110:EQX262110 FAS262110:FAT262110 FKO262110:FKP262110 FUK262110:FUL262110 GEG262110:GEH262110 GOC262110:GOD262110 GXY262110:GXZ262110 HHU262110:HHV262110 HRQ262110:HRR262110 IBM262110:IBN262110 ILI262110:ILJ262110 IVE262110:IVF262110 JFA262110:JFB262110 JOW262110:JOX262110 JYS262110:JYT262110 KIO262110:KIP262110 KSK262110:KSL262110 LCG262110:LCH262110 LMC262110:LMD262110 LVY262110:LVZ262110 MFU262110:MFV262110 MPQ262110:MPR262110 MZM262110:MZN262110 NJI262110:NJJ262110 NTE262110:NTF262110 ODA262110:ODB262110 OMW262110:OMX262110 OWS262110:OWT262110 PGO262110:PGP262110 PQK262110:PQL262110 QAG262110:QAH262110 QKC262110:QKD262110 QTY262110:QTZ262110 RDU262110:RDV262110 RNQ262110:RNR262110 RXM262110:RXN262110 SHI262110:SHJ262110 SRE262110:SRF262110 TBA262110:TBB262110 TKW262110:TKX262110 TUS262110:TUT262110 UEO262110:UEP262110 UOK262110:UOL262110 UYG262110:UYH262110 VIC262110:VID262110 VRY262110:VRZ262110 WBU262110:WBV262110 WLQ262110:WLR262110 WVM262110:WVN262110 H327646:I327646 JA327646:JB327646 SW327646:SX327646 ACS327646:ACT327646 AMO327646:AMP327646 AWK327646:AWL327646 BGG327646:BGH327646 BQC327646:BQD327646 BZY327646:BZZ327646 CJU327646:CJV327646 CTQ327646:CTR327646 DDM327646:DDN327646 DNI327646:DNJ327646 DXE327646:DXF327646 EHA327646:EHB327646 EQW327646:EQX327646 FAS327646:FAT327646 FKO327646:FKP327646 FUK327646:FUL327646 GEG327646:GEH327646 GOC327646:GOD327646 GXY327646:GXZ327646 HHU327646:HHV327646 HRQ327646:HRR327646 IBM327646:IBN327646 ILI327646:ILJ327646 IVE327646:IVF327646 JFA327646:JFB327646 JOW327646:JOX327646 JYS327646:JYT327646 KIO327646:KIP327646 KSK327646:KSL327646 LCG327646:LCH327646 LMC327646:LMD327646 LVY327646:LVZ327646 MFU327646:MFV327646 MPQ327646:MPR327646 MZM327646:MZN327646 NJI327646:NJJ327646 NTE327646:NTF327646 ODA327646:ODB327646 OMW327646:OMX327646 OWS327646:OWT327646 PGO327646:PGP327646 PQK327646:PQL327646 QAG327646:QAH327646 QKC327646:QKD327646 QTY327646:QTZ327646 RDU327646:RDV327646 RNQ327646:RNR327646 RXM327646:RXN327646 SHI327646:SHJ327646 SRE327646:SRF327646 TBA327646:TBB327646 TKW327646:TKX327646 TUS327646:TUT327646 UEO327646:UEP327646 UOK327646:UOL327646 UYG327646:UYH327646 VIC327646:VID327646 VRY327646:VRZ327646 WBU327646:WBV327646 WLQ327646:WLR327646 WVM327646:WVN327646 H393182:I393182 JA393182:JB393182 SW393182:SX393182 ACS393182:ACT393182 AMO393182:AMP393182 AWK393182:AWL393182 BGG393182:BGH393182 BQC393182:BQD393182 BZY393182:BZZ393182 CJU393182:CJV393182 CTQ393182:CTR393182 DDM393182:DDN393182 DNI393182:DNJ393182 DXE393182:DXF393182 EHA393182:EHB393182 EQW393182:EQX393182 FAS393182:FAT393182 FKO393182:FKP393182 FUK393182:FUL393182 GEG393182:GEH393182 GOC393182:GOD393182 GXY393182:GXZ393182 HHU393182:HHV393182 HRQ393182:HRR393182 IBM393182:IBN393182 ILI393182:ILJ393182 IVE393182:IVF393182 JFA393182:JFB393182 JOW393182:JOX393182 JYS393182:JYT393182 KIO393182:KIP393182 KSK393182:KSL393182 LCG393182:LCH393182 LMC393182:LMD393182 LVY393182:LVZ393182 MFU393182:MFV393182 MPQ393182:MPR393182 MZM393182:MZN393182 NJI393182:NJJ393182 NTE393182:NTF393182 ODA393182:ODB393182 OMW393182:OMX393182 OWS393182:OWT393182 PGO393182:PGP393182 PQK393182:PQL393182 QAG393182:QAH393182 QKC393182:QKD393182 QTY393182:QTZ393182 RDU393182:RDV393182 RNQ393182:RNR393182 RXM393182:RXN393182 SHI393182:SHJ393182 SRE393182:SRF393182 TBA393182:TBB393182 TKW393182:TKX393182 TUS393182:TUT393182 UEO393182:UEP393182 UOK393182:UOL393182 UYG393182:UYH393182 VIC393182:VID393182 VRY393182:VRZ393182 WBU393182:WBV393182 WLQ393182:WLR393182 WVM393182:WVN393182 H458718:I458718 JA458718:JB458718 SW458718:SX458718 ACS458718:ACT458718 AMO458718:AMP458718 AWK458718:AWL458718 BGG458718:BGH458718 BQC458718:BQD458718 BZY458718:BZZ458718 CJU458718:CJV458718 CTQ458718:CTR458718 DDM458718:DDN458718 DNI458718:DNJ458718 DXE458718:DXF458718 EHA458718:EHB458718 EQW458718:EQX458718 FAS458718:FAT458718 FKO458718:FKP458718 FUK458718:FUL458718 GEG458718:GEH458718 GOC458718:GOD458718 GXY458718:GXZ458718 HHU458718:HHV458718 HRQ458718:HRR458718 IBM458718:IBN458718 ILI458718:ILJ458718 IVE458718:IVF458718 JFA458718:JFB458718 JOW458718:JOX458718 JYS458718:JYT458718 KIO458718:KIP458718 KSK458718:KSL458718 LCG458718:LCH458718 LMC458718:LMD458718 LVY458718:LVZ458718 MFU458718:MFV458718 MPQ458718:MPR458718 MZM458718:MZN458718 NJI458718:NJJ458718 NTE458718:NTF458718 ODA458718:ODB458718 OMW458718:OMX458718 OWS458718:OWT458718 PGO458718:PGP458718 PQK458718:PQL458718 QAG458718:QAH458718 QKC458718:QKD458718 QTY458718:QTZ458718 RDU458718:RDV458718 RNQ458718:RNR458718 RXM458718:RXN458718 SHI458718:SHJ458718 SRE458718:SRF458718 TBA458718:TBB458718 TKW458718:TKX458718 TUS458718:TUT458718 UEO458718:UEP458718 UOK458718:UOL458718 UYG458718:UYH458718 VIC458718:VID458718 VRY458718:VRZ458718 WBU458718:WBV458718 WLQ458718:WLR458718 WVM458718:WVN458718 H524254:I524254 JA524254:JB524254 SW524254:SX524254 ACS524254:ACT524254 AMO524254:AMP524254 AWK524254:AWL524254 BGG524254:BGH524254 BQC524254:BQD524254 BZY524254:BZZ524254 CJU524254:CJV524254 CTQ524254:CTR524254 DDM524254:DDN524254 DNI524254:DNJ524254 DXE524254:DXF524254 EHA524254:EHB524254 EQW524254:EQX524254 FAS524254:FAT524254 FKO524254:FKP524254 FUK524254:FUL524254 GEG524254:GEH524254 GOC524254:GOD524254 GXY524254:GXZ524254 HHU524254:HHV524254 HRQ524254:HRR524254 IBM524254:IBN524254 ILI524254:ILJ524254 IVE524254:IVF524254 JFA524254:JFB524254 JOW524254:JOX524254 JYS524254:JYT524254 KIO524254:KIP524254 KSK524254:KSL524254 LCG524254:LCH524254 LMC524254:LMD524254 LVY524254:LVZ524254 MFU524254:MFV524254 MPQ524254:MPR524254 MZM524254:MZN524254 NJI524254:NJJ524254 NTE524254:NTF524254 ODA524254:ODB524254 OMW524254:OMX524254 OWS524254:OWT524254 PGO524254:PGP524254 PQK524254:PQL524254 QAG524254:QAH524254 QKC524254:QKD524254 QTY524254:QTZ524254 RDU524254:RDV524254 RNQ524254:RNR524254 RXM524254:RXN524254 SHI524254:SHJ524254 SRE524254:SRF524254 TBA524254:TBB524254 TKW524254:TKX524254 TUS524254:TUT524254 UEO524254:UEP524254 UOK524254:UOL524254 UYG524254:UYH524254 VIC524254:VID524254 VRY524254:VRZ524254 WBU524254:WBV524254 WLQ524254:WLR524254 WVM524254:WVN524254 H589790:I589790 JA589790:JB589790 SW589790:SX589790 ACS589790:ACT589790 AMO589790:AMP589790 AWK589790:AWL589790 BGG589790:BGH589790 BQC589790:BQD589790 BZY589790:BZZ589790 CJU589790:CJV589790 CTQ589790:CTR589790 DDM589790:DDN589790 DNI589790:DNJ589790 DXE589790:DXF589790 EHA589790:EHB589790 EQW589790:EQX589790 FAS589790:FAT589790 FKO589790:FKP589790 FUK589790:FUL589790 GEG589790:GEH589790 GOC589790:GOD589790 GXY589790:GXZ589790 HHU589790:HHV589790 HRQ589790:HRR589790 IBM589790:IBN589790 ILI589790:ILJ589790 IVE589790:IVF589790 JFA589790:JFB589790 JOW589790:JOX589790 JYS589790:JYT589790 KIO589790:KIP589790 KSK589790:KSL589790 LCG589790:LCH589790 LMC589790:LMD589790 LVY589790:LVZ589790 MFU589790:MFV589790 MPQ589790:MPR589790 MZM589790:MZN589790 NJI589790:NJJ589790 NTE589790:NTF589790 ODA589790:ODB589790 OMW589790:OMX589790 OWS589790:OWT589790 PGO589790:PGP589790 PQK589790:PQL589790 QAG589790:QAH589790 QKC589790:QKD589790 QTY589790:QTZ589790 RDU589790:RDV589790 RNQ589790:RNR589790 RXM589790:RXN589790 SHI589790:SHJ589790 SRE589790:SRF589790 TBA589790:TBB589790 TKW589790:TKX589790 TUS589790:TUT589790 UEO589790:UEP589790 UOK589790:UOL589790 UYG589790:UYH589790 VIC589790:VID589790 VRY589790:VRZ589790 WBU589790:WBV589790 WLQ589790:WLR589790 WVM589790:WVN589790 H655326:I655326 JA655326:JB655326 SW655326:SX655326 ACS655326:ACT655326 AMO655326:AMP655326 AWK655326:AWL655326 BGG655326:BGH655326 BQC655326:BQD655326 BZY655326:BZZ655326 CJU655326:CJV655326 CTQ655326:CTR655326 DDM655326:DDN655326 DNI655326:DNJ655326 DXE655326:DXF655326 EHA655326:EHB655326 EQW655326:EQX655326 FAS655326:FAT655326 FKO655326:FKP655326 FUK655326:FUL655326 GEG655326:GEH655326 GOC655326:GOD655326 GXY655326:GXZ655326 HHU655326:HHV655326 HRQ655326:HRR655326 IBM655326:IBN655326 ILI655326:ILJ655326 IVE655326:IVF655326 JFA655326:JFB655326 JOW655326:JOX655326 JYS655326:JYT655326 KIO655326:KIP655326 KSK655326:KSL655326 LCG655326:LCH655326 LMC655326:LMD655326 LVY655326:LVZ655326 MFU655326:MFV655326 MPQ655326:MPR655326 MZM655326:MZN655326 NJI655326:NJJ655326 NTE655326:NTF655326 ODA655326:ODB655326 OMW655326:OMX655326 OWS655326:OWT655326 PGO655326:PGP655326 PQK655326:PQL655326 QAG655326:QAH655326 QKC655326:QKD655326 QTY655326:QTZ655326 RDU655326:RDV655326 RNQ655326:RNR655326 RXM655326:RXN655326 SHI655326:SHJ655326 SRE655326:SRF655326 TBA655326:TBB655326 TKW655326:TKX655326 TUS655326:TUT655326 UEO655326:UEP655326 UOK655326:UOL655326 UYG655326:UYH655326 VIC655326:VID655326 VRY655326:VRZ655326 WBU655326:WBV655326 WLQ655326:WLR655326 WVM655326:WVN655326 H720862:I720862 JA720862:JB720862 SW720862:SX720862 ACS720862:ACT720862 AMO720862:AMP720862 AWK720862:AWL720862 BGG720862:BGH720862 BQC720862:BQD720862 BZY720862:BZZ720862 CJU720862:CJV720862 CTQ720862:CTR720862 DDM720862:DDN720862 DNI720862:DNJ720862 DXE720862:DXF720862 EHA720862:EHB720862 EQW720862:EQX720862 FAS720862:FAT720862 FKO720862:FKP720862 FUK720862:FUL720862 GEG720862:GEH720862 GOC720862:GOD720862 GXY720862:GXZ720862 HHU720862:HHV720862 HRQ720862:HRR720862 IBM720862:IBN720862 ILI720862:ILJ720862 IVE720862:IVF720862 JFA720862:JFB720862 JOW720862:JOX720862 JYS720862:JYT720862 KIO720862:KIP720862 KSK720862:KSL720862 LCG720862:LCH720862 LMC720862:LMD720862 LVY720862:LVZ720862 MFU720862:MFV720862 MPQ720862:MPR720862 MZM720862:MZN720862 NJI720862:NJJ720862 NTE720862:NTF720862 ODA720862:ODB720862 OMW720862:OMX720862 OWS720862:OWT720862 PGO720862:PGP720862 PQK720862:PQL720862 QAG720862:QAH720862 QKC720862:QKD720862 QTY720862:QTZ720862 RDU720862:RDV720862 RNQ720862:RNR720862 RXM720862:RXN720862 SHI720862:SHJ720862 SRE720862:SRF720862 TBA720862:TBB720862 TKW720862:TKX720862 TUS720862:TUT720862 UEO720862:UEP720862 UOK720862:UOL720862 UYG720862:UYH720862 VIC720862:VID720862 VRY720862:VRZ720862 WBU720862:WBV720862 WLQ720862:WLR720862 WVM720862:WVN720862 H786398:I786398 JA786398:JB786398 SW786398:SX786398 ACS786398:ACT786398 AMO786398:AMP786398 AWK786398:AWL786398 BGG786398:BGH786398 BQC786398:BQD786398 BZY786398:BZZ786398 CJU786398:CJV786398 CTQ786398:CTR786398 DDM786398:DDN786398 DNI786398:DNJ786398 DXE786398:DXF786398 EHA786398:EHB786398 EQW786398:EQX786398 FAS786398:FAT786398 FKO786398:FKP786398 FUK786398:FUL786398 GEG786398:GEH786398 GOC786398:GOD786398 GXY786398:GXZ786398 HHU786398:HHV786398 HRQ786398:HRR786398 IBM786398:IBN786398 ILI786398:ILJ786398 IVE786398:IVF786398 JFA786398:JFB786398 JOW786398:JOX786398 JYS786398:JYT786398 KIO786398:KIP786398 KSK786398:KSL786398 LCG786398:LCH786398 LMC786398:LMD786398 LVY786398:LVZ786398 MFU786398:MFV786398 MPQ786398:MPR786398 MZM786398:MZN786398 NJI786398:NJJ786398 NTE786398:NTF786398 ODA786398:ODB786398 OMW786398:OMX786398 OWS786398:OWT786398 PGO786398:PGP786398 PQK786398:PQL786398 QAG786398:QAH786398 QKC786398:QKD786398 QTY786398:QTZ786398 RDU786398:RDV786398 RNQ786398:RNR786398 RXM786398:RXN786398 SHI786398:SHJ786398 SRE786398:SRF786398 TBA786398:TBB786398 TKW786398:TKX786398 TUS786398:TUT786398 UEO786398:UEP786398 UOK786398:UOL786398 UYG786398:UYH786398 VIC786398:VID786398 VRY786398:VRZ786398 WBU786398:WBV786398 WLQ786398:WLR786398 WVM786398:WVN786398 H851934:I851934 JA851934:JB851934 SW851934:SX851934 ACS851934:ACT851934 AMO851934:AMP851934 AWK851934:AWL851934 BGG851934:BGH851934 BQC851934:BQD851934 BZY851934:BZZ851934 CJU851934:CJV851934 CTQ851934:CTR851934 DDM851934:DDN851934 DNI851934:DNJ851934 DXE851934:DXF851934 EHA851934:EHB851934 EQW851934:EQX851934 FAS851934:FAT851934 FKO851934:FKP851934 FUK851934:FUL851934 GEG851934:GEH851934 GOC851934:GOD851934 GXY851934:GXZ851934 HHU851934:HHV851934 HRQ851934:HRR851934 IBM851934:IBN851934 ILI851934:ILJ851934 IVE851934:IVF851934 JFA851934:JFB851934 JOW851934:JOX851934 JYS851934:JYT851934 KIO851934:KIP851934 KSK851934:KSL851934 LCG851934:LCH851934 LMC851934:LMD851934 LVY851934:LVZ851934 MFU851934:MFV851934 MPQ851934:MPR851934 MZM851934:MZN851934 NJI851934:NJJ851934 NTE851934:NTF851934 ODA851934:ODB851934 OMW851934:OMX851934 OWS851934:OWT851934 PGO851934:PGP851934 PQK851934:PQL851934 QAG851934:QAH851934 QKC851934:QKD851934 QTY851934:QTZ851934 RDU851934:RDV851934 RNQ851934:RNR851934 RXM851934:RXN851934 SHI851934:SHJ851934 SRE851934:SRF851934 TBA851934:TBB851934 TKW851934:TKX851934 TUS851934:TUT851934 UEO851934:UEP851934 UOK851934:UOL851934 UYG851934:UYH851934 VIC851934:VID851934 VRY851934:VRZ851934 WBU851934:WBV851934 WLQ851934:WLR851934 WVM851934:WVN851934 H917470:I917470 JA917470:JB917470 SW917470:SX917470 ACS917470:ACT917470 AMO917470:AMP917470 AWK917470:AWL917470 BGG917470:BGH917470 BQC917470:BQD917470 BZY917470:BZZ917470 CJU917470:CJV917470 CTQ917470:CTR917470 DDM917470:DDN917470 DNI917470:DNJ917470 DXE917470:DXF917470 EHA917470:EHB917470 EQW917470:EQX917470 FAS917470:FAT917470 FKO917470:FKP917470 FUK917470:FUL917470 GEG917470:GEH917470 GOC917470:GOD917470 GXY917470:GXZ917470 HHU917470:HHV917470 HRQ917470:HRR917470 IBM917470:IBN917470 ILI917470:ILJ917470 IVE917470:IVF917470 JFA917470:JFB917470 JOW917470:JOX917470 JYS917470:JYT917470 KIO917470:KIP917470 KSK917470:KSL917470 LCG917470:LCH917470 LMC917470:LMD917470 LVY917470:LVZ917470 MFU917470:MFV917470 MPQ917470:MPR917470 MZM917470:MZN917470 NJI917470:NJJ917470 NTE917470:NTF917470 ODA917470:ODB917470 OMW917470:OMX917470 OWS917470:OWT917470 PGO917470:PGP917470 PQK917470:PQL917470 QAG917470:QAH917470 QKC917470:QKD917470 QTY917470:QTZ917470 RDU917470:RDV917470 RNQ917470:RNR917470 RXM917470:RXN917470 SHI917470:SHJ917470 SRE917470:SRF917470 TBA917470:TBB917470 TKW917470:TKX917470 TUS917470:TUT917470 UEO917470:UEP917470 UOK917470:UOL917470 UYG917470:UYH917470 VIC917470:VID917470 VRY917470:VRZ917470 WBU917470:WBV917470 WLQ917470:WLR917470 WVM917470:WVN917470 H983006:I983006 JA983006:JB983006 SW983006:SX983006 ACS983006:ACT983006 AMO983006:AMP983006 AWK983006:AWL983006 BGG983006:BGH983006 BQC983006:BQD983006 BZY983006:BZZ983006 CJU983006:CJV983006 CTQ983006:CTR983006 DDM983006:DDN983006 DNI983006:DNJ983006 DXE983006:DXF983006 EHA983006:EHB983006 EQW983006:EQX983006 FAS983006:FAT983006 FKO983006:FKP983006 FUK983006:FUL983006 GEG983006:GEH983006 GOC983006:GOD983006 GXY983006:GXZ983006 HHU983006:HHV983006 HRQ983006:HRR983006 IBM983006:IBN983006 ILI983006:ILJ983006 IVE983006:IVF983006 JFA983006:JFB983006 JOW983006:JOX983006 JYS983006:JYT983006 KIO983006:KIP983006 KSK983006:KSL983006 LCG983006:LCH983006 LMC983006:LMD983006 LVY983006:LVZ983006 MFU983006:MFV983006 MPQ983006:MPR983006 MZM983006:MZN983006 NJI983006:NJJ983006 NTE983006:NTF983006 ODA983006:ODB983006 OMW983006:OMX983006 OWS983006:OWT983006 PGO983006:PGP983006 PQK983006:PQL983006 QAG983006:QAH983006 QKC983006:QKD983006 QTY983006:QTZ983006 RDU983006:RDV983006 RNQ983006:RNR983006 RXM983006:RXN983006 SHI983006:SHJ983006 SRE983006:SRF983006 TBA983006:TBB983006 TKW983006:TKX983006 TUS983006:TUT983006 UEO983006:UEP983006 UOK983006:UOL983006 UYG983006:UYH983006 VIC983006:VID983006 VRY983006:VRZ983006 WBU983006:WBV983006 WLQ983006:WLR983006 WVM983006:WVN983006 D65505:J65506 IW65505:JC65506 SS65505:SY65506 ACO65505:ACU65506 AMK65505:AMQ65506 AWG65505:AWM65506 BGC65505:BGI65506 BPY65505:BQE65506 BZU65505:CAA65506 CJQ65505:CJW65506 CTM65505:CTS65506 DDI65505:DDO65506 DNE65505:DNK65506 DXA65505:DXG65506 EGW65505:EHC65506 EQS65505:EQY65506 FAO65505:FAU65506 FKK65505:FKQ65506 FUG65505:FUM65506 GEC65505:GEI65506 GNY65505:GOE65506 GXU65505:GYA65506 HHQ65505:HHW65506 HRM65505:HRS65506 IBI65505:IBO65506 ILE65505:ILK65506 IVA65505:IVG65506 JEW65505:JFC65506 JOS65505:JOY65506 JYO65505:JYU65506 KIK65505:KIQ65506 KSG65505:KSM65506 LCC65505:LCI65506 LLY65505:LME65506 LVU65505:LWA65506 MFQ65505:MFW65506 MPM65505:MPS65506 MZI65505:MZO65506 NJE65505:NJK65506 NTA65505:NTG65506 OCW65505:ODC65506 OMS65505:OMY65506 OWO65505:OWU65506 PGK65505:PGQ65506 PQG65505:PQM65506 QAC65505:QAI65506 QJY65505:QKE65506 QTU65505:QUA65506 RDQ65505:RDW65506 RNM65505:RNS65506 RXI65505:RXO65506 SHE65505:SHK65506 SRA65505:SRG65506 TAW65505:TBC65506 TKS65505:TKY65506 TUO65505:TUU65506 UEK65505:UEQ65506 UOG65505:UOM65506 UYC65505:UYI65506 VHY65505:VIE65506 VRU65505:VSA65506 WBQ65505:WBW65506 WLM65505:WLS65506 WVI65505:WVO65506 D131041:J131042 IW131041:JC131042 SS131041:SY131042 ACO131041:ACU131042 AMK131041:AMQ131042 AWG131041:AWM131042 BGC131041:BGI131042 BPY131041:BQE131042 BZU131041:CAA131042 CJQ131041:CJW131042 CTM131041:CTS131042 DDI131041:DDO131042 DNE131041:DNK131042 DXA131041:DXG131042 EGW131041:EHC131042 EQS131041:EQY131042 FAO131041:FAU131042 FKK131041:FKQ131042 FUG131041:FUM131042 GEC131041:GEI131042 GNY131041:GOE131042 GXU131041:GYA131042 HHQ131041:HHW131042 HRM131041:HRS131042 IBI131041:IBO131042 ILE131041:ILK131042 IVA131041:IVG131042 JEW131041:JFC131042 JOS131041:JOY131042 JYO131041:JYU131042 KIK131041:KIQ131042 KSG131041:KSM131042 LCC131041:LCI131042 LLY131041:LME131042 LVU131041:LWA131042 MFQ131041:MFW131042 MPM131041:MPS131042 MZI131041:MZO131042 NJE131041:NJK131042 NTA131041:NTG131042 OCW131041:ODC131042 OMS131041:OMY131042 OWO131041:OWU131042 PGK131041:PGQ131042 PQG131041:PQM131042 QAC131041:QAI131042 QJY131041:QKE131042 QTU131041:QUA131042 RDQ131041:RDW131042 RNM131041:RNS131042 RXI131041:RXO131042 SHE131041:SHK131042 SRA131041:SRG131042 TAW131041:TBC131042 TKS131041:TKY131042 TUO131041:TUU131042 UEK131041:UEQ131042 UOG131041:UOM131042 UYC131041:UYI131042 VHY131041:VIE131042 VRU131041:VSA131042 WBQ131041:WBW131042 WLM131041:WLS131042 WVI131041:WVO131042 D196577:J196578 IW196577:JC196578 SS196577:SY196578 ACO196577:ACU196578 AMK196577:AMQ196578 AWG196577:AWM196578 BGC196577:BGI196578 BPY196577:BQE196578 BZU196577:CAA196578 CJQ196577:CJW196578 CTM196577:CTS196578 DDI196577:DDO196578 DNE196577:DNK196578 DXA196577:DXG196578 EGW196577:EHC196578 EQS196577:EQY196578 FAO196577:FAU196578 FKK196577:FKQ196578 FUG196577:FUM196578 GEC196577:GEI196578 GNY196577:GOE196578 GXU196577:GYA196578 HHQ196577:HHW196578 HRM196577:HRS196578 IBI196577:IBO196578 ILE196577:ILK196578 IVA196577:IVG196578 JEW196577:JFC196578 JOS196577:JOY196578 JYO196577:JYU196578 KIK196577:KIQ196578 KSG196577:KSM196578 LCC196577:LCI196578 LLY196577:LME196578 LVU196577:LWA196578 MFQ196577:MFW196578 MPM196577:MPS196578 MZI196577:MZO196578 NJE196577:NJK196578 NTA196577:NTG196578 OCW196577:ODC196578 OMS196577:OMY196578 OWO196577:OWU196578 PGK196577:PGQ196578 PQG196577:PQM196578 QAC196577:QAI196578 QJY196577:QKE196578 QTU196577:QUA196578 RDQ196577:RDW196578 RNM196577:RNS196578 RXI196577:RXO196578 SHE196577:SHK196578 SRA196577:SRG196578 TAW196577:TBC196578 TKS196577:TKY196578 TUO196577:TUU196578 UEK196577:UEQ196578 UOG196577:UOM196578 UYC196577:UYI196578 VHY196577:VIE196578 VRU196577:VSA196578 WBQ196577:WBW196578 WLM196577:WLS196578 WVI196577:WVO196578 D262113:J262114 IW262113:JC262114 SS262113:SY262114 ACO262113:ACU262114 AMK262113:AMQ262114 AWG262113:AWM262114 BGC262113:BGI262114 BPY262113:BQE262114 BZU262113:CAA262114 CJQ262113:CJW262114 CTM262113:CTS262114 DDI262113:DDO262114 DNE262113:DNK262114 DXA262113:DXG262114 EGW262113:EHC262114 EQS262113:EQY262114 FAO262113:FAU262114 FKK262113:FKQ262114 FUG262113:FUM262114 GEC262113:GEI262114 GNY262113:GOE262114 GXU262113:GYA262114 HHQ262113:HHW262114 HRM262113:HRS262114 IBI262113:IBO262114 ILE262113:ILK262114 IVA262113:IVG262114 JEW262113:JFC262114 JOS262113:JOY262114 JYO262113:JYU262114 KIK262113:KIQ262114 KSG262113:KSM262114 LCC262113:LCI262114 LLY262113:LME262114 LVU262113:LWA262114 MFQ262113:MFW262114 MPM262113:MPS262114 MZI262113:MZO262114 NJE262113:NJK262114 NTA262113:NTG262114 OCW262113:ODC262114 OMS262113:OMY262114 OWO262113:OWU262114 PGK262113:PGQ262114 PQG262113:PQM262114 QAC262113:QAI262114 QJY262113:QKE262114 QTU262113:QUA262114 RDQ262113:RDW262114 RNM262113:RNS262114 RXI262113:RXO262114 SHE262113:SHK262114 SRA262113:SRG262114 TAW262113:TBC262114 TKS262113:TKY262114 TUO262113:TUU262114 UEK262113:UEQ262114 UOG262113:UOM262114 UYC262113:UYI262114 VHY262113:VIE262114 VRU262113:VSA262114 WBQ262113:WBW262114 WLM262113:WLS262114 WVI262113:WVO262114 D327649:J327650 IW327649:JC327650 SS327649:SY327650 ACO327649:ACU327650 AMK327649:AMQ327650 AWG327649:AWM327650 BGC327649:BGI327650 BPY327649:BQE327650 BZU327649:CAA327650 CJQ327649:CJW327650 CTM327649:CTS327650 DDI327649:DDO327650 DNE327649:DNK327650 DXA327649:DXG327650 EGW327649:EHC327650 EQS327649:EQY327650 FAO327649:FAU327650 FKK327649:FKQ327650 FUG327649:FUM327650 GEC327649:GEI327650 GNY327649:GOE327650 GXU327649:GYA327650 HHQ327649:HHW327650 HRM327649:HRS327650 IBI327649:IBO327650 ILE327649:ILK327650 IVA327649:IVG327650 JEW327649:JFC327650 JOS327649:JOY327650 JYO327649:JYU327650 KIK327649:KIQ327650 KSG327649:KSM327650 LCC327649:LCI327650 LLY327649:LME327650 LVU327649:LWA327650 MFQ327649:MFW327650 MPM327649:MPS327650 MZI327649:MZO327650 NJE327649:NJK327650 NTA327649:NTG327650 OCW327649:ODC327650 OMS327649:OMY327650 OWO327649:OWU327650 PGK327649:PGQ327650 PQG327649:PQM327650 QAC327649:QAI327650 QJY327649:QKE327650 QTU327649:QUA327650 RDQ327649:RDW327650 RNM327649:RNS327650 RXI327649:RXO327650 SHE327649:SHK327650 SRA327649:SRG327650 TAW327649:TBC327650 TKS327649:TKY327650 TUO327649:TUU327650 UEK327649:UEQ327650 UOG327649:UOM327650 UYC327649:UYI327650 VHY327649:VIE327650 VRU327649:VSA327650 WBQ327649:WBW327650 WLM327649:WLS327650 WVI327649:WVO327650 D393185:J393186 IW393185:JC393186 SS393185:SY393186 ACO393185:ACU393186 AMK393185:AMQ393186 AWG393185:AWM393186 BGC393185:BGI393186 BPY393185:BQE393186 BZU393185:CAA393186 CJQ393185:CJW393186 CTM393185:CTS393186 DDI393185:DDO393186 DNE393185:DNK393186 DXA393185:DXG393186 EGW393185:EHC393186 EQS393185:EQY393186 FAO393185:FAU393186 FKK393185:FKQ393186 FUG393185:FUM393186 GEC393185:GEI393186 GNY393185:GOE393186 GXU393185:GYA393186 HHQ393185:HHW393186 HRM393185:HRS393186 IBI393185:IBO393186 ILE393185:ILK393186 IVA393185:IVG393186 JEW393185:JFC393186 JOS393185:JOY393186 JYO393185:JYU393186 KIK393185:KIQ393186 KSG393185:KSM393186 LCC393185:LCI393186 LLY393185:LME393186 LVU393185:LWA393186 MFQ393185:MFW393186 MPM393185:MPS393186 MZI393185:MZO393186 NJE393185:NJK393186 NTA393185:NTG393186 OCW393185:ODC393186 OMS393185:OMY393186 OWO393185:OWU393186 PGK393185:PGQ393186 PQG393185:PQM393186 QAC393185:QAI393186 QJY393185:QKE393186 QTU393185:QUA393186 RDQ393185:RDW393186 RNM393185:RNS393186 RXI393185:RXO393186 SHE393185:SHK393186 SRA393185:SRG393186 TAW393185:TBC393186 TKS393185:TKY393186 TUO393185:TUU393186 UEK393185:UEQ393186 UOG393185:UOM393186 UYC393185:UYI393186 VHY393185:VIE393186 VRU393185:VSA393186 WBQ393185:WBW393186 WLM393185:WLS393186 WVI393185:WVO393186 D458721:J458722 IW458721:JC458722 SS458721:SY458722 ACO458721:ACU458722 AMK458721:AMQ458722 AWG458721:AWM458722 BGC458721:BGI458722 BPY458721:BQE458722 BZU458721:CAA458722 CJQ458721:CJW458722 CTM458721:CTS458722 DDI458721:DDO458722 DNE458721:DNK458722 DXA458721:DXG458722 EGW458721:EHC458722 EQS458721:EQY458722 FAO458721:FAU458722 FKK458721:FKQ458722 FUG458721:FUM458722 GEC458721:GEI458722 GNY458721:GOE458722 GXU458721:GYA458722 HHQ458721:HHW458722 HRM458721:HRS458722 IBI458721:IBO458722 ILE458721:ILK458722 IVA458721:IVG458722 JEW458721:JFC458722 JOS458721:JOY458722 JYO458721:JYU458722 KIK458721:KIQ458722 KSG458721:KSM458722 LCC458721:LCI458722 LLY458721:LME458722 LVU458721:LWA458722 MFQ458721:MFW458722 MPM458721:MPS458722 MZI458721:MZO458722 NJE458721:NJK458722 NTA458721:NTG458722 OCW458721:ODC458722 OMS458721:OMY458722 OWO458721:OWU458722 PGK458721:PGQ458722 PQG458721:PQM458722 QAC458721:QAI458722 QJY458721:QKE458722 QTU458721:QUA458722 RDQ458721:RDW458722 RNM458721:RNS458722 RXI458721:RXO458722 SHE458721:SHK458722 SRA458721:SRG458722 TAW458721:TBC458722 TKS458721:TKY458722 TUO458721:TUU458722 UEK458721:UEQ458722 UOG458721:UOM458722 UYC458721:UYI458722 VHY458721:VIE458722 VRU458721:VSA458722 WBQ458721:WBW458722 WLM458721:WLS458722 WVI458721:WVO458722 D524257:J524258 IW524257:JC524258 SS524257:SY524258 ACO524257:ACU524258 AMK524257:AMQ524258 AWG524257:AWM524258 BGC524257:BGI524258 BPY524257:BQE524258 BZU524257:CAA524258 CJQ524257:CJW524258 CTM524257:CTS524258 DDI524257:DDO524258 DNE524257:DNK524258 DXA524257:DXG524258 EGW524257:EHC524258 EQS524257:EQY524258 FAO524257:FAU524258 FKK524257:FKQ524258 FUG524257:FUM524258 GEC524257:GEI524258 GNY524257:GOE524258 GXU524257:GYA524258 HHQ524257:HHW524258 HRM524257:HRS524258 IBI524257:IBO524258 ILE524257:ILK524258 IVA524257:IVG524258 JEW524257:JFC524258 JOS524257:JOY524258 JYO524257:JYU524258 KIK524257:KIQ524258 KSG524257:KSM524258 LCC524257:LCI524258 LLY524257:LME524258 LVU524257:LWA524258 MFQ524257:MFW524258 MPM524257:MPS524258 MZI524257:MZO524258 NJE524257:NJK524258 NTA524257:NTG524258 OCW524257:ODC524258 OMS524257:OMY524258 OWO524257:OWU524258 PGK524257:PGQ524258 PQG524257:PQM524258 QAC524257:QAI524258 QJY524257:QKE524258 QTU524257:QUA524258 RDQ524257:RDW524258 RNM524257:RNS524258 RXI524257:RXO524258 SHE524257:SHK524258 SRA524257:SRG524258 TAW524257:TBC524258 TKS524257:TKY524258 TUO524257:TUU524258 UEK524257:UEQ524258 UOG524257:UOM524258 UYC524257:UYI524258 VHY524257:VIE524258 VRU524257:VSA524258 WBQ524257:WBW524258 WLM524257:WLS524258 WVI524257:WVO524258 D589793:J589794 IW589793:JC589794 SS589793:SY589794 ACO589793:ACU589794 AMK589793:AMQ589794 AWG589793:AWM589794 BGC589793:BGI589794 BPY589793:BQE589794 BZU589793:CAA589794 CJQ589793:CJW589794 CTM589793:CTS589794 DDI589793:DDO589794 DNE589793:DNK589794 DXA589793:DXG589794 EGW589793:EHC589794 EQS589793:EQY589794 FAO589793:FAU589794 FKK589793:FKQ589794 FUG589793:FUM589794 GEC589793:GEI589794 GNY589793:GOE589794 GXU589793:GYA589794 HHQ589793:HHW589794 HRM589793:HRS589794 IBI589793:IBO589794 ILE589793:ILK589794 IVA589793:IVG589794 JEW589793:JFC589794 JOS589793:JOY589794 JYO589793:JYU589794 KIK589793:KIQ589794 KSG589793:KSM589794 LCC589793:LCI589794 LLY589793:LME589794 LVU589793:LWA589794 MFQ589793:MFW589794 MPM589793:MPS589794 MZI589793:MZO589794 NJE589793:NJK589794 NTA589793:NTG589794 OCW589793:ODC589794 OMS589793:OMY589794 OWO589793:OWU589794 PGK589793:PGQ589794 PQG589793:PQM589794 QAC589793:QAI589794 QJY589793:QKE589794 QTU589793:QUA589794 RDQ589793:RDW589794 RNM589793:RNS589794 RXI589793:RXO589794 SHE589793:SHK589794 SRA589793:SRG589794 TAW589793:TBC589794 TKS589793:TKY589794 TUO589793:TUU589794 UEK589793:UEQ589794 UOG589793:UOM589794 UYC589793:UYI589794 VHY589793:VIE589794 VRU589793:VSA589794 WBQ589793:WBW589794 WLM589793:WLS589794 WVI589793:WVO589794 D655329:J655330 IW655329:JC655330 SS655329:SY655330 ACO655329:ACU655330 AMK655329:AMQ655330 AWG655329:AWM655330 BGC655329:BGI655330 BPY655329:BQE655330 BZU655329:CAA655330 CJQ655329:CJW655330 CTM655329:CTS655330 DDI655329:DDO655330 DNE655329:DNK655330 DXA655329:DXG655330 EGW655329:EHC655330 EQS655329:EQY655330 FAO655329:FAU655330 FKK655329:FKQ655330 FUG655329:FUM655330 GEC655329:GEI655330 GNY655329:GOE655330 GXU655329:GYA655330 HHQ655329:HHW655330 HRM655329:HRS655330 IBI655329:IBO655330 ILE655329:ILK655330 IVA655329:IVG655330 JEW655329:JFC655330 JOS655329:JOY655330 JYO655329:JYU655330 KIK655329:KIQ655330 KSG655329:KSM655330 LCC655329:LCI655330 LLY655329:LME655330 LVU655329:LWA655330 MFQ655329:MFW655330 MPM655329:MPS655330 MZI655329:MZO655330 NJE655329:NJK655330 NTA655329:NTG655330 OCW655329:ODC655330 OMS655329:OMY655330 OWO655329:OWU655330 PGK655329:PGQ655330 PQG655329:PQM655330 QAC655329:QAI655330 QJY655329:QKE655330 QTU655329:QUA655330 RDQ655329:RDW655330 RNM655329:RNS655330 RXI655329:RXO655330 SHE655329:SHK655330 SRA655329:SRG655330 TAW655329:TBC655330 TKS655329:TKY655330 TUO655329:TUU655330 UEK655329:UEQ655330 UOG655329:UOM655330 UYC655329:UYI655330 VHY655329:VIE655330 VRU655329:VSA655330 WBQ655329:WBW655330 WLM655329:WLS655330 WVI655329:WVO655330 D720865:J720866 IW720865:JC720866 SS720865:SY720866 ACO720865:ACU720866 AMK720865:AMQ720866 AWG720865:AWM720866 BGC720865:BGI720866 BPY720865:BQE720866 BZU720865:CAA720866 CJQ720865:CJW720866 CTM720865:CTS720866 DDI720865:DDO720866 DNE720865:DNK720866 DXA720865:DXG720866 EGW720865:EHC720866 EQS720865:EQY720866 FAO720865:FAU720866 FKK720865:FKQ720866 FUG720865:FUM720866 GEC720865:GEI720866 GNY720865:GOE720866 GXU720865:GYA720866 HHQ720865:HHW720866 HRM720865:HRS720866 IBI720865:IBO720866 ILE720865:ILK720866 IVA720865:IVG720866 JEW720865:JFC720866 JOS720865:JOY720866 JYO720865:JYU720866 KIK720865:KIQ720866 KSG720865:KSM720866 LCC720865:LCI720866 LLY720865:LME720866 LVU720865:LWA720866 MFQ720865:MFW720866 MPM720865:MPS720866 MZI720865:MZO720866 NJE720865:NJK720866 NTA720865:NTG720866 OCW720865:ODC720866 OMS720865:OMY720866 OWO720865:OWU720866 PGK720865:PGQ720866 PQG720865:PQM720866 QAC720865:QAI720866 QJY720865:QKE720866 QTU720865:QUA720866 RDQ720865:RDW720866 RNM720865:RNS720866 RXI720865:RXO720866 SHE720865:SHK720866 SRA720865:SRG720866 TAW720865:TBC720866 TKS720865:TKY720866 TUO720865:TUU720866 UEK720865:UEQ720866 UOG720865:UOM720866 UYC720865:UYI720866 VHY720865:VIE720866 VRU720865:VSA720866 WBQ720865:WBW720866 WLM720865:WLS720866 WVI720865:WVO720866 D786401:J786402 IW786401:JC786402 SS786401:SY786402 ACO786401:ACU786402 AMK786401:AMQ786402 AWG786401:AWM786402 BGC786401:BGI786402 BPY786401:BQE786402 BZU786401:CAA786402 CJQ786401:CJW786402 CTM786401:CTS786402 DDI786401:DDO786402 DNE786401:DNK786402 DXA786401:DXG786402 EGW786401:EHC786402 EQS786401:EQY786402 FAO786401:FAU786402 FKK786401:FKQ786402 FUG786401:FUM786402 GEC786401:GEI786402 GNY786401:GOE786402 GXU786401:GYA786402 HHQ786401:HHW786402 HRM786401:HRS786402 IBI786401:IBO786402 ILE786401:ILK786402 IVA786401:IVG786402 JEW786401:JFC786402 JOS786401:JOY786402 JYO786401:JYU786402 KIK786401:KIQ786402 KSG786401:KSM786402 LCC786401:LCI786402 LLY786401:LME786402 LVU786401:LWA786402 MFQ786401:MFW786402 MPM786401:MPS786402 MZI786401:MZO786402 NJE786401:NJK786402 NTA786401:NTG786402 OCW786401:ODC786402 OMS786401:OMY786402 OWO786401:OWU786402 PGK786401:PGQ786402 PQG786401:PQM786402 QAC786401:QAI786402 QJY786401:QKE786402 QTU786401:QUA786402 RDQ786401:RDW786402 RNM786401:RNS786402 RXI786401:RXO786402 SHE786401:SHK786402 SRA786401:SRG786402 TAW786401:TBC786402 TKS786401:TKY786402 TUO786401:TUU786402 UEK786401:UEQ786402 UOG786401:UOM786402 UYC786401:UYI786402 VHY786401:VIE786402 VRU786401:VSA786402 WBQ786401:WBW786402 WLM786401:WLS786402 WVI786401:WVO786402 D851937:J851938 IW851937:JC851938 SS851937:SY851938 ACO851937:ACU851938 AMK851937:AMQ851938 AWG851937:AWM851938 BGC851937:BGI851938 BPY851937:BQE851938 BZU851937:CAA851938 CJQ851937:CJW851938 CTM851937:CTS851938 DDI851937:DDO851938 DNE851937:DNK851938 DXA851937:DXG851938 EGW851937:EHC851938 EQS851937:EQY851938 FAO851937:FAU851938 FKK851937:FKQ851938 FUG851937:FUM851938 GEC851937:GEI851938 GNY851937:GOE851938 GXU851937:GYA851938 HHQ851937:HHW851938 HRM851937:HRS851938 IBI851937:IBO851938 ILE851937:ILK851938 IVA851937:IVG851938 JEW851937:JFC851938 JOS851937:JOY851938 JYO851937:JYU851938 KIK851937:KIQ851938 KSG851937:KSM851938 LCC851937:LCI851938 LLY851937:LME851938 LVU851937:LWA851938 MFQ851937:MFW851938 MPM851937:MPS851938 MZI851937:MZO851938 NJE851937:NJK851938 NTA851937:NTG851938 OCW851937:ODC851938 OMS851937:OMY851938 OWO851937:OWU851938 PGK851937:PGQ851938 PQG851937:PQM851938 QAC851937:QAI851938 QJY851937:QKE851938 QTU851937:QUA851938 RDQ851937:RDW851938 RNM851937:RNS851938 RXI851937:RXO851938 SHE851937:SHK851938 SRA851937:SRG851938 TAW851937:TBC851938 TKS851937:TKY851938 TUO851937:TUU851938 UEK851937:UEQ851938 UOG851937:UOM851938 UYC851937:UYI851938 VHY851937:VIE851938 VRU851937:VSA851938 WBQ851937:WBW851938 WLM851937:WLS851938 WVI851937:WVO851938 D917473:J917474 IW917473:JC917474 SS917473:SY917474 ACO917473:ACU917474 AMK917473:AMQ917474 AWG917473:AWM917474 BGC917473:BGI917474 BPY917473:BQE917474 BZU917473:CAA917474 CJQ917473:CJW917474 CTM917473:CTS917474 DDI917473:DDO917474 DNE917473:DNK917474 DXA917473:DXG917474 EGW917473:EHC917474 EQS917473:EQY917474 FAO917473:FAU917474 FKK917473:FKQ917474 FUG917473:FUM917474 GEC917473:GEI917474 GNY917473:GOE917474 GXU917473:GYA917474 HHQ917473:HHW917474 HRM917473:HRS917474 IBI917473:IBO917474 ILE917473:ILK917474 IVA917473:IVG917474 JEW917473:JFC917474 JOS917473:JOY917474 JYO917473:JYU917474 KIK917473:KIQ917474 KSG917473:KSM917474 LCC917473:LCI917474 LLY917473:LME917474 LVU917473:LWA917474 MFQ917473:MFW917474 MPM917473:MPS917474 MZI917473:MZO917474 NJE917473:NJK917474 NTA917473:NTG917474 OCW917473:ODC917474 OMS917473:OMY917474 OWO917473:OWU917474 PGK917473:PGQ917474 PQG917473:PQM917474 QAC917473:QAI917474 QJY917473:QKE917474 QTU917473:QUA917474 RDQ917473:RDW917474 RNM917473:RNS917474 RXI917473:RXO917474 SHE917473:SHK917474 SRA917473:SRG917474 TAW917473:TBC917474 TKS917473:TKY917474 TUO917473:TUU917474 UEK917473:UEQ917474 UOG917473:UOM917474 UYC917473:UYI917474 VHY917473:VIE917474 VRU917473:VSA917474 WBQ917473:WBW917474 WLM917473:WLS917474 WVI917473:WVO917474 D983009:J983010 IW983009:JC983010 SS983009:SY983010 ACO983009:ACU983010 AMK983009:AMQ983010 AWG983009:AWM983010 BGC983009:BGI983010 BPY983009:BQE983010 BZU983009:CAA983010 CJQ983009:CJW983010 CTM983009:CTS983010 DDI983009:DDO983010 DNE983009:DNK983010 DXA983009:DXG983010 EGW983009:EHC983010 EQS983009:EQY983010 FAO983009:FAU983010 FKK983009:FKQ983010 FUG983009:FUM983010 GEC983009:GEI983010 GNY983009:GOE983010 GXU983009:GYA983010 HHQ983009:HHW983010 HRM983009:HRS983010 IBI983009:IBO983010 ILE983009:ILK983010 IVA983009:IVG983010 JEW983009:JFC983010 JOS983009:JOY983010 JYO983009:JYU983010 KIK983009:KIQ983010 KSG983009:KSM983010 LCC983009:LCI983010 LLY983009:LME983010 LVU983009:LWA983010 MFQ983009:MFW983010 MPM983009:MPS983010 MZI983009:MZO983010 NJE983009:NJK983010 NTA983009:NTG983010 OCW983009:ODC983010 OMS983009:OMY983010 OWO983009:OWU983010 PGK983009:PGQ983010 PQG983009:PQM983010 QAC983009:QAI983010 QJY983009:QKE983010 QTU983009:QUA983010 RDQ983009:RDW983010 RNM983009:RNS983010 RXI983009:RXO983010 SHE983009:SHK983010 SRA983009:SRG983010 TAW983009:TBC983010 TKS983009:TKY983010 TUO983009:TUU983010 UEK983009:UEQ983010 UOG983009:UOM983010 UYC983009:UYI983010 VHY983009:VIE983010 VRU983009:VSA983010 WBQ983009:WBW983010 WLM983009:WLS983010 WVI983009:WVO983010 D65511:J65512 IW65511:JC65512 SS65511:SY65512 ACO65511:ACU65512 AMK65511:AMQ65512 AWG65511:AWM65512 BGC65511:BGI65512 BPY65511:BQE65512 BZU65511:CAA65512 CJQ65511:CJW65512 CTM65511:CTS65512 DDI65511:DDO65512 DNE65511:DNK65512 DXA65511:DXG65512 EGW65511:EHC65512 EQS65511:EQY65512 FAO65511:FAU65512 FKK65511:FKQ65512 FUG65511:FUM65512 GEC65511:GEI65512 GNY65511:GOE65512 GXU65511:GYA65512 HHQ65511:HHW65512 HRM65511:HRS65512 IBI65511:IBO65512 ILE65511:ILK65512 IVA65511:IVG65512 JEW65511:JFC65512 JOS65511:JOY65512 JYO65511:JYU65512 KIK65511:KIQ65512 KSG65511:KSM65512 LCC65511:LCI65512 LLY65511:LME65512 LVU65511:LWA65512 MFQ65511:MFW65512 MPM65511:MPS65512 MZI65511:MZO65512 NJE65511:NJK65512 NTA65511:NTG65512 OCW65511:ODC65512 OMS65511:OMY65512 OWO65511:OWU65512 PGK65511:PGQ65512 PQG65511:PQM65512 QAC65511:QAI65512 QJY65511:QKE65512 QTU65511:QUA65512 RDQ65511:RDW65512 RNM65511:RNS65512 RXI65511:RXO65512 SHE65511:SHK65512 SRA65511:SRG65512 TAW65511:TBC65512 TKS65511:TKY65512 TUO65511:TUU65512 UEK65511:UEQ65512 UOG65511:UOM65512 UYC65511:UYI65512 VHY65511:VIE65512 VRU65511:VSA65512 WBQ65511:WBW65512 WLM65511:WLS65512 WVI65511:WVO65512 D131047:J131048 IW131047:JC131048 SS131047:SY131048 ACO131047:ACU131048 AMK131047:AMQ131048 AWG131047:AWM131048 BGC131047:BGI131048 BPY131047:BQE131048 BZU131047:CAA131048 CJQ131047:CJW131048 CTM131047:CTS131048 DDI131047:DDO131048 DNE131047:DNK131048 DXA131047:DXG131048 EGW131047:EHC131048 EQS131047:EQY131048 FAO131047:FAU131048 FKK131047:FKQ131048 FUG131047:FUM131048 GEC131047:GEI131048 GNY131047:GOE131048 GXU131047:GYA131048 HHQ131047:HHW131048 HRM131047:HRS131048 IBI131047:IBO131048 ILE131047:ILK131048 IVA131047:IVG131048 JEW131047:JFC131048 JOS131047:JOY131048 JYO131047:JYU131048 KIK131047:KIQ131048 KSG131047:KSM131048 LCC131047:LCI131048 LLY131047:LME131048 LVU131047:LWA131048 MFQ131047:MFW131048 MPM131047:MPS131048 MZI131047:MZO131048 NJE131047:NJK131048 NTA131047:NTG131048 OCW131047:ODC131048 OMS131047:OMY131048 OWO131047:OWU131048 PGK131047:PGQ131048 PQG131047:PQM131048 QAC131047:QAI131048 QJY131047:QKE131048 QTU131047:QUA131048 RDQ131047:RDW131048 RNM131047:RNS131048 RXI131047:RXO131048 SHE131047:SHK131048 SRA131047:SRG131048 TAW131047:TBC131048 TKS131047:TKY131048 TUO131047:TUU131048 UEK131047:UEQ131048 UOG131047:UOM131048 UYC131047:UYI131048 VHY131047:VIE131048 VRU131047:VSA131048 WBQ131047:WBW131048 WLM131047:WLS131048 WVI131047:WVO131048 D196583:J196584 IW196583:JC196584 SS196583:SY196584 ACO196583:ACU196584 AMK196583:AMQ196584 AWG196583:AWM196584 BGC196583:BGI196584 BPY196583:BQE196584 BZU196583:CAA196584 CJQ196583:CJW196584 CTM196583:CTS196584 DDI196583:DDO196584 DNE196583:DNK196584 DXA196583:DXG196584 EGW196583:EHC196584 EQS196583:EQY196584 FAO196583:FAU196584 FKK196583:FKQ196584 FUG196583:FUM196584 GEC196583:GEI196584 GNY196583:GOE196584 GXU196583:GYA196584 HHQ196583:HHW196584 HRM196583:HRS196584 IBI196583:IBO196584 ILE196583:ILK196584 IVA196583:IVG196584 JEW196583:JFC196584 JOS196583:JOY196584 JYO196583:JYU196584 KIK196583:KIQ196584 KSG196583:KSM196584 LCC196583:LCI196584 LLY196583:LME196584 LVU196583:LWA196584 MFQ196583:MFW196584 MPM196583:MPS196584 MZI196583:MZO196584 NJE196583:NJK196584 NTA196583:NTG196584 OCW196583:ODC196584 OMS196583:OMY196584 OWO196583:OWU196584 PGK196583:PGQ196584 PQG196583:PQM196584 QAC196583:QAI196584 QJY196583:QKE196584 QTU196583:QUA196584 RDQ196583:RDW196584 RNM196583:RNS196584 RXI196583:RXO196584 SHE196583:SHK196584 SRA196583:SRG196584 TAW196583:TBC196584 TKS196583:TKY196584 TUO196583:TUU196584 UEK196583:UEQ196584 UOG196583:UOM196584 UYC196583:UYI196584 VHY196583:VIE196584 VRU196583:VSA196584 WBQ196583:WBW196584 WLM196583:WLS196584 WVI196583:WVO196584 D262119:J262120 IW262119:JC262120 SS262119:SY262120 ACO262119:ACU262120 AMK262119:AMQ262120 AWG262119:AWM262120 BGC262119:BGI262120 BPY262119:BQE262120 BZU262119:CAA262120 CJQ262119:CJW262120 CTM262119:CTS262120 DDI262119:DDO262120 DNE262119:DNK262120 DXA262119:DXG262120 EGW262119:EHC262120 EQS262119:EQY262120 FAO262119:FAU262120 FKK262119:FKQ262120 FUG262119:FUM262120 GEC262119:GEI262120 GNY262119:GOE262120 GXU262119:GYA262120 HHQ262119:HHW262120 HRM262119:HRS262120 IBI262119:IBO262120 ILE262119:ILK262120 IVA262119:IVG262120 JEW262119:JFC262120 JOS262119:JOY262120 JYO262119:JYU262120 KIK262119:KIQ262120 KSG262119:KSM262120 LCC262119:LCI262120 LLY262119:LME262120 LVU262119:LWA262120 MFQ262119:MFW262120 MPM262119:MPS262120 MZI262119:MZO262120 NJE262119:NJK262120 NTA262119:NTG262120 OCW262119:ODC262120 OMS262119:OMY262120 OWO262119:OWU262120 PGK262119:PGQ262120 PQG262119:PQM262120 QAC262119:QAI262120 QJY262119:QKE262120 QTU262119:QUA262120 RDQ262119:RDW262120 RNM262119:RNS262120 RXI262119:RXO262120 SHE262119:SHK262120 SRA262119:SRG262120 TAW262119:TBC262120 TKS262119:TKY262120 TUO262119:TUU262120 UEK262119:UEQ262120 UOG262119:UOM262120 UYC262119:UYI262120 VHY262119:VIE262120 VRU262119:VSA262120 WBQ262119:WBW262120 WLM262119:WLS262120 WVI262119:WVO262120 D327655:J327656 IW327655:JC327656 SS327655:SY327656 ACO327655:ACU327656 AMK327655:AMQ327656 AWG327655:AWM327656 BGC327655:BGI327656 BPY327655:BQE327656 BZU327655:CAA327656 CJQ327655:CJW327656 CTM327655:CTS327656 DDI327655:DDO327656 DNE327655:DNK327656 DXA327655:DXG327656 EGW327655:EHC327656 EQS327655:EQY327656 FAO327655:FAU327656 FKK327655:FKQ327656 FUG327655:FUM327656 GEC327655:GEI327656 GNY327655:GOE327656 GXU327655:GYA327656 HHQ327655:HHW327656 HRM327655:HRS327656 IBI327655:IBO327656 ILE327655:ILK327656 IVA327655:IVG327656 JEW327655:JFC327656 JOS327655:JOY327656 JYO327655:JYU327656 KIK327655:KIQ327656 KSG327655:KSM327656 LCC327655:LCI327656 LLY327655:LME327656 LVU327655:LWA327656 MFQ327655:MFW327656 MPM327655:MPS327656 MZI327655:MZO327656 NJE327655:NJK327656 NTA327655:NTG327656 OCW327655:ODC327656 OMS327655:OMY327656 OWO327655:OWU327656 PGK327655:PGQ327656 PQG327655:PQM327656 QAC327655:QAI327656 QJY327655:QKE327656 QTU327655:QUA327656 RDQ327655:RDW327656 RNM327655:RNS327656 RXI327655:RXO327656 SHE327655:SHK327656 SRA327655:SRG327656 TAW327655:TBC327656 TKS327655:TKY327656 TUO327655:TUU327656 UEK327655:UEQ327656 UOG327655:UOM327656 UYC327655:UYI327656 VHY327655:VIE327656 VRU327655:VSA327656 WBQ327655:WBW327656 WLM327655:WLS327656 WVI327655:WVO327656 D393191:J393192 IW393191:JC393192 SS393191:SY393192 ACO393191:ACU393192 AMK393191:AMQ393192 AWG393191:AWM393192 BGC393191:BGI393192 BPY393191:BQE393192 BZU393191:CAA393192 CJQ393191:CJW393192 CTM393191:CTS393192 DDI393191:DDO393192 DNE393191:DNK393192 DXA393191:DXG393192 EGW393191:EHC393192 EQS393191:EQY393192 FAO393191:FAU393192 FKK393191:FKQ393192 FUG393191:FUM393192 GEC393191:GEI393192 GNY393191:GOE393192 GXU393191:GYA393192 HHQ393191:HHW393192 HRM393191:HRS393192 IBI393191:IBO393192 ILE393191:ILK393192 IVA393191:IVG393192 JEW393191:JFC393192 JOS393191:JOY393192 JYO393191:JYU393192 KIK393191:KIQ393192 KSG393191:KSM393192 LCC393191:LCI393192 LLY393191:LME393192 LVU393191:LWA393192 MFQ393191:MFW393192 MPM393191:MPS393192 MZI393191:MZO393192 NJE393191:NJK393192 NTA393191:NTG393192 OCW393191:ODC393192 OMS393191:OMY393192 OWO393191:OWU393192 PGK393191:PGQ393192 PQG393191:PQM393192 QAC393191:QAI393192 QJY393191:QKE393192 QTU393191:QUA393192 RDQ393191:RDW393192 RNM393191:RNS393192 RXI393191:RXO393192 SHE393191:SHK393192 SRA393191:SRG393192 TAW393191:TBC393192 TKS393191:TKY393192 TUO393191:TUU393192 UEK393191:UEQ393192 UOG393191:UOM393192 UYC393191:UYI393192 VHY393191:VIE393192 VRU393191:VSA393192 WBQ393191:WBW393192 WLM393191:WLS393192 WVI393191:WVO393192 D458727:J458728 IW458727:JC458728 SS458727:SY458728 ACO458727:ACU458728 AMK458727:AMQ458728 AWG458727:AWM458728 BGC458727:BGI458728 BPY458727:BQE458728 BZU458727:CAA458728 CJQ458727:CJW458728 CTM458727:CTS458728 DDI458727:DDO458728 DNE458727:DNK458728 DXA458727:DXG458728 EGW458727:EHC458728 EQS458727:EQY458728 FAO458727:FAU458728 FKK458727:FKQ458728 FUG458727:FUM458728 GEC458727:GEI458728 GNY458727:GOE458728 GXU458727:GYA458728 HHQ458727:HHW458728 HRM458727:HRS458728 IBI458727:IBO458728 ILE458727:ILK458728 IVA458727:IVG458728 JEW458727:JFC458728 JOS458727:JOY458728 JYO458727:JYU458728 KIK458727:KIQ458728 KSG458727:KSM458728 LCC458727:LCI458728 LLY458727:LME458728 LVU458727:LWA458728 MFQ458727:MFW458728 MPM458727:MPS458728 MZI458727:MZO458728 NJE458727:NJK458728 NTA458727:NTG458728 OCW458727:ODC458728 OMS458727:OMY458728 OWO458727:OWU458728 PGK458727:PGQ458728 PQG458727:PQM458728 QAC458727:QAI458728 QJY458727:QKE458728 QTU458727:QUA458728 RDQ458727:RDW458728 RNM458727:RNS458728 RXI458727:RXO458728 SHE458727:SHK458728 SRA458727:SRG458728 TAW458727:TBC458728 TKS458727:TKY458728 TUO458727:TUU458728 UEK458727:UEQ458728 UOG458727:UOM458728 UYC458727:UYI458728 VHY458727:VIE458728 VRU458727:VSA458728 WBQ458727:WBW458728 WLM458727:WLS458728 WVI458727:WVO458728 D524263:J524264 IW524263:JC524264 SS524263:SY524264 ACO524263:ACU524264 AMK524263:AMQ524264 AWG524263:AWM524264 BGC524263:BGI524264 BPY524263:BQE524264 BZU524263:CAA524264 CJQ524263:CJW524264 CTM524263:CTS524264 DDI524263:DDO524264 DNE524263:DNK524264 DXA524263:DXG524264 EGW524263:EHC524264 EQS524263:EQY524264 FAO524263:FAU524264 FKK524263:FKQ524264 FUG524263:FUM524264 GEC524263:GEI524264 GNY524263:GOE524264 GXU524263:GYA524264 HHQ524263:HHW524264 HRM524263:HRS524264 IBI524263:IBO524264 ILE524263:ILK524264 IVA524263:IVG524264 JEW524263:JFC524264 JOS524263:JOY524264 JYO524263:JYU524264 KIK524263:KIQ524264 KSG524263:KSM524264 LCC524263:LCI524264 LLY524263:LME524264 LVU524263:LWA524264 MFQ524263:MFW524264 MPM524263:MPS524264 MZI524263:MZO524264 NJE524263:NJK524264 NTA524263:NTG524264 OCW524263:ODC524264 OMS524263:OMY524264 OWO524263:OWU524264 PGK524263:PGQ524264 PQG524263:PQM524264 QAC524263:QAI524264 QJY524263:QKE524264 QTU524263:QUA524264 RDQ524263:RDW524264 RNM524263:RNS524264 RXI524263:RXO524264 SHE524263:SHK524264 SRA524263:SRG524264 TAW524263:TBC524264 TKS524263:TKY524264 TUO524263:TUU524264 UEK524263:UEQ524264 UOG524263:UOM524264 UYC524263:UYI524264 VHY524263:VIE524264 VRU524263:VSA524264 WBQ524263:WBW524264 WLM524263:WLS524264 WVI524263:WVO524264 D589799:J589800 IW589799:JC589800 SS589799:SY589800 ACO589799:ACU589800 AMK589799:AMQ589800 AWG589799:AWM589800 BGC589799:BGI589800 BPY589799:BQE589800 BZU589799:CAA589800 CJQ589799:CJW589800 CTM589799:CTS589800 DDI589799:DDO589800 DNE589799:DNK589800 DXA589799:DXG589800 EGW589799:EHC589800 EQS589799:EQY589800 FAO589799:FAU589800 FKK589799:FKQ589800 FUG589799:FUM589800 GEC589799:GEI589800 GNY589799:GOE589800 GXU589799:GYA589800 HHQ589799:HHW589800 HRM589799:HRS589800 IBI589799:IBO589800 ILE589799:ILK589800 IVA589799:IVG589800 JEW589799:JFC589800 JOS589799:JOY589800 JYO589799:JYU589800 KIK589799:KIQ589800 KSG589799:KSM589800 LCC589799:LCI589800 LLY589799:LME589800 LVU589799:LWA589800 MFQ589799:MFW589800 MPM589799:MPS589800 MZI589799:MZO589800 NJE589799:NJK589800 NTA589799:NTG589800 OCW589799:ODC589800 OMS589799:OMY589800 OWO589799:OWU589800 PGK589799:PGQ589800 PQG589799:PQM589800 QAC589799:QAI589800 QJY589799:QKE589800 QTU589799:QUA589800 RDQ589799:RDW589800 RNM589799:RNS589800 RXI589799:RXO589800 SHE589799:SHK589800 SRA589799:SRG589800 TAW589799:TBC589800 TKS589799:TKY589800 TUO589799:TUU589800 UEK589799:UEQ589800 UOG589799:UOM589800 UYC589799:UYI589800 VHY589799:VIE589800 VRU589799:VSA589800 WBQ589799:WBW589800 WLM589799:WLS589800 WVI589799:WVO589800 D655335:J655336 IW655335:JC655336 SS655335:SY655336 ACO655335:ACU655336 AMK655335:AMQ655336 AWG655335:AWM655336 BGC655335:BGI655336 BPY655335:BQE655336 BZU655335:CAA655336 CJQ655335:CJW655336 CTM655335:CTS655336 DDI655335:DDO655336 DNE655335:DNK655336 DXA655335:DXG655336 EGW655335:EHC655336 EQS655335:EQY655336 FAO655335:FAU655336 FKK655335:FKQ655336 FUG655335:FUM655336 GEC655335:GEI655336 GNY655335:GOE655336 GXU655335:GYA655336 HHQ655335:HHW655336 HRM655335:HRS655336 IBI655335:IBO655336 ILE655335:ILK655336 IVA655335:IVG655336 JEW655335:JFC655336 JOS655335:JOY655336 JYO655335:JYU655336 KIK655335:KIQ655336 KSG655335:KSM655336 LCC655335:LCI655336 LLY655335:LME655336 LVU655335:LWA655336 MFQ655335:MFW655336 MPM655335:MPS655336 MZI655335:MZO655336 NJE655335:NJK655336 NTA655335:NTG655336 OCW655335:ODC655336 OMS655335:OMY655336 OWO655335:OWU655336 PGK655335:PGQ655336 PQG655335:PQM655336 QAC655335:QAI655336 QJY655335:QKE655336 QTU655335:QUA655336 RDQ655335:RDW655336 RNM655335:RNS655336 RXI655335:RXO655336 SHE655335:SHK655336 SRA655335:SRG655336 TAW655335:TBC655336 TKS655335:TKY655336 TUO655335:TUU655336 UEK655335:UEQ655336 UOG655335:UOM655336 UYC655335:UYI655336 VHY655335:VIE655336 VRU655335:VSA655336 WBQ655335:WBW655336 WLM655335:WLS655336 WVI655335:WVO655336 D720871:J720872 IW720871:JC720872 SS720871:SY720872 ACO720871:ACU720872 AMK720871:AMQ720872 AWG720871:AWM720872 BGC720871:BGI720872 BPY720871:BQE720872 BZU720871:CAA720872 CJQ720871:CJW720872 CTM720871:CTS720872 DDI720871:DDO720872 DNE720871:DNK720872 DXA720871:DXG720872 EGW720871:EHC720872 EQS720871:EQY720872 FAO720871:FAU720872 FKK720871:FKQ720872 FUG720871:FUM720872 GEC720871:GEI720872 GNY720871:GOE720872 GXU720871:GYA720872 HHQ720871:HHW720872 HRM720871:HRS720872 IBI720871:IBO720872 ILE720871:ILK720872 IVA720871:IVG720872 JEW720871:JFC720872 JOS720871:JOY720872 JYO720871:JYU720872 KIK720871:KIQ720872 KSG720871:KSM720872 LCC720871:LCI720872 LLY720871:LME720872 LVU720871:LWA720872 MFQ720871:MFW720872 MPM720871:MPS720872 MZI720871:MZO720872 NJE720871:NJK720872 NTA720871:NTG720872 OCW720871:ODC720872 OMS720871:OMY720872 OWO720871:OWU720872 PGK720871:PGQ720872 PQG720871:PQM720872 QAC720871:QAI720872 QJY720871:QKE720872 QTU720871:QUA720872 RDQ720871:RDW720872 RNM720871:RNS720872 RXI720871:RXO720872 SHE720871:SHK720872 SRA720871:SRG720872 TAW720871:TBC720872 TKS720871:TKY720872 TUO720871:TUU720872 UEK720871:UEQ720872 UOG720871:UOM720872 UYC720871:UYI720872 VHY720871:VIE720872 VRU720871:VSA720872 WBQ720871:WBW720872 WLM720871:WLS720872 WVI720871:WVO720872 D786407:J786408 IW786407:JC786408 SS786407:SY786408 ACO786407:ACU786408 AMK786407:AMQ786408 AWG786407:AWM786408 BGC786407:BGI786408 BPY786407:BQE786408 BZU786407:CAA786408 CJQ786407:CJW786408 CTM786407:CTS786408 DDI786407:DDO786408 DNE786407:DNK786408 DXA786407:DXG786408 EGW786407:EHC786408 EQS786407:EQY786408 FAO786407:FAU786408 FKK786407:FKQ786408 FUG786407:FUM786408 GEC786407:GEI786408 GNY786407:GOE786408 GXU786407:GYA786408 HHQ786407:HHW786408 HRM786407:HRS786408 IBI786407:IBO786408 ILE786407:ILK786408 IVA786407:IVG786408 JEW786407:JFC786408 JOS786407:JOY786408 JYO786407:JYU786408 KIK786407:KIQ786408 KSG786407:KSM786408 LCC786407:LCI786408 LLY786407:LME786408 LVU786407:LWA786408 MFQ786407:MFW786408 MPM786407:MPS786408 MZI786407:MZO786408 NJE786407:NJK786408 NTA786407:NTG786408 OCW786407:ODC786408 OMS786407:OMY786408 OWO786407:OWU786408 PGK786407:PGQ786408 PQG786407:PQM786408 QAC786407:QAI786408 QJY786407:QKE786408 QTU786407:QUA786408 RDQ786407:RDW786408 RNM786407:RNS786408 RXI786407:RXO786408 SHE786407:SHK786408 SRA786407:SRG786408 TAW786407:TBC786408 TKS786407:TKY786408 TUO786407:TUU786408 UEK786407:UEQ786408 UOG786407:UOM786408 UYC786407:UYI786408 VHY786407:VIE786408 VRU786407:VSA786408 WBQ786407:WBW786408 WLM786407:WLS786408 WVI786407:WVO786408 D851943:J851944 IW851943:JC851944 SS851943:SY851944 ACO851943:ACU851944 AMK851943:AMQ851944 AWG851943:AWM851944 BGC851943:BGI851944 BPY851943:BQE851944 BZU851943:CAA851944 CJQ851943:CJW851944 CTM851943:CTS851944 DDI851943:DDO851944 DNE851943:DNK851944 DXA851943:DXG851944 EGW851943:EHC851944 EQS851943:EQY851944 FAO851943:FAU851944 FKK851943:FKQ851944 FUG851943:FUM851944 GEC851943:GEI851944 GNY851943:GOE851944 GXU851943:GYA851944 HHQ851943:HHW851944 HRM851943:HRS851944 IBI851943:IBO851944 ILE851943:ILK851944 IVA851943:IVG851944 JEW851943:JFC851944 JOS851943:JOY851944 JYO851943:JYU851944 KIK851943:KIQ851944 KSG851943:KSM851944 LCC851943:LCI851944 LLY851943:LME851944 LVU851943:LWA851944 MFQ851943:MFW851944 MPM851943:MPS851944 MZI851943:MZO851944 NJE851943:NJK851944 NTA851943:NTG851944 OCW851943:ODC851944 OMS851943:OMY851944 OWO851943:OWU851944 PGK851943:PGQ851944 PQG851943:PQM851944 QAC851943:QAI851944 QJY851943:QKE851944 QTU851943:QUA851944 RDQ851943:RDW851944 RNM851943:RNS851944 RXI851943:RXO851944 SHE851943:SHK851944 SRA851943:SRG851944 TAW851943:TBC851944 TKS851943:TKY851944 TUO851943:TUU851944 UEK851943:UEQ851944 UOG851943:UOM851944 UYC851943:UYI851944 VHY851943:VIE851944 VRU851943:VSA851944 WBQ851943:WBW851944 WLM851943:WLS851944 WVI851943:WVO851944 D917479:J917480 IW917479:JC917480 SS917479:SY917480 ACO917479:ACU917480 AMK917479:AMQ917480 AWG917479:AWM917480 BGC917479:BGI917480 BPY917479:BQE917480 BZU917479:CAA917480 CJQ917479:CJW917480 CTM917479:CTS917480 DDI917479:DDO917480 DNE917479:DNK917480 DXA917479:DXG917480 EGW917479:EHC917480 EQS917479:EQY917480 FAO917479:FAU917480 FKK917479:FKQ917480 FUG917479:FUM917480 GEC917479:GEI917480 GNY917479:GOE917480 GXU917479:GYA917480 HHQ917479:HHW917480 HRM917479:HRS917480 IBI917479:IBO917480 ILE917479:ILK917480 IVA917479:IVG917480 JEW917479:JFC917480 JOS917479:JOY917480 JYO917479:JYU917480 KIK917479:KIQ917480 KSG917479:KSM917480 LCC917479:LCI917480 LLY917479:LME917480 LVU917479:LWA917480 MFQ917479:MFW917480 MPM917479:MPS917480 MZI917479:MZO917480 NJE917479:NJK917480 NTA917479:NTG917480 OCW917479:ODC917480 OMS917479:OMY917480 OWO917479:OWU917480 PGK917479:PGQ917480 PQG917479:PQM917480 QAC917479:QAI917480 QJY917479:QKE917480 QTU917479:QUA917480 RDQ917479:RDW917480 RNM917479:RNS917480 RXI917479:RXO917480 SHE917479:SHK917480 SRA917479:SRG917480 TAW917479:TBC917480 TKS917479:TKY917480 TUO917479:TUU917480 UEK917479:UEQ917480 UOG917479:UOM917480 UYC917479:UYI917480 VHY917479:VIE917480 VRU917479:VSA917480 WBQ917479:WBW917480 WLM917479:WLS917480 WVI917479:WVO917480 D983015:J983016 IW983015:JC983016 SS983015:SY983016 ACO983015:ACU983016 AMK983015:AMQ983016 AWG983015:AWM983016 BGC983015:BGI983016 BPY983015:BQE983016 BZU983015:CAA983016 CJQ983015:CJW983016 CTM983015:CTS983016 DDI983015:DDO983016 DNE983015:DNK983016 DXA983015:DXG983016 EGW983015:EHC983016 EQS983015:EQY983016 FAO983015:FAU983016 FKK983015:FKQ983016 FUG983015:FUM983016 GEC983015:GEI983016 GNY983015:GOE983016 GXU983015:GYA983016 HHQ983015:HHW983016 HRM983015:HRS983016 IBI983015:IBO983016 ILE983015:ILK983016 IVA983015:IVG983016 JEW983015:JFC983016 JOS983015:JOY983016 JYO983015:JYU983016 KIK983015:KIQ983016 KSG983015:KSM983016 LCC983015:LCI983016 LLY983015:LME983016 LVU983015:LWA983016 MFQ983015:MFW983016 MPM983015:MPS983016 MZI983015:MZO983016 NJE983015:NJK983016 NTA983015:NTG983016 OCW983015:ODC983016 OMS983015:OMY983016 OWO983015:OWU983016 PGK983015:PGQ983016 PQG983015:PQM983016 QAC983015:QAI983016 QJY983015:QKE983016 QTU983015:QUA983016 RDQ983015:RDW983016 RNM983015:RNS983016 RXI983015:RXO983016 SHE983015:SHK983016 SRA983015:SRG983016 TAW983015:TBC983016 TKS983015:TKY983016 TUO983015:TUU983016 UEK983015:UEQ983016 UOG983015:UOM983016 UYC983015:UYI983016 VHY983015:VIE983016 VRU983015:VSA983016 WBQ983015:WBW983016 WLM983015:WLS983016 WVI983015:WVO983016 D65514:J65515 IW65514:JC65515 SS65514:SY65515 ACO65514:ACU65515 AMK65514:AMQ65515 AWG65514:AWM65515 BGC65514:BGI65515 BPY65514:BQE65515 BZU65514:CAA65515 CJQ65514:CJW65515 CTM65514:CTS65515 DDI65514:DDO65515 DNE65514:DNK65515 DXA65514:DXG65515 EGW65514:EHC65515 EQS65514:EQY65515 FAO65514:FAU65515 FKK65514:FKQ65515 FUG65514:FUM65515 GEC65514:GEI65515 GNY65514:GOE65515 GXU65514:GYA65515 HHQ65514:HHW65515 HRM65514:HRS65515 IBI65514:IBO65515 ILE65514:ILK65515 IVA65514:IVG65515 JEW65514:JFC65515 JOS65514:JOY65515 JYO65514:JYU65515 KIK65514:KIQ65515 KSG65514:KSM65515 LCC65514:LCI65515 LLY65514:LME65515 LVU65514:LWA65515 MFQ65514:MFW65515 MPM65514:MPS65515 MZI65514:MZO65515 NJE65514:NJK65515 NTA65514:NTG65515 OCW65514:ODC65515 OMS65514:OMY65515 OWO65514:OWU65515 PGK65514:PGQ65515 PQG65514:PQM65515 QAC65514:QAI65515 QJY65514:QKE65515 QTU65514:QUA65515 RDQ65514:RDW65515 RNM65514:RNS65515 RXI65514:RXO65515 SHE65514:SHK65515 SRA65514:SRG65515 TAW65514:TBC65515 TKS65514:TKY65515 TUO65514:TUU65515 UEK65514:UEQ65515 UOG65514:UOM65515 UYC65514:UYI65515 VHY65514:VIE65515 VRU65514:VSA65515 WBQ65514:WBW65515 WLM65514:WLS65515 WVI65514:WVO65515 D131050:J131051 IW131050:JC131051 SS131050:SY131051 ACO131050:ACU131051 AMK131050:AMQ131051 AWG131050:AWM131051 BGC131050:BGI131051 BPY131050:BQE131051 BZU131050:CAA131051 CJQ131050:CJW131051 CTM131050:CTS131051 DDI131050:DDO131051 DNE131050:DNK131051 DXA131050:DXG131051 EGW131050:EHC131051 EQS131050:EQY131051 FAO131050:FAU131051 FKK131050:FKQ131051 FUG131050:FUM131051 GEC131050:GEI131051 GNY131050:GOE131051 GXU131050:GYA131051 HHQ131050:HHW131051 HRM131050:HRS131051 IBI131050:IBO131051 ILE131050:ILK131051 IVA131050:IVG131051 JEW131050:JFC131051 JOS131050:JOY131051 JYO131050:JYU131051 KIK131050:KIQ131051 KSG131050:KSM131051 LCC131050:LCI131051 LLY131050:LME131051 LVU131050:LWA131051 MFQ131050:MFW131051 MPM131050:MPS131051 MZI131050:MZO131051 NJE131050:NJK131051 NTA131050:NTG131051 OCW131050:ODC131051 OMS131050:OMY131051 OWO131050:OWU131051 PGK131050:PGQ131051 PQG131050:PQM131051 QAC131050:QAI131051 QJY131050:QKE131051 QTU131050:QUA131051 RDQ131050:RDW131051 RNM131050:RNS131051 RXI131050:RXO131051 SHE131050:SHK131051 SRA131050:SRG131051 TAW131050:TBC131051 TKS131050:TKY131051 TUO131050:TUU131051 UEK131050:UEQ131051 UOG131050:UOM131051 UYC131050:UYI131051 VHY131050:VIE131051 VRU131050:VSA131051 WBQ131050:WBW131051 WLM131050:WLS131051 WVI131050:WVO131051 D196586:J196587 IW196586:JC196587 SS196586:SY196587 ACO196586:ACU196587 AMK196586:AMQ196587 AWG196586:AWM196587 BGC196586:BGI196587 BPY196586:BQE196587 BZU196586:CAA196587 CJQ196586:CJW196587 CTM196586:CTS196587 DDI196586:DDO196587 DNE196586:DNK196587 DXA196586:DXG196587 EGW196586:EHC196587 EQS196586:EQY196587 FAO196586:FAU196587 FKK196586:FKQ196587 FUG196586:FUM196587 GEC196586:GEI196587 GNY196586:GOE196587 GXU196586:GYA196587 HHQ196586:HHW196587 HRM196586:HRS196587 IBI196586:IBO196587 ILE196586:ILK196587 IVA196586:IVG196587 JEW196586:JFC196587 JOS196586:JOY196587 JYO196586:JYU196587 KIK196586:KIQ196587 KSG196586:KSM196587 LCC196586:LCI196587 LLY196586:LME196587 LVU196586:LWA196587 MFQ196586:MFW196587 MPM196586:MPS196587 MZI196586:MZO196587 NJE196586:NJK196587 NTA196586:NTG196587 OCW196586:ODC196587 OMS196586:OMY196587 OWO196586:OWU196587 PGK196586:PGQ196587 PQG196586:PQM196587 QAC196586:QAI196587 QJY196586:QKE196587 QTU196586:QUA196587 RDQ196586:RDW196587 RNM196586:RNS196587 RXI196586:RXO196587 SHE196586:SHK196587 SRA196586:SRG196587 TAW196586:TBC196587 TKS196586:TKY196587 TUO196586:TUU196587 UEK196586:UEQ196587 UOG196586:UOM196587 UYC196586:UYI196587 VHY196586:VIE196587 VRU196586:VSA196587 WBQ196586:WBW196587 WLM196586:WLS196587 WVI196586:WVO196587 D262122:J262123 IW262122:JC262123 SS262122:SY262123 ACO262122:ACU262123 AMK262122:AMQ262123 AWG262122:AWM262123 BGC262122:BGI262123 BPY262122:BQE262123 BZU262122:CAA262123 CJQ262122:CJW262123 CTM262122:CTS262123 DDI262122:DDO262123 DNE262122:DNK262123 DXA262122:DXG262123 EGW262122:EHC262123 EQS262122:EQY262123 FAO262122:FAU262123 FKK262122:FKQ262123 FUG262122:FUM262123 GEC262122:GEI262123 GNY262122:GOE262123 GXU262122:GYA262123 HHQ262122:HHW262123 HRM262122:HRS262123 IBI262122:IBO262123 ILE262122:ILK262123 IVA262122:IVG262123 JEW262122:JFC262123 JOS262122:JOY262123 JYO262122:JYU262123 KIK262122:KIQ262123 KSG262122:KSM262123 LCC262122:LCI262123 LLY262122:LME262123 LVU262122:LWA262123 MFQ262122:MFW262123 MPM262122:MPS262123 MZI262122:MZO262123 NJE262122:NJK262123 NTA262122:NTG262123 OCW262122:ODC262123 OMS262122:OMY262123 OWO262122:OWU262123 PGK262122:PGQ262123 PQG262122:PQM262123 QAC262122:QAI262123 QJY262122:QKE262123 QTU262122:QUA262123 RDQ262122:RDW262123 RNM262122:RNS262123 RXI262122:RXO262123 SHE262122:SHK262123 SRA262122:SRG262123 TAW262122:TBC262123 TKS262122:TKY262123 TUO262122:TUU262123 UEK262122:UEQ262123 UOG262122:UOM262123 UYC262122:UYI262123 VHY262122:VIE262123 VRU262122:VSA262123 WBQ262122:WBW262123 WLM262122:WLS262123 WVI262122:WVO262123 D327658:J327659 IW327658:JC327659 SS327658:SY327659 ACO327658:ACU327659 AMK327658:AMQ327659 AWG327658:AWM327659 BGC327658:BGI327659 BPY327658:BQE327659 BZU327658:CAA327659 CJQ327658:CJW327659 CTM327658:CTS327659 DDI327658:DDO327659 DNE327658:DNK327659 DXA327658:DXG327659 EGW327658:EHC327659 EQS327658:EQY327659 FAO327658:FAU327659 FKK327658:FKQ327659 FUG327658:FUM327659 GEC327658:GEI327659 GNY327658:GOE327659 GXU327658:GYA327659 HHQ327658:HHW327659 HRM327658:HRS327659 IBI327658:IBO327659 ILE327658:ILK327659 IVA327658:IVG327659 JEW327658:JFC327659 JOS327658:JOY327659 JYO327658:JYU327659 KIK327658:KIQ327659 KSG327658:KSM327659 LCC327658:LCI327659 LLY327658:LME327659 LVU327658:LWA327659 MFQ327658:MFW327659 MPM327658:MPS327659 MZI327658:MZO327659 NJE327658:NJK327659 NTA327658:NTG327659 OCW327658:ODC327659 OMS327658:OMY327659 OWO327658:OWU327659 PGK327658:PGQ327659 PQG327658:PQM327659 QAC327658:QAI327659 QJY327658:QKE327659 QTU327658:QUA327659 RDQ327658:RDW327659 RNM327658:RNS327659 RXI327658:RXO327659 SHE327658:SHK327659 SRA327658:SRG327659 TAW327658:TBC327659 TKS327658:TKY327659 TUO327658:TUU327659 UEK327658:UEQ327659 UOG327658:UOM327659 UYC327658:UYI327659 VHY327658:VIE327659 VRU327658:VSA327659 WBQ327658:WBW327659 WLM327658:WLS327659 WVI327658:WVO327659 D393194:J393195 IW393194:JC393195 SS393194:SY393195 ACO393194:ACU393195 AMK393194:AMQ393195 AWG393194:AWM393195 BGC393194:BGI393195 BPY393194:BQE393195 BZU393194:CAA393195 CJQ393194:CJW393195 CTM393194:CTS393195 DDI393194:DDO393195 DNE393194:DNK393195 DXA393194:DXG393195 EGW393194:EHC393195 EQS393194:EQY393195 FAO393194:FAU393195 FKK393194:FKQ393195 FUG393194:FUM393195 GEC393194:GEI393195 GNY393194:GOE393195 GXU393194:GYA393195 HHQ393194:HHW393195 HRM393194:HRS393195 IBI393194:IBO393195 ILE393194:ILK393195 IVA393194:IVG393195 JEW393194:JFC393195 JOS393194:JOY393195 JYO393194:JYU393195 KIK393194:KIQ393195 KSG393194:KSM393195 LCC393194:LCI393195 LLY393194:LME393195 LVU393194:LWA393195 MFQ393194:MFW393195 MPM393194:MPS393195 MZI393194:MZO393195 NJE393194:NJK393195 NTA393194:NTG393195 OCW393194:ODC393195 OMS393194:OMY393195 OWO393194:OWU393195 PGK393194:PGQ393195 PQG393194:PQM393195 QAC393194:QAI393195 QJY393194:QKE393195 QTU393194:QUA393195 RDQ393194:RDW393195 RNM393194:RNS393195 RXI393194:RXO393195 SHE393194:SHK393195 SRA393194:SRG393195 TAW393194:TBC393195 TKS393194:TKY393195 TUO393194:TUU393195 UEK393194:UEQ393195 UOG393194:UOM393195 UYC393194:UYI393195 VHY393194:VIE393195 VRU393194:VSA393195 WBQ393194:WBW393195 WLM393194:WLS393195 WVI393194:WVO393195 D458730:J458731 IW458730:JC458731 SS458730:SY458731 ACO458730:ACU458731 AMK458730:AMQ458731 AWG458730:AWM458731 BGC458730:BGI458731 BPY458730:BQE458731 BZU458730:CAA458731 CJQ458730:CJW458731 CTM458730:CTS458731 DDI458730:DDO458731 DNE458730:DNK458731 DXA458730:DXG458731 EGW458730:EHC458731 EQS458730:EQY458731 FAO458730:FAU458731 FKK458730:FKQ458731 FUG458730:FUM458731 GEC458730:GEI458731 GNY458730:GOE458731 GXU458730:GYA458731 HHQ458730:HHW458731 HRM458730:HRS458731 IBI458730:IBO458731 ILE458730:ILK458731 IVA458730:IVG458731 JEW458730:JFC458731 JOS458730:JOY458731 JYO458730:JYU458731 KIK458730:KIQ458731 KSG458730:KSM458731 LCC458730:LCI458731 LLY458730:LME458731 LVU458730:LWA458731 MFQ458730:MFW458731 MPM458730:MPS458731 MZI458730:MZO458731 NJE458730:NJK458731 NTA458730:NTG458731 OCW458730:ODC458731 OMS458730:OMY458731 OWO458730:OWU458731 PGK458730:PGQ458731 PQG458730:PQM458731 QAC458730:QAI458731 QJY458730:QKE458731 QTU458730:QUA458731 RDQ458730:RDW458731 RNM458730:RNS458731 RXI458730:RXO458731 SHE458730:SHK458731 SRA458730:SRG458731 TAW458730:TBC458731 TKS458730:TKY458731 TUO458730:TUU458731 UEK458730:UEQ458731 UOG458730:UOM458731 UYC458730:UYI458731 VHY458730:VIE458731 VRU458730:VSA458731 WBQ458730:WBW458731 WLM458730:WLS458731 WVI458730:WVO458731 D524266:J524267 IW524266:JC524267 SS524266:SY524267 ACO524266:ACU524267 AMK524266:AMQ524267 AWG524266:AWM524267 BGC524266:BGI524267 BPY524266:BQE524267 BZU524266:CAA524267 CJQ524266:CJW524267 CTM524266:CTS524267 DDI524266:DDO524267 DNE524266:DNK524267 DXA524266:DXG524267 EGW524266:EHC524267 EQS524266:EQY524267 FAO524266:FAU524267 FKK524266:FKQ524267 FUG524266:FUM524267 GEC524266:GEI524267 GNY524266:GOE524267 GXU524266:GYA524267 HHQ524266:HHW524267 HRM524266:HRS524267 IBI524266:IBO524267 ILE524266:ILK524267 IVA524266:IVG524267 JEW524266:JFC524267 JOS524266:JOY524267 JYO524266:JYU524267 KIK524266:KIQ524267 KSG524266:KSM524267 LCC524266:LCI524267 LLY524266:LME524267 LVU524266:LWA524267 MFQ524266:MFW524267 MPM524266:MPS524267 MZI524266:MZO524267 NJE524266:NJK524267 NTA524266:NTG524267 OCW524266:ODC524267 OMS524266:OMY524267 OWO524266:OWU524267 PGK524266:PGQ524267 PQG524266:PQM524267 QAC524266:QAI524267 QJY524266:QKE524267 QTU524266:QUA524267 RDQ524266:RDW524267 RNM524266:RNS524267 RXI524266:RXO524267 SHE524266:SHK524267 SRA524266:SRG524267 TAW524266:TBC524267 TKS524266:TKY524267 TUO524266:TUU524267 UEK524266:UEQ524267 UOG524266:UOM524267 UYC524266:UYI524267 VHY524266:VIE524267 VRU524266:VSA524267 WBQ524266:WBW524267 WLM524266:WLS524267 WVI524266:WVO524267 D589802:J589803 IW589802:JC589803 SS589802:SY589803 ACO589802:ACU589803 AMK589802:AMQ589803 AWG589802:AWM589803 BGC589802:BGI589803 BPY589802:BQE589803 BZU589802:CAA589803 CJQ589802:CJW589803 CTM589802:CTS589803 DDI589802:DDO589803 DNE589802:DNK589803 DXA589802:DXG589803 EGW589802:EHC589803 EQS589802:EQY589803 FAO589802:FAU589803 FKK589802:FKQ589803 FUG589802:FUM589803 GEC589802:GEI589803 GNY589802:GOE589803 GXU589802:GYA589803 HHQ589802:HHW589803 HRM589802:HRS589803 IBI589802:IBO589803 ILE589802:ILK589803 IVA589802:IVG589803 JEW589802:JFC589803 JOS589802:JOY589803 JYO589802:JYU589803 KIK589802:KIQ589803 KSG589802:KSM589803 LCC589802:LCI589803 LLY589802:LME589803 LVU589802:LWA589803 MFQ589802:MFW589803 MPM589802:MPS589803 MZI589802:MZO589803 NJE589802:NJK589803 NTA589802:NTG589803 OCW589802:ODC589803 OMS589802:OMY589803 OWO589802:OWU589803 PGK589802:PGQ589803 PQG589802:PQM589803 QAC589802:QAI589803 QJY589802:QKE589803 QTU589802:QUA589803 RDQ589802:RDW589803 RNM589802:RNS589803 RXI589802:RXO589803 SHE589802:SHK589803 SRA589802:SRG589803 TAW589802:TBC589803 TKS589802:TKY589803 TUO589802:TUU589803 UEK589802:UEQ589803 UOG589802:UOM589803 UYC589802:UYI589803 VHY589802:VIE589803 VRU589802:VSA589803 WBQ589802:WBW589803 WLM589802:WLS589803 WVI589802:WVO589803 D655338:J655339 IW655338:JC655339 SS655338:SY655339 ACO655338:ACU655339 AMK655338:AMQ655339 AWG655338:AWM655339 BGC655338:BGI655339 BPY655338:BQE655339 BZU655338:CAA655339 CJQ655338:CJW655339 CTM655338:CTS655339 DDI655338:DDO655339 DNE655338:DNK655339 DXA655338:DXG655339 EGW655338:EHC655339 EQS655338:EQY655339 FAO655338:FAU655339 FKK655338:FKQ655339 FUG655338:FUM655339 GEC655338:GEI655339 GNY655338:GOE655339 GXU655338:GYA655339 HHQ655338:HHW655339 HRM655338:HRS655339 IBI655338:IBO655339 ILE655338:ILK655339 IVA655338:IVG655339 JEW655338:JFC655339 JOS655338:JOY655339 JYO655338:JYU655339 KIK655338:KIQ655339 KSG655338:KSM655339 LCC655338:LCI655339 LLY655338:LME655339 LVU655338:LWA655339 MFQ655338:MFW655339 MPM655338:MPS655339 MZI655338:MZO655339 NJE655338:NJK655339 NTA655338:NTG655339 OCW655338:ODC655339 OMS655338:OMY655339 OWO655338:OWU655339 PGK655338:PGQ655339 PQG655338:PQM655339 QAC655338:QAI655339 QJY655338:QKE655339 QTU655338:QUA655339 RDQ655338:RDW655339 RNM655338:RNS655339 RXI655338:RXO655339 SHE655338:SHK655339 SRA655338:SRG655339 TAW655338:TBC655339 TKS655338:TKY655339 TUO655338:TUU655339 UEK655338:UEQ655339 UOG655338:UOM655339 UYC655338:UYI655339 VHY655338:VIE655339 VRU655338:VSA655339 WBQ655338:WBW655339 WLM655338:WLS655339 WVI655338:WVO655339 D720874:J720875 IW720874:JC720875 SS720874:SY720875 ACO720874:ACU720875 AMK720874:AMQ720875 AWG720874:AWM720875 BGC720874:BGI720875 BPY720874:BQE720875 BZU720874:CAA720875 CJQ720874:CJW720875 CTM720874:CTS720875 DDI720874:DDO720875 DNE720874:DNK720875 DXA720874:DXG720875 EGW720874:EHC720875 EQS720874:EQY720875 FAO720874:FAU720875 FKK720874:FKQ720875 FUG720874:FUM720875 GEC720874:GEI720875 GNY720874:GOE720875 GXU720874:GYA720875 HHQ720874:HHW720875 HRM720874:HRS720875 IBI720874:IBO720875 ILE720874:ILK720875 IVA720874:IVG720875 JEW720874:JFC720875 JOS720874:JOY720875 JYO720874:JYU720875 KIK720874:KIQ720875 KSG720874:KSM720875 LCC720874:LCI720875 LLY720874:LME720875 LVU720874:LWA720875 MFQ720874:MFW720875 MPM720874:MPS720875 MZI720874:MZO720875 NJE720874:NJK720875 NTA720874:NTG720875 OCW720874:ODC720875 OMS720874:OMY720875 OWO720874:OWU720875 PGK720874:PGQ720875 PQG720874:PQM720875 QAC720874:QAI720875 QJY720874:QKE720875 QTU720874:QUA720875 RDQ720874:RDW720875 RNM720874:RNS720875 RXI720874:RXO720875 SHE720874:SHK720875 SRA720874:SRG720875 TAW720874:TBC720875 TKS720874:TKY720875 TUO720874:TUU720875 UEK720874:UEQ720875 UOG720874:UOM720875 UYC720874:UYI720875 VHY720874:VIE720875 VRU720874:VSA720875 WBQ720874:WBW720875 WLM720874:WLS720875 WVI720874:WVO720875 D786410:J786411 IW786410:JC786411 SS786410:SY786411 ACO786410:ACU786411 AMK786410:AMQ786411 AWG786410:AWM786411 BGC786410:BGI786411 BPY786410:BQE786411 BZU786410:CAA786411 CJQ786410:CJW786411 CTM786410:CTS786411 DDI786410:DDO786411 DNE786410:DNK786411 DXA786410:DXG786411 EGW786410:EHC786411 EQS786410:EQY786411 FAO786410:FAU786411 FKK786410:FKQ786411 FUG786410:FUM786411 GEC786410:GEI786411 GNY786410:GOE786411 GXU786410:GYA786411 HHQ786410:HHW786411 HRM786410:HRS786411 IBI786410:IBO786411 ILE786410:ILK786411 IVA786410:IVG786411 JEW786410:JFC786411 JOS786410:JOY786411 JYO786410:JYU786411 KIK786410:KIQ786411 KSG786410:KSM786411 LCC786410:LCI786411 LLY786410:LME786411 LVU786410:LWA786411 MFQ786410:MFW786411 MPM786410:MPS786411 MZI786410:MZO786411 NJE786410:NJK786411 NTA786410:NTG786411 OCW786410:ODC786411 OMS786410:OMY786411 OWO786410:OWU786411 PGK786410:PGQ786411 PQG786410:PQM786411 QAC786410:QAI786411 QJY786410:QKE786411 QTU786410:QUA786411 RDQ786410:RDW786411 RNM786410:RNS786411 RXI786410:RXO786411 SHE786410:SHK786411 SRA786410:SRG786411 TAW786410:TBC786411 TKS786410:TKY786411 TUO786410:TUU786411 UEK786410:UEQ786411 UOG786410:UOM786411 UYC786410:UYI786411 VHY786410:VIE786411 VRU786410:VSA786411 WBQ786410:WBW786411 WLM786410:WLS786411 WVI786410:WVO786411 D851946:J851947 IW851946:JC851947 SS851946:SY851947 ACO851946:ACU851947 AMK851946:AMQ851947 AWG851946:AWM851947 BGC851946:BGI851947 BPY851946:BQE851947 BZU851946:CAA851947 CJQ851946:CJW851947 CTM851946:CTS851947 DDI851946:DDO851947 DNE851946:DNK851947 DXA851946:DXG851947 EGW851946:EHC851947 EQS851946:EQY851947 FAO851946:FAU851947 FKK851946:FKQ851947 FUG851946:FUM851947 GEC851946:GEI851947 GNY851946:GOE851947 GXU851946:GYA851947 HHQ851946:HHW851947 HRM851946:HRS851947 IBI851946:IBO851947 ILE851946:ILK851947 IVA851946:IVG851947 JEW851946:JFC851947 JOS851946:JOY851947 JYO851946:JYU851947 KIK851946:KIQ851947 KSG851946:KSM851947 LCC851946:LCI851947 LLY851946:LME851947 LVU851946:LWA851947 MFQ851946:MFW851947 MPM851946:MPS851947 MZI851946:MZO851947 NJE851946:NJK851947 NTA851946:NTG851947 OCW851946:ODC851947 OMS851946:OMY851947 OWO851946:OWU851947 PGK851946:PGQ851947 PQG851946:PQM851947 QAC851946:QAI851947 QJY851946:QKE851947 QTU851946:QUA851947 RDQ851946:RDW851947 RNM851946:RNS851947 RXI851946:RXO851947 SHE851946:SHK851947 SRA851946:SRG851947 TAW851946:TBC851947 TKS851946:TKY851947 TUO851946:TUU851947 UEK851946:UEQ851947 UOG851946:UOM851947 UYC851946:UYI851947 VHY851946:VIE851947 VRU851946:VSA851947 WBQ851946:WBW851947 WLM851946:WLS851947 WVI851946:WVO851947 D917482:J917483 IW917482:JC917483 SS917482:SY917483 ACO917482:ACU917483 AMK917482:AMQ917483 AWG917482:AWM917483 BGC917482:BGI917483 BPY917482:BQE917483 BZU917482:CAA917483 CJQ917482:CJW917483 CTM917482:CTS917483 DDI917482:DDO917483 DNE917482:DNK917483 DXA917482:DXG917483 EGW917482:EHC917483 EQS917482:EQY917483 FAO917482:FAU917483 FKK917482:FKQ917483 FUG917482:FUM917483 GEC917482:GEI917483 GNY917482:GOE917483 GXU917482:GYA917483 HHQ917482:HHW917483 HRM917482:HRS917483 IBI917482:IBO917483 ILE917482:ILK917483 IVA917482:IVG917483 JEW917482:JFC917483 JOS917482:JOY917483 JYO917482:JYU917483 KIK917482:KIQ917483 KSG917482:KSM917483 LCC917482:LCI917483 LLY917482:LME917483 LVU917482:LWA917483 MFQ917482:MFW917483 MPM917482:MPS917483 MZI917482:MZO917483 NJE917482:NJK917483 NTA917482:NTG917483 OCW917482:ODC917483 OMS917482:OMY917483 OWO917482:OWU917483 PGK917482:PGQ917483 PQG917482:PQM917483 QAC917482:QAI917483 QJY917482:QKE917483 QTU917482:QUA917483 RDQ917482:RDW917483 RNM917482:RNS917483 RXI917482:RXO917483 SHE917482:SHK917483 SRA917482:SRG917483 TAW917482:TBC917483 TKS917482:TKY917483 TUO917482:TUU917483 UEK917482:UEQ917483 UOG917482:UOM917483 UYC917482:UYI917483 VHY917482:VIE917483 VRU917482:VSA917483 WBQ917482:WBW917483 WLM917482:WLS917483 WVI917482:WVO917483 D983018:J983019 IW983018:JC983019 SS983018:SY983019 ACO983018:ACU983019 AMK983018:AMQ983019 AWG983018:AWM983019 BGC983018:BGI983019 BPY983018:BQE983019 BZU983018:CAA983019 CJQ983018:CJW983019 CTM983018:CTS983019 DDI983018:DDO983019 DNE983018:DNK983019 DXA983018:DXG983019 EGW983018:EHC983019 EQS983018:EQY983019 FAO983018:FAU983019 FKK983018:FKQ983019 FUG983018:FUM983019 GEC983018:GEI983019 GNY983018:GOE983019 GXU983018:GYA983019 HHQ983018:HHW983019 HRM983018:HRS983019 IBI983018:IBO983019 ILE983018:ILK983019 IVA983018:IVG983019 JEW983018:JFC983019 JOS983018:JOY983019 JYO983018:JYU983019 KIK983018:KIQ983019 KSG983018:KSM983019 LCC983018:LCI983019 LLY983018:LME983019 LVU983018:LWA983019 MFQ983018:MFW983019 MPM983018:MPS983019 MZI983018:MZO983019 NJE983018:NJK983019 NTA983018:NTG983019 OCW983018:ODC983019 OMS983018:OMY983019 OWO983018:OWU983019 PGK983018:PGQ983019 PQG983018:PQM983019 QAC983018:QAI983019 QJY983018:QKE983019 QTU983018:QUA983019 RDQ983018:RDW983019 RNM983018:RNS983019 RXI983018:RXO983019 SHE983018:SHK983019 SRA983018:SRG983019 TAW983018:TBC983019 TKS983018:TKY983019 TUO983018:TUU983019 UEK983018:UEQ983019 UOG983018:UOM983019 UYC983018:UYI983019 VHY983018:VIE983019 VRU983018:VSA983019 WBQ983018:WBW983019 WLM983018:WLS983019 WVI983018:WVO983019 D65517:J65518 IW65517:JC65518 SS65517:SY65518 ACO65517:ACU65518 AMK65517:AMQ65518 AWG65517:AWM65518 BGC65517:BGI65518 BPY65517:BQE65518 BZU65517:CAA65518 CJQ65517:CJW65518 CTM65517:CTS65518 DDI65517:DDO65518 DNE65517:DNK65518 DXA65517:DXG65518 EGW65517:EHC65518 EQS65517:EQY65518 FAO65517:FAU65518 FKK65517:FKQ65518 FUG65517:FUM65518 GEC65517:GEI65518 GNY65517:GOE65518 GXU65517:GYA65518 HHQ65517:HHW65518 HRM65517:HRS65518 IBI65517:IBO65518 ILE65517:ILK65518 IVA65517:IVG65518 JEW65517:JFC65518 JOS65517:JOY65518 JYO65517:JYU65518 KIK65517:KIQ65518 KSG65517:KSM65518 LCC65517:LCI65518 LLY65517:LME65518 LVU65517:LWA65518 MFQ65517:MFW65518 MPM65517:MPS65518 MZI65517:MZO65518 NJE65517:NJK65518 NTA65517:NTG65518 OCW65517:ODC65518 OMS65517:OMY65518 OWO65517:OWU65518 PGK65517:PGQ65518 PQG65517:PQM65518 QAC65517:QAI65518 QJY65517:QKE65518 QTU65517:QUA65518 RDQ65517:RDW65518 RNM65517:RNS65518 RXI65517:RXO65518 SHE65517:SHK65518 SRA65517:SRG65518 TAW65517:TBC65518 TKS65517:TKY65518 TUO65517:TUU65518 UEK65517:UEQ65518 UOG65517:UOM65518 UYC65517:UYI65518 VHY65517:VIE65518 VRU65517:VSA65518 WBQ65517:WBW65518 WLM65517:WLS65518 WVI65517:WVO65518 D131053:J131054 IW131053:JC131054 SS131053:SY131054 ACO131053:ACU131054 AMK131053:AMQ131054 AWG131053:AWM131054 BGC131053:BGI131054 BPY131053:BQE131054 BZU131053:CAA131054 CJQ131053:CJW131054 CTM131053:CTS131054 DDI131053:DDO131054 DNE131053:DNK131054 DXA131053:DXG131054 EGW131053:EHC131054 EQS131053:EQY131054 FAO131053:FAU131054 FKK131053:FKQ131054 FUG131053:FUM131054 GEC131053:GEI131054 GNY131053:GOE131054 GXU131053:GYA131054 HHQ131053:HHW131054 HRM131053:HRS131054 IBI131053:IBO131054 ILE131053:ILK131054 IVA131053:IVG131054 JEW131053:JFC131054 JOS131053:JOY131054 JYO131053:JYU131054 KIK131053:KIQ131054 KSG131053:KSM131054 LCC131053:LCI131054 LLY131053:LME131054 LVU131053:LWA131054 MFQ131053:MFW131054 MPM131053:MPS131054 MZI131053:MZO131054 NJE131053:NJK131054 NTA131053:NTG131054 OCW131053:ODC131054 OMS131053:OMY131054 OWO131053:OWU131054 PGK131053:PGQ131054 PQG131053:PQM131054 QAC131053:QAI131054 QJY131053:QKE131054 QTU131053:QUA131054 RDQ131053:RDW131054 RNM131053:RNS131054 RXI131053:RXO131054 SHE131053:SHK131054 SRA131053:SRG131054 TAW131053:TBC131054 TKS131053:TKY131054 TUO131053:TUU131054 UEK131053:UEQ131054 UOG131053:UOM131054 UYC131053:UYI131054 VHY131053:VIE131054 VRU131053:VSA131054 WBQ131053:WBW131054 WLM131053:WLS131054 WVI131053:WVO131054 D196589:J196590 IW196589:JC196590 SS196589:SY196590 ACO196589:ACU196590 AMK196589:AMQ196590 AWG196589:AWM196590 BGC196589:BGI196590 BPY196589:BQE196590 BZU196589:CAA196590 CJQ196589:CJW196590 CTM196589:CTS196590 DDI196589:DDO196590 DNE196589:DNK196590 DXA196589:DXG196590 EGW196589:EHC196590 EQS196589:EQY196590 FAO196589:FAU196590 FKK196589:FKQ196590 FUG196589:FUM196590 GEC196589:GEI196590 GNY196589:GOE196590 GXU196589:GYA196590 HHQ196589:HHW196590 HRM196589:HRS196590 IBI196589:IBO196590 ILE196589:ILK196590 IVA196589:IVG196590 JEW196589:JFC196590 JOS196589:JOY196590 JYO196589:JYU196590 KIK196589:KIQ196590 KSG196589:KSM196590 LCC196589:LCI196590 LLY196589:LME196590 LVU196589:LWA196590 MFQ196589:MFW196590 MPM196589:MPS196590 MZI196589:MZO196590 NJE196589:NJK196590 NTA196589:NTG196590 OCW196589:ODC196590 OMS196589:OMY196590 OWO196589:OWU196590 PGK196589:PGQ196590 PQG196589:PQM196590 QAC196589:QAI196590 QJY196589:QKE196590 QTU196589:QUA196590 RDQ196589:RDW196590 RNM196589:RNS196590 RXI196589:RXO196590 SHE196589:SHK196590 SRA196589:SRG196590 TAW196589:TBC196590 TKS196589:TKY196590 TUO196589:TUU196590 UEK196589:UEQ196590 UOG196589:UOM196590 UYC196589:UYI196590 VHY196589:VIE196590 VRU196589:VSA196590 WBQ196589:WBW196590 WLM196589:WLS196590 WVI196589:WVO196590 D262125:J262126 IW262125:JC262126 SS262125:SY262126 ACO262125:ACU262126 AMK262125:AMQ262126 AWG262125:AWM262126 BGC262125:BGI262126 BPY262125:BQE262126 BZU262125:CAA262126 CJQ262125:CJW262126 CTM262125:CTS262126 DDI262125:DDO262126 DNE262125:DNK262126 DXA262125:DXG262126 EGW262125:EHC262126 EQS262125:EQY262126 FAO262125:FAU262126 FKK262125:FKQ262126 FUG262125:FUM262126 GEC262125:GEI262126 GNY262125:GOE262126 GXU262125:GYA262126 HHQ262125:HHW262126 HRM262125:HRS262126 IBI262125:IBO262126 ILE262125:ILK262126 IVA262125:IVG262126 JEW262125:JFC262126 JOS262125:JOY262126 JYO262125:JYU262126 KIK262125:KIQ262126 KSG262125:KSM262126 LCC262125:LCI262126 LLY262125:LME262126 LVU262125:LWA262126 MFQ262125:MFW262126 MPM262125:MPS262126 MZI262125:MZO262126 NJE262125:NJK262126 NTA262125:NTG262126 OCW262125:ODC262126 OMS262125:OMY262126 OWO262125:OWU262126 PGK262125:PGQ262126 PQG262125:PQM262126 QAC262125:QAI262126 QJY262125:QKE262126 QTU262125:QUA262126 RDQ262125:RDW262126 RNM262125:RNS262126 RXI262125:RXO262126 SHE262125:SHK262126 SRA262125:SRG262126 TAW262125:TBC262126 TKS262125:TKY262126 TUO262125:TUU262126 UEK262125:UEQ262126 UOG262125:UOM262126 UYC262125:UYI262126 VHY262125:VIE262126 VRU262125:VSA262126 WBQ262125:WBW262126 WLM262125:WLS262126 WVI262125:WVO262126 D327661:J327662 IW327661:JC327662 SS327661:SY327662 ACO327661:ACU327662 AMK327661:AMQ327662 AWG327661:AWM327662 BGC327661:BGI327662 BPY327661:BQE327662 BZU327661:CAA327662 CJQ327661:CJW327662 CTM327661:CTS327662 DDI327661:DDO327662 DNE327661:DNK327662 DXA327661:DXG327662 EGW327661:EHC327662 EQS327661:EQY327662 FAO327661:FAU327662 FKK327661:FKQ327662 FUG327661:FUM327662 GEC327661:GEI327662 GNY327661:GOE327662 GXU327661:GYA327662 HHQ327661:HHW327662 HRM327661:HRS327662 IBI327661:IBO327662 ILE327661:ILK327662 IVA327661:IVG327662 JEW327661:JFC327662 JOS327661:JOY327662 JYO327661:JYU327662 KIK327661:KIQ327662 KSG327661:KSM327662 LCC327661:LCI327662 LLY327661:LME327662 LVU327661:LWA327662 MFQ327661:MFW327662 MPM327661:MPS327662 MZI327661:MZO327662 NJE327661:NJK327662 NTA327661:NTG327662 OCW327661:ODC327662 OMS327661:OMY327662 OWO327661:OWU327662 PGK327661:PGQ327662 PQG327661:PQM327662 QAC327661:QAI327662 QJY327661:QKE327662 QTU327661:QUA327662 RDQ327661:RDW327662 RNM327661:RNS327662 RXI327661:RXO327662 SHE327661:SHK327662 SRA327661:SRG327662 TAW327661:TBC327662 TKS327661:TKY327662 TUO327661:TUU327662 UEK327661:UEQ327662 UOG327661:UOM327662 UYC327661:UYI327662 VHY327661:VIE327662 VRU327661:VSA327662 WBQ327661:WBW327662 WLM327661:WLS327662 WVI327661:WVO327662 D393197:J393198 IW393197:JC393198 SS393197:SY393198 ACO393197:ACU393198 AMK393197:AMQ393198 AWG393197:AWM393198 BGC393197:BGI393198 BPY393197:BQE393198 BZU393197:CAA393198 CJQ393197:CJW393198 CTM393197:CTS393198 DDI393197:DDO393198 DNE393197:DNK393198 DXA393197:DXG393198 EGW393197:EHC393198 EQS393197:EQY393198 FAO393197:FAU393198 FKK393197:FKQ393198 FUG393197:FUM393198 GEC393197:GEI393198 GNY393197:GOE393198 GXU393197:GYA393198 HHQ393197:HHW393198 HRM393197:HRS393198 IBI393197:IBO393198 ILE393197:ILK393198 IVA393197:IVG393198 JEW393197:JFC393198 JOS393197:JOY393198 JYO393197:JYU393198 KIK393197:KIQ393198 KSG393197:KSM393198 LCC393197:LCI393198 LLY393197:LME393198 LVU393197:LWA393198 MFQ393197:MFW393198 MPM393197:MPS393198 MZI393197:MZO393198 NJE393197:NJK393198 NTA393197:NTG393198 OCW393197:ODC393198 OMS393197:OMY393198 OWO393197:OWU393198 PGK393197:PGQ393198 PQG393197:PQM393198 QAC393197:QAI393198 QJY393197:QKE393198 QTU393197:QUA393198 RDQ393197:RDW393198 RNM393197:RNS393198 RXI393197:RXO393198 SHE393197:SHK393198 SRA393197:SRG393198 TAW393197:TBC393198 TKS393197:TKY393198 TUO393197:TUU393198 UEK393197:UEQ393198 UOG393197:UOM393198 UYC393197:UYI393198 VHY393197:VIE393198 VRU393197:VSA393198 WBQ393197:WBW393198 WLM393197:WLS393198 WVI393197:WVO393198 D458733:J458734 IW458733:JC458734 SS458733:SY458734 ACO458733:ACU458734 AMK458733:AMQ458734 AWG458733:AWM458734 BGC458733:BGI458734 BPY458733:BQE458734 BZU458733:CAA458734 CJQ458733:CJW458734 CTM458733:CTS458734 DDI458733:DDO458734 DNE458733:DNK458734 DXA458733:DXG458734 EGW458733:EHC458734 EQS458733:EQY458734 FAO458733:FAU458734 FKK458733:FKQ458734 FUG458733:FUM458734 GEC458733:GEI458734 GNY458733:GOE458734 GXU458733:GYA458734 HHQ458733:HHW458734 HRM458733:HRS458734 IBI458733:IBO458734 ILE458733:ILK458734 IVA458733:IVG458734 JEW458733:JFC458734 JOS458733:JOY458734 JYO458733:JYU458734 KIK458733:KIQ458734 KSG458733:KSM458734 LCC458733:LCI458734 LLY458733:LME458734 LVU458733:LWA458734 MFQ458733:MFW458734 MPM458733:MPS458734 MZI458733:MZO458734 NJE458733:NJK458734 NTA458733:NTG458734 OCW458733:ODC458734 OMS458733:OMY458734 OWO458733:OWU458734 PGK458733:PGQ458734 PQG458733:PQM458734 QAC458733:QAI458734 QJY458733:QKE458734 QTU458733:QUA458734 RDQ458733:RDW458734 RNM458733:RNS458734 RXI458733:RXO458734 SHE458733:SHK458734 SRA458733:SRG458734 TAW458733:TBC458734 TKS458733:TKY458734 TUO458733:TUU458734 UEK458733:UEQ458734 UOG458733:UOM458734 UYC458733:UYI458734 VHY458733:VIE458734 VRU458733:VSA458734 WBQ458733:WBW458734 WLM458733:WLS458734 WVI458733:WVO458734 D524269:J524270 IW524269:JC524270 SS524269:SY524270 ACO524269:ACU524270 AMK524269:AMQ524270 AWG524269:AWM524270 BGC524269:BGI524270 BPY524269:BQE524270 BZU524269:CAA524270 CJQ524269:CJW524270 CTM524269:CTS524270 DDI524269:DDO524270 DNE524269:DNK524270 DXA524269:DXG524270 EGW524269:EHC524270 EQS524269:EQY524270 FAO524269:FAU524270 FKK524269:FKQ524270 FUG524269:FUM524270 GEC524269:GEI524270 GNY524269:GOE524270 GXU524269:GYA524270 HHQ524269:HHW524270 HRM524269:HRS524270 IBI524269:IBO524270 ILE524269:ILK524270 IVA524269:IVG524270 JEW524269:JFC524270 JOS524269:JOY524270 JYO524269:JYU524270 KIK524269:KIQ524270 KSG524269:KSM524270 LCC524269:LCI524270 LLY524269:LME524270 LVU524269:LWA524270 MFQ524269:MFW524270 MPM524269:MPS524270 MZI524269:MZO524270 NJE524269:NJK524270 NTA524269:NTG524270 OCW524269:ODC524270 OMS524269:OMY524270 OWO524269:OWU524270 PGK524269:PGQ524270 PQG524269:PQM524270 QAC524269:QAI524270 QJY524269:QKE524270 QTU524269:QUA524270 RDQ524269:RDW524270 RNM524269:RNS524270 RXI524269:RXO524270 SHE524269:SHK524270 SRA524269:SRG524270 TAW524269:TBC524270 TKS524269:TKY524270 TUO524269:TUU524270 UEK524269:UEQ524270 UOG524269:UOM524270 UYC524269:UYI524270 VHY524269:VIE524270 VRU524269:VSA524270 WBQ524269:WBW524270 WLM524269:WLS524270 WVI524269:WVO524270 D589805:J589806 IW589805:JC589806 SS589805:SY589806 ACO589805:ACU589806 AMK589805:AMQ589806 AWG589805:AWM589806 BGC589805:BGI589806 BPY589805:BQE589806 BZU589805:CAA589806 CJQ589805:CJW589806 CTM589805:CTS589806 DDI589805:DDO589806 DNE589805:DNK589806 DXA589805:DXG589806 EGW589805:EHC589806 EQS589805:EQY589806 FAO589805:FAU589806 FKK589805:FKQ589806 FUG589805:FUM589806 GEC589805:GEI589806 GNY589805:GOE589806 GXU589805:GYA589806 HHQ589805:HHW589806 HRM589805:HRS589806 IBI589805:IBO589806 ILE589805:ILK589806 IVA589805:IVG589806 JEW589805:JFC589806 JOS589805:JOY589806 JYO589805:JYU589806 KIK589805:KIQ589806 KSG589805:KSM589806 LCC589805:LCI589806 LLY589805:LME589806 LVU589805:LWA589806 MFQ589805:MFW589806 MPM589805:MPS589806 MZI589805:MZO589806 NJE589805:NJK589806 NTA589805:NTG589806 OCW589805:ODC589806 OMS589805:OMY589806 OWO589805:OWU589806 PGK589805:PGQ589806 PQG589805:PQM589806 QAC589805:QAI589806 QJY589805:QKE589806 QTU589805:QUA589806 RDQ589805:RDW589806 RNM589805:RNS589806 RXI589805:RXO589806 SHE589805:SHK589806 SRA589805:SRG589806 TAW589805:TBC589806 TKS589805:TKY589806 TUO589805:TUU589806 UEK589805:UEQ589806 UOG589805:UOM589806 UYC589805:UYI589806 VHY589805:VIE589806 VRU589805:VSA589806 WBQ589805:WBW589806 WLM589805:WLS589806 WVI589805:WVO589806 D655341:J655342 IW655341:JC655342 SS655341:SY655342 ACO655341:ACU655342 AMK655341:AMQ655342 AWG655341:AWM655342 BGC655341:BGI655342 BPY655341:BQE655342 BZU655341:CAA655342 CJQ655341:CJW655342 CTM655341:CTS655342 DDI655341:DDO655342 DNE655341:DNK655342 DXA655341:DXG655342 EGW655341:EHC655342 EQS655341:EQY655342 FAO655341:FAU655342 FKK655341:FKQ655342 FUG655341:FUM655342 GEC655341:GEI655342 GNY655341:GOE655342 GXU655341:GYA655342 HHQ655341:HHW655342 HRM655341:HRS655342 IBI655341:IBO655342 ILE655341:ILK655342 IVA655341:IVG655342 JEW655341:JFC655342 JOS655341:JOY655342 JYO655341:JYU655342 KIK655341:KIQ655342 KSG655341:KSM655342 LCC655341:LCI655342 LLY655341:LME655342 LVU655341:LWA655342 MFQ655341:MFW655342 MPM655341:MPS655342 MZI655341:MZO655342 NJE655341:NJK655342 NTA655341:NTG655342 OCW655341:ODC655342 OMS655341:OMY655342 OWO655341:OWU655342 PGK655341:PGQ655342 PQG655341:PQM655342 QAC655341:QAI655342 QJY655341:QKE655342 QTU655341:QUA655342 RDQ655341:RDW655342 RNM655341:RNS655342 RXI655341:RXO655342 SHE655341:SHK655342 SRA655341:SRG655342 TAW655341:TBC655342 TKS655341:TKY655342 TUO655341:TUU655342 UEK655341:UEQ655342 UOG655341:UOM655342 UYC655341:UYI655342 VHY655341:VIE655342 VRU655341:VSA655342 WBQ655341:WBW655342 WLM655341:WLS655342 WVI655341:WVO655342 D720877:J720878 IW720877:JC720878 SS720877:SY720878 ACO720877:ACU720878 AMK720877:AMQ720878 AWG720877:AWM720878 BGC720877:BGI720878 BPY720877:BQE720878 BZU720877:CAA720878 CJQ720877:CJW720878 CTM720877:CTS720878 DDI720877:DDO720878 DNE720877:DNK720878 DXA720877:DXG720878 EGW720877:EHC720878 EQS720877:EQY720878 FAO720877:FAU720878 FKK720877:FKQ720878 FUG720877:FUM720878 GEC720877:GEI720878 GNY720877:GOE720878 GXU720877:GYA720878 HHQ720877:HHW720878 HRM720877:HRS720878 IBI720877:IBO720878 ILE720877:ILK720878 IVA720877:IVG720878 JEW720877:JFC720878 JOS720877:JOY720878 JYO720877:JYU720878 KIK720877:KIQ720878 KSG720877:KSM720878 LCC720877:LCI720878 LLY720877:LME720878 LVU720877:LWA720878 MFQ720877:MFW720878 MPM720877:MPS720878 MZI720877:MZO720878 NJE720877:NJK720878 NTA720877:NTG720878 OCW720877:ODC720878 OMS720877:OMY720878 OWO720877:OWU720878 PGK720877:PGQ720878 PQG720877:PQM720878 QAC720877:QAI720878 QJY720877:QKE720878 QTU720877:QUA720878 RDQ720877:RDW720878 RNM720877:RNS720878 RXI720877:RXO720878 SHE720877:SHK720878 SRA720877:SRG720878 TAW720877:TBC720878 TKS720877:TKY720878 TUO720877:TUU720878 UEK720877:UEQ720878 UOG720877:UOM720878 UYC720877:UYI720878 VHY720877:VIE720878 VRU720877:VSA720878 WBQ720877:WBW720878 WLM720877:WLS720878 WVI720877:WVO720878 D786413:J786414 IW786413:JC786414 SS786413:SY786414 ACO786413:ACU786414 AMK786413:AMQ786414 AWG786413:AWM786414 BGC786413:BGI786414 BPY786413:BQE786414 BZU786413:CAA786414 CJQ786413:CJW786414 CTM786413:CTS786414 DDI786413:DDO786414 DNE786413:DNK786414 DXA786413:DXG786414 EGW786413:EHC786414 EQS786413:EQY786414 FAO786413:FAU786414 FKK786413:FKQ786414 FUG786413:FUM786414 GEC786413:GEI786414 GNY786413:GOE786414 GXU786413:GYA786414 HHQ786413:HHW786414 HRM786413:HRS786414 IBI786413:IBO786414 ILE786413:ILK786414 IVA786413:IVG786414 JEW786413:JFC786414 JOS786413:JOY786414 JYO786413:JYU786414 KIK786413:KIQ786414 KSG786413:KSM786414 LCC786413:LCI786414 LLY786413:LME786414 LVU786413:LWA786414 MFQ786413:MFW786414 MPM786413:MPS786414 MZI786413:MZO786414 NJE786413:NJK786414 NTA786413:NTG786414 OCW786413:ODC786414 OMS786413:OMY786414 OWO786413:OWU786414 PGK786413:PGQ786414 PQG786413:PQM786414 QAC786413:QAI786414 QJY786413:QKE786414 QTU786413:QUA786414 RDQ786413:RDW786414 RNM786413:RNS786414 RXI786413:RXO786414 SHE786413:SHK786414 SRA786413:SRG786414 TAW786413:TBC786414 TKS786413:TKY786414 TUO786413:TUU786414 UEK786413:UEQ786414 UOG786413:UOM786414 UYC786413:UYI786414 VHY786413:VIE786414 VRU786413:VSA786414 WBQ786413:WBW786414 WLM786413:WLS786414 WVI786413:WVO786414 D851949:J851950 IW851949:JC851950 SS851949:SY851950 ACO851949:ACU851950 AMK851949:AMQ851950 AWG851949:AWM851950 BGC851949:BGI851950 BPY851949:BQE851950 BZU851949:CAA851950 CJQ851949:CJW851950 CTM851949:CTS851950 DDI851949:DDO851950 DNE851949:DNK851950 DXA851949:DXG851950 EGW851949:EHC851950 EQS851949:EQY851950 FAO851949:FAU851950 FKK851949:FKQ851950 FUG851949:FUM851950 GEC851949:GEI851950 GNY851949:GOE851950 GXU851949:GYA851950 HHQ851949:HHW851950 HRM851949:HRS851950 IBI851949:IBO851950 ILE851949:ILK851950 IVA851949:IVG851950 JEW851949:JFC851950 JOS851949:JOY851950 JYO851949:JYU851950 KIK851949:KIQ851950 KSG851949:KSM851950 LCC851949:LCI851950 LLY851949:LME851950 LVU851949:LWA851950 MFQ851949:MFW851950 MPM851949:MPS851950 MZI851949:MZO851950 NJE851949:NJK851950 NTA851949:NTG851950 OCW851949:ODC851950 OMS851949:OMY851950 OWO851949:OWU851950 PGK851949:PGQ851950 PQG851949:PQM851950 QAC851949:QAI851950 QJY851949:QKE851950 QTU851949:QUA851950 RDQ851949:RDW851950 RNM851949:RNS851950 RXI851949:RXO851950 SHE851949:SHK851950 SRA851949:SRG851950 TAW851949:TBC851950 TKS851949:TKY851950 TUO851949:TUU851950 UEK851949:UEQ851950 UOG851949:UOM851950 UYC851949:UYI851950 VHY851949:VIE851950 VRU851949:VSA851950 WBQ851949:WBW851950 WLM851949:WLS851950 WVI851949:WVO851950 D917485:J917486 IW917485:JC917486 SS917485:SY917486 ACO917485:ACU917486 AMK917485:AMQ917486 AWG917485:AWM917486 BGC917485:BGI917486 BPY917485:BQE917486 BZU917485:CAA917486 CJQ917485:CJW917486 CTM917485:CTS917486 DDI917485:DDO917486 DNE917485:DNK917486 DXA917485:DXG917486 EGW917485:EHC917486 EQS917485:EQY917486 FAO917485:FAU917486 FKK917485:FKQ917486 FUG917485:FUM917486 GEC917485:GEI917486 GNY917485:GOE917486 GXU917485:GYA917486 HHQ917485:HHW917486 HRM917485:HRS917486 IBI917485:IBO917486 ILE917485:ILK917486 IVA917485:IVG917486 JEW917485:JFC917486 JOS917485:JOY917486 JYO917485:JYU917486 KIK917485:KIQ917486 KSG917485:KSM917486 LCC917485:LCI917486 LLY917485:LME917486 LVU917485:LWA917486 MFQ917485:MFW917486 MPM917485:MPS917486 MZI917485:MZO917486 NJE917485:NJK917486 NTA917485:NTG917486 OCW917485:ODC917486 OMS917485:OMY917486 OWO917485:OWU917486 PGK917485:PGQ917486 PQG917485:PQM917486 QAC917485:QAI917486 QJY917485:QKE917486 QTU917485:QUA917486 RDQ917485:RDW917486 RNM917485:RNS917486 RXI917485:RXO917486 SHE917485:SHK917486 SRA917485:SRG917486 TAW917485:TBC917486 TKS917485:TKY917486 TUO917485:TUU917486 UEK917485:UEQ917486 UOG917485:UOM917486 UYC917485:UYI917486 VHY917485:VIE917486 VRU917485:VSA917486 WBQ917485:WBW917486 WLM917485:WLS917486 WVI917485:WVO917486 D983021:J983022 IW983021:JC983022 SS983021:SY983022 ACO983021:ACU983022 AMK983021:AMQ983022 AWG983021:AWM983022 BGC983021:BGI983022 BPY983021:BQE983022 BZU983021:CAA983022 CJQ983021:CJW983022 CTM983021:CTS983022 DDI983021:DDO983022 DNE983021:DNK983022 DXA983021:DXG983022 EGW983021:EHC983022 EQS983021:EQY983022 FAO983021:FAU983022 FKK983021:FKQ983022 FUG983021:FUM983022 GEC983021:GEI983022 GNY983021:GOE983022 GXU983021:GYA983022 HHQ983021:HHW983022 HRM983021:HRS983022 IBI983021:IBO983022 ILE983021:ILK983022 IVA983021:IVG983022 JEW983021:JFC983022 JOS983021:JOY983022 JYO983021:JYU983022 KIK983021:KIQ983022 KSG983021:KSM983022 LCC983021:LCI983022 LLY983021:LME983022 LVU983021:LWA983022 MFQ983021:MFW983022 MPM983021:MPS983022 MZI983021:MZO983022 NJE983021:NJK983022 NTA983021:NTG983022 OCW983021:ODC983022 OMS983021:OMY983022 OWO983021:OWU983022 PGK983021:PGQ983022 PQG983021:PQM983022 QAC983021:QAI983022 QJY983021:QKE983022 QTU983021:QUA983022 RDQ983021:RDW983022 RNM983021:RNS983022 RXI983021:RXO983022 SHE983021:SHK983022 SRA983021:SRG983022 TAW983021:TBC983022 TKS983021:TKY983022 TUO983021:TUU983022 UEK983021:UEQ983022 UOG983021:UOM983022 UYC983021:UYI983022 VHY983021:VIE983022 VRU983021:VSA983022 WBQ983021:WBW983022 WLM983021:WLS983022 WVI983021:WVO983022 D65520:J65521 IW65520:JC65521 SS65520:SY65521 ACO65520:ACU65521 AMK65520:AMQ65521 AWG65520:AWM65521 BGC65520:BGI65521 BPY65520:BQE65521 BZU65520:CAA65521 CJQ65520:CJW65521 CTM65520:CTS65521 DDI65520:DDO65521 DNE65520:DNK65521 DXA65520:DXG65521 EGW65520:EHC65521 EQS65520:EQY65521 FAO65520:FAU65521 FKK65520:FKQ65521 FUG65520:FUM65521 GEC65520:GEI65521 GNY65520:GOE65521 GXU65520:GYA65521 HHQ65520:HHW65521 HRM65520:HRS65521 IBI65520:IBO65521 ILE65520:ILK65521 IVA65520:IVG65521 JEW65520:JFC65521 JOS65520:JOY65521 JYO65520:JYU65521 KIK65520:KIQ65521 KSG65520:KSM65521 LCC65520:LCI65521 LLY65520:LME65521 LVU65520:LWA65521 MFQ65520:MFW65521 MPM65520:MPS65521 MZI65520:MZO65521 NJE65520:NJK65521 NTA65520:NTG65521 OCW65520:ODC65521 OMS65520:OMY65521 OWO65520:OWU65521 PGK65520:PGQ65521 PQG65520:PQM65521 QAC65520:QAI65521 QJY65520:QKE65521 QTU65520:QUA65521 RDQ65520:RDW65521 RNM65520:RNS65521 RXI65520:RXO65521 SHE65520:SHK65521 SRA65520:SRG65521 TAW65520:TBC65521 TKS65520:TKY65521 TUO65520:TUU65521 UEK65520:UEQ65521 UOG65520:UOM65521 UYC65520:UYI65521 VHY65520:VIE65521 VRU65520:VSA65521 WBQ65520:WBW65521 WLM65520:WLS65521 WVI65520:WVO65521 D131056:J131057 IW131056:JC131057 SS131056:SY131057 ACO131056:ACU131057 AMK131056:AMQ131057 AWG131056:AWM131057 BGC131056:BGI131057 BPY131056:BQE131057 BZU131056:CAA131057 CJQ131056:CJW131057 CTM131056:CTS131057 DDI131056:DDO131057 DNE131056:DNK131057 DXA131056:DXG131057 EGW131056:EHC131057 EQS131056:EQY131057 FAO131056:FAU131057 FKK131056:FKQ131057 FUG131056:FUM131057 GEC131056:GEI131057 GNY131056:GOE131057 GXU131056:GYA131057 HHQ131056:HHW131057 HRM131056:HRS131057 IBI131056:IBO131057 ILE131056:ILK131057 IVA131056:IVG131057 JEW131056:JFC131057 JOS131056:JOY131057 JYO131056:JYU131057 KIK131056:KIQ131057 KSG131056:KSM131057 LCC131056:LCI131057 LLY131056:LME131057 LVU131056:LWA131057 MFQ131056:MFW131057 MPM131056:MPS131057 MZI131056:MZO131057 NJE131056:NJK131057 NTA131056:NTG131057 OCW131056:ODC131057 OMS131056:OMY131057 OWO131056:OWU131057 PGK131056:PGQ131057 PQG131056:PQM131057 QAC131056:QAI131057 QJY131056:QKE131057 QTU131056:QUA131057 RDQ131056:RDW131057 RNM131056:RNS131057 RXI131056:RXO131057 SHE131056:SHK131057 SRA131056:SRG131057 TAW131056:TBC131057 TKS131056:TKY131057 TUO131056:TUU131057 UEK131056:UEQ131057 UOG131056:UOM131057 UYC131056:UYI131057 VHY131056:VIE131057 VRU131056:VSA131057 WBQ131056:WBW131057 WLM131056:WLS131057 WVI131056:WVO131057 D196592:J196593 IW196592:JC196593 SS196592:SY196593 ACO196592:ACU196593 AMK196592:AMQ196593 AWG196592:AWM196593 BGC196592:BGI196593 BPY196592:BQE196593 BZU196592:CAA196593 CJQ196592:CJW196593 CTM196592:CTS196593 DDI196592:DDO196593 DNE196592:DNK196593 DXA196592:DXG196593 EGW196592:EHC196593 EQS196592:EQY196593 FAO196592:FAU196593 FKK196592:FKQ196593 FUG196592:FUM196593 GEC196592:GEI196593 GNY196592:GOE196593 GXU196592:GYA196593 HHQ196592:HHW196593 HRM196592:HRS196593 IBI196592:IBO196593 ILE196592:ILK196593 IVA196592:IVG196593 JEW196592:JFC196593 JOS196592:JOY196593 JYO196592:JYU196593 KIK196592:KIQ196593 KSG196592:KSM196593 LCC196592:LCI196593 LLY196592:LME196593 LVU196592:LWA196593 MFQ196592:MFW196593 MPM196592:MPS196593 MZI196592:MZO196593 NJE196592:NJK196593 NTA196592:NTG196593 OCW196592:ODC196593 OMS196592:OMY196593 OWO196592:OWU196593 PGK196592:PGQ196593 PQG196592:PQM196593 QAC196592:QAI196593 QJY196592:QKE196593 QTU196592:QUA196593 RDQ196592:RDW196593 RNM196592:RNS196593 RXI196592:RXO196593 SHE196592:SHK196593 SRA196592:SRG196593 TAW196592:TBC196593 TKS196592:TKY196593 TUO196592:TUU196593 UEK196592:UEQ196593 UOG196592:UOM196593 UYC196592:UYI196593 VHY196592:VIE196593 VRU196592:VSA196593 WBQ196592:WBW196593 WLM196592:WLS196593 WVI196592:WVO196593 D262128:J262129 IW262128:JC262129 SS262128:SY262129 ACO262128:ACU262129 AMK262128:AMQ262129 AWG262128:AWM262129 BGC262128:BGI262129 BPY262128:BQE262129 BZU262128:CAA262129 CJQ262128:CJW262129 CTM262128:CTS262129 DDI262128:DDO262129 DNE262128:DNK262129 DXA262128:DXG262129 EGW262128:EHC262129 EQS262128:EQY262129 FAO262128:FAU262129 FKK262128:FKQ262129 FUG262128:FUM262129 GEC262128:GEI262129 GNY262128:GOE262129 GXU262128:GYA262129 HHQ262128:HHW262129 HRM262128:HRS262129 IBI262128:IBO262129 ILE262128:ILK262129 IVA262128:IVG262129 JEW262128:JFC262129 JOS262128:JOY262129 JYO262128:JYU262129 KIK262128:KIQ262129 KSG262128:KSM262129 LCC262128:LCI262129 LLY262128:LME262129 LVU262128:LWA262129 MFQ262128:MFW262129 MPM262128:MPS262129 MZI262128:MZO262129 NJE262128:NJK262129 NTA262128:NTG262129 OCW262128:ODC262129 OMS262128:OMY262129 OWO262128:OWU262129 PGK262128:PGQ262129 PQG262128:PQM262129 QAC262128:QAI262129 QJY262128:QKE262129 QTU262128:QUA262129 RDQ262128:RDW262129 RNM262128:RNS262129 RXI262128:RXO262129 SHE262128:SHK262129 SRA262128:SRG262129 TAW262128:TBC262129 TKS262128:TKY262129 TUO262128:TUU262129 UEK262128:UEQ262129 UOG262128:UOM262129 UYC262128:UYI262129 VHY262128:VIE262129 VRU262128:VSA262129 WBQ262128:WBW262129 WLM262128:WLS262129 WVI262128:WVO262129 D327664:J327665 IW327664:JC327665 SS327664:SY327665 ACO327664:ACU327665 AMK327664:AMQ327665 AWG327664:AWM327665 BGC327664:BGI327665 BPY327664:BQE327665 BZU327664:CAA327665 CJQ327664:CJW327665 CTM327664:CTS327665 DDI327664:DDO327665 DNE327664:DNK327665 DXA327664:DXG327665 EGW327664:EHC327665 EQS327664:EQY327665 FAO327664:FAU327665 FKK327664:FKQ327665 FUG327664:FUM327665 GEC327664:GEI327665 GNY327664:GOE327665 GXU327664:GYA327665 HHQ327664:HHW327665 HRM327664:HRS327665 IBI327664:IBO327665 ILE327664:ILK327665 IVA327664:IVG327665 JEW327664:JFC327665 JOS327664:JOY327665 JYO327664:JYU327665 KIK327664:KIQ327665 KSG327664:KSM327665 LCC327664:LCI327665 LLY327664:LME327665 LVU327664:LWA327665 MFQ327664:MFW327665 MPM327664:MPS327665 MZI327664:MZO327665 NJE327664:NJK327665 NTA327664:NTG327665 OCW327664:ODC327665 OMS327664:OMY327665 OWO327664:OWU327665 PGK327664:PGQ327665 PQG327664:PQM327665 QAC327664:QAI327665 QJY327664:QKE327665 QTU327664:QUA327665 RDQ327664:RDW327665 RNM327664:RNS327665 RXI327664:RXO327665 SHE327664:SHK327665 SRA327664:SRG327665 TAW327664:TBC327665 TKS327664:TKY327665 TUO327664:TUU327665 UEK327664:UEQ327665 UOG327664:UOM327665 UYC327664:UYI327665 VHY327664:VIE327665 VRU327664:VSA327665 WBQ327664:WBW327665 WLM327664:WLS327665 WVI327664:WVO327665 D393200:J393201 IW393200:JC393201 SS393200:SY393201 ACO393200:ACU393201 AMK393200:AMQ393201 AWG393200:AWM393201 BGC393200:BGI393201 BPY393200:BQE393201 BZU393200:CAA393201 CJQ393200:CJW393201 CTM393200:CTS393201 DDI393200:DDO393201 DNE393200:DNK393201 DXA393200:DXG393201 EGW393200:EHC393201 EQS393200:EQY393201 FAO393200:FAU393201 FKK393200:FKQ393201 FUG393200:FUM393201 GEC393200:GEI393201 GNY393200:GOE393201 GXU393200:GYA393201 HHQ393200:HHW393201 HRM393200:HRS393201 IBI393200:IBO393201 ILE393200:ILK393201 IVA393200:IVG393201 JEW393200:JFC393201 JOS393200:JOY393201 JYO393200:JYU393201 KIK393200:KIQ393201 KSG393200:KSM393201 LCC393200:LCI393201 LLY393200:LME393201 LVU393200:LWA393201 MFQ393200:MFW393201 MPM393200:MPS393201 MZI393200:MZO393201 NJE393200:NJK393201 NTA393200:NTG393201 OCW393200:ODC393201 OMS393200:OMY393201 OWO393200:OWU393201 PGK393200:PGQ393201 PQG393200:PQM393201 QAC393200:QAI393201 QJY393200:QKE393201 QTU393200:QUA393201 RDQ393200:RDW393201 RNM393200:RNS393201 RXI393200:RXO393201 SHE393200:SHK393201 SRA393200:SRG393201 TAW393200:TBC393201 TKS393200:TKY393201 TUO393200:TUU393201 UEK393200:UEQ393201 UOG393200:UOM393201 UYC393200:UYI393201 VHY393200:VIE393201 VRU393200:VSA393201 WBQ393200:WBW393201 WLM393200:WLS393201 WVI393200:WVO393201 D458736:J458737 IW458736:JC458737 SS458736:SY458737 ACO458736:ACU458737 AMK458736:AMQ458737 AWG458736:AWM458737 BGC458736:BGI458737 BPY458736:BQE458737 BZU458736:CAA458737 CJQ458736:CJW458737 CTM458736:CTS458737 DDI458736:DDO458737 DNE458736:DNK458737 DXA458736:DXG458737 EGW458736:EHC458737 EQS458736:EQY458737 FAO458736:FAU458737 FKK458736:FKQ458737 FUG458736:FUM458737 GEC458736:GEI458737 GNY458736:GOE458737 GXU458736:GYA458737 HHQ458736:HHW458737 HRM458736:HRS458737 IBI458736:IBO458737 ILE458736:ILK458737 IVA458736:IVG458737 JEW458736:JFC458737 JOS458736:JOY458737 JYO458736:JYU458737 KIK458736:KIQ458737 KSG458736:KSM458737 LCC458736:LCI458737 LLY458736:LME458737 LVU458736:LWA458737 MFQ458736:MFW458737 MPM458736:MPS458737 MZI458736:MZO458737 NJE458736:NJK458737 NTA458736:NTG458737 OCW458736:ODC458737 OMS458736:OMY458737 OWO458736:OWU458737 PGK458736:PGQ458737 PQG458736:PQM458737 QAC458736:QAI458737 QJY458736:QKE458737 QTU458736:QUA458737 RDQ458736:RDW458737 RNM458736:RNS458737 RXI458736:RXO458737 SHE458736:SHK458737 SRA458736:SRG458737 TAW458736:TBC458737 TKS458736:TKY458737 TUO458736:TUU458737 UEK458736:UEQ458737 UOG458736:UOM458737 UYC458736:UYI458737 VHY458736:VIE458737 VRU458736:VSA458737 WBQ458736:WBW458737 WLM458736:WLS458737 WVI458736:WVO458737 D524272:J524273 IW524272:JC524273 SS524272:SY524273 ACO524272:ACU524273 AMK524272:AMQ524273 AWG524272:AWM524273 BGC524272:BGI524273 BPY524272:BQE524273 BZU524272:CAA524273 CJQ524272:CJW524273 CTM524272:CTS524273 DDI524272:DDO524273 DNE524272:DNK524273 DXA524272:DXG524273 EGW524272:EHC524273 EQS524272:EQY524273 FAO524272:FAU524273 FKK524272:FKQ524273 FUG524272:FUM524273 GEC524272:GEI524273 GNY524272:GOE524273 GXU524272:GYA524273 HHQ524272:HHW524273 HRM524272:HRS524273 IBI524272:IBO524273 ILE524272:ILK524273 IVA524272:IVG524273 JEW524272:JFC524273 JOS524272:JOY524273 JYO524272:JYU524273 KIK524272:KIQ524273 KSG524272:KSM524273 LCC524272:LCI524273 LLY524272:LME524273 LVU524272:LWA524273 MFQ524272:MFW524273 MPM524272:MPS524273 MZI524272:MZO524273 NJE524272:NJK524273 NTA524272:NTG524273 OCW524272:ODC524273 OMS524272:OMY524273 OWO524272:OWU524273 PGK524272:PGQ524273 PQG524272:PQM524273 QAC524272:QAI524273 QJY524272:QKE524273 QTU524272:QUA524273 RDQ524272:RDW524273 RNM524272:RNS524273 RXI524272:RXO524273 SHE524272:SHK524273 SRA524272:SRG524273 TAW524272:TBC524273 TKS524272:TKY524273 TUO524272:TUU524273 UEK524272:UEQ524273 UOG524272:UOM524273 UYC524272:UYI524273 VHY524272:VIE524273 VRU524272:VSA524273 WBQ524272:WBW524273 WLM524272:WLS524273 WVI524272:WVO524273 D589808:J589809 IW589808:JC589809 SS589808:SY589809 ACO589808:ACU589809 AMK589808:AMQ589809 AWG589808:AWM589809 BGC589808:BGI589809 BPY589808:BQE589809 BZU589808:CAA589809 CJQ589808:CJW589809 CTM589808:CTS589809 DDI589808:DDO589809 DNE589808:DNK589809 DXA589808:DXG589809 EGW589808:EHC589809 EQS589808:EQY589809 FAO589808:FAU589809 FKK589808:FKQ589809 FUG589808:FUM589809 GEC589808:GEI589809 GNY589808:GOE589809 GXU589808:GYA589809 HHQ589808:HHW589809 HRM589808:HRS589809 IBI589808:IBO589809 ILE589808:ILK589809 IVA589808:IVG589809 JEW589808:JFC589809 JOS589808:JOY589809 JYO589808:JYU589809 KIK589808:KIQ589809 KSG589808:KSM589809 LCC589808:LCI589809 LLY589808:LME589809 LVU589808:LWA589809 MFQ589808:MFW589809 MPM589808:MPS589809 MZI589808:MZO589809 NJE589808:NJK589809 NTA589808:NTG589809 OCW589808:ODC589809 OMS589808:OMY589809 OWO589808:OWU589809 PGK589808:PGQ589809 PQG589808:PQM589809 QAC589808:QAI589809 QJY589808:QKE589809 QTU589808:QUA589809 RDQ589808:RDW589809 RNM589808:RNS589809 RXI589808:RXO589809 SHE589808:SHK589809 SRA589808:SRG589809 TAW589808:TBC589809 TKS589808:TKY589809 TUO589808:TUU589809 UEK589808:UEQ589809 UOG589808:UOM589809 UYC589808:UYI589809 VHY589808:VIE589809 VRU589808:VSA589809 WBQ589808:WBW589809 WLM589808:WLS589809 WVI589808:WVO589809 D655344:J655345 IW655344:JC655345 SS655344:SY655345 ACO655344:ACU655345 AMK655344:AMQ655345 AWG655344:AWM655345 BGC655344:BGI655345 BPY655344:BQE655345 BZU655344:CAA655345 CJQ655344:CJW655345 CTM655344:CTS655345 DDI655344:DDO655345 DNE655344:DNK655345 DXA655344:DXG655345 EGW655344:EHC655345 EQS655344:EQY655345 FAO655344:FAU655345 FKK655344:FKQ655345 FUG655344:FUM655345 GEC655344:GEI655345 GNY655344:GOE655345 GXU655344:GYA655345 HHQ655344:HHW655345 HRM655344:HRS655345 IBI655344:IBO655345 ILE655344:ILK655345 IVA655344:IVG655345 JEW655344:JFC655345 JOS655344:JOY655345 JYO655344:JYU655345 KIK655344:KIQ655345 KSG655344:KSM655345 LCC655344:LCI655345 LLY655344:LME655345 LVU655344:LWA655345 MFQ655344:MFW655345 MPM655344:MPS655345 MZI655344:MZO655345 NJE655344:NJK655345 NTA655344:NTG655345 OCW655344:ODC655345 OMS655344:OMY655345 OWO655344:OWU655345 PGK655344:PGQ655345 PQG655344:PQM655345 QAC655344:QAI655345 QJY655344:QKE655345 QTU655344:QUA655345 RDQ655344:RDW655345 RNM655344:RNS655345 RXI655344:RXO655345 SHE655344:SHK655345 SRA655344:SRG655345 TAW655344:TBC655345 TKS655344:TKY655345 TUO655344:TUU655345 UEK655344:UEQ655345 UOG655344:UOM655345 UYC655344:UYI655345 VHY655344:VIE655345 VRU655344:VSA655345 WBQ655344:WBW655345 WLM655344:WLS655345 WVI655344:WVO655345 D720880:J720881 IW720880:JC720881 SS720880:SY720881 ACO720880:ACU720881 AMK720880:AMQ720881 AWG720880:AWM720881 BGC720880:BGI720881 BPY720880:BQE720881 BZU720880:CAA720881 CJQ720880:CJW720881 CTM720880:CTS720881 DDI720880:DDO720881 DNE720880:DNK720881 DXA720880:DXG720881 EGW720880:EHC720881 EQS720880:EQY720881 FAO720880:FAU720881 FKK720880:FKQ720881 FUG720880:FUM720881 GEC720880:GEI720881 GNY720880:GOE720881 GXU720880:GYA720881 HHQ720880:HHW720881 HRM720880:HRS720881 IBI720880:IBO720881 ILE720880:ILK720881 IVA720880:IVG720881 JEW720880:JFC720881 JOS720880:JOY720881 JYO720880:JYU720881 KIK720880:KIQ720881 KSG720880:KSM720881 LCC720880:LCI720881 LLY720880:LME720881 LVU720880:LWA720881 MFQ720880:MFW720881 MPM720880:MPS720881 MZI720880:MZO720881 NJE720880:NJK720881 NTA720880:NTG720881 OCW720880:ODC720881 OMS720880:OMY720881 OWO720880:OWU720881 PGK720880:PGQ720881 PQG720880:PQM720881 QAC720880:QAI720881 QJY720880:QKE720881 QTU720880:QUA720881 RDQ720880:RDW720881 RNM720880:RNS720881 RXI720880:RXO720881 SHE720880:SHK720881 SRA720880:SRG720881 TAW720880:TBC720881 TKS720880:TKY720881 TUO720880:TUU720881 UEK720880:UEQ720881 UOG720880:UOM720881 UYC720880:UYI720881 VHY720880:VIE720881 VRU720880:VSA720881 WBQ720880:WBW720881 WLM720880:WLS720881 WVI720880:WVO720881 D786416:J786417 IW786416:JC786417 SS786416:SY786417 ACO786416:ACU786417 AMK786416:AMQ786417 AWG786416:AWM786417 BGC786416:BGI786417 BPY786416:BQE786417 BZU786416:CAA786417 CJQ786416:CJW786417 CTM786416:CTS786417 DDI786416:DDO786417 DNE786416:DNK786417 DXA786416:DXG786417 EGW786416:EHC786417 EQS786416:EQY786417 FAO786416:FAU786417 FKK786416:FKQ786417 FUG786416:FUM786417 GEC786416:GEI786417 GNY786416:GOE786417 GXU786416:GYA786417 HHQ786416:HHW786417 HRM786416:HRS786417 IBI786416:IBO786417 ILE786416:ILK786417 IVA786416:IVG786417 JEW786416:JFC786417 JOS786416:JOY786417 JYO786416:JYU786417 KIK786416:KIQ786417 KSG786416:KSM786417 LCC786416:LCI786417 LLY786416:LME786417 LVU786416:LWA786417 MFQ786416:MFW786417 MPM786416:MPS786417 MZI786416:MZO786417 NJE786416:NJK786417 NTA786416:NTG786417 OCW786416:ODC786417 OMS786416:OMY786417 OWO786416:OWU786417 PGK786416:PGQ786417 PQG786416:PQM786417 QAC786416:QAI786417 QJY786416:QKE786417 QTU786416:QUA786417 RDQ786416:RDW786417 RNM786416:RNS786417 RXI786416:RXO786417 SHE786416:SHK786417 SRA786416:SRG786417 TAW786416:TBC786417 TKS786416:TKY786417 TUO786416:TUU786417 UEK786416:UEQ786417 UOG786416:UOM786417 UYC786416:UYI786417 VHY786416:VIE786417 VRU786416:VSA786417 WBQ786416:WBW786417 WLM786416:WLS786417 WVI786416:WVO786417 D851952:J851953 IW851952:JC851953 SS851952:SY851953 ACO851952:ACU851953 AMK851952:AMQ851953 AWG851952:AWM851953 BGC851952:BGI851953 BPY851952:BQE851953 BZU851952:CAA851953 CJQ851952:CJW851953 CTM851952:CTS851953 DDI851952:DDO851953 DNE851952:DNK851953 DXA851952:DXG851953 EGW851952:EHC851953 EQS851952:EQY851953 FAO851952:FAU851953 FKK851952:FKQ851953 FUG851952:FUM851953 GEC851952:GEI851953 GNY851952:GOE851953 GXU851952:GYA851953 HHQ851952:HHW851953 HRM851952:HRS851953 IBI851952:IBO851953 ILE851952:ILK851953 IVA851952:IVG851953 JEW851952:JFC851953 JOS851952:JOY851953 JYO851952:JYU851953 KIK851952:KIQ851953 KSG851952:KSM851953 LCC851952:LCI851953 LLY851952:LME851953 LVU851952:LWA851953 MFQ851952:MFW851953 MPM851952:MPS851953 MZI851952:MZO851953 NJE851952:NJK851953 NTA851952:NTG851953 OCW851952:ODC851953 OMS851952:OMY851953 OWO851952:OWU851953 PGK851952:PGQ851953 PQG851952:PQM851953 QAC851952:QAI851953 QJY851952:QKE851953 QTU851952:QUA851953 RDQ851952:RDW851953 RNM851952:RNS851953 RXI851952:RXO851953 SHE851952:SHK851953 SRA851952:SRG851953 TAW851952:TBC851953 TKS851952:TKY851953 TUO851952:TUU851953 UEK851952:UEQ851953 UOG851952:UOM851953 UYC851952:UYI851953 VHY851952:VIE851953 VRU851952:VSA851953 WBQ851952:WBW851953 WLM851952:WLS851953 WVI851952:WVO851953 D917488:J917489 IW917488:JC917489 SS917488:SY917489 ACO917488:ACU917489 AMK917488:AMQ917489 AWG917488:AWM917489 BGC917488:BGI917489 BPY917488:BQE917489 BZU917488:CAA917489 CJQ917488:CJW917489 CTM917488:CTS917489 DDI917488:DDO917489 DNE917488:DNK917489 DXA917488:DXG917489 EGW917488:EHC917489 EQS917488:EQY917489 FAO917488:FAU917489 FKK917488:FKQ917489 FUG917488:FUM917489 GEC917488:GEI917489 GNY917488:GOE917489 GXU917488:GYA917489 HHQ917488:HHW917489 HRM917488:HRS917489 IBI917488:IBO917489 ILE917488:ILK917489 IVA917488:IVG917489 JEW917488:JFC917489 JOS917488:JOY917489 JYO917488:JYU917489 KIK917488:KIQ917489 KSG917488:KSM917489 LCC917488:LCI917489 LLY917488:LME917489 LVU917488:LWA917489 MFQ917488:MFW917489 MPM917488:MPS917489 MZI917488:MZO917489 NJE917488:NJK917489 NTA917488:NTG917489 OCW917488:ODC917489 OMS917488:OMY917489 OWO917488:OWU917489 PGK917488:PGQ917489 PQG917488:PQM917489 QAC917488:QAI917489 QJY917488:QKE917489 QTU917488:QUA917489 RDQ917488:RDW917489 RNM917488:RNS917489 RXI917488:RXO917489 SHE917488:SHK917489 SRA917488:SRG917489 TAW917488:TBC917489 TKS917488:TKY917489 TUO917488:TUU917489 UEK917488:UEQ917489 UOG917488:UOM917489 UYC917488:UYI917489 VHY917488:VIE917489 VRU917488:VSA917489 WBQ917488:WBW917489 WLM917488:WLS917489 WVI917488:WVO917489 D983024:J983025 IW983024:JC983025 SS983024:SY983025 ACO983024:ACU983025 AMK983024:AMQ983025 AWG983024:AWM983025 BGC983024:BGI983025 BPY983024:BQE983025 BZU983024:CAA983025 CJQ983024:CJW983025 CTM983024:CTS983025 DDI983024:DDO983025 DNE983024:DNK983025 DXA983024:DXG983025 EGW983024:EHC983025 EQS983024:EQY983025 FAO983024:FAU983025 FKK983024:FKQ983025 FUG983024:FUM983025 GEC983024:GEI983025 GNY983024:GOE983025 GXU983024:GYA983025 HHQ983024:HHW983025 HRM983024:HRS983025 IBI983024:IBO983025 ILE983024:ILK983025 IVA983024:IVG983025 JEW983024:JFC983025 JOS983024:JOY983025 JYO983024:JYU983025 KIK983024:KIQ983025 KSG983024:KSM983025 LCC983024:LCI983025 LLY983024:LME983025 LVU983024:LWA983025 MFQ983024:MFW983025 MPM983024:MPS983025 MZI983024:MZO983025 NJE983024:NJK983025 NTA983024:NTG983025 OCW983024:ODC983025 OMS983024:OMY983025 OWO983024:OWU983025 PGK983024:PGQ983025 PQG983024:PQM983025 QAC983024:QAI983025 QJY983024:QKE983025 QTU983024:QUA983025 RDQ983024:RDW983025 RNM983024:RNS983025 RXI983024:RXO983025 SHE983024:SHK983025 SRA983024:SRG983025 TAW983024:TBC983025 TKS983024:TKY983025 TUO983024:TUU983025 UEK983024:UEQ983025 UOG983024:UOM983025 UYC983024:UYI983025 VHY983024:VIE983025 VRU983024:VSA983025 WBQ983024:WBW983025 WLM983024:WLS983025 WVI983024:WVO983025 WVI983012:WVO983013 D65523:H65524 IW65523:JA65524 SS65523:SW65524 ACO65523:ACS65524 AMK65523:AMO65524 AWG65523:AWK65524 BGC65523:BGG65524 BPY65523:BQC65524 BZU65523:BZY65524 CJQ65523:CJU65524 CTM65523:CTQ65524 DDI65523:DDM65524 DNE65523:DNI65524 DXA65523:DXE65524 EGW65523:EHA65524 EQS65523:EQW65524 FAO65523:FAS65524 FKK65523:FKO65524 FUG65523:FUK65524 GEC65523:GEG65524 GNY65523:GOC65524 GXU65523:GXY65524 HHQ65523:HHU65524 HRM65523:HRQ65524 IBI65523:IBM65524 ILE65523:ILI65524 IVA65523:IVE65524 JEW65523:JFA65524 JOS65523:JOW65524 JYO65523:JYS65524 KIK65523:KIO65524 KSG65523:KSK65524 LCC65523:LCG65524 LLY65523:LMC65524 LVU65523:LVY65524 MFQ65523:MFU65524 MPM65523:MPQ65524 MZI65523:MZM65524 NJE65523:NJI65524 NTA65523:NTE65524 OCW65523:ODA65524 OMS65523:OMW65524 OWO65523:OWS65524 PGK65523:PGO65524 PQG65523:PQK65524 QAC65523:QAG65524 QJY65523:QKC65524 QTU65523:QTY65524 RDQ65523:RDU65524 RNM65523:RNQ65524 RXI65523:RXM65524 SHE65523:SHI65524 SRA65523:SRE65524 TAW65523:TBA65524 TKS65523:TKW65524 TUO65523:TUS65524 UEK65523:UEO65524 UOG65523:UOK65524 UYC65523:UYG65524 VHY65523:VIC65524 VRU65523:VRY65524 WBQ65523:WBU65524 WLM65523:WLQ65524 WVI65523:WVM65524 D131059:H131060 IW131059:JA131060 SS131059:SW131060 ACO131059:ACS131060 AMK131059:AMO131060 AWG131059:AWK131060 BGC131059:BGG131060 BPY131059:BQC131060 BZU131059:BZY131060 CJQ131059:CJU131060 CTM131059:CTQ131060 DDI131059:DDM131060 DNE131059:DNI131060 DXA131059:DXE131060 EGW131059:EHA131060 EQS131059:EQW131060 FAO131059:FAS131060 FKK131059:FKO131060 FUG131059:FUK131060 GEC131059:GEG131060 GNY131059:GOC131060 GXU131059:GXY131060 HHQ131059:HHU131060 HRM131059:HRQ131060 IBI131059:IBM131060 ILE131059:ILI131060 IVA131059:IVE131060 JEW131059:JFA131060 JOS131059:JOW131060 JYO131059:JYS131060 KIK131059:KIO131060 KSG131059:KSK131060 LCC131059:LCG131060 LLY131059:LMC131060 LVU131059:LVY131060 MFQ131059:MFU131060 MPM131059:MPQ131060 MZI131059:MZM131060 NJE131059:NJI131060 NTA131059:NTE131060 OCW131059:ODA131060 OMS131059:OMW131060 OWO131059:OWS131060 PGK131059:PGO131060 PQG131059:PQK131060 QAC131059:QAG131060 QJY131059:QKC131060 QTU131059:QTY131060 RDQ131059:RDU131060 RNM131059:RNQ131060 RXI131059:RXM131060 SHE131059:SHI131060 SRA131059:SRE131060 TAW131059:TBA131060 TKS131059:TKW131060 TUO131059:TUS131060 UEK131059:UEO131060 UOG131059:UOK131060 UYC131059:UYG131060 VHY131059:VIC131060 VRU131059:VRY131060 WBQ131059:WBU131060 WLM131059:WLQ131060 WVI131059:WVM131060 D196595:H196596 IW196595:JA196596 SS196595:SW196596 ACO196595:ACS196596 AMK196595:AMO196596 AWG196595:AWK196596 BGC196595:BGG196596 BPY196595:BQC196596 BZU196595:BZY196596 CJQ196595:CJU196596 CTM196595:CTQ196596 DDI196595:DDM196596 DNE196595:DNI196596 DXA196595:DXE196596 EGW196595:EHA196596 EQS196595:EQW196596 FAO196595:FAS196596 FKK196595:FKO196596 FUG196595:FUK196596 GEC196595:GEG196596 GNY196595:GOC196596 GXU196595:GXY196596 HHQ196595:HHU196596 HRM196595:HRQ196596 IBI196595:IBM196596 ILE196595:ILI196596 IVA196595:IVE196596 JEW196595:JFA196596 JOS196595:JOW196596 JYO196595:JYS196596 KIK196595:KIO196596 KSG196595:KSK196596 LCC196595:LCG196596 LLY196595:LMC196596 LVU196595:LVY196596 MFQ196595:MFU196596 MPM196595:MPQ196596 MZI196595:MZM196596 NJE196595:NJI196596 NTA196595:NTE196596 OCW196595:ODA196596 OMS196595:OMW196596 OWO196595:OWS196596 PGK196595:PGO196596 PQG196595:PQK196596 QAC196595:QAG196596 QJY196595:QKC196596 QTU196595:QTY196596 RDQ196595:RDU196596 RNM196595:RNQ196596 RXI196595:RXM196596 SHE196595:SHI196596 SRA196595:SRE196596 TAW196595:TBA196596 TKS196595:TKW196596 TUO196595:TUS196596 UEK196595:UEO196596 UOG196595:UOK196596 UYC196595:UYG196596 VHY196595:VIC196596 VRU196595:VRY196596 WBQ196595:WBU196596 WLM196595:WLQ196596 WVI196595:WVM196596 D262131:H262132 IW262131:JA262132 SS262131:SW262132 ACO262131:ACS262132 AMK262131:AMO262132 AWG262131:AWK262132 BGC262131:BGG262132 BPY262131:BQC262132 BZU262131:BZY262132 CJQ262131:CJU262132 CTM262131:CTQ262132 DDI262131:DDM262132 DNE262131:DNI262132 DXA262131:DXE262132 EGW262131:EHA262132 EQS262131:EQW262132 FAO262131:FAS262132 FKK262131:FKO262132 FUG262131:FUK262132 GEC262131:GEG262132 GNY262131:GOC262132 GXU262131:GXY262132 HHQ262131:HHU262132 HRM262131:HRQ262132 IBI262131:IBM262132 ILE262131:ILI262132 IVA262131:IVE262132 JEW262131:JFA262132 JOS262131:JOW262132 JYO262131:JYS262132 KIK262131:KIO262132 KSG262131:KSK262132 LCC262131:LCG262132 LLY262131:LMC262132 LVU262131:LVY262132 MFQ262131:MFU262132 MPM262131:MPQ262132 MZI262131:MZM262132 NJE262131:NJI262132 NTA262131:NTE262132 OCW262131:ODA262132 OMS262131:OMW262132 OWO262131:OWS262132 PGK262131:PGO262132 PQG262131:PQK262132 QAC262131:QAG262132 QJY262131:QKC262132 QTU262131:QTY262132 RDQ262131:RDU262132 RNM262131:RNQ262132 RXI262131:RXM262132 SHE262131:SHI262132 SRA262131:SRE262132 TAW262131:TBA262132 TKS262131:TKW262132 TUO262131:TUS262132 UEK262131:UEO262132 UOG262131:UOK262132 UYC262131:UYG262132 VHY262131:VIC262132 VRU262131:VRY262132 WBQ262131:WBU262132 WLM262131:WLQ262132 WVI262131:WVM262132 D327667:H327668 IW327667:JA327668 SS327667:SW327668 ACO327667:ACS327668 AMK327667:AMO327668 AWG327667:AWK327668 BGC327667:BGG327668 BPY327667:BQC327668 BZU327667:BZY327668 CJQ327667:CJU327668 CTM327667:CTQ327668 DDI327667:DDM327668 DNE327667:DNI327668 DXA327667:DXE327668 EGW327667:EHA327668 EQS327667:EQW327668 FAO327667:FAS327668 FKK327667:FKO327668 FUG327667:FUK327668 GEC327667:GEG327668 GNY327667:GOC327668 GXU327667:GXY327668 HHQ327667:HHU327668 HRM327667:HRQ327668 IBI327667:IBM327668 ILE327667:ILI327668 IVA327667:IVE327668 JEW327667:JFA327668 JOS327667:JOW327668 JYO327667:JYS327668 KIK327667:KIO327668 KSG327667:KSK327668 LCC327667:LCG327668 LLY327667:LMC327668 LVU327667:LVY327668 MFQ327667:MFU327668 MPM327667:MPQ327668 MZI327667:MZM327668 NJE327667:NJI327668 NTA327667:NTE327668 OCW327667:ODA327668 OMS327667:OMW327668 OWO327667:OWS327668 PGK327667:PGO327668 PQG327667:PQK327668 QAC327667:QAG327668 QJY327667:QKC327668 QTU327667:QTY327668 RDQ327667:RDU327668 RNM327667:RNQ327668 RXI327667:RXM327668 SHE327667:SHI327668 SRA327667:SRE327668 TAW327667:TBA327668 TKS327667:TKW327668 TUO327667:TUS327668 UEK327667:UEO327668 UOG327667:UOK327668 UYC327667:UYG327668 VHY327667:VIC327668 VRU327667:VRY327668 WBQ327667:WBU327668 WLM327667:WLQ327668 WVI327667:WVM327668 D393203:H393204 IW393203:JA393204 SS393203:SW393204 ACO393203:ACS393204 AMK393203:AMO393204 AWG393203:AWK393204 BGC393203:BGG393204 BPY393203:BQC393204 BZU393203:BZY393204 CJQ393203:CJU393204 CTM393203:CTQ393204 DDI393203:DDM393204 DNE393203:DNI393204 DXA393203:DXE393204 EGW393203:EHA393204 EQS393203:EQW393204 FAO393203:FAS393204 FKK393203:FKO393204 FUG393203:FUK393204 GEC393203:GEG393204 GNY393203:GOC393204 GXU393203:GXY393204 HHQ393203:HHU393204 HRM393203:HRQ393204 IBI393203:IBM393204 ILE393203:ILI393204 IVA393203:IVE393204 JEW393203:JFA393204 JOS393203:JOW393204 JYO393203:JYS393204 KIK393203:KIO393204 KSG393203:KSK393204 LCC393203:LCG393204 LLY393203:LMC393204 LVU393203:LVY393204 MFQ393203:MFU393204 MPM393203:MPQ393204 MZI393203:MZM393204 NJE393203:NJI393204 NTA393203:NTE393204 OCW393203:ODA393204 OMS393203:OMW393204 OWO393203:OWS393204 PGK393203:PGO393204 PQG393203:PQK393204 QAC393203:QAG393204 QJY393203:QKC393204 QTU393203:QTY393204 RDQ393203:RDU393204 RNM393203:RNQ393204 RXI393203:RXM393204 SHE393203:SHI393204 SRA393203:SRE393204 TAW393203:TBA393204 TKS393203:TKW393204 TUO393203:TUS393204 UEK393203:UEO393204 UOG393203:UOK393204 UYC393203:UYG393204 VHY393203:VIC393204 VRU393203:VRY393204 WBQ393203:WBU393204 WLM393203:WLQ393204 WVI393203:WVM393204 D458739:H458740 IW458739:JA458740 SS458739:SW458740 ACO458739:ACS458740 AMK458739:AMO458740 AWG458739:AWK458740 BGC458739:BGG458740 BPY458739:BQC458740 BZU458739:BZY458740 CJQ458739:CJU458740 CTM458739:CTQ458740 DDI458739:DDM458740 DNE458739:DNI458740 DXA458739:DXE458740 EGW458739:EHA458740 EQS458739:EQW458740 FAO458739:FAS458740 FKK458739:FKO458740 FUG458739:FUK458740 GEC458739:GEG458740 GNY458739:GOC458740 GXU458739:GXY458740 HHQ458739:HHU458740 HRM458739:HRQ458740 IBI458739:IBM458740 ILE458739:ILI458740 IVA458739:IVE458740 JEW458739:JFA458740 JOS458739:JOW458740 JYO458739:JYS458740 KIK458739:KIO458740 KSG458739:KSK458740 LCC458739:LCG458740 LLY458739:LMC458740 LVU458739:LVY458740 MFQ458739:MFU458740 MPM458739:MPQ458740 MZI458739:MZM458740 NJE458739:NJI458740 NTA458739:NTE458740 OCW458739:ODA458740 OMS458739:OMW458740 OWO458739:OWS458740 PGK458739:PGO458740 PQG458739:PQK458740 QAC458739:QAG458740 QJY458739:QKC458740 QTU458739:QTY458740 RDQ458739:RDU458740 RNM458739:RNQ458740 RXI458739:RXM458740 SHE458739:SHI458740 SRA458739:SRE458740 TAW458739:TBA458740 TKS458739:TKW458740 TUO458739:TUS458740 UEK458739:UEO458740 UOG458739:UOK458740 UYC458739:UYG458740 VHY458739:VIC458740 VRU458739:VRY458740 WBQ458739:WBU458740 WLM458739:WLQ458740 WVI458739:WVM458740 D524275:H524276 IW524275:JA524276 SS524275:SW524276 ACO524275:ACS524276 AMK524275:AMO524276 AWG524275:AWK524276 BGC524275:BGG524276 BPY524275:BQC524276 BZU524275:BZY524276 CJQ524275:CJU524276 CTM524275:CTQ524276 DDI524275:DDM524276 DNE524275:DNI524276 DXA524275:DXE524276 EGW524275:EHA524276 EQS524275:EQW524276 FAO524275:FAS524276 FKK524275:FKO524276 FUG524275:FUK524276 GEC524275:GEG524276 GNY524275:GOC524276 GXU524275:GXY524276 HHQ524275:HHU524276 HRM524275:HRQ524276 IBI524275:IBM524276 ILE524275:ILI524276 IVA524275:IVE524276 JEW524275:JFA524276 JOS524275:JOW524276 JYO524275:JYS524276 KIK524275:KIO524276 KSG524275:KSK524276 LCC524275:LCG524276 LLY524275:LMC524276 LVU524275:LVY524276 MFQ524275:MFU524276 MPM524275:MPQ524276 MZI524275:MZM524276 NJE524275:NJI524276 NTA524275:NTE524276 OCW524275:ODA524276 OMS524275:OMW524276 OWO524275:OWS524276 PGK524275:PGO524276 PQG524275:PQK524276 QAC524275:QAG524276 QJY524275:QKC524276 QTU524275:QTY524276 RDQ524275:RDU524276 RNM524275:RNQ524276 RXI524275:RXM524276 SHE524275:SHI524276 SRA524275:SRE524276 TAW524275:TBA524276 TKS524275:TKW524276 TUO524275:TUS524276 UEK524275:UEO524276 UOG524275:UOK524276 UYC524275:UYG524276 VHY524275:VIC524276 VRU524275:VRY524276 WBQ524275:WBU524276 WLM524275:WLQ524276 WVI524275:WVM524276 D589811:H589812 IW589811:JA589812 SS589811:SW589812 ACO589811:ACS589812 AMK589811:AMO589812 AWG589811:AWK589812 BGC589811:BGG589812 BPY589811:BQC589812 BZU589811:BZY589812 CJQ589811:CJU589812 CTM589811:CTQ589812 DDI589811:DDM589812 DNE589811:DNI589812 DXA589811:DXE589812 EGW589811:EHA589812 EQS589811:EQW589812 FAO589811:FAS589812 FKK589811:FKO589812 FUG589811:FUK589812 GEC589811:GEG589812 GNY589811:GOC589812 GXU589811:GXY589812 HHQ589811:HHU589812 HRM589811:HRQ589812 IBI589811:IBM589812 ILE589811:ILI589812 IVA589811:IVE589812 JEW589811:JFA589812 JOS589811:JOW589812 JYO589811:JYS589812 KIK589811:KIO589812 KSG589811:KSK589812 LCC589811:LCG589812 LLY589811:LMC589812 LVU589811:LVY589812 MFQ589811:MFU589812 MPM589811:MPQ589812 MZI589811:MZM589812 NJE589811:NJI589812 NTA589811:NTE589812 OCW589811:ODA589812 OMS589811:OMW589812 OWO589811:OWS589812 PGK589811:PGO589812 PQG589811:PQK589812 QAC589811:QAG589812 QJY589811:QKC589812 QTU589811:QTY589812 RDQ589811:RDU589812 RNM589811:RNQ589812 RXI589811:RXM589812 SHE589811:SHI589812 SRA589811:SRE589812 TAW589811:TBA589812 TKS589811:TKW589812 TUO589811:TUS589812 UEK589811:UEO589812 UOG589811:UOK589812 UYC589811:UYG589812 VHY589811:VIC589812 VRU589811:VRY589812 WBQ589811:WBU589812 WLM589811:WLQ589812 WVI589811:WVM589812 D655347:H655348 IW655347:JA655348 SS655347:SW655348 ACO655347:ACS655348 AMK655347:AMO655348 AWG655347:AWK655348 BGC655347:BGG655348 BPY655347:BQC655348 BZU655347:BZY655348 CJQ655347:CJU655348 CTM655347:CTQ655348 DDI655347:DDM655348 DNE655347:DNI655348 DXA655347:DXE655348 EGW655347:EHA655348 EQS655347:EQW655348 FAO655347:FAS655348 FKK655347:FKO655348 FUG655347:FUK655348 GEC655347:GEG655348 GNY655347:GOC655348 GXU655347:GXY655348 HHQ655347:HHU655348 HRM655347:HRQ655348 IBI655347:IBM655348 ILE655347:ILI655348 IVA655347:IVE655348 JEW655347:JFA655348 JOS655347:JOW655348 JYO655347:JYS655348 KIK655347:KIO655348 KSG655347:KSK655348 LCC655347:LCG655348 LLY655347:LMC655348 LVU655347:LVY655348 MFQ655347:MFU655348 MPM655347:MPQ655348 MZI655347:MZM655348 NJE655347:NJI655348 NTA655347:NTE655348 OCW655347:ODA655348 OMS655347:OMW655348 OWO655347:OWS655348 PGK655347:PGO655348 PQG655347:PQK655348 QAC655347:QAG655348 QJY655347:QKC655348 QTU655347:QTY655348 RDQ655347:RDU655348 RNM655347:RNQ655348 RXI655347:RXM655348 SHE655347:SHI655348 SRA655347:SRE655348 TAW655347:TBA655348 TKS655347:TKW655348 TUO655347:TUS655348 UEK655347:UEO655348 UOG655347:UOK655348 UYC655347:UYG655348 VHY655347:VIC655348 VRU655347:VRY655348 WBQ655347:WBU655348 WLM655347:WLQ655348 WVI655347:WVM655348 D720883:H720884 IW720883:JA720884 SS720883:SW720884 ACO720883:ACS720884 AMK720883:AMO720884 AWG720883:AWK720884 BGC720883:BGG720884 BPY720883:BQC720884 BZU720883:BZY720884 CJQ720883:CJU720884 CTM720883:CTQ720884 DDI720883:DDM720884 DNE720883:DNI720884 DXA720883:DXE720884 EGW720883:EHA720884 EQS720883:EQW720884 FAO720883:FAS720884 FKK720883:FKO720884 FUG720883:FUK720884 GEC720883:GEG720884 GNY720883:GOC720884 GXU720883:GXY720884 HHQ720883:HHU720884 HRM720883:HRQ720884 IBI720883:IBM720884 ILE720883:ILI720884 IVA720883:IVE720884 JEW720883:JFA720884 JOS720883:JOW720884 JYO720883:JYS720884 KIK720883:KIO720884 KSG720883:KSK720884 LCC720883:LCG720884 LLY720883:LMC720884 LVU720883:LVY720884 MFQ720883:MFU720884 MPM720883:MPQ720884 MZI720883:MZM720884 NJE720883:NJI720884 NTA720883:NTE720884 OCW720883:ODA720884 OMS720883:OMW720884 OWO720883:OWS720884 PGK720883:PGO720884 PQG720883:PQK720884 QAC720883:QAG720884 QJY720883:QKC720884 QTU720883:QTY720884 RDQ720883:RDU720884 RNM720883:RNQ720884 RXI720883:RXM720884 SHE720883:SHI720884 SRA720883:SRE720884 TAW720883:TBA720884 TKS720883:TKW720884 TUO720883:TUS720884 UEK720883:UEO720884 UOG720883:UOK720884 UYC720883:UYG720884 VHY720883:VIC720884 VRU720883:VRY720884 WBQ720883:WBU720884 WLM720883:WLQ720884 WVI720883:WVM720884 D786419:H786420 IW786419:JA786420 SS786419:SW786420 ACO786419:ACS786420 AMK786419:AMO786420 AWG786419:AWK786420 BGC786419:BGG786420 BPY786419:BQC786420 BZU786419:BZY786420 CJQ786419:CJU786420 CTM786419:CTQ786420 DDI786419:DDM786420 DNE786419:DNI786420 DXA786419:DXE786420 EGW786419:EHA786420 EQS786419:EQW786420 FAO786419:FAS786420 FKK786419:FKO786420 FUG786419:FUK786420 GEC786419:GEG786420 GNY786419:GOC786420 GXU786419:GXY786420 HHQ786419:HHU786420 HRM786419:HRQ786420 IBI786419:IBM786420 ILE786419:ILI786420 IVA786419:IVE786420 JEW786419:JFA786420 JOS786419:JOW786420 JYO786419:JYS786420 KIK786419:KIO786420 KSG786419:KSK786420 LCC786419:LCG786420 LLY786419:LMC786420 LVU786419:LVY786420 MFQ786419:MFU786420 MPM786419:MPQ786420 MZI786419:MZM786420 NJE786419:NJI786420 NTA786419:NTE786420 OCW786419:ODA786420 OMS786419:OMW786420 OWO786419:OWS786420 PGK786419:PGO786420 PQG786419:PQK786420 QAC786419:QAG786420 QJY786419:QKC786420 QTU786419:QTY786420 RDQ786419:RDU786420 RNM786419:RNQ786420 RXI786419:RXM786420 SHE786419:SHI786420 SRA786419:SRE786420 TAW786419:TBA786420 TKS786419:TKW786420 TUO786419:TUS786420 UEK786419:UEO786420 UOG786419:UOK786420 UYC786419:UYG786420 VHY786419:VIC786420 VRU786419:VRY786420 WBQ786419:WBU786420 WLM786419:WLQ786420 WVI786419:WVM786420 D851955:H851956 IW851955:JA851956 SS851955:SW851956 ACO851955:ACS851956 AMK851955:AMO851956 AWG851955:AWK851956 BGC851955:BGG851956 BPY851955:BQC851956 BZU851955:BZY851956 CJQ851955:CJU851956 CTM851955:CTQ851956 DDI851955:DDM851956 DNE851955:DNI851956 DXA851955:DXE851956 EGW851955:EHA851956 EQS851955:EQW851956 FAO851955:FAS851956 FKK851955:FKO851956 FUG851955:FUK851956 GEC851955:GEG851956 GNY851955:GOC851956 GXU851955:GXY851956 HHQ851955:HHU851956 HRM851955:HRQ851956 IBI851955:IBM851956 ILE851955:ILI851956 IVA851955:IVE851956 JEW851955:JFA851956 JOS851955:JOW851956 JYO851955:JYS851956 KIK851955:KIO851956 KSG851955:KSK851956 LCC851955:LCG851956 LLY851955:LMC851956 LVU851955:LVY851956 MFQ851955:MFU851956 MPM851955:MPQ851956 MZI851955:MZM851956 NJE851955:NJI851956 NTA851955:NTE851956 OCW851955:ODA851956 OMS851955:OMW851956 OWO851955:OWS851956 PGK851955:PGO851956 PQG851955:PQK851956 QAC851955:QAG851956 QJY851955:QKC851956 QTU851955:QTY851956 RDQ851955:RDU851956 RNM851955:RNQ851956 RXI851955:RXM851956 SHE851955:SHI851956 SRA851955:SRE851956 TAW851955:TBA851956 TKS851955:TKW851956 TUO851955:TUS851956 UEK851955:UEO851956 UOG851955:UOK851956 UYC851955:UYG851956 VHY851955:VIC851956 VRU851955:VRY851956 WBQ851955:WBU851956 WLM851955:WLQ851956 WVI851955:WVM851956 D917491:H917492 IW917491:JA917492 SS917491:SW917492 ACO917491:ACS917492 AMK917491:AMO917492 AWG917491:AWK917492 BGC917491:BGG917492 BPY917491:BQC917492 BZU917491:BZY917492 CJQ917491:CJU917492 CTM917491:CTQ917492 DDI917491:DDM917492 DNE917491:DNI917492 DXA917491:DXE917492 EGW917491:EHA917492 EQS917491:EQW917492 FAO917491:FAS917492 FKK917491:FKO917492 FUG917491:FUK917492 GEC917491:GEG917492 GNY917491:GOC917492 GXU917491:GXY917492 HHQ917491:HHU917492 HRM917491:HRQ917492 IBI917491:IBM917492 ILE917491:ILI917492 IVA917491:IVE917492 JEW917491:JFA917492 JOS917491:JOW917492 JYO917491:JYS917492 KIK917491:KIO917492 KSG917491:KSK917492 LCC917491:LCG917492 LLY917491:LMC917492 LVU917491:LVY917492 MFQ917491:MFU917492 MPM917491:MPQ917492 MZI917491:MZM917492 NJE917491:NJI917492 NTA917491:NTE917492 OCW917491:ODA917492 OMS917491:OMW917492 OWO917491:OWS917492 PGK917491:PGO917492 PQG917491:PQK917492 QAC917491:QAG917492 QJY917491:QKC917492 QTU917491:QTY917492 RDQ917491:RDU917492 RNM917491:RNQ917492 RXI917491:RXM917492 SHE917491:SHI917492 SRA917491:SRE917492 TAW917491:TBA917492 TKS917491:TKW917492 TUO917491:TUS917492 UEK917491:UEO917492 UOG917491:UOK917492 UYC917491:UYG917492 VHY917491:VIC917492 VRU917491:VRY917492 WBQ917491:WBU917492 WLM917491:WLQ917492 WVI917491:WVM917492 D983027:H983028 IW983027:JA983028 SS983027:SW983028 ACO983027:ACS983028 AMK983027:AMO983028 AWG983027:AWK983028 BGC983027:BGG983028 BPY983027:BQC983028 BZU983027:BZY983028 CJQ983027:CJU983028 CTM983027:CTQ983028 DDI983027:DDM983028 DNE983027:DNI983028 DXA983027:DXE983028 EGW983027:EHA983028 EQS983027:EQW983028 FAO983027:FAS983028 FKK983027:FKO983028 FUG983027:FUK983028 GEC983027:GEG983028 GNY983027:GOC983028 GXU983027:GXY983028 HHQ983027:HHU983028 HRM983027:HRQ983028 IBI983027:IBM983028 ILE983027:ILI983028 IVA983027:IVE983028 JEW983027:JFA983028 JOS983027:JOW983028 JYO983027:JYS983028 KIK983027:KIO983028 KSG983027:KSK983028 LCC983027:LCG983028 LLY983027:LMC983028 LVU983027:LVY983028 MFQ983027:MFU983028 MPM983027:MPQ983028 MZI983027:MZM983028 NJE983027:NJI983028 NTA983027:NTE983028 OCW983027:ODA983028 OMS983027:OMW983028 OWO983027:OWS983028 PGK983027:PGO983028 PQG983027:PQK983028 QAC983027:QAG983028 QJY983027:QKC983028 QTU983027:QTY983028 RDQ983027:RDU983028 RNM983027:RNQ983028 RXI983027:RXM983028 SHE983027:SHI983028 SRA983027:SRE983028 TAW983027:TBA983028 TKS983027:TKW983028 TUO983027:TUS983028 UEK983027:UEO983028 UOG983027:UOK983028 UYC983027:UYG983028 VHY983027:VIC983028 VRU983027:VRY983028 WBQ983027:WBU983028 WLM983027:WLQ983028 WVI983027:WVM983028 D65527:K65539 IW65527:JD65539 SS65527:SZ65539 ACO65527:ACV65539 AMK65527:AMR65539 AWG65527:AWN65539 BGC65527:BGJ65539 BPY65527:BQF65539 BZU65527:CAB65539 CJQ65527:CJX65539 CTM65527:CTT65539 DDI65527:DDP65539 DNE65527:DNL65539 DXA65527:DXH65539 EGW65527:EHD65539 EQS65527:EQZ65539 FAO65527:FAV65539 FKK65527:FKR65539 FUG65527:FUN65539 GEC65527:GEJ65539 GNY65527:GOF65539 GXU65527:GYB65539 HHQ65527:HHX65539 HRM65527:HRT65539 IBI65527:IBP65539 ILE65527:ILL65539 IVA65527:IVH65539 JEW65527:JFD65539 JOS65527:JOZ65539 JYO65527:JYV65539 KIK65527:KIR65539 KSG65527:KSN65539 LCC65527:LCJ65539 LLY65527:LMF65539 LVU65527:LWB65539 MFQ65527:MFX65539 MPM65527:MPT65539 MZI65527:MZP65539 NJE65527:NJL65539 NTA65527:NTH65539 OCW65527:ODD65539 OMS65527:OMZ65539 OWO65527:OWV65539 PGK65527:PGR65539 PQG65527:PQN65539 QAC65527:QAJ65539 QJY65527:QKF65539 QTU65527:QUB65539 RDQ65527:RDX65539 RNM65527:RNT65539 RXI65527:RXP65539 SHE65527:SHL65539 SRA65527:SRH65539 TAW65527:TBD65539 TKS65527:TKZ65539 TUO65527:TUV65539 UEK65527:UER65539 UOG65527:UON65539 UYC65527:UYJ65539 VHY65527:VIF65539 VRU65527:VSB65539 WBQ65527:WBX65539 WLM65527:WLT65539 WVI65527:WVP65539 D131063:K131075 IW131063:JD131075 SS131063:SZ131075 ACO131063:ACV131075 AMK131063:AMR131075 AWG131063:AWN131075 BGC131063:BGJ131075 BPY131063:BQF131075 BZU131063:CAB131075 CJQ131063:CJX131075 CTM131063:CTT131075 DDI131063:DDP131075 DNE131063:DNL131075 DXA131063:DXH131075 EGW131063:EHD131075 EQS131063:EQZ131075 FAO131063:FAV131075 FKK131063:FKR131075 FUG131063:FUN131075 GEC131063:GEJ131075 GNY131063:GOF131075 GXU131063:GYB131075 HHQ131063:HHX131075 HRM131063:HRT131075 IBI131063:IBP131075 ILE131063:ILL131075 IVA131063:IVH131075 JEW131063:JFD131075 JOS131063:JOZ131075 JYO131063:JYV131075 KIK131063:KIR131075 KSG131063:KSN131075 LCC131063:LCJ131075 LLY131063:LMF131075 LVU131063:LWB131075 MFQ131063:MFX131075 MPM131063:MPT131075 MZI131063:MZP131075 NJE131063:NJL131075 NTA131063:NTH131075 OCW131063:ODD131075 OMS131063:OMZ131075 OWO131063:OWV131075 PGK131063:PGR131075 PQG131063:PQN131075 QAC131063:QAJ131075 QJY131063:QKF131075 QTU131063:QUB131075 RDQ131063:RDX131075 RNM131063:RNT131075 RXI131063:RXP131075 SHE131063:SHL131075 SRA131063:SRH131075 TAW131063:TBD131075 TKS131063:TKZ131075 TUO131063:TUV131075 UEK131063:UER131075 UOG131063:UON131075 UYC131063:UYJ131075 VHY131063:VIF131075 VRU131063:VSB131075 WBQ131063:WBX131075 WLM131063:WLT131075 WVI131063:WVP131075 D196599:K196611 IW196599:JD196611 SS196599:SZ196611 ACO196599:ACV196611 AMK196599:AMR196611 AWG196599:AWN196611 BGC196599:BGJ196611 BPY196599:BQF196611 BZU196599:CAB196611 CJQ196599:CJX196611 CTM196599:CTT196611 DDI196599:DDP196611 DNE196599:DNL196611 DXA196599:DXH196611 EGW196599:EHD196611 EQS196599:EQZ196611 FAO196599:FAV196611 FKK196599:FKR196611 FUG196599:FUN196611 GEC196599:GEJ196611 GNY196599:GOF196611 GXU196599:GYB196611 HHQ196599:HHX196611 HRM196599:HRT196611 IBI196599:IBP196611 ILE196599:ILL196611 IVA196599:IVH196611 JEW196599:JFD196611 JOS196599:JOZ196611 JYO196599:JYV196611 KIK196599:KIR196611 KSG196599:KSN196611 LCC196599:LCJ196611 LLY196599:LMF196611 LVU196599:LWB196611 MFQ196599:MFX196611 MPM196599:MPT196611 MZI196599:MZP196611 NJE196599:NJL196611 NTA196599:NTH196611 OCW196599:ODD196611 OMS196599:OMZ196611 OWO196599:OWV196611 PGK196599:PGR196611 PQG196599:PQN196611 QAC196599:QAJ196611 QJY196599:QKF196611 QTU196599:QUB196611 RDQ196599:RDX196611 RNM196599:RNT196611 RXI196599:RXP196611 SHE196599:SHL196611 SRA196599:SRH196611 TAW196599:TBD196611 TKS196599:TKZ196611 TUO196599:TUV196611 UEK196599:UER196611 UOG196599:UON196611 UYC196599:UYJ196611 VHY196599:VIF196611 VRU196599:VSB196611 WBQ196599:WBX196611 WLM196599:WLT196611 WVI196599:WVP196611 D262135:K262147 IW262135:JD262147 SS262135:SZ262147 ACO262135:ACV262147 AMK262135:AMR262147 AWG262135:AWN262147 BGC262135:BGJ262147 BPY262135:BQF262147 BZU262135:CAB262147 CJQ262135:CJX262147 CTM262135:CTT262147 DDI262135:DDP262147 DNE262135:DNL262147 DXA262135:DXH262147 EGW262135:EHD262147 EQS262135:EQZ262147 FAO262135:FAV262147 FKK262135:FKR262147 FUG262135:FUN262147 GEC262135:GEJ262147 GNY262135:GOF262147 GXU262135:GYB262147 HHQ262135:HHX262147 HRM262135:HRT262147 IBI262135:IBP262147 ILE262135:ILL262147 IVA262135:IVH262147 JEW262135:JFD262147 JOS262135:JOZ262147 JYO262135:JYV262147 KIK262135:KIR262147 KSG262135:KSN262147 LCC262135:LCJ262147 LLY262135:LMF262147 LVU262135:LWB262147 MFQ262135:MFX262147 MPM262135:MPT262147 MZI262135:MZP262147 NJE262135:NJL262147 NTA262135:NTH262147 OCW262135:ODD262147 OMS262135:OMZ262147 OWO262135:OWV262147 PGK262135:PGR262147 PQG262135:PQN262147 QAC262135:QAJ262147 QJY262135:QKF262147 QTU262135:QUB262147 RDQ262135:RDX262147 RNM262135:RNT262147 RXI262135:RXP262147 SHE262135:SHL262147 SRA262135:SRH262147 TAW262135:TBD262147 TKS262135:TKZ262147 TUO262135:TUV262147 UEK262135:UER262147 UOG262135:UON262147 UYC262135:UYJ262147 VHY262135:VIF262147 VRU262135:VSB262147 WBQ262135:WBX262147 WLM262135:WLT262147 WVI262135:WVP262147 D327671:K327683 IW327671:JD327683 SS327671:SZ327683 ACO327671:ACV327683 AMK327671:AMR327683 AWG327671:AWN327683 BGC327671:BGJ327683 BPY327671:BQF327683 BZU327671:CAB327683 CJQ327671:CJX327683 CTM327671:CTT327683 DDI327671:DDP327683 DNE327671:DNL327683 DXA327671:DXH327683 EGW327671:EHD327683 EQS327671:EQZ327683 FAO327671:FAV327683 FKK327671:FKR327683 FUG327671:FUN327683 GEC327671:GEJ327683 GNY327671:GOF327683 GXU327671:GYB327683 HHQ327671:HHX327683 HRM327671:HRT327683 IBI327671:IBP327683 ILE327671:ILL327683 IVA327671:IVH327683 JEW327671:JFD327683 JOS327671:JOZ327683 JYO327671:JYV327683 KIK327671:KIR327683 KSG327671:KSN327683 LCC327671:LCJ327683 LLY327671:LMF327683 LVU327671:LWB327683 MFQ327671:MFX327683 MPM327671:MPT327683 MZI327671:MZP327683 NJE327671:NJL327683 NTA327671:NTH327683 OCW327671:ODD327683 OMS327671:OMZ327683 OWO327671:OWV327683 PGK327671:PGR327683 PQG327671:PQN327683 QAC327671:QAJ327683 QJY327671:QKF327683 QTU327671:QUB327683 RDQ327671:RDX327683 RNM327671:RNT327683 RXI327671:RXP327683 SHE327671:SHL327683 SRA327671:SRH327683 TAW327671:TBD327683 TKS327671:TKZ327683 TUO327671:TUV327683 UEK327671:UER327683 UOG327671:UON327683 UYC327671:UYJ327683 VHY327671:VIF327683 VRU327671:VSB327683 WBQ327671:WBX327683 WLM327671:WLT327683 WVI327671:WVP327683 D393207:K393219 IW393207:JD393219 SS393207:SZ393219 ACO393207:ACV393219 AMK393207:AMR393219 AWG393207:AWN393219 BGC393207:BGJ393219 BPY393207:BQF393219 BZU393207:CAB393219 CJQ393207:CJX393219 CTM393207:CTT393219 DDI393207:DDP393219 DNE393207:DNL393219 DXA393207:DXH393219 EGW393207:EHD393219 EQS393207:EQZ393219 FAO393207:FAV393219 FKK393207:FKR393219 FUG393207:FUN393219 GEC393207:GEJ393219 GNY393207:GOF393219 GXU393207:GYB393219 HHQ393207:HHX393219 HRM393207:HRT393219 IBI393207:IBP393219 ILE393207:ILL393219 IVA393207:IVH393219 JEW393207:JFD393219 JOS393207:JOZ393219 JYO393207:JYV393219 KIK393207:KIR393219 KSG393207:KSN393219 LCC393207:LCJ393219 LLY393207:LMF393219 LVU393207:LWB393219 MFQ393207:MFX393219 MPM393207:MPT393219 MZI393207:MZP393219 NJE393207:NJL393219 NTA393207:NTH393219 OCW393207:ODD393219 OMS393207:OMZ393219 OWO393207:OWV393219 PGK393207:PGR393219 PQG393207:PQN393219 QAC393207:QAJ393219 QJY393207:QKF393219 QTU393207:QUB393219 RDQ393207:RDX393219 RNM393207:RNT393219 RXI393207:RXP393219 SHE393207:SHL393219 SRA393207:SRH393219 TAW393207:TBD393219 TKS393207:TKZ393219 TUO393207:TUV393219 UEK393207:UER393219 UOG393207:UON393219 UYC393207:UYJ393219 VHY393207:VIF393219 VRU393207:VSB393219 WBQ393207:WBX393219 WLM393207:WLT393219 WVI393207:WVP393219 D458743:K458755 IW458743:JD458755 SS458743:SZ458755 ACO458743:ACV458755 AMK458743:AMR458755 AWG458743:AWN458755 BGC458743:BGJ458755 BPY458743:BQF458755 BZU458743:CAB458755 CJQ458743:CJX458755 CTM458743:CTT458755 DDI458743:DDP458755 DNE458743:DNL458755 DXA458743:DXH458755 EGW458743:EHD458755 EQS458743:EQZ458755 FAO458743:FAV458755 FKK458743:FKR458755 FUG458743:FUN458755 GEC458743:GEJ458755 GNY458743:GOF458755 GXU458743:GYB458755 HHQ458743:HHX458755 HRM458743:HRT458755 IBI458743:IBP458755 ILE458743:ILL458755 IVA458743:IVH458755 JEW458743:JFD458755 JOS458743:JOZ458755 JYO458743:JYV458755 KIK458743:KIR458755 KSG458743:KSN458755 LCC458743:LCJ458755 LLY458743:LMF458755 LVU458743:LWB458755 MFQ458743:MFX458755 MPM458743:MPT458755 MZI458743:MZP458755 NJE458743:NJL458755 NTA458743:NTH458755 OCW458743:ODD458755 OMS458743:OMZ458755 OWO458743:OWV458755 PGK458743:PGR458755 PQG458743:PQN458755 QAC458743:QAJ458755 QJY458743:QKF458755 QTU458743:QUB458755 RDQ458743:RDX458755 RNM458743:RNT458755 RXI458743:RXP458755 SHE458743:SHL458755 SRA458743:SRH458755 TAW458743:TBD458755 TKS458743:TKZ458755 TUO458743:TUV458755 UEK458743:UER458755 UOG458743:UON458755 UYC458743:UYJ458755 VHY458743:VIF458755 VRU458743:VSB458755 WBQ458743:WBX458755 WLM458743:WLT458755 WVI458743:WVP458755 D524279:K524291 IW524279:JD524291 SS524279:SZ524291 ACO524279:ACV524291 AMK524279:AMR524291 AWG524279:AWN524291 BGC524279:BGJ524291 BPY524279:BQF524291 BZU524279:CAB524291 CJQ524279:CJX524291 CTM524279:CTT524291 DDI524279:DDP524291 DNE524279:DNL524291 DXA524279:DXH524291 EGW524279:EHD524291 EQS524279:EQZ524291 FAO524279:FAV524291 FKK524279:FKR524291 FUG524279:FUN524291 GEC524279:GEJ524291 GNY524279:GOF524291 GXU524279:GYB524291 HHQ524279:HHX524291 HRM524279:HRT524291 IBI524279:IBP524291 ILE524279:ILL524291 IVA524279:IVH524291 JEW524279:JFD524291 JOS524279:JOZ524291 JYO524279:JYV524291 KIK524279:KIR524291 KSG524279:KSN524291 LCC524279:LCJ524291 LLY524279:LMF524291 LVU524279:LWB524291 MFQ524279:MFX524291 MPM524279:MPT524291 MZI524279:MZP524291 NJE524279:NJL524291 NTA524279:NTH524291 OCW524279:ODD524291 OMS524279:OMZ524291 OWO524279:OWV524291 PGK524279:PGR524291 PQG524279:PQN524291 QAC524279:QAJ524291 QJY524279:QKF524291 QTU524279:QUB524291 RDQ524279:RDX524291 RNM524279:RNT524291 RXI524279:RXP524291 SHE524279:SHL524291 SRA524279:SRH524291 TAW524279:TBD524291 TKS524279:TKZ524291 TUO524279:TUV524291 UEK524279:UER524291 UOG524279:UON524291 UYC524279:UYJ524291 VHY524279:VIF524291 VRU524279:VSB524291 WBQ524279:WBX524291 WLM524279:WLT524291 WVI524279:WVP524291 D589815:K589827 IW589815:JD589827 SS589815:SZ589827 ACO589815:ACV589827 AMK589815:AMR589827 AWG589815:AWN589827 BGC589815:BGJ589827 BPY589815:BQF589827 BZU589815:CAB589827 CJQ589815:CJX589827 CTM589815:CTT589827 DDI589815:DDP589827 DNE589815:DNL589827 DXA589815:DXH589827 EGW589815:EHD589827 EQS589815:EQZ589827 FAO589815:FAV589827 FKK589815:FKR589827 FUG589815:FUN589827 GEC589815:GEJ589827 GNY589815:GOF589827 GXU589815:GYB589827 HHQ589815:HHX589827 HRM589815:HRT589827 IBI589815:IBP589827 ILE589815:ILL589827 IVA589815:IVH589827 JEW589815:JFD589827 JOS589815:JOZ589827 JYO589815:JYV589827 KIK589815:KIR589827 KSG589815:KSN589827 LCC589815:LCJ589827 LLY589815:LMF589827 LVU589815:LWB589827 MFQ589815:MFX589827 MPM589815:MPT589827 MZI589815:MZP589827 NJE589815:NJL589827 NTA589815:NTH589827 OCW589815:ODD589827 OMS589815:OMZ589827 OWO589815:OWV589827 PGK589815:PGR589827 PQG589815:PQN589827 QAC589815:QAJ589827 QJY589815:QKF589827 QTU589815:QUB589827 RDQ589815:RDX589827 RNM589815:RNT589827 RXI589815:RXP589827 SHE589815:SHL589827 SRA589815:SRH589827 TAW589815:TBD589827 TKS589815:TKZ589827 TUO589815:TUV589827 UEK589815:UER589827 UOG589815:UON589827 UYC589815:UYJ589827 VHY589815:VIF589827 VRU589815:VSB589827 WBQ589815:WBX589827 WLM589815:WLT589827 WVI589815:WVP589827 D655351:K655363 IW655351:JD655363 SS655351:SZ655363 ACO655351:ACV655363 AMK655351:AMR655363 AWG655351:AWN655363 BGC655351:BGJ655363 BPY655351:BQF655363 BZU655351:CAB655363 CJQ655351:CJX655363 CTM655351:CTT655363 DDI655351:DDP655363 DNE655351:DNL655363 DXA655351:DXH655363 EGW655351:EHD655363 EQS655351:EQZ655363 FAO655351:FAV655363 FKK655351:FKR655363 FUG655351:FUN655363 GEC655351:GEJ655363 GNY655351:GOF655363 GXU655351:GYB655363 HHQ655351:HHX655363 HRM655351:HRT655363 IBI655351:IBP655363 ILE655351:ILL655363 IVA655351:IVH655363 JEW655351:JFD655363 JOS655351:JOZ655363 JYO655351:JYV655363 KIK655351:KIR655363 KSG655351:KSN655363 LCC655351:LCJ655363 LLY655351:LMF655363 LVU655351:LWB655363 MFQ655351:MFX655363 MPM655351:MPT655363 MZI655351:MZP655363 NJE655351:NJL655363 NTA655351:NTH655363 OCW655351:ODD655363 OMS655351:OMZ655363 OWO655351:OWV655363 PGK655351:PGR655363 PQG655351:PQN655363 QAC655351:QAJ655363 QJY655351:QKF655363 QTU655351:QUB655363 RDQ655351:RDX655363 RNM655351:RNT655363 RXI655351:RXP655363 SHE655351:SHL655363 SRA655351:SRH655363 TAW655351:TBD655363 TKS655351:TKZ655363 TUO655351:TUV655363 UEK655351:UER655363 UOG655351:UON655363 UYC655351:UYJ655363 VHY655351:VIF655363 VRU655351:VSB655363 WBQ655351:WBX655363 WLM655351:WLT655363 WVI655351:WVP655363 D720887:K720899 IW720887:JD720899 SS720887:SZ720899 ACO720887:ACV720899 AMK720887:AMR720899 AWG720887:AWN720899 BGC720887:BGJ720899 BPY720887:BQF720899 BZU720887:CAB720899 CJQ720887:CJX720899 CTM720887:CTT720899 DDI720887:DDP720899 DNE720887:DNL720899 DXA720887:DXH720899 EGW720887:EHD720899 EQS720887:EQZ720899 FAO720887:FAV720899 FKK720887:FKR720899 FUG720887:FUN720899 GEC720887:GEJ720899 GNY720887:GOF720899 GXU720887:GYB720899 HHQ720887:HHX720899 HRM720887:HRT720899 IBI720887:IBP720899 ILE720887:ILL720899 IVA720887:IVH720899 JEW720887:JFD720899 JOS720887:JOZ720899 JYO720887:JYV720899 KIK720887:KIR720899 KSG720887:KSN720899 LCC720887:LCJ720899 LLY720887:LMF720899 LVU720887:LWB720899 MFQ720887:MFX720899 MPM720887:MPT720899 MZI720887:MZP720899 NJE720887:NJL720899 NTA720887:NTH720899 OCW720887:ODD720899 OMS720887:OMZ720899 OWO720887:OWV720899 PGK720887:PGR720899 PQG720887:PQN720899 QAC720887:QAJ720899 QJY720887:QKF720899 QTU720887:QUB720899 RDQ720887:RDX720899 RNM720887:RNT720899 RXI720887:RXP720899 SHE720887:SHL720899 SRA720887:SRH720899 TAW720887:TBD720899 TKS720887:TKZ720899 TUO720887:TUV720899 UEK720887:UER720899 UOG720887:UON720899 UYC720887:UYJ720899 VHY720887:VIF720899 VRU720887:VSB720899 WBQ720887:WBX720899 WLM720887:WLT720899 WVI720887:WVP720899 D786423:K786435 IW786423:JD786435 SS786423:SZ786435 ACO786423:ACV786435 AMK786423:AMR786435 AWG786423:AWN786435 BGC786423:BGJ786435 BPY786423:BQF786435 BZU786423:CAB786435 CJQ786423:CJX786435 CTM786423:CTT786435 DDI786423:DDP786435 DNE786423:DNL786435 DXA786423:DXH786435 EGW786423:EHD786435 EQS786423:EQZ786435 FAO786423:FAV786435 FKK786423:FKR786435 FUG786423:FUN786435 GEC786423:GEJ786435 GNY786423:GOF786435 GXU786423:GYB786435 HHQ786423:HHX786435 HRM786423:HRT786435 IBI786423:IBP786435 ILE786423:ILL786435 IVA786423:IVH786435 JEW786423:JFD786435 JOS786423:JOZ786435 JYO786423:JYV786435 KIK786423:KIR786435 KSG786423:KSN786435 LCC786423:LCJ786435 LLY786423:LMF786435 LVU786423:LWB786435 MFQ786423:MFX786435 MPM786423:MPT786435 MZI786423:MZP786435 NJE786423:NJL786435 NTA786423:NTH786435 OCW786423:ODD786435 OMS786423:OMZ786435 OWO786423:OWV786435 PGK786423:PGR786435 PQG786423:PQN786435 QAC786423:QAJ786435 QJY786423:QKF786435 QTU786423:QUB786435 RDQ786423:RDX786435 RNM786423:RNT786435 RXI786423:RXP786435 SHE786423:SHL786435 SRA786423:SRH786435 TAW786423:TBD786435 TKS786423:TKZ786435 TUO786423:TUV786435 UEK786423:UER786435 UOG786423:UON786435 UYC786423:UYJ786435 VHY786423:VIF786435 VRU786423:VSB786435 WBQ786423:WBX786435 WLM786423:WLT786435 WVI786423:WVP786435 D851959:K851971 IW851959:JD851971 SS851959:SZ851971 ACO851959:ACV851971 AMK851959:AMR851971 AWG851959:AWN851971 BGC851959:BGJ851971 BPY851959:BQF851971 BZU851959:CAB851971 CJQ851959:CJX851971 CTM851959:CTT851971 DDI851959:DDP851971 DNE851959:DNL851971 DXA851959:DXH851971 EGW851959:EHD851971 EQS851959:EQZ851971 FAO851959:FAV851971 FKK851959:FKR851971 FUG851959:FUN851971 GEC851959:GEJ851971 GNY851959:GOF851971 GXU851959:GYB851971 HHQ851959:HHX851971 HRM851959:HRT851971 IBI851959:IBP851971 ILE851959:ILL851971 IVA851959:IVH851971 JEW851959:JFD851971 JOS851959:JOZ851971 JYO851959:JYV851971 KIK851959:KIR851971 KSG851959:KSN851971 LCC851959:LCJ851971 LLY851959:LMF851971 LVU851959:LWB851971 MFQ851959:MFX851971 MPM851959:MPT851971 MZI851959:MZP851971 NJE851959:NJL851971 NTA851959:NTH851971 OCW851959:ODD851971 OMS851959:OMZ851971 OWO851959:OWV851971 PGK851959:PGR851971 PQG851959:PQN851971 QAC851959:QAJ851971 QJY851959:QKF851971 QTU851959:QUB851971 RDQ851959:RDX851971 RNM851959:RNT851971 RXI851959:RXP851971 SHE851959:SHL851971 SRA851959:SRH851971 TAW851959:TBD851971 TKS851959:TKZ851971 TUO851959:TUV851971 UEK851959:UER851971 UOG851959:UON851971 UYC851959:UYJ851971 VHY851959:VIF851971 VRU851959:VSB851971 WBQ851959:WBX851971 WLM851959:WLT851971 WVI851959:WVP851971 D917495:K917507 IW917495:JD917507 SS917495:SZ917507 ACO917495:ACV917507 AMK917495:AMR917507 AWG917495:AWN917507 BGC917495:BGJ917507 BPY917495:BQF917507 BZU917495:CAB917507 CJQ917495:CJX917507 CTM917495:CTT917507 DDI917495:DDP917507 DNE917495:DNL917507 DXA917495:DXH917507 EGW917495:EHD917507 EQS917495:EQZ917507 FAO917495:FAV917507 FKK917495:FKR917507 FUG917495:FUN917507 GEC917495:GEJ917507 GNY917495:GOF917507 GXU917495:GYB917507 HHQ917495:HHX917507 HRM917495:HRT917507 IBI917495:IBP917507 ILE917495:ILL917507 IVA917495:IVH917507 JEW917495:JFD917507 JOS917495:JOZ917507 JYO917495:JYV917507 KIK917495:KIR917507 KSG917495:KSN917507 LCC917495:LCJ917507 LLY917495:LMF917507 LVU917495:LWB917507 MFQ917495:MFX917507 MPM917495:MPT917507 MZI917495:MZP917507 NJE917495:NJL917507 NTA917495:NTH917507 OCW917495:ODD917507 OMS917495:OMZ917507 OWO917495:OWV917507 PGK917495:PGR917507 PQG917495:PQN917507 QAC917495:QAJ917507 QJY917495:QKF917507 QTU917495:QUB917507 RDQ917495:RDX917507 RNM917495:RNT917507 RXI917495:RXP917507 SHE917495:SHL917507 SRA917495:SRH917507 TAW917495:TBD917507 TKS917495:TKZ917507 TUO917495:TUV917507 UEK917495:UER917507 UOG917495:UON917507 UYC917495:UYJ917507 VHY917495:VIF917507 VRU917495:VSB917507 WBQ917495:WBX917507 WLM917495:WLT917507 WVI917495:WVP917507 D983031:K983043 IW983031:JD983043 SS983031:SZ983043 ACO983031:ACV983043 AMK983031:AMR983043 AWG983031:AWN983043 BGC983031:BGJ983043 BPY983031:BQF983043 BZU983031:CAB983043 CJQ983031:CJX983043 CTM983031:CTT983043 DDI983031:DDP983043 DNE983031:DNL983043 DXA983031:DXH983043 EGW983031:EHD983043 EQS983031:EQZ983043 FAO983031:FAV983043 FKK983031:FKR983043 FUG983031:FUN983043 GEC983031:GEJ983043 GNY983031:GOF983043 GXU983031:GYB983043 HHQ983031:HHX983043 HRM983031:HRT983043 IBI983031:IBP983043 ILE983031:ILL983043 IVA983031:IVH983043 JEW983031:JFD983043 JOS983031:JOZ983043 JYO983031:JYV983043 KIK983031:KIR983043 KSG983031:KSN983043 LCC983031:LCJ983043 LLY983031:LMF983043 LVU983031:LWB983043 MFQ983031:MFX983043 MPM983031:MPT983043 MZI983031:MZP983043 NJE983031:NJL983043 NTA983031:NTH983043 OCW983031:ODD983043 OMS983031:OMZ983043 OWO983031:OWV983043 PGK983031:PGR983043 PQG983031:PQN983043 QAC983031:QAJ983043 QJY983031:QKF983043 QTU983031:QUB983043 RDQ983031:RDX983043 RNM983031:RNT983043 RXI983031:RXP983043 SHE983031:SHL983043 SRA983031:SRH983043 TAW983031:TBD983043 TKS983031:TKZ983043 TUO983031:TUV983043 UEK983031:UER983043 UOG983031:UON983043 UYC983031:UYJ983043 VHY983031:VIF983043 VRU983031:VSB983043 WBQ983031:WBX983043 WLM983031:WLT983043 WVI983031:WVP983043 D65508:J65509 IW65508:JC65509 SS65508:SY65509 ACO65508:ACU65509 AMK65508:AMQ65509 AWG65508:AWM65509 BGC65508:BGI65509 BPY65508:BQE65509 BZU65508:CAA65509 CJQ65508:CJW65509 CTM65508:CTS65509 DDI65508:DDO65509 DNE65508:DNK65509 DXA65508:DXG65509 EGW65508:EHC65509 EQS65508:EQY65509 FAO65508:FAU65509 FKK65508:FKQ65509 FUG65508:FUM65509 GEC65508:GEI65509 GNY65508:GOE65509 GXU65508:GYA65509 HHQ65508:HHW65509 HRM65508:HRS65509 IBI65508:IBO65509 ILE65508:ILK65509 IVA65508:IVG65509 JEW65508:JFC65509 JOS65508:JOY65509 JYO65508:JYU65509 KIK65508:KIQ65509 KSG65508:KSM65509 LCC65508:LCI65509 LLY65508:LME65509 LVU65508:LWA65509 MFQ65508:MFW65509 MPM65508:MPS65509 MZI65508:MZO65509 NJE65508:NJK65509 NTA65508:NTG65509 OCW65508:ODC65509 OMS65508:OMY65509 OWO65508:OWU65509 PGK65508:PGQ65509 PQG65508:PQM65509 QAC65508:QAI65509 QJY65508:QKE65509 QTU65508:QUA65509 RDQ65508:RDW65509 RNM65508:RNS65509 RXI65508:RXO65509 SHE65508:SHK65509 SRA65508:SRG65509 TAW65508:TBC65509 TKS65508:TKY65509 TUO65508:TUU65509 UEK65508:UEQ65509 UOG65508:UOM65509 UYC65508:UYI65509 VHY65508:VIE65509 VRU65508:VSA65509 WBQ65508:WBW65509 WLM65508:WLS65509 WVI65508:WVO65509 D131044:J131045 IW131044:JC131045 SS131044:SY131045 ACO131044:ACU131045 AMK131044:AMQ131045 AWG131044:AWM131045 BGC131044:BGI131045 BPY131044:BQE131045 BZU131044:CAA131045 CJQ131044:CJW131045 CTM131044:CTS131045 DDI131044:DDO131045 DNE131044:DNK131045 DXA131044:DXG131045 EGW131044:EHC131045 EQS131044:EQY131045 FAO131044:FAU131045 FKK131044:FKQ131045 FUG131044:FUM131045 GEC131044:GEI131045 GNY131044:GOE131045 GXU131044:GYA131045 HHQ131044:HHW131045 HRM131044:HRS131045 IBI131044:IBO131045 ILE131044:ILK131045 IVA131044:IVG131045 JEW131044:JFC131045 JOS131044:JOY131045 JYO131044:JYU131045 KIK131044:KIQ131045 KSG131044:KSM131045 LCC131044:LCI131045 LLY131044:LME131045 LVU131044:LWA131045 MFQ131044:MFW131045 MPM131044:MPS131045 MZI131044:MZO131045 NJE131044:NJK131045 NTA131044:NTG131045 OCW131044:ODC131045 OMS131044:OMY131045 OWO131044:OWU131045 PGK131044:PGQ131045 PQG131044:PQM131045 QAC131044:QAI131045 QJY131044:QKE131045 QTU131044:QUA131045 RDQ131044:RDW131045 RNM131044:RNS131045 RXI131044:RXO131045 SHE131044:SHK131045 SRA131044:SRG131045 TAW131044:TBC131045 TKS131044:TKY131045 TUO131044:TUU131045 UEK131044:UEQ131045 UOG131044:UOM131045 UYC131044:UYI131045 VHY131044:VIE131045 VRU131044:VSA131045 WBQ131044:WBW131045 WLM131044:WLS131045 WVI131044:WVO131045 D196580:J196581 IW196580:JC196581 SS196580:SY196581 ACO196580:ACU196581 AMK196580:AMQ196581 AWG196580:AWM196581 BGC196580:BGI196581 BPY196580:BQE196581 BZU196580:CAA196581 CJQ196580:CJW196581 CTM196580:CTS196581 DDI196580:DDO196581 DNE196580:DNK196581 DXA196580:DXG196581 EGW196580:EHC196581 EQS196580:EQY196581 FAO196580:FAU196581 FKK196580:FKQ196581 FUG196580:FUM196581 GEC196580:GEI196581 GNY196580:GOE196581 GXU196580:GYA196581 HHQ196580:HHW196581 HRM196580:HRS196581 IBI196580:IBO196581 ILE196580:ILK196581 IVA196580:IVG196581 JEW196580:JFC196581 JOS196580:JOY196581 JYO196580:JYU196581 KIK196580:KIQ196581 KSG196580:KSM196581 LCC196580:LCI196581 LLY196580:LME196581 LVU196580:LWA196581 MFQ196580:MFW196581 MPM196580:MPS196581 MZI196580:MZO196581 NJE196580:NJK196581 NTA196580:NTG196581 OCW196580:ODC196581 OMS196580:OMY196581 OWO196580:OWU196581 PGK196580:PGQ196581 PQG196580:PQM196581 QAC196580:QAI196581 QJY196580:QKE196581 QTU196580:QUA196581 RDQ196580:RDW196581 RNM196580:RNS196581 RXI196580:RXO196581 SHE196580:SHK196581 SRA196580:SRG196581 TAW196580:TBC196581 TKS196580:TKY196581 TUO196580:TUU196581 UEK196580:UEQ196581 UOG196580:UOM196581 UYC196580:UYI196581 VHY196580:VIE196581 VRU196580:VSA196581 WBQ196580:WBW196581 WLM196580:WLS196581 WVI196580:WVO196581 D262116:J262117 IW262116:JC262117 SS262116:SY262117 ACO262116:ACU262117 AMK262116:AMQ262117 AWG262116:AWM262117 BGC262116:BGI262117 BPY262116:BQE262117 BZU262116:CAA262117 CJQ262116:CJW262117 CTM262116:CTS262117 DDI262116:DDO262117 DNE262116:DNK262117 DXA262116:DXG262117 EGW262116:EHC262117 EQS262116:EQY262117 FAO262116:FAU262117 FKK262116:FKQ262117 FUG262116:FUM262117 GEC262116:GEI262117 GNY262116:GOE262117 GXU262116:GYA262117 HHQ262116:HHW262117 HRM262116:HRS262117 IBI262116:IBO262117 ILE262116:ILK262117 IVA262116:IVG262117 JEW262116:JFC262117 JOS262116:JOY262117 JYO262116:JYU262117 KIK262116:KIQ262117 KSG262116:KSM262117 LCC262116:LCI262117 LLY262116:LME262117 LVU262116:LWA262117 MFQ262116:MFW262117 MPM262116:MPS262117 MZI262116:MZO262117 NJE262116:NJK262117 NTA262116:NTG262117 OCW262116:ODC262117 OMS262116:OMY262117 OWO262116:OWU262117 PGK262116:PGQ262117 PQG262116:PQM262117 QAC262116:QAI262117 QJY262116:QKE262117 QTU262116:QUA262117 RDQ262116:RDW262117 RNM262116:RNS262117 RXI262116:RXO262117 SHE262116:SHK262117 SRA262116:SRG262117 TAW262116:TBC262117 TKS262116:TKY262117 TUO262116:TUU262117 UEK262116:UEQ262117 UOG262116:UOM262117 UYC262116:UYI262117 VHY262116:VIE262117 VRU262116:VSA262117 WBQ262116:WBW262117 WLM262116:WLS262117 WVI262116:WVO262117 D327652:J327653 IW327652:JC327653 SS327652:SY327653 ACO327652:ACU327653 AMK327652:AMQ327653 AWG327652:AWM327653 BGC327652:BGI327653 BPY327652:BQE327653 BZU327652:CAA327653 CJQ327652:CJW327653 CTM327652:CTS327653 DDI327652:DDO327653 DNE327652:DNK327653 DXA327652:DXG327653 EGW327652:EHC327653 EQS327652:EQY327653 FAO327652:FAU327653 FKK327652:FKQ327653 FUG327652:FUM327653 GEC327652:GEI327653 GNY327652:GOE327653 GXU327652:GYA327653 HHQ327652:HHW327653 HRM327652:HRS327653 IBI327652:IBO327653 ILE327652:ILK327653 IVA327652:IVG327653 JEW327652:JFC327653 JOS327652:JOY327653 JYO327652:JYU327653 KIK327652:KIQ327653 KSG327652:KSM327653 LCC327652:LCI327653 LLY327652:LME327653 LVU327652:LWA327653 MFQ327652:MFW327653 MPM327652:MPS327653 MZI327652:MZO327653 NJE327652:NJK327653 NTA327652:NTG327653 OCW327652:ODC327653 OMS327652:OMY327653 OWO327652:OWU327653 PGK327652:PGQ327653 PQG327652:PQM327653 QAC327652:QAI327653 QJY327652:QKE327653 QTU327652:QUA327653 RDQ327652:RDW327653 RNM327652:RNS327653 RXI327652:RXO327653 SHE327652:SHK327653 SRA327652:SRG327653 TAW327652:TBC327653 TKS327652:TKY327653 TUO327652:TUU327653 UEK327652:UEQ327653 UOG327652:UOM327653 UYC327652:UYI327653 VHY327652:VIE327653 VRU327652:VSA327653 WBQ327652:WBW327653 WLM327652:WLS327653 WVI327652:WVO327653 D393188:J393189 IW393188:JC393189 SS393188:SY393189 ACO393188:ACU393189 AMK393188:AMQ393189 AWG393188:AWM393189 BGC393188:BGI393189 BPY393188:BQE393189 BZU393188:CAA393189 CJQ393188:CJW393189 CTM393188:CTS393189 DDI393188:DDO393189 DNE393188:DNK393189 DXA393188:DXG393189 EGW393188:EHC393189 EQS393188:EQY393189 FAO393188:FAU393189 FKK393188:FKQ393189 FUG393188:FUM393189 GEC393188:GEI393189 GNY393188:GOE393189 GXU393188:GYA393189 HHQ393188:HHW393189 HRM393188:HRS393189 IBI393188:IBO393189 ILE393188:ILK393189 IVA393188:IVG393189 JEW393188:JFC393189 JOS393188:JOY393189 JYO393188:JYU393189 KIK393188:KIQ393189 KSG393188:KSM393189 LCC393188:LCI393189 LLY393188:LME393189 LVU393188:LWA393189 MFQ393188:MFW393189 MPM393188:MPS393189 MZI393188:MZO393189 NJE393188:NJK393189 NTA393188:NTG393189 OCW393188:ODC393189 OMS393188:OMY393189 OWO393188:OWU393189 PGK393188:PGQ393189 PQG393188:PQM393189 QAC393188:QAI393189 QJY393188:QKE393189 QTU393188:QUA393189 RDQ393188:RDW393189 RNM393188:RNS393189 RXI393188:RXO393189 SHE393188:SHK393189 SRA393188:SRG393189 TAW393188:TBC393189 TKS393188:TKY393189 TUO393188:TUU393189 UEK393188:UEQ393189 UOG393188:UOM393189 UYC393188:UYI393189 VHY393188:VIE393189 VRU393188:VSA393189 WBQ393188:WBW393189 WLM393188:WLS393189 WVI393188:WVO393189 D458724:J458725 IW458724:JC458725 SS458724:SY458725 ACO458724:ACU458725 AMK458724:AMQ458725 AWG458724:AWM458725 BGC458724:BGI458725 BPY458724:BQE458725 BZU458724:CAA458725 CJQ458724:CJW458725 CTM458724:CTS458725 DDI458724:DDO458725 DNE458724:DNK458725 DXA458724:DXG458725 EGW458724:EHC458725 EQS458724:EQY458725 FAO458724:FAU458725 FKK458724:FKQ458725 FUG458724:FUM458725 GEC458724:GEI458725 GNY458724:GOE458725 GXU458724:GYA458725 HHQ458724:HHW458725 HRM458724:HRS458725 IBI458724:IBO458725 ILE458724:ILK458725 IVA458724:IVG458725 JEW458724:JFC458725 JOS458724:JOY458725 JYO458724:JYU458725 KIK458724:KIQ458725 KSG458724:KSM458725 LCC458724:LCI458725 LLY458724:LME458725 LVU458724:LWA458725 MFQ458724:MFW458725 MPM458724:MPS458725 MZI458724:MZO458725 NJE458724:NJK458725 NTA458724:NTG458725 OCW458724:ODC458725 OMS458724:OMY458725 OWO458724:OWU458725 PGK458724:PGQ458725 PQG458724:PQM458725 QAC458724:QAI458725 QJY458724:QKE458725 QTU458724:QUA458725 RDQ458724:RDW458725 RNM458724:RNS458725 RXI458724:RXO458725 SHE458724:SHK458725 SRA458724:SRG458725 TAW458724:TBC458725 TKS458724:TKY458725 TUO458724:TUU458725 UEK458724:UEQ458725 UOG458724:UOM458725 UYC458724:UYI458725 VHY458724:VIE458725 VRU458724:VSA458725 WBQ458724:WBW458725 WLM458724:WLS458725 WVI458724:WVO458725 D524260:J524261 IW524260:JC524261 SS524260:SY524261 ACO524260:ACU524261 AMK524260:AMQ524261 AWG524260:AWM524261 BGC524260:BGI524261 BPY524260:BQE524261 BZU524260:CAA524261 CJQ524260:CJW524261 CTM524260:CTS524261 DDI524260:DDO524261 DNE524260:DNK524261 DXA524260:DXG524261 EGW524260:EHC524261 EQS524260:EQY524261 FAO524260:FAU524261 FKK524260:FKQ524261 FUG524260:FUM524261 GEC524260:GEI524261 GNY524260:GOE524261 GXU524260:GYA524261 HHQ524260:HHW524261 HRM524260:HRS524261 IBI524260:IBO524261 ILE524260:ILK524261 IVA524260:IVG524261 JEW524260:JFC524261 JOS524260:JOY524261 JYO524260:JYU524261 KIK524260:KIQ524261 KSG524260:KSM524261 LCC524260:LCI524261 LLY524260:LME524261 LVU524260:LWA524261 MFQ524260:MFW524261 MPM524260:MPS524261 MZI524260:MZO524261 NJE524260:NJK524261 NTA524260:NTG524261 OCW524260:ODC524261 OMS524260:OMY524261 OWO524260:OWU524261 PGK524260:PGQ524261 PQG524260:PQM524261 QAC524260:QAI524261 QJY524260:QKE524261 QTU524260:QUA524261 RDQ524260:RDW524261 RNM524260:RNS524261 RXI524260:RXO524261 SHE524260:SHK524261 SRA524260:SRG524261 TAW524260:TBC524261 TKS524260:TKY524261 TUO524260:TUU524261 UEK524260:UEQ524261 UOG524260:UOM524261 UYC524260:UYI524261 VHY524260:VIE524261 VRU524260:VSA524261 WBQ524260:WBW524261 WLM524260:WLS524261 WVI524260:WVO524261 D589796:J589797 IW589796:JC589797 SS589796:SY589797 ACO589796:ACU589797 AMK589796:AMQ589797 AWG589796:AWM589797 BGC589796:BGI589797 BPY589796:BQE589797 BZU589796:CAA589797 CJQ589796:CJW589797 CTM589796:CTS589797 DDI589796:DDO589797 DNE589796:DNK589797 DXA589796:DXG589797 EGW589796:EHC589797 EQS589796:EQY589797 FAO589796:FAU589797 FKK589796:FKQ589797 FUG589796:FUM589797 GEC589796:GEI589797 GNY589796:GOE589797 GXU589796:GYA589797 HHQ589796:HHW589797 HRM589796:HRS589797 IBI589796:IBO589797 ILE589796:ILK589797 IVA589796:IVG589797 JEW589796:JFC589797 JOS589796:JOY589797 JYO589796:JYU589797 KIK589796:KIQ589797 KSG589796:KSM589797 LCC589796:LCI589797 LLY589796:LME589797 LVU589796:LWA589797 MFQ589796:MFW589797 MPM589796:MPS589797 MZI589796:MZO589797 NJE589796:NJK589797 NTA589796:NTG589797 OCW589796:ODC589797 OMS589796:OMY589797 OWO589796:OWU589797 PGK589796:PGQ589797 PQG589796:PQM589797 QAC589796:QAI589797 QJY589796:QKE589797 QTU589796:QUA589797 RDQ589796:RDW589797 RNM589796:RNS589797 RXI589796:RXO589797 SHE589796:SHK589797 SRA589796:SRG589797 TAW589796:TBC589797 TKS589796:TKY589797 TUO589796:TUU589797 UEK589796:UEQ589797 UOG589796:UOM589797 UYC589796:UYI589797 VHY589796:VIE589797 VRU589796:VSA589797 WBQ589796:WBW589797 WLM589796:WLS589797 WVI589796:WVO589797 D655332:J655333 IW655332:JC655333 SS655332:SY655333 ACO655332:ACU655333 AMK655332:AMQ655333 AWG655332:AWM655333 BGC655332:BGI655333 BPY655332:BQE655333 BZU655332:CAA655333 CJQ655332:CJW655333 CTM655332:CTS655333 DDI655332:DDO655333 DNE655332:DNK655333 DXA655332:DXG655333 EGW655332:EHC655333 EQS655332:EQY655333 FAO655332:FAU655333 FKK655332:FKQ655333 FUG655332:FUM655333 GEC655332:GEI655333 GNY655332:GOE655333 GXU655332:GYA655333 HHQ655332:HHW655333 HRM655332:HRS655333 IBI655332:IBO655333 ILE655332:ILK655333 IVA655332:IVG655333 JEW655332:JFC655333 JOS655332:JOY655333 JYO655332:JYU655333 KIK655332:KIQ655333 KSG655332:KSM655333 LCC655332:LCI655333 LLY655332:LME655333 LVU655332:LWA655333 MFQ655332:MFW655333 MPM655332:MPS655333 MZI655332:MZO655333 NJE655332:NJK655333 NTA655332:NTG655333 OCW655332:ODC655333 OMS655332:OMY655333 OWO655332:OWU655333 PGK655332:PGQ655333 PQG655332:PQM655333 QAC655332:QAI655333 QJY655332:QKE655333 QTU655332:QUA655333 RDQ655332:RDW655333 RNM655332:RNS655333 RXI655332:RXO655333 SHE655332:SHK655333 SRA655332:SRG655333 TAW655332:TBC655333 TKS655332:TKY655333 TUO655332:TUU655333 UEK655332:UEQ655333 UOG655332:UOM655333 UYC655332:UYI655333 VHY655332:VIE655333 VRU655332:VSA655333 WBQ655332:WBW655333 WLM655332:WLS655333 WVI655332:WVO655333 D720868:J720869 IW720868:JC720869 SS720868:SY720869 ACO720868:ACU720869 AMK720868:AMQ720869 AWG720868:AWM720869 BGC720868:BGI720869 BPY720868:BQE720869 BZU720868:CAA720869 CJQ720868:CJW720869 CTM720868:CTS720869 DDI720868:DDO720869 DNE720868:DNK720869 DXA720868:DXG720869 EGW720868:EHC720869 EQS720868:EQY720869 FAO720868:FAU720869 FKK720868:FKQ720869 FUG720868:FUM720869 GEC720868:GEI720869 GNY720868:GOE720869 GXU720868:GYA720869 HHQ720868:HHW720869 HRM720868:HRS720869 IBI720868:IBO720869 ILE720868:ILK720869 IVA720868:IVG720869 JEW720868:JFC720869 JOS720868:JOY720869 JYO720868:JYU720869 KIK720868:KIQ720869 KSG720868:KSM720869 LCC720868:LCI720869 LLY720868:LME720869 LVU720868:LWA720869 MFQ720868:MFW720869 MPM720868:MPS720869 MZI720868:MZO720869 NJE720868:NJK720869 NTA720868:NTG720869 OCW720868:ODC720869 OMS720868:OMY720869 OWO720868:OWU720869 PGK720868:PGQ720869 PQG720868:PQM720869 QAC720868:QAI720869 QJY720868:QKE720869 QTU720868:QUA720869 RDQ720868:RDW720869 RNM720868:RNS720869 RXI720868:RXO720869 SHE720868:SHK720869 SRA720868:SRG720869 TAW720868:TBC720869 TKS720868:TKY720869 TUO720868:TUU720869 UEK720868:UEQ720869 UOG720868:UOM720869 UYC720868:UYI720869 VHY720868:VIE720869 VRU720868:VSA720869 WBQ720868:WBW720869 WLM720868:WLS720869 WVI720868:WVO720869 D786404:J786405 IW786404:JC786405 SS786404:SY786405 ACO786404:ACU786405 AMK786404:AMQ786405 AWG786404:AWM786405 BGC786404:BGI786405 BPY786404:BQE786405 BZU786404:CAA786405 CJQ786404:CJW786405 CTM786404:CTS786405 DDI786404:DDO786405 DNE786404:DNK786405 DXA786404:DXG786405 EGW786404:EHC786405 EQS786404:EQY786405 FAO786404:FAU786405 FKK786404:FKQ786405 FUG786404:FUM786405 GEC786404:GEI786405 GNY786404:GOE786405 GXU786404:GYA786405 HHQ786404:HHW786405 HRM786404:HRS786405 IBI786404:IBO786405 ILE786404:ILK786405 IVA786404:IVG786405 JEW786404:JFC786405 JOS786404:JOY786405 JYO786404:JYU786405 KIK786404:KIQ786405 KSG786404:KSM786405 LCC786404:LCI786405 LLY786404:LME786405 LVU786404:LWA786405 MFQ786404:MFW786405 MPM786404:MPS786405 MZI786404:MZO786405 NJE786404:NJK786405 NTA786404:NTG786405 OCW786404:ODC786405 OMS786404:OMY786405 OWO786404:OWU786405 PGK786404:PGQ786405 PQG786404:PQM786405 QAC786404:QAI786405 QJY786404:QKE786405 QTU786404:QUA786405 RDQ786404:RDW786405 RNM786404:RNS786405 RXI786404:RXO786405 SHE786404:SHK786405 SRA786404:SRG786405 TAW786404:TBC786405 TKS786404:TKY786405 TUO786404:TUU786405 UEK786404:UEQ786405 UOG786404:UOM786405 UYC786404:UYI786405 VHY786404:VIE786405 VRU786404:VSA786405 WBQ786404:WBW786405 WLM786404:WLS786405 WVI786404:WVO786405 D851940:J851941 IW851940:JC851941 SS851940:SY851941 ACO851940:ACU851941 AMK851940:AMQ851941 AWG851940:AWM851941 BGC851940:BGI851941 BPY851940:BQE851941 BZU851940:CAA851941 CJQ851940:CJW851941 CTM851940:CTS851941 DDI851940:DDO851941 DNE851940:DNK851941 DXA851940:DXG851941 EGW851940:EHC851941 EQS851940:EQY851941 FAO851940:FAU851941 FKK851940:FKQ851941 FUG851940:FUM851941 GEC851940:GEI851941 GNY851940:GOE851941 GXU851940:GYA851941 HHQ851940:HHW851941 HRM851940:HRS851941 IBI851940:IBO851941 ILE851940:ILK851941 IVA851940:IVG851941 JEW851940:JFC851941 JOS851940:JOY851941 JYO851940:JYU851941 KIK851940:KIQ851941 KSG851940:KSM851941 LCC851940:LCI851941 LLY851940:LME851941 LVU851940:LWA851941 MFQ851940:MFW851941 MPM851940:MPS851941 MZI851940:MZO851941 NJE851940:NJK851941 NTA851940:NTG851941 OCW851940:ODC851941 OMS851940:OMY851941 OWO851940:OWU851941 PGK851940:PGQ851941 PQG851940:PQM851941 QAC851940:QAI851941 QJY851940:QKE851941 QTU851940:QUA851941 RDQ851940:RDW851941 RNM851940:RNS851941 RXI851940:RXO851941 SHE851940:SHK851941 SRA851940:SRG851941 TAW851940:TBC851941 TKS851940:TKY851941 TUO851940:TUU851941 UEK851940:UEQ851941 UOG851940:UOM851941 UYC851940:UYI851941 VHY851940:VIE851941 VRU851940:VSA851941 WBQ851940:WBW851941 WLM851940:WLS851941 WVI851940:WVO851941 D917476:J917477 IW917476:JC917477 SS917476:SY917477 ACO917476:ACU917477 AMK917476:AMQ917477 AWG917476:AWM917477 BGC917476:BGI917477 BPY917476:BQE917477 BZU917476:CAA917477 CJQ917476:CJW917477 CTM917476:CTS917477 DDI917476:DDO917477 DNE917476:DNK917477 DXA917476:DXG917477 EGW917476:EHC917477 EQS917476:EQY917477 FAO917476:FAU917477 FKK917476:FKQ917477 FUG917476:FUM917477 GEC917476:GEI917477 GNY917476:GOE917477 GXU917476:GYA917477 HHQ917476:HHW917477 HRM917476:HRS917477 IBI917476:IBO917477 ILE917476:ILK917477 IVA917476:IVG917477 JEW917476:JFC917477 JOS917476:JOY917477 JYO917476:JYU917477 KIK917476:KIQ917477 KSG917476:KSM917477 LCC917476:LCI917477 LLY917476:LME917477 LVU917476:LWA917477 MFQ917476:MFW917477 MPM917476:MPS917477 MZI917476:MZO917477 NJE917476:NJK917477 NTA917476:NTG917477 OCW917476:ODC917477 OMS917476:OMY917477 OWO917476:OWU917477 PGK917476:PGQ917477 PQG917476:PQM917477 QAC917476:QAI917477 QJY917476:QKE917477 QTU917476:QUA917477 RDQ917476:RDW917477 RNM917476:RNS917477 RXI917476:RXO917477 SHE917476:SHK917477 SRA917476:SRG917477 TAW917476:TBC917477 TKS917476:TKY917477 TUO917476:TUU917477 UEK917476:UEQ917477 UOG917476:UOM917477 UYC917476:UYI917477 VHY917476:VIE917477 VRU917476:VSA917477 WBQ917476:WBW917477 WLM917476:WLS917477 WVI917476:WVO917477 D983012:J983013 IW983012:JC983013 SS983012:SY983013 ACO983012:ACU983013 AMK983012:AMQ983013 AWG983012:AWM983013 BGC983012:BGI983013 BPY983012:BQE983013 BZU983012:CAA983013 CJQ983012:CJW983013 CTM983012:CTS983013 DDI983012:DDO983013 DNE983012:DNK983013 DXA983012:DXG983013 EGW983012:EHC983013 EQS983012:EQY983013 FAO983012:FAU983013 FKK983012:FKQ983013 FUG983012:FUM983013 GEC983012:GEI983013 GNY983012:GOE983013 GXU983012:GYA983013 HHQ983012:HHW983013 HRM983012:HRS983013 IBI983012:IBO983013 ILE983012:ILK983013 IVA983012:IVG983013 JEW983012:JFC983013 JOS983012:JOY983013 JYO983012:JYU983013 KIK983012:KIQ983013 KSG983012:KSM983013 LCC983012:LCI983013 LLY983012:LME983013 LVU983012:LWA983013 MFQ983012:MFW983013 MPM983012:MPS983013 MZI983012:MZO983013 NJE983012:NJK983013 NTA983012:NTG983013 OCW983012:ODC983013 OMS983012:OMY983013 OWO983012:OWU983013 PGK983012:PGQ983013 PQG983012:PQM983013 QAC983012:QAI983013 QJY983012:QKE983013 QTU983012:QUA983013 RDQ983012:RDW983013 RNM983012:RNS983013 RXI983012:RXO983013 SHE983012:SHK983013 SRA983012:SRG983013 TAW983012:TBC983013 TKS983012:TKY983013 TUO983012:TUU983013 UEK983012:UEQ983013 UOG983012:UOM983013 UYC983012:UYI983013 VHY983012:VIE983013 VRU983012:VSA983013 WBQ983012:WBW983013 WLM983012:WLS983013 JC4:JD4 SY4:SZ4 ACU4:ACV4 AMQ4:AMR4 AWM4:AWN4 BGI4:BGJ4 BQE4:BQF4 CAA4:CAB4 CJW4:CJX4 CTS4:CTT4 DDO4:DDP4 DNK4:DNL4 DXG4:DXH4 EHC4:EHD4 EQY4:EQZ4 FAU4:FAV4 FKQ4:FKR4 FUM4:FUN4 GEI4:GEJ4 GOE4:GOF4 GYA4:GYB4 HHW4:HHX4 HRS4:HRT4 IBO4:IBP4 ILK4:ILL4 IVG4:IVH4 JFC4:JFD4 JOY4:JOZ4 JYU4:JYV4 KIQ4:KIR4 KSM4:KSN4 LCI4:LCJ4 LME4:LMF4 LWA4:LWB4 MFW4:MFX4 MPS4:MPT4 MZO4:MZP4 NJK4:NJL4 NTG4:NTH4 ODC4:ODD4 OMY4:OMZ4 OWU4:OWV4 PGQ4:PGR4 PQM4:PQN4 QAI4:QAJ4 QKE4:QKF4 QUA4:QUB4 RDW4:RDX4 RNS4:RNT4 RXO4:RXP4 SHK4:SHL4 SRG4:SRH4 TBC4:TBD4 TKY4:TKZ4 TUU4:TUV4 UEQ4:UER4 UOM4:UON4 UYI4:UYJ4 VIE4:VIF4 VSA4:VSB4 WBW4:WBX4 WLS4:WLT4 WVO4:WVP4 UYC9:UYI18 VRU9:VSA18 JA6:JB6 SW6:SX6 ACS6:ACT6 AMO6:AMP6 AWK6:AWL6 BGG6:BGH6 BQC6:BQD6 BZY6:BZZ6 CJU6:CJV6 CTQ6:CTR6 DDM6:DDN6 DNI6:DNJ6 DXE6:DXF6 EHA6:EHB6 EQW6:EQX6 FAS6:FAT6 FKO6:FKP6 FUK6:FUL6 GEG6:GEH6 GOC6:GOD6 GXY6:GXZ6 HHU6:HHV6 HRQ6:HRR6 IBM6:IBN6 ILI6:ILJ6 IVE6:IVF6 JFA6:JFB6 JOW6:JOX6 JYS6:JYT6 KIO6:KIP6 KSK6:KSL6 LCG6:LCH6 LMC6:LMD6 LVY6:LVZ6 MFU6:MFV6 MPQ6:MPR6 MZM6:MZN6 NJI6:NJJ6 NTE6:NTF6 ODA6:ODB6 OMW6:OMX6 OWS6:OWT6 PGO6:PGP6 PQK6:PQL6 QAG6:QAH6 QKC6:QKD6 QTY6:QTZ6 RDU6:RDV6 RNQ6:RNR6 RXM6:RXN6 SHI6:SHJ6 SRE6:SRF6 TBA6:TBB6 TKW6:TKX6 TUS6:TUT6 UEO6:UEP6 UOK6:UOL6 UYG6:UYH6 VIC6:VID6 VRY6:VRZ6 WBU6:WBV6 WLQ6:WLR6 WVM6:WVN6 WVI9:WVO18 VHY9:VIE18 WLM9:WLS18 WBQ9:WBW18 IW9:JC18 SS9:SY18 ACO9:ACU18 AMK9:AMQ18 AWG9:AWM18 BGC9:BGI18 BPY9:BQE18 BZU9:CAA18 CJQ9:CJW18 CTM9:CTS18 DDI9:DDO18 DNE9:DNK18 DXA9:DXG18 EGW9:EHC18 EQS9:EQY18 FAO9:FAU18 FKK9:FKQ18 FUG9:FUM18 GEC9:GEI18 GNY9:GOE18 GXU9:GYA18 HHQ9:HHW18 HRM9:HRS18 IBI9:IBO18 ILE9:ILK18 IVA9:IVG18 JEW9:JFC18 JOS9:JOY18 JYO9:JYU18 KIK9:KIQ18 KSG9:KSM18 LCC9:LCI18 LLY9:LME18 LVU9:LWA18 MFQ9:MFW18 MPM9:MPS18 MZI9:MZO18 NJE9:NJK18 NTA9:NTG18 OCW9:ODC18 OMS9:OMY18 OWO9:OWU18 PGK9:PGQ18 PQG9:PQM18 QAC9:QAI18 QJY9:QKE18 QTU9:QUA18 RDQ9:RDW18 RNM9:RNS18 RXI9:RXO18 SHE9:SHK18 SRA9:SRG18 TAW9:TBC18 TKS9:TKY18 TUO9:TUU18 UEK9:UEQ18 UOG9:UOM18 UYC47:UYJ65 WVI47:WVP65 VHY47:VIF65 WLM47:WLT65 VRU47:VSB65 WBQ47:WBX65 IW47:JD65 SS47:SZ65 ACO47:ACV65 AMK47:AMR65 AWG47:AWN65 BGC47:BGJ65 BPY47:BQF65 BZU47:CAB65 CJQ47:CJX65 CTM47:CTT65 DDI47:DDP65 DNE47:DNL65 DXA47:DXH65 EGW47:EHD65 EQS47:EQZ65 FAO47:FAV65 FKK47:FKR65 FUG47:FUN65 GEC47:GEJ65 GNY47:GOF65 GXU47:GYB65 HHQ47:HHX65 HRM47:HRT65 IBI47:IBP65 ILE47:ILL65 IVA47:IVH65 JEW47:JFD65 JOS47:JOZ65 JYO47:JYV65 KIK47:KIR65 KSG47:KSN65 LCC47:LCJ65 LLY47:LMF65 LVU47:LWB65 MFQ47:MFX65 MPM47:MPT65 MZI47:MZP65 NJE47:NJL65 NTA47:NTH65 OCW47:ODD65 OMS47:OMZ65 OWO47:OWV65 PGK47:PGR65 PQG47:PQN65 QAC47:QAJ65 QJY47:QKF65 QTU47:QUB65 RDQ47:RDX65 RNM47:RNT65 RXI47:RXP65 SHE47:SHL65 SRA47:SRH65 TAW47:TBD65 TKS47:TKZ65 TUO47:TUV65 UEK47:UER65 UOG47:UON65 IW21:JD44 WVI21:WVP44 WLM21:WLT44 WBQ21:WBX44 VRU21:VSB44 VHY21:VIF44 UYC21:UYJ44 UOG21:UON44 UEK21:UER44 TUO21:TUV44 TKS21:TKZ44 TAW21:TBD44 SRA21:SRH44 SHE21:SHL44 RXI21:RXP44 RNM21:RNT44 RDQ21:RDX44 QTU21:QUB44 QJY21:QKF44 QAC21:QAJ44 PQG21:PQN44 PGK21:PGR44 OWO21:OWV44 OMS21:OMZ44 OCW21:ODD44 NTA21:NTH44 NJE21:NJL44 MZI21:MZP44 MPM21:MPT44 MFQ21:MFX44 LVU21:LWB44 LLY21:LMF44 LCC21:LCJ44 KSG21:KSN44 KIK21:KIR44 JYO21:JYV44 JOS21:JOZ44 JEW21:JFD44 IVA21:IVH44 ILE21:ILL44 IBI21:IBP44 HRM21:HRT44 HHQ21:HHX44 GXU21:GYB44 GNY21:GOF44 GEC21:GEJ44 FUG21:FUN44 FKK21:FKR44 FAO21:FAV44 EQS21:EQZ44 EGW21:EHD44 DXA21:DXH44 DNE21:DNL44 DDI21:DDP44 CTM21:CTT44 CJQ21:CJX44 BZU21:CAB44 BPY21:BQF44 BGC21:BGJ44 AWG21:AWN44 AMK21:AMR44 ACO21:ACV44 SS21:SZ44</xm:sqref>
        </x14:dataValidation>
        <x14:dataValidation type="whole" allowBlank="1" showInputMessage="1" showErrorMessage="1" error="Please enter a valid positive numerical value less than or equal to 3.10">
          <x14:formula1>
            <xm:f>0</xm:f>
          </x14:formula1>
          <x14:formula2>
            <xm:f>ART_2!$K$45</xm:f>
          </x14:formula2>
          <xm:sqref>D6:K6</xm:sqref>
        </x14:dataValidation>
        <x14:dataValidation type="whole" showErrorMessage="1" error="Please enter a value less than or equal to 3.10 (for adults). Please ensure than 3.10 has been calculated first" prompt="Please enter No. of patients ">
          <x14:formula1>
            <xm:f>0</xm:f>
          </x14:formula1>
          <x14:formula2>
            <xm:f>ART_2!$F$45+ART_2!$G$45+ART_2!$H$45</xm:f>
          </x14:formula2>
          <xm:sqref>D21:K44</xm:sqref>
        </x14:dataValidation>
        <x14:dataValidation type="whole" showInputMessage="1" showErrorMessage="1" error="The value should be less than or equal to 3.10 (for paeds). Please ensure that value of 3.10 has been calculated first.">
          <x14:formula1>
            <xm:f>0</xm:f>
          </x14:formula1>
          <x14:formula2>
            <xm:f>ART_2!$I$45+ART_2!$J$45</xm:f>
          </x14:formula2>
          <xm:sqref>D47:K65</xm:sqref>
        </x14:dataValidation>
        <x14:dataValidation type="whole" showInputMessage="1" showErrorMessage="1" error="The value should be less that or equal to 2.5. Please ensure that value of 2.5 has been filled first">
          <x14:formula1>
            <xm:f>0</xm:f>
          </x14:formula1>
          <x14:formula2>
            <xm:f>ART_2!$K$11</xm:f>
          </x14:formula2>
          <xm:sqref>D9:J9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10"/>
  <sheetViews>
    <sheetView topLeftCell="A31" zoomScale="120" zoomScaleNormal="120" workbookViewId="0">
      <selection activeCell="E55" sqref="E55"/>
    </sheetView>
  </sheetViews>
  <sheetFormatPr defaultColWidth="0" defaultRowHeight="15" zeroHeight="1" x14ac:dyDescent="0.25"/>
  <cols>
    <col min="1" max="1" width="23.140625" customWidth="1"/>
    <col min="2" max="2" width="9.140625" customWidth="1"/>
    <col min="3" max="3" width="10.85546875" customWidth="1"/>
    <col min="4" max="4" width="11.28515625" customWidth="1"/>
    <col min="5" max="5" width="12.42578125" customWidth="1"/>
    <col min="6" max="6" width="11.140625" customWidth="1"/>
    <col min="7" max="7" width="9.140625" customWidth="1"/>
    <col min="8" max="8" width="9.7109375" customWidth="1"/>
    <col min="9" max="9" width="10.28515625" customWidth="1"/>
    <col min="10" max="10" width="12.7109375" customWidth="1"/>
    <col min="11" max="11" width="10" customWidth="1"/>
    <col min="12" max="12" width="10.28515625" customWidth="1"/>
    <col min="13" max="13" width="10.85546875" customWidth="1"/>
    <col min="14" max="14" width="14" customWidth="1"/>
    <col min="15" max="15" width="20.7109375" style="5" customWidth="1"/>
    <col min="16" max="16384" width="9.140625" hidden="1"/>
  </cols>
  <sheetData>
    <row r="1" spans="1:15" ht="24" customHeight="1" x14ac:dyDescent="0.25">
      <c r="A1" s="329" t="s">
        <v>1948</v>
      </c>
      <c r="B1" s="285"/>
      <c r="C1" s="285"/>
      <c r="D1" s="285"/>
      <c r="E1" s="285"/>
      <c r="F1" s="285"/>
      <c r="G1" s="285"/>
      <c r="H1" s="285"/>
      <c r="I1" s="285"/>
      <c r="J1" s="285"/>
      <c r="K1" s="456"/>
      <c r="L1" s="456"/>
      <c r="M1" s="456"/>
      <c r="N1" s="16" t="s">
        <v>21</v>
      </c>
      <c r="O1" s="6"/>
    </row>
    <row r="2" spans="1:15" x14ac:dyDescent="0.25">
      <c r="A2" s="333" t="s">
        <v>1945</v>
      </c>
      <c r="B2" s="333"/>
      <c r="C2" s="333"/>
      <c r="D2" s="332" t="str">
        <f>ART_1!D8</f>
        <v>ART-DL-SOU-02</v>
      </c>
      <c r="E2" s="332"/>
      <c r="F2" s="332"/>
      <c r="G2" s="332"/>
      <c r="H2" s="332"/>
      <c r="I2" s="332"/>
      <c r="J2" s="332"/>
      <c r="K2" s="332"/>
      <c r="L2" s="332"/>
      <c r="M2" s="332"/>
      <c r="N2" s="332"/>
      <c r="O2" s="6"/>
    </row>
    <row r="3" spans="1:15" x14ac:dyDescent="0.25">
      <c r="A3" s="290" t="s">
        <v>2315</v>
      </c>
      <c r="B3" s="290"/>
      <c r="C3" s="290"/>
      <c r="D3" s="290"/>
      <c r="E3" s="290"/>
      <c r="F3" s="290"/>
      <c r="G3" s="290"/>
      <c r="H3" s="290"/>
      <c r="I3" s="290"/>
      <c r="J3" s="290"/>
      <c r="K3" s="458"/>
      <c r="L3" s="458"/>
      <c r="M3" s="458"/>
      <c r="N3" s="458"/>
      <c r="O3" s="6"/>
    </row>
    <row r="4" spans="1:15" ht="15" customHeight="1" x14ac:dyDescent="0.25">
      <c r="A4" s="264" t="s">
        <v>2316</v>
      </c>
      <c r="B4" s="264"/>
      <c r="C4" s="264"/>
      <c r="D4" s="264"/>
      <c r="E4" s="264"/>
      <c r="F4" s="264"/>
      <c r="G4" s="264"/>
      <c r="H4" s="264"/>
      <c r="I4" s="264"/>
      <c r="J4" s="264"/>
      <c r="K4" s="264"/>
      <c r="L4" s="264"/>
      <c r="M4" s="459">
        <v>16</v>
      </c>
      <c r="N4" s="459"/>
      <c r="O4" s="6"/>
    </row>
    <row r="5" spans="1:15" x14ac:dyDescent="0.25">
      <c r="A5" s="276" t="s">
        <v>2448</v>
      </c>
      <c r="B5" s="276"/>
      <c r="C5" s="276"/>
      <c r="D5" s="276"/>
      <c r="E5" s="276"/>
      <c r="F5" s="276"/>
      <c r="G5" s="276"/>
      <c r="H5" s="276"/>
      <c r="I5" s="276"/>
      <c r="J5" s="276"/>
      <c r="K5" s="460"/>
      <c r="L5" s="460"/>
      <c r="M5" s="460"/>
      <c r="N5" s="460"/>
      <c r="O5" s="6"/>
    </row>
    <row r="6" spans="1:15" x14ac:dyDescent="0.25">
      <c r="A6" s="449" t="s">
        <v>2431</v>
      </c>
      <c r="B6" s="449"/>
      <c r="C6" s="449" t="s">
        <v>1938</v>
      </c>
      <c r="D6" s="457"/>
      <c r="E6" s="457"/>
      <c r="F6" s="457"/>
      <c r="G6" s="449" t="s">
        <v>2431</v>
      </c>
      <c r="H6" s="449"/>
      <c r="I6" s="449"/>
      <c r="J6" s="449" t="s">
        <v>1938</v>
      </c>
      <c r="K6" s="449"/>
      <c r="L6" s="449"/>
      <c r="M6" s="449"/>
      <c r="N6" s="449"/>
      <c r="O6" s="6"/>
    </row>
    <row r="7" spans="1:15" x14ac:dyDescent="0.25">
      <c r="A7" s="449"/>
      <c r="B7" s="449"/>
      <c r="C7" s="449" t="s">
        <v>7</v>
      </c>
      <c r="D7" s="457"/>
      <c r="E7" s="449" t="s">
        <v>134</v>
      </c>
      <c r="F7" s="457"/>
      <c r="G7" s="449"/>
      <c r="H7" s="449"/>
      <c r="I7" s="449"/>
      <c r="J7" s="449" t="s">
        <v>7</v>
      </c>
      <c r="K7" s="449"/>
      <c r="L7" s="449"/>
      <c r="M7" s="449" t="s">
        <v>134</v>
      </c>
      <c r="N7" s="449"/>
      <c r="O7" s="6"/>
    </row>
    <row r="8" spans="1:15" x14ac:dyDescent="0.25">
      <c r="A8" s="449"/>
      <c r="B8" s="449"/>
      <c r="C8" s="61" t="s">
        <v>56</v>
      </c>
      <c r="D8" s="61" t="s">
        <v>55</v>
      </c>
      <c r="E8" s="61" t="s">
        <v>56</v>
      </c>
      <c r="F8" s="61" t="s">
        <v>55</v>
      </c>
      <c r="G8" s="449"/>
      <c r="H8" s="449"/>
      <c r="I8" s="449"/>
      <c r="J8" s="61" t="s">
        <v>56</v>
      </c>
      <c r="K8" s="449" t="s">
        <v>55</v>
      </c>
      <c r="L8" s="449"/>
      <c r="M8" s="61" t="s">
        <v>56</v>
      </c>
      <c r="N8" s="61" t="s">
        <v>55</v>
      </c>
      <c r="O8" s="6"/>
    </row>
    <row r="9" spans="1:15" ht="15" customHeight="1" x14ac:dyDescent="0.25">
      <c r="A9" s="450" t="s">
        <v>143</v>
      </c>
      <c r="B9" s="450"/>
      <c r="C9" s="63">
        <v>3</v>
      </c>
      <c r="D9" s="63"/>
      <c r="E9" s="63"/>
      <c r="F9" s="63"/>
      <c r="G9" s="454" t="s">
        <v>168</v>
      </c>
      <c r="H9" s="452"/>
      <c r="I9" s="452"/>
      <c r="J9" s="8">
        <v>1</v>
      </c>
      <c r="K9" s="451"/>
      <c r="L9" s="451"/>
      <c r="M9" s="63"/>
      <c r="N9" s="63"/>
      <c r="O9" s="6"/>
    </row>
    <row r="10" spans="1:15" ht="15" customHeight="1" x14ac:dyDescent="0.25">
      <c r="A10" s="450" t="s">
        <v>144</v>
      </c>
      <c r="B10" s="450"/>
      <c r="C10" s="63">
        <v>3</v>
      </c>
      <c r="D10" s="63"/>
      <c r="E10" s="63"/>
      <c r="F10" s="63"/>
      <c r="G10" s="454" t="s">
        <v>164</v>
      </c>
      <c r="H10" s="452"/>
      <c r="I10" s="452"/>
      <c r="J10" s="8"/>
      <c r="K10" s="451"/>
      <c r="L10" s="451"/>
      <c r="M10" s="63"/>
      <c r="N10" s="63"/>
      <c r="O10" s="6"/>
    </row>
    <row r="11" spans="1:15" x14ac:dyDescent="0.25">
      <c r="A11" s="450" t="s">
        <v>145</v>
      </c>
      <c r="B11" s="450"/>
      <c r="C11" s="63"/>
      <c r="D11" s="63"/>
      <c r="E11" s="63"/>
      <c r="F11" s="63"/>
      <c r="G11" s="454" t="s">
        <v>165</v>
      </c>
      <c r="H11" s="452"/>
      <c r="I11" s="452"/>
      <c r="J11" s="8"/>
      <c r="K11" s="451"/>
      <c r="L11" s="451"/>
      <c r="M11" s="63"/>
      <c r="N11" s="63"/>
      <c r="O11" s="6"/>
    </row>
    <row r="12" spans="1:15" ht="15" customHeight="1" x14ac:dyDescent="0.25">
      <c r="A12" s="455" t="s">
        <v>1883</v>
      </c>
      <c r="B12" s="450"/>
      <c r="C12" s="63"/>
      <c r="D12" s="63"/>
      <c r="E12" s="63"/>
      <c r="F12" s="63"/>
      <c r="G12" s="454" t="s">
        <v>166</v>
      </c>
      <c r="H12" s="452"/>
      <c r="I12" s="452"/>
      <c r="J12" s="8"/>
      <c r="K12" s="451"/>
      <c r="L12" s="451"/>
      <c r="M12" s="63"/>
      <c r="N12" s="63"/>
      <c r="O12" s="6"/>
    </row>
    <row r="13" spans="1:15" ht="15" customHeight="1" x14ac:dyDescent="0.25">
      <c r="A13" s="450" t="s">
        <v>146</v>
      </c>
      <c r="B13" s="450"/>
      <c r="C13" s="63"/>
      <c r="D13" s="63"/>
      <c r="E13" s="63"/>
      <c r="F13" s="63"/>
      <c r="G13" s="454" t="s">
        <v>167</v>
      </c>
      <c r="H13" s="452"/>
      <c r="I13" s="452"/>
      <c r="J13" s="8"/>
      <c r="K13" s="451"/>
      <c r="L13" s="451"/>
      <c r="M13" s="63"/>
      <c r="N13" s="63"/>
      <c r="O13" s="6"/>
    </row>
    <row r="14" spans="1:15" ht="15" customHeight="1" x14ac:dyDescent="0.25">
      <c r="A14" s="447" t="s">
        <v>147</v>
      </c>
      <c r="B14" s="453"/>
      <c r="C14" s="63">
        <v>1</v>
      </c>
      <c r="D14" s="63"/>
      <c r="E14" s="63"/>
      <c r="F14" s="63"/>
      <c r="G14" s="454" t="s">
        <v>169</v>
      </c>
      <c r="H14" s="452"/>
      <c r="I14" s="452"/>
      <c r="J14" s="8">
        <v>1</v>
      </c>
      <c r="K14" s="451"/>
      <c r="L14" s="451"/>
      <c r="M14" s="63"/>
      <c r="N14" s="63"/>
      <c r="O14" s="6"/>
    </row>
    <row r="15" spans="1:15" x14ac:dyDescent="0.25">
      <c r="A15" s="447" t="s">
        <v>148</v>
      </c>
      <c r="B15" s="447"/>
      <c r="C15" s="63"/>
      <c r="D15" s="63"/>
      <c r="E15" s="63"/>
      <c r="F15" s="63"/>
      <c r="G15" s="454" t="s">
        <v>170</v>
      </c>
      <c r="H15" s="452"/>
      <c r="I15" s="452"/>
      <c r="J15" s="8">
        <v>6</v>
      </c>
      <c r="K15" s="451"/>
      <c r="L15" s="451"/>
      <c r="M15" s="63"/>
      <c r="N15" s="63"/>
      <c r="O15" s="6"/>
    </row>
    <row r="16" spans="1:15" x14ac:dyDescent="0.25">
      <c r="A16" s="450" t="s">
        <v>149</v>
      </c>
      <c r="B16" s="450"/>
      <c r="C16" s="63"/>
      <c r="D16" s="63"/>
      <c r="E16" s="63"/>
      <c r="F16" s="63"/>
      <c r="G16" s="447" t="s">
        <v>1939</v>
      </c>
      <c r="H16" s="452"/>
      <c r="I16" s="452"/>
      <c r="J16" s="8"/>
      <c r="K16" s="451"/>
      <c r="L16" s="451"/>
      <c r="M16" s="63"/>
      <c r="N16" s="63"/>
      <c r="O16" s="6"/>
    </row>
    <row r="17" spans="1:15" ht="15" customHeight="1" x14ac:dyDescent="0.25">
      <c r="A17" s="455" t="s">
        <v>80</v>
      </c>
      <c r="B17" s="455"/>
      <c r="C17" s="63"/>
      <c r="D17" s="63"/>
      <c r="E17" s="63"/>
      <c r="F17" s="63"/>
      <c r="G17" s="440" t="s">
        <v>3774</v>
      </c>
      <c r="H17" s="440"/>
      <c r="I17" s="440"/>
      <c r="J17" s="8">
        <v>1</v>
      </c>
      <c r="K17" s="451"/>
      <c r="L17" s="451"/>
      <c r="M17" s="63"/>
      <c r="N17" s="63"/>
      <c r="O17" s="6"/>
    </row>
    <row r="18" spans="1:15" x14ac:dyDescent="0.25">
      <c r="A18" s="276" t="s">
        <v>2430</v>
      </c>
      <c r="B18" s="276"/>
      <c r="C18" s="276"/>
      <c r="D18" s="276"/>
      <c r="E18" s="276"/>
      <c r="F18" s="276"/>
      <c r="G18" s="276"/>
      <c r="H18" s="276"/>
      <c r="I18" s="276"/>
      <c r="J18" s="276"/>
      <c r="K18" s="276"/>
      <c r="L18" s="276"/>
      <c r="M18" s="276"/>
      <c r="N18" s="276"/>
      <c r="O18" s="6"/>
    </row>
    <row r="19" spans="1:15" ht="28.5" customHeight="1" x14ac:dyDescent="0.25">
      <c r="A19" s="449" t="s">
        <v>79</v>
      </c>
      <c r="B19" s="449"/>
      <c r="C19" s="449" t="s">
        <v>1829</v>
      </c>
      <c r="D19" s="449"/>
      <c r="E19" s="449"/>
      <c r="F19" s="449"/>
      <c r="G19" s="449" t="s">
        <v>79</v>
      </c>
      <c r="H19" s="449"/>
      <c r="I19" s="449"/>
      <c r="J19" s="449" t="s">
        <v>1829</v>
      </c>
      <c r="K19" s="449"/>
      <c r="L19" s="449"/>
      <c r="M19" s="449"/>
      <c r="N19" s="449"/>
      <c r="O19" s="6"/>
    </row>
    <row r="20" spans="1:15" ht="27" customHeight="1" x14ac:dyDescent="0.25">
      <c r="A20" s="449"/>
      <c r="B20" s="449"/>
      <c r="C20" s="449" t="s">
        <v>7</v>
      </c>
      <c r="D20" s="449"/>
      <c r="E20" s="449" t="s">
        <v>1832</v>
      </c>
      <c r="F20" s="449"/>
      <c r="G20" s="449"/>
      <c r="H20" s="449"/>
      <c r="I20" s="449"/>
      <c r="J20" s="449" t="s">
        <v>7</v>
      </c>
      <c r="K20" s="449"/>
      <c r="L20" s="449"/>
      <c r="M20" s="449" t="s">
        <v>1832</v>
      </c>
      <c r="N20" s="449"/>
      <c r="O20" s="6"/>
    </row>
    <row r="21" spans="1:15" ht="15" customHeight="1" x14ac:dyDescent="0.25">
      <c r="A21" s="450" t="s">
        <v>150</v>
      </c>
      <c r="B21" s="450"/>
      <c r="C21" s="438">
        <v>2</v>
      </c>
      <c r="D21" s="438"/>
      <c r="E21" s="438"/>
      <c r="F21" s="438"/>
      <c r="G21" s="447" t="s">
        <v>151</v>
      </c>
      <c r="H21" s="447"/>
      <c r="I21" s="447"/>
      <c r="J21" s="448"/>
      <c r="K21" s="448"/>
      <c r="L21" s="448"/>
      <c r="M21" s="438"/>
      <c r="N21" s="438"/>
      <c r="O21" s="6"/>
    </row>
    <row r="22" spans="1:15" ht="15" customHeight="1" x14ac:dyDescent="0.25">
      <c r="A22" s="450" t="s">
        <v>152</v>
      </c>
      <c r="B22" s="450"/>
      <c r="C22" s="438"/>
      <c r="D22" s="438"/>
      <c r="E22" s="438"/>
      <c r="F22" s="438"/>
      <c r="G22" s="447" t="s">
        <v>153</v>
      </c>
      <c r="H22" s="447"/>
      <c r="I22" s="447"/>
      <c r="J22" s="448"/>
      <c r="K22" s="448"/>
      <c r="L22" s="448"/>
      <c r="M22" s="438"/>
      <c r="N22" s="438"/>
      <c r="O22" s="6"/>
    </row>
    <row r="23" spans="1:15" ht="15" customHeight="1" x14ac:dyDescent="0.25">
      <c r="A23" s="450" t="s">
        <v>154</v>
      </c>
      <c r="B23" s="450"/>
      <c r="C23" s="438"/>
      <c r="D23" s="438"/>
      <c r="E23" s="438"/>
      <c r="F23" s="438"/>
      <c r="G23" s="447" t="s">
        <v>171</v>
      </c>
      <c r="H23" s="447"/>
      <c r="I23" s="447"/>
      <c r="J23" s="448"/>
      <c r="K23" s="448"/>
      <c r="L23" s="448"/>
      <c r="M23" s="438"/>
      <c r="N23" s="438"/>
      <c r="O23" s="6"/>
    </row>
    <row r="24" spans="1:15" ht="15" customHeight="1" x14ac:dyDescent="0.25">
      <c r="A24" s="450" t="s">
        <v>155</v>
      </c>
      <c r="B24" s="450"/>
      <c r="C24" s="438"/>
      <c r="D24" s="438"/>
      <c r="E24" s="438"/>
      <c r="F24" s="438"/>
      <c r="G24" s="447" t="s">
        <v>156</v>
      </c>
      <c r="H24" s="447"/>
      <c r="I24" s="447"/>
      <c r="J24" s="448"/>
      <c r="K24" s="448"/>
      <c r="L24" s="448"/>
      <c r="M24" s="438"/>
      <c r="N24" s="438"/>
      <c r="O24" s="6"/>
    </row>
    <row r="25" spans="1:15" ht="15" customHeight="1" x14ac:dyDescent="0.25">
      <c r="A25" s="450" t="s">
        <v>157</v>
      </c>
      <c r="B25" s="450"/>
      <c r="C25" s="438"/>
      <c r="D25" s="438"/>
      <c r="E25" s="438"/>
      <c r="F25" s="438"/>
      <c r="G25" s="447" t="s">
        <v>172</v>
      </c>
      <c r="H25" s="447"/>
      <c r="I25" s="447"/>
      <c r="J25" s="448"/>
      <c r="K25" s="448"/>
      <c r="L25" s="448"/>
      <c r="M25" s="438"/>
      <c r="N25" s="438"/>
      <c r="O25" s="6"/>
    </row>
    <row r="26" spans="1:15" ht="23.25" customHeight="1" x14ac:dyDescent="0.25">
      <c r="A26" s="447" t="s">
        <v>158</v>
      </c>
      <c r="B26" s="447"/>
      <c r="C26" s="438"/>
      <c r="D26" s="438"/>
      <c r="E26" s="438"/>
      <c r="F26" s="438"/>
      <c r="G26" s="447" t="s">
        <v>159</v>
      </c>
      <c r="H26" s="447"/>
      <c r="I26" s="447"/>
      <c r="J26" s="448"/>
      <c r="K26" s="448"/>
      <c r="L26" s="448"/>
      <c r="M26" s="438"/>
      <c r="N26" s="438"/>
      <c r="O26" s="6"/>
    </row>
    <row r="27" spans="1:15" ht="15" customHeight="1" x14ac:dyDescent="0.25">
      <c r="A27" s="447" t="s">
        <v>160</v>
      </c>
      <c r="B27" s="447"/>
      <c r="C27" s="438"/>
      <c r="D27" s="438"/>
      <c r="E27" s="438"/>
      <c r="F27" s="438"/>
      <c r="G27" s="447" t="s">
        <v>1819</v>
      </c>
      <c r="H27" s="447"/>
      <c r="I27" s="447"/>
      <c r="J27" s="448"/>
      <c r="K27" s="448"/>
      <c r="L27" s="448"/>
      <c r="M27" s="438"/>
      <c r="N27" s="438"/>
      <c r="O27" s="6"/>
    </row>
    <row r="28" spans="1:15" ht="15" customHeight="1" x14ac:dyDescent="0.25">
      <c r="A28" s="447" t="s">
        <v>161</v>
      </c>
      <c r="B28" s="447"/>
      <c r="C28" s="438"/>
      <c r="D28" s="438"/>
      <c r="E28" s="438"/>
      <c r="F28" s="438"/>
      <c r="G28" s="447" t="s">
        <v>1820</v>
      </c>
      <c r="H28" s="447"/>
      <c r="I28" s="447"/>
      <c r="J28" s="448"/>
      <c r="K28" s="448"/>
      <c r="L28" s="448"/>
      <c r="M28" s="438"/>
      <c r="N28" s="438"/>
      <c r="O28" s="6"/>
    </row>
    <row r="29" spans="1:15" ht="15" customHeight="1" x14ac:dyDescent="0.25">
      <c r="A29" s="447" t="s">
        <v>162</v>
      </c>
      <c r="B29" s="447"/>
      <c r="C29" s="438"/>
      <c r="D29" s="438"/>
      <c r="E29" s="438"/>
      <c r="F29" s="438"/>
      <c r="G29" s="439" t="s">
        <v>3771</v>
      </c>
      <c r="H29" s="440"/>
      <c r="I29" s="440"/>
      <c r="J29" s="448"/>
      <c r="K29" s="448"/>
      <c r="L29" s="448"/>
      <c r="M29" s="438"/>
      <c r="N29" s="438"/>
      <c r="O29" s="6"/>
    </row>
    <row r="30" spans="1:15" ht="15" customHeight="1" x14ac:dyDescent="0.25">
      <c r="A30" s="465" t="s">
        <v>163</v>
      </c>
      <c r="B30" s="447"/>
      <c r="C30" s="438"/>
      <c r="D30" s="438"/>
      <c r="E30" s="438"/>
      <c r="F30" s="438"/>
      <c r="G30" s="439" t="s">
        <v>3772</v>
      </c>
      <c r="H30" s="440"/>
      <c r="I30" s="440"/>
      <c r="J30" s="448"/>
      <c r="K30" s="448"/>
      <c r="L30" s="448"/>
      <c r="M30" s="438"/>
      <c r="N30" s="438"/>
      <c r="O30" s="6"/>
    </row>
    <row r="31" spans="1:15" x14ac:dyDescent="0.25">
      <c r="A31" s="276" t="s">
        <v>2317</v>
      </c>
      <c r="B31" s="276"/>
      <c r="C31" s="276"/>
      <c r="D31" s="276"/>
      <c r="E31" s="276"/>
      <c r="F31" s="276"/>
      <c r="G31" s="276"/>
      <c r="H31" s="276"/>
      <c r="I31" s="276"/>
      <c r="J31" s="276"/>
      <c r="K31" s="460"/>
      <c r="L31" s="460"/>
      <c r="M31" s="460"/>
      <c r="N31" s="460"/>
      <c r="O31" s="6"/>
    </row>
    <row r="32" spans="1:15" x14ac:dyDescent="0.25">
      <c r="A32" s="463" t="s">
        <v>78</v>
      </c>
      <c r="B32" s="463" t="s">
        <v>77</v>
      </c>
      <c r="C32" s="464" t="s">
        <v>76</v>
      </c>
      <c r="D32" s="464"/>
      <c r="E32" s="464"/>
      <c r="F32" s="463" t="s">
        <v>173</v>
      </c>
      <c r="G32" s="463" t="s">
        <v>75</v>
      </c>
      <c r="H32" s="464" t="s">
        <v>74</v>
      </c>
      <c r="I32" s="464"/>
      <c r="J32" s="464"/>
      <c r="K32" s="463" t="s">
        <v>73</v>
      </c>
      <c r="L32" s="463" t="s">
        <v>72</v>
      </c>
      <c r="M32" s="463" t="s">
        <v>71</v>
      </c>
      <c r="N32" s="463" t="s">
        <v>70</v>
      </c>
      <c r="O32" s="6"/>
    </row>
    <row r="33" spans="1:15" ht="75" customHeight="1" x14ac:dyDescent="0.25">
      <c r="A33" s="464"/>
      <c r="B33" s="464"/>
      <c r="C33" s="60" t="s">
        <v>69</v>
      </c>
      <c r="D33" s="60" t="s">
        <v>1830</v>
      </c>
      <c r="E33" s="60" t="s">
        <v>68</v>
      </c>
      <c r="F33" s="464"/>
      <c r="G33" s="464"/>
      <c r="H33" s="60" t="s">
        <v>67</v>
      </c>
      <c r="I33" s="60" t="s">
        <v>1831</v>
      </c>
      <c r="J33" s="60" t="s">
        <v>66</v>
      </c>
      <c r="K33" s="464"/>
      <c r="L33" s="463"/>
      <c r="M33" s="464"/>
      <c r="N33" s="464"/>
      <c r="O33" s="6"/>
    </row>
    <row r="34" spans="1:15" ht="21" customHeight="1" x14ac:dyDescent="0.25">
      <c r="A34" s="78" t="s">
        <v>2342</v>
      </c>
      <c r="B34" s="59"/>
      <c r="C34" s="12"/>
      <c r="D34" s="12"/>
      <c r="E34" s="12"/>
      <c r="F34" s="12"/>
      <c r="G34" s="12"/>
      <c r="H34" s="59">
        <v>0</v>
      </c>
      <c r="I34" s="12"/>
      <c r="J34" s="30">
        <f t="shared" ref="J34:J48" si="0">H34+I34</f>
        <v>0</v>
      </c>
      <c r="K34" s="12"/>
      <c r="L34" s="30">
        <f t="shared" ref="L34:L48" si="1">B34+C34+D34+E34-F34-J34-K34</f>
        <v>0</v>
      </c>
      <c r="M34" s="41">
        <f t="shared" ref="M34:M48" si="2">IF(J34&gt;0,L34/J34,0)</f>
        <v>0</v>
      </c>
      <c r="N34" s="119"/>
      <c r="O34" s="441" t="s">
        <v>1942</v>
      </c>
    </row>
    <row r="35" spans="1:15" ht="21" x14ac:dyDescent="0.25">
      <c r="A35" s="58" t="s">
        <v>1884</v>
      </c>
      <c r="B35" s="59"/>
      <c r="C35" s="12"/>
      <c r="D35" s="12"/>
      <c r="E35" s="12"/>
      <c r="F35" s="12"/>
      <c r="G35" s="12"/>
      <c r="H35" s="59">
        <v>0</v>
      </c>
      <c r="I35" s="12"/>
      <c r="J35" s="30">
        <f t="shared" si="0"/>
        <v>0</v>
      </c>
      <c r="K35" s="12"/>
      <c r="L35" s="30">
        <f t="shared" si="1"/>
        <v>0</v>
      </c>
      <c r="M35" s="118">
        <f t="shared" si="2"/>
        <v>0</v>
      </c>
      <c r="N35" s="76"/>
      <c r="O35" s="442"/>
    </row>
    <row r="36" spans="1:15" ht="21" x14ac:dyDescent="0.25">
      <c r="A36" s="78" t="s">
        <v>2545</v>
      </c>
      <c r="B36" s="59">
        <v>123215</v>
      </c>
      <c r="C36" s="12"/>
      <c r="D36" s="12"/>
      <c r="E36" s="12"/>
      <c r="F36" s="12"/>
      <c r="G36" s="12"/>
      <c r="H36" s="59">
        <v>59610</v>
      </c>
      <c r="I36" s="12"/>
      <c r="J36" s="30">
        <f t="shared" ref="J36:J47" si="3">H36+I36</f>
        <v>59610</v>
      </c>
      <c r="K36" s="12"/>
      <c r="L36" s="30">
        <f t="shared" ref="L36:L47" si="4">B36+C36+D36+E36-F36-J36-K36</f>
        <v>63605</v>
      </c>
      <c r="M36" s="118">
        <f t="shared" si="2"/>
        <v>1.0670189565509143</v>
      </c>
      <c r="N36" s="76"/>
      <c r="O36" s="442"/>
    </row>
    <row r="37" spans="1:15" ht="21" x14ac:dyDescent="0.25">
      <c r="A37" s="58" t="s">
        <v>2546</v>
      </c>
      <c r="B37" s="59">
        <v>160</v>
      </c>
      <c r="C37" s="12"/>
      <c r="D37" s="12">
        <v>1800</v>
      </c>
      <c r="E37" s="12"/>
      <c r="F37" s="12"/>
      <c r="G37" s="12"/>
      <c r="H37" s="59">
        <v>960</v>
      </c>
      <c r="I37" s="12"/>
      <c r="J37" s="30">
        <f t="shared" si="3"/>
        <v>960</v>
      </c>
      <c r="K37" s="12"/>
      <c r="L37" s="30">
        <f t="shared" si="4"/>
        <v>1000</v>
      </c>
      <c r="M37" s="118">
        <f t="shared" si="2"/>
        <v>1.0416666666666667</v>
      </c>
      <c r="N37" s="76"/>
      <c r="O37" s="442"/>
    </row>
    <row r="38" spans="1:15" x14ac:dyDescent="0.25">
      <c r="A38" s="58" t="s">
        <v>2547</v>
      </c>
      <c r="B38" s="59">
        <v>210</v>
      </c>
      <c r="C38" s="12"/>
      <c r="D38" s="12"/>
      <c r="E38" s="12"/>
      <c r="F38" s="12"/>
      <c r="G38" s="12"/>
      <c r="H38" s="59">
        <v>60</v>
      </c>
      <c r="I38" s="12"/>
      <c r="J38" s="30">
        <f t="shared" si="3"/>
        <v>60</v>
      </c>
      <c r="K38" s="12"/>
      <c r="L38" s="30">
        <f t="shared" si="4"/>
        <v>150</v>
      </c>
      <c r="M38" s="118">
        <f t="shared" si="2"/>
        <v>2.5</v>
      </c>
      <c r="N38" s="76"/>
      <c r="O38" s="442"/>
    </row>
    <row r="39" spans="1:15" x14ac:dyDescent="0.25">
      <c r="A39" s="58" t="s">
        <v>2548</v>
      </c>
      <c r="B39" s="59">
        <v>14215</v>
      </c>
      <c r="C39" s="12"/>
      <c r="D39" s="12"/>
      <c r="E39" s="12"/>
      <c r="F39" s="12"/>
      <c r="G39" s="12"/>
      <c r="H39" s="59">
        <v>3456</v>
      </c>
      <c r="I39" s="12"/>
      <c r="J39" s="30">
        <f t="shared" si="3"/>
        <v>3456</v>
      </c>
      <c r="K39" s="12"/>
      <c r="L39" s="30">
        <f t="shared" si="4"/>
        <v>10759</v>
      </c>
      <c r="M39" s="118">
        <f>IF(J39&gt;0,L39/J39,0)</f>
        <v>3.113136574074074</v>
      </c>
      <c r="N39" s="76"/>
      <c r="O39" s="442"/>
    </row>
    <row r="40" spans="1:15" x14ac:dyDescent="0.25">
      <c r="A40" s="58" t="s">
        <v>2549</v>
      </c>
      <c r="B40" s="59"/>
      <c r="C40" s="12"/>
      <c r="D40" s="12"/>
      <c r="E40" s="12"/>
      <c r="F40" s="12"/>
      <c r="G40" s="12"/>
      <c r="H40" s="59">
        <v>0</v>
      </c>
      <c r="I40" s="12"/>
      <c r="J40" s="30">
        <f t="shared" si="3"/>
        <v>0</v>
      </c>
      <c r="K40" s="12"/>
      <c r="L40" s="30">
        <f t="shared" si="4"/>
        <v>0</v>
      </c>
      <c r="M40" s="118">
        <f t="shared" si="2"/>
        <v>0</v>
      </c>
      <c r="N40" s="76"/>
      <c r="O40" s="442"/>
    </row>
    <row r="41" spans="1:15" x14ac:dyDescent="0.25">
      <c r="A41" s="58" t="s">
        <v>2550</v>
      </c>
      <c r="B41" s="59"/>
      <c r="C41" s="12"/>
      <c r="D41" s="12"/>
      <c r="E41" s="12"/>
      <c r="F41" s="12"/>
      <c r="G41" s="12"/>
      <c r="H41" s="59">
        <v>0</v>
      </c>
      <c r="I41" s="12"/>
      <c r="J41" s="30">
        <f t="shared" si="3"/>
        <v>0</v>
      </c>
      <c r="K41" s="12"/>
      <c r="L41" s="30">
        <f t="shared" si="4"/>
        <v>0</v>
      </c>
      <c r="M41" s="118">
        <f t="shared" si="2"/>
        <v>0</v>
      </c>
      <c r="N41" s="76"/>
      <c r="O41" s="442"/>
    </row>
    <row r="42" spans="1:15" ht="21" x14ac:dyDescent="0.25">
      <c r="A42" s="58" t="s">
        <v>2551</v>
      </c>
      <c r="B42" s="59">
        <v>2400</v>
      </c>
      <c r="C42" s="12"/>
      <c r="D42" s="12"/>
      <c r="E42" s="12"/>
      <c r="F42" s="12">
        <v>300</v>
      </c>
      <c r="G42" s="12"/>
      <c r="H42" s="59">
        <v>0</v>
      </c>
      <c r="I42" s="12"/>
      <c r="J42" s="30">
        <f t="shared" si="3"/>
        <v>0</v>
      </c>
      <c r="K42" s="12">
        <v>2100</v>
      </c>
      <c r="L42" s="30">
        <f t="shared" si="4"/>
        <v>0</v>
      </c>
      <c r="M42" s="118">
        <f t="shared" si="2"/>
        <v>0</v>
      </c>
      <c r="N42" s="76"/>
      <c r="O42" s="442"/>
    </row>
    <row r="43" spans="1:15" ht="21" x14ac:dyDescent="0.25">
      <c r="A43" s="58" t="s">
        <v>2552</v>
      </c>
      <c r="B43" s="59">
        <v>4266</v>
      </c>
      <c r="C43" s="12"/>
      <c r="D43" s="12"/>
      <c r="E43" s="12"/>
      <c r="F43" s="12">
        <v>1500</v>
      </c>
      <c r="G43" s="12"/>
      <c r="H43" s="59">
        <v>240</v>
      </c>
      <c r="I43" s="12"/>
      <c r="J43" s="30">
        <f t="shared" si="3"/>
        <v>240</v>
      </c>
      <c r="K43" s="12"/>
      <c r="L43" s="30">
        <f t="shared" si="4"/>
        <v>2526</v>
      </c>
      <c r="M43" s="118">
        <f t="shared" si="2"/>
        <v>10.525</v>
      </c>
      <c r="N43" s="76"/>
      <c r="O43" s="442"/>
    </row>
    <row r="44" spans="1:15" ht="21" x14ac:dyDescent="0.25">
      <c r="A44" s="78" t="s">
        <v>2553</v>
      </c>
      <c r="B44" s="59">
        <v>13913</v>
      </c>
      <c r="C44" s="12"/>
      <c r="D44" s="12"/>
      <c r="E44" s="12"/>
      <c r="F44" s="12"/>
      <c r="G44" s="12"/>
      <c r="H44" s="59">
        <v>1170</v>
      </c>
      <c r="I44" s="12"/>
      <c r="J44" s="30">
        <f t="shared" si="3"/>
        <v>1170</v>
      </c>
      <c r="K44" s="12"/>
      <c r="L44" s="30">
        <f t="shared" si="4"/>
        <v>12743</v>
      </c>
      <c r="M44" s="118">
        <f t="shared" si="2"/>
        <v>10.891452991452992</v>
      </c>
      <c r="N44" s="76"/>
      <c r="O44" s="442"/>
    </row>
    <row r="45" spans="1:15" x14ac:dyDescent="0.25">
      <c r="A45" s="58" t="s">
        <v>2554</v>
      </c>
      <c r="B45" s="59"/>
      <c r="C45" s="12"/>
      <c r="D45" s="12"/>
      <c r="E45" s="12"/>
      <c r="F45" s="12"/>
      <c r="G45" s="12"/>
      <c r="H45" s="59"/>
      <c r="I45" s="12"/>
      <c r="J45" s="30">
        <f t="shared" si="3"/>
        <v>0</v>
      </c>
      <c r="K45" s="12"/>
      <c r="L45" s="30">
        <f t="shared" si="4"/>
        <v>0</v>
      </c>
      <c r="M45" s="118">
        <f>IF(J45&gt;0,L45/J45,0)</f>
        <v>0</v>
      </c>
      <c r="N45" s="76"/>
      <c r="O45" s="442"/>
    </row>
    <row r="46" spans="1:15" x14ac:dyDescent="0.25">
      <c r="A46" s="58" t="s">
        <v>2555</v>
      </c>
      <c r="B46" s="59"/>
      <c r="C46" s="12"/>
      <c r="D46" s="12"/>
      <c r="E46" s="12"/>
      <c r="F46" s="12"/>
      <c r="G46" s="12"/>
      <c r="H46" s="59"/>
      <c r="I46" s="12"/>
      <c r="J46" s="30">
        <f t="shared" si="3"/>
        <v>0</v>
      </c>
      <c r="K46" s="12"/>
      <c r="L46" s="30">
        <f t="shared" si="4"/>
        <v>0</v>
      </c>
      <c r="M46" s="118">
        <f>IF(J46&gt;0,L46/J46,0)</f>
        <v>0</v>
      </c>
      <c r="N46" s="76"/>
      <c r="O46" s="442"/>
    </row>
    <row r="47" spans="1:15" x14ac:dyDescent="0.25">
      <c r="A47" s="58" t="s">
        <v>2556</v>
      </c>
      <c r="B47" s="59"/>
      <c r="C47" s="12"/>
      <c r="D47" s="12"/>
      <c r="E47" s="12"/>
      <c r="F47" s="12"/>
      <c r="G47" s="12"/>
      <c r="H47" s="59"/>
      <c r="I47" s="12"/>
      <c r="J47" s="30">
        <f t="shared" si="3"/>
        <v>0</v>
      </c>
      <c r="K47" s="12"/>
      <c r="L47" s="30">
        <f t="shared" si="4"/>
        <v>0</v>
      </c>
      <c r="M47" s="118">
        <f>IF(J47&gt;0,L47/J47,0)</f>
        <v>0</v>
      </c>
      <c r="N47" s="76"/>
      <c r="O47" s="442"/>
    </row>
    <row r="48" spans="1:15" x14ac:dyDescent="0.25">
      <c r="A48" s="62" t="s">
        <v>2557</v>
      </c>
      <c r="B48" s="59"/>
      <c r="C48" s="12"/>
      <c r="D48" s="12"/>
      <c r="E48" s="12"/>
      <c r="F48" s="12"/>
      <c r="G48" s="12"/>
      <c r="H48" s="59"/>
      <c r="I48" s="12"/>
      <c r="J48" s="30">
        <f t="shared" si="0"/>
        <v>0</v>
      </c>
      <c r="K48" s="12"/>
      <c r="L48" s="30">
        <f t="shared" si="1"/>
        <v>0</v>
      </c>
      <c r="M48" s="41">
        <f t="shared" si="2"/>
        <v>0</v>
      </c>
      <c r="N48" s="120"/>
      <c r="O48" s="443"/>
    </row>
    <row r="49" spans="1:15" x14ac:dyDescent="0.25">
      <c r="A49" s="276" t="s">
        <v>2259</v>
      </c>
      <c r="B49" s="276"/>
      <c r="C49" s="276"/>
      <c r="D49" s="276"/>
      <c r="E49" s="276"/>
      <c r="F49" s="276"/>
      <c r="G49" s="276"/>
      <c r="H49" s="276"/>
      <c r="I49" s="276"/>
      <c r="J49" s="276"/>
      <c r="K49" s="460"/>
      <c r="L49" s="460"/>
      <c r="M49" s="460"/>
      <c r="N49" s="460"/>
      <c r="O49" s="6"/>
    </row>
    <row r="50" spans="1:15" ht="31.5" customHeight="1" x14ac:dyDescent="0.25">
      <c r="A50" s="58" t="s">
        <v>2558</v>
      </c>
      <c r="B50" s="59"/>
      <c r="C50" s="12"/>
      <c r="D50" s="12"/>
      <c r="E50" s="12"/>
      <c r="F50" s="12"/>
      <c r="G50" s="12"/>
      <c r="H50" s="59"/>
      <c r="I50" s="12"/>
      <c r="J50" s="30">
        <f t="shared" ref="J50:J58" si="5">H50+I50</f>
        <v>0</v>
      </c>
      <c r="K50" s="12"/>
      <c r="L50" s="30">
        <f t="shared" ref="L50:L58" si="6">B50+C50+D50+E50-F50-J50-K50</f>
        <v>0</v>
      </c>
      <c r="M50" s="41">
        <f t="shared" ref="M50:M58" si="7">IF(J50&gt;0,L50/J50,0)</f>
        <v>0</v>
      </c>
      <c r="N50" s="22"/>
      <c r="O50" s="387" t="s">
        <v>1942</v>
      </c>
    </row>
    <row r="51" spans="1:15" ht="21" x14ac:dyDescent="0.25">
      <c r="A51" s="58" t="s">
        <v>2559</v>
      </c>
      <c r="B51" s="59"/>
      <c r="C51" s="12"/>
      <c r="D51" s="12"/>
      <c r="E51" s="12"/>
      <c r="F51" s="12"/>
      <c r="G51" s="12"/>
      <c r="H51" s="59"/>
      <c r="I51" s="12"/>
      <c r="J51" s="30">
        <f t="shared" si="5"/>
        <v>0</v>
      </c>
      <c r="K51" s="12"/>
      <c r="L51" s="30">
        <f t="shared" si="6"/>
        <v>0</v>
      </c>
      <c r="M51" s="41">
        <f t="shared" si="7"/>
        <v>0</v>
      </c>
      <c r="N51" s="22"/>
      <c r="O51" s="445"/>
    </row>
    <row r="52" spans="1:15" ht="21" x14ac:dyDescent="0.25">
      <c r="A52" s="58" t="s">
        <v>2560</v>
      </c>
      <c r="B52" s="59">
        <v>2520</v>
      </c>
      <c r="C52" s="12"/>
      <c r="D52" s="12"/>
      <c r="E52" s="12"/>
      <c r="F52" s="12"/>
      <c r="G52" s="12"/>
      <c r="H52" s="59">
        <v>900</v>
      </c>
      <c r="I52" s="12"/>
      <c r="J52" s="30">
        <f t="shared" si="5"/>
        <v>900</v>
      </c>
      <c r="K52" s="12"/>
      <c r="L52" s="30">
        <f t="shared" si="6"/>
        <v>1620</v>
      </c>
      <c r="M52" s="41">
        <f t="shared" si="7"/>
        <v>1.8</v>
      </c>
      <c r="N52" s="22"/>
      <c r="O52" s="445"/>
    </row>
    <row r="53" spans="1:15" x14ac:dyDescent="0.25">
      <c r="A53" s="58" t="s">
        <v>2561</v>
      </c>
      <c r="B53" s="59"/>
      <c r="C53" s="12"/>
      <c r="D53" s="12"/>
      <c r="E53" s="12"/>
      <c r="F53" s="12"/>
      <c r="G53" s="12"/>
      <c r="H53" s="59"/>
      <c r="I53" s="12"/>
      <c r="J53" s="30">
        <f t="shared" si="5"/>
        <v>0</v>
      </c>
      <c r="K53" s="12"/>
      <c r="L53" s="30">
        <f t="shared" si="6"/>
        <v>0</v>
      </c>
      <c r="M53" s="41">
        <f t="shared" si="7"/>
        <v>0</v>
      </c>
      <c r="N53" s="22"/>
      <c r="O53" s="445"/>
    </row>
    <row r="54" spans="1:15" x14ac:dyDescent="0.25">
      <c r="A54" s="58" t="s">
        <v>2562</v>
      </c>
      <c r="B54" s="59"/>
      <c r="C54" s="12"/>
      <c r="D54" s="12"/>
      <c r="E54" s="12"/>
      <c r="F54" s="12"/>
      <c r="G54" s="12"/>
      <c r="H54" s="59"/>
      <c r="I54" s="12"/>
      <c r="J54" s="30">
        <f t="shared" si="5"/>
        <v>0</v>
      </c>
      <c r="K54" s="12"/>
      <c r="L54" s="30">
        <f t="shared" si="6"/>
        <v>0</v>
      </c>
      <c r="M54" s="41">
        <f t="shared" si="7"/>
        <v>0</v>
      </c>
      <c r="N54" s="22"/>
      <c r="O54" s="445"/>
    </row>
    <row r="55" spans="1:15" ht="21" x14ac:dyDescent="0.25">
      <c r="A55" s="58" t="s">
        <v>2563</v>
      </c>
      <c r="B55" s="59"/>
      <c r="C55" s="12"/>
      <c r="D55" s="12"/>
      <c r="E55" s="12"/>
      <c r="F55" s="12"/>
      <c r="G55" s="12"/>
      <c r="H55" s="59"/>
      <c r="I55" s="12"/>
      <c r="J55" s="30">
        <f t="shared" si="5"/>
        <v>0</v>
      </c>
      <c r="K55" s="12"/>
      <c r="L55" s="30">
        <f t="shared" si="6"/>
        <v>0</v>
      </c>
      <c r="M55" s="41">
        <f t="shared" si="7"/>
        <v>0</v>
      </c>
      <c r="N55" s="22"/>
      <c r="O55" s="445"/>
    </row>
    <row r="56" spans="1:15" x14ac:dyDescent="0.25">
      <c r="A56" s="58" t="s">
        <v>3361</v>
      </c>
      <c r="B56" s="59"/>
      <c r="C56" s="12"/>
      <c r="D56" s="12"/>
      <c r="E56" s="12"/>
      <c r="F56" s="12"/>
      <c r="G56" s="12"/>
      <c r="H56" s="59"/>
      <c r="I56" s="12"/>
      <c r="J56" s="30">
        <f>H56+I56</f>
        <v>0</v>
      </c>
      <c r="K56" s="12"/>
      <c r="L56" s="30">
        <f t="shared" si="6"/>
        <v>0</v>
      </c>
      <c r="M56" s="41">
        <f t="shared" si="7"/>
        <v>0</v>
      </c>
      <c r="N56" s="22"/>
      <c r="O56" s="445"/>
    </row>
    <row r="57" spans="1:15" ht="21" x14ac:dyDescent="0.25">
      <c r="A57" s="58" t="s">
        <v>2564</v>
      </c>
      <c r="B57" s="59"/>
      <c r="C57" s="12"/>
      <c r="D57" s="12"/>
      <c r="E57" s="12"/>
      <c r="F57" s="12"/>
      <c r="G57" s="12"/>
      <c r="H57" s="59"/>
      <c r="I57" s="12"/>
      <c r="J57" s="30">
        <f t="shared" si="5"/>
        <v>0</v>
      </c>
      <c r="K57" s="12"/>
      <c r="L57" s="30">
        <f>B57+C57+D57+E57-F57-J57-K57</f>
        <v>0</v>
      </c>
      <c r="M57" s="41">
        <f>IF(J57&gt;0,L57/J57,0)</f>
        <v>0</v>
      </c>
      <c r="N57" s="22"/>
      <c r="O57" s="445"/>
    </row>
    <row r="58" spans="1:15" ht="13.5" customHeight="1" x14ac:dyDescent="0.25">
      <c r="A58" s="62" t="s">
        <v>2565</v>
      </c>
      <c r="B58" s="59"/>
      <c r="C58" s="12"/>
      <c r="D58" s="12"/>
      <c r="E58" s="12"/>
      <c r="F58" s="12"/>
      <c r="G58" s="12"/>
      <c r="H58" s="59"/>
      <c r="I58" s="12"/>
      <c r="J58" s="30">
        <f t="shared" si="5"/>
        <v>0</v>
      </c>
      <c r="K58" s="12"/>
      <c r="L58" s="30">
        <f t="shared" si="6"/>
        <v>0</v>
      </c>
      <c r="M58" s="41">
        <f t="shared" si="7"/>
        <v>0</v>
      </c>
      <c r="N58" s="22"/>
      <c r="O58" s="446"/>
    </row>
    <row r="59" spans="1:15" ht="15" customHeight="1" x14ac:dyDescent="0.25">
      <c r="A59" s="466" t="s">
        <v>2318</v>
      </c>
      <c r="B59" s="466"/>
      <c r="C59" s="466"/>
      <c r="D59" s="466"/>
      <c r="E59" s="466"/>
      <c r="F59" s="466"/>
      <c r="G59" s="466"/>
      <c r="H59" s="466"/>
      <c r="I59" s="276"/>
      <c r="J59" s="276"/>
      <c r="K59" s="460"/>
      <c r="L59" s="460"/>
      <c r="M59" s="460"/>
      <c r="N59" s="460"/>
    </row>
    <row r="60" spans="1:15" ht="18" customHeight="1" x14ac:dyDescent="0.25">
      <c r="A60" s="444" t="s">
        <v>2319</v>
      </c>
      <c r="B60" s="444"/>
      <c r="C60" s="444"/>
      <c r="D60" s="444"/>
      <c r="E60" s="444"/>
      <c r="F60" s="444"/>
      <c r="G60" s="444"/>
      <c r="H60" s="444"/>
      <c r="I60" s="435">
        <v>15</v>
      </c>
      <c r="J60" s="436"/>
      <c r="K60" s="436"/>
      <c r="L60" s="436"/>
      <c r="M60" s="436"/>
      <c r="N60" s="437"/>
    </row>
    <row r="61" spans="1:15" ht="18" customHeight="1" x14ac:dyDescent="0.25">
      <c r="A61" s="444" t="s">
        <v>2320</v>
      </c>
      <c r="B61" s="444"/>
      <c r="C61" s="444"/>
      <c r="D61" s="444"/>
      <c r="E61" s="444"/>
      <c r="F61" s="444"/>
      <c r="G61" s="444"/>
      <c r="H61" s="444"/>
      <c r="I61" s="435">
        <v>78</v>
      </c>
      <c r="J61" s="436"/>
      <c r="K61" s="436"/>
      <c r="L61" s="436"/>
      <c r="M61" s="436"/>
      <c r="N61" s="437"/>
    </row>
    <row r="62" spans="1:15" ht="18" customHeight="1" x14ac:dyDescent="0.25">
      <c r="A62" s="444" t="s">
        <v>2321</v>
      </c>
      <c r="B62" s="444"/>
      <c r="C62" s="444"/>
      <c r="D62" s="444"/>
      <c r="E62" s="444"/>
      <c r="F62" s="444"/>
      <c r="G62" s="444"/>
      <c r="H62" s="444"/>
      <c r="I62" s="432">
        <v>232</v>
      </c>
      <c r="J62" s="433"/>
      <c r="K62" s="433"/>
      <c r="L62" s="433"/>
      <c r="M62" s="433"/>
      <c r="N62" s="434"/>
    </row>
    <row r="63" spans="1:15" ht="18" customHeight="1" x14ac:dyDescent="0.25">
      <c r="A63" s="444" t="s">
        <v>3641</v>
      </c>
      <c r="B63" s="444"/>
      <c r="C63" s="444"/>
      <c r="D63" s="444"/>
      <c r="E63" s="444"/>
      <c r="F63" s="444"/>
      <c r="G63" s="444"/>
      <c r="H63" s="444"/>
      <c r="I63" s="432">
        <v>176</v>
      </c>
      <c r="J63" s="433"/>
      <c r="K63" s="433"/>
      <c r="L63" s="433"/>
      <c r="M63" s="433"/>
      <c r="N63" s="434"/>
    </row>
    <row r="64" spans="1:15" ht="17.45" customHeight="1" x14ac:dyDescent="0.25">
      <c r="A64" s="313" t="s">
        <v>3616</v>
      </c>
      <c r="B64" s="313"/>
      <c r="C64" s="313"/>
      <c r="D64" s="313"/>
      <c r="E64" s="313"/>
      <c r="F64" s="313"/>
      <c r="G64" s="313"/>
      <c r="H64" s="313"/>
      <c r="I64" s="432">
        <v>164</v>
      </c>
      <c r="J64" s="433"/>
      <c r="K64" s="433"/>
      <c r="L64" s="433"/>
      <c r="M64" s="433"/>
      <c r="N64" s="434"/>
      <c r="O64"/>
    </row>
    <row r="65" spans="1:15" ht="29.25" customHeight="1" x14ac:dyDescent="0.25">
      <c r="A65" s="425"/>
      <c r="B65" s="425"/>
      <c r="C65" s="425"/>
      <c r="D65" s="425"/>
      <c r="E65" s="425"/>
      <c r="F65" s="425"/>
      <c r="G65" s="425"/>
      <c r="H65" s="425"/>
      <c r="I65" s="425"/>
      <c r="J65" s="425"/>
      <c r="K65" s="425"/>
      <c r="L65" s="425"/>
      <c r="M65" s="425"/>
      <c r="N65" s="425"/>
      <c r="O65"/>
    </row>
    <row r="97" spans="1:14" x14ac:dyDescent="0.25"/>
    <row r="110" spans="1:14" ht="19.5" hidden="1" customHeight="1" x14ac:dyDescent="0.25">
      <c r="A110" s="461"/>
      <c r="B110" s="462"/>
      <c r="C110" s="462"/>
      <c r="D110" s="462"/>
      <c r="E110" s="462"/>
      <c r="F110" s="462"/>
      <c r="G110" s="462"/>
      <c r="H110" s="462"/>
      <c r="I110" s="462"/>
      <c r="J110" s="462"/>
      <c r="K110" s="462"/>
      <c r="L110" s="462"/>
      <c r="M110" s="462"/>
      <c r="N110" s="462"/>
    </row>
  </sheetData>
  <sheetProtection algorithmName="SHA-512" hashValue="8N+omcyMRQYKGq9Y7k2+Ieg3Cht8O4Lyanov7Fp7nrIYNu4jzR5VO47SO/LaxQeJdGlCLlSxuLdWL8Myd/XqYA==" saltValue="ERNIHCYzx3pirbXDwMf2QQ==" spinCount="100000" sheet="1" selectLockedCells="1"/>
  <mergeCells count="139">
    <mergeCell ref="A110:N110"/>
    <mergeCell ref="A29:B29"/>
    <mergeCell ref="A49:N49"/>
    <mergeCell ref="K32:K33"/>
    <mergeCell ref="L32:L33"/>
    <mergeCell ref="M32:M33"/>
    <mergeCell ref="N32:N33"/>
    <mergeCell ref="H32:J32"/>
    <mergeCell ref="A31:N31"/>
    <mergeCell ref="A32:A33"/>
    <mergeCell ref="B32:B33"/>
    <mergeCell ref="C32:E32"/>
    <mergeCell ref="A30:B30"/>
    <mergeCell ref="F32:F33"/>
    <mergeCell ref="G32:G33"/>
    <mergeCell ref="J29:L29"/>
    <mergeCell ref="J30:L30"/>
    <mergeCell ref="M29:N29"/>
    <mergeCell ref="M30:N30"/>
    <mergeCell ref="C29:D29"/>
    <mergeCell ref="C30:D30"/>
    <mergeCell ref="A65:N65"/>
    <mergeCell ref="A59:N59"/>
    <mergeCell ref="A63:H63"/>
    <mergeCell ref="A1:M1"/>
    <mergeCell ref="G9:I9"/>
    <mergeCell ref="G10:I10"/>
    <mergeCell ref="G11:I11"/>
    <mergeCell ref="G12:I12"/>
    <mergeCell ref="E7:F7"/>
    <mergeCell ref="C6:F6"/>
    <mergeCell ref="A2:C2"/>
    <mergeCell ref="D2:N2"/>
    <mergeCell ref="A3:N3"/>
    <mergeCell ref="A4:L4"/>
    <mergeCell ref="M4:N4"/>
    <mergeCell ref="A12:B12"/>
    <mergeCell ref="A11:B11"/>
    <mergeCell ref="A10:B10"/>
    <mergeCell ref="A9:B9"/>
    <mergeCell ref="A5:N5"/>
    <mergeCell ref="J6:N6"/>
    <mergeCell ref="J7:L7"/>
    <mergeCell ref="M7:N7"/>
    <mergeCell ref="C7:D7"/>
    <mergeCell ref="A6:B8"/>
    <mergeCell ref="G6:I8"/>
    <mergeCell ref="K8:L8"/>
    <mergeCell ref="A17:B17"/>
    <mergeCell ref="G17:I17"/>
    <mergeCell ref="A23:B23"/>
    <mergeCell ref="C21:D21"/>
    <mergeCell ref="C22:D22"/>
    <mergeCell ref="C23:D23"/>
    <mergeCell ref="C19:F19"/>
    <mergeCell ref="C20:D20"/>
    <mergeCell ref="G22:I22"/>
    <mergeCell ref="G23:I23"/>
    <mergeCell ref="A19:B20"/>
    <mergeCell ref="E21:F21"/>
    <mergeCell ref="E22:F22"/>
    <mergeCell ref="E23:F23"/>
    <mergeCell ref="A22:B22"/>
    <mergeCell ref="E20:F20"/>
    <mergeCell ref="K9:L9"/>
    <mergeCell ref="K10:L10"/>
    <mergeCell ref="K11:L11"/>
    <mergeCell ref="K12:L12"/>
    <mergeCell ref="A18:N18"/>
    <mergeCell ref="G19:I20"/>
    <mergeCell ref="G21:I21"/>
    <mergeCell ref="A13:B13"/>
    <mergeCell ref="A21:B21"/>
    <mergeCell ref="K13:L13"/>
    <mergeCell ref="K14:L14"/>
    <mergeCell ref="K15:L15"/>
    <mergeCell ref="K16:L16"/>
    <mergeCell ref="K17:L17"/>
    <mergeCell ref="G16:I16"/>
    <mergeCell ref="A15:B15"/>
    <mergeCell ref="A14:B14"/>
    <mergeCell ref="G13:I13"/>
    <mergeCell ref="G14:I14"/>
    <mergeCell ref="J20:L20"/>
    <mergeCell ref="J19:N19"/>
    <mergeCell ref="J21:L21"/>
    <mergeCell ref="A16:B16"/>
    <mergeCell ref="G15:I15"/>
    <mergeCell ref="A27:B27"/>
    <mergeCell ref="A28:B28"/>
    <mergeCell ref="A26:B26"/>
    <mergeCell ref="A25:B25"/>
    <mergeCell ref="J28:L28"/>
    <mergeCell ref="J22:L22"/>
    <mergeCell ref="A24:B24"/>
    <mergeCell ref="G25:I25"/>
    <mergeCell ref="G26:I26"/>
    <mergeCell ref="E27:F27"/>
    <mergeCell ref="M20:N20"/>
    <mergeCell ref="M21:N21"/>
    <mergeCell ref="M22:N22"/>
    <mergeCell ref="M23:N23"/>
    <mergeCell ref="C24:D24"/>
    <mergeCell ref="G24:I24"/>
    <mergeCell ref="E24:F24"/>
    <mergeCell ref="J23:L23"/>
    <mergeCell ref="J24:L24"/>
    <mergeCell ref="M24:N24"/>
    <mergeCell ref="M25:N25"/>
    <mergeCell ref="M26:N26"/>
    <mergeCell ref="M27:N27"/>
    <mergeCell ref="M28:N28"/>
    <mergeCell ref="C28:D28"/>
    <mergeCell ref="G28:I28"/>
    <mergeCell ref="C26:D26"/>
    <mergeCell ref="C27:D27"/>
    <mergeCell ref="E28:F28"/>
    <mergeCell ref="E25:F25"/>
    <mergeCell ref="E26:F26"/>
    <mergeCell ref="J25:L25"/>
    <mergeCell ref="J26:L26"/>
    <mergeCell ref="C25:D25"/>
    <mergeCell ref="G27:I27"/>
    <mergeCell ref="J27:L27"/>
    <mergeCell ref="I63:N63"/>
    <mergeCell ref="I60:N60"/>
    <mergeCell ref="I62:N62"/>
    <mergeCell ref="I64:N64"/>
    <mergeCell ref="E30:F30"/>
    <mergeCell ref="G29:I29"/>
    <mergeCell ref="A64:H64"/>
    <mergeCell ref="O34:O48"/>
    <mergeCell ref="A60:H60"/>
    <mergeCell ref="A62:H62"/>
    <mergeCell ref="A61:H61"/>
    <mergeCell ref="I61:N61"/>
    <mergeCell ref="E29:F29"/>
    <mergeCell ref="G30:I30"/>
    <mergeCell ref="O50:O58"/>
  </mergeCells>
  <conditionalFormatting sqref="L48 J48 J50:J58 L50:L58 J34:J44 L34:L44">
    <cfRule type="cellIs" dxfId="77" priority="2" operator="lessThan">
      <formula>0</formula>
    </cfRule>
  </conditionalFormatting>
  <conditionalFormatting sqref="J45:J47 L45:L47">
    <cfRule type="cellIs" dxfId="76" priority="1" operator="lessThan">
      <formula>0</formula>
    </cfRule>
  </conditionalFormatting>
  <dataValidations count="6">
    <dataValidation type="whole" allowBlank="1" showInputMessage="1" showErrorMessage="1" sqref="N64948 WVV982452 WLZ982452 WCD982452 VSH982452 VIL982452 UYP982452 UOT982452 UEX982452 TVB982452 TLF982452 TBJ982452 SRN982452 SHR982452 RXV982452 RNZ982452 RED982452 QUH982452 QKL982452 QAP982452 PQT982452 PGX982452 OXB982452 ONF982452 ODJ982452 NTN982452 NJR982452 MZV982452 MPZ982452 MGD982452 LWH982452 LML982452 LCP982452 KST982452 KIX982452 JZB982452 JPF982452 JFJ982452 IVN982452 ILR982452 IBV982452 HRZ982452 HID982452 GYH982452 GOL982452 GEP982452 FUT982452 FKX982452 FBB982452 ERF982452 EHJ982452 DXN982452 DNR982452 DDV982452 CTZ982452 CKD982452 CAH982452 BQL982452 BGP982452 AWT982452 AMX982452 ADB982452 TF982452 JJ982452 N982452 WVV916916 WLZ916916 WCD916916 VSH916916 VIL916916 UYP916916 UOT916916 UEX916916 TVB916916 TLF916916 TBJ916916 SRN916916 SHR916916 RXV916916 RNZ916916 RED916916 QUH916916 QKL916916 QAP916916 PQT916916 PGX916916 OXB916916 ONF916916 ODJ916916 NTN916916 NJR916916 MZV916916 MPZ916916 MGD916916 LWH916916 LML916916 LCP916916 KST916916 KIX916916 JZB916916 JPF916916 JFJ916916 IVN916916 ILR916916 IBV916916 HRZ916916 HID916916 GYH916916 GOL916916 GEP916916 FUT916916 FKX916916 FBB916916 ERF916916 EHJ916916 DXN916916 DNR916916 DDV916916 CTZ916916 CKD916916 CAH916916 BQL916916 BGP916916 AWT916916 AMX916916 ADB916916 TF916916 JJ916916 N916916 WVV851380 WLZ851380 WCD851380 VSH851380 VIL851380 UYP851380 UOT851380 UEX851380 TVB851380 TLF851380 TBJ851380 SRN851380 SHR851380 RXV851380 RNZ851380 RED851380 QUH851380 QKL851380 QAP851380 PQT851380 PGX851380 OXB851380 ONF851380 ODJ851380 NTN851380 NJR851380 MZV851380 MPZ851380 MGD851380 LWH851380 LML851380 LCP851380 KST851380 KIX851380 JZB851380 JPF851380 JFJ851380 IVN851380 ILR851380 IBV851380 HRZ851380 HID851380 GYH851380 GOL851380 GEP851380 FUT851380 FKX851380 FBB851380 ERF851380 EHJ851380 DXN851380 DNR851380 DDV851380 CTZ851380 CKD851380 CAH851380 BQL851380 BGP851380 AWT851380 AMX851380 ADB851380 TF851380 JJ851380 N851380 WVV785844 WLZ785844 WCD785844 VSH785844 VIL785844 UYP785844 UOT785844 UEX785844 TVB785844 TLF785844 TBJ785844 SRN785844 SHR785844 RXV785844 RNZ785844 RED785844 QUH785844 QKL785844 QAP785844 PQT785844 PGX785844 OXB785844 ONF785844 ODJ785844 NTN785844 NJR785844 MZV785844 MPZ785844 MGD785844 LWH785844 LML785844 LCP785844 KST785844 KIX785844 JZB785844 JPF785844 JFJ785844 IVN785844 ILR785844 IBV785844 HRZ785844 HID785844 GYH785844 GOL785844 GEP785844 FUT785844 FKX785844 FBB785844 ERF785844 EHJ785844 DXN785844 DNR785844 DDV785844 CTZ785844 CKD785844 CAH785844 BQL785844 BGP785844 AWT785844 AMX785844 ADB785844 TF785844 JJ785844 N785844 WVV720308 WLZ720308 WCD720308 VSH720308 VIL720308 UYP720308 UOT720308 UEX720308 TVB720308 TLF720308 TBJ720308 SRN720308 SHR720308 RXV720308 RNZ720308 RED720308 QUH720308 QKL720308 QAP720308 PQT720308 PGX720308 OXB720308 ONF720308 ODJ720308 NTN720308 NJR720308 MZV720308 MPZ720308 MGD720308 LWH720308 LML720308 LCP720308 KST720308 KIX720308 JZB720308 JPF720308 JFJ720308 IVN720308 ILR720308 IBV720308 HRZ720308 HID720308 GYH720308 GOL720308 GEP720308 FUT720308 FKX720308 FBB720308 ERF720308 EHJ720308 DXN720308 DNR720308 DDV720308 CTZ720308 CKD720308 CAH720308 BQL720308 BGP720308 AWT720308 AMX720308 ADB720308 TF720308 JJ720308 N720308 WVV654772 WLZ654772 WCD654772 VSH654772 VIL654772 UYP654772 UOT654772 UEX654772 TVB654772 TLF654772 TBJ654772 SRN654772 SHR654772 RXV654772 RNZ654772 RED654772 QUH654772 QKL654772 QAP654772 PQT654772 PGX654772 OXB654772 ONF654772 ODJ654772 NTN654772 NJR654772 MZV654772 MPZ654772 MGD654772 LWH654772 LML654772 LCP654772 KST654772 KIX654772 JZB654772 JPF654772 JFJ654772 IVN654772 ILR654772 IBV654772 HRZ654772 HID654772 GYH654772 GOL654772 GEP654772 FUT654772 FKX654772 FBB654772 ERF654772 EHJ654772 DXN654772 DNR654772 DDV654772 CTZ654772 CKD654772 CAH654772 BQL654772 BGP654772 AWT654772 AMX654772 ADB654772 TF654772 JJ654772 N654772 WVV589236 WLZ589236 WCD589236 VSH589236 VIL589236 UYP589236 UOT589236 UEX589236 TVB589236 TLF589236 TBJ589236 SRN589236 SHR589236 RXV589236 RNZ589236 RED589236 QUH589236 QKL589236 QAP589236 PQT589236 PGX589236 OXB589236 ONF589236 ODJ589236 NTN589236 NJR589236 MZV589236 MPZ589236 MGD589236 LWH589236 LML589236 LCP589236 KST589236 KIX589236 JZB589236 JPF589236 JFJ589236 IVN589236 ILR589236 IBV589236 HRZ589236 HID589236 GYH589236 GOL589236 GEP589236 FUT589236 FKX589236 FBB589236 ERF589236 EHJ589236 DXN589236 DNR589236 DDV589236 CTZ589236 CKD589236 CAH589236 BQL589236 BGP589236 AWT589236 AMX589236 ADB589236 TF589236 JJ589236 N589236 WVV523700 WLZ523700 WCD523700 VSH523700 VIL523700 UYP523700 UOT523700 UEX523700 TVB523700 TLF523700 TBJ523700 SRN523700 SHR523700 RXV523700 RNZ523700 RED523700 QUH523700 QKL523700 QAP523700 PQT523700 PGX523700 OXB523700 ONF523700 ODJ523700 NTN523700 NJR523700 MZV523700 MPZ523700 MGD523700 LWH523700 LML523700 LCP523700 KST523700 KIX523700 JZB523700 JPF523700 JFJ523700 IVN523700 ILR523700 IBV523700 HRZ523700 HID523700 GYH523700 GOL523700 GEP523700 FUT523700 FKX523700 FBB523700 ERF523700 EHJ523700 DXN523700 DNR523700 DDV523700 CTZ523700 CKD523700 CAH523700 BQL523700 BGP523700 AWT523700 AMX523700 ADB523700 TF523700 JJ523700 N523700 WVV458164 WLZ458164 WCD458164 VSH458164 VIL458164 UYP458164 UOT458164 UEX458164 TVB458164 TLF458164 TBJ458164 SRN458164 SHR458164 RXV458164 RNZ458164 RED458164 QUH458164 QKL458164 QAP458164 PQT458164 PGX458164 OXB458164 ONF458164 ODJ458164 NTN458164 NJR458164 MZV458164 MPZ458164 MGD458164 LWH458164 LML458164 LCP458164 KST458164 KIX458164 JZB458164 JPF458164 JFJ458164 IVN458164 ILR458164 IBV458164 HRZ458164 HID458164 GYH458164 GOL458164 GEP458164 FUT458164 FKX458164 FBB458164 ERF458164 EHJ458164 DXN458164 DNR458164 DDV458164 CTZ458164 CKD458164 CAH458164 BQL458164 BGP458164 AWT458164 AMX458164 ADB458164 TF458164 JJ458164 N458164 WVV392628 WLZ392628 WCD392628 VSH392628 VIL392628 UYP392628 UOT392628 UEX392628 TVB392628 TLF392628 TBJ392628 SRN392628 SHR392628 RXV392628 RNZ392628 RED392628 QUH392628 QKL392628 QAP392628 PQT392628 PGX392628 OXB392628 ONF392628 ODJ392628 NTN392628 NJR392628 MZV392628 MPZ392628 MGD392628 LWH392628 LML392628 LCP392628 KST392628 KIX392628 JZB392628 JPF392628 JFJ392628 IVN392628 ILR392628 IBV392628 HRZ392628 HID392628 GYH392628 GOL392628 GEP392628 FUT392628 FKX392628 FBB392628 ERF392628 EHJ392628 DXN392628 DNR392628 DDV392628 CTZ392628 CKD392628 CAH392628 BQL392628 BGP392628 AWT392628 AMX392628 ADB392628 TF392628 JJ392628 N392628 WVV327092 WLZ327092 WCD327092 VSH327092 VIL327092 UYP327092 UOT327092 UEX327092 TVB327092 TLF327092 TBJ327092 SRN327092 SHR327092 RXV327092 RNZ327092 RED327092 QUH327092 QKL327092 QAP327092 PQT327092 PGX327092 OXB327092 ONF327092 ODJ327092 NTN327092 NJR327092 MZV327092 MPZ327092 MGD327092 LWH327092 LML327092 LCP327092 KST327092 KIX327092 JZB327092 JPF327092 JFJ327092 IVN327092 ILR327092 IBV327092 HRZ327092 HID327092 GYH327092 GOL327092 GEP327092 FUT327092 FKX327092 FBB327092 ERF327092 EHJ327092 DXN327092 DNR327092 DDV327092 CTZ327092 CKD327092 CAH327092 BQL327092 BGP327092 AWT327092 AMX327092 ADB327092 TF327092 JJ327092 N327092 WVV261556 WLZ261556 WCD261556 VSH261556 VIL261556 UYP261556 UOT261556 UEX261556 TVB261556 TLF261556 TBJ261556 SRN261556 SHR261556 RXV261556 RNZ261556 RED261556 QUH261556 QKL261556 QAP261556 PQT261556 PGX261556 OXB261556 ONF261556 ODJ261556 NTN261556 NJR261556 MZV261556 MPZ261556 MGD261556 LWH261556 LML261556 LCP261556 KST261556 KIX261556 JZB261556 JPF261556 JFJ261556 IVN261556 ILR261556 IBV261556 HRZ261556 HID261556 GYH261556 GOL261556 GEP261556 FUT261556 FKX261556 FBB261556 ERF261556 EHJ261556 DXN261556 DNR261556 DDV261556 CTZ261556 CKD261556 CAH261556 BQL261556 BGP261556 AWT261556 AMX261556 ADB261556 TF261556 JJ261556 N261556 WVV196020 WLZ196020 WCD196020 VSH196020 VIL196020 UYP196020 UOT196020 UEX196020 TVB196020 TLF196020 TBJ196020 SRN196020 SHR196020 RXV196020 RNZ196020 RED196020 QUH196020 QKL196020 QAP196020 PQT196020 PGX196020 OXB196020 ONF196020 ODJ196020 NTN196020 NJR196020 MZV196020 MPZ196020 MGD196020 LWH196020 LML196020 LCP196020 KST196020 KIX196020 JZB196020 JPF196020 JFJ196020 IVN196020 ILR196020 IBV196020 HRZ196020 HID196020 GYH196020 GOL196020 GEP196020 FUT196020 FKX196020 FBB196020 ERF196020 EHJ196020 DXN196020 DNR196020 DDV196020 CTZ196020 CKD196020 CAH196020 BQL196020 BGP196020 AWT196020 AMX196020 ADB196020 TF196020 JJ196020 N196020 WVV130484 WLZ130484 WCD130484 VSH130484 VIL130484 UYP130484 UOT130484 UEX130484 TVB130484 TLF130484 TBJ130484 SRN130484 SHR130484 RXV130484 RNZ130484 RED130484 QUH130484 QKL130484 QAP130484 PQT130484 PGX130484 OXB130484 ONF130484 ODJ130484 NTN130484 NJR130484 MZV130484 MPZ130484 MGD130484 LWH130484 LML130484 LCP130484 KST130484 KIX130484 JZB130484 JPF130484 JFJ130484 IVN130484 ILR130484 IBV130484 HRZ130484 HID130484 GYH130484 GOL130484 GEP130484 FUT130484 FKX130484 FBB130484 ERF130484 EHJ130484 DXN130484 DNR130484 DDV130484 CTZ130484 CKD130484 CAH130484 BQL130484 BGP130484 AWT130484 AMX130484 ADB130484 TF130484 JJ130484 N130484 WVV64948 WLZ64948 WCD64948 VSH64948 VIL64948 UYP64948 UOT64948 UEX64948 TVB64948 TLF64948 TBJ64948 SRN64948 SHR64948 RXV64948 RNZ64948 RED64948 QUH64948 QKL64948 QAP64948 PQT64948 PGX64948 OXB64948 ONF64948 ODJ64948 NTN64948 NJR64948 MZV64948 MPZ64948 MGD64948 LWH64948 LML64948 LCP64948 KST64948 KIX64948 JZB64948 JPF64948 JFJ64948 IVN64948 ILR64948 IBV64948 HRZ64948 HID64948 GYH64948 GOL64948 GEP64948 FUT64948 FKX64948 FBB64948 ERF64948 EHJ64948 DXN64948 DNR64948 DDV64948 CTZ64948 CKD64948 CAH64948 BQL64948 BGP64948 AWT64948 AMX64948 ADB64948 TF64948 JJ64948">
      <formula1>1</formula1>
      <formula2>2</formula2>
    </dataValidation>
    <dataValidation type="whole" operator="greaterThanOrEqual" showInputMessage="1" showErrorMessage="1" error="Please enter a valid positive numerical value" sqref="J9:N17 C9:F17 C34:E48 N34:N48 K34:K48 C50:E58 K50:K58 N50:N58">
      <formula1>0</formula1>
    </dataValidation>
    <dataValidation type="whole" operator="greaterThanOrEqual" showInputMessage="1" showErrorMessage="1" error="Please enter a valid positive numerical value" prompt="Please ensure that 'Opening Stock' of reporting month is equal to 'Closing Stock' of previous month" sqref="B34:B48 B50:B58">
      <formula1>0</formula1>
    </dataValidation>
    <dataValidation type="whole" showInputMessage="1" showErrorMessage="1" error="The value should be less than sum of opening stock and total stock received in the month" sqref="F34:I48 F50:I58">
      <formula1>0</formula1>
      <formula2>$B34+$C34+$D34+$E34</formula2>
    </dataValidation>
    <dataValidation type="whole" operator="greaterThanOrEqual" showInputMessage="1" showErrorMessage="1" error="Please enter a valid positive value" sqref="I60:N63">
      <formula1>0</formula1>
    </dataValidation>
    <dataValidation type="whole" showInputMessage="1" showErrorMessage="1" error="The Value sould be less than or equal to 9.3" sqref="I64:N64">
      <formula1>0</formula1>
      <formula2>I63</formula2>
    </dataValidation>
  </dataValidations>
  <pageMargins left="0.17" right="0.18" top="0.17" bottom="0.18" header="0.17" footer="0.3"/>
  <pageSetup scale="60" orientation="landscape" r:id="rId1"/>
  <drawing r:id="rId2"/>
  <extLst>
    <ext xmlns:x14="http://schemas.microsoft.com/office/spreadsheetml/2009/9/main" uri="{CCE6A557-97BC-4b89-ADB6-D9C93CAAB3DF}">
      <x14:dataValidations xmlns:xm="http://schemas.microsoft.com/office/excel/2006/main" count="4">
        <x14:dataValidation type="whole" showInputMessage="1" showErrorMessage="1" error="The value of this indicator should be less than or equal to 3.10. Please ensure than 3.10 has been calculated first.">
          <x14:formula1>
            <xm:f>0</xm:f>
          </x14:formula1>
          <x14:formula2>
            <xm:f>ART_2!$K$45</xm:f>
          </x14:formula2>
          <xm:sqref>J21:N30 C21:F30</xm:sqref>
        </x14:dataValidation>
        <x14:dataValidation allowBlank="1">
          <xm:sqref>K64906 WVM982410 WLQ982410 WBU982410 VRY982410 VIC982410 UYG982410 UOK982410 UEO982410 TUS982410 TKW982410 TBA982410 SRE982410 SHI982410 RXM982410 RNQ982410 RDU982410 QTY982410 QKC982410 QAG982410 PQK982410 PGO982410 OWS982410 OMW982410 ODA982410 NTE982410 NJI982410 MZM982410 MPQ982410 MFU982410 LVY982410 LMC982410 LCG982410 KSK982410 KIO982410 JYS982410 JOW982410 JFA982410 IVE982410 ILI982410 IBM982410 HRQ982410 HHU982410 GXY982410 GOC982410 GEG982410 FUK982410 FKO982410 FAS982410 EQW982410 EHA982410 DXE982410 DNI982410 DDM982410 CTQ982410 CJU982410 BZY982410 BQC982410 BGG982410 AWK982410 AMO982410 ACS982410 SW982410 JA982410 E982410 WVM916874 WLQ916874 WBU916874 VRY916874 VIC916874 UYG916874 UOK916874 UEO916874 TUS916874 TKW916874 TBA916874 SRE916874 SHI916874 RXM916874 RNQ916874 RDU916874 QTY916874 QKC916874 QAG916874 PQK916874 PGO916874 OWS916874 OMW916874 ODA916874 NTE916874 NJI916874 MZM916874 MPQ916874 MFU916874 LVY916874 LMC916874 LCG916874 KSK916874 KIO916874 JYS916874 JOW916874 JFA916874 IVE916874 ILI916874 IBM916874 HRQ916874 HHU916874 GXY916874 GOC916874 GEG916874 FUK916874 FKO916874 FAS916874 EQW916874 EHA916874 DXE916874 DNI916874 DDM916874 CTQ916874 CJU916874 BZY916874 BQC916874 BGG916874 AWK916874 AMO916874 ACS916874 SW916874 JA916874 E916874 WVM851338 WLQ851338 WBU851338 VRY851338 VIC851338 UYG851338 UOK851338 UEO851338 TUS851338 TKW851338 TBA851338 SRE851338 SHI851338 RXM851338 RNQ851338 RDU851338 QTY851338 QKC851338 QAG851338 PQK851338 PGO851338 OWS851338 OMW851338 ODA851338 NTE851338 NJI851338 MZM851338 MPQ851338 MFU851338 LVY851338 LMC851338 LCG851338 KSK851338 KIO851338 JYS851338 JOW851338 JFA851338 IVE851338 ILI851338 IBM851338 HRQ851338 HHU851338 GXY851338 GOC851338 GEG851338 FUK851338 FKO851338 FAS851338 EQW851338 EHA851338 DXE851338 DNI851338 DDM851338 CTQ851338 CJU851338 BZY851338 BQC851338 BGG851338 AWK851338 AMO851338 ACS851338 SW851338 JA851338 E851338 WVM785802 WLQ785802 WBU785802 VRY785802 VIC785802 UYG785802 UOK785802 UEO785802 TUS785802 TKW785802 TBA785802 SRE785802 SHI785802 RXM785802 RNQ785802 RDU785802 QTY785802 QKC785802 QAG785802 PQK785802 PGO785802 OWS785802 OMW785802 ODA785802 NTE785802 NJI785802 MZM785802 MPQ785802 MFU785802 LVY785802 LMC785802 LCG785802 KSK785802 KIO785802 JYS785802 JOW785802 JFA785802 IVE785802 ILI785802 IBM785802 HRQ785802 HHU785802 GXY785802 GOC785802 GEG785802 FUK785802 FKO785802 FAS785802 EQW785802 EHA785802 DXE785802 DNI785802 DDM785802 CTQ785802 CJU785802 BZY785802 BQC785802 BGG785802 AWK785802 AMO785802 ACS785802 SW785802 JA785802 E785802 WVM720266 WLQ720266 WBU720266 VRY720266 VIC720266 UYG720266 UOK720266 UEO720266 TUS720266 TKW720266 TBA720266 SRE720266 SHI720266 RXM720266 RNQ720266 RDU720266 QTY720266 QKC720266 QAG720266 PQK720266 PGO720266 OWS720266 OMW720266 ODA720266 NTE720266 NJI720266 MZM720266 MPQ720266 MFU720266 LVY720266 LMC720266 LCG720266 KSK720266 KIO720266 JYS720266 JOW720266 JFA720266 IVE720266 ILI720266 IBM720266 HRQ720266 HHU720266 GXY720266 GOC720266 GEG720266 FUK720266 FKO720266 FAS720266 EQW720266 EHA720266 DXE720266 DNI720266 DDM720266 CTQ720266 CJU720266 BZY720266 BQC720266 BGG720266 AWK720266 AMO720266 ACS720266 SW720266 JA720266 E720266 WVM654730 WLQ654730 WBU654730 VRY654730 VIC654730 UYG654730 UOK654730 UEO654730 TUS654730 TKW654730 TBA654730 SRE654730 SHI654730 RXM654730 RNQ654730 RDU654730 QTY654730 QKC654730 QAG654730 PQK654730 PGO654730 OWS654730 OMW654730 ODA654730 NTE654730 NJI654730 MZM654730 MPQ654730 MFU654730 LVY654730 LMC654730 LCG654730 KSK654730 KIO654730 JYS654730 JOW654730 JFA654730 IVE654730 ILI654730 IBM654730 HRQ654730 HHU654730 GXY654730 GOC654730 GEG654730 FUK654730 FKO654730 FAS654730 EQW654730 EHA654730 DXE654730 DNI654730 DDM654730 CTQ654730 CJU654730 BZY654730 BQC654730 BGG654730 AWK654730 AMO654730 ACS654730 SW654730 JA654730 E654730 WVM589194 WLQ589194 WBU589194 VRY589194 VIC589194 UYG589194 UOK589194 UEO589194 TUS589194 TKW589194 TBA589194 SRE589194 SHI589194 RXM589194 RNQ589194 RDU589194 QTY589194 QKC589194 QAG589194 PQK589194 PGO589194 OWS589194 OMW589194 ODA589194 NTE589194 NJI589194 MZM589194 MPQ589194 MFU589194 LVY589194 LMC589194 LCG589194 KSK589194 KIO589194 JYS589194 JOW589194 JFA589194 IVE589194 ILI589194 IBM589194 HRQ589194 HHU589194 GXY589194 GOC589194 GEG589194 FUK589194 FKO589194 FAS589194 EQW589194 EHA589194 DXE589194 DNI589194 DDM589194 CTQ589194 CJU589194 BZY589194 BQC589194 BGG589194 AWK589194 AMO589194 ACS589194 SW589194 JA589194 E589194 WVM523658 WLQ523658 WBU523658 VRY523658 VIC523658 UYG523658 UOK523658 UEO523658 TUS523658 TKW523658 TBA523658 SRE523658 SHI523658 RXM523658 RNQ523658 RDU523658 QTY523658 QKC523658 QAG523658 PQK523658 PGO523658 OWS523658 OMW523658 ODA523658 NTE523658 NJI523658 MZM523658 MPQ523658 MFU523658 LVY523658 LMC523658 LCG523658 KSK523658 KIO523658 JYS523658 JOW523658 JFA523658 IVE523658 ILI523658 IBM523658 HRQ523658 HHU523658 GXY523658 GOC523658 GEG523658 FUK523658 FKO523658 FAS523658 EQW523658 EHA523658 DXE523658 DNI523658 DDM523658 CTQ523658 CJU523658 BZY523658 BQC523658 BGG523658 AWK523658 AMO523658 ACS523658 SW523658 JA523658 E523658 WVM458122 WLQ458122 WBU458122 VRY458122 VIC458122 UYG458122 UOK458122 UEO458122 TUS458122 TKW458122 TBA458122 SRE458122 SHI458122 RXM458122 RNQ458122 RDU458122 QTY458122 QKC458122 QAG458122 PQK458122 PGO458122 OWS458122 OMW458122 ODA458122 NTE458122 NJI458122 MZM458122 MPQ458122 MFU458122 LVY458122 LMC458122 LCG458122 KSK458122 KIO458122 JYS458122 JOW458122 JFA458122 IVE458122 ILI458122 IBM458122 HRQ458122 HHU458122 GXY458122 GOC458122 GEG458122 FUK458122 FKO458122 FAS458122 EQW458122 EHA458122 DXE458122 DNI458122 DDM458122 CTQ458122 CJU458122 BZY458122 BQC458122 BGG458122 AWK458122 AMO458122 ACS458122 SW458122 JA458122 E458122 WVM392586 WLQ392586 WBU392586 VRY392586 VIC392586 UYG392586 UOK392586 UEO392586 TUS392586 TKW392586 TBA392586 SRE392586 SHI392586 RXM392586 RNQ392586 RDU392586 QTY392586 QKC392586 QAG392586 PQK392586 PGO392586 OWS392586 OMW392586 ODA392586 NTE392586 NJI392586 MZM392586 MPQ392586 MFU392586 LVY392586 LMC392586 LCG392586 KSK392586 KIO392586 JYS392586 JOW392586 JFA392586 IVE392586 ILI392586 IBM392586 HRQ392586 HHU392586 GXY392586 GOC392586 GEG392586 FUK392586 FKO392586 FAS392586 EQW392586 EHA392586 DXE392586 DNI392586 DDM392586 CTQ392586 CJU392586 BZY392586 BQC392586 BGG392586 AWK392586 AMO392586 ACS392586 SW392586 JA392586 E392586 WVM327050 WLQ327050 WBU327050 VRY327050 VIC327050 UYG327050 UOK327050 UEO327050 TUS327050 TKW327050 TBA327050 SRE327050 SHI327050 RXM327050 RNQ327050 RDU327050 QTY327050 QKC327050 QAG327050 PQK327050 PGO327050 OWS327050 OMW327050 ODA327050 NTE327050 NJI327050 MZM327050 MPQ327050 MFU327050 LVY327050 LMC327050 LCG327050 KSK327050 KIO327050 JYS327050 JOW327050 JFA327050 IVE327050 ILI327050 IBM327050 HRQ327050 HHU327050 GXY327050 GOC327050 GEG327050 FUK327050 FKO327050 FAS327050 EQW327050 EHA327050 DXE327050 DNI327050 DDM327050 CTQ327050 CJU327050 BZY327050 BQC327050 BGG327050 AWK327050 AMO327050 ACS327050 SW327050 JA327050 E327050 WVM261514 WLQ261514 WBU261514 VRY261514 VIC261514 UYG261514 UOK261514 UEO261514 TUS261514 TKW261514 TBA261514 SRE261514 SHI261514 RXM261514 RNQ261514 RDU261514 QTY261514 QKC261514 QAG261514 PQK261514 PGO261514 OWS261514 OMW261514 ODA261514 NTE261514 NJI261514 MZM261514 MPQ261514 MFU261514 LVY261514 LMC261514 LCG261514 KSK261514 KIO261514 JYS261514 JOW261514 JFA261514 IVE261514 ILI261514 IBM261514 HRQ261514 HHU261514 GXY261514 GOC261514 GEG261514 FUK261514 FKO261514 FAS261514 EQW261514 EHA261514 DXE261514 DNI261514 DDM261514 CTQ261514 CJU261514 BZY261514 BQC261514 BGG261514 AWK261514 AMO261514 ACS261514 SW261514 JA261514 E261514 WVM195978 WLQ195978 WBU195978 VRY195978 VIC195978 UYG195978 UOK195978 UEO195978 TUS195978 TKW195978 TBA195978 SRE195978 SHI195978 RXM195978 RNQ195978 RDU195978 QTY195978 QKC195978 QAG195978 PQK195978 PGO195978 OWS195978 OMW195978 ODA195978 NTE195978 NJI195978 MZM195978 MPQ195978 MFU195978 LVY195978 LMC195978 LCG195978 KSK195978 KIO195978 JYS195978 JOW195978 JFA195978 IVE195978 ILI195978 IBM195978 HRQ195978 HHU195978 GXY195978 GOC195978 GEG195978 FUK195978 FKO195978 FAS195978 EQW195978 EHA195978 DXE195978 DNI195978 DDM195978 CTQ195978 CJU195978 BZY195978 BQC195978 BGG195978 AWK195978 AMO195978 ACS195978 SW195978 JA195978 E195978 WVM130442 WLQ130442 WBU130442 VRY130442 VIC130442 UYG130442 UOK130442 UEO130442 TUS130442 TKW130442 TBA130442 SRE130442 SHI130442 RXM130442 RNQ130442 RDU130442 QTY130442 QKC130442 QAG130442 PQK130442 PGO130442 OWS130442 OMW130442 ODA130442 NTE130442 NJI130442 MZM130442 MPQ130442 MFU130442 LVY130442 LMC130442 LCG130442 KSK130442 KIO130442 JYS130442 JOW130442 JFA130442 IVE130442 ILI130442 IBM130442 HRQ130442 HHU130442 GXY130442 GOC130442 GEG130442 FUK130442 FKO130442 FAS130442 EQW130442 EHA130442 DXE130442 DNI130442 DDM130442 CTQ130442 CJU130442 BZY130442 BQC130442 BGG130442 AWK130442 AMO130442 ACS130442 SW130442 JA130442 E130442 WVM64906 WLQ64906 WBU64906 VRY64906 VIC64906 UYG64906 UOK64906 UEO64906 TUS64906 TKW64906 TBA64906 SRE64906 SHI64906 RXM64906 RNQ64906 RDU64906 QTY64906 QKC64906 QAG64906 PQK64906 PGO64906 OWS64906 OMW64906 ODA64906 NTE64906 NJI64906 MZM64906 MPQ64906 MFU64906 LVY64906 LMC64906 LCG64906 KSK64906 KIO64906 JYS64906 JOW64906 JFA64906 IVE64906 ILI64906 IBM64906 HRQ64906 HHU64906 GXY64906 GOC64906 GEG64906 FUK64906 FKO64906 FAS64906 EQW64906 EHA64906 DXE64906 DNI64906 DDM64906 CTQ64906 CJU64906 BZY64906 BQC64906 BGG64906 AWK64906 AMO64906 ACS64906 SW64906 JA64906 E64906 WVM982399 WLQ982399 WBU982399 VRY982399 VIC982399 UYG982399 UOK982399 UEO982399 TUS982399 TKW982399 TBA982399 SRE982399 SHI982399 RXM982399 RNQ982399 RDU982399 QTY982399 QKC982399 QAG982399 PQK982399 PGO982399 OWS982399 OMW982399 ODA982399 NTE982399 NJI982399 MZM982399 MPQ982399 MFU982399 LVY982399 LMC982399 LCG982399 KSK982399 KIO982399 JYS982399 JOW982399 JFA982399 IVE982399 ILI982399 IBM982399 HRQ982399 HHU982399 GXY982399 GOC982399 GEG982399 FUK982399 FKO982399 FAS982399 EQW982399 EHA982399 DXE982399 DNI982399 DDM982399 CTQ982399 CJU982399 BZY982399 BQC982399 BGG982399 AWK982399 AMO982399 ACS982399 SW982399 JA982399 E982399 WVM916863 WLQ916863 WBU916863 VRY916863 VIC916863 UYG916863 UOK916863 UEO916863 TUS916863 TKW916863 TBA916863 SRE916863 SHI916863 RXM916863 RNQ916863 RDU916863 QTY916863 QKC916863 QAG916863 PQK916863 PGO916863 OWS916863 OMW916863 ODA916863 NTE916863 NJI916863 MZM916863 MPQ916863 MFU916863 LVY916863 LMC916863 LCG916863 KSK916863 KIO916863 JYS916863 JOW916863 JFA916863 IVE916863 ILI916863 IBM916863 HRQ916863 HHU916863 GXY916863 GOC916863 GEG916863 FUK916863 FKO916863 FAS916863 EQW916863 EHA916863 DXE916863 DNI916863 DDM916863 CTQ916863 CJU916863 BZY916863 BQC916863 BGG916863 AWK916863 AMO916863 ACS916863 SW916863 JA916863 E916863 WVM851327 WLQ851327 WBU851327 VRY851327 VIC851327 UYG851327 UOK851327 UEO851327 TUS851327 TKW851327 TBA851327 SRE851327 SHI851327 RXM851327 RNQ851327 RDU851327 QTY851327 QKC851327 QAG851327 PQK851327 PGO851327 OWS851327 OMW851327 ODA851327 NTE851327 NJI851327 MZM851327 MPQ851327 MFU851327 LVY851327 LMC851327 LCG851327 KSK851327 KIO851327 JYS851327 JOW851327 JFA851327 IVE851327 ILI851327 IBM851327 HRQ851327 HHU851327 GXY851327 GOC851327 GEG851327 FUK851327 FKO851327 FAS851327 EQW851327 EHA851327 DXE851327 DNI851327 DDM851327 CTQ851327 CJU851327 BZY851327 BQC851327 BGG851327 AWK851327 AMO851327 ACS851327 SW851327 JA851327 E851327 WVM785791 WLQ785791 WBU785791 VRY785791 VIC785791 UYG785791 UOK785791 UEO785791 TUS785791 TKW785791 TBA785791 SRE785791 SHI785791 RXM785791 RNQ785791 RDU785791 QTY785791 QKC785791 QAG785791 PQK785791 PGO785791 OWS785791 OMW785791 ODA785791 NTE785791 NJI785791 MZM785791 MPQ785791 MFU785791 LVY785791 LMC785791 LCG785791 KSK785791 KIO785791 JYS785791 JOW785791 JFA785791 IVE785791 ILI785791 IBM785791 HRQ785791 HHU785791 GXY785791 GOC785791 GEG785791 FUK785791 FKO785791 FAS785791 EQW785791 EHA785791 DXE785791 DNI785791 DDM785791 CTQ785791 CJU785791 BZY785791 BQC785791 BGG785791 AWK785791 AMO785791 ACS785791 SW785791 JA785791 E785791 WVM720255 WLQ720255 WBU720255 VRY720255 VIC720255 UYG720255 UOK720255 UEO720255 TUS720255 TKW720255 TBA720255 SRE720255 SHI720255 RXM720255 RNQ720255 RDU720255 QTY720255 QKC720255 QAG720255 PQK720255 PGO720255 OWS720255 OMW720255 ODA720255 NTE720255 NJI720255 MZM720255 MPQ720255 MFU720255 LVY720255 LMC720255 LCG720255 KSK720255 KIO720255 JYS720255 JOW720255 JFA720255 IVE720255 ILI720255 IBM720255 HRQ720255 HHU720255 GXY720255 GOC720255 GEG720255 FUK720255 FKO720255 FAS720255 EQW720255 EHA720255 DXE720255 DNI720255 DDM720255 CTQ720255 CJU720255 BZY720255 BQC720255 BGG720255 AWK720255 AMO720255 ACS720255 SW720255 JA720255 E720255 WVM654719 WLQ654719 WBU654719 VRY654719 VIC654719 UYG654719 UOK654719 UEO654719 TUS654719 TKW654719 TBA654719 SRE654719 SHI654719 RXM654719 RNQ654719 RDU654719 QTY654719 QKC654719 QAG654719 PQK654719 PGO654719 OWS654719 OMW654719 ODA654719 NTE654719 NJI654719 MZM654719 MPQ654719 MFU654719 LVY654719 LMC654719 LCG654719 KSK654719 KIO654719 JYS654719 JOW654719 JFA654719 IVE654719 ILI654719 IBM654719 HRQ654719 HHU654719 GXY654719 GOC654719 GEG654719 FUK654719 FKO654719 FAS654719 EQW654719 EHA654719 DXE654719 DNI654719 DDM654719 CTQ654719 CJU654719 BZY654719 BQC654719 BGG654719 AWK654719 AMO654719 ACS654719 SW654719 JA654719 E654719 WVM589183 WLQ589183 WBU589183 VRY589183 VIC589183 UYG589183 UOK589183 UEO589183 TUS589183 TKW589183 TBA589183 SRE589183 SHI589183 RXM589183 RNQ589183 RDU589183 QTY589183 QKC589183 QAG589183 PQK589183 PGO589183 OWS589183 OMW589183 ODA589183 NTE589183 NJI589183 MZM589183 MPQ589183 MFU589183 LVY589183 LMC589183 LCG589183 KSK589183 KIO589183 JYS589183 JOW589183 JFA589183 IVE589183 ILI589183 IBM589183 HRQ589183 HHU589183 GXY589183 GOC589183 GEG589183 FUK589183 FKO589183 FAS589183 EQW589183 EHA589183 DXE589183 DNI589183 DDM589183 CTQ589183 CJU589183 BZY589183 BQC589183 BGG589183 AWK589183 AMO589183 ACS589183 SW589183 JA589183 E589183 WVM523647 WLQ523647 WBU523647 VRY523647 VIC523647 UYG523647 UOK523647 UEO523647 TUS523647 TKW523647 TBA523647 SRE523647 SHI523647 RXM523647 RNQ523647 RDU523647 QTY523647 QKC523647 QAG523647 PQK523647 PGO523647 OWS523647 OMW523647 ODA523647 NTE523647 NJI523647 MZM523647 MPQ523647 MFU523647 LVY523647 LMC523647 LCG523647 KSK523647 KIO523647 JYS523647 JOW523647 JFA523647 IVE523647 ILI523647 IBM523647 HRQ523647 HHU523647 GXY523647 GOC523647 GEG523647 FUK523647 FKO523647 FAS523647 EQW523647 EHA523647 DXE523647 DNI523647 DDM523647 CTQ523647 CJU523647 BZY523647 BQC523647 BGG523647 AWK523647 AMO523647 ACS523647 SW523647 JA523647 E523647 WVM458111 WLQ458111 WBU458111 VRY458111 VIC458111 UYG458111 UOK458111 UEO458111 TUS458111 TKW458111 TBA458111 SRE458111 SHI458111 RXM458111 RNQ458111 RDU458111 QTY458111 QKC458111 QAG458111 PQK458111 PGO458111 OWS458111 OMW458111 ODA458111 NTE458111 NJI458111 MZM458111 MPQ458111 MFU458111 LVY458111 LMC458111 LCG458111 KSK458111 KIO458111 JYS458111 JOW458111 JFA458111 IVE458111 ILI458111 IBM458111 HRQ458111 HHU458111 GXY458111 GOC458111 GEG458111 FUK458111 FKO458111 FAS458111 EQW458111 EHA458111 DXE458111 DNI458111 DDM458111 CTQ458111 CJU458111 BZY458111 BQC458111 BGG458111 AWK458111 AMO458111 ACS458111 SW458111 JA458111 E458111 WVM392575 WLQ392575 WBU392575 VRY392575 VIC392575 UYG392575 UOK392575 UEO392575 TUS392575 TKW392575 TBA392575 SRE392575 SHI392575 RXM392575 RNQ392575 RDU392575 QTY392575 QKC392575 QAG392575 PQK392575 PGO392575 OWS392575 OMW392575 ODA392575 NTE392575 NJI392575 MZM392575 MPQ392575 MFU392575 LVY392575 LMC392575 LCG392575 KSK392575 KIO392575 JYS392575 JOW392575 JFA392575 IVE392575 ILI392575 IBM392575 HRQ392575 HHU392575 GXY392575 GOC392575 GEG392575 FUK392575 FKO392575 FAS392575 EQW392575 EHA392575 DXE392575 DNI392575 DDM392575 CTQ392575 CJU392575 BZY392575 BQC392575 BGG392575 AWK392575 AMO392575 ACS392575 SW392575 JA392575 E392575 WVM327039 WLQ327039 WBU327039 VRY327039 VIC327039 UYG327039 UOK327039 UEO327039 TUS327039 TKW327039 TBA327039 SRE327039 SHI327039 RXM327039 RNQ327039 RDU327039 QTY327039 QKC327039 QAG327039 PQK327039 PGO327039 OWS327039 OMW327039 ODA327039 NTE327039 NJI327039 MZM327039 MPQ327039 MFU327039 LVY327039 LMC327039 LCG327039 KSK327039 KIO327039 JYS327039 JOW327039 JFA327039 IVE327039 ILI327039 IBM327039 HRQ327039 HHU327039 GXY327039 GOC327039 GEG327039 FUK327039 FKO327039 FAS327039 EQW327039 EHA327039 DXE327039 DNI327039 DDM327039 CTQ327039 CJU327039 BZY327039 BQC327039 BGG327039 AWK327039 AMO327039 ACS327039 SW327039 JA327039 E327039 WVM261503 WLQ261503 WBU261503 VRY261503 VIC261503 UYG261503 UOK261503 UEO261503 TUS261503 TKW261503 TBA261503 SRE261503 SHI261503 RXM261503 RNQ261503 RDU261503 QTY261503 QKC261503 QAG261503 PQK261503 PGO261503 OWS261503 OMW261503 ODA261503 NTE261503 NJI261503 MZM261503 MPQ261503 MFU261503 LVY261503 LMC261503 LCG261503 KSK261503 KIO261503 JYS261503 JOW261503 JFA261503 IVE261503 ILI261503 IBM261503 HRQ261503 HHU261503 GXY261503 GOC261503 GEG261503 FUK261503 FKO261503 FAS261503 EQW261503 EHA261503 DXE261503 DNI261503 DDM261503 CTQ261503 CJU261503 BZY261503 BQC261503 BGG261503 AWK261503 AMO261503 ACS261503 SW261503 JA261503 E261503 WVM195967 WLQ195967 WBU195967 VRY195967 VIC195967 UYG195967 UOK195967 UEO195967 TUS195967 TKW195967 TBA195967 SRE195967 SHI195967 RXM195967 RNQ195967 RDU195967 QTY195967 QKC195967 QAG195967 PQK195967 PGO195967 OWS195967 OMW195967 ODA195967 NTE195967 NJI195967 MZM195967 MPQ195967 MFU195967 LVY195967 LMC195967 LCG195967 KSK195967 KIO195967 JYS195967 JOW195967 JFA195967 IVE195967 ILI195967 IBM195967 HRQ195967 HHU195967 GXY195967 GOC195967 GEG195967 FUK195967 FKO195967 FAS195967 EQW195967 EHA195967 DXE195967 DNI195967 DDM195967 CTQ195967 CJU195967 BZY195967 BQC195967 BGG195967 AWK195967 AMO195967 ACS195967 SW195967 JA195967 E195967 WVM130431 WLQ130431 WBU130431 VRY130431 VIC130431 UYG130431 UOK130431 UEO130431 TUS130431 TKW130431 TBA130431 SRE130431 SHI130431 RXM130431 RNQ130431 RDU130431 QTY130431 QKC130431 QAG130431 PQK130431 PGO130431 OWS130431 OMW130431 ODA130431 NTE130431 NJI130431 MZM130431 MPQ130431 MFU130431 LVY130431 LMC130431 LCG130431 KSK130431 KIO130431 JYS130431 JOW130431 JFA130431 IVE130431 ILI130431 IBM130431 HRQ130431 HHU130431 GXY130431 GOC130431 GEG130431 FUK130431 FKO130431 FAS130431 EQW130431 EHA130431 DXE130431 DNI130431 DDM130431 CTQ130431 CJU130431 BZY130431 BQC130431 BGG130431 AWK130431 AMO130431 ACS130431 SW130431 JA130431 E130431 WVM64895 WLQ64895 WBU64895 VRY64895 VIC64895 UYG64895 UOK64895 UEO64895 TUS64895 TKW64895 TBA64895 SRE64895 SHI64895 RXM64895 RNQ64895 RDU64895 QTY64895 QKC64895 QAG64895 PQK64895 PGO64895 OWS64895 OMW64895 ODA64895 NTE64895 NJI64895 MZM64895 MPQ64895 MFU64895 LVY64895 LMC64895 LCG64895 KSK64895 KIO64895 JYS64895 JOW64895 JFA64895 IVE64895 ILI64895 IBM64895 HRQ64895 HHU64895 GXY64895 GOC64895 GEG64895 FUK64895 FKO64895 FAS64895 EQW64895 EHA64895 DXE64895 DNI64895 DDM64895 CTQ64895 CJU64895 BZY64895 BQC64895 BGG64895 AWK64895 AMO64895 ACS64895 SW64895 JA64895 E64895 WVU982399 WLY982399 WCC982399 VSG982399 VIK982399 UYO982399 UOS982399 UEW982399 TVA982399 TLE982399 TBI982399 SRM982399 SHQ982399 RXU982399 RNY982399 REC982399 QUG982399 QKK982399 QAO982399 PQS982399 PGW982399 OXA982399 ONE982399 ODI982399 NTM982399 NJQ982399 MZU982399 MPY982399 MGC982399 LWG982399 LMK982399 LCO982399 KSS982399 KIW982399 JZA982399 JPE982399 JFI982399 IVM982399 ILQ982399 IBU982399 HRY982399 HIC982399 GYG982399 GOK982399 GEO982399 FUS982399 FKW982399 FBA982399 ERE982399 EHI982399 DXM982399 DNQ982399 DDU982399 CTY982399 CKC982399 CAG982399 BQK982399 BGO982399 AWS982399 AMW982399 ADA982399 TE982399 JI982399 M982399 WVU916863 WLY916863 WCC916863 VSG916863 VIK916863 UYO916863 UOS916863 UEW916863 TVA916863 TLE916863 TBI916863 SRM916863 SHQ916863 RXU916863 RNY916863 REC916863 QUG916863 QKK916863 QAO916863 PQS916863 PGW916863 OXA916863 ONE916863 ODI916863 NTM916863 NJQ916863 MZU916863 MPY916863 MGC916863 LWG916863 LMK916863 LCO916863 KSS916863 KIW916863 JZA916863 JPE916863 JFI916863 IVM916863 ILQ916863 IBU916863 HRY916863 HIC916863 GYG916863 GOK916863 GEO916863 FUS916863 FKW916863 FBA916863 ERE916863 EHI916863 DXM916863 DNQ916863 DDU916863 CTY916863 CKC916863 CAG916863 BQK916863 BGO916863 AWS916863 AMW916863 ADA916863 TE916863 JI916863 M916863 WVU851327 WLY851327 WCC851327 VSG851327 VIK851327 UYO851327 UOS851327 UEW851327 TVA851327 TLE851327 TBI851327 SRM851327 SHQ851327 RXU851327 RNY851327 REC851327 QUG851327 QKK851327 QAO851327 PQS851327 PGW851327 OXA851327 ONE851327 ODI851327 NTM851327 NJQ851327 MZU851327 MPY851327 MGC851327 LWG851327 LMK851327 LCO851327 KSS851327 KIW851327 JZA851327 JPE851327 JFI851327 IVM851327 ILQ851327 IBU851327 HRY851327 HIC851327 GYG851327 GOK851327 GEO851327 FUS851327 FKW851327 FBA851327 ERE851327 EHI851327 DXM851327 DNQ851327 DDU851327 CTY851327 CKC851327 CAG851327 BQK851327 BGO851327 AWS851327 AMW851327 ADA851327 TE851327 JI851327 M851327 WVU785791 WLY785791 WCC785791 VSG785791 VIK785791 UYO785791 UOS785791 UEW785791 TVA785791 TLE785791 TBI785791 SRM785791 SHQ785791 RXU785791 RNY785791 REC785791 QUG785791 QKK785791 QAO785791 PQS785791 PGW785791 OXA785791 ONE785791 ODI785791 NTM785791 NJQ785791 MZU785791 MPY785791 MGC785791 LWG785791 LMK785791 LCO785791 KSS785791 KIW785791 JZA785791 JPE785791 JFI785791 IVM785791 ILQ785791 IBU785791 HRY785791 HIC785791 GYG785791 GOK785791 GEO785791 FUS785791 FKW785791 FBA785791 ERE785791 EHI785791 DXM785791 DNQ785791 DDU785791 CTY785791 CKC785791 CAG785791 BQK785791 BGO785791 AWS785791 AMW785791 ADA785791 TE785791 JI785791 M785791 WVU720255 WLY720255 WCC720255 VSG720255 VIK720255 UYO720255 UOS720255 UEW720255 TVA720255 TLE720255 TBI720255 SRM720255 SHQ720255 RXU720255 RNY720255 REC720255 QUG720255 QKK720255 QAO720255 PQS720255 PGW720255 OXA720255 ONE720255 ODI720255 NTM720255 NJQ720255 MZU720255 MPY720255 MGC720255 LWG720255 LMK720255 LCO720255 KSS720255 KIW720255 JZA720255 JPE720255 JFI720255 IVM720255 ILQ720255 IBU720255 HRY720255 HIC720255 GYG720255 GOK720255 GEO720255 FUS720255 FKW720255 FBA720255 ERE720255 EHI720255 DXM720255 DNQ720255 DDU720255 CTY720255 CKC720255 CAG720255 BQK720255 BGO720255 AWS720255 AMW720255 ADA720255 TE720255 JI720255 M720255 WVU654719 WLY654719 WCC654719 VSG654719 VIK654719 UYO654719 UOS654719 UEW654719 TVA654719 TLE654719 TBI654719 SRM654719 SHQ654719 RXU654719 RNY654719 REC654719 QUG654719 QKK654719 QAO654719 PQS654719 PGW654719 OXA654719 ONE654719 ODI654719 NTM654719 NJQ654719 MZU654719 MPY654719 MGC654719 LWG654719 LMK654719 LCO654719 KSS654719 KIW654719 JZA654719 JPE654719 JFI654719 IVM654719 ILQ654719 IBU654719 HRY654719 HIC654719 GYG654719 GOK654719 GEO654719 FUS654719 FKW654719 FBA654719 ERE654719 EHI654719 DXM654719 DNQ654719 DDU654719 CTY654719 CKC654719 CAG654719 BQK654719 BGO654719 AWS654719 AMW654719 ADA654719 TE654719 JI654719 M654719 WVU589183 WLY589183 WCC589183 VSG589183 VIK589183 UYO589183 UOS589183 UEW589183 TVA589183 TLE589183 TBI589183 SRM589183 SHQ589183 RXU589183 RNY589183 REC589183 QUG589183 QKK589183 QAO589183 PQS589183 PGW589183 OXA589183 ONE589183 ODI589183 NTM589183 NJQ589183 MZU589183 MPY589183 MGC589183 LWG589183 LMK589183 LCO589183 KSS589183 KIW589183 JZA589183 JPE589183 JFI589183 IVM589183 ILQ589183 IBU589183 HRY589183 HIC589183 GYG589183 GOK589183 GEO589183 FUS589183 FKW589183 FBA589183 ERE589183 EHI589183 DXM589183 DNQ589183 DDU589183 CTY589183 CKC589183 CAG589183 BQK589183 BGO589183 AWS589183 AMW589183 ADA589183 TE589183 JI589183 M589183 WVU523647 WLY523647 WCC523647 VSG523647 VIK523647 UYO523647 UOS523647 UEW523647 TVA523647 TLE523647 TBI523647 SRM523647 SHQ523647 RXU523647 RNY523647 REC523647 QUG523647 QKK523647 QAO523647 PQS523647 PGW523647 OXA523647 ONE523647 ODI523647 NTM523647 NJQ523647 MZU523647 MPY523647 MGC523647 LWG523647 LMK523647 LCO523647 KSS523647 KIW523647 JZA523647 JPE523647 JFI523647 IVM523647 ILQ523647 IBU523647 HRY523647 HIC523647 GYG523647 GOK523647 GEO523647 FUS523647 FKW523647 FBA523647 ERE523647 EHI523647 DXM523647 DNQ523647 DDU523647 CTY523647 CKC523647 CAG523647 BQK523647 BGO523647 AWS523647 AMW523647 ADA523647 TE523647 JI523647 M523647 WVU458111 WLY458111 WCC458111 VSG458111 VIK458111 UYO458111 UOS458111 UEW458111 TVA458111 TLE458111 TBI458111 SRM458111 SHQ458111 RXU458111 RNY458111 REC458111 QUG458111 QKK458111 QAO458111 PQS458111 PGW458111 OXA458111 ONE458111 ODI458111 NTM458111 NJQ458111 MZU458111 MPY458111 MGC458111 LWG458111 LMK458111 LCO458111 KSS458111 KIW458111 JZA458111 JPE458111 JFI458111 IVM458111 ILQ458111 IBU458111 HRY458111 HIC458111 GYG458111 GOK458111 GEO458111 FUS458111 FKW458111 FBA458111 ERE458111 EHI458111 DXM458111 DNQ458111 DDU458111 CTY458111 CKC458111 CAG458111 BQK458111 BGO458111 AWS458111 AMW458111 ADA458111 TE458111 JI458111 M458111 WVU392575 WLY392575 WCC392575 VSG392575 VIK392575 UYO392575 UOS392575 UEW392575 TVA392575 TLE392575 TBI392575 SRM392575 SHQ392575 RXU392575 RNY392575 REC392575 QUG392575 QKK392575 QAO392575 PQS392575 PGW392575 OXA392575 ONE392575 ODI392575 NTM392575 NJQ392575 MZU392575 MPY392575 MGC392575 LWG392575 LMK392575 LCO392575 KSS392575 KIW392575 JZA392575 JPE392575 JFI392575 IVM392575 ILQ392575 IBU392575 HRY392575 HIC392575 GYG392575 GOK392575 GEO392575 FUS392575 FKW392575 FBA392575 ERE392575 EHI392575 DXM392575 DNQ392575 DDU392575 CTY392575 CKC392575 CAG392575 BQK392575 BGO392575 AWS392575 AMW392575 ADA392575 TE392575 JI392575 M392575 WVU327039 WLY327039 WCC327039 VSG327039 VIK327039 UYO327039 UOS327039 UEW327039 TVA327039 TLE327039 TBI327039 SRM327039 SHQ327039 RXU327039 RNY327039 REC327039 QUG327039 QKK327039 QAO327039 PQS327039 PGW327039 OXA327039 ONE327039 ODI327039 NTM327039 NJQ327039 MZU327039 MPY327039 MGC327039 LWG327039 LMK327039 LCO327039 KSS327039 KIW327039 JZA327039 JPE327039 JFI327039 IVM327039 ILQ327039 IBU327039 HRY327039 HIC327039 GYG327039 GOK327039 GEO327039 FUS327039 FKW327039 FBA327039 ERE327039 EHI327039 DXM327039 DNQ327039 DDU327039 CTY327039 CKC327039 CAG327039 BQK327039 BGO327039 AWS327039 AMW327039 ADA327039 TE327039 JI327039 M327039 WVU261503 WLY261503 WCC261503 VSG261503 VIK261503 UYO261503 UOS261503 UEW261503 TVA261503 TLE261503 TBI261503 SRM261503 SHQ261503 RXU261503 RNY261503 REC261503 QUG261503 QKK261503 QAO261503 PQS261503 PGW261503 OXA261503 ONE261503 ODI261503 NTM261503 NJQ261503 MZU261503 MPY261503 MGC261503 LWG261503 LMK261503 LCO261503 KSS261503 KIW261503 JZA261503 JPE261503 JFI261503 IVM261503 ILQ261503 IBU261503 HRY261503 HIC261503 GYG261503 GOK261503 GEO261503 FUS261503 FKW261503 FBA261503 ERE261503 EHI261503 DXM261503 DNQ261503 DDU261503 CTY261503 CKC261503 CAG261503 BQK261503 BGO261503 AWS261503 AMW261503 ADA261503 TE261503 JI261503 M261503 WVU195967 WLY195967 WCC195967 VSG195967 VIK195967 UYO195967 UOS195967 UEW195967 TVA195967 TLE195967 TBI195967 SRM195967 SHQ195967 RXU195967 RNY195967 REC195967 QUG195967 QKK195967 QAO195967 PQS195967 PGW195967 OXA195967 ONE195967 ODI195967 NTM195967 NJQ195967 MZU195967 MPY195967 MGC195967 LWG195967 LMK195967 LCO195967 KSS195967 KIW195967 JZA195967 JPE195967 JFI195967 IVM195967 ILQ195967 IBU195967 HRY195967 HIC195967 GYG195967 GOK195967 GEO195967 FUS195967 FKW195967 FBA195967 ERE195967 EHI195967 DXM195967 DNQ195967 DDU195967 CTY195967 CKC195967 CAG195967 BQK195967 BGO195967 AWS195967 AMW195967 ADA195967 TE195967 JI195967 M195967 WVU130431 WLY130431 WCC130431 VSG130431 VIK130431 UYO130431 UOS130431 UEW130431 TVA130431 TLE130431 TBI130431 SRM130431 SHQ130431 RXU130431 RNY130431 REC130431 QUG130431 QKK130431 QAO130431 PQS130431 PGW130431 OXA130431 ONE130431 ODI130431 NTM130431 NJQ130431 MZU130431 MPY130431 MGC130431 LWG130431 LMK130431 LCO130431 KSS130431 KIW130431 JZA130431 JPE130431 JFI130431 IVM130431 ILQ130431 IBU130431 HRY130431 HIC130431 GYG130431 GOK130431 GEO130431 FUS130431 FKW130431 FBA130431 ERE130431 EHI130431 DXM130431 DNQ130431 DDU130431 CTY130431 CKC130431 CAG130431 BQK130431 BGO130431 AWS130431 AMW130431 ADA130431 TE130431 JI130431 M130431 WVU64895 WLY64895 WCC64895 VSG64895 VIK64895 UYO64895 UOS64895 UEW64895 TVA64895 TLE64895 TBI64895 SRM64895 SHQ64895 RXU64895 RNY64895 REC64895 QUG64895 QKK64895 QAO64895 PQS64895 PGW64895 OXA64895 ONE64895 ODI64895 NTM64895 NJQ64895 MZU64895 MPY64895 MGC64895 LWG64895 LMK64895 LCO64895 KSS64895 KIW64895 JZA64895 JPE64895 JFI64895 IVM64895 ILQ64895 IBU64895 HRY64895 HIC64895 GYG64895 GOK64895 GEO64895 FUS64895 FKW64895 FBA64895 ERE64895 EHI64895 DXM64895 DNQ64895 DDU64895 CTY64895 CKC64895 CAG64895 BQK64895 BGO64895 AWS64895 AMW64895 ADA64895 TE64895 JI64895 M64895 WVK982410 WLO982410 WBS982410 VRW982410 VIA982410 UYE982410 UOI982410 UEM982410 TUQ982410 TKU982410 TAY982410 SRC982410 SHG982410 RXK982410 RNO982410 RDS982410 QTW982410 QKA982410 QAE982410 PQI982410 PGM982410 OWQ982410 OMU982410 OCY982410 NTC982410 NJG982410 MZK982410 MPO982410 MFS982410 LVW982410 LMA982410 LCE982410 KSI982410 KIM982410 JYQ982410 JOU982410 JEY982410 IVC982410 ILG982410 IBK982410 HRO982410 HHS982410 GXW982410 GOA982410 GEE982410 FUI982410 FKM982410 FAQ982410 EQU982410 EGY982410 DXC982410 DNG982410 DDK982410 CTO982410 CJS982410 BZW982410 BQA982410 BGE982410 AWI982410 AMM982410 ACQ982410 SU982410 IY982410 C982410 WVK916874 WLO916874 WBS916874 VRW916874 VIA916874 UYE916874 UOI916874 UEM916874 TUQ916874 TKU916874 TAY916874 SRC916874 SHG916874 RXK916874 RNO916874 RDS916874 QTW916874 QKA916874 QAE916874 PQI916874 PGM916874 OWQ916874 OMU916874 OCY916874 NTC916874 NJG916874 MZK916874 MPO916874 MFS916874 LVW916874 LMA916874 LCE916874 KSI916874 KIM916874 JYQ916874 JOU916874 JEY916874 IVC916874 ILG916874 IBK916874 HRO916874 HHS916874 GXW916874 GOA916874 GEE916874 FUI916874 FKM916874 FAQ916874 EQU916874 EGY916874 DXC916874 DNG916874 DDK916874 CTO916874 CJS916874 BZW916874 BQA916874 BGE916874 AWI916874 AMM916874 ACQ916874 SU916874 IY916874 C916874 WVK851338 WLO851338 WBS851338 VRW851338 VIA851338 UYE851338 UOI851338 UEM851338 TUQ851338 TKU851338 TAY851338 SRC851338 SHG851338 RXK851338 RNO851338 RDS851338 QTW851338 QKA851338 QAE851338 PQI851338 PGM851338 OWQ851338 OMU851338 OCY851338 NTC851338 NJG851338 MZK851338 MPO851338 MFS851338 LVW851338 LMA851338 LCE851338 KSI851338 KIM851338 JYQ851338 JOU851338 JEY851338 IVC851338 ILG851338 IBK851338 HRO851338 HHS851338 GXW851338 GOA851338 GEE851338 FUI851338 FKM851338 FAQ851338 EQU851338 EGY851338 DXC851338 DNG851338 DDK851338 CTO851338 CJS851338 BZW851338 BQA851338 BGE851338 AWI851338 AMM851338 ACQ851338 SU851338 IY851338 C851338 WVK785802 WLO785802 WBS785802 VRW785802 VIA785802 UYE785802 UOI785802 UEM785802 TUQ785802 TKU785802 TAY785802 SRC785802 SHG785802 RXK785802 RNO785802 RDS785802 QTW785802 QKA785802 QAE785802 PQI785802 PGM785802 OWQ785802 OMU785802 OCY785802 NTC785802 NJG785802 MZK785802 MPO785802 MFS785802 LVW785802 LMA785802 LCE785802 KSI785802 KIM785802 JYQ785802 JOU785802 JEY785802 IVC785802 ILG785802 IBK785802 HRO785802 HHS785802 GXW785802 GOA785802 GEE785802 FUI785802 FKM785802 FAQ785802 EQU785802 EGY785802 DXC785802 DNG785802 DDK785802 CTO785802 CJS785802 BZW785802 BQA785802 BGE785802 AWI785802 AMM785802 ACQ785802 SU785802 IY785802 C785802 WVK720266 WLO720266 WBS720266 VRW720266 VIA720266 UYE720266 UOI720266 UEM720266 TUQ720266 TKU720266 TAY720266 SRC720266 SHG720266 RXK720266 RNO720266 RDS720266 QTW720266 QKA720266 QAE720266 PQI720266 PGM720266 OWQ720266 OMU720266 OCY720266 NTC720266 NJG720266 MZK720266 MPO720266 MFS720266 LVW720266 LMA720266 LCE720266 KSI720266 KIM720266 JYQ720266 JOU720266 JEY720266 IVC720266 ILG720266 IBK720266 HRO720266 HHS720266 GXW720266 GOA720266 GEE720266 FUI720266 FKM720266 FAQ720266 EQU720266 EGY720266 DXC720266 DNG720266 DDK720266 CTO720266 CJS720266 BZW720266 BQA720266 BGE720266 AWI720266 AMM720266 ACQ720266 SU720266 IY720266 C720266 WVK654730 WLO654730 WBS654730 VRW654730 VIA654730 UYE654730 UOI654730 UEM654730 TUQ654730 TKU654730 TAY654730 SRC654730 SHG654730 RXK654730 RNO654730 RDS654730 QTW654730 QKA654730 QAE654730 PQI654730 PGM654730 OWQ654730 OMU654730 OCY654730 NTC654730 NJG654730 MZK654730 MPO654730 MFS654730 LVW654730 LMA654730 LCE654730 KSI654730 KIM654730 JYQ654730 JOU654730 JEY654730 IVC654730 ILG654730 IBK654730 HRO654730 HHS654730 GXW654730 GOA654730 GEE654730 FUI654730 FKM654730 FAQ654730 EQU654730 EGY654730 DXC654730 DNG654730 DDK654730 CTO654730 CJS654730 BZW654730 BQA654730 BGE654730 AWI654730 AMM654730 ACQ654730 SU654730 IY654730 C654730 WVK589194 WLO589194 WBS589194 VRW589194 VIA589194 UYE589194 UOI589194 UEM589194 TUQ589194 TKU589194 TAY589194 SRC589194 SHG589194 RXK589194 RNO589194 RDS589194 QTW589194 QKA589194 QAE589194 PQI589194 PGM589194 OWQ589194 OMU589194 OCY589194 NTC589194 NJG589194 MZK589194 MPO589194 MFS589194 LVW589194 LMA589194 LCE589194 KSI589194 KIM589194 JYQ589194 JOU589194 JEY589194 IVC589194 ILG589194 IBK589194 HRO589194 HHS589194 GXW589194 GOA589194 GEE589194 FUI589194 FKM589194 FAQ589194 EQU589194 EGY589194 DXC589194 DNG589194 DDK589194 CTO589194 CJS589194 BZW589194 BQA589194 BGE589194 AWI589194 AMM589194 ACQ589194 SU589194 IY589194 C589194 WVK523658 WLO523658 WBS523658 VRW523658 VIA523658 UYE523658 UOI523658 UEM523658 TUQ523658 TKU523658 TAY523658 SRC523658 SHG523658 RXK523658 RNO523658 RDS523658 QTW523658 QKA523658 QAE523658 PQI523658 PGM523658 OWQ523658 OMU523658 OCY523658 NTC523658 NJG523658 MZK523658 MPO523658 MFS523658 LVW523658 LMA523658 LCE523658 KSI523658 KIM523658 JYQ523658 JOU523658 JEY523658 IVC523658 ILG523658 IBK523658 HRO523658 HHS523658 GXW523658 GOA523658 GEE523658 FUI523658 FKM523658 FAQ523658 EQU523658 EGY523658 DXC523658 DNG523658 DDK523658 CTO523658 CJS523658 BZW523658 BQA523658 BGE523658 AWI523658 AMM523658 ACQ523658 SU523658 IY523658 C523658 WVK458122 WLO458122 WBS458122 VRW458122 VIA458122 UYE458122 UOI458122 UEM458122 TUQ458122 TKU458122 TAY458122 SRC458122 SHG458122 RXK458122 RNO458122 RDS458122 QTW458122 QKA458122 QAE458122 PQI458122 PGM458122 OWQ458122 OMU458122 OCY458122 NTC458122 NJG458122 MZK458122 MPO458122 MFS458122 LVW458122 LMA458122 LCE458122 KSI458122 KIM458122 JYQ458122 JOU458122 JEY458122 IVC458122 ILG458122 IBK458122 HRO458122 HHS458122 GXW458122 GOA458122 GEE458122 FUI458122 FKM458122 FAQ458122 EQU458122 EGY458122 DXC458122 DNG458122 DDK458122 CTO458122 CJS458122 BZW458122 BQA458122 BGE458122 AWI458122 AMM458122 ACQ458122 SU458122 IY458122 C458122 WVK392586 WLO392586 WBS392586 VRW392586 VIA392586 UYE392586 UOI392586 UEM392586 TUQ392586 TKU392586 TAY392586 SRC392586 SHG392586 RXK392586 RNO392586 RDS392586 QTW392586 QKA392586 QAE392586 PQI392586 PGM392586 OWQ392586 OMU392586 OCY392586 NTC392586 NJG392586 MZK392586 MPO392586 MFS392586 LVW392586 LMA392586 LCE392586 KSI392586 KIM392586 JYQ392586 JOU392586 JEY392586 IVC392586 ILG392586 IBK392586 HRO392586 HHS392586 GXW392586 GOA392586 GEE392586 FUI392586 FKM392586 FAQ392586 EQU392586 EGY392586 DXC392586 DNG392586 DDK392586 CTO392586 CJS392586 BZW392586 BQA392586 BGE392586 AWI392586 AMM392586 ACQ392586 SU392586 IY392586 C392586 WVK327050 WLO327050 WBS327050 VRW327050 VIA327050 UYE327050 UOI327050 UEM327050 TUQ327050 TKU327050 TAY327050 SRC327050 SHG327050 RXK327050 RNO327050 RDS327050 QTW327050 QKA327050 QAE327050 PQI327050 PGM327050 OWQ327050 OMU327050 OCY327050 NTC327050 NJG327050 MZK327050 MPO327050 MFS327050 LVW327050 LMA327050 LCE327050 KSI327050 KIM327050 JYQ327050 JOU327050 JEY327050 IVC327050 ILG327050 IBK327050 HRO327050 HHS327050 GXW327050 GOA327050 GEE327050 FUI327050 FKM327050 FAQ327050 EQU327050 EGY327050 DXC327050 DNG327050 DDK327050 CTO327050 CJS327050 BZW327050 BQA327050 BGE327050 AWI327050 AMM327050 ACQ327050 SU327050 IY327050 C327050 WVK261514 WLO261514 WBS261514 VRW261514 VIA261514 UYE261514 UOI261514 UEM261514 TUQ261514 TKU261514 TAY261514 SRC261514 SHG261514 RXK261514 RNO261514 RDS261514 QTW261514 QKA261514 QAE261514 PQI261514 PGM261514 OWQ261514 OMU261514 OCY261514 NTC261514 NJG261514 MZK261514 MPO261514 MFS261514 LVW261514 LMA261514 LCE261514 KSI261514 KIM261514 JYQ261514 JOU261514 JEY261514 IVC261514 ILG261514 IBK261514 HRO261514 HHS261514 GXW261514 GOA261514 GEE261514 FUI261514 FKM261514 FAQ261514 EQU261514 EGY261514 DXC261514 DNG261514 DDK261514 CTO261514 CJS261514 BZW261514 BQA261514 BGE261514 AWI261514 AMM261514 ACQ261514 SU261514 IY261514 C261514 WVK195978 WLO195978 WBS195978 VRW195978 VIA195978 UYE195978 UOI195978 UEM195978 TUQ195978 TKU195978 TAY195978 SRC195978 SHG195978 RXK195978 RNO195978 RDS195978 QTW195978 QKA195978 QAE195978 PQI195978 PGM195978 OWQ195978 OMU195978 OCY195978 NTC195978 NJG195978 MZK195978 MPO195978 MFS195978 LVW195978 LMA195978 LCE195978 KSI195978 KIM195978 JYQ195978 JOU195978 JEY195978 IVC195978 ILG195978 IBK195978 HRO195978 HHS195978 GXW195978 GOA195978 GEE195978 FUI195978 FKM195978 FAQ195978 EQU195978 EGY195978 DXC195978 DNG195978 DDK195978 CTO195978 CJS195978 BZW195978 BQA195978 BGE195978 AWI195978 AMM195978 ACQ195978 SU195978 IY195978 C195978 WVK130442 WLO130442 WBS130442 VRW130442 VIA130442 UYE130442 UOI130442 UEM130442 TUQ130442 TKU130442 TAY130442 SRC130442 SHG130442 RXK130442 RNO130442 RDS130442 QTW130442 QKA130442 QAE130442 PQI130442 PGM130442 OWQ130442 OMU130442 OCY130442 NTC130442 NJG130442 MZK130442 MPO130442 MFS130442 LVW130442 LMA130442 LCE130442 KSI130442 KIM130442 JYQ130442 JOU130442 JEY130442 IVC130442 ILG130442 IBK130442 HRO130442 HHS130442 GXW130442 GOA130442 GEE130442 FUI130442 FKM130442 FAQ130442 EQU130442 EGY130442 DXC130442 DNG130442 DDK130442 CTO130442 CJS130442 BZW130442 BQA130442 BGE130442 AWI130442 AMM130442 ACQ130442 SU130442 IY130442 C130442 WVK64906 WLO64906 WBS64906 VRW64906 VIA64906 UYE64906 UOI64906 UEM64906 TUQ64906 TKU64906 TAY64906 SRC64906 SHG64906 RXK64906 RNO64906 RDS64906 QTW64906 QKA64906 QAE64906 PQI64906 PGM64906 OWQ64906 OMU64906 OCY64906 NTC64906 NJG64906 MZK64906 MPO64906 MFS64906 LVW64906 LMA64906 LCE64906 KSI64906 KIM64906 JYQ64906 JOU64906 JEY64906 IVC64906 ILG64906 IBK64906 HRO64906 HHS64906 GXW64906 GOA64906 GEE64906 FUI64906 FKM64906 FAQ64906 EQU64906 EGY64906 DXC64906 DNG64906 DDK64906 CTO64906 CJS64906 BZW64906 BQA64906 BGE64906 AWI64906 AMM64906 ACQ64906 SU64906 IY64906 C64906 WVU982410 WLY982410 WCC982410 VSG982410 VIK982410 UYO982410 UOS982410 UEW982410 TVA982410 TLE982410 TBI982410 SRM982410 SHQ982410 RXU982410 RNY982410 REC982410 QUG982410 QKK982410 QAO982410 PQS982410 PGW982410 OXA982410 ONE982410 ODI982410 NTM982410 NJQ982410 MZU982410 MPY982410 MGC982410 LWG982410 LMK982410 LCO982410 KSS982410 KIW982410 JZA982410 JPE982410 JFI982410 IVM982410 ILQ982410 IBU982410 HRY982410 HIC982410 GYG982410 GOK982410 GEO982410 FUS982410 FKW982410 FBA982410 ERE982410 EHI982410 DXM982410 DNQ982410 DDU982410 CTY982410 CKC982410 CAG982410 BQK982410 BGO982410 AWS982410 AMW982410 ADA982410 TE982410 JI982410 M982410 WVU916874 WLY916874 WCC916874 VSG916874 VIK916874 UYO916874 UOS916874 UEW916874 TVA916874 TLE916874 TBI916874 SRM916874 SHQ916874 RXU916874 RNY916874 REC916874 QUG916874 QKK916874 QAO916874 PQS916874 PGW916874 OXA916874 ONE916874 ODI916874 NTM916874 NJQ916874 MZU916874 MPY916874 MGC916874 LWG916874 LMK916874 LCO916874 KSS916874 KIW916874 JZA916874 JPE916874 JFI916874 IVM916874 ILQ916874 IBU916874 HRY916874 HIC916874 GYG916874 GOK916874 GEO916874 FUS916874 FKW916874 FBA916874 ERE916874 EHI916874 DXM916874 DNQ916874 DDU916874 CTY916874 CKC916874 CAG916874 BQK916874 BGO916874 AWS916874 AMW916874 ADA916874 TE916874 JI916874 M916874 WVU851338 WLY851338 WCC851338 VSG851338 VIK851338 UYO851338 UOS851338 UEW851338 TVA851338 TLE851338 TBI851338 SRM851338 SHQ851338 RXU851338 RNY851338 REC851338 QUG851338 QKK851338 QAO851338 PQS851338 PGW851338 OXA851338 ONE851338 ODI851338 NTM851338 NJQ851338 MZU851338 MPY851338 MGC851338 LWG851338 LMK851338 LCO851338 KSS851338 KIW851338 JZA851338 JPE851338 JFI851338 IVM851338 ILQ851338 IBU851338 HRY851338 HIC851338 GYG851338 GOK851338 GEO851338 FUS851338 FKW851338 FBA851338 ERE851338 EHI851338 DXM851338 DNQ851338 DDU851338 CTY851338 CKC851338 CAG851338 BQK851338 BGO851338 AWS851338 AMW851338 ADA851338 TE851338 JI851338 M851338 WVU785802 WLY785802 WCC785802 VSG785802 VIK785802 UYO785802 UOS785802 UEW785802 TVA785802 TLE785802 TBI785802 SRM785802 SHQ785802 RXU785802 RNY785802 REC785802 QUG785802 QKK785802 QAO785802 PQS785802 PGW785802 OXA785802 ONE785802 ODI785802 NTM785802 NJQ785802 MZU785802 MPY785802 MGC785802 LWG785802 LMK785802 LCO785802 KSS785802 KIW785802 JZA785802 JPE785802 JFI785802 IVM785802 ILQ785802 IBU785802 HRY785802 HIC785802 GYG785802 GOK785802 GEO785802 FUS785802 FKW785802 FBA785802 ERE785802 EHI785802 DXM785802 DNQ785802 DDU785802 CTY785802 CKC785802 CAG785802 BQK785802 BGO785802 AWS785802 AMW785802 ADA785802 TE785802 JI785802 M785802 WVU720266 WLY720266 WCC720266 VSG720266 VIK720266 UYO720266 UOS720266 UEW720266 TVA720266 TLE720266 TBI720266 SRM720266 SHQ720266 RXU720266 RNY720266 REC720266 QUG720266 QKK720266 QAO720266 PQS720266 PGW720266 OXA720266 ONE720266 ODI720266 NTM720266 NJQ720266 MZU720266 MPY720266 MGC720266 LWG720266 LMK720266 LCO720266 KSS720266 KIW720266 JZA720266 JPE720266 JFI720266 IVM720266 ILQ720266 IBU720266 HRY720266 HIC720266 GYG720266 GOK720266 GEO720266 FUS720266 FKW720266 FBA720266 ERE720266 EHI720266 DXM720266 DNQ720266 DDU720266 CTY720266 CKC720266 CAG720266 BQK720266 BGO720266 AWS720266 AMW720266 ADA720266 TE720266 JI720266 M720266 WVU654730 WLY654730 WCC654730 VSG654730 VIK654730 UYO654730 UOS654730 UEW654730 TVA654730 TLE654730 TBI654730 SRM654730 SHQ654730 RXU654730 RNY654730 REC654730 QUG654730 QKK654730 QAO654730 PQS654730 PGW654730 OXA654730 ONE654730 ODI654730 NTM654730 NJQ654730 MZU654730 MPY654730 MGC654730 LWG654730 LMK654730 LCO654730 KSS654730 KIW654730 JZA654730 JPE654730 JFI654730 IVM654730 ILQ654730 IBU654730 HRY654730 HIC654730 GYG654730 GOK654730 GEO654730 FUS654730 FKW654730 FBA654730 ERE654730 EHI654730 DXM654730 DNQ654730 DDU654730 CTY654730 CKC654730 CAG654730 BQK654730 BGO654730 AWS654730 AMW654730 ADA654730 TE654730 JI654730 M654730 WVU589194 WLY589194 WCC589194 VSG589194 VIK589194 UYO589194 UOS589194 UEW589194 TVA589194 TLE589194 TBI589194 SRM589194 SHQ589194 RXU589194 RNY589194 REC589194 QUG589194 QKK589194 QAO589194 PQS589194 PGW589194 OXA589194 ONE589194 ODI589194 NTM589194 NJQ589194 MZU589194 MPY589194 MGC589194 LWG589194 LMK589194 LCO589194 KSS589194 KIW589194 JZA589194 JPE589194 JFI589194 IVM589194 ILQ589194 IBU589194 HRY589194 HIC589194 GYG589194 GOK589194 GEO589194 FUS589194 FKW589194 FBA589194 ERE589194 EHI589194 DXM589194 DNQ589194 DDU589194 CTY589194 CKC589194 CAG589194 BQK589194 BGO589194 AWS589194 AMW589194 ADA589194 TE589194 JI589194 M589194 WVU523658 WLY523658 WCC523658 VSG523658 VIK523658 UYO523658 UOS523658 UEW523658 TVA523658 TLE523658 TBI523658 SRM523658 SHQ523658 RXU523658 RNY523658 REC523658 QUG523658 QKK523658 QAO523658 PQS523658 PGW523658 OXA523658 ONE523658 ODI523658 NTM523658 NJQ523658 MZU523658 MPY523658 MGC523658 LWG523658 LMK523658 LCO523658 KSS523658 KIW523658 JZA523658 JPE523658 JFI523658 IVM523658 ILQ523658 IBU523658 HRY523658 HIC523658 GYG523658 GOK523658 GEO523658 FUS523658 FKW523658 FBA523658 ERE523658 EHI523658 DXM523658 DNQ523658 DDU523658 CTY523658 CKC523658 CAG523658 BQK523658 BGO523658 AWS523658 AMW523658 ADA523658 TE523658 JI523658 M523658 WVU458122 WLY458122 WCC458122 VSG458122 VIK458122 UYO458122 UOS458122 UEW458122 TVA458122 TLE458122 TBI458122 SRM458122 SHQ458122 RXU458122 RNY458122 REC458122 QUG458122 QKK458122 QAO458122 PQS458122 PGW458122 OXA458122 ONE458122 ODI458122 NTM458122 NJQ458122 MZU458122 MPY458122 MGC458122 LWG458122 LMK458122 LCO458122 KSS458122 KIW458122 JZA458122 JPE458122 JFI458122 IVM458122 ILQ458122 IBU458122 HRY458122 HIC458122 GYG458122 GOK458122 GEO458122 FUS458122 FKW458122 FBA458122 ERE458122 EHI458122 DXM458122 DNQ458122 DDU458122 CTY458122 CKC458122 CAG458122 BQK458122 BGO458122 AWS458122 AMW458122 ADA458122 TE458122 JI458122 M458122 WVU392586 WLY392586 WCC392586 VSG392586 VIK392586 UYO392586 UOS392586 UEW392586 TVA392586 TLE392586 TBI392586 SRM392586 SHQ392586 RXU392586 RNY392586 REC392586 QUG392586 QKK392586 QAO392586 PQS392586 PGW392586 OXA392586 ONE392586 ODI392586 NTM392586 NJQ392586 MZU392586 MPY392586 MGC392586 LWG392586 LMK392586 LCO392586 KSS392586 KIW392586 JZA392586 JPE392586 JFI392586 IVM392586 ILQ392586 IBU392586 HRY392586 HIC392586 GYG392586 GOK392586 GEO392586 FUS392586 FKW392586 FBA392586 ERE392586 EHI392586 DXM392586 DNQ392586 DDU392586 CTY392586 CKC392586 CAG392586 BQK392586 BGO392586 AWS392586 AMW392586 ADA392586 TE392586 JI392586 M392586 WVU327050 WLY327050 WCC327050 VSG327050 VIK327050 UYO327050 UOS327050 UEW327050 TVA327050 TLE327050 TBI327050 SRM327050 SHQ327050 RXU327050 RNY327050 REC327050 QUG327050 QKK327050 QAO327050 PQS327050 PGW327050 OXA327050 ONE327050 ODI327050 NTM327050 NJQ327050 MZU327050 MPY327050 MGC327050 LWG327050 LMK327050 LCO327050 KSS327050 KIW327050 JZA327050 JPE327050 JFI327050 IVM327050 ILQ327050 IBU327050 HRY327050 HIC327050 GYG327050 GOK327050 GEO327050 FUS327050 FKW327050 FBA327050 ERE327050 EHI327050 DXM327050 DNQ327050 DDU327050 CTY327050 CKC327050 CAG327050 BQK327050 BGO327050 AWS327050 AMW327050 ADA327050 TE327050 JI327050 M327050 WVU261514 WLY261514 WCC261514 VSG261514 VIK261514 UYO261514 UOS261514 UEW261514 TVA261514 TLE261514 TBI261514 SRM261514 SHQ261514 RXU261514 RNY261514 REC261514 QUG261514 QKK261514 QAO261514 PQS261514 PGW261514 OXA261514 ONE261514 ODI261514 NTM261514 NJQ261514 MZU261514 MPY261514 MGC261514 LWG261514 LMK261514 LCO261514 KSS261514 KIW261514 JZA261514 JPE261514 JFI261514 IVM261514 ILQ261514 IBU261514 HRY261514 HIC261514 GYG261514 GOK261514 GEO261514 FUS261514 FKW261514 FBA261514 ERE261514 EHI261514 DXM261514 DNQ261514 DDU261514 CTY261514 CKC261514 CAG261514 BQK261514 BGO261514 AWS261514 AMW261514 ADA261514 TE261514 JI261514 M261514 WVU195978 WLY195978 WCC195978 VSG195978 VIK195978 UYO195978 UOS195978 UEW195978 TVA195978 TLE195978 TBI195978 SRM195978 SHQ195978 RXU195978 RNY195978 REC195978 QUG195978 QKK195978 QAO195978 PQS195978 PGW195978 OXA195978 ONE195978 ODI195978 NTM195978 NJQ195978 MZU195978 MPY195978 MGC195978 LWG195978 LMK195978 LCO195978 KSS195978 KIW195978 JZA195978 JPE195978 JFI195978 IVM195978 ILQ195978 IBU195978 HRY195978 HIC195978 GYG195978 GOK195978 GEO195978 FUS195978 FKW195978 FBA195978 ERE195978 EHI195978 DXM195978 DNQ195978 DDU195978 CTY195978 CKC195978 CAG195978 BQK195978 BGO195978 AWS195978 AMW195978 ADA195978 TE195978 JI195978 M195978 WVU130442 WLY130442 WCC130442 VSG130442 VIK130442 UYO130442 UOS130442 UEW130442 TVA130442 TLE130442 TBI130442 SRM130442 SHQ130442 RXU130442 RNY130442 REC130442 QUG130442 QKK130442 QAO130442 PQS130442 PGW130442 OXA130442 ONE130442 ODI130442 NTM130442 NJQ130442 MZU130442 MPY130442 MGC130442 LWG130442 LMK130442 LCO130442 KSS130442 KIW130442 JZA130442 JPE130442 JFI130442 IVM130442 ILQ130442 IBU130442 HRY130442 HIC130442 GYG130442 GOK130442 GEO130442 FUS130442 FKW130442 FBA130442 ERE130442 EHI130442 DXM130442 DNQ130442 DDU130442 CTY130442 CKC130442 CAG130442 BQK130442 BGO130442 AWS130442 AMW130442 ADA130442 TE130442 JI130442 M130442 WVU64906 WLY64906 WCC64906 VSG64906 VIK64906 UYO64906 UOS64906 UEW64906 TVA64906 TLE64906 TBI64906 SRM64906 SHQ64906 RXU64906 RNY64906 REC64906 QUG64906 QKK64906 QAO64906 PQS64906 PGW64906 OXA64906 ONE64906 ODI64906 NTM64906 NJQ64906 MZU64906 MPY64906 MGC64906 LWG64906 LMK64906 LCO64906 KSS64906 KIW64906 JZA64906 JPE64906 JFI64906 IVM64906 ILQ64906 IBU64906 HRY64906 HIC64906 GYG64906 GOK64906 GEO64906 FUS64906 FKW64906 FBA64906 ERE64906 EHI64906 DXM64906 DNQ64906 DDU64906 CTY64906 CKC64906 CAG64906 BQK64906 BGO64906 AWS64906 AMW64906 ADA64906 TE64906 JI64906 M64906 WVK982399 WLO982399 WBS982399 VRW982399 VIA982399 UYE982399 UOI982399 UEM982399 TUQ982399 TKU982399 TAY982399 SRC982399 SHG982399 RXK982399 RNO982399 RDS982399 QTW982399 QKA982399 QAE982399 PQI982399 PGM982399 OWQ982399 OMU982399 OCY982399 NTC982399 NJG982399 MZK982399 MPO982399 MFS982399 LVW982399 LMA982399 LCE982399 KSI982399 KIM982399 JYQ982399 JOU982399 JEY982399 IVC982399 ILG982399 IBK982399 HRO982399 HHS982399 GXW982399 GOA982399 GEE982399 FUI982399 FKM982399 FAQ982399 EQU982399 EGY982399 DXC982399 DNG982399 DDK982399 CTO982399 CJS982399 BZW982399 BQA982399 BGE982399 AWI982399 AMM982399 ACQ982399 SU982399 IY982399 C982399 WVK916863 WLO916863 WBS916863 VRW916863 VIA916863 UYE916863 UOI916863 UEM916863 TUQ916863 TKU916863 TAY916863 SRC916863 SHG916863 RXK916863 RNO916863 RDS916863 QTW916863 QKA916863 QAE916863 PQI916863 PGM916863 OWQ916863 OMU916863 OCY916863 NTC916863 NJG916863 MZK916863 MPO916863 MFS916863 LVW916863 LMA916863 LCE916863 KSI916863 KIM916863 JYQ916863 JOU916863 JEY916863 IVC916863 ILG916863 IBK916863 HRO916863 HHS916863 GXW916863 GOA916863 GEE916863 FUI916863 FKM916863 FAQ916863 EQU916863 EGY916863 DXC916863 DNG916863 DDK916863 CTO916863 CJS916863 BZW916863 BQA916863 BGE916863 AWI916863 AMM916863 ACQ916863 SU916863 IY916863 C916863 WVK851327 WLO851327 WBS851327 VRW851327 VIA851327 UYE851327 UOI851327 UEM851327 TUQ851327 TKU851327 TAY851327 SRC851327 SHG851327 RXK851327 RNO851327 RDS851327 QTW851327 QKA851327 QAE851327 PQI851327 PGM851327 OWQ851327 OMU851327 OCY851327 NTC851327 NJG851327 MZK851327 MPO851327 MFS851327 LVW851327 LMA851327 LCE851327 KSI851327 KIM851327 JYQ851327 JOU851327 JEY851327 IVC851327 ILG851327 IBK851327 HRO851327 HHS851327 GXW851327 GOA851327 GEE851327 FUI851327 FKM851327 FAQ851327 EQU851327 EGY851327 DXC851327 DNG851327 DDK851327 CTO851327 CJS851327 BZW851327 BQA851327 BGE851327 AWI851327 AMM851327 ACQ851327 SU851327 IY851327 C851327 WVK785791 WLO785791 WBS785791 VRW785791 VIA785791 UYE785791 UOI785791 UEM785791 TUQ785791 TKU785791 TAY785791 SRC785791 SHG785791 RXK785791 RNO785791 RDS785791 QTW785791 QKA785791 QAE785791 PQI785791 PGM785791 OWQ785791 OMU785791 OCY785791 NTC785791 NJG785791 MZK785791 MPO785791 MFS785791 LVW785791 LMA785791 LCE785791 KSI785791 KIM785791 JYQ785791 JOU785791 JEY785791 IVC785791 ILG785791 IBK785791 HRO785791 HHS785791 GXW785791 GOA785791 GEE785791 FUI785791 FKM785791 FAQ785791 EQU785791 EGY785791 DXC785791 DNG785791 DDK785791 CTO785791 CJS785791 BZW785791 BQA785791 BGE785791 AWI785791 AMM785791 ACQ785791 SU785791 IY785791 C785791 WVK720255 WLO720255 WBS720255 VRW720255 VIA720255 UYE720255 UOI720255 UEM720255 TUQ720255 TKU720255 TAY720255 SRC720255 SHG720255 RXK720255 RNO720255 RDS720255 QTW720255 QKA720255 QAE720255 PQI720255 PGM720255 OWQ720255 OMU720255 OCY720255 NTC720255 NJG720255 MZK720255 MPO720255 MFS720255 LVW720255 LMA720255 LCE720255 KSI720255 KIM720255 JYQ720255 JOU720255 JEY720255 IVC720255 ILG720255 IBK720255 HRO720255 HHS720255 GXW720255 GOA720255 GEE720255 FUI720255 FKM720255 FAQ720255 EQU720255 EGY720255 DXC720255 DNG720255 DDK720255 CTO720255 CJS720255 BZW720255 BQA720255 BGE720255 AWI720255 AMM720255 ACQ720255 SU720255 IY720255 C720255 WVK654719 WLO654719 WBS654719 VRW654719 VIA654719 UYE654719 UOI654719 UEM654719 TUQ654719 TKU654719 TAY654719 SRC654719 SHG654719 RXK654719 RNO654719 RDS654719 QTW654719 QKA654719 QAE654719 PQI654719 PGM654719 OWQ654719 OMU654719 OCY654719 NTC654719 NJG654719 MZK654719 MPO654719 MFS654719 LVW654719 LMA654719 LCE654719 KSI654719 KIM654719 JYQ654719 JOU654719 JEY654719 IVC654719 ILG654719 IBK654719 HRO654719 HHS654719 GXW654719 GOA654719 GEE654719 FUI654719 FKM654719 FAQ654719 EQU654719 EGY654719 DXC654719 DNG654719 DDK654719 CTO654719 CJS654719 BZW654719 BQA654719 BGE654719 AWI654719 AMM654719 ACQ654719 SU654719 IY654719 C654719 WVK589183 WLO589183 WBS589183 VRW589183 VIA589183 UYE589183 UOI589183 UEM589183 TUQ589183 TKU589183 TAY589183 SRC589183 SHG589183 RXK589183 RNO589183 RDS589183 QTW589183 QKA589183 QAE589183 PQI589183 PGM589183 OWQ589183 OMU589183 OCY589183 NTC589183 NJG589183 MZK589183 MPO589183 MFS589183 LVW589183 LMA589183 LCE589183 KSI589183 KIM589183 JYQ589183 JOU589183 JEY589183 IVC589183 ILG589183 IBK589183 HRO589183 HHS589183 GXW589183 GOA589183 GEE589183 FUI589183 FKM589183 FAQ589183 EQU589183 EGY589183 DXC589183 DNG589183 DDK589183 CTO589183 CJS589183 BZW589183 BQA589183 BGE589183 AWI589183 AMM589183 ACQ589183 SU589183 IY589183 C589183 WVK523647 WLO523647 WBS523647 VRW523647 VIA523647 UYE523647 UOI523647 UEM523647 TUQ523647 TKU523647 TAY523647 SRC523647 SHG523647 RXK523647 RNO523647 RDS523647 QTW523647 QKA523647 QAE523647 PQI523647 PGM523647 OWQ523647 OMU523647 OCY523647 NTC523647 NJG523647 MZK523647 MPO523647 MFS523647 LVW523647 LMA523647 LCE523647 KSI523647 KIM523647 JYQ523647 JOU523647 JEY523647 IVC523647 ILG523647 IBK523647 HRO523647 HHS523647 GXW523647 GOA523647 GEE523647 FUI523647 FKM523647 FAQ523647 EQU523647 EGY523647 DXC523647 DNG523647 DDK523647 CTO523647 CJS523647 BZW523647 BQA523647 BGE523647 AWI523647 AMM523647 ACQ523647 SU523647 IY523647 C523647 WVK458111 WLO458111 WBS458111 VRW458111 VIA458111 UYE458111 UOI458111 UEM458111 TUQ458111 TKU458111 TAY458111 SRC458111 SHG458111 RXK458111 RNO458111 RDS458111 QTW458111 QKA458111 QAE458111 PQI458111 PGM458111 OWQ458111 OMU458111 OCY458111 NTC458111 NJG458111 MZK458111 MPO458111 MFS458111 LVW458111 LMA458111 LCE458111 KSI458111 KIM458111 JYQ458111 JOU458111 JEY458111 IVC458111 ILG458111 IBK458111 HRO458111 HHS458111 GXW458111 GOA458111 GEE458111 FUI458111 FKM458111 FAQ458111 EQU458111 EGY458111 DXC458111 DNG458111 DDK458111 CTO458111 CJS458111 BZW458111 BQA458111 BGE458111 AWI458111 AMM458111 ACQ458111 SU458111 IY458111 C458111 WVK392575 WLO392575 WBS392575 VRW392575 VIA392575 UYE392575 UOI392575 UEM392575 TUQ392575 TKU392575 TAY392575 SRC392575 SHG392575 RXK392575 RNO392575 RDS392575 QTW392575 QKA392575 QAE392575 PQI392575 PGM392575 OWQ392575 OMU392575 OCY392575 NTC392575 NJG392575 MZK392575 MPO392575 MFS392575 LVW392575 LMA392575 LCE392575 KSI392575 KIM392575 JYQ392575 JOU392575 JEY392575 IVC392575 ILG392575 IBK392575 HRO392575 HHS392575 GXW392575 GOA392575 GEE392575 FUI392575 FKM392575 FAQ392575 EQU392575 EGY392575 DXC392575 DNG392575 DDK392575 CTO392575 CJS392575 BZW392575 BQA392575 BGE392575 AWI392575 AMM392575 ACQ392575 SU392575 IY392575 C392575 WVK327039 WLO327039 WBS327039 VRW327039 VIA327039 UYE327039 UOI327039 UEM327039 TUQ327039 TKU327039 TAY327039 SRC327039 SHG327039 RXK327039 RNO327039 RDS327039 QTW327039 QKA327039 QAE327039 PQI327039 PGM327039 OWQ327039 OMU327039 OCY327039 NTC327039 NJG327039 MZK327039 MPO327039 MFS327039 LVW327039 LMA327039 LCE327039 KSI327039 KIM327039 JYQ327039 JOU327039 JEY327039 IVC327039 ILG327039 IBK327039 HRO327039 HHS327039 GXW327039 GOA327039 GEE327039 FUI327039 FKM327039 FAQ327039 EQU327039 EGY327039 DXC327039 DNG327039 DDK327039 CTO327039 CJS327039 BZW327039 BQA327039 BGE327039 AWI327039 AMM327039 ACQ327039 SU327039 IY327039 C327039 WVK261503 WLO261503 WBS261503 VRW261503 VIA261503 UYE261503 UOI261503 UEM261503 TUQ261503 TKU261503 TAY261503 SRC261503 SHG261503 RXK261503 RNO261503 RDS261503 QTW261503 QKA261503 QAE261503 PQI261503 PGM261503 OWQ261503 OMU261503 OCY261503 NTC261503 NJG261503 MZK261503 MPO261503 MFS261503 LVW261503 LMA261503 LCE261503 KSI261503 KIM261503 JYQ261503 JOU261503 JEY261503 IVC261503 ILG261503 IBK261503 HRO261503 HHS261503 GXW261503 GOA261503 GEE261503 FUI261503 FKM261503 FAQ261503 EQU261503 EGY261503 DXC261503 DNG261503 DDK261503 CTO261503 CJS261503 BZW261503 BQA261503 BGE261503 AWI261503 AMM261503 ACQ261503 SU261503 IY261503 C261503 WVK195967 WLO195967 WBS195967 VRW195967 VIA195967 UYE195967 UOI195967 UEM195967 TUQ195967 TKU195967 TAY195967 SRC195967 SHG195967 RXK195967 RNO195967 RDS195967 QTW195967 QKA195967 QAE195967 PQI195967 PGM195967 OWQ195967 OMU195967 OCY195967 NTC195967 NJG195967 MZK195967 MPO195967 MFS195967 LVW195967 LMA195967 LCE195967 KSI195967 KIM195967 JYQ195967 JOU195967 JEY195967 IVC195967 ILG195967 IBK195967 HRO195967 HHS195967 GXW195967 GOA195967 GEE195967 FUI195967 FKM195967 FAQ195967 EQU195967 EGY195967 DXC195967 DNG195967 DDK195967 CTO195967 CJS195967 BZW195967 BQA195967 BGE195967 AWI195967 AMM195967 ACQ195967 SU195967 IY195967 C195967 WVK130431 WLO130431 WBS130431 VRW130431 VIA130431 UYE130431 UOI130431 UEM130431 TUQ130431 TKU130431 TAY130431 SRC130431 SHG130431 RXK130431 RNO130431 RDS130431 QTW130431 QKA130431 QAE130431 PQI130431 PGM130431 OWQ130431 OMU130431 OCY130431 NTC130431 NJG130431 MZK130431 MPO130431 MFS130431 LVW130431 LMA130431 LCE130431 KSI130431 KIM130431 JYQ130431 JOU130431 JEY130431 IVC130431 ILG130431 IBK130431 HRO130431 HHS130431 GXW130431 GOA130431 GEE130431 FUI130431 FKM130431 FAQ130431 EQU130431 EGY130431 DXC130431 DNG130431 DDK130431 CTO130431 CJS130431 BZW130431 BQA130431 BGE130431 AWI130431 AMM130431 ACQ130431 SU130431 IY130431 C130431 WVK64895 WLO64895 WBS64895 VRW64895 VIA64895 UYE64895 UOI64895 UEM64895 TUQ64895 TKU64895 TAY64895 SRC64895 SHG64895 RXK64895 RNO64895 RDS64895 QTW64895 QKA64895 QAE64895 PQI64895 PGM64895 OWQ64895 OMU64895 OCY64895 NTC64895 NJG64895 MZK64895 MPO64895 MFS64895 LVW64895 LMA64895 LCE64895 KSI64895 KIM64895 JYQ64895 JOU64895 JEY64895 IVC64895 ILG64895 IBK64895 HRO64895 HHS64895 GXW64895 GOA64895 GEE64895 FUI64895 FKM64895 FAQ64895 EQU64895 EGY64895 DXC64895 DNG64895 DDK64895 CTO64895 CJS64895 BZW64895 BQA64895 BGE64895 AWI64895 AMM64895 ACQ64895 SU64895 IY64895 C64895 WVI982394:WVL982394 WLM982394:WLP982394 WBQ982394:WBT982394 VRU982394:VRX982394 VHY982394:VIB982394 UYC982394:UYF982394 UOG982394:UOJ982394 UEK982394:UEN982394 TUO982394:TUR982394 TKS982394:TKV982394 TAW982394:TAZ982394 SRA982394:SRD982394 SHE982394:SHH982394 RXI982394:RXL982394 RNM982394:RNP982394 RDQ982394:RDT982394 QTU982394:QTX982394 QJY982394:QKB982394 QAC982394:QAF982394 PQG982394:PQJ982394 PGK982394:PGN982394 OWO982394:OWR982394 OMS982394:OMV982394 OCW982394:OCZ982394 NTA982394:NTD982394 NJE982394:NJH982394 MZI982394:MZL982394 MPM982394:MPP982394 MFQ982394:MFT982394 LVU982394:LVX982394 LLY982394:LMB982394 LCC982394:LCF982394 KSG982394:KSJ982394 KIK982394:KIN982394 JYO982394:JYR982394 JOS982394:JOV982394 JEW982394:JEZ982394 IVA982394:IVD982394 ILE982394:ILH982394 IBI982394:IBL982394 HRM982394:HRP982394 HHQ982394:HHT982394 GXU982394:GXX982394 GNY982394:GOB982394 GEC982394:GEF982394 FUG982394:FUJ982394 FKK982394:FKN982394 FAO982394:FAR982394 EQS982394:EQV982394 EGW982394:EGZ982394 DXA982394:DXD982394 DNE982394:DNH982394 DDI982394:DDL982394 CTM982394:CTP982394 CJQ982394:CJT982394 BZU982394:BZX982394 BPY982394:BQB982394 BGC982394:BGF982394 AWG982394:AWJ982394 AMK982394:AMN982394 ACO982394:ACR982394 SS982394:SV982394 IW982394:IZ982394 A982394:D982394 WVI916858:WVL916858 WLM916858:WLP916858 WBQ916858:WBT916858 VRU916858:VRX916858 VHY916858:VIB916858 UYC916858:UYF916858 UOG916858:UOJ916858 UEK916858:UEN916858 TUO916858:TUR916858 TKS916858:TKV916858 TAW916858:TAZ916858 SRA916858:SRD916858 SHE916858:SHH916858 RXI916858:RXL916858 RNM916858:RNP916858 RDQ916858:RDT916858 QTU916858:QTX916858 QJY916858:QKB916858 QAC916858:QAF916858 PQG916858:PQJ916858 PGK916858:PGN916858 OWO916858:OWR916858 OMS916858:OMV916858 OCW916858:OCZ916858 NTA916858:NTD916858 NJE916858:NJH916858 MZI916858:MZL916858 MPM916858:MPP916858 MFQ916858:MFT916858 LVU916858:LVX916858 LLY916858:LMB916858 LCC916858:LCF916858 KSG916858:KSJ916858 KIK916858:KIN916858 JYO916858:JYR916858 JOS916858:JOV916858 JEW916858:JEZ916858 IVA916858:IVD916858 ILE916858:ILH916858 IBI916858:IBL916858 HRM916858:HRP916858 HHQ916858:HHT916858 GXU916858:GXX916858 GNY916858:GOB916858 GEC916858:GEF916858 FUG916858:FUJ916858 FKK916858:FKN916858 FAO916858:FAR916858 EQS916858:EQV916858 EGW916858:EGZ916858 DXA916858:DXD916858 DNE916858:DNH916858 DDI916858:DDL916858 CTM916858:CTP916858 CJQ916858:CJT916858 BZU916858:BZX916858 BPY916858:BQB916858 BGC916858:BGF916858 AWG916858:AWJ916858 AMK916858:AMN916858 ACO916858:ACR916858 SS916858:SV916858 IW916858:IZ916858 A916858:D916858 WVI851322:WVL851322 WLM851322:WLP851322 WBQ851322:WBT851322 VRU851322:VRX851322 VHY851322:VIB851322 UYC851322:UYF851322 UOG851322:UOJ851322 UEK851322:UEN851322 TUO851322:TUR851322 TKS851322:TKV851322 TAW851322:TAZ851322 SRA851322:SRD851322 SHE851322:SHH851322 RXI851322:RXL851322 RNM851322:RNP851322 RDQ851322:RDT851322 QTU851322:QTX851322 QJY851322:QKB851322 QAC851322:QAF851322 PQG851322:PQJ851322 PGK851322:PGN851322 OWO851322:OWR851322 OMS851322:OMV851322 OCW851322:OCZ851322 NTA851322:NTD851322 NJE851322:NJH851322 MZI851322:MZL851322 MPM851322:MPP851322 MFQ851322:MFT851322 LVU851322:LVX851322 LLY851322:LMB851322 LCC851322:LCF851322 KSG851322:KSJ851322 KIK851322:KIN851322 JYO851322:JYR851322 JOS851322:JOV851322 JEW851322:JEZ851322 IVA851322:IVD851322 ILE851322:ILH851322 IBI851322:IBL851322 HRM851322:HRP851322 HHQ851322:HHT851322 GXU851322:GXX851322 GNY851322:GOB851322 GEC851322:GEF851322 FUG851322:FUJ851322 FKK851322:FKN851322 FAO851322:FAR851322 EQS851322:EQV851322 EGW851322:EGZ851322 DXA851322:DXD851322 DNE851322:DNH851322 DDI851322:DDL851322 CTM851322:CTP851322 CJQ851322:CJT851322 BZU851322:BZX851322 BPY851322:BQB851322 BGC851322:BGF851322 AWG851322:AWJ851322 AMK851322:AMN851322 ACO851322:ACR851322 SS851322:SV851322 IW851322:IZ851322 A851322:D851322 WVI785786:WVL785786 WLM785786:WLP785786 WBQ785786:WBT785786 VRU785786:VRX785786 VHY785786:VIB785786 UYC785786:UYF785786 UOG785786:UOJ785786 UEK785786:UEN785786 TUO785786:TUR785786 TKS785786:TKV785786 TAW785786:TAZ785786 SRA785786:SRD785786 SHE785786:SHH785786 RXI785786:RXL785786 RNM785786:RNP785786 RDQ785786:RDT785786 QTU785786:QTX785786 QJY785786:QKB785786 QAC785786:QAF785786 PQG785786:PQJ785786 PGK785786:PGN785786 OWO785786:OWR785786 OMS785786:OMV785786 OCW785786:OCZ785786 NTA785786:NTD785786 NJE785786:NJH785786 MZI785786:MZL785786 MPM785786:MPP785786 MFQ785786:MFT785786 LVU785786:LVX785786 LLY785786:LMB785786 LCC785786:LCF785786 KSG785786:KSJ785786 KIK785786:KIN785786 JYO785786:JYR785786 JOS785786:JOV785786 JEW785786:JEZ785786 IVA785786:IVD785786 ILE785786:ILH785786 IBI785786:IBL785786 HRM785786:HRP785786 HHQ785786:HHT785786 GXU785786:GXX785786 GNY785786:GOB785786 GEC785786:GEF785786 FUG785786:FUJ785786 FKK785786:FKN785786 FAO785786:FAR785786 EQS785786:EQV785786 EGW785786:EGZ785786 DXA785786:DXD785786 DNE785786:DNH785786 DDI785786:DDL785786 CTM785786:CTP785786 CJQ785786:CJT785786 BZU785786:BZX785786 BPY785786:BQB785786 BGC785786:BGF785786 AWG785786:AWJ785786 AMK785786:AMN785786 ACO785786:ACR785786 SS785786:SV785786 IW785786:IZ785786 A785786:D785786 WVI720250:WVL720250 WLM720250:WLP720250 WBQ720250:WBT720250 VRU720250:VRX720250 VHY720250:VIB720250 UYC720250:UYF720250 UOG720250:UOJ720250 UEK720250:UEN720250 TUO720250:TUR720250 TKS720250:TKV720250 TAW720250:TAZ720250 SRA720250:SRD720250 SHE720250:SHH720250 RXI720250:RXL720250 RNM720250:RNP720250 RDQ720250:RDT720250 QTU720250:QTX720250 QJY720250:QKB720250 QAC720250:QAF720250 PQG720250:PQJ720250 PGK720250:PGN720250 OWO720250:OWR720250 OMS720250:OMV720250 OCW720250:OCZ720250 NTA720250:NTD720250 NJE720250:NJH720250 MZI720250:MZL720250 MPM720250:MPP720250 MFQ720250:MFT720250 LVU720250:LVX720250 LLY720250:LMB720250 LCC720250:LCF720250 KSG720250:KSJ720250 KIK720250:KIN720250 JYO720250:JYR720250 JOS720250:JOV720250 JEW720250:JEZ720250 IVA720250:IVD720250 ILE720250:ILH720250 IBI720250:IBL720250 HRM720250:HRP720250 HHQ720250:HHT720250 GXU720250:GXX720250 GNY720250:GOB720250 GEC720250:GEF720250 FUG720250:FUJ720250 FKK720250:FKN720250 FAO720250:FAR720250 EQS720250:EQV720250 EGW720250:EGZ720250 DXA720250:DXD720250 DNE720250:DNH720250 DDI720250:DDL720250 CTM720250:CTP720250 CJQ720250:CJT720250 BZU720250:BZX720250 BPY720250:BQB720250 BGC720250:BGF720250 AWG720250:AWJ720250 AMK720250:AMN720250 ACO720250:ACR720250 SS720250:SV720250 IW720250:IZ720250 A720250:D720250 WVI654714:WVL654714 WLM654714:WLP654714 WBQ654714:WBT654714 VRU654714:VRX654714 VHY654714:VIB654714 UYC654714:UYF654714 UOG654714:UOJ654714 UEK654714:UEN654714 TUO654714:TUR654714 TKS654714:TKV654714 TAW654714:TAZ654714 SRA654714:SRD654714 SHE654714:SHH654714 RXI654714:RXL654714 RNM654714:RNP654714 RDQ654714:RDT654714 QTU654714:QTX654714 QJY654714:QKB654714 QAC654714:QAF654714 PQG654714:PQJ654714 PGK654714:PGN654714 OWO654714:OWR654714 OMS654714:OMV654714 OCW654714:OCZ654714 NTA654714:NTD654714 NJE654714:NJH654714 MZI654714:MZL654714 MPM654714:MPP654714 MFQ654714:MFT654714 LVU654714:LVX654714 LLY654714:LMB654714 LCC654714:LCF654714 KSG654714:KSJ654714 KIK654714:KIN654714 JYO654714:JYR654714 JOS654714:JOV654714 JEW654714:JEZ654714 IVA654714:IVD654714 ILE654714:ILH654714 IBI654714:IBL654714 HRM654714:HRP654714 HHQ654714:HHT654714 GXU654714:GXX654714 GNY654714:GOB654714 GEC654714:GEF654714 FUG654714:FUJ654714 FKK654714:FKN654714 FAO654714:FAR654714 EQS654714:EQV654714 EGW654714:EGZ654714 DXA654714:DXD654714 DNE654714:DNH654714 DDI654714:DDL654714 CTM654714:CTP654714 CJQ654714:CJT654714 BZU654714:BZX654714 BPY654714:BQB654714 BGC654714:BGF654714 AWG654714:AWJ654714 AMK654714:AMN654714 ACO654714:ACR654714 SS654714:SV654714 IW654714:IZ654714 A654714:D654714 WVI589178:WVL589178 WLM589178:WLP589178 WBQ589178:WBT589178 VRU589178:VRX589178 VHY589178:VIB589178 UYC589178:UYF589178 UOG589178:UOJ589178 UEK589178:UEN589178 TUO589178:TUR589178 TKS589178:TKV589178 TAW589178:TAZ589178 SRA589178:SRD589178 SHE589178:SHH589178 RXI589178:RXL589178 RNM589178:RNP589178 RDQ589178:RDT589178 QTU589178:QTX589178 QJY589178:QKB589178 QAC589178:QAF589178 PQG589178:PQJ589178 PGK589178:PGN589178 OWO589178:OWR589178 OMS589178:OMV589178 OCW589178:OCZ589178 NTA589178:NTD589178 NJE589178:NJH589178 MZI589178:MZL589178 MPM589178:MPP589178 MFQ589178:MFT589178 LVU589178:LVX589178 LLY589178:LMB589178 LCC589178:LCF589178 KSG589178:KSJ589178 KIK589178:KIN589178 JYO589178:JYR589178 JOS589178:JOV589178 JEW589178:JEZ589178 IVA589178:IVD589178 ILE589178:ILH589178 IBI589178:IBL589178 HRM589178:HRP589178 HHQ589178:HHT589178 GXU589178:GXX589178 GNY589178:GOB589178 GEC589178:GEF589178 FUG589178:FUJ589178 FKK589178:FKN589178 FAO589178:FAR589178 EQS589178:EQV589178 EGW589178:EGZ589178 DXA589178:DXD589178 DNE589178:DNH589178 DDI589178:DDL589178 CTM589178:CTP589178 CJQ589178:CJT589178 BZU589178:BZX589178 BPY589178:BQB589178 BGC589178:BGF589178 AWG589178:AWJ589178 AMK589178:AMN589178 ACO589178:ACR589178 SS589178:SV589178 IW589178:IZ589178 A589178:D589178 WVI523642:WVL523642 WLM523642:WLP523642 WBQ523642:WBT523642 VRU523642:VRX523642 VHY523642:VIB523642 UYC523642:UYF523642 UOG523642:UOJ523642 UEK523642:UEN523642 TUO523642:TUR523642 TKS523642:TKV523642 TAW523642:TAZ523642 SRA523642:SRD523642 SHE523642:SHH523642 RXI523642:RXL523642 RNM523642:RNP523642 RDQ523642:RDT523642 QTU523642:QTX523642 QJY523642:QKB523642 QAC523642:QAF523642 PQG523642:PQJ523642 PGK523642:PGN523642 OWO523642:OWR523642 OMS523642:OMV523642 OCW523642:OCZ523642 NTA523642:NTD523642 NJE523642:NJH523642 MZI523642:MZL523642 MPM523642:MPP523642 MFQ523642:MFT523642 LVU523642:LVX523642 LLY523642:LMB523642 LCC523642:LCF523642 KSG523642:KSJ523642 KIK523642:KIN523642 JYO523642:JYR523642 JOS523642:JOV523642 JEW523642:JEZ523642 IVA523642:IVD523642 ILE523642:ILH523642 IBI523642:IBL523642 HRM523642:HRP523642 HHQ523642:HHT523642 GXU523642:GXX523642 GNY523642:GOB523642 GEC523642:GEF523642 FUG523642:FUJ523642 FKK523642:FKN523642 FAO523642:FAR523642 EQS523642:EQV523642 EGW523642:EGZ523642 DXA523642:DXD523642 DNE523642:DNH523642 DDI523642:DDL523642 CTM523642:CTP523642 CJQ523642:CJT523642 BZU523642:BZX523642 BPY523642:BQB523642 BGC523642:BGF523642 AWG523642:AWJ523642 AMK523642:AMN523642 ACO523642:ACR523642 SS523642:SV523642 IW523642:IZ523642 A523642:D523642 WVI458106:WVL458106 WLM458106:WLP458106 WBQ458106:WBT458106 VRU458106:VRX458106 VHY458106:VIB458106 UYC458106:UYF458106 UOG458106:UOJ458106 UEK458106:UEN458106 TUO458106:TUR458106 TKS458106:TKV458106 TAW458106:TAZ458106 SRA458106:SRD458106 SHE458106:SHH458106 RXI458106:RXL458106 RNM458106:RNP458106 RDQ458106:RDT458106 QTU458106:QTX458106 QJY458106:QKB458106 QAC458106:QAF458106 PQG458106:PQJ458106 PGK458106:PGN458106 OWO458106:OWR458106 OMS458106:OMV458106 OCW458106:OCZ458106 NTA458106:NTD458106 NJE458106:NJH458106 MZI458106:MZL458106 MPM458106:MPP458106 MFQ458106:MFT458106 LVU458106:LVX458106 LLY458106:LMB458106 LCC458106:LCF458106 KSG458106:KSJ458106 KIK458106:KIN458106 JYO458106:JYR458106 JOS458106:JOV458106 JEW458106:JEZ458106 IVA458106:IVD458106 ILE458106:ILH458106 IBI458106:IBL458106 HRM458106:HRP458106 HHQ458106:HHT458106 GXU458106:GXX458106 GNY458106:GOB458106 GEC458106:GEF458106 FUG458106:FUJ458106 FKK458106:FKN458106 FAO458106:FAR458106 EQS458106:EQV458106 EGW458106:EGZ458106 DXA458106:DXD458106 DNE458106:DNH458106 DDI458106:DDL458106 CTM458106:CTP458106 CJQ458106:CJT458106 BZU458106:BZX458106 BPY458106:BQB458106 BGC458106:BGF458106 AWG458106:AWJ458106 AMK458106:AMN458106 ACO458106:ACR458106 SS458106:SV458106 IW458106:IZ458106 A458106:D458106 WVI392570:WVL392570 WLM392570:WLP392570 WBQ392570:WBT392570 VRU392570:VRX392570 VHY392570:VIB392570 UYC392570:UYF392570 UOG392570:UOJ392570 UEK392570:UEN392570 TUO392570:TUR392570 TKS392570:TKV392570 TAW392570:TAZ392570 SRA392570:SRD392570 SHE392570:SHH392570 RXI392570:RXL392570 RNM392570:RNP392570 RDQ392570:RDT392570 QTU392570:QTX392570 QJY392570:QKB392570 QAC392570:QAF392570 PQG392570:PQJ392570 PGK392570:PGN392570 OWO392570:OWR392570 OMS392570:OMV392570 OCW392570:OCZ392570 NTA392570:NTD392570 NJE392570:NJH392570 MZI392570:MZL392570 MPM392570:MPP392570 MFQ392570:MFT392570 LVU392570:LVX392570 LLY392570:LMB392570 LCC392570:LCF392570 KSG392570:KSJ392570 KIK392570:KIN392570 JYO392570:JYR392570 JOS392570:JOV392570 JEW392570:JEZ392570 IVA392570:IVD392570 ILE392570:ILH392570 IBI392570:IBL392570 HRM392570:HRP392570 HHQ392570:HHT392570 GXU392570:GXX392570 GNY392570:GOB392570 GEC392570:GEF392570 FUG392570:FUJ392570 FKK392570:FKN392570 FAO392570:FAR392570 EQS392570:EQV392570 EGW392570:EGZ392570 DXA392570:DXD392570 DNE392570:DNH392570 DDI392570:DDL392570 CTM392570:CTP392570 CJQ392570:CJT392570 BZU392570:BZX392570 BPY392570:BQB392570 BGC392570:BGF392570 AWG392570:AWJ392570 AMK392570:AMN392570 ACO392570:ACR392570 SS392570:SV392570 IW392570:IZ392570 A392570:D392570 WVI327034:WVL327034 WLM327034:WLP327034 WBQ327034:WBT327034 VRU327034:VRX327034 VHY327034:VIB327034 UYC327034:UYF327034 UOG327034:UOJ327034 UEK327034:UEN327034 TUO327034:TUR327034 TKS327034:TKV327034 TAW327034:TAZ327034 SRA327034:SRD327034 SHE327034:SHH327034 RXI327034:RXL327034 RNM327034:RNP327034 RDQ327034:RDT327034 QTU327034:QTX327034 QJY327034:QKB327034 QAC327034:QAF327034 PQG327034:PQJ327034 PGK327034:PGN327034 OWO327034:OWR327034 OMS327034:OMV327034 OCW327034:OCZ327034 NTA327034:NTD327034 NJE327034:NJH327034 MZI327034:MZL327034 MPM327034:MPP327034 MFQ327034:MFT327034 LVU327034:LVX327034 LLY327034:LMB327034 LCC327034:LCF327034 KSG327034:KSJ327034 KIK327034:KIN327034 JYO327034:JYR327034 JOS327034:JOV327034 JEW327034:JEZ327034 IVA327034:IVD327034 ILE327034:ILH327034 IBI327034:IBL327034 HRM327034:HRP327034 HHQ327034:HHT327034 GXU327034:GXX327034 GNY327034:GOB327034 GEC327034:GEF327034 FUG327034:FUJ327034 FKK327034:FKN327034 FAO327034:FAR327034 EQS327034:EQV327034 EGW327034:EGZ327034 DXA327034:DXD327034 DNE327034:DNH327034 DDI327034:DDL327034 CTM327034:CTP327034 CJQ327034:CJT327034 BZU327034:BZX327034 BPY327034:BQB327034 BGC327034:BGF327034 AWG327034:AWJ327034 AMK327034:AMN327034 ACO327034:ACR327034 SS327034:SV327034 IW327034:IZ327034 A327034:D327034 WVI261498:WVL261498 WLM261498:WLP261498 WBQ261498:WBT261498 VRU261498:VRX261498 VHY261498:VIB261498 UYC261498:UYF261498 UOG261498:UOJ261498 UEK261498:UEN261498 TUO261498:TUR261498 TKS261498:TKV261498 TAW261498:TAZ261498 SRA261498:SRD261498 SHE261498:SHH261498 RXI261498:RXL261498 RNM261498:RNP261498 RDQ261498:RDT261498 QTU261498:QTX261498 QJY261498:QKB261498 QAC261498:QAF261498 PQG261498:PQJ261498 PGK261498:PGN261498 OWO261498:OWR261498 OMS261498:OMV261498 OCW261498:OCZ261498 NTA261498:NTD261498 NJE261498:NJH261498 MZI261498:MZL261498 MPM261498:MPP261498 MFQ261498:MFT261498 LVU261498:LVX261498 LLY261498:LMB261498 LCC261498:LCF261498 KSG261498:KSJ261498 KIK261498:KIN261498 JYO261498:JYR261498 JOS261498:JOV261498 JEW261498:JEZ261498 IVA261498:IVD261498 ILE261498:ILH261498 IBI261498:IBL261498 HRM261498:HRP261498 HHQ261498:HHT261498 GXU261498:GXX261498 GNY261498:GOB261498 GEC261498:GEF261498 FUG261498:FUJ261498 FKK261498:FKN261498 FAO261498:FAR261498 EQS261498:EQV261498 EGW261498:EGZ261498 DXA261498:DXD261498 DNE261498:DNH261498 DDI261498:DDL261498 CTM261498:CTP261498 CJQ261498:CJT261498 BZU261498:BZX261498 BPY261498:BQB261498 BGC261498:BGF261498 AWG261498:AWJ261498 AMK261498:AMN261498 ACO261498:ACR261498 SS261498:SV261498 IW261498:IZ261498 A261498:D261498 WVI195962:WVL195962 WLM195962:WLP195962 WBQ195962:WBT195962 VRU195962:VRX195962 VHY195962:VIB195962 UYC195962:UYF195962 UOG195962:UOJ195962 UEK195962:UEN195962 TUO195962:TUR195962 TKS195962:TKV195962 TAW195962:TAZ195962 SRA195962:SRD195962 SHE195962:SHH195962 RXI195962:RXL195962 RNM195962:RNP195962 RDQ195962:RDT195962 QTU195962:QTX195962 QJY195962:QKB195962 QAC195962:QAF195962 PQG195962:PQJ195962 PGK195962:PGN195962 OWO195962:OWR195962 OMS195962:OMV195962 OCW195962:OCZ195962 NTA195962:NTD195962 NJE195962:NJH195962 MZI195962:MZL195962 MPM195962:MPP195962 MFQ195962:MFT195962 LVU195962:LVX195962 LLY195962:LMB195962 LCC195962:LCF195962 KSG195962:KSJ195962 KIK195962:KIN195962 JYO195962:JYR195962 JOS195962:JOV195962 JEW195962:JEZ195962 IVA195962:IVD195962 ILE195962:ILH195962 IBI195962:IBL195962 HRM195962:HRP195962 HHQ195962:HHT195962 GXU195962:GXX195962 GNY195962:GOB195962 GEC195962:GEF195962 FUG195962:FUJ195962 FKK195962:FKN195962 FAO195962:FAR195962 EQS195962:EQV195962 EGW195962:EGZ195962 DXA195962:DXD195962 DNE195962:DNH195962 DDI195962:DDL195962 CTM195962:CTP195962 CJQ195962:CJT195962 BZU195962:BZX195962 BPY195962:BQB195962 BGC195962:BGF195962 AWG195962:AWJ195962 AMK195962:AMN195962 ACO195962:ACR195962 SS195962:SV195962 IW195962:IZ195962 A195962:D195962 WVI130426:WVL130426 WLM130426:WLP130426 WBQ130426:WBT130426 VRU130426:VRX130426 VHY130426:VIB130426 UYC130426:UYF130426 UOG130426:UOJ130426 UEK130426:UEN130426 TUO130426:TUR130426 TKS130426:TKV130426 TAW130426:TAZ130426 SRA130426:SRD130426 SHE130426:SHH130426 RXI130426:RXL130426 RNM130426:RNP130426 RDQ130426:RDT130426 QTU130426:QTX130426 QJY130426:QKB130426 QAC130426:QAF130426 PQG130426:PQJ130426 PGK130426:PGN130426 OWO130426:OWR130426 OMS130426:OMV130426 OCW130426:OCZ130426 NTA130426:NTD130426 NJE130426:NJH130426 MZI130426:MZL130426 MPM130426:MPP130426 MFQ130426:MFT130426 LVU130426:LVX130426 LLY130426:LMB130426 LCC130426:LCF130426 KSG130426:KSJ130426 KIK130426:KIN130426 JYO130426:JYR130426 JOS130426:JOV130426 JEW130426:JEZ130426 IVA130426:IVD130426 ILE130426:ILH130426 IBI130426:IBL130426 HRM130426:HRP130426 HHQ130426:HHT130426 GXU130426:GXX130426 GNY130426:GOB130426 GEC130426:GEF130426 FUG130426:FUJ130426 FKK130426:FKN130426 FAO130426:FAR130426 EQS130426:EQV130426 EGW130426:EGZ130426 DXA130426:DXD130426 DNE130426:DNH130426 DDI130426:DDL130426 CTM130426:CTP130426 CJQ130426:CJT130426 BZU130426:BZX130426 BPY130426:BQB130426 BGC130426:BGF130426 AWG130426:AWJ130426 AMK130426:AMN130426 ACO130426:ACR130426 SS130426:SV130426 IW130426:IZ130426 A130426:D130426 WVI64890:WVL64890 WLM64890:WLP64890 WBQ64890:WBT64890 VRU64890:VRX64890 VHY64890:VIB64890 UYC64890:UYF64890 UOG64890:UOJ64890 UEK64890:UEN64890 TUO64890:TUR64890 TKS64890:TKV64890 TAW64890:TAZ64890 SRA64890:SRD64890 SHE64890:SHH64890 RXI64890:RXL64890 RNM64890:RNP64890 RDQ64890:RDT64890 QTU64890:QTX64890 QJY64890:QKB64890 QAC64890:QAF64890 PQG64890:PQJ64890 PGK64890:PGN64890 OWO64890:OWR64890 OMS64890:OMV64890 OCW64890:OCZ64890 NTA64890:NTD64890 NJE64890:NJH64890 MZI64890:MZL64890 MPM64890:MPP64890 MFQ64890:MFT64890 LVU64890:LVX64890 LLY64890:LMB64890 LCC64890:LCF64890 KSG64890:KSJ64890 KIK64890:KIN64890 JYO64890:JYR64890 JOS64890:JOV64890 JEW64890:JEZ64890 IVA64890:IVD64890 ILE64890:ILH64890 IBI64890:IBL64890 HRM64890:HRP64890 HHQ64890:HHT64890 GXU64890:GXX64890 GNY64890:GOB64890 GEC64890:GEF64890 FUG64890:FUJ64890 FKK64890:FKN64890 FAO64890:FAR64890 EQS64890:EQV64890 EGW64890:EGZ64890 DXA64890:DXD64890 DNE64890:DNH64890 DDI64890:DDL64890 CTM64890:CTP64890 CJQ64890:CJT64890 BZU64890:BZX64890 BPY64890:BQB64890 BGC64890:BGF64890 AWG64890:AWJ64890 AMK64890:AMN64890 ACO64890:ACR64890 SS64890:SV64890 IW64890:IZ64890 A64890:D64890 WVR982399 WLV982399 WBZ982399 VSD982399 VIH982399 UYL982399 UOP982399 UET982399 TUX982399 TLB982399 TBF982399 SRJ982399 SHN982399 RXR982399 RNV982399 RDZ982399 QUD982399 QKH982399 QAL982399 PQP982399 PGT982399 OWX982399 ONB982399 ODF982399 NTJ982399 NJN982399 MZR982399 MPV982399 MFZ982399 LWD982399 LMH982399 LCL982399 KSP982399 KIT982399 JYX982399 JPB982399 JFF982399 IVJ982399 ILN982399 IBR982399 HRV982399 HHZ982399 GYD982399 GOH982399 GEL982399 FUP982399 FKT982399 FAX982399 ERB982399 EHF982399 DXJ982399 DNN982399 DDR982399 CTV982399 CJZ982399 CAD982399 BQH982399 BGL982399 AWP982399 AMT982399 ACX982399 TB982399 JF982399 J982399 WVR916863 WLV916863 WBZ916863 VSD916863 VIH916863 UYL916863 UOP916863 UET916863 TUX916863 TLB916863 TBF916863 SRJ916863 SHN916863 RXR916863 RNV916863 RDZ916863 QUD916863 QKH916863 QAL916863 PQP916863 PGT916863 OWX916863 ONB916863 ODF916863 NTJ916863 NJN916863 MZR916863 MPV916863 MFZ916863 LWD916863 LMH916863 LCL916863 KSP916863 KIT916863 JYX916863 JPB916863 JFF916863 IVJ916863 ILN916863 IBR916863 HRV916863 HHZ916863 GYD916863 GOH916863 GEL916863 FUP916863 FKT916863 FAX916863 ERB916863 EHF916863 DXJ916863 DNN916863 DDR916863 CTV916863 CJZ916863 CAD916863 BQH916863 BGL916863 AWP916863 AMT916863 ACX916863 TB916863 JF916863 J916863 WVR851327 WLV851327 WBZ851327 VSD851327 VIH851327 UYL851327 UOP851327 UET851327 TUX851327 TLB851327 TBF851327 SRJ851327 SHN851327 RXR851327 RNV851327 RDZ851327 QUD851327 QKH851327 QAL851327 PQP851327 PGT851327 OWX851327 ONB851327 ODF851327 NTJ851327 NJN851327 MZR851327 MPV851327 MFZ851327 LWD851327 LMH851327 LCL851327 KSP851327 KIT851327 JYX851327 JPB851327 JFF851327 IVJ851327 ILN851327 IBR851327 HRV851327 HHZ851327 GYD851327 GOH851327 GEL851327 FUP851327 FKT851327 FAX851327 ERB851327 EHF851327 DXJ851327 DNN851327 DDR851327 CTV851327 CJZ851327 CAD851327 BQH851327 BGL851327 AWP851327 AMT851327 ACX851327 TB851327 JF851327 J851327 WVR785791 WLV785791 WBZ785791 VSD785791 VIH785791 UYL785791 UOP785791 UET785791 TUX785791 TLB785791 TBF785791 SRJ785791 SHN785791 RXR785791 RNV785791 RDZ785791 QUD785791 QKH785791 QAL785791 PQP785791 PGT785791 OWX785791 ONB785791 ODF785791 NTJ785791 NJN785791 MZR785791 MPV785791 MFZ785791 LWD785791 LMH785791 LCL785791 KSP785791 KIT785791 JYX785791 JPB785791 JFF785791 IVJ785791 ILN785791 IBR785791 HRV785791 HHZ785791 GYD785791 GOH785791 GEL785791 FUP785791 FKT785791 FAX785791 ERB785791 EHF785791 DXJ785791 DNN785791 DDR785791 CTV785791 CJZ785791 CAD785791 BQH785791 BGL785791 AWP785791 AMT785791 ACX785791 TB785791 JF785791 J785791 WVR720255 WLV720255 WBZ720255 VSD720255 VIH720255 UYL720255 UOP720255 UET720255 TUX720255 TLB720255 TBF720255 SRJ720255 SHN720255 RXR720255 RNV720255 RDZ720255 QUD720255 QKH720255 QAL720255 PQP720255 PGT720255 OWX720255 ONB720255 ODF720255 NTJ720255 NJN720255 MZR720255 MPV720255 MFZ720255 LWD720255 LMH720255 LCL720255 KSP720255 KIT720255 JYX720255 JPB720255 JFF720255 IVJ720255 ILN720255 IBR720255 HRV720255 HHZ720255 GYD720255 GOH720255 GEL720255 FUP720255 FKT720255 FAX720255 ERB720255 EHF720255 DXJ720255 DNN720255 DDR720255 CTV720255 CJZ720255 CAD720255 BQH720255 BGL720255 AWP720255 AMT720255 ACX720255 TB720255 JF720255 J720255 WVR654719 WLV654719 WBZ654719 VSD654719 VIH654719 UYL654719 UOP654719 UET654719 TUX654719 TLB654719 TBF654719 SRJ654719 SHN654719 RXR654719 RNV654719 RDZ654719 QUD654719 QKH654719 QAL654719 PQP654719 PGT654719 OWX654719 ONB654719 ODF654719 NTJ654719 NJN654719 MZR654719 MPV654719 MFZ654719 LWD654719 LMH654719 LCL654719 KSP654719 KIT654719 JYX654719 JPB654719 JFF654719 IVJ654719 ILN654719 IBR654719 HRV654719 HHZ654719 GYD654719 GOH654719 GEL654719 FUP654719 FKT654719 FAX654719 ERB654719 EHF654719 DXJ654719 DNN654719 DDR654719 CTV654719 CJZ654719 CAD654719 BQH654719 BGL654719 AWP654719 AMT654719 ACX654719 TB654719 JF654719 J654719 WVR589183 WLV589183 WBZ589183 VSD589183 VIH589183 UYL589183 UOP589183 UET589183 TUX589183 TLB589183 TBF589183 SRJ589183 SHN589183 RXR589183 RNV589183 RDZ589183 QUD589183 QKH589183 QAL589183 PQP589183 PGT589183 OWX589183 ONB589183 ODF589183 NTJ589183 NJN589183 MZR589183 MPV589183 MFZ589183 LWD589183 LMH589183 LCL589183 KSP589183 KIT589183 JYX589183 JPB589183 JFF589183 IVJ589183 ILN589183 IBR589183 HRV589183 HHZ589183 GYD589183 GOH589183 GEL589183 FUP589183 FKT589183 FAX589183 ERB589183 EHF589183 DXJ589183 DNN589183 DDR589183 CTV589183 CJZ589183 CAD589183 BQH589183 BGL589183 AWP589183 AMT589183 ACX589183 TB589183 JF589183 J589183 WVR523647 WLV523647 WBZ523647 VSD523647 VIH523647 UYL523647 UOP523647 UET523647 TUX523647 TLB523647 TBF523647 SRJ523647 SHN523647 RXR523647 RNV523647 RDZ523647 QUD523647 QKH523647 QAL523647 PQP523647 PGT523647 OWX523647 ONB523647 ODF523647 NTJ523647 NJN523647 MZR523647 MPV523647 MFZ523647 LWD523647 LMH523647 LCL523647 KSP523647 KIT523647 JYX523647 JPB523647 JFF523647 IVJ523647 ILN523647 IBR523647 HRV523647 HHZ523647 GYD523647 GOH523647 GEL523647 FUP523647 FKT523647 FAX523647 ERB523647 EHF523647 DXJ523647 DNN523647 DDR523647 CTV523647 CJZ523647 CAD523647 BQH523647 BGL523647 AWP523647 AMT523647 ACX523647 TB523647 JF523647 J523647 WVR458111 WLV458111 WBZ458111 VSD458111 VIH458111 UYL458111 UOP458111 UET458111 TUX458111 TLB458111 TBF458111 SRJ458111 SHN458111 RXR458111 RNV458111 RDZ458111 QUD458111 QKH458111 QAL458111 PQP458111 PGT458111 OWX458111 ONB458111 ODF458111 NTJ458111 NJN458111 MZR458111 MPV458111 MFZ458111 LWD458111 LMH458111 LCL458111 KSP458111 KIT458111 JYX458111 JPB458111 JFF458111 IVJ458111 ILN458111 IBR458111 HRV458111 HHZ458111 GYD458111 GOH458111 GEL458111 FUP458111 FKT458111 FAX458111 ERB458111 EHF458111 DXJ458111 DNN458111 DDR458111 CTV458111 CJZ458111 CAD458111 BQH458111 BGL458111 AWP458111 AMT458111 ACX458111 TB458111 JF458111 J458111 WVR392575 WLV392575 WBZ392575 VSD392575 VIH392575 UYL392575 UOP392575 UET392575 TUX392575 TLB392575 TBF392575 SRJ392575 SHN392575 RXR392575 RNV392575 RDZ392575 QUD392575 QKH392575 QAL392575 PQP392575 PGT392575 OWX392575 ONB392575 ODF392575 NTJ392575 NJN392575 MZR392575 MPV392575 MFZ392575 LWD392575 LMH392575 LCL392575 KSP392575 KIT392575 JYX392575 JPB392575 JFF392575 IVJ392575 ILN392575 IBR392575 HRV392575 HHZ392575 GYD392575 GOH392575 GEL392575 FUP392575 FKT392575 FAX392575 ERB392575 EHF392575 DXJ392575 DNN392575 DDR392575 CTV392575 CJZ392575 CAD392575 BQH392575 BGL392575 AWP392575 AMT392575 ACX392575 TB392575 JF392575 J392575 WVR327039 WLV327039 WBZ327039 VSD327039 VIH327039 UYL327039 UOP327039 UET327039 TUX327039 TLB327039 TBF327039 SRJ327039 SHN327039 RXR327039 RNV327039 RDZ327039 QUD327039 QKH327039 QAL327039 PQP327039 PGT327039 OWX327039 ONB327039 ODF327039 NTJ327039 NJN327039 MZR327039 MPV327039 MFZ327039 LWD327039 LMH327039 LCL327039 KSP327039 KIT327039 JYX327039 JPB327039 JFF327039 IVJ327039 ILN327039 IBR327039 HRV327039 HHZ327039 GYD327039 GOH327039 GEL327039 FUP327039 FKT327039 FAX327039 ERB327039 EHF327039 DXJ327039 DNN327039 DDR327039 CTV327039 CJZ327039 CAD327039 BQH327039 BGL327039 AWP327039 AMT327039 ACX327039 TB327039 JF327039 J327039 WVR261503 WLV261503 WBZ261503 VSD261503 VIH261503 UYL261503 UOP261503 UET261503 TUX261503 TLB261503 TBF261503 SRJ261503 SHN261503 RXR261503 RNV261503 RDZ261503 QUD261503 QKH261503 QAL261503 PQP261503 PGT261503 OWX261503 ONB261503 ODF261503 NTJ261503 NJN261503 MZR261503 MPV261503 MFZ261503 LWD261503 LMH261503 LCL261503 KSP261503 KIT261503 JYX261503 JPB261503 JFF261503 IVJ261503 ILN261503 IBR261503 HRV261503 HHZ261503 GYD261503 GOH261503 GEL261503 FUP261503 FKT261503 FAX261503 ERB261503 EHF261503 DXJ261503 DNN261503 DDR261503 CTV261503 CJZ261503 CAD261503 BQH261503 BGL261503 AWP261503 AMT261503 ACX261503 TB261503 JF261503 J261503 WVR195967 WLV195967 WBZ195967 VSD195967 VIH195967 UYL195967 UOP195967 UET195967 TUX195967 TLB195967 TBF195967 SRJ195967 SHN195967 RXR195967 RNV195967 RDZ195967 QUD195967 QKH195967 QAL195967 PQP195967 PGT195967 OWX195967 ONB195967 ODF195967 NTJ195967 NJN195967 MZR195967 MPV195967 MFZ195967 LWD195967 LMH195967 LCL195967 KSP195967 KIT195967 JYX195967 JPB195967 JFF195967 IVJ195967 ILN195967 IBR195967 HRV195967 HHZ195967 GYD195967 GOH195967 GEL195967 FUP195967 FKT195967 FAX195967 ERB195967 EHF195967 DXJ195967 DNN195967 DDR195967 CTV195967 CJZ195967 CAD195967 BQH195967 BGL195967 AWP195967 AMT195967 ACX195967 TB195967 JF195967 J195967 WVR130431 WLV130431 WBZ130431 VSD130431 VIH130431 UYL130431 UOP130431 UET130431 TUX130431 TLB130431 TBF130431 SRJ130431 SHN130431 RXR130431 RNV130431 RDZ130431 QUD130431 QKH130431 QAL130431 PQP130431 PGT130431 OWX130431 ONB130431 ODF130431 NTJ130431 NJN130431 MZR130431 MPV130431 MFZ130431 LWD130431 LMH130431 LCL130431 KSP130431 KIT130431 JYX130431 JPB130431 JFF130431 IVJ130431 ILN130431 IBR130431 HRV130431 HHZ130431 GYD130431 GOH130431 GEL130431 FUP130431 FKT130431 FAX130431 ERB130431 EHF130431 DXJ130431 DNN130431 DDR130431 CTV130431 CJZ130431 CAD130431 BQH130431 BGL130431 AWP130431 AMT130431 ACX130431 TB130431 JF130431 J130431 WVR64895 WLV64895 WBZ64895 VSD64895 VIH64895 UYL64895 UOP64895 UET64895 TUX64895 TLB64895 TBF64895 SRJ64895 SHN64895 RXR64895 RNV64895 RDZ64895 QUD64895 QKH64895 QAL64895 PQP64895 PGT64895 OWX64895 ONB64895 ODF64895 NTJ64895 NJN64895 MZR64895 MPV64895 MFZ64895 LWD64895 LMH64895 LCL64895 KSP64895 KIT64895 JYX64895 JPB64895 JFF64895 IVJ64895 ILN64895 IBR64895 HRV64895 HHZ64895 GYD64895 GOH64895 GEL64895 FUP64895 FKT64895 FAX64895 ERB64895 EHF64895 DXJ64895 DNN64895 DDR64895 CTV64895 CJZ64895 CAD64895 BQH64895 BGL64895 AWP64895 AMT64895 ACX64895 TB64895 JF64895 J64895 WVS982410 WLW982410 WCA982410 VSE982410 VII982410 UYM982410 UOQ982410 UEU982410 TUY982410 TLC982410 TBG982410 SRK982410 SHO982410 RXS982410 RNW982410 REA982410 QUE982410 QKI982410 QAM982410 PQQ982410 PGU982410 OWY982410 ONC982410 ODG982410 NTK982410 NJO982410 MZS982410 MPW982410 MGA982410 LWE982410 LMI982410 LCM982410 KSQ982410 KIU982410 JYY982410 JPC982410 JFG982410 IVK982410 ILO982410 IBS982410 HRW982410 HIA982410 GYE982410 GOI982410 GEM982410 FUQ982410 FKU982410 FAY982410 ERC982410 EHG982410 DXK982410 DNO982410 DDS982410 CTW982410 CKA982410 CAE982410 BQI982410 BGM982410 AWQ982410 AMU982410 ACY982410 TC982410 JG982410 K982410 WVS916874 WLW916874 WCA916874 VSE916874 VII916874 UYM916874 UOQ916874 UEU916874 TUY916874 TLC916874 TBG916874 SRK916874 SHO916874 RXS916874 RNW916874 REA916874 QUE916874 QKI916874 QAM916874 PQQ916874 PGU916874 OWY916874 ONC916874 ODG916874 NTK916874 NJO916874 MZS916874 MPW916874 MGA916874 LWE916874 LMI916874 LCM916874 KSQ916874 KIU916874 JYY916874 JPC916874 JFG916874 IVK916874 ILO916874 IBS916874 HRW916874 HIA916874 GYE916874 GOI916874 GEM916874 FUQ916874 FKU916874 FAY916874 ERC916874 EHG916874 DXK916874 DNO916874 DDS916874 CTW916874 CKA916874 CAE916874 BQI916874 BGM916874 AWQ916874 AMU916874 ACY916874 TC916874 JG916874 K916874 WVS851338 WLW851338 WCA851338 VSE851338 VII851338 UYM851338 UOQ851338 UEU851338 TUY851338 TLC851338 TBG851338 SRK851338 SHO851338 RXS851338 RNW851338 REA851338 QUE851338 QKI851338 QAM851338 PQQ851338 PGU851338 OWY851338 ONC851338 ODG851338 NTK851338 NJO851338 MZS851338 MPW851338 MGA851338 LWE851338 LMI851338 LCM851338 KSQ851338 KIU851338 JYY851338 JPC851338 JFG851338 IVK851338 ILO851338 IBS851338 HRW851338 HIA851338 GYE851338 GOI851338 GEM851338 FUQ851338 FKU851338 FAY851338 ERC851338 EHG851338 DXK851338 DNO851338 DDS851338 CTW851338 CKA851338 CAE851338 BQI851338 BGM851338 AWQ851338 AMU851338 ACY851338 TC851338 JG851338 K851338 WVS785802 WLW785802 WCA785802 VSE785802 VII785802 UYM785802 UOQ785802 UEU785802 TUY785802 TLC785802 TBG785802 SRK785802 SHO785802 RXS785802 RNW785802 REA785802 QUE785802 QKI785802 QAM785802 PQQ785802 PGU785802 OWY785802 ONC785802 ODG785802 NTK785802 NJO785802 MZS785802 MPW785802 MGA785802 LWE785802 LMI785802 LCM785802 KSQ785802 KIU785802 JYY785802 JPC785802 JFG785802 IVK785802 ILO785802 IBS785802 HRW785802 HIA785802 GYE785802 GOI785802 GEM785802 FUQ785802 FKU785802 FAY785802 ERC785802 EHG785802 DXK785802 DNO785802 DDS785802 CTW785802 CKA785802 CAE785802 BQI785802 BGM785802 AWQ785802 AMU785802 ACY785802 TC785802 JG785802 K785802 WVS720266 WLW720266 WCA720266 VSE720266 VII720266 UYM720266 UOQ720266 UEU720266 TUY720266 TLC720266 TBG720266 SRK720266 SHO720266 RXS720266 RNW720266 REA720266 QUE720266 QKI720266 QAM720266 PQQ720266 PGU720266 OWY720266 ONC720266 ODG720266 NTK720266 NJO720266 MZS720266 MPW720266 MGA720266 LWE720266 LMI720266 LCM720266 KSQ720266 KIU720266 JYY720266 JPC720266 JFG720266 IVK720266 ILO720266 IBS720266 HRW720266 HIA720266 GYE720266 GOI720266 GEM720266 FUQ720266 FKU720266 FAY720266 ERC720266 EHG720266 DXK720266 DNO720266 DDS720266 CTW720266 CKA720266 CAE720266 BQI720266 BGM720266 AWQ720266 AMU720266 ACY720266 TC720266 JG720266 K720266 WVS654730 WLW654730 WCA654730 VSE654730 VII654730 UYM654730 UOQ654730 UEU654730 TUY654730 TLC654730 TBG654730 SRK654730 SHO654730 RXS654730 RNW654730 REA654730 QUE654730 QKI654730 QAM654730 PQQ654730 PGU654730 OWY654730 ONC654730 ODG654730 NTK654730 NJO654730 MZS654730 MPW654730 MGA654730 LWE654730 LMI654730 LCM654730 KSQ654730 KIU654730 JYY654730 JPC654730 JFG654730 IVK654730 ILO654730 IBS654730 HRW654730 HIA654730 GYE654730 GOI654730 GEM654730 FUQ654730 FKU654730 FAY654730 ERC654730 EHG654730 DXK654730 DNO654730 DDS654730 CTW654730 CKA654730 CAE654730 BQI654730 BGM654730 AWQ654730 AMU654730 ACY654730 TC654730 JG654730 K654730 WVS589194 WLW589194 WCA589194 VSE589194 VII589194 UYM589194 UOQ589194 UEU589194 TUY589194 TLC589194 TBG589194 SRK589194 SHO589194 RXS589194 RNW589194 REA589194 QUE589194 QKI589194 QAM589194 PQQ589194 PGU589194 OWY589194 ONC589194 ODG589194 NTK589194 NJO589194 MZS589194 MPW589194 MGA589194 LWE589194 LMI589194 LCM589194 KSQ589194 KIU589194 JYY589194 JPC589194 JFG589194 IVK589194 ILO589194 IBS589194 HRW589194 HIA589194 GYE589194 GOI589194 GEM589194 FUQ589194 FKU589194 FAY589194 ERC589194 EHG589194 DXK589194 DNO589194 DDS589194 CTW589194 CKA589194 CAE589194 BQI589194 BGM589194 AWQ589194 AMU589194 ACY589194 TC589194 JG589194 K589194 WVS523658 WLW523658 WCA523658 VSE523658 VII523658 UYM523658 UOQ523658 UEU523658 TUY523658 TLC523658 TBG523658 SRK523658 SHO523658 RXS523658 RNW523658 REA523658 QUE523658 QKI523658 QAM523658 PQQ523658 PGU523658 OWY523658 ONC523658 ODG523658 NTK523658 NJO523658 MZS523658 MPW523658 MGA523658 LWE523658 LMI523658 LCM523658 KSQ523658 KIU523658 JYY523658 JPC523658 JFG523658 IVK523658 ILO523658 IBS523658 HRW523658 HIA523658 GYE523658 GOI523658 GEM523658 FUQ523658 FKU523658 FAY523658 ERC523658 EHG523658 DXK523658 DNO523658 DDS523658 CTW523658 CKA523658 CAE523658 BQI523658 BGM523658 AWQ523658 AMU523658 ACY523658 TC523658 JG523658 K523658 WVS458122 WLW458122 WCA458122 VSE458122 VII458122 UYM458122 UOQ458122 UEU458122 TUY458122 TLC458122 TBG458122 SRK458122 SHO458122 RXS458122 RNW458122 REA458122 QUE458122 QKI458122 QAM458122 PQQ458122 PGU458122 OWY458122 ONC458122 ODG458122 NTK458122 NJO458122 MZS458122 MPW458122 MGA458122 LWE458122 LMI458122 LCM458122 KSQ458122 KIU458122 JYY458122 JPC458122 JFG458122 IVK458122 ILO458122 IBS458122 HRW458122 HIA458122 GYE458122 GOI458122 GEM458122 FUQ458122 FKU458122 FAY458122 ERC458122 EHG458122 DXK458122 DNO458122 DDS458122 CTW458122 CKA458122 CAE458122 BQI458122 BGM458122 AWQ458122 AMU458122 ACY458122 TC458122 JG458122 K458122 WVS392586 WLW392586 WCA392586 VSE392586 VII392586 UYM392586 UOQ392586 UEU392586 TUY392586 TLC392586 TBG392586 SRK392586 SHO392586 RXS392586 RNW392586 REA392586 QUE392586 QKI392586 QAM392586 PQQ392586 PGU392586 OWY392586 ONC392586 ODG392586 NTK392586 NJO392586 MZS392586 MPW392586 MGA392586 LWE392586 LMI392586 LCM392586 KSQ392586 KIU392586 JYY392586 JPC392586 JFG392586 IVK392586 ILO392586 IBS392586 HRW392586 HIA392586 GYE392586 GOI392586 GEM392586 FUQ392586 FKU392586 FAY392586 ERC392586 EHG392586 DXK392586 DNO392586 DDS392586 CTW392586 CKA392586 CAE392586 BQI392586 BGM392586 AWQ392586 AMU392586 ACY392586 TC392586 JG392586 K392586 WVS327050 WLW327050 WCA327050 VSE327050 VII327050 UYM327050 UOQ327050 UEU327050 TUY327050 TLC327050 TBG327050 SRK327050 SHO327050 RXS327050 RNW327050 REA327050 QUE327050 QKI327050 QAM327050 PQQ327050 PGU327050 OWY327050 ONC327050 ODG327050 NTK327050 NJO327050 MZS327050 MPW327050 MGA327050 LWE327050 LMI327050 LCM327050 KSQ327050 KIU327050 JYY327050 JPC327050 JFG327050 IVK327050 ILO327050 IBS327050 HRW327050 HIA327050 GYE327050 GOI327050 GEM327050 FUQ327050 FKU327050 FAY327050 ERC327050 EHG327050 DXK327050 DNO327050 DDS327050 CTW327050 CKA327050 CAE327050 BQI327050 BGM327050 AWQ327050 AMU327050 ACY327050 TC327050 JG327050 K327050 WVS261514 WLW261514 WCA261514 VSE261514 VII261514 UYM261514 UOQ261514 UEU261514 TUY261514 TLC261514 TBG261514 SRK261514 SHO261514 RXS261514 RNW261514 REA261514 QUE261514 QKI261514 QAM261514 PQQ261514 PGU261514 OWY261514 ONC261514 ODG261514 NTK261514 NJO261514 MZS261514 MPW261514 MGA261514 LWE261514 LMI261514 LCM261514 KSQ261514 KIU261514 JYY261514 JPC261514 JFG261514 IVK261514 ILO261514 IBS261514 HRW261514 HIA261514 GYE261514 GOI261514 GEM261514 FUQ261514 FKU261514 FAY261514 ERC261514 EHG261514 DXK261514 DNO261514 DDS261514 CTW261514 CKA261514 CAE261514 BQI261514 BGM261514 AWQ261514 AMU261514 ACY261514 TC261514 JG261514 K261514 WVS195978 WLW195978 WCA195978 VSE195978 VII195978 UYM195978 UOQ195978 UEU195978 TUY195978 TLC195978 TBG195978 SRK195978 SHO195978 RXS195978 RNW195978 REA195978 QUE195978 QKI195978 QAM195978 PQQ195978 PGU195978 OWY195978 ONC195978 ODG195978 NTK195978 NJO195978 MZS195978 MPW195978 MGA195978 LWE195978 LMI195978 LCM195978 KSQ195978 KIU195978 JYY195978 JPC195978 JFG195978 IVK195978 ILO195978 IBS195978 HRW195978 HIA195978 GYE195978 GOI195978 GEM195978 FUQ195978 FKU195978 FAY195978 ERC195978 EHG195978 DXK195978 DNO195978 DDS195978 CTW195978 CKA195978 CAE195978 BQI195978 BGM195978 AWQ195978 AMU195978 ACY195978 TC195978 JG195978 K195978 WVS130442 WLW130442 WCA130442 VSE130442 VII130442 UYM130442 UOQ130442 UEU130442 TUY130442 TLC130442 TBG130442 SRK130442 SHO130442 RXS130442 RNW130442 REA130442 QUE130442 QKI130442 QAM130442 PQQ130442 PGU130442 OWY130442 ONC130442 ODG130442 NTK130442 NJO130442 MZS130442 MPW130442 MGA130442 LWE130442 LMI130442 LCM130442 KSQ130442 KIU130442 JYY130442 JPC130442 JFG130442 IVK130442 ILO130442 IBS130442 HRW130442 HIA130442 GYE130442 GOI130442 GEM130442 FUQ130442 FKU130442 FAY130442 ERC130442 EHG130442 DXK130442 DNO130442 DDS130442 CTW130442 CKA130442 CAE130442 BQI130442 BGM130442 AWQ130442 AMU130442 ACY130442 TC130442 JG130442 K130442 WVS64906 WLW64906 WCA64906 VSE64906 VII64906 UYM64906 UOQ64906 UEU64906 TUY64906 TLC64906 TBG64906 SRK64906 SHO64906 RXS64906 RNW64906 REA64906 QUE64906 QKI64906 QAM64906 PQQ64906 PGU64906 OWY64906 ONC64906 ODG64906 NTK64906 NJO64906 MZS64906 MPW64906 MGA64906 LWE64906 LMI64906 LCM64906 KSQ64906 KIU64906 JYY64906 JPC64906 JFG64906 IVK64906 ILO64906 IBS64906 HRW64906 HIA64906 GYE64906 GOI64906 GEM64906 FUQ64906 FKU64906 FAY64906 ERC64906 EHG64906 DXK64906 DNO64906 DDS64906 CTW64906 CKA64906 CAE64906 BQI64906 BGM64906 AWQ64906 AMU64906 ACY64906 TC64906 JG64906 WLQ20 JG20 TC20 ACY20 AMU20 AWQ20 BGM20 BQI20 CAE20 CKA20 CTW20 DDS20 DNO20 DXK20 EHG20 ERC20 FAY20 FKU20 FUQ20 GEM20 GOI20 GYE20 HIA20 HRW20 IBS20 ILO20 IVK20 JFG20 JPC20 JYY20 KIU20 KSQ20 LCM20 LMI20 LWE20 MGA20 MPW20 MZS20 NJO20 NTK20 ODG20 ONC20 OWY20 PGU20 PQQ20 QAM20 QKI20 QUE20 REA20 RNW20 RXS20 SHO20 SRK20 TBG20 TLC20 TUY20 UEU20 UOQ20 UYM20 VII20 VSE20 WCA20 WLW20 WVS20 E7:E8 JF7:JF8 TB7:TB8 ACX7:ACX8 AMT7:AMT8 AWP7:AWP8 BGL7:BGL8 BQH7:BQH8 CAD7:CAD8 CJZ7:CJZ8 CTV7:CTV8 DDR7:DDR8 DNN7:DNN8 DXJ7:DXJ8 EHF7:EHF8 ERB7:ERB8 FAX7:FAX8 FKT7:FKT8 FUP7:FUP8 GEL7:GEL8 GOH7:GOH8 GYD7:GYD8 HHZ7:HHZ8 HRV7:HRV8 IBR7:IBR8 ILN7:ILN8 IVJ7:IVJ8 JFF7:JFF8 JPB7:JPB8 JYX7:JYX8 KIT7:KIT8 KSP7:KSP8 LCL7:LCL8 LMH7:LMH8 LWD7:LWD8 MFZ7:MFZ8 MPV7:MPV8 MZR7:MZR8 NJN7:NJN8 NTJ7:NTJ8 ODF7:ODF8 ONB7:ONB8 OWX7:OWX8 PGT7:PGT8 PQP7:PQP8 QAL7:QAL8 QKH7:QKH8 QUD7:QUD8 RDZ7:RDZ8 RNV7:RNV8 RXR7:RXR8 SHN7:SHN8 SRJ7:SRJ8 TBF7:TBF8 TLB7:TLB8 TUX7:TUX8 UET7:UET8 UOP7:UOP8 UYL7:UYL8 VIH7:VIH8 VSD7:VSD8 WBZ7:WBZ8 WLV7:WLV8 WVR7:WVR8 A2:D2 IW2:IZ2 SS2:SV2 ACO2:ACR2 AMK2:AMN2 AWG2:AWJ2 BGC2:BGF2 BPY2:BQB2 BZU2:BZX2 CJQ2:CJT2 CTM2:CTP2 DDI2:DDL2 DNE2:DNH2 DXA2:DXD2 EGW2:EGZ2 EQS2:EQV2 FAO2:FAR2 FKK2:FKN2 FUG2:FUJ2 GEC2:GEF2 GNY2:GOB2 GXU2:GXX2 HHQ2:HHT2 HRM2:HRP2 IBI2:IBL2 ILE2:ILH2 IVA2:IVD2 JEW2:JEZ2 JOS2:JOV2 JYO2:JYR2 KIK2:KIN2 KSG2:KSJ2 LCC2:LCF2 LLY2:LMB2 LVU2:LVX2 MFQ2:MFT2 MPM2:MPP2 MZI2:MZL2 NJE2:NJH2 NTA2:NTD2 OCW2:OCZ2 OMS2:OMV2 OWO2:OWR2 PGK2:PGN2 PQG2:PQJ2 QAC2:QAF2 QJY2:QKB2 QTU2:QTX2 RDQ2:RDT2 RNM2:RNP2 RXI2:RXL2 SHE2:SHH2 SRA2:SRD2 TAW2:TAZ2 TKS2:TKV2 TUO2:TUR2 UEK2:UEN2 UOG2:UOJ2 UYC2:UYF2 VHY2:VIB2 VRU2:VRX2 WBQ2:WBT2 WLM2:WLP2 WVI2:WVL2 C7:C8 IY7:IY8 SU7:SU8 ACQ7:ACQ8 AMM7:AMM8 AWI7:AWI8 BGE7:BGE8 BQA7:BQA8 BZW7:BZW8 CJS7:CJS8 CTO7:CTO8 DDK7:DDK8 DNG7:DNG8 DXC7:DXC8 EGY7:EGY8 EQU7:EQU8 FAQ7:FAQ8 FKM7:FKM8 FUI7:FUI8 GEE7:GEE8 GOA7:GOA8 GXW7:GXW8 HHS7:HHS8 HRO7:HRO8 IBK7:IBK8 ILG7:ILG8 IVC7:IVC8 JEY7:JEY8 JOU7:JOU8 JYQ7:JYQ8 KIM7:KIM8 KSI7:KSI8 LCE7:LCE8 LMA7:LMA8 LVW7:LVW8 MFS7:MFS8 MPO7:MPO8 MZK7:MZK8 NJG7:NJG8 NTC7:NTC8 OCY7:OCY8 OMU7:OMU8 OWQ7:OWQ8 PGM7:PGM8 PQI7:PQI8 QAE7:QAE8 QKA7:QKA8 QTW7:QTW8 RDS7:RDS8 RNO7:RNO8 RXK7:RXK8 SHG7:SHG8 SRC7:SRC8 TAY7:TAY8 TKU7:TKU8 TUQ7:TUQ8 UEM7:UEM8 UOI7:UOI8 UYE7:UYE8 VIA7:VIA8 VRW7:VRW8 WBS7:WBS8 WLO7:WLO8 WVK7:WVK8 WVM20 JI20 TE20 ADA20 AMW20 AWS20 BGO20 BQK20 CAG20 CKC20 CTY20 DDU20 DNQ20 DXM20 EHI20 ERE20 FBA20 FKW20 FUS20 GEO20 GOK20 GYG20 HIC20 HRY20 IBU20 ILQ20 IVM20 JFI20 JPE20 JZA20 KIW20 KSS20 LCO20 LMK20 LWG20 MGC20 MPY20 MZU20 NJQ20 NTM20 ODI20 ONE20 OXA20 PGW20 PQS20 QAO20 QKK20 QUG20 REC20 RNY20 RXU20 SHQ20 SRM20 TBI20 TLE20 TVA20 UEW20 UOS20 UYO20 VIK20 VSG20 WCC20 WLY20 WVU20 C20 IY20 SU20 ACQ20 AMM20 AWI20 BGE20 BQA20 BZW20 CJS20 CTO20 DDK20 DNG20 DXC20 EGY20 EQU20 FAQ20 FKM20 FUI20 GEE20 GOA20 GXW20 HHS20 HRO20 IBK20 ILG20 IVC20 JEY20 JOU20 JYQ20 KIM20 KSI20 LCE20 LMA20 LVW20 MFS20 MPO20 MZK20 NJG20 NTC20 OCY20 OMU20 OWQ20 PGM20 PQI20 QAE20 QKA20 QTW20 RDS20 RNO20 RXK20 SHG20 SRC20 TAY20 TKU20 TUQ20 UEM20 UOI20 UYE20 VIA20 VRW20 WBS20 WLO20 WVK20 M7:M8 JI7:JI8 TE7:TE8 ADA7:ADA8 AMW7:AMW8 AWS7:AWS8 BGO7:BGO8 BQK7:BQK8 CAG7:CAG8 CKC7:CKC8 CTY7:CTY8 DDU7:DDU8 DNQ7:DNQ8 DXM7:DXM8 EHI7:EHI8 ERE7:ERE8 FBA7:FBA8 FKW7:FKW8 FUS7:FUS8 GEO7:GEO8 GOK7:GOK8 GYG7:GYG8 HIC7:HIC8 HRY7:HRY8 IBU7:IBU8 ILQ7:ILQ8 IVM7:IVM8 JFI7:JFI8 JPE7:JPE8 JZA7:JZA8 KIW7:KIW8 KSS7:KSS8 LCO7:LCO8 LMK7:LMK8 LWG7:LWG8 MGC7:MGC8 MPY7:MPY8 MZU7:MZU8 NJQ7:NJQ8 NTM7:NTM8 ODI7:ODI8 ONE7:ONE8 OXA7:OXA8 PGW7:PGW8 PQS7:PQS8 QAO7:QAO8 QKK7:QKK8 QUG7:QUG8 REC7:REC8 RNY7:RNY8 RXU7:RXU8 SHQ7:SHQ8 SRM7:SRM8 TBI7:TBI8 TLE7:TLE8 TVA7:TVA8 UEW7:UEW8 UOS7:UOS8 UYO7:UYO8 VIK7:VIK8 VSG7:VSG8 WCC7:WCC8 WLY7:WLY8 WVU7:WVU8 M20 JA7:JA8 SW7:SW8 ACS7:ACS8 AMO7:AMO8 AWK7:AWK8 BGG7:BGG8 BQC7:BQC8 BZY7:BZY8 CJU7:CJU8 CTQ7:CTQ8 DDM7:DDM8 DNI7:DNI8 DXE7:DXE8 EHA7:EHA8 EQW7:EQW8 FAS7:FAS8 FKO7:FKO8 FUK7:FUK8 GEG7:GEG8 GOC7:GOC8 GXY7:GXY8 HHU7:HHU8 HRQ7:HRQ8 IBM7:IBM8 ILI7:ILI8 IVE7:IVE8 JFA7:JFA8 JOW7:JOW8 JYS7:JYS8 KIO7:KIO8 KSK7:KSK8 LCG7:LCG8 LMC7:LMC8 LVY7:LVY8 MFU7:MFU8 MPQ7:MPQ8 MZM7:MZM8 NJI7:NJI8 NTE7:NTE8 ODA7:ODA8 OMW7:OMW8 OWS7:OWS8 PGO7:PGO8 PQK7:PQK8 QAG7:QAG8 QKC7:QKC8 QTY7:QTY8 RDU7:RDU8 RNQ7:RNQ8 RXM7:RXM8 SHI7:SHI8 SRE7:SRE8 TBA7:TBA8 TKW7:TKW8 TUS7:TUS8 UEO7:UEO8 UOK7:UOK8 UYG7:UYG8 VIC7:VIC8 VRY7:VRY8 WBU7:WBU8 WLQ7:WLQ8 WVM7:WVM8 E20 JA20 SW20 ACS20 AMO20 AWK20 BGG20 BQC20 BZY20 CJU20 CTQ20 DDM20 DNI20 DXE20 EHA20 EQW20 FAS20 FKO20 FUK20 GEG20 GOC20 GXY20 HHU20 HRQ20 IBM20 ILI20 IVE20 JFA20 JOW20 JYS20 KIO20 KSK20 LCG20 LMC20 LVY20 MFU20 MPQ20 MZM20 NJI20 NTE20 ODA20 OMW20 OWS20 PGO20 PQK20 QAG20 QKC20 QTY20 RDU20 RNQ20 RXM20 SHI20 SRE20 TBA20 TKW20 TUS20 UEO20 UOK20 UYG20 VIC20 VRY20 WBU20 J20 J7:J8</xm:sqref>
        </x14:dataValidation>
        <x14:dataValidation type="whole" allowBlank="1" showInputMessage="1" showErrorMessage="1">
          <x14:formula1>
            <xm:f>0</xm:f>
          </x14:formula1>
          <x14:formula2>
            <xm:f>99999999</xm:f>
          </x14:formula2>
          <xm:sqref>I64966:M64971 WVV982454:WVV982456 WLZ982454:WLZ982456 WCD982454:WCD982456 VSH982454:VSH982456 VIL982454:VIL982456 UYP982454:UYP982456 UOT982454:UOT982456 UEX982454:UEX982456 TVB982454:TVB982456 TLF982454:TLF982456 TBJ982454:TBJ982456 SRN982454:SRN982456 SHR982454:SHR982456 RXV982454:RXV982456 RNZ982454:RNZ982456 RED982454:RED982456 QUH982454:QUH982456 QKL982454:QKL982456 QAP982454:QAP982456 PQT982454:PQT982456 PGX982454:PGX982456 OXB982454:OXB982456 ONF982454:ONF982456 ODJ982454:ODJ982456 NTN982454:NTN982456 NJR982454:NJR982456 MZV982454:MZV982456 MPZ982454:MPZ982456 MGD982454:MGD982456 LWH982454:LWH982456 LML982454:LML982456 LCP982454:LCP982456 KST982454:KST982456 KIX982454:KIX982456 JZB982454:JZB982456 JPF982454:JPF982456 JFJ982454:JFJ982456 IVN982454:IVN982456 ILR982454:ILR982456 IBV982454:IBV982456 HRZ982454:HRZ982456 HID982454:HID982456 GYH982454:GYH982456 GOL982454:GOL982456 GEP982454:GEP982456 FUT982454:FUT982456 FKX982454:FKX982456 FBB982454:FBB982456 ERF982454:ERF982456 EHJ982454:EHJ982456 DXN982454:DXN982456 DNR982454:DNR982456 DDV982454:DDV982456 CTZ982454:CTZ982456 CKD982454:CKD982456 CAH982454:CAH982456 BQL982454:BQL982456 BGP982454:BGP982456 AWT982454:AWT982456 AMX982454:AMX982456 ADB982454:ADB982456 TF982454:TF982456 JJ982454:JJ982456 N982454:N982456 WVV916918:WVV916920 WLZ916918:WLZ916920 WCD916918:WCD916920 VSH916918:VSH916920 VIL916918:VIL916920 UYP916918:UYP916920 UOT916918:UOT916920 UEX916918:UEX916920 TVB916918:TVB916920 TLF916918:TLF916920 TBJ916918:TBJ916920 SRN916918:SRN916920 SHR916918:SHR916920 RXV916918:RXV916920 RNZ916918:RNZ916920 RED916918:RED916920 QUH916918:QUH916920 QKL916918:QKL916920 QAP916918:QAP916920 PQT916918:PQT916920 PGX916918:PGX916920 OXB916918:OXB916920 ONF916918:ONF916920 ODJ916918:ODJ916920 NTN916918:NTN916920 NJR916918:NJR916920 MZV916918:MZV916920 MPZ916918:MPZ916920 MGD916918:MGD916920 LWH916918:LWH916920 LML916918:LML916920 LCP916918:LCP916920 KST916918:KST916920 KIX916918:KIX916920 JZB916918:JZB916920 JPF916918:JPF916920 JFJ916918:JFJ916920 IVN916918:IVN916920 ILR916918:ILR916920 IBV916918:IBV916920 HRZ916918:HRZ916920 HID916918:HID916920 GYH916918:GYH916920 GOL916918:GOL916920 GEP916918:GEP916920 FUT916918:FUT916920 FKX916918:FKX916920 FBB916918:FBB916920 ERF916918:ERF916920 EHJ916918:EHJ916920 DXN916918:DXN916920 DNR916918:DNR916920 DDV916918:DDV916920 CTZ916918:CTZ916920 CKD916918:CKD916920 CAH916918:CAH916920 BQL916918:BQL916920 BGP916918:BGP916920 AWT916918:AWT916920 AMX916918:AMX916920 ADB916918:ADB916920 TF916918:TF916920 JJ916918:JJ916920 N916918:N916920 WVV851382:WVV851384 WLZ851382:WLZ851384 WCD851382:WCD851384 VSH851382:VSH851384 VIL851382:VIL851384 UYP851382:UYP851384 UOT851382:UOT851384 UEX851382:UEX851384 TVB851382:TVB851384 TLF851382:TLF851384 TBJ851382:TBJ851384 SRN851382:SRN851384 SHR851382:SHR851384 RXV851382:RXV851384 RNZ851382:RNZ851384 RED851382:RED851384 QUH851382:QUH851384 QKL851382:QKL851384 QAP851382:QAP851384 PQT851382:PQT851384 PGX851382:PGX851384 OXB851382:OXB851384 ONF851382:ONF851384 ODJ851382:ODJ851384 NTN851382:NTN851384 NJR851382:NJR851384 MZV851382:MZV851384 MPZ851382:MPZ851384 MGD851382:MGD851384 LWH851382:LWH851384 LML851382:LML851384 LCP851382:LCP851384 KST851382:KST851384 KIX851382:KIX851384 JZB851382:JZB851384 JPF851382:JPF851384 JFJ851382:JFJ851384 IVN851382:IVN851384 ILR851382:ILR851384 IBV851382:IBV851384 HRZ851382:HRZ851384 HID851382:HID851384 GYH851382:GYH851384 GOL851382:GOL851384 GEP851382:GEP851384 FUT851382:FUT851384 FKX851382:FKX851384 FBB851382:FBB851384 ERF851382:ERF851384 EHJ851382:EHJ851384 DXN851382:DXN851384 DNR851382:DNR851384 DDV851382:DDV851384 CTZ851382:CTZ851384 CKD851382:CKD851384 CAH851382:CAH851384 BQL851382:BQL851384 BGP851382:BGP851384 AWT851382:AWT851384 AMX851382:AMX851384 ADB851382:ADB851384 TF851382:TF851384 JJ851382:JJ851384 N851382:N851384 WVV785846:WVV785848 WLZ785846:WLZ785848 WCD785846:WCD785848 VSH785846:VSH785848 VIL785846:VIL785848 UYP785846:UYP785848 UOT785846:UOT785848 UEX785846:UEX785848 TVB785846:TVB785848 TLF785846:TLF785848 TBJ785846:TBJ785848 SRN785846:SRN785848 SHR785846:SHR785848 RXV785846:RXV785848 RNZ785846:RNZ785848 RED785846:RED785848 QUH785846:QUH785848 QKL785846:QKL785848 QAP785846:QAP785848 PQT785846:PQT785848 PGX785846:PGX785848 OXB785846:OXB785848 ONF785846:ONF785848 ODJ785846:ODJ785848 NTN785846:NTN785848 NJR785846:NJR785848 MZV785846:MZV785848 MPZ785846:MPZ785848 MGD785846:MGD785848 LWH785846:LWH785848 LML785846:LML785848 LCP785846:LCP785848 KST785846:KST785848 KIX785846:KIX785848 JZB785846:JZB785848 JPF785846:JPF785848 JFJ785846:JFJ785848 IVN785846:IVN785848 ILR785846:ILR785848 IBV785846:IBV785848 HRZ785846:HRZ785848 HID785846:HID785848 GYH785846:GYH785848 GOL785846:GOL785848 GEP785846:GEP785848 FUT785846:FUT785848 FKX785846:FKX785848 FBB785846:FBB785848 ERF785846:ERF785848 EHJ785846:EHJ785848 DXN785846:DXN785848 DNR785846:DNR785848 DDV785846:DDV785848 CTZ785846:CTZ785848 CKD785846:CKD785848 CAH785846:CAH785848 BQL785846:BQL785848 BGP785846:BGP785848 AWT785846:AWT785848 AMX785846:AMX785848 ADB785846:ADB785848 TF785846:TF785848 JJ785846:JJ785848 N785846:N785848 WVV720310:WVV720312 WLZ720310:WLZ720312 WCD720310:WCD720312 VSH720310:VSH720312 VIL720310:VIL720312 UYP720310:UYP720312 UOT720310:UOT720312 UEX720310:UEX720312 TVB720310:TVB720312 TLF720310:TLF720312 TBJ720310:TBJ720312 SRN720310:SRN720312 SHR720310:SHR720312 RXV720310:RXV720312 RNZ720310:RNZ720312 RED720310:RED720312 QUH720310:QUH720312 QKL720310:QKL720312 QAP720310:QAP720312 PQT720310:PQT720312 PGX720310:PGX720312 OXB720310:OXB720312 ONF720310:ONF720312 ODJ720310:ODJ720312 NTN720310:NTN720312 NJR720310:NJR720312 MZV720310:MZV720312 MPZ720310:MPZ720312 MGD720310:MGD720312 LWH720310:LWH720312 LML720310:LML720312 LCP720310:LCP720312 KST720310:KST720312 KIX720310:KIX720312 JZB720310:JZB720312 JPF720310:JPF720312 JFJ720310:JFJ720312 IVN720310:IVN720312 ILR720310:ILR720312 IBV720310:IBV720312 HRZ720310:HRZ720312 HID720310:HID720312 GYH720310:GYH720312 GOL720310:GOL720312 GEP720310:GEP720312 FUT720310:FUT720312 FKX720310:FKX720312 FBB720310:FBB720312 ERF720310:ERF720312 EHJ720310:EHJ720312 DXN720310:DXN720312 DNR720310:DNR720312 DDV720310:DDV720312 CTZ720310:CTZ720312 CKD720310:CKD720312 CAH720310:CAH720312 BQL720310:BQL720312 BGP720310:BGP720312 AWT720310:AWT720312 AMX720310:AMX720312 ADB720310:ADB720312 TF720310:TF720312 JJ720310:JJ720312 N720310:N720312 WVV654774:WVV654776 WLZ654774:WLZ654776 WCD654774:WCD654776 VSH654774:VSH654776 VIL654774:VIL654776 UYP654774:UYP654776 UOT654774:UOT654776 UEX654774:UEX654776 TVB654774:TVB654776 TLF654774:TLF654776 TBJ654774:TBJ654776 SRN654774:SRN654776 SHR654774:SHR654776 RXV654774:RXV654776 RNZ654774:RNZ654776 RED654774:RED654776 QUH654774:QUH654776 QKL654774:QKL654776 QAP654774:QAP654776 PQT654774:PQT654776 PGX654774:PGX654776 OXB654774:OXB654776 ONF654774:ONF654776 ODJ654774:ODJ654776 NTN654774:NTN654776 NJR654774:NJR654776 MZV654774:MZV654776 MPZ654774:MPZ654776 MGD654774:MGD654776 LWH654774:LWH654776 LML654774:LML654776 LCP654774:LCP654776 KST654774:KST654776 KIX654774:KIX654776 JZB654774:JZB654776 JPF654774:JPF654776 JFJ654774:JFJ654776 IVN654774:IVN654776 ILR654774:ILR654776 IBV654774:IBV654776 HRZ654774:HRZ654776 HID654774:HID654776 GYH654774:GYH654776 GOL654774:GOL654776 GEP654774:GEP654776 FUT654774:FUT654776 FKX654774:FKX654776 FBB654774:FBB654776 ERF654774:ERF654776 EHJ654774:EHJ654776 DXN654774:DXN654776 DNR654774:DNR654776 DDV654774:DDV654776 CTZ654774:CTZ654776 CKD654774:CKD654776 CAH654774:CAH654776 BQL654774:BQL654776 BGP654774:BGP654776 AWT654774:AWT654776 AMX654774:AMX654776 ADB654774:ADB654776 TF654774:TF654776 JJ654774:JJ654776 N654774:N654776 WVV589238:WVV589240 WLZ589238:WLZ589240 WCD589238:WCD589240 VSH589238:VSH589240 VIL589238:VIL589240 UYP589238:UYP589240 UOT589238:UOT589240 UEX589238:UEX589240 TVB589238:TVB589240 TLF589238:TLF589240 TBJ589238:TBJ589240 SRN589238:SRN589240 SHR589238:SHR589240 RXV589238:RXV589240 RNZ589238:RNZ589240 RED589238:RED589240 QUH589238:QUH589240 QKL589238:QKL589240 QAP589238:QAP589240 PQT589238:PQT589240 PGX589238:PGX589240 OXB589238:OXB589240 ONF589238:ONF589240 ODJ589238:ODJ589240 NTN589238:NTN589240 NJR589238:NJR589240 MZV589238:MZV589240 MPZ589238:MPZ589240 MGD589238:MGD589240 LWH589238:LWH589240 LML589238:LML589240 LCP589238:LCP589240 KST589238:KST589240 KIX589238:KIX589240 JZB589238:JZB589240 JPF589238:JPF589240 JFJ589238:JFJ589240 IVN589238:IVN589240 ILR589238:ILR589240 IBV589238:IBV589240 HRZ589238:HRZ589240 HID589238:HID589240 GYH589238:GYH589240 GOL589238:GOL589240 GEP589238:GEP589240 FUT589238:FUT589240 FKX589238:FKX589240 FBB589238:FBB589240 ERF589238:ERF589240 EHJ589238:EHJ589240 DXN589238:DXN589240 DNR589238:DNR589240 DDV589238:DDV589240 CTZ589238:CTZ589240 CKD589238:CKD589240 CAH589238:CAH589240 BQL589238:BQL589240 BGP589238:BGP589240 AWT589238:AWT589240 AMX589238:AMX589240 ADB589238:ADB589240 TF589238:TF589240 JJ589238:JJ589240 N589238:N589240 WVV523702:WVV523704 WLZ523702:WLZ523704 WCD523702:WCD523704 VSH523702:VSH523704 VIL523702:VIL523704 UYP523702:UYP523704 UOT523702:UOT523704 UEX523702:UEX523704 TVB523702:TVB523704 TLF523702:TLF523704 TBJ523702:TBJ523704 SRN523702:SRN523704 SHR523702:SHR523704 RXV523702:RXV523704 RNZ523702:RNZ523704 RED523702:RED523704 QUH523702:QUH523704 QKL523702:QKL523704 QAP523702:QAP523704 PQT523702:PQT523704 PGX523702:PGX523704 OXB523702:OXB523704 ONF523702:ONF523704 ODJ523702:ODJ523704 NTN523702:NTN523704 NJR523702:NJR523704 MZV523702:MZV523704 MPZ523702:MPZ523704 MGD523702:MGD523704 LWH523702:LWH523704 LML523702:LML523704 LCP523702:LCP523704 KST523702:KST523704 KIX523702:KIX523704 JZB523702:JZB523704 JPF523702:JPF523704 JFJ523702:JFJ523704 IVN523702:IVN523704 ILR523702:ILR523704 IBV523702:IBV523704 HRZ523702:HRZ523704 HID523702:HID523704 GYH523702:GYH523704 GOL523702:GOL523704 GEP523702:GEP523704 FUT523702:FUT523704 FKX523702:FKX523704 FBB523702:FBB523704 ERF523702:ERF523704 EHJ523702:EHJ523704 DXN523702:DXN523704 DNR523702:DNR523704 DDV523702:DDV523704 CTZ523702:CTZ523704 CKD523702:CKD523704 CAH523702:CAH523704 BQL523702:BQL523704 BGP523702:BGP523704 AWT523702:AWT523704 AMX523702:AMX523704 ADB523702:ADB523704 TF523702:TF523704 JJ523702:JJ523704 N523702:N523704 WVV458166:WVV458168 WLZ458166:WLZ458168 WCD458166:WCD458168 VSH458166:VSH458168 VIL458166:VIL458168 UYP458166:UYP458168 UOT458166:UOT458168 UEX458166:UEX458168 TVB458166:TVB458168 TLF458166:TLF458168 TBJ458166:TBJ458168 SRN458166:SRN458168 SHR458166:SHR458168 RXV458166:RXV458168 RNZ458166:RNZ458168 RED458166:RED458168 QUH458166:QUH458168 QKL458166:QKL458168 QAP458166:QAP458168 PQT458166:PQT458168 PGX458166:PGX458168 OXB458166:OXB458168 ONF458166:ONF458168 ODJ458166:ODJ458168 NTN458166:NTN458168 NJR458166:NJR458168 MZV458166:MZV458168 MPZ458166:MPZ458168 MGD458166:MGD458168 LWH458166:LWH458168 LML458166:LML458168 LCP458166:LCP458168 KST458166:KST458168 KIX458166:KIX458168 JZB458166:JZB458168 JPF458166:JPF458168 JFJ458166:JFJ458168 IVN458166:IVN458168 ILR458166:ILR458168 IBV458166:IBV458168 HRZ458166:HRZ458168 HID458166:HID458168 GYH458166:GYH458168 GOL458166:GOL458168 GEP458166:GEP458168 FUT458166:FUT458168 FKX458166:FKX458168 FBB458166:FBB458168 ERF458166:ERF458168 EHJ458166:EHJ458168 DXN458166:DXN458168 DNR458166:DNR458168 DDV458166:DDV458168 CTZ458166:CTZ458168 CKD458166:CKD458168 CAH458166:CAH458168 BQL458166:BQL458168 BGP458166:BGP458168 AWT458166:AWT458168 AMX458166:AMX458168 ADB458166:ADB458168 TF458166:TF458168 JJ458166:JJ458168 N458166:N458168 WVV392630:WVV392632 WLZ392630:WLZ392632 WCD392630:WCD392632 VSH392630:VSH392632 VIL392630:VIL392632 UYP392630:UYP392632 UOT392630:UOT392632 UEX392630:UEX392632 TVB392630:TVB392632 TLF392630:TLF392632 TBJ392630:TBJ392632 SRN392630:SRN392632 SHR392630:SHR392632 RXV392630:RXV392632 RNZ392630:RNZ392632 RED392630:RED392632 QUH392630:QUH392632 QKL392630:QKL392632 QAP392630:QAP392632 PQT392630:PQT392632 PGX392630:PGX392632 OXB392630:OXB392632 ONF392630:ONF392632 ODJ392630:ODJ392632 NTN392630:NTN392632 NJR392630:NJR392632 MZV392630:MZV392632 MPZ392630:MPZ392632 MGD392630:MGD392632 LWH392630:LWH392632 LML392630:LML392632 LCP392630:LCP392632 KST392630:KST392632 KIX392630:KIX392632 JZB392630:JZB392632 JPF392630:JPF392632 JFJ392630:JFJ392632 IVN392630:IVN392632 ILR392630:ILR392632 IBV392630:IBV392632 HRZ392630:HRZ392632 HID392630:HID392632 GYH392630:GYH392632 GOL392630:GOL392632 GEP392630:GEP392632 FUT392630:FUT392632 FKX392630:FKX392632 FBB392630:FBB392632 ERF392630:ERF392632 EHJ392630:EHJ392632 DXN392630:DXN392632 DNR392630:DNR392632 DDV392630:DDV392632 CTZ392630:CTZ392632 CKD392630:CKD392632 CAH392630:CAH392632 BQL392630:BQL392632 BGP392630:BGP392632 AWT392630:AWT392632 AMX392630:AMX392632 ADB392630:ADB392632 TF392630:TF392632 JJ392630:JJ392632 N392630:N392632 WVV327094:WVV327096 WLZ327094:WLZ327096 WCD327094:WCD327096 VSH327094:VSH327096 VIL327094:VIL327096 UYP327094:UYP327096 UOT327094:UOT327096 UEX327094:UEX327096 TVB327094:TVB327096 TLF327094:TLF327096 TBJ327094:TBJ327096 SRN327094:SRN327096 SHR327094:SHR327096 RXV327094:RXV327096 RNZ327094:RNZ327096 RED327094:RED327096 QUH327094:QUH327096 QKL327094:QKL327096 QAP327094:QAP327096 PQT327094:PQT327096 PGX327094:PGX327096 OXB327094:OXB327096 ONF327094:ONF327096 ODJ327094:ODJ327096 NTN327094:NTN327096 NJR327094:NJR327096 MZV327094:MZV327096 MPZ327094:MPZ327096 MGD327094:MGD327096 LWH327094:LWH327096 LML327094:LML327096 LCP327094:LCP327096 KST327094:KST327096 KIX327094:KIX327096 JZB327094:JZB327096 JPF327094:JPF327096 JFJ327094:JFJ327096 IVN327094:IVN327096 ILR327094:ILR327096 IBV327094:IBV327096 HRZ327094:HRZ327096 HID327094:HID327096 GYH327094:GYH327096 GOL327094:GOL327096 GEP327094:GEP327096 FUT327094:FUT327096 FKX327094:FKX327096 FBB327094:FBB327096 ERF327094:ERF327096 EHJ327094:EHJ327096 DXN327094:DXN327096 DNR327094:DNR327096 DDV327094:DDV327096 CTZ327094:CTZ327096 CKD327094:CKD327096 CAH327094:CAH327096 BQL327094:BQL327096 BGP327094:BGP327096 AWT327094:AWT327096 AMX327094:AMX327096 ADB327094:ADB327096 TF327094:TF327096 JJ327094:JJ327096 N327094:N327096 WVV261558:WVV261560 WLZ261558:WLZ261560 WCD261558:WCD261560 VSH261558:VSH261560 VIL261558:VIL261560 UYP261558:UYP261560 UOT261558:UOT261560 UEX261558:UEX261560 TVB261558:TVB261560 TLF261558:TLF261560 TBJ261558:TBJ261560 SRN261558:SRN261560 SHR261558:SHR261560 RXV261558:RXV261560 RNZ261558:RNZ261560 RED261558:RED261560 QUH261558:QUH261560 QKL261558:QKL261560 QAP261558:QAP261560 PQT261558:PQT261560 PGX261558:PGX261560 OXB261558:OXB261560 ONF261558:ONF261560 ODJ261558:ODJ261560 NTN261558:NTN261560 NJR261558:NJR261560 MZV261558:MZV261560 MPZ261558:MPZ261560 MGD261558:MGD261560 LWH261558:LWH261560 LML261558:LML261560 LCP261558:LCP261560 KST261558:KST261560 KIX261558:KIX261560 JZB261558:JZB261560 JPF261558:JPF261560 JFJ261558:JFJ261560 IVN261558:IVN261560 ILR261558:ILR261560 IBV261558:IBV261560 HRZ261558:HRZ261560 HID261558:HID261560 GYH261558:GYH261560 GOL261558:GOL261560 GEP261558:GEP261560 FUT261558:FUT261560 FKX261558:FKX261560 FBB261558:FBB261560 ERF261558:ERF261560 EHJ261558:EHJ261560 DXN261558:DXN261560 DNR261558:DNR261560 DDV261558:DDV261560 CTZ261558:CTZ261560 CKD261558:CKD261560 CAH261558:CAH261560 BQL261558:BQL261560 BGP261558:BGP261560 AWT261558:AWT261560 AMX261558:AMX261560 ADB261558:ADB261560 TF261558:TF261560 JJ261558:JJ261560 N261558:N261560 WVV196022:WVV196024 WLZ196022:WLZ196024 WCD196022:WCD196024 VSH196022:VSH196024 VIL196022:VIL196024 UYP196022:UYP196024 UOT196022:UOT196024 UEX196022:UEX196024 TVB196022:TVB196024 TLF196022:TLF196024 TBJ196022:TBJ196024 SRN196022:SRN196024 SHR196022:SHR196024 RXV196022:RXV196024 RNZ196022:RNZ196024 RED196022:RED196024 QUH196022:QUH196024 QKL196022:QKL196024 QAP196022:QAP196024 PQT196022:PQT196024 PGX196022:PGX196024 OXB196022:OXB196024 ONF196022:ONF196024 ODJ196022:ODJ196024 NTN196022:NTN196024 NJR196022:NJR196024 MZV196022:MZV196024 MPZ196022:MPZ196024 MGD196022:MGD196024 LWH196022:LWH196024 LML196022:LML196024 LCP196022:LCP196024 KST196022:KST196024 KIX196022:KIX196024 JZB196022:JZB196024 JPF196022:JPF196024 JFJ196022:JFJ196024 IVN196022:IVN196024 ILR196022:ILR196024 IBV196022:IBV196024 HRZ196022:HRZ196024 HID196022:HID196024 GYH196022:GYH196024 GOL196022:GOL196024 GEP196022:GEP196024 FUT196022:FUT196024 FKX196022:FKX196024 FBB196022:FBB196024 ERF196022:ERF196024 EHJ196022:EHJ196024 DXN196022:DXN196024 DNR196022:DNR196024 DDV196022:DDV196024 CTZ196022:CTZ196024 CKD196022:CKD196024 CAH196022:CAH196024 BQL196022:BQL196024 BGP196022:BGP196024 AWT196022:AWT196024 AMX196022:AMX196024 ADB196022:ADB196024 TF196022:TF196024 JJ196022:JJ196024 N196022:N196024 WVV130486:WVV130488 WLZ130486:WLZ130488 WCD130486:WCD130488 VSH130486:VSH130488 VIL130486:VIL130488 UYP130486:UYP130488 UOT130486:UOT130488 UEX130486:UEX130488 TVB130486:TVB130488 TLF130486:TLF130488 TBJ130486:TBJ130488 SRN130486:SRN130488 SHR130486:SHR130488 RXV130486:RXV130488 RNZ130486:RNZ130488 RED130486:RED130488 QUH130486:QUH130488 QKL130486:QKL130488 QAP130486:QAP130488 PQT130486:PQT130488 PGX130486:PGX130488 OXB130486:OXB130488 ONF130486:ONF130488 ODJ130486:ODJ130488 NTN130486:NTN130488 NJR130486:NJR130488 MZV130486:MZV130488 MPZ130486:MPZ130488 MGD130486:MGD130488 LWH130486:LWH130488 LML130486:LML130488 LCP130486:LCP130488 KST130486:KST130488 KIX130486:KIX130488 JZB130486:JZB130488 JPF130486:JPF130488 JFJ130486:JFJ130488 IVN130486:IVN130488 ILR130486:ILR130488 IBV130486:IBV130488 HRZ130486:HRZ130488 HID130486:HID130488 GYH130486:GYH130488 GOL130486:GOL130488 GEP130486:GEP130488 FUT130486:FUT130488 FKX130486:FKX130488 FBB130486:FBB130488 ERF130486:ERF130488 EHJ130486:EHJ130488 DXN130486:DXN130488 DNR130486:DNR130488 DDV130486:DDV130488 CTZ130486:CTZ130488 CKD130486:CKD130488 CAH130486:CAH130488 BQL130486:BQL130488 BGP130486:BGP130488 AWT130486:AWT130488 AMX130486:AMX130488 ADB130486:ADB130488 TF130486:TF130488 JJ130486:JJ130488 N130486:N130488 WVV64950:WVV64952 WLZ64950:WLZ64952 WCD64950:WCD64952 VSH64950:VSH64952 VIL64950:VIL64952 UYP64950:UYP64952 UOT64950:UOT64952 UEX64950:UEX64952 TVB64950:TVB64952 TLF64950:TLF64952 TBJ64950:TBJ64952 SRN64950:SRN64952 SHR64950:SHR64952 RXV64950:RXV64952 RNZ64950:RNZ64952 RED64950:RED64952 QUH64950:QUH64952 QKL64950:QKL64952 QAP64950:QAP64952 PQT64950:PQT64952 PGX64950:PGX64952 OXB64950:OXB64952 ONF64950:ONF64952 ODJ64950:ODJ64952 NTN64950:NTN64952 NJR64950:NJR64952 MZV64950:MZV64952 MPZ64950:MPZ64952 MGD64950:MGD64952 LWH64950:LWH64952 LML64950:LML64952 LCP64950:LCP64952 KST64950:KST64952 KIX64950:KIX64952 JZB64950:JZB64952 JPF64950:JPF64952 JFJ64950:JFJ64952 IVN64950:IVN64952 ILR64950:ILR64952 IBV64950:IBV64952 HRZ64950:HRZ64952 HID64950:HID64952 GYH64950:GYH64952 GOL64950:GOL64952 GEP64950:GEP64952 FUT64950:FUT64952 FKX64950:FKX64952 FBB64950:FBB64952 ERF64950:ERF64952 EHJ64950:EHJ64952 DXN64950:DXN64952 DNR64950:DNR64952 DDV64950:DDV64952 CTZ64950:CTZ64952 CKD64950:CKD64952 CAH64950:CAH64952 BQL64950:BQL64952 BGP64950:BGP64952 AWT64950:AWT64952 AMX64950:AMX64952 ADB64950:ADB64952 TF64950:TF64952 JJ64950:JJ64952 N64950:N64952 WVS982454:WVS982456 WLW982454:WLW982456 WCA982454:WCA982456 VSE982454:VSE982456 VII982454:VII982456 UYM982454:UYM982456 UOQ982454:UOQ982456 UEU982454:UEU982456 TUY982454:TUY982456 TLC982454:TLC982456 TBG982454:TBG982456 SRK982454:SRK982456 SHO982454:SHO982456 RXS982454:RXS982456 RNW982454:RNW982456 REA982454:REA982456 QUE982454:QUE982456 QKI982454:QKI982456 QAM982454:QAM982456 PQQ982454:PQQ982456 PGU982454:PGU982456 OWY982454:OWY982456 ONC982454:ONC982456 ODG982454:ODG982456 NTK982454:NTK982456 NJO982454:NJO982456 MZS982454:MZS982456 MPW982454:MPW982456 MGA982454:MGA982456 LWE982454:LWE982456 LMI982454:LMI982456 LCM982454:LCM982456 KSQ982454:KSQ982456 KIU982454:KIU982456 JYY982454:JYY982456 JPC982454:JPC982456 JFG982454:JFG982456 IVK982454:IVK982456 ILO982454:ILO982456 IBS982454:IBS982456 HRW982454:HRW982456 HIA982454:HIA982456 GYE982454:GYE982456 GOI982454:GOI982456 GEM982454:GEM982456 FUQ982454:FUQ982456 FKU982454:FKU982456 FAY982454:FAY982456 ERC982454:ERC982456 EHG982454:EHG982456 DXK982454:DXK982456 DNO982454:DNO982456 DDS982454:DDS982456 CTW982454:CTW982456 CKA982454:CKA982456 CAE982454:CAE982456 BQI982454:BQI982456 BGM982454:BGM982456 AWQ982454:AWQ982456 AMU982454:AMU982456 ACY982454:ACY982456 TC982454:TC982456 JG982454:JG982456 K982454:K982456 WVS916918:WVS916920 WLW916918:WLW916920 WCA916918:WCA916920 VSE916918:VSE916920 VII916918:VII916920 UYM916918:UYM916920 UOQ916918:UOQ916920 UEU916918:UEU916920 TUY916918:TUY916920 TLC916918:TLC916920 TBG916918:TBG916920 SRK916918:SRK916920 SHO916918:SHO916920 RXS916918:RXS916920 RNW916918:RNW916920 REA916918:REA916920 QUE916918:QUE916920 QKI916918:QKI916920 QAM916918:QAM916920 PQQ916918:PQQ916920 PGU916918:PGU916920 OWY916918:OWY916920 ONC916918:ONC916920 ODG916918:ODG916920 NTK916918:NTK916920 NJO916918:NJO916920 MZS916918:MZS916920 MPW916918:MPW916920 MGA916918:MGA916920 LWE916918:LWE916920 LMI916918:LMI916920 LCM916918:LCM916920 KSQ916918:KSQ916920 KIU916918:KIU916920 JYY916918:JYY916920 JPC916918:JPC916920 JFG916918:JFG916920 IVK916918:IVK916920 ILO916918:ILO916920 IBS916918:IBS916920 HRW916918:HRW916920 HIA916918:HIA916920 GYE916918:GYE916920 GOI916918:GOI916920 GEM916918:GEM916920 FUQ916918:FUQ916920 FKU916918:FKU916920 FAY916918:FAY916920 ERC916918:ERC916920 EHG916918:EHG916920 DXK916918:DXK916920 DNO916918:DNO916920 DDS916918:DDS916920 CTW916918:CTW916920 CKA916918:CKA916920 CAE916918:CAE916920 BQI916918:BQI916920 BGM916918:BGM916920 AWQ916918:AWQ916920 AMU916918:AMU916920 ACY916918:ACY916920 TC916918:TC916920 JG916918:JG916920 K916918:K916920 WVS851382:WVS851384 WLW851382:WLW851384 WCA851382:WCA851384 VSE851382:VSE851384 VII851382:VII851384 UYM851382:UYM851384 UOQ851382:UOQ851384 UEU851382:UEU851384 TUY851382:TUY851384 TLC851382:TLC851384 TBG851382:TBG851384 SRK851382:SRK851384 SHO851382:SHO851384 RXS851382:RXS851384 RNW851382:RNW851384 REA851382:REA851384 QUE851382:QUE851384 QKI851382:QKI851384 QAM851382:QAM851384 PQQ851382:PQQ851384 PGU851382:PGU851384 OWY851382:OWY851384 ONC851382:ONC851384 ODG851382:ODG851384 NTK851382:NTK851384 NJO851382:NJO851384 MZS851382:MZS851384 MPW851382:MPW851384 MGA851382:MGA851384 LWE851382:LWE851384 LMI851382:LMI851384 LCM851382:LCM851384 KSQ851382:KSQ851384 KIU851382:KIU851384 JYY851382:JYY851384 JPC851382:JPC851384 JFG851382:JFG851384 IVK851382:IVK851384 ILO851382:ILO851384 IBS851382:IBS851384 HRW851382:HRW851384 HIA851382:HIA851384 GYE851382:GYE851384 GOI851382:GOI851384 GEM851382:GEM851384 FUQ851382:FUQ851384 FKU851382:FKU851384 FAY851382:FAY851384 ERC851382:ERC851384 EHG851382:EHG851384 DXK851382:DXK851384 DNO851382:DNO851384 DDS851382:DDS851384 CTW851382:CTW851384 CKA851382:CKA851384 CAE851382:CAE851384 BQI851382:BQI851384 BGM851382:BGM851384 AWQ851382:AWQ851384 AMU851382:AMU851384 ACY851382:ACY851384 TC851382:TC851384 JG851382:JG851384 K851382:K851384 WVS785846:WVS785848 WLW785846:WLW785848 WCA785846:WCA785848 VSE785846:VSE785848 VII785846:VII785848 UYM785846:UYM785848 UOQ785846:UOQ785848 UEU785846:UEU785848 TUY785846:TUY785848 TLC785846:TLC785848 TBG785846:TBG785848 SRK785846:SRK785848 SHO785846:SHO785848 RXS785846:RXS785848 RNW785846:RNW785848 REA785846:REA785848 QUE785846:QUE785848 QKI785846:QKI785848 QAM785846:QAM785848 PQQ785846:PQQ785848 PGU785846:PGU785848 OWY785846:OWY785848 ONC785846:ONC785848 ODG785846:ODG785848 NTK785846:NTK785848 NJO785846:NJO785848 MZS785846:MZS785848 MPW785846:MPW785848 MGA785846:MGA785848 LWE785846:LWE785848 LMI785846:LMI785848 LCM785846:LCM785848 KSQ785846:KSQ785848 KIU785846:KIU785848 JYY785846:JYY785848 JPC785846:JPC785848 JFG785846:JFG785848 IVK785846:IVK785848 ILO785846:ILO785848 IBS785846:IBS785848 HRW785846:HRW785848 HIA785846:HIA785848 GYE785846:GYE785848 GOI785846:GOI785848 GEM785846:GEM785848 FUQ785846:FUQ785848 FKU785846:FKU785848 FAY785846:FAY785848 ERC785846:ERC785848 EHG785846:EHG785848 DXK785846:DXK785848 DNO785846:DNO785848 DDS785846:DDS785848 CTW785846:CTW785848 CKA785846:CKA785848 CAE785846:CAE785848 BQI785846:BQI785848 BGM785846:BGM785848 AWQ785846:AWQ785848 AMU785846:AMU785848 ACY785846:ACY785848 TC785846:TC785848 JG785846:JG785848 K785846:K785848 WVS720310:WVS720312 WLW720310:WLW720312 WCA720310:WCA720312 VSE720310:VSE720312 VII720310:VII720312 UYM720310:UYM720312 UOQ720310:UOQ720312 UEU720310:UEU720312 TUY720310:TUY720312 TLC720310:TLC720312 TBG720310:TBG720312 SRK720310:SRK720312 SHO720310:SHO720312 RXS720310:RXS720312 RNW720310:RNW720312 REA720310:REA720312 QUE720310:QUE720312 QKI720310:QKI720312 QAM720310:QAM720312 PQQ720310:PQQ720312 PGU720310:PGU720312 OWY720310:OWY720312 ONC720310:ONC720312 ODG720310:ODG720312 NTK720310:NTK720312 NJO720310:NJO720312 MZS720310:MZS720312 MPW720310:MPW720312 MGA720310:MGA720312 LWE720310:LWE720312 LMI720310:LMI720312 LCM720310:LCM720312 KSQ720310:KSQ720312 KIU720310:KIU720312 JYY720310:JYY720312 JPC720310:JPC720312 JFG720310:JFG720312 IVK720310:IVK720312 ILO720310:ILO720312 IBS720310:IBS720312 HRW720310:HRW720312 HIA720310:HIA720312 GYE720310:GYE720312 GOI720310:GOI720312 GEM720310:GEM720312 FUQ720310:FUQ720312 FKU720310:FKU720312 FAY720310:FAY720312 ERC720310:ERC720312 EHG720310:EHG720312 DXK720310:DXK720312 DNO720310:DNO720312 DDS720310:DDS720312 CTW720310:CTW720312 CKA720310:CKA720312 CAE720310:CAE720312 BQI720310:BQI720312 BGM720310:BGM720312 AWQ720310:AWQ720312 AMU720310:AMU720312 ACY720310:ACY720312 TC720310:TC720312 JG720310:JG720312 K720310:K720312 WVS654774:WVS654776 WLW654774:WLW654776 WCA654774:WCA654776 VSE654774:VSE654776 VII654774:VII654776 UYM654774:UYM654776 UOQ654774:UOQ654776 UEU654774:UEU654776 TUY654774:TUY654776 TLC654774:TLC654776 TBG654774:TBG654776 SRK654774:SRK654776 SHO654774:SHO654776 RXS654774:RXS654776 RNW654774:RNW654776 REA654774:REA654776 QUE654774:QUE654776 QKI654774:QKI654776 QAM654774:QAM654776 PQQ654774:PQQ654776 PGU654774:PGU654776 OWY654774:OWY654776 ONC654774:ONC654776 ODG654774:ODG654776 NTK654774:NTK654776 NJO654774:NJO654776 MZS654774:MZS654776 MPW654774:MPW654776 MGA654774:MGA654776 LWE654774:LWE654776 LMI654774:LMI654776 LCM654774:LCM654776 KSQ654774:KSQ654776 KIU654774:KIU654776 JYY654774:JYY654776 JPC654774:JPC654776 JFG654774:JFG654776 IVK654774:IVK654776 ILO654774:ILO654776 IBS654774:IBS654776 HRW654774:HRW654776 HIA654774:HIA654776 GYE654774:GYE654776 GOI654774:GOI654776 GEM654774:GEM654776 FUQ654774:FUQ654776 FKU654774:FKU654776 FAY654774:FAY654776 ERC654774:ERC654776 EHG654774:EHG654776 DXK654774:DXK654776 DNO654774:DNO654776 DDS654774:DDS654776 CTW654774:CTW654776 CKA654774:CKA654776 CAE654774:CAE654776 BQI654774:BQI654776 BGM654774:BGM654776 AWQ654774:AWQ654776 AMU654774:AMU654776 ACY654774:ACY654776 TC654774:TC654776 JG654774:JG654776 K654774:K654776 WVS589238:WVS589240 WLW589238:WLW589240 WCA589238:WCA589240 VSE589238:VSE589240 VII589238:VII589240 UYM589238:UYM589240 UOQ589238:UOQ589240 UEU589238:UEU589240 TUY589238:TUY589240 TLC589238:TLC589240 TBG589238:TBG589240 SRK589238:SRK589240 SHO589238:SHO589240 RXS589238:RXS589240 RNW589238:RNW589240 REA589238:REA589240 QUE589238:QUE589240 QKI589238:QKI589240 QAM589238:QAM589240 PQQ589238:PQQ589240 PGU589238:PGU589240 OWY589238:OWY589240 ONC589238:ONC589240 ODG589238:ODG589240 NTK589238:NTK589240 NJO589238:NJO589240 MZS589238:MZS589240 MPW589238:MPW589240 MGA589238:MGA589240 LWE589238:LWE589240 LMI589238:LMI589240 LCM589238:LCM589240 KSQ589238:KSQ589240 KIU589238:KIU589240 JYY589238:JYY589240 JPC589238:JPC589240 JFG589238:JFG589240 IVK589238:IVK589240 ILO589238:ILO589240 IBS589238:IBS589240 HRW589238:HRW589240 HIA589238:HIA589240 GYE589238:GYE589240 GOI589238:GOI589240 GEM589238:GEM589240 FUQ589238:FUQ589240 FKU589238:FKU589240 FAY589238:FAY589240 ERC589238:ERC589240 EHG589238:EHG589240 DXK589238:DXK589240 DNO589238:DNO589240 DDS589238:DDS589240 CTW589238:CTW589240 CKA589238:CKA589240 CAE589238:CAE589240 BQI589238:BQI589240 BGM589238:BGM589240 AWQ589238:AWQ589240 AMU589238:AMU589240 ACY589238:ACY589240 TC589238:TC589240 JG589238:JG589240 K589238:K589240 WVS523702:WVS523704 WLW523702:WLW523704 WCA523702:WCA523704 VSE523702:VSE523704 VII523702:VII523704 UYM523702:UYM523704 UOQ523702:UOQ523704 UEU523702:UEU523704 TUY523702:TUY523704 TLC523702:TLC523704 TBG523702:TBG523704 SRK523702:SRK523704 SHO523702:SHO523704 RXS523702:RXS523704 RNW523702:RNW523704 REA523702:REA523704 QUE523702:QUE523704 QKI523702:QKI523704 QAM523702:QAM523704 PQQ523702:PQQ523704 PGU523702:PGU523704 OWY523702:OWY523704 ONC523702:ONC523704 ODG523702:ODG523704 NTK523702:NTK523704 NJO523702:NJO523704 MZS523702:MZS523704 MPW523702:MPW523704 MGA523702:MGA523704 LWE523702:LWE523704 LMI523702:LMI523704 LCM523702:LCM523704 KSQ523702:KSQ523704 KIU523702:KIU523704 JYY523702:JYY523704 JPC523702:JPC523704 JFG523702:JFG523704 IVK523702:IVK523704 ILO523702:ILO523704 IBS523702:IBS523704 HRW523702:HRW523704 HIA523702:HIA523704 GYE523702:GYE523704 GOI523702:GOI523704 GEM523702:GEM523704 FUQ523702:FUQ523704 FKU523702:FKU523704 FAY523702:FAY523704 ERC523702:ERC523704 EHG523702:EHG523704 DXK523702:DXK523704 DNO523702:DNO523704 DDS523702:DDS523704 CTW523702:CTW523704 CKA523702:CKA523704 CAE523702:CAE523704 BQI523702:BQI523704 BGM523702:BGM523704 AWQ523702:AWQ523704 AMU523702:AMU523704 ACY523702:ACY523704 TC523702:TC523704 JG523702:JG523704 K523702:K523704 WVS458166:WVS458168 WLW458166:WLW458168 WCA458166:WCA458168 VSE458166:VSE458168 VII458166:VII458168 UYM458166:UYM458168 UOQ458166:UOQ458168 UEU458166:UEU458168 TUY458166:TUY458168 TLC458166:TLC458168 TBG458166:TBG458168 SRK458166:SRK458168 SHO458166:SHO458168 RXS458166:RXS458168 RNW458166:RNW458168 REA458166:REA458168 QUE458166:QUE458168 QKI458166:QKI458168 QAM458166:QAM458168 PQQ458166:PQQ458168 PGU458166:PGU458168 OWY458166:OWY458168 ONC458166:ONC458168 ODG458166:ODG458168 NTK458166:NTK458168 NJO458166:NJO458168 MZS458166:MZS458168 MPW458166:MPW458168 MGA458166:MGA458168 LWE458166:LWE458168 LMI458166:LMI458168 LCM458166:LCM458168 KSQ458166:KSQ458168 KIU458166:KIU458168 JYY458166:JYY458168 JPC458166:JPC458168 JFG458166:JFG458168 IVK458166:IVK458168 ILO458166:ILO458168 IBS458166:IBS458168 HRW458166:HRW458168 HIA458166:HIA458168 GYE458166:GYE458168 GOI458166:GOI458168 GEM458166:GEM458168 FUQ458166:FUQ458168 FKU458166:FKU458168 FAY458166:FAY458168 ERC458166:ERC458168 EHG458166:EHG458168 DXK458166:DXK458168 DNO458166:DNO458168 DDS458166:DDS458168 CTW458166:CTW458168 CKA458166:CKA458168 CAE458166:CAE458168 BQI458166:BQI458168 BGM458166:BGM458168 AWQ458166:AWQ458168 AMU458166:AMU458168 ACY458166:ACY458168 TC458166:TC458168 JG458166:JG458168 K458166:K458168 WVS392630:WVS392632 WLW392630:WLW392632 WCA392630:WCA392632 VSE392630:VSE392632 VII392630:VII392632 UYM392630:UYM392632 UOQ392630:UOQ392632 UEU392630:UEU392632 TUY392630:TUY392632 TLC392630:TLC392632 TBG392630:TBG392632 SRK392630:SRK392632 SHO392630:SHO392632 RXS392630:RXS392632 RNW392630:RNW392632 REA392630:REA392632 QUE392630:QUE392632 QKI392630:QKI392632 QAM392630:QAM392632 PQQ392630:PQQ392632 PGU392630:PGU392632 OWY392630:OWY392632 ONC392630:ONC392632 ODG392630:ODG392632 NTK392630:NTK392632 NJO392630:NJO392632 MZS392630:MZS392632 MPW392630:MPW392632 MGA392630:MGA392632 LWE392630:LWE392632 LMI392630:LMI392632 LCM392630:LCM392632 KSQ392630:KSQ392632 KIU392630:KIU392632 JYY392630:JYY392632 JPC392630:JPC392632 JFG392630:JFG392632 IVK392630:IVK392632 ILO392630:ILO392632 IBS392630:IBS392632 HRW392630:HRW392632 HIA392630:HIA392632 GYE392630:GYE392632 GOI392630:GOI392632 GEM392630:GEM392632 FUQ392630:FUQ392632 FKU392630:FKU392632 FAY392630:FAY392632 ERC392630:ERC392632 EHG392630:EHG392632 DXK392630:DXK392632 DNO392630:DNO392632 DDS392630:DDS392632 CTW392630:CTW392632 CKA392630:CKA392632 CAE392630:CAE392632 BQI392630:BQI392632 BGM392630:BGM392632 AWQ392630:AWQ392632 AMU392630:AMU392632 ACY392630:ACY392632 TC392630:TC392632 JG392630:JG392632 K392630:K392632 WVS327094:WVS327096 WLW327094:WLW327096 WCA327094:WCA327096 VSE327094:VSE327096 VII327094:VII327096 UYM327094:UYM327096 UOQ327094:UOQ327096 UEU327094:UEU327096 TUY327094:TUY327096 TLC327094:TLC327096 TBG327094:TBG327096 SRK327094:SRK327096 SHO327094:SHO327096 RXS327094:RXS327096 RNW327094:RNW327096 REA327094:REA327096 QUE327094:QUE327096 QKI327094:QKI327096 QAM327094:QAM327096 PQQ327094:PQQ327096 PGU327094:PGU327096 OWY327094:OWY327096 ONC327094:ONC327096 ODG327094:ODG327096 NTK327094:NTK327096 NJO327094:NJO327096 MZS327094:MZS327096 MPW327094:MPW327096 MGA327094:MGA327096 LWE327094:LWE327096 LMI327094:LMI327096 LCM327094:LCM327096 KSQ327094:KSQ327096 KIU327094:KIU327096 JYY327094:JYY327096 JPC327094:JPC327096 JFG327094:JFG327096 IVK327094:IVK327096 ILO327094:ILO327096 IBS327094:IBS327096 HRW327094:HRW327096 HIA327094:HIA327096 GYE327094:GYE327096 GOI327094:GOI327096 GEM327094:GEM327096 FUQ327094:FUQ327096 FKU327094:FKU327096 FAY327094:FAY327096 ERC327094:ERC327096 EHG327094:EHG327096 DXK327094:DXK327096 DNO327094:DNO327096 DDS327094:DDS327096 CTW327094:CTW327096 CKA327094:CKA327096 CAE327094:CAE327096 BQI327094:BQI327096 BGM327094:BGM327096 AWQ327094:AWQ327096 AMU327094:AMU327096 ACY327094:ACY327096 TC327094:TC327096 JG327094:JG327096 K327094:K327096 WVS261558:WVS261560 WLW261558:WLW261560 WCA261558:WCA261560 VSE261558:VSE261560 VII261558:VII261560 UYM261558:UYM261560 UOQ261558:UOQ261560 UEU261558:UEU261560 TUY261558:TUY261560 TLC261558:TLC261560 TBG261558:TBG261560 SRK261558:SRK261560 SHO261558:SHO261560 RXS261558:RXS261560 RNW261558:RNW261560 REA261558:REA261560 QUE261558:QUE261560 QKI261558:QKI261560 QAM261558:QAM261560 PQQ261558:PQQ261560 PGU261558:PGU261560 OWY261558:OWY261560 ONC261558:ONC261560 ODG261558:ODG261560 NTK261558:NTK261560 NJO261558:NJO261560 MZS261558:MZS261560 MPW261558:MPW261560 MGA261558:MGA261560 LWE261558:LWE261560 LMI261558:LMI261560 LCM261558:LCM261560 KSQ261558:KSQ261560 KIU261558:KIU261560 JYY261558:JYY261560 JPC261558:JPC261560 JFG261558:JFG261560 IVK261558:IVK261560 ILO261558:ILO261560 IBS261558:IBS261560 HRW261558:HRW261560 HIA261558:HIA261560 GYE261558:GYE261560 GOI261558:GOI261560 GEM261558:GEM261560 FUQ261558:FUQ261560 FKU261558:FKU261560 FAY261558:FAY261560 ERC261558:ERC261560 EHG261558:EHG261560 DXK261558:DXK261560 DNO261558:DNO261560 DDS261558:DDS261560 CTW261558:CTW261560 CKA261558:CKA261560 CAE261558:CAE261560 BQI261558:BQI261560 BGM261558:BGM261560 AWQ261558:AWQ261560 AMU261558:AMU261560 ACY261558:ACY261560 TC261558:TC261560 JG261558:JG261560 K261558:K261560 WVS196022:WVS196024 WLW196022:WLW196024 WCA196022:WCA196024 VSE196022:VSE196024 VII196022:VII196024 UYM196022:UYM196024 UOQ196022:UOQ196024 UEU196022:UEU196024 TUY196022:TUY196024 TLC196022:TLC196024 TBG196022:TBG196024 SRK196022:SRK196024 SHO196022:SHO196024 RXS196022:RXS196024 RNW196022:RNW196024 REA196022:REA196024 QUE196022:QUE196024 QKI196022:QKI196024 QAM196022:QAM196024 PQQ196022:PQQ196024 PGU196022:PGU196024 OWY196022:OWY196024 ONC196022:ONC196024 ODG196022:ODG196024 NTK196022:NTK196024 NJO196022:NJO196024 MZS196022:MZS196024 MPW196022:MPW196024 MGA196022:MGA196024 LWE196022:LWE196024 LMI196022:LMI196024 LCM196022:LCM196024 KSQ196022:KSQ196024 KIU196022:KIU196024 JYY196022:JYY196024 JPC196022:JPC196024 JFG196022:JFG196024 IVK196022:IVK196024 ILO196022:ILO196024 IBS196022:IBS196024 HRW196022:HRW196024 HIA196022:HIA196024 GYE196022:GYE196024 GOI196022:GOI196024 GEM196022:GEM196024 FUQ196022:FUQ196024 FKU196022:FKU196024 FAY196022:FAY196024 ERC196022:ERC196024 EHG196022:EHG196024 DXK196022:DXK196024 DNO196022:DNO196024 DDS196022:DDS196024 CTW196022:CTW196024 CKA196022:CKA196024 CAE196022:CAE196024 BQI196022:BQI196024 BGM196022:BGM196024 AWQ196022:AWQ196024 AMU196022:AMU196024 ACY196022:ACY196024 TC196022:TC196024 JG196022:JG196024 K196022:K196024 WVS130486:WVS130488 WLW130486:WLW130488 WCA130486:WCA130488 VSE130486:VSE130488 VII130486:VII130488 UYM130486:UYM130488 UOQ130486:UOQ130488 UEU130486:UEU130488 TUY130486:TUY130488 TLC130486:TLC130488 TBG130486:TBG130488 SRK130486:SRK130488 SHO130486:SHO130488 RXS130486:RXS130488 RNW130486:RNW130488 REA130486:REA130488 QUE130486:QUE130488 QKI130486:QKI130488 QAM130486:QAM130488 PQQ130486:PQQ130488 PGU130486:PGU130488 OWY130486:OWY130488 ONC130486:ONC130488 ODG130486:ODG130488 NTK130486:NTK130488 NJO130486:NJO130488 MZS130486:MZS130488 MPW130486:MPW130488 MGA130486:MGA130488 LWE130486:LWE130488 LMI130486:LMI130488 LCM130486:LCM130488 KSQ130486:KSQ130488 KIU130486:KIU130488 JYY130486:JYY130488 JPC130486:JPC130488 JFG130486:JFG130488 IVK130486:IVK130488 ILO130486:ILO130488 IBS130486:IBS130488 HRW130486:HRW130488 HIA130486:HIA130488 GYE130486:GYE130488 GOI130486:GOI130488 GEM130486:GEM130488 FUQ130486:FUQ130488 FKU130486:FKU130488 FAY130486:FAY130488 ERC130486:ERC130488 EHG130486:EHG130488 DXK130486:DXK130488 DNO130486:DNO130488 DDS130486:DDS130488 CTW130486:CTW130488 CKA130486:CKA130488 CAE130486:CAE130488 BQI130486:BQI130488 BGM130486:BGM130488 AWQ130486:AWQ130488 AMU130486:AMU130488 ACY130486:ACY130488 TC130486:TC130488 JG130486:JG130488 K130486:K130488 WVS64950:WVS64952 WLW64950:WLW64952 WCA64950:WCA64952 VSE64950:VSE64952 VII64950:VII64952 UYM64950:UYM64952 UOQ64950:UOQ64952 UEU64950:UEU64952 TUY64950:TUY64952 TLC64950:TLC64952 TBG64950:TBG64952 SRK64950:SRK64952 SHO64950:SHO64952 RXS64950:RXS64952 RNW64950:RNW64952 REA64950:REA64952 QUE64950:QUE64952 QKI64950:QKI64952 QAM64950:QAM64952 PQQ64950:PQQ64952 PGU64950:PGU64952 OWY64950:OWY64952 ONC64950:ONC64952 ODG64950:ODG64952 NTK64950:NTK64952 NJO64950:NJO64952 MZS64950:MZS64952 MPW64950:MPW64952 MGA64950:MGA64952 LWE64950:LWE64952 LMI64950:LMI64952 LCM64950:LCM64952 KSQ64950:KSQ64952 KIU64950:KIU64952 JYY64950:JYY64952 JPC64950:JPC64952 JFG64950:JFG64952 IVK64950:IVK64952 ILO64950:ILO64952 IBS64950:IBS64952 HRW64950:HRW64952 HIA64950:HIA64952 GYE64950:GYE64952 GOI64950:GOI64952 GEM64950:GEM64952 FUQ64950:FUQ64952 FKU64950:FKU64952 FAY64950:FAY64952 ERC64950:ERC64952 EHG64950:EHG64952 DXK64950:DXK64952 DNO64950:DNO64952 DDS64950:DDS64952 CTW64950:CTW64952 CKA64950:CKA64952 CAE64950:CAE64952 BQI64950:BQI64952 BGM64950:BGM64952 AWQ64950:AWQ64952 AMU64950:AMU64952 ACY64950:ACY64952 TC64950:TC64952 JG64950:JG64952 K64950:K64952 WVP982454:WVP982456 WLT982454:WLT982456 WBX982454:WBX982456 VSB982454:VSB982456 VIF982454:VIF982456 UYJ982454:UYJ982456 UON982454:UON982456 UER982454:UER982456 TUV982454:TUV982456 TKZ982454:TKZ982456 TBD982454:TBD982456 SRH982454:SRH982456 SHL982454:SHL982456 RXP982454:RXP982456 RNT982454:RNT982456 RDX982454:RDX982456 QUB982454:QUB982456 QKF982454:QKF982456 QAJ982454:QAJ982456 PQN982454:PQN982456 PGR982454:PGR982456 OWV982454:OWV982456 OMZ982454:OMZ982456 ODD982454:ODD982456 NTH982454:NTH982456 NJL982454:NJL982456 MZP982454:MZP982456 MPT982454:MPT982456 MFX982454:MFX982456 LWB982454:LWB982456 LMF982454:LMF982456 LCJ982454:LCJ982456 KSN982454:KSN982456 KIR982454:KIR982456 JYV982454:JYV982456 JOZ982454:JOZ982456 JFD982454:JFD982456 IVH982454:IVH982456 ILL982454:ILL982456 IBP982454:IBP982456 HRT982454:HRT982456 HHX982454:HHX982456 GYB982454:GYB982456 GOF982454:GOF982456 GEJ982454:GEJ982456 FUN982454:FUN982456 FKR982454:FKR982456 FAV982454:FAV982456 EQZ982454:EQZ982456 EHD982454:EHD982456 DXH982454:DXH982456 DNL982454:DNL982456 DDP982454:DDP982456 CTT982454:CTT982456 CJX982454:CJX982456 CAB982454:CAB982456 BQF982454:BQF982456 BGJ982454:BGJ982456 AWN982454:AWN982456 AMR982454:AMR982456 ACV982454:ACV982456 SZ982454:SZ982456 JD982454:JD982456 H982454:H982456 WVP916918:WVP916920 WLT916918:WLT916920 WBX916918:WBX916920 VSB916918:VSB916920 VIF916918:VIF916920 UYJ916918:UYJ916920 UON916918:UON916920 UER916918:UER916920 TUV916918:TUV916920 TKZ916918:TKZ916920 TBD916918:TBD916920 SRH916918:SRH916920 SHL916918:SHL916920 RXP916918:RXP916920 RNT916918:RNT916920 RDX916918:RDX916920 QUB916918:QUB916920 QKF916918:QKF916920 QAJ916918:QAJ916920 PQN916918:PQN916920 PGR916918:PGR916920 OWV916918:OWV916920 OMZ916918:OMZ916920 ODD916918:ODD916920 NTH916918:NTH916920 NJL916918:NJL916920 MZP916918:MZP916920 MPT916918:MPT916920 MFX916918:MFX916920 LWB916918:LWB916920 LMF916918:LMF916920 LCJ916918:LCJ916920 KSN916918:KSN916920 KIR916918:KIR916920 JYV916918:JYV916920 JOZ916918:JOZ916920 JFD916918:JFD916920 IVH916918:IVH916920 ILL916918:ILL916920 IBP916918:IBP916920 HRT916918:HRT916920 HHX916918:HHX916920 GYB916918:GYB916920 GOF916918:GOF916920 GEJ916918:GEJ916920 FUN916918:FUN916920 FKR916918:FKR916920 FAV916918:FAV916920 EQZ916918:EQZ916920 EHD916918:EHD916920 DXH916918:DXH916920 DNL916918:DNL916920 DDP916918:DDP916920 CTT916918:CTT916920 CJX916918:CJX916920 CAB916918:CAB916920 BQF916918:BQF916920 BGJ916918:BGJ916920 AWN916918:AWN916920 AMR916918:AMR916920 ACV916918:ACV916920 SZ916918:SZ916920 JD916918:JD916920 H916918:H916920 WVP851382:WVP851384 WLT851382:WLT851384 WBX851382:WBX851384 VSB851382:VSB851384 VIF851382:VIF851384 UYJ851382:UYJ851384 UON851382:UON851384 UER851382:UER851384 TUV851382:TUV851384 TKZ851382:TKZ851384 TBD851382:TBD851384 SRH851382:SRH851384 SHL851382:SHL851384 RXP851382:RXP851384 RNT851382:RNT851384 RDX851382:RDX851384 QUB851382:QUB851384 QKF851382:QKF851384 QAJ851382:QAJ851384 PQN851382:PQN851384 PGR851382:PGR851384 OWV851382:OWV851384 OMZ851382:OMZ851384 ODD851382:ODD851384 NTH851382:NTH851384 NJL851382:NJL851384 MZP851382:MZP851384 MPT851382:MPT851384 MFX851382:MFX851384 LWB851382:LWB851384 LMF851382:LMF851384 LCJ851382:LCJ851384 KSN851382:KSN851384 KIR851382:KIR851384 JYV851382:JYV851384 JOZ851382:JOZ851384 JFD851382:JFD851384 IVH851382:IVH851384 ILL851382:ILL851384 IBP851382:IBP851384 HRT851382:HRT851384 HHX851382:HHX851384 GYB851382:GYB851384 GOF851382:GOF851384 GEJ851382:GEJ851384 FUN851382:FUN851384 FKR851382:FKR851384 FAV851382:FAV851384 EQZ851382:EQZ851384 EHD851382:EHD851384 DXH851382:DXH851384 DNL851382:DNL851384 DDP851382:DDP851384 CTT851382:CTT851384 CJX851382:CJX851384 CAB851382:CAB851384 BQF851382:BQF851384 BGJ851382:BGJ851384 AWN851382:AWN851384 AMR851382:AMR851384 ACV851382:ACV851384 SZ851382:SZ851384 JD851382:JD851384 H851382:H851384 WVP785846:WVP785848 WLT785846:WLT785848 WBX785846:WBX785848 VSB785846:VSB785848 VIF785846:VIF785848 UYJ785846:UYJ785848 UON785846:UON785848 UER785846:UER785848 TUV785846:TUV785848 TKZ785846:TKZ785848 TBD785846:TBD785848 SRH785846:SRH785848 SHL785846:SHL785848 RXP785846:RXP785848 RNT785846:RNT785848 RDX785846:RDX785848 QUB785846:QUB785848 QKF785846:QKF785848 QAJ785846:QAJ785848 PQN785846:PQN785848 PGR785846:PGR785848 OWV785846:OWV785848 OMZ785846:OMZ785848 ODD785846:ODD785848 NTH785846:NTH785848 NJL785846:NJL785848 MZP785846:MZP785848 MPT785846:MPT785848 MFX785846:MFX785848 LWB785846:LWB785848 LMF785846:LMF785848 LCJ785846:LCJ785848 KSN785846:KSN785848 KIR785846:KIR785848 JYV785846:JYV785848 JOZ785846:JOZ785848 JFD785846:JFD785848 IVH785846:IVH785848 ILL785846:ILL785848 IBP785846:IBP785848 HRT785846:HRT785848 HHX785846:HHX785848 GYB785846:GYB785848 GOF785846:GOF785848 GEJ785846:GEJ785848 FUN785846:FUN785848 FKR785846:FKR785848 FAV785846:FAV785848 EQZ785846:EQZ785848 EHD785846:EHD785848 DXH785846:DXH785848 DNL785846:DNL785848 DDP785846:DDP785848 CTT785846:CTT785848 CJX785846:CJX785848 CAB785846:CAB785848 BQF785846:BQF785848 BGJ785846:BGJ785848 AWN785846:AWN785848 AMR785846:AMR785848 ACV785846:ACV785848 SZ785846:SZ785848 JD785846:JD785848 H785846:H785848 WVP720310:WVP720312 WLT720310:WLT720312 WBX720310:WBX720312 VSB720310:VSB720312 VIF720310:VIF720312 UYJ720310:UYJ720312 UON720310:UON720312 UER720310:UER720312 TUV720310:TUV720312 TKZ720310:TKZ720312 TBD720310:TBD720312 SRH720310:SRH720312 SHL720310:SHL720312 RXP720310:RXP720312 RNT720310:RNT720312 RDX720310:RDX720312 QUB720310:QUB720312 QKF720310:QKF720312 QAJ720310:QAJ720312 PQN720310:PQN720312 PGR720310:PGR720312 OWV720310:OWV720312 OMZ720310:OMZ720312 ODD720310:ODD720312 NTH720310:NTH720312 NJL720310:NJL720312 MZP720310:MZP720312 MPT720310:MPT720312 MFX720310:MFX720312 LWB720310:LWB720312 LMF720310:LMF720312 LCJ720310:LCJ720312 KSN720310:KSN720312 KIR720310:KIR720312 JYV720310:JYV720312 JOZ720310:JOZ720312 JFD720310:JFD720312 IVH720310:IVH720312 ILL720310:ILL720312 IBP720310:IBP720312 HRT720310:HRT720312 HHX720310:HHX720312 GYB720310:GYB720312 GOF720310:GOF720312 GEJ720310:GEJ720312 FUN720310:FUN720312 FKR720310:FKR720312 FAV720310:FAV720312 EQZ720310:EQZ720312 EHD720310:EHD720312 DXH720310:DXH720312 DNL720310:DNL720312 DDP720310:DDP720312 CTT720310:CTT720312 CJX720310:CJX720312 CAB720310:CAB720312 BQF720310:BQF720312 BGJ720310:BGJ720312 AWN720310:AWN720312 AMR720310:AMR720312 ACV720310:ACV720312 SZ720310:SZ720312 JD720310:JD720312 H720310:H720312 WVP654774:WVP654776 WLT654774:WLT654776 WBX654774:WBX654776 VSB654774:VSB654776 VIF654774:VIF654776 UYJ654774:UYJ654776 UON654774:UON654776 UER654774:UER654776 TUV654774:TUV654776 TKZ654774:TKZ654776 TBD654774:TBD654776 SRH654774:SRH654776 SHL654774:SHL654776 RXP654774:RXP654776 RNT654774:RNT654776 RDX654774:RDX654776 QUB654774:QUB654776 QKF654774:QKF654776 QAJ654774:QAJ654776 PQN654774:PQN654776 PGR654774:PGR654776 OWV654774:OWV654776 OMZ654774:OMZ654776 ODD654774:ODD654776 NTH654774:NTH654776 NJL654774:NJL654776 MZP654774:MZP654776 MPT654774:MPT654776 MFX654774:MFX654776 LWB654774:LWB654776 LMF654774:LMF654776 LCJ654774:LCJ654776 KSN654774:KSN654776 KIR654774:KIR654776 JYV654774:JYV654776 JOZ654774:JOZ654776 JFD654774:JFD654776 IVH654774:IVH654776 ILL654774:ILL654776 IBP654774:IBP654776 HRT654774:HRT654776 HHX654774:HHX654776 GYB654774:GYB654776 GOF654774:GOF654776 GEJ654774:GEJ654776 FUN654774:FUN654776 FKR654774:FKR654776 FAV654774:FAV654776 EQZ654774:EQZ654776 EHD654774:EHD654776 DXH654774:DXH654776 DNL654774:DNL654776 DDP654774:DDP654776 CTT654774:CTT654776 CJX654774:CJX654776 CAB654774:CAB654776 BQF654774:BQF654776 BGJ654774:BGJ654776 AWN654774:AWN654776 AMR654774:AMR654776 ACV654774:ACV654776 SZ654774:SZ654776 JD654774:JD654776 H654774:H654776 WVP589238:WVP589240 WLT589238:WLT589240 WBX589238:WBX589240 VSB589238:VSB589240 VIF589238:VIF589240 UYJ589238:UYJ589240 UON589238:UON589240 UER589238:UER589240 TUV589238:TUV589240 TKZ589238:TKZ589240 TBD589238:TBD589240 SRH589238:SRH589240 SHL589238:SHL589240 RXP589238:RXP589240 RNT589238:RNT589240 RDX589238:RDX589240 QUB589238:QUB589240 QKF589238:QKF589240 QAJ589238:QAJ589240 PQN589238:PQN589240 PGR589238:PGR589240 OWV589238:OWV589240 OMZ589238:OMZ589240 ODD589238:ODD589240 NTH589238:NTH589240 NJL589238:NJL589240 MZP589238:MZP589240 MPT589238:MPT589240 MFX589238:MFX589240 LWB589238:LWB589240 LMF589238:LMF589240 LCJ589238:LCJ589240 KSN589238:KSN589240 KIR589238:KIR589240 JYV589238:JYV589240 JOZ589238:JOZ589240 JFD589238:JFD589240 IVH589238:IVH589240 ILL589238:ILL589240 IBP589238:IBP589240 HRT589238:HRT589240 HHX589238:HHX589240 GYB589238:GYB589240 GOF589238:GOF589240 GEJ589238:GEJ589240 FUN589238:FUN589240 FKR589238:FKR589240 FAV589238:FAV589240 EQZ589238:EQZ589240 EHD589238:EHD589240 DXH589238:DXH589240 DNL589238:DNL589240 DDP589238:DDP589240 CTT589238:CTT589240 CJX589238:CJX589240 CAB589238:CAB589240 BQF589238:BQF589240 BGJ589238:BGJ589240 AWN589238:AWN589240 AMR589238:AMR589240 ACV589238:ACV589240 SZ589238:SZ589240 JD589238:JD589240 H589238:H589240 WVP523702:WVP523704 WLT523702:WLT523704 WBX523702:WBX523704 VSB523702:VSB523704 VIF523702:VIF523704 UYJ523702:UYJ523704 UON523702:UON523704 UER523702:UER523704 TUV523702:TUV523704 TKZ523702:TKZ523704 TBD523702:TBD523704 SRH523702:SRH523704 SHL523702:SHL523704 RXP523702:RXP523704 RNT523702:RNT523704 RDX523702:RDX523704 QUB523702:QUB523704 QKF523702:QKF523704 QAJ523702:QAJ523704 PQN523702:PQN523704 PGR523702:PGR523704 OWV523702:OWV523704 OMZ523702:OMZ523704 ODD523702:ODD523704 NTH523702:NTH523704 NJL523702:NJL523704 MZP523702:MZP523704 MPT523702:MPT523704 MFX523702:MFX523704 LWB523702:LWB523704 LMF523702:LMF523704 LCJ523702:LCJ523704 KSN523702:KSN523704 KIR523702:KIR523704 JYV523702:JYV523704 JOZ523702:JOZ523704 JFD523702:JFD523704 IVH523702:IVH523704 ILL523702:ILL523704 IBP523702:IBP523704 HRT523702:HRT523704 HHX523702:HHX523704 GYB523702:GYB523704 GOF523702:GOF523704 GEJ523702:GEJ523704 FUN523702:FUN523704 FKR523702:FKR523704 FAV523702:FAV523704 EQZ523702:EQZ523704 EHD523702:EHD523704 DXH523702:DXH523704 DNL523702:DNL523704 DDP523702:DDP523704 CTT523702:CTT523704 CJX523702:CJX523704 CAB523702:CAB523704 BQF523702:BQF523704 BGJ523702:BGJ523704 AWN523702:AWN523704 AMR523702:AMR523704 ACV523702:ACV523704 SZ523702:SZ523704 JD523702:JD523704 H523702:H523704 WVP458166:WVP458168 WLT458166:WLT458168 WBX458166:WBX458168 VSB458166:VSB458168 VIF458166:VIF458168 UYJ458166:UYJ458168 UON458166:UON458168 UER458166:UER458168 TUV458166:TUV458168 TKZ458166:TKZ458168 TBD458166:TBD458168 SRH458166:SRH458168 SHL458166:SHL458168 RXP458166:RXP458168 RNT458166:RNT458168 RDX458166:RDX458168 QUB458166:QUB458168 QKF458166:QKF458168 QAJ458166:QAJ458168 PQN458166:PQN458168 PGR458166:PGR458168 OWV458166:OWV458168 OMZ458166:OMZ458168 ODD458166:ODD458168 NTH458166:NTH458168 NJL458166:NJL458168 MZP458166:MZP458168 MPT458166:MPT458168 MFX458166:MFX458168 LWB458166:LWB458168 LMF458166:LMF458168 LCJ458166:LCJ458168 KSN458166:KSN458168 KIR458166:KIR458168 JYV458166:JYV458168 JOZ458166:JOZ458168 JFD458166:JFD458168 IVH458166:IVH458168 ILL458166:ILL458168 IBP458166:IBP458168 HRT458166:HRT458168 HHX458166:HHX458168 GYB458166:GYB458168 GOF458166:GOF458168 GEJ458166:GEJ458168 FUN458166:FUN458168 FKR458166:FKR458168 FAV458166:FAV458168 EQZ458166:EQZ458168 EHD458166:EHD458168 DXH458166:DXH458168 DNL458166:DNL458168 DDP458166:DDP458168 CTT458166:CTT458168 CJX458166:CJX458168 CAB458166:CAB458168 BQF458166:BQF458168 BGJ458166:BGJ458168 AWN458166:AWN458168 AMR458166:AMR458168 ACV458166:ACV458168 SZ458166:SZ458168 JD458166:JD458168 H458166:H458168 WVP392630:WVP392632 WLT392630:WLT392632 WBX392630:WBX392632 VSB392630:VSB392632 VIF392630:VIF392632 UYJ392630:UYJ392632 UON392630:UON392632 UER392630:UER392632 TUV392630:TUV392632 TKZ392630:TKZ392632 TBD392630:TBD392632 SRH392630:SRH392632 SHL392630:SHL392632 RXP392630:RXP392632 RNT392630:RNT392632 RDX392630:RDX392632 QUB392630:QUB392632 QKF392630:QKF392632 QAJ392630:QAJ392632 PQN392630:PQN392632 PGR392630:PGR392632 OWV392630:OWV392632 OMZ392630:OMZ392632 ODD392630:ODD392632 NTH392630:NTH392632 NJL392630:NJL392632 MZP392630:MZP392632 MPT392630:MPT392632 MFX392630:MFX392632 LWB392630:LWB392632 LMF392630:LMF392632 LCJ392630:LCJ392632 KSN392630:KSN392632 KIR392630:KIR392632 JYV392630:JYV392632 JOZ392630:JOZ392632 JFD392630:JFD392632 IVH392630:IVH392632 ILL392630:ILL392632 IBP392630:IBP392632 HRT392630:HRT392632 HHX392630:HHX392632 GYB392630:GYB392632 GOF392630:GOF392632 GEJ392630:GEJ392632 FUN392630:FUN392632 FKR392630:FKR392632 FAV392630:FAV392632 EQZ392630:EQZ392632 EHD392630:EHD392632 DXH392630:DXH392632 DNL392630:DNL392632 DDP392630:DDP392632 CTT392630:CTT392632 CJX392630:CJX392632 CAB392630:CAB392632 BQF392630:BQF392632 BGJ392630:BGJ392632 AWN392630:AWN392632 AMR392630:AMR392632 ACV392630:ACV392632 SZ392630:SZ392632 JD392630:JD392632 H392630:H392632 WVP327094:WVP327096 WLT327094:WLT327096 WBX327094:WBX327096 VSB327094:VSB327096 VIF327094:VIF327096 UYJ327094:UYJ327096 UON327094:UON327096 UER327094:UER327096 TUV327094:TUV327096 TKZ327094:TKZ327096 TBD327094:TBD327096 SRH327094:SRH327096 SHL327094:SHL327096 RXP327094:RXP327096 RNT327094:RNT327096 RDX327094:RDX327096 QUB327094:QUB327096 QKF327094:QKF327096 QAJ327094:QAJ327096 PQN327094:PQN327096 PGR327094:PGR327096 OWV327094:OWV327096 OMZ327094:OMZ327096 ODD327094:ODD327096 NTH327094:NTH327096 NJL327094:NJL327096 MZP327094:MZP327096 MPT327094:MPT327096 MFX327094:MFX327096 LWB327094:LWB327096 LMF327094:LMF327096 LCJ327094:LCJ327096 KSN327094:KSN327096 KIR327094:KIR327096 JYV327094:JYV327096 JOZ327094:JOZ327096 JFD327094:JFD327096 IVH327094:IVH327096 ILL327094:ILL327096 IBP327094:IBP327096 HRT327094:HRT327096 HHX327094:HHX327096 GYB327094:GYB327096 GOF327094:GOF327096 GEJ327094:GEJ327096 FUN327094:FUN327096 FKR327094:FKR327096 FAV327094:FAV327096 EQZ327094:EQZ327096 EHD327094:EHD327096 DXH327094:DXH327096 DNL327094:DNL327096 DDP327094:DDP327096 CTT327094:CTT327096 CJX327094:CJX327096 CAB327094:CAB327096 BQF327094:BQF327096 BGJ327094:BGJ327096 AWN327094:AWN327096 AMR327094:AMR327096 ACV327094:ACV327096 SZ327094:SZ327096 JD327094:JD327096 H327094:H327096 WVP261558:WVP261560 WLT261558:WLT261560 WBX261558:WBX261560 VSB261558:VSB261560 VIF261558:VIF261560 UYJ261558:UYJ261560 UON261558:UON261560 UER261558:UER261560 TUV261558:TUV261560 TKZ261558:TKZ261560 TBD261558:TBD261560 SRH261558:SRH261560 SHL261558:SHL261560 RXP261558:RXP261560 RNT261558:RNT261560 RDX261558:RDX261560 QUB261558:QUB261560 QKF261558:QKF261560 QAJ261558:QAJ261560 PQN261558:PQN261560 PGR261558:PGR261560 OWV261558:OWV261560 OMZ261558:OMZ261560 ODD261558:ODD261560 NTH261558:NTH261560 NJL261558:NJL261560 MZP261558:MZP261560 MPT261558:MPT261560 MFX261558:MFX261560 LWB261558:LWB261560 LMF261558:LMF261560 LCJ261558:LCJ261560 KSN261558:KSN261560 KIR261558:KIR261560 JYV261558:JYV261560 JOZ261558:JOZ261560 JFD261558:JFD261560 IVH261558:IVH261560 ILL261558:ILL261560 IBP261558:IBP261560 HRT261558:HRT261560 HHX261558:HHX261560 GYB261558:GYB261560 GOF261558:GOF261560 GEJ261558:GEJ261560 FUN261558:FUN261560 FKR261558:FKR261560 FAV261558:FAV261560 EQZ261558:EQZ261560 EHD261558:EHD261560 DXH261558:DXH261560 DNL261558:DNL261560 DDP261558:DDP261560 CTT261558:CTT261560 CJX261558:CJX261560 CAB261558:CAB261560 BQF261558:BQF261560 BGJ261558:BGJ261560 AWN261558:AWN261560 AMR261558:AMR261560 ACV261558:ACV261560 SZ261558:SZ261560 JD261558:JD261560 H261558:H261560 WVP196022:WVP196024 WLT196022:WLT196024 WBX196022:WBX196024 VSB196022:VSB196024 VIF196022:VIF196024 UYJ196022:UYJ196024 UON196022:UON196024 UER196022:UER196024 TUV196022:TUV196024 TKZ196022:TKZ196024 TBD196022:TBD196024 SRH196022:SRH196024 SHL196022:SHL196024 RXP196022:RXP196024 RNT196022:RNT196024 RDX196022:RDX196024 QUB196022:QUB196024 QKF196022:QKF196024 QAJ196022:QAJ196024 PQN196022:PQN196024 PGR196022:PGR196024 OWV196022:OWV196024 OMZ196022:OMZ196024 ODD196022:ODD196024 NTH196022:NTH196024 NJL196022:NJL196024 MZP196022:MZP196024 MPT196022:MPT196024 MFX196022:MFX196024 LWB196022:LWB196024 LMF196022:LMF196024 LCJ196022:LCJ196024 KSN196022:KSN196024 KIR196022:KIR196024 JYV196022:JYV196024 JOZ196022:JOZ196024 JFD196022:JFD196024 IVH196022:IVH196024 ILL196022:ILL196024 IBP196022:IBP196024 HRT196022:HRT196024 HHX196022:HHX196024 GYB196022:GYB196024 GOF196022:GOF196024 GEJ196022:GEJ196024 FUN196022:FUN196024 FKR196022:FKR196024 FAV196022:FAV196024 EQZ196022:EQZ196024 EHD196022:EHD196024 DXH196022:DXH196024 DNL196022:DNL196024 DDP196022:DDP196024 CTT196022:CTT196024 CJX196022:CJX196024 CAB196022:CAB196024 BQF196022:BQF196024 BGJ196022:BGJ196024 AWN196022:AWN196024 AMR196022:AMR196024 ACV196022:ACV196024 SZ196022:SZ196024 JD196022:JD196024 H196022:H196024 WVP130486:WVP130488 WLT130486:WLT130488 WBX130486:WBX130488 VSB130486:VSB130488 VIF130486:VIF130488 UYJ130486:UYJ130488 UON130486:UON130488 UER130486:UER130488 TUV130486:TUV130488 TKZ130486:TKZ130488 TBD130486:TBD130488 SRH130486:SRH130488 SHL130486:SHL130488 RXP130486:RXP130488 RNT130486:RNT130488 RDX130486:RDX130488 QUB130486:QUB130488 QKF130486:QKF130488 QAJ130486:QAJ130488 PQN130486:PQN130488 PGR130486:PGR130488 OWV130486:OWV130488 OMZ130486:OMZ130488 ODD130486:ODD130488 NTH130486:NTH130488 NJL130486:NJL130488 MZP130486:MZP130488 MPT130486:MPT130488 MFX130486:MFX130488 LWB130486:LWB130488 LMF130486:LMF130488 LCJ130486:LCJ130488 KSN130486:KSN130488 KIR130486:KIR130488 JYV130486:JYV130488 JOZ130486:JOZ130488 JFD130486:JFD130488 IVH130486:IVH130488 ILL130486:ILL130488 IBP130486:IBP130488 HRT130486:HRT130488 HHX130486:HHX130488 GYB130486:GYB130488 GOF130486:GOF130488 GEJ130486:GEJ130488 FUN130486:FUN130488 FKR130486:FKR130488 FAV130486:FAV130488 EQZ130486:EQZ130488 EHD130486:EHD130488 DXH130486:DXH130488 DNL130486:DNL130488 DDP130486:DDP130488 CTT130486:CTT130488 CJX130486:CJX130488 CAB130486:CAB130488 BQF130486:BQF130488 BGJ130486:BGJ130488 AWN130486:AWN130488 AMR130486:AMR130488 ACV130486:ACV130488 SZ130486:SZ130488 JD130486:JD130488 H130486:H130488 WVP64950:WVP64952 WLT64950:WLT64952 WBX64950:WBX64952 VSB64950:VSB64952 VIF64950:VIF64952 UYJ64950:UYJ64952 UON64950:UON64952 UER64950:UER64952 TUV64950:TUV64952 TKZ64950:TKZ64952 TBD64950:TBD64952 SRH64950:SRH64952 SHL64950:SHL64952 RXP64950:RXP64952 RNT64950:RNT64952 RDX64950:RDX64952 QUB64950:QUB64952 QKF64950:QKF64952 QAJ64950:QAJ64952 PQN64950:PQN64952 PGR64950:PGR64952 OWV64950:OWV64952 OMZ64950:OMZ64952 ODD64950:ODD64952 NTH64950:NTH64952 NJL64950:NJL64952 MZP64950:MZP64952 MPT64950:MPT64952 MFX64950:MFX64952 LWB64950:LWB64952 LMF64950:LMF64952 LCJ64950:LCJ64952 KSN64950:KSN64952 KIR64950:KIR64952 JYV64950:JYV64952 JOZ64950:JOZ64952 JFD64950:JFD64952 IVH64950:IVH64952 ILL64950:ILL64952 IBP64950:IBP64952 HRT64950:HRT64952 HHX64950:HHX64952 GYB64950:GYB64952 GOF64950:GOF64952 GEJ64950:GEJ64952 FUN64950:FUN64952 FKR64950:FKR64952 FAV64950:FAV64952 EQZ64950:EQZ64952 EHD64950:EHD64952 DXH64950:DXH64952 DNL64950:DNL64952 DDP64950:DDP64952 CTT64950:CTT64952 CJX64950:CJX64952 CAB64950:CAB64952 BQF64950:BQF64952 BGJ64950:BGJ64952 AWN64950:AWN64952 AMR64950:AMR64952 ACV64950:ACV64952 SZ64950:SZ64952 JD64950:JD64952 H64950:H64952 WVM982454:WVM982456 WLQ982454:WLQ982456 WBU982454:WBU982456 VRY982454:VRY982456 VIC982454:VIC982456 UYG982454:UYG982456 UOK982454:UOK982456 UEO982454:UEO982456 TUS982454:TUS982456 TKW982454:TKW982456 TBA982454:TBA982456 SRE982454:SRE982456 SHI982454:SHI982456 RXM982454:RXM982456 RNQ982454:RNQ982456 RDU982454:RDU982456 QTY982454:QTY982456 QKC982454:QKC982456 QAG982454:QAG982456 PQK982454:PQK982456 PGO982454:PGO982456 OWS982454:OWS982456 OMW982454:OMW982456 ODA982454:ODA982456 NTE982454:NTE982456 NJI982454:NJI982456 MZM982454:MZM982456 MPQ982454:MPQ982456 MFU982454:MFU982456 LVY982454:LVY982456 LMC982454:LMC982456 LCG982454:LCG982456 KSK982454:KSK982456 KIO982454:KIO982456 JYS982454:JYS982456 JOW982454:JOW982456 JFA982454:JFA982456 IVE982454:IVE982456 ILI982454:ILI982456 IBM982454:IBM982456 HRQ982454:HRQ982456 HHU982454:HHU982456 GXY982454:GXY982456 GOC982454:GOC982456 GEG982454:GEG982456 FUK982454:FUK982456 FKO982454:FKO982456 FAS982454:FAS982456 EQW982454:EQW982456 EHA982454:EHA982456 DXE982454:DXE982456 DNI982454:DNI982456 DDM982454:DDM982456 CTQ982454:CTQ982456 CJU982454:CJU982456 BZY982454:BZY982456 BQC982454:BQC982456 BGG982454:BGG982456 AWK982454:AWK982456 AMO982454:AMO982456 ACS982454:ACS982456 SW982454:SW982456 JA982454:JA982456 E982454:E982456 WVM916918:WVM916920 WLQ916918:WLQ916920 WBU916918:WBU916920 VRY916918:VRY916920 VIC916918:VIC916920 UYG916918:UYG916920 UOK916918:UOK916920 UEO916918:UEO916920 TUS916918:TUS916920 TKW916918:TKW916920 TBA916918:TBA916920 SRE916918:SRE916920 SHI916918:SHI916920 RXM916918:RXM916920 RNQ916918:RNQ916920 RDU916918:RDU916920 QTY916918:QTY916920 QKC916918:QKC916920 QAG916918:QAG916920 PQK916918:PQK916920 PGO916918:PGO916920 OWS916918:OWS916920 OMW916918:OMW916920 ODA916918:ODA916920 NTE916918:NTE916920 NJI916918:NJI916920 MZM916918:MZM916920 MPQ916918:MPQ916920 MFU916918:MFU916920 LVY916918:LVY916920 LMC916918:LMC916920 LCG916918:LCG916920 KSK916918:KSK916920 KIO916918:KIO916920 JYS916918:JYS916920 JOW916918:JOW916920 JFA916918:JFA916920 IVE916918:IVE916920 ILI916918:ILI916920 IBM916918:IBM916920 HRQ916918:HRQ916920 HHU916918:HHU916920 GXY916918:GXY916920 GOC916918:GOC916920 GEG916918:GEG916920 FUK916918:FUK916920 FKO916918:FKO916920 FAS916918:FAS916920 EQW916918:EQW916920 EHA916918:EHA916920 DXE916918:DXE916920 DNI916918:DNI916920 DDM916918:DDM916920 CTQ916918:CTQ916920 CJU916918:CJU916920 BZY916918:BZY916920 BQC916918:BQC916920 BGG916918:BGG916920 AWK916918:AWK916920 AMO916918:AMO916920 ACS916918:ACS916920 SW916918:SW916920 JA916918:JA916920 E916918:E916920 WVM851382:WVM851384 WLQ851382:WLQ851384 WBU851382:WBU851384 VRY851382:VRY851384 VIC851382:VIC851384 UYG851382:UYG851384 UOK851382:UOK851384 UEO851382:UEO851384 TUS851382:TUS851384 TKW851382:TKW851384 TBA851382:TBA851384 SRE851382:SRE851384 SHI851382:SHI851384 RXM851382:RXM851384 RNQ851382:RNQ851384 RDU851382:RDU851384 QTY851382:QTY851384 QKC851382:QKC851384 QAG851382:QAG851384 PQK851382:PQK851384 PGO851382:PGO851384 OWS851382:OWS851384 OMW851382:OMW851384 ODA851382:ODA851384 NTE851382:NTE851384 NJI851382:NJI851384 MZM851382:MZM851384 MPQ851382:MPQ851384 MFU851382:MFU851384 LVY851382:LVY851384 LMC851382:LMC851384 LCG851382:LCG851384 KSK851382:KSK851384 KIO851382:KIO851384 JYS851382:JYS851384 JOW851382:JOW851384 JFA851382:JFA851384 IVE851382:IVE851384 ILI851382:ILI851384 IBM851382:IBM851384 HRQ851382:HRQ851384 HHU851382:HHU851384 GXY851382:GXY851384 GOC851382:GOC851384 GEG851382:GEG851384 FUK851382:FUK851384 FKO851382:FKO851384 FAS851382:FAS851384 EQW851382:EQW851384 EHA851382:EHA851384 DXE851382:DXE851384 DNI851382:DNI851384 DDM851382:DDM851384 CTQ851382:CTQ851384 CJU851382:CJU851384 BZY851382:BZY851384 BQC851382:BQC851384 BGG851382:BGG851384 AWK851382:AWK851384 AMO851382:AMO851384 ACS851382:ACS851384 SW851382:SW851384 JA851382:JA851384 E851382:E851384 WVM785846:WVM785848 WLQ785846:WLQ785848 WBU785846:WBU785848 VRY785846:VRY785848 VIC785846:VIC785848 UYG785846:UYG785848 UOK785846:UOK785848 UEO785846:UEO785848 TUS785846:TUS785848 TKW785846:TKW785848 TBA785846:TBA785848 SRE785846:SRE785848 SHI785846:SHI785848 RXM785846:RXM785848 RNQ785846:RNQ785848 RDU785846:RDU785848 QTY785846:QTY785848 QKC785846:QKC785848 QAG785846:QAG785848 PQK785846:PQK785848 PGO785846:PGO785848 OWS785846:OWS785848 OMW785846:OMW785848 ODA785846:ODA785848 NTE785846:NTE785848 NJI785846:NJI785848 MZM785846:MZM785848 MPQ785846:MPQ785848 MFU785846:MFU785848 LVY785846:LVY785848 LMC785846:LMC785848 LCG785846:LCG785848 KSK785846:KSK785848 KIO785846:KIO785848 JYS785846:JYS785848 JOW785846:JOW785848 JFA785846:JFA785848 IVE785846:IVE785848 ILI785846:ILI785848 IBM785846:IBM785848 HRQ785846:HRQ785848 HHU785846:HHU785848 GXY785846:GXY785848 GOC785846:GOC785848 GEG785846:GEG785848 FUK785846:FUK785848 FKO785846:FKO785848 FAS785846:FAS785848 EQW785846:EQW785848 EHA785846:EHA785848 DXE785846:DXE785848 DNI785846:DNI785848 DDM785846:DDM785848 CTQ785846:CTQ785848 CJU785846:CJU785848 BZY785846:BZY785848 BQC785846:BQC785848 BGG785846:BGG785848 AWK785846:AWK785848 AMO785846:AMO785848 ACS785846:ACS785848 SW785846:SW785848 JA785846:JA785848 E785846:E785848 WVM720310:WVM720312 WLQ720310:WLQ720312 WBU720310:WBU720312 VRY720310:VRY720312 VIC720310:VIC720312 UYG720310:UYG720312 UOK720310:UOK720312 UEO720310:UEO720312 TUS720310:TUS720312 TKW720310:TKW720312 TBA720310:TBA720312 SRE720310:SRE720312 SHI720310:SHI720312 RXM720310:RXM720312 RNQ720310:RNQ720312 RDU720310:RDU720312 QTY720310:QTY720312 QKC720310:QKC720312 QAG720310:QAG720312 PQK720310:PQK720312 PGO720310:PGO720312 OWS720310:OWS720312 OMW720310:OMW720312 ODA720310:ODA720312 NTE720310:NTE720312 NJI720310:NJI720312 MZM720310:MZM720312 MPQ720310:MPQ720312 MFU720310:MFU720312 LVY720310:LVY720312 LMC720310:LMC720312 LCG720310:LCG720312 KSK720310:KSK720312 KIO720310:KIO720312 JYS720310:JYS720312 JOW720310:JOW720312 JFA720310:JFA720312 IVE720310:IVE720312 ILI720310:ILI720312 IBM720310:IBM720312 HRQ720310:HRQ720312 HHU720310:HHU720312 GXY720310:GXY720312 GOC720310:GOC720312 GEG720310:GEG720312 FUK720310:FUK720312 FKO720310:FKO720312 FAS720310:FAS720312 EQW720310:EQW720312 EHA720310:EHA720312 DXE720310:DXE720312 DNI720310:DNI720312 DDM720310:DDM720312 CTQ720310:CTQ720312 CJU720310:CJU720312 BZY720310:BZY720312 BQC720310:BQC720312 BGG720310:BGG720312 AWK720310:AWK720312 AMO720310:AMO720312 ACS720310:ACS720312 SW720310:SW720312 JA720310:JA720312 E720310:E720312 WVM654774:WVM654776 WLQ654774:WLQ654776 WBU654774:WBU654776 VRY654774:VRY654776 VIC654774:VIC654776 UYG654774:UYG654776 UOK654774:UOK654776 UEO654774:UEO654776 TUS654774:TUS654776 TKW654774:TKW654776 TBA654774:TBA654776 SRE654774:SRE654776 SHI654774:SHI654776 RXM654774:RXM654776 RNQ654774:RNQ654776 RDU654774:RDU654776 QTY654774:QTY654776 QKC654774:QKC654776 QAG654774:QAG654776 PQK654774:PQK654776 PGO654774:PGO654776 OWS654774:OWS654776 OMW654774:OMW654776 ODA654774:ODA654776 NTE654774:NTE654776 NJI654774:NJI654776 MZM654774:MZM654776 MPQ654774:MPQ654776 MFU654774:MFU654776 LVY654774:LVY654776 LMC654774:LMC654776 LCG654774:LCG654776 KSK654774:KSK654776 KIO654774:KIO654776 JYS654774:JYS654776 JOW654774:JOW654776 JFA654774:JFA654776 IVE654774:IVE654776 ILI654774:ILI654776 IBM654774:IBM654776 HRQ654774:HRQ654776 HHU654774:HHU654776 GXY654774:GXY654776 GOC654774:GOC654776 GEG654774:GEG654776 FUK654774:FUK654776 FKO654774:FKO654776 FAS654774:FAS654776 EQW654774:EQW654776 EHA654774:EHA654776 DXE654774:DXE654776 DNI654774:DNI654776 DDM654774:DDM654776 CTQ654774:CTQ654776 CJU654774:CJU654776 BZY654774:BZY654776 BQC654774:BQC654776 BGG654774:BGG654776 AWK654774:AWK654776 AMO654774:AMO654776 ACS654774:ACS654776 SW654774:SW654776 JA654774:JA654776 E654774:E654776 WVM589238:WVM589240 WLQ589238:WLQ589240 WBU589238:WBU589240 VRY589238:VRY589240 VIC589238:VIC589240 UYG589238:UYG589240 UOK589238:UOK589240 UEO589238:UEO589240 TUS589238:TUS589240 TKW589238:TKW589240 TBA589238:TBA589240 SRE589238:SRE589240 SHI589238:SHI589240 RXM589238:RXM589240 RNQ589238:RNQ589240 RDU589238:RDU589240 QTY589238:QTY589240 QKC589238:QKC589240 QAG589238:QAG589240 PQK589238:PQK589240 PGO589238:PGO589240 OWS589238:OWS589240 OMW589238:OMW589240 ODA589238:ODA589240 NTE589238:NTE589240 NJI589238:NJI589240 MZM589238:MZM589240 MPQ589238:MPQ589240 MFU589238:MFU589240 LVY589238:LVY589240 LMC589238:LMC589240 LCG589238:LCG589240 KSK589238:KSK589240 KIO589238:KIO589240 JYS589238:JYS589240 JOW589238:JOW589240 JFA589238:JFA589240 IVE589238:IVE589240 ILI589238:ILI589240 IBM589238:IBM589240 HRQ589238:HRQ589240 HHU589238:HHU589240 GXY589238:GXY589240 GOC589238:GOC589240 GEG589238:GEG589240 FUK589238:FUK589240 FKO589238:FKO589240 FAS589238:FAS589240 EQW589238:EQW589240 EHA589238:EHA589240 DXE589238:DXE589240 DNI589238:DNI589240 DDM589238:DDM589240 CTQ589238:CTQ589240 CJU589238:CJU589240 BZY589238:BZY589240 BQC589238:BQC589240 BGG589238:BGG589240 AWK589238:AWK589240 AMO589238:AMO589240 ACS589238:ACS589240 SW589238:SW589240 JA589238:JA589240 E589238:E589240 WVM523702:WVM523704 WLQ523702:WLQ523704 WBU523702:WBU523704 VRY523702:VRY523704 VIC523702:VIC523704 UYG523702:UYG523704 UOK523702:UOK523704 UEO523702:UEO523704 TUS523702:TUS523704 TKW523702:TKW523704 TBA523702:TBA523704 SRE523702:SRE523704 SHI523702:SHI523704 RXM523702:RXM523704 RNQ523702:RNQ523704 RDU523702:RDU523704 QTY523702:QTY523704 QKC523702:QKC523704 QAG523702:QAG523704 PQK523702:PQK523704 PGO523702:PGO523704 OWS523702:OWS523704 OMW523702:OMW523704 ODA523702:ODA523704 NTE523702:NTE523704 NJI523702:NJI523704 MZM523702:MZM523704 MPQ523702:MPQ523704 MFU523702:MFU523704 LVY523702:LVY523704 LMC523702:LMC523704 LCG523702:LCG523704 KSK523702:KSK523704 KIO523702:KIO523704 JYS523702:JYS523704 JOW523702:JOW523704 JFA523702:JFA523704 IVE523702:IVE523704 ILI523702:ILI523704 IBM523702:IBM523704 HRQ523702:HRQ523704 HHU523702:HHU523704 GXY523702:GXY523704 GOC523702:GOC523704 GEG523702:GEG523704 FUK523702:FUK523704 FKO523702:FKO523704 FAS523702:FAS523704 EQW523702:EQW523704 EHA523702:EHA523704 DXE523702:DXE523704 DNI523702:DNI523704 DDM523702:DDM523704 CTQ523702:CTQ523704 CJU523702:CJU523704 BZY523702:BZY523704 BQC523702:BQC523704 BGG523702:BGG523704 AWK523702:AWK523704 AMO523702:AMO523704 ACS523702:ACS523704 SW523702:SW523704 JA523702:JA523704 E523702:E523704 WVM458166:WVM458168 WLQ458166:WLQ458168 WBU458166:WBU458168 VRY458166:VRY458168 VIC458166:VIC458168 UYG458166:UYG458168 UOK458166:UOK458168 UEO458166:UEO458168 TUS458166:TUS458168 TKW458166:TKW458168 TBA458166:TBA458168 SRE458166:SRE458168 SHI458166:SHI458168 RXM458166:RXM458168 RNQ458166:RNQ458168 RDU458166:RDU458168 QTY458166:QTY458168 QKC458166:QKC458168 QAG458166:QAG458168 PQK458166:PQK458168 PGO458166:PGO458168 OWS458166:OWS458168 OMW458166:OMW458168 ODA458166:ODA458168 NTE458166:NTE458168 NJI458166:NJI458168 MZM458166:MZM458168 MPQ458166:MPQ458168 MFU458166:MFU458168 LVY458166:LVY458168 LMC458166:LMC458168 LCG458166:LCG458168 KSK458166:KSK458168 KIO458166:KIO458168 JYS458166:JYS458168 JOW458166:JOW458168 JFA458166:JFA458168 IVE458166:IVE458168 ILI458166:ILI458168 IBM458166:IBM458168 HRQ458166:HRQ458168 HHU458166:HHU458168 GXY458166:GXY458168 GOC458166:GOC458168 GEG458166:GEG458168 FUK458166:FUK458168 FKO458166:FKO458168 FAS458166:FAS458168 EQW458166:EQW458168 EHA458166:EHA458168 DXE458166:DXE458168 DNI458166:DNI458168 DDM458166:DDM458168 CTQ458166:CTQ458168 CJU458166:CJU458168 BZY458166:BZY458168 BQC458166:BQC458168 BGG458166:BGG458168 AWK458166:AWK458168 AMO458166:AMO458168 ACS458166:ACS458168 SW458166:SW458168 JA458166:JA458168 E458166:E458168 WVM392630:WVM392632 WLQ392630:WLQ392632 WBU392630:WBU392632 VRY392630:VRY392632 VIC392630:VIC392632 UYG392630:UYG392632 UOK392630:UOK392632 UEO392630:UEO392632 TUS392630:TUS392632 TKW392630:TKW392632 TBA392630:TBA392632 SRE392630:SRE392632 SHI392630:SHI392632 RXM392630:RXM392632 RNQ392630:RNQ392632 RDU392630:RDU392632 QTY392630:QTY392632 QKC392630:QKC392632 QAG392630:QAG392632 PQK392630:PQK392632 PGO392630:PGO392632 OWS392630:OWS392632 OMW392630:OMW392632 ODA392630:ODA392632 NTE392630:NTE392632 NJI392630:NJI392632 MZM392630:MZM392632 MPQ392630:MPQ392632 MFU392630:MFU392632 LVY392630:LVY392632 LMC392630:LMC392632 LCG392630:LCG392632 KSK392630:KSK392632 KIO392630:KIO392632 JYS392630:JYS392632 JOW392630:JOW392632 JFA392630:JFA392632 IVE392630:IVE392632 ILI392630:ILI392632 IBM392630:IBM392632 HRQ392630:HRQ392632 HHU392630:HHU392632 GXY392630:GXY392632 GOC392630:GOC392632 GEG392630:GEG392632 FUK392630:FUK392632 FKO392630:FKO392632 FAS392630:FAS392632 EQW392630:EQW392632 EHA392630:EHA392632 DXE392630:DXE392632 DNI392630:DNI392632 DDM392630:DDM392632 CTQ392630:CTQ392632 CJU392630:CJU392632 BZY392630:BZY392632 BQC392630:BQC392632 BGG392630:BGG392632 AWK392630:AWK392632 AMO392630:AMO392632 ACS392630:ACS392632 SW392630:SW392632 JA392630:JA392632 E392630:E392632 WVM327094:WVM327096 WLQ327094:WLQ327096 WBU327094:WBU327096 VRY327094:VRY327096 VIC327094:VIC327096 UYG327094:UYG327096 UOK327094:UOK327096 UEO327094:UEO327096 TUS327094:TUS327096 TKW327094:TKW327096 TBA327094:TBA327096 SRE327094:SRE327096 SHI327094:SHI327096 RXM327094:RXM327096 RNQ327094:RNQ327096 RDU327094:RDU327096 QTY327094:QTY327096 QKC327094:QKC327096 QAG327094:QAG327096 PQK327094:PQK327096 PGO327094:PGO327096 OWS327094:OWS327096 OMW327094:OMW327096 ODA327094:ODA327096 NTE327094:NTE327096 NJI327094:NJI327096 MZM327094:MZM327096 MPQ327094:MPQ327096 MFU327094:MFU327096 LVY327094:LVY327096 LMC327094:LMC327096 LCG327094:LCG327096 KSK327094:KSK327096 KIO327094:KIO327096 JYS327094:JYS327096 JOW327094:JOW327096 JFA327094:JFA327096 IVE327094:IVE327096 ILI327094:ILI327096 IBM327094:IBM327096 HRQ327094:HRQ327096 HHU327094:HHU327096 GXY327094:GXY327096 GOC327094:GOC327096 GEG327094:GEG327096 FUK327094:FUK327096 FKO327094:FKO327096 FAS327094:FAS327096 EQW327094:EQW327096 EHA327094:EHA327096 DXE327094:DXE327096 DNI327094:DNI327096 DDM327094:DDM327096 CTQ327094:CTQ327096 CJU327094:CJU327096 BZY327094:BZY327096 BQC327094:BQC327096 BGG327094:BGG327096 AWK327094:AWK327096 AMO327094:AMO327096 ACS327094:ACS327096 SW327094:SW327096 JA327094:JA327096 E327094:E327096 WVM261558:WVM261560 WLQ261558:WLQ261560 WBU261558:WBU261560 VRY261558:VRY261560 VIC261558:VIC261560 UYG261558:UYG261560 UOK261558:UOK261560 UEO261558:UEO261560 TUS261558:TUS261560 TKW261558:TKW261560 TBA261558:TBA261560 SRE261558:SRE261560 SHI261558:SHI261560 RXM261558:RXM261560 RNQ261558:RNQ261560 RDU261558:RDU261560 QTY261558:QTY261560 QKC261558:QKC261560 QAG261558:QAG261560 PQK261558:PQK261560 PGO261558:PGO261560 OWS261558:OWS261560 OMW261558:OMW261560 ODA261558:ODA261560 NTE261558:NTE261560 NJI261558:NJI261560 MZM261558:MZM261560 MPQ261558:MPQ261560 MFU261558:MFU261560 LVY261558:LVY261560 LMC261558:LMC261560 LCG261558:LCG261560 KSK261558:KSK261560 KIO261558:KIO261560 JYS261558:JYS261560 JOW261558:JOW261560 JFA261558:JFA261560 IVE261558:IVE261560 ILI261558:ILI261560 IBM261558:IBM261560 HRQ261558:HRQ261560 HHU261558:HHU261560 GXY261558:GXY261560 GOC261558:GOC261560 GEG261558:GEG261560 FUK261558:FUK261560 FKO261558:FKO261560 FAS261558:FAS261560 EQW261558:EQW261560 EHA261558:EHA261560 DXE261558:DXE261560 DNI261558:DNI261560 DDM261558:DDM261560 CTQ261558:CTQ261560 CJU261558:CJU261560 BZY261558:BZY261560 BQC261558:BQC261560 BGG261558:BGG261560 AWK261558:AWK261560 AMO261558:AMO261560 ACS261558:ACS261560 SW261558:SW261560 JA261558:JA261560 E261558:E261560 WVM196022:WVM196024 WLQ196022:WLQ196024 WBU196022:WBU196024 VRY196022:VRY196024 VIC196022:VIC196024 UYG196022:UYG196024 UOK196022:UOK196024 UEO196022:UEO196024 TUS196022:TUS196024 TKW196022:TKW196024 TBA196022:TBA196024 SRE196022:SRE196024 SHI196022:SHI196024 RXM196022:RXM196024 RNQ196022:RNQ196024 RDU196022:RDU196024 QTY196022:QTY196024 QKC196022:QKC196024 QAG196022:QAG196024 PQK196022:PQK196024 PGO196022:PGO196024 OWS196022:OWS196024 OMW196022:OMW196024 ODA196022:ODA196024 NTE196022:NTE196024 NJI196022:NJI196024 MZM196022:MZM196024 MPQ196022:MPQ196024 MFU196022:MFU196024 LVY196022:LVY196024 LMC196022:LMC196024 LCG196022:LCG196024 KSK196022:KSK196024 KIO196022:KIO196024 JYS196022:JYS196024 JOW196022:JOW196024 JFA196022:JFA196024 IVE196022:IVE196024 ILI196022:ILI196024 IBM196022:IBM196024 HRQ196022:HRQ196024 HHU196022:HHU196024 GXY196022:GXY196024 GOC196022:GOC196024 GEG196022:GEG196024 FUK196022:FUK196024 FKO196022:FKO196024 FAS196022:FAS196024 EQW196022:EQW196024 EHA196022:EHA196024 DXE196022:DXE196024 DNI196022:DNI196024 DDM196022:DDM196024 CTQ196022:CTQ196024 CJU196022:CJU196024 BZY196022:BZY196024 BQC196022:BQC196024 BGG196022:BGG196024 AWK196022:AWK196024 AMO196022:AMO196024 ACS196022:ACS196024 SW196022:SW196024 JA196022:JA196024 E196022:E196024 WVM130486:WVM130488 WLQ130486:WLQ130488 WBU130486:WBU130488 VRY130486:VRY130488 VIC130486:VIC130488 UYG130486:UYG130488 UOK130486:UOK130488 UEO130486:UEO130488 TUS130486:TUS130488 TKW130486:TKW130488 TBA130486:TBA130488 SRE130486:SRE130488 SHI130486:SHI130488 RXM130486:RXM130488 RNQ130486:RNQ130488 RDU130486:RDU130488 QTY130486:QTY130488 QKC130486:QKC130488 QAG130486:QAG130488 PQK130486:PQK130488 PGO130486:PGO130488 OWS130486:OWS130488 OMW130486:OMW130488 ODA130486:ODA130488 NTE130486:NTE130488 NJI130486:NJI130488 MZM130486:MZM130488 MPQ130486:MPQ130488 MFU130486:MFU130488 LVY130486:LVY130488 LMC130486:LMC130488 LCG130486:LCG130488 KSK130486:KSK130488 KIO130486:KIO130488 JYS130486:JYS130488 JOW130486:JOW130488 JFA130486:JFA130488 IVE130486:IVE130488 ILI130486:ILI130488 IBM130486:IBM130488 HRQ130486:HRQ130488 HHU130486:HHU130488 GXY130486:GXY130488 GOC130486:GOC130488 GEG130486:GEG130488 FUK130486:FUK130488 FKO130486:FKO130488 FAS130486:FAS130488 EQW130486:EQW130488 EHA130486:EHA130488 DXE130486:DXE130488 DNI130486:DNI130488 DDM130486:DDM130488 CTQ130486:CTQ130488 CJU130486:CJU130488 BZY130486:BZY130488 BQC130486:BQC130488 BGG130486:BGG130488 AWK130486:AWK130488 AMO130486:AMO130488 ACS130486:ACS130488 SW130486:SW130488 JA130486:JA130488 E130486:E130488 WVM64950:WVM64952 WLQ64950:WLQ64952 WBU64950:WBU64952 VRY64950:VRY64952 VIC64950:VIC64952 UYG64950:UYG64952 UOK64950:UOK64952 UEO64950:UEO64952 TUS64950:TUS64952 TKW64950:TKW64952 TBA64950:TBA64952 SRE64950:SRE64952 SHI64950:SHI64952 RXM64950:RXM64952 RNQ64950:RNQ64952 RDU64950:RDU64952 QTY64950:QTY64952 QKC64950:QKC64952 QAG64950:QAG64952 PQK64950:PQK64952 PGO64950:PGO64952 OWS64950:OWS64952 OMW64950:OMW64952 ODA64950:ODA64952 NTE64950:NTE64952 NJI64950:NJI64952 MZM64950:MZM64952 MPQ64950:MPQ64952 MFU64950:MFU64952 LVY64950:LVY64952 LMC64950:LMC64952 LCG64950:LCG64952 KSK64950:KSK64952 KIO64950:KIO64952 JYS64950:JYS64952 JOW64950:JOW64952 JFA64950:JFA64952 IVE64950:IVE64952 ILI64950:ILI64952 IBM64950:IBM64952 HRQ64950:HRQ64952 HHU64950:HHU64952 GXY64950:GXY64952 GOC64950:GOC64952 GEG64950:GEG64952 FUK64950:FUK64952 FKO64950:FKO64952 FAS64950:FAS64952 EQW64950:EQW64952 EHA64950:EHA64952 DXE64950:DXE64952 DNI64950:DNI64952 DDM64950:DDM64952 CTQ64950:CTQ64952 CJU64950:CJU64952 BZY64950:BZY64952 BQC64950:BQC64952 BGG64950:BGG64952 AWK64950:AWK64952 AMO64950:AMO64952 ACS64950:ACS64952 SW64950:SW64952 JA64950:JA64952 E64950:E64952 WVJ982454:WVJ982456 WLN982454:WLN982456 WBR982454:WBR982456 VRV982454:VRV982456 VHZ982454:VHZ982456 UYD982454:UYD982456 UOH982454:UOH982456 UEL982454:UEL982456 TUP982454:TUP982456 TKT982454:TKT982456 TAX982454:TAX982456 SRB982454:SRB982456 SHF982454:SHF982456 RXJ982454:RXJ982456 RNN982454:RNN982456 RDR982454:RDR982456 QTV982454:QTV982456 QJZ982454:QJZ982456 QAD982454:QAD982456 PQH982454:PQH982456 PGL982454:PGL982456 OWP982454:OWP982456 OMT982454:OMT982456 OCX982454:OCX982456 NTB982454:NTB982456 NJF982454:NJF982456 MZJ982454:MZJ982456 MPN982454:MPN982456 MFR982454:MFR982456 LVV982454:LVV982456 LLZ982454:LLZ982456 LCD982454:LCD982456 KSH982454:KSH982456 KIL982454:KIL982456 JYP982454:JYP982456 JOT982454:JOT982456 JEX982454:JEX982456 IVB982454:IVB982456 ILF982454:ILF982456 IBJ982454:IBJ982456 HRN982454:HRN982456 HHR982454:HHR982456 GXV982454:GXV982456 GNZ982454:GNZ982456 GED982454:GED982456 FUH982454:FUH982456 FKL982454:FKL982456 FAP982454:FAP982456 EQT982454:EQT982456 EGX982454:EGX982456 DXB982454:DXB982456 DNF982454:DNF982456 DDJ982454:DDJ982456 CTN982454:CTN982456 CJR982454:CJR982456 BZV982454:BZV982456 BPZ982454:BPZ982456 BGD982454:BGD982456 AWH982454:AWH982456 AML982454:AML982456 ACP982454:ACP982456 ST982454:ST982456 IX982454:IX982456 B982454:B982456 WVJ916918:WVJ916920 WLN916918:WLN916920 WBR916918:WBR916920 VRV916918:VRV916920 VHZ916918:VHZ916920 UYD916918:UYD916920 UOH916918:UOH916920 UEL916918:UEL916920 TUP916918:TUP916920 TKT916918:TKT916920 TAX916918:TAX916920 SRB916918:SRB916920 SHF916918:SHF916920 RXJ916918:RXJ916920 RNN916918:RNN916920 RDR916918:RDR916920 QTV916918:QTV916920 QJZ916918:QJZ916920 QAD916918:QAD916920 PQH916918:PQH916920 PGL916918:PGL916920 OWP916918:OWP916920 OMT916918:OMT916920 OCX916918:OCX916920 NTB916918:NTB916920 NJF916918:NJF916920 MZJ916918:MZJ916920 MPN916918:MPN916920 MFR916918:MFR916920 LVV916918:LVV916920 LLZ916918:LLZ916920 LCD916918:LCD916920 KSH916918:KSH916920 KIL916918:KIL916920 JYP916918:JYP916920 JOT916918:JOT916920 JEX916918:JEX916920 IVB916918:IVB916920 ILF916918:ILF916920 IBJ916918:IBJ916920 HRN916918:HRN916920 HHR916918:HHR916920 GXV916918:GXV916920 GNZ916918:GNZ916920 GED916918:GED916920 FUH916918:FUH916920 FKL916918:FKL916920 FAP916918:FAP916920 EQT916918:EQT916920 EGX916918:EGX916920 DXB916918:DXB916920 DNF916918:DNF916920 DDJ916918:DDJ916920 CTN916918:CTN916920 CJR916918:CJR916920 BZV916918:BZV916920 BPZ916918:BPZ916920 BGD916918:BGD916920 AWH916918:AWH916920 AML916918:AML916920 ACP916918:ACP916920 ST916918:ST916920 IX916918:IX916920 B916918:B916920 WVJ851382:WVJ851384 WLN851382:WLN851384 WBR851382:WBR851384 VRV851382:VRV851384 VHZ851382:VHZ851384 UYD851382:UYD851384 UOH851382:UOH851384 UEL851382:UEL851384 TUP851382:TUP851384 TKT851382:TKT851384 TAX851382:TAX851384 SRB851382:SRB851384 SHF851382:SHF851384 RXJ851382:RXJ851384 RNN851382:RNN851384 RDR851382:RDR851384 QTV851382:QTV851384 QJZ851382:QJZ851384 QAD851382:QAD851384 PQH851382:PQH851384 PGL851382:PGL851384 OWP851382:OWP851384 OMT851382:OMT851384 OCX851382:OCX851384 NTB851382:NTB851384 NJF851382:NJF851384 MZJ851382:MZJ851384 MPN851382:MPN851384 MFR851382:MFR851384 LVV851382:LVV851384 LLZ851382:LLZ851384 LCD851382:LCD851384 KSH851382:KSH851384 KIL851382:KIL851384 JYP851382:JYP851384 JOT851382:JOT851384 JEX851382:JEX851384 IVB851382:IVB851384 ILF851382:ILF851384 IBJ851382:IBJ851384 HRN851382:HRN851384 HHR851382:HHR851384 GXV851382:GXV851384 GNZ851382:GNZ851384 GED851382:GED851384 FUH851382:FUH851384 FKL851382:FKL851384 FAP851382:FAP851384 EQT851382:EQT851384 EGX851382:EGX851384 DXB851382:DXB851384 DNF851382:DNF851384 DDJ851382:DDJ851384 CTN851382:CTN851384 CJR851382:CJR851384 BZV851382:BZV851384 BPZ851382:BPZ851384 BGD851382:BGD851384 AWH851382:AWH851384 AML851382:AML851384 ACP851382:ACP851384 ST851382:ST851384 IX851382:IX851384 B851382:B851384 WVJ785846:WVJ785848 WLN785846:WLN785848 WBR785846:WBR785848 VRV785846:VRV785848 VHZ785846:VHZ785848 UYD785846:UYD785848 UOH785846:UOH785848 UEL785846:UEL785848 TUP785846:TUP785848 TKT785846:TKT785848 TAX785846:TAX785848 SRB785846:SRB785848 SHF785846:SHF785848 RXJ785846:RXJ785848 RNN785846:RNN785848 RDR785846:RDR785848 QTV785846:QTV785848 QJZ785846:QJZ785848 QAD785846:QAD785848 PQH785846:PQH785848 PGL785846:PGL785848 OWP785846:OWP785848 OMT785846:OMT785848 OCX785846:OCX785848 NTB785846:NTB785848 NJF785846:NJF785848 MZJ785846:MZJ785848 MPN785846:MPN785848 MFR785846:MFR785848 LVV785846:LVV785848 LLZ785846:LLZ785848 LCD785846:LCD785848 KSH785846:KSH785848 KIL785846:KIL785848 JYP785846:JYP785848 JOT785846:JOT785848 JEX785846:JEX785848 IVB785846:IVB785848 ILF785846:ILF785848 IBJ785846:IBJ785848 HRN785846:HRN785848 HHR785846:HHR785848 GXV785846:GXV785848 GNZ785846:GNZ785848 GED785846:GED785848 FUH785846:FUH785848 FKL785846:FKL785848 FAP785846:FAP785848 EQT785846:EQT785848 EGX785846:EGX785848 DXB785846:DXB785848 DNF785846:DNF785848 DDJ785846:DDJ785848 CTN785846:CTN785848 CJR785846:CJR785848 BZV785846:BZV785848 BPZ785846:BPZ785848 BGD785846:BGD785848 AWH785846:AWH785848 AML785846:AML785848 ACP785846:ACP785848 ST785846:ST785848 IX785846:IX785848 B785846:B785848 WVJ720310:WVJ720312 WLN720310:WLN720312 WBR720310:WBR720312 VRV720310:VRV720312 VHZ720310:VHZ720312 UYD720310:UYD720312 UOH720310:UOH720312 UEL720310:UEL720312 TUP720310:TUP720312 TKT720310:TKT720312 TAX720310:TAX720312 SRB720310:SRB720312 SHF720310:SHF720312 RXJ720310:RXJ720312 RNN720310:RNN720312 RDR720310:RDR720312 QTV720310:QTV720312 QJZ720310:QJZ720312 QAD720310:QAD720312 PQH720310:PQH720312 PGL720310:PGL720312 OWP720310:OWP720312 OMT720310:OMT720312 OCX720310:OCX720312 NTB720310:NTB720312 NJF720310:NJF720312 MZJ720310:MZJ720312 MPN720310:MPN720312 MFR720310:MFR720312 LVV720310:LVV720312 LLZ720310:LLZ720312 LCD720310:LCD720312 KSH720310:KSH720312 KIL720310:KIL720312 JYP720310:JYP720312 JOT720310:JOT720312 JEX720310:JEX720312 IVB720310:IVB720312 ILF720310:ILF720312 IBJ720310:IBJ720312 HRN720310:HRN720312 HHR720310:HHR720312 GXV720310:GXV720312 GNZ720310:GNZ720312 GED720310:GED720312 FUH720310:FUH720312 FKL720310:FKL720312 FAP720310:FAP720312 EQT720310:EQT720312 EGX720310:EGX720312 DXB720310:DXB720312 DNF720310:DNF720312 DDJ720310:DDJ720312 CTN720310:CTN720312 CJR720310:CJR720312 BZV720310:BZV720312 BPZ720310:BPZ720312 BGD720310:BGD720312 AWH720310:AWH720312 AML720310:AML720312 ACP720310:ACP720312 ST720310:ST720312 IX720310:IX720312 B720310:B720312 WVJ654774:WVJ654776 WLN654774:WLN654776 WBR654774:WBR654776 VRV654774:VRV654776 VHZ654774:VHZ654776 UYD654774:UYD654776 UOH654774:UOH654776 UEL654774:UEL654776 TUP654774:TUP654776 TKT654774:TKT654776 TAX654774:TAX654776 SRB654774:SRB654776 SHF654774:SHF654776 RXJ654774:RXJ654776 RNN654774:RNN654776 RDR654774:RDR654776 QTV654774:QTV654776 QJZ654774:QJZ654776 QAD654774:QAD654776 PQH654774:PQH654776 PGL654774:PGL654776 OWP654774:OWP654776 OMT654774:OMT654776 OCX654774:OCX654776 NTB654774:NTB654776 NJF654774:NJF654776 MZJ654774:MZJ654776 MPN654774:MPN654776 MFR654774:MFR654776 LVV654774:LVV654776 LLZ654774:LLZ654776 LCD654774:LCD654776 KSH654774:KSH654776 KIL654774:KIL654776 JYP654774:JYP654776 JOT654774:JOT654776 JEX654774:JEX654776 IVB654774:IVB654776 ILF654774:ILF654776 IBJ654774:IBJ654776 HRN654774:HRN654776 HHR654774:HHR654776 GXV654774:GXV654776 GNZ654774:GNZ654776 GED654774:GED654776 FUH654774:FUH654776 FKL654774:FKL654776 FAP654774:FAP654776 EQT654774:EQT654776 EGX654774:EGX654776 DXB654774:DXB654776 DNF654774:DNF654776 DDJ654774:DDJ654776 CTN654774:CTN654776 CJR654774:CJR654776 BZV654774:BZV654776 BPZ654774:BPZ654776 BGD654774:BGD654776 AWH654774:AWH654776 AML654774:AML654776 ACP654774:ACP654776 ST654774:ST654776 IX654774:IX654776 B654774:B654776 WVJ589238:WVJ589240 WLN589238:WLN589240 WBR589238:WBR589240 VRV589238:VRV589240 VHZ589238:VHZ589240 UYD589238:UYD589240 UOH589238:UOH589240 UEL589238:UEL589240 TUP589238:TUP589240 TKT589238:TKT589240 TAX589238:TAX589240 SRB589238:SRB589240 SHF589238:SHF589240 RXJ589238:RXJ589240 RNN589238:RNN589240 RDR589238:RDR589240 QTV589238:QTV589240 QJZ589238:QJZ589240 QAD589238:QAD589240 PQH589238:PQH589240 PGL589238:PGL589240 OWP589238:OWP589240 OMT589238:OMT589240 OCX589238:OCX589240 NTB589238:NTB589240 NJF589238:NJF589240 MZJ589238:MZJ589240 MPN589238:MPN589240 MFR589238:MFR589240 LVV589238:LVV589240 LLZ589238:LLZ589240 LCD589238:LCD589240 KSH589238:KSH589240 KIL589238:KIL589240 JYP589238:JYP589240 JOT589238:JOT589240 JEX589238:JEX589240 IVB589238:IVB589240 ILF589238:ILF589240 IBJ589238:IBJ589240 HRN589238:HRN589240 HHR589238:HHR589240 GXV589238:GXV589240 GNZ589238:GNZ589240 GED589238:GED589240 FUH589238:FUH589240 FKL589238:FKL589240 FAP589238:FAP589240 EQT589238:EQT589240 EGX589238:EGX589240 DXB589238:DXB589240 DNF589238:DNF589240 DDJ589238:DDJ589240 CTN589238:CTN589240 CJR589238:CJR589240 BZV589238:BZV589240 BPZ589238:BPZ589240 BGD589238:BGD589240 AWH589238:AWH589240 AML589238:AML589240 ACP589238:ACP589240 ST589238:ST589240 IX589238:IX589240 B589238:B589240 WVJ523702:WVJ523704 WLN523702:WLN523704 WBR523702:WBR523704 VRV523702:VRV523704 VHZ523702:VHZ523704 UYD523702:UYD523704 UOH523702:UOH523704 UEL523702:UEL523704 TUP523702:TUP523704 TKT523702:TKT523704 TAX523702:TAX523704 SRB523702:SRB523704 SHF523702:SHF523704 RXJ523702:RXJ523704 RNN523702:RNN523704 RDR523702:RDR523704 QTV523702:QTV523704 QJZ523702:QJZ523704 QAD523702:QAD523704 PQH523702:PQH523704 PGL523702:PGL523704 OWP523702:OWP523704 OMT523702:OMT523704 OCX523702:OCX523704 NTB523702:NTB523704 NJF523702:NJF523704 MZJ523702:MZJ523704 MPN523702:MPN523704 MFR523702:MFR523704 LVV523702:LVV523704 LLZ523702:LLZ523704 LCD523702:LCD523704 KSH523702:KSH523704 KIL523702:KIL523704 JYP523702:JYP523704 JOT523702:JOT523704 JEX523702:JEX523704 IVB523702:IVB523704 ILF523702:ILF523704 IBJ523702:IBJ523704 HRN523702:HRN523704 HHR523702:HHR523704 GXV523702:GXV523704 GNZ523702:GNZ523704 GED523702:GED523704 FUH523702:FUH523704 FKL523702:FKL523704 FAP523702:FAP523704 EQT523702:EQT523704 EGX523702:EGX523704 DXB523702:DXB523704 DNF523702:DNF523704 DDJ523702:DDJ523704 CTN523702:CTN523704 CJR523702:CJR523704 BZV523702:BZV523704 BPZ523702:BPZ523704 BGD523702:BGD523704 AWH523702:AWH523704 AML523702:AML523704 ACP523702:ACP523704 ST523702:ST523704 IX523702:IX523704 B523702:B523704 WVJ458166:WVJ458168 WLN458166:WLN458168 WBR458166:WBR458168 VRV458166:VRV458168 VHZ458166:VHZ458168 UYD458166:UYD458168 UOH458166:UOH458168 UEL458166:UEL458168 TUP458166:TUP458168 TKT458166:TKT458168 TAX458166:TAX458168 SRB458166:SRB458168 SHF458166:SHF458168 RXJ458166:RXJ458168 RNN458166:RNN458168 RDR458166:RDR458168 QTV458166:QTV458168 QJZ458166:QJZ458168 QAD458166:QAD458168 PQH458166:PQH458168 PGL458166:PGL458168 OWP458166:OWP458168 OMT458166:OMT458168 OCX458166:OCX458168 NTB458166:NTB458168 NJF458166:NJF458168 MZJ458166:MZJ458168 MPN458166:MPN458168 MFR458166:MFR458168 LVV458166:LVV458168 LLZ458166:LLZ458168 LCD458166:LCD458168 KSH458166:KSH458168 KIL458166:KIL458168 JYP458166:JYP458168 JOT458166:JOT458168 JEX458166:JEX458168 IVB458166:IVB458168 ILF458166:ILF458168 IBJ458166:IBJ458168 HRN458166:HRN458168 HHR458166:HHR458168 GXV458166:GXV458168 GNZ458166:GNZ458168 GED458166:GED458168 FUH458166:FUH458168 FKL458166:FKL458168 FAP458166:FAP458168 EQT458166:EQT458168 EGX458166:EGX458168 DXB458166:DXB458168 DNF458166:DNF458168 DDJ458166:DDJ458168 CTN458166:CTN458168 CJR458166:CJR458168 BZV458166:BZV458168 BPZ458166:BPZ458168 BGD458166:BGD458168 AWH458166:AWH458168 AML458166:AML458168 ACP458166:ACP458168 ST458166:ST458168 IX458166:IX458168 B458166:B458168 WVJ392630:WVJ392632 WLN392630:WLN392632 WBR392630:WBR392632 VRV392630:VRV392632 VHZ392630:VHZ392632 UYD392630:UYD392632 UOH392630:UOH392632 UEL392630:UEL392632 TUP392630:TUP392632 TKT392630:TKT392632 TAX392630:TAX392632 SRB392630:SRB392632 SHF392630:SHF392632 RXJ392630:RXJ392632 RNN392630:RNN392632 RDR392630:RDR392632 QTV392630:QTV392632 QJZ392630:QJZ392632 QAD392630:QAD392632 PQH392630:PQH392632 PGL392630:PGL392632 OWP392630:OWP392632 OMT392630:OMT392632 OCX392630:OCX392632 NTB392630:NTB392632 NJF392630:NJF392632 MZJ392630:MZJ392632 MPN392630:MPN392632 MFR392630:MFR392632 LVV392630:LVV392632 LLZ392630:LLZ392632 LCD392630:LCD392632 KSH392630:KSH392632 KIL392630:KIL392632 JYP392630:JYP392632 JOT392630:JOT392632 JEX392630:JEX392632 IVB392630:IVB392632 ILF392630:ILF392632 IBJ392630:IBJ392632 HRN392630:HRN392632 HHR392630:HHR392632 GXV392630:GXV392632 GNZ392630:GNZ392632 GED392630:GED392632 FUH392630:FUH392632 FKL392630:FKL392632 FAP392630:FAP392632 EQT392630:EQT392632 EGX392630:EGX392632 DXB392630:DXB392632 DNF392630:DNF392632 DDJ392630:DDJ392632 CTN392630:CTN392632 CJR392630:CJR392632 BZV392630:BZV392632 BPZ392630:BPZ392632 BGD392630:BGD392632 AWH392630:AWH392632 AML392630:AML392632 ACP392630:ACP392632 ST392630:ST392632 IX392630:IX392632 B392630:B392632 WVJ327094:WVJ327096 WLN327094:WLN327096 WBR327094:WBR327096 VRV327094:VRV327096 VHZ327094:VHZ327096 UYD327094:UYD327096 UOH327094:UOH327096 UEL327094:UEL327096 TUP327094:TUP327096 TKT327094:TKT327096 TAX327094:TAX327096 SRB327094:SRB327096 SHF327094:SHF327096 RXJ327094:RXJ327096 RNN327094:RNN327096 RDR327094:RDR327096 QTV327094:QTV327096 QJZ327094:QJZ327096 QAD327094:QAD327096 PQH327094:PQH327096 PGL327094:PGL327096 OWP327094:OWP327096 OMT327094:OMT327096 OCX327094:OCX327096 NTB327094:NTB327096 NJF327094:NJF327096 MZJ327094:MZJ327096 MPN327094:MPN327096 MFR327094:MFR327096 LVV327094:LVV327096 LLZ327094:LLZ327096 LCD327094:LCD327096 KSH327094:KSH327096 KIL327094:KIL327096 JYP327094:JYP327096 JOT327094:JOT327096 JEX327094:JEX327096 IVB327094:IVB327096 ILF327094:ILF327096 IBJ327094:IBJ327096 HRN327094:HRN327096 HHR327094:HHR327096 GXV327094:GXV327096 GNZ327094:GNZ327096 GED327094:GED327096 FUH327094:FUH327096 FKL327094:FKL327096 FAP327094:FAP327096 EQT327094:EQT327096 EGX327094:EGX327096 DXB327094:DXB327096 DNF327094:DNF327096 DDJ327094:DDJ327096 CTN327094:CTN327096 CJR327094:CJR327096 BZV327094:BZV327096 BPZ327094:BPZ327096 BGD327094:BGD327096 AWH327094:AWH327096 AML327094:AML327096 ACP327094:ACP327096 ST327094:ST327096 IX327094:IX327096 B327094:B327096 WVJ261558:WVJ261560 WLN261558:WLN261560 WBR261558:WBR261560 VRV261558:VRV261560 VHZ261558:VHZ261560 UYD261558:UYD261560 UOH261558:UOH261560 UEL261558:UEL261560 TUP261558:TUP261560 TKT261558:TKT261560 TAX261558:TAX261560 SRB261558:SRB261560 SHF261558:SHF261560 RXJ261558:RXJ261560 RNN261558:RNN261560 RDR261558:RDR261560 QTV261558:QTV261560 QJZ261558:QJZ261560 QAD261558:QAD261560 PQH261558:PQH261560 PGL261558:PGL261560 OWP261558:OWP261560 OMT261558:OMT261560 OCX261558:OCX261560 NTB261558:NTB261560 NJF261558:NJF261560 MZJ261558:MZJ261560 MPN261558:MPN261560 MFR261558:MFR261560 LVV261558:LVV261560 LLZ261558:LLZ261560 LCD261558:LCD261560 KSH261558:KSH261560 KIL261558:KIL261560 JYP261558:JYP261560 JOT261558:JOT261560 JEX261558:JEX261560 IVB261558:IVB261560 ILF261558:ILF261560 IBJ261558:IBJ261560 HRN261558:HRN261560 HHR261558:HHR261560 GXV261558:GXV261560 GNZ261558:GNZ261560 GED261558:GED261560 FUH261558:FUH261560 FKL261558:FKL261560 FAP261558:FAP261560 EQT261558:EQT261560 EGX261558:EGX261560 DXB261558:DXB261560 DNF261558:DNF261560 DDJ261558:DDJ261560 CTN261558:CTN261560 CJR261558:CJR261560 BZV261558:BZV261560 BPZ261558:BPZ261560 BGD261558:BGD261560 AWH261558:AWH261560 AML261558:AML261560 ACP261558:ACP261560 ST261558:ST261560 IX261558:IX261560 B261558:B261560 WVJ196022:WVJ196024 WLN196022:WLN196024 WBR196022:WBR196024 VRV196022:VRV196024 VHZ196022:VHZ196024 UYD196022:UYD196024 UOH196022:UOH196024 UEL196022:UEL196024 TUP196022:TUP196024 TKT196022:TKT196024 TAX196022:TAX196024 SRB196022:SRB196024 SHF196022:SHF196024 RXJ196022:RXJ196024 RNN196022:RNN196024 RDR196022:RDR196024 QTV196022:QTV196024 QJZ196022:QJZ196024 QAD196022:QAD196024 PQH196022:PQH196024 PGL196022:PGL196024 OWP196022:OWP196024 OMT196022:OMT196024 OCX196022:OCX196024 NTB196022:NTB196024 NJF196022:NJF196024 MZJ196022:MZJ196024 MPN196022:MPN196024 MFR196022:MFR196024 LVV196022:LVV196024 LLZ196022:LLZ196024 LCD196022:LCD196024 KSH196022:KSH196024 KIL196022:KIL196024 JYP196022:JYP196024 JOT196022:JOT196024 JEX196022:JEX196024 IVB196022:IVB196024 ILF196022:ILF196024 IBJ196022:IBJ196024 HRN196022:HRN196024 HHR196022:HHR196024 GXV196022:GXV196024 GNZ196022:GNZ196024 GED196022:GED196024 FUH196022:FUH196024 FKL196022:FKL196024 FAP196022:FAP196024 EQT196022:EQT196024 EGX196022:EGX196024 DXB196022:DXB196024 DNF196022:DNF196024 DDJ196022:DDJ196024 CTN196022:CTN196024 CJR196022:CJR196024 BZV196022:BZV196024 BPZ196022:BPZ196024 BGD196022:BGD196024 AWH196022:AWH196024 AML196022:AML196024 ACP196022:ACP196024 ST196022:ST196024 IX196022:IX196024 B196022:B196024 WVJ130486:WVJ130488 WLN130486:WLN130488 WBR130486:WBR130488 VRV130486:VRV130488 VHZ130486:VHZ130488 UYD130486:UYD130488 UOH130486:UOH130488 UEL130486:UEL130488 TUP130486:TUP130488 TKT130486:TKT130488 TAX130486:TAX130488 SRB130486:SRB130488 SHF130486:SHF130488 RXJ130486:RXJ130488 RNN130486:RNN130488 RDR130486:RDR130488 QTV130486:QTV130488 QJZ130486:QJZ130488 QAD130486:QAD130488 PQH130486:PQH130488 PGL130486:PGL130488 OWP130486:OWP130488 OMT130486:OMT130488 OCX130486:OCX130488 NTB130486:NTB130488 NJF130486:NJF130488 MZJ130486:MZJ130488 MPN130486:MPN130488 MFR130486:MFR130488 LVV130486:LVV130488 LLZ130486:LLZ130488 LCD130486:LCD130488 KSH130486:KSH130488 KIL130486:KIL130488 JYP130486:JYP130488 JOT130486:JOT130488 JEX130486:JEX130488 IVB130486:IVB130488 ILF130486:ILF130488 IBJ130486:IBJ130488 HRN130486:HRN130488 HHR130486:HHR130488 GXV130486:GXV130488 GNZ130486:GNZ130488 GED130486:GED130488 FUH130486:FUH130488 FKL130486:FKL130488 FAP130486:FAP130488 EQT130486:EQT130488 EGX130486:EGX130488 DXB130486:DXB130488 DNF130486:DNF130488 DDJ130486:DDJ130488 CTN130486:CTN130488 CJR130486:CJR130488 BZV130486:BZV130488 BPZ130486:BPZ130488 BGD130486:BGD130488 AWH130486:AWH130488 AML130486:AML130488 ACP130486:ACP130488 ST130486:ST130488 IX130486:IX130488 B130486:B130488 WVJ64950:WVJ64952 WLN64950:WLN64952 WBR64950:WBR64952 VRV64950:VRV64952 VHZ64950:VHZ64952 UYD64950:UYD64952 UOH64950:UOH64952 UEL64950:UEL64952 TUP64950:TUP64952 TKT64950:TKT64952 TAX64950:TAX64952 SRB64950:SRB64952 SHF64950:SHF64952 RXJ64950:RXJ64952 RNN64950:RNN64952 RDR64950:RDR64952 QTV64950:QTV64952 QJZ64950:QJZ64952 QAD64950:QAD64952 PQH64950:PQH64952 PGL64950:PGL64952 OWP64950:OWP64952 OMT64950:OMT64952 OCX64950:OCX64952 NTB64950:NTB64952 NJF64950:NJF64952 MZJ64950:MZJ64952 MPN64950:MPN64952 MFR64950:MFR64952 LVV64950:LVV64952 LLZ64950:LLZ64952 LCD64950:LCD64952 KSH64950:KSH64952 KIL64950:KIL64952 JYP64950:JYP64952 JOT64950:JOT64952 JEX64950:JEX64952 IVB64950:IVB64952 ILF64950:ILF64952 IBJ64950:IBJ64952 HRN64950:HRN64952 HHR64950:HHR64952 GXV64950:GXV64952 GNZ64950:GNZ64952 GED64950:GED64952 FUH64950:FUH64952 FKL64950:FKL64952 FAP64950:FAP64952 EQT64950:EQT64952 EGX64950:EGX64952 DXB64950:DXB64952 DNF64950:DNF64952 DDJ64950:DDJ64952 CTN64950:CTN64952 CJR64950:CJR64952 BZV64950:BZV64952 BPZ64950:BPZ64952 BGD64950:BGD64952 AWH64950:AWH64952 AML64950:AML64952 ACP64950:ACP64952 ST64950:ST64952 IX64950:IX64952 B64950:B64952 WVK982400:WVN982407 WLO982400:WLR982407 WBS982400:WBV982407 VRW982400:VRZ982407 VIA982400:VID982407 UYE982400:UYH982407 UOI982400:UOL982407 UEM982400:UEP982407 TUQ982400:TUT982407 TKU982400:TKX982407 TAY982400:TBB982407 SRC982400:SRF982407 SHG982400:SHJ982407 RXK982400:RXN982407 RNO982400:RNR982407 RDS982400:RDV982407 QTW982400:QTZ982407 QKA982400:QKD982407 QAE982400:QAH982407 PQI982400:PQL982407 PGM982400:PGP982407 OWQ982400:OWT982407 OMU982400:OMX982407 OCY982400:ODB982407 NTC982400:NTF982407 NJG982400:NJJ982407 MZK982400:MZN982407 MPO982400:MPR982407 MFS982400:MFV982407 LVW982400:LVZ982407 LMA982400:LMD982407 LCE982400:LCH982407 KSI982400:KSL982407 KIM982400:KIP982407 JYQ982400:JYT982407 JOU982400:JOX982407 JEY982400:JFB982407 IVC982400:IVF982407 ILG982400:ILJ982407 IBK982400:IBN982407 HRO982400:HRR982407 HHS982400:HHV982407 GXW982400:GXZ982407 GOA982400:GOD982407 GEE982400:GEH982407 FUI982400:FUL982407 FKM982400:FKP982407 FAQ982400:FAT982407 EQU982400:EQX982407 EGY982400:EHB982407 DXC982400:DXF982407 DNG982400:DNJ982407 DDK982400:DDN982407 CTO982400:CTR982407 CJS982400:CJV982407 BZW982400:BZZ982407 BQA982400:BQD982407 BGE982400:BGH982407 AWI982400:AWL982407 AMM982400:AMP982407 ACQ982400:ACT982407 SU982400:SX982407 IY982400:JB982407 C982400:F982407 WVK916864:WVN916871 WLO916864:WLR916871 WBS916864:WBV916871 VRW916864:VRZ916871 VIA916864:VID916871 UYE916864:UYH916871 UOI916864:UOL916871 UEM916864:UEP916871 TUQ916864:TUT916871 TKU916864:TKX916871 TAY916864:TBB916871 SRC916864:SRF916871 SHG916864:SHJ916871 RXK916864:RXN916871 RNO916864:RNR916871 RDS916864:RDV916871 QTW916864:QTZ916871 QKA916864:QKD916871 QAE916864:QAH916871 PQI916864:PQL916871 PGM916864:PGP916871 OWQ916864:OWT916871 OMU916864:OMX916871 OCY916864:ODB916871 NTC916864:NTF916871 NJG916864:NJJ916871 MZK916864:MZN916871 MPO916864:MPR916871 MFS916864:MFV916871 LVW916864:LVZ916871 LMA916864:LMD916871 LCE916864:LCH916871 KSI916864:KSL916871 KIM916864:KIP916871 JYQ916864:JYT916871 JOU916864:JOX916871 JEY916864:JFB916871 IVC916864:IVF916871 ILG916864:ILJ916871 IBK916864:IBN916871 HRO916864:HRR916871 HHS916864:HHV916871 GXW916864:GXZ916871 GOA916864:GOD916871 GEE916864:GEH916871 FUI916864:FUL916871 FKM916864:FKP916871 FAQ916864:FAT916871 EQU916864:EQX916871 EGY916864:EHB916871 DXC916864:DXF916871 DNG916864:DNJ916871 DDK916864:DDN916871 CTO916864:CTR916871 CJS916864:CJV916871 BZW916864:BZZ916871 BQA916864:BQD916871 BGE916864:BGH916871 AWI916864:AWL916871 AMM916864:AMP916871 ACQ916864:ACT916871 SU916864:SX916871 IY916864:JB916871 C916864:F916871 WVK851328:WVN851335 WLO851328:WLR851335 WBS851328:WBV851335 VRW851328:VRZ851335 VIA851328:VID851335 UYE851328:UYH851335 UOI851328:UOL851335 UEM851328:UEP851335 TUQ851328:TUT851335 TKU851328:TKX851335 TAY851328:TBB851335 SRC851328:SRF851335 SHG851328:SHJ851335 RXK851328:RXN851335 RNO851328:RNR851335 RDS851328:RDV851335 QTW851328:QTZ851335 QKA851328:QKD851335 QAE851328:QAH851335 PQI851328:PQL851335 PGM851328:PGP851335 OWQ851328:OWT851335 OMU851328:OMX851335 OCY851328:ODB851335 NTC851328:NTF851335 NJG851328:NJJ851335 MZK851328:MZN851335 MPO851328:MPR851335 MFS851328:MFV851335 LVW851328:LVZ851335 LMA851328:LMD851335 LCE851328:LCH851335 KSI851328:KSL851335 KIM851328:KIP851335 JYQ851328:JYT851335 JOU851328:JOX851335 JEY851328:JFB851335 IVC851328:IVF851335 ILG851328:ILJ851335 IBK851328:IBN851335 HRO851328:HRR851335 HHS851328:HHV851335 GXW851328:GXZ851335 GOA851328:GOD851335 GEE851328:GEH851335 FUI851328:FUL851335 FKM851328:FKP851335 FAQ851328:FAT851335 EQU851328:EQX851335 EGY851328:EHB851335 DXC851328:DXF851335 DNG851328:DNJ851335 DDK851328:DDN851335 CTO851328:CTR851335 CJS851328:CJV851335 BZW851328:BZZ851335 BQA851328:BQD851335 BGE851328:BGH851335 AWI851328:AWL851335 AMM851328:AMP851335 ACQ851328:ACT851335 SU851328:SX851335 IY851328:JB851335 C851328:F851335 WVK785792:WVN785799 WLO785792:WLR785799 WBS785792:WBV785799 VRW785792:VRZ785799 VIA785792:VID785799 UYE785792:UYH785799 UOI785792:UOL785799 UEM785792:UEP785799 TUQ785792:TUT785799 TKU785792:TKX785799 TAY785792:TBB785799 SRC785792:SRF785799 SHG785792:SHJ785799 RXK785792:RXN785799 RNO785792:RNR785799 RDS785792:RDV785799 QTW785792:QTZ785799 QKA785792:QKD785799 QAE785792:QAH785799 PQI785792:PQL785799 PGM785792:PGP785799 OWQ785792:OWT785799 OMU785792:OMX785799 OCY785792:ODB785799 NTC785792:NTF785799 NJG785792:NJJ785799 MZK785792:MZN785799 MPO785792:MPR785799 MFS785792:MFV785799 LVW785792:LVZ785799 LMA785792:LMD785799 LCE785792:LCH785799 KSI785792:KSL785799 KIM785792:KIP785799 JYQ785792:JYT785799 JOU785792:JOX785799 JEY785792:JFB785799 IVC785792:IVF785799 ILG785792:ILJ785799 IBK785792:IBN785799 HRO785792:HRR785799 HHS785792:HHV785799 GXW785792:GXZ785799 GOA785792:GOD785799 GEE785792:GEH785799 FUI785792:FUL785799 FKM785792:FKP785799 FAQ785792:FAT785799 EQU785792:EQX785799 EGY785792:EHB785799 DXC785792:DXF785799 DNG785792:DNJ785799 DDK785792:DDN785799 CTO785792:CTR785799 CJS785792:CJV785799 BZW785792:BZZ785799 BQA785792:BQD785799 BGE785792:BGH785799 AWI785792:AWL785799 AMM785792:AMP785799 ACQ785792:ACT785799 SU785792:SX785799 IY785792:JB785799 C785792:F785799 WVK720256:WVN720263 WLO720256:WLR720263 WBS720256:WBV720263 VRW720256:VRZ720263 VIA720256:VID720263 UYE720256:UYH720263 UOI720256:UOL720263 UEM720256:UEP720263 TUQ720256:TUT720263 TKU720256:TKX720263 TAY720256:TBB720263 SRC720256:SRF720263 SHG720256:SHJ720263 RXK720256:RXN720263 RNO720256:RNR720263 RDS720256:RDV720263 QTW720256:QTZ720263 QKA720256:QKD720263 QAE720256:QAH720263 PQI720256:PQL720263 PGM720256:PGP720263 OWQ720256:OWT720263 OMU720256:OMX720263 OCY720256:ODB720263 NTC720256:NTF720263 NJG720256:NJJ720263 MZK720256:MZN720263 MPO720256:MPR720263 MFS720256:MFV720263 LVW720256:LVZ720263 LMA720256:LMD720263 LCE720256:LCH720263 KSI720256:KSL720263 KIM720256:KIP720263 JYQ720256:JYT720263 JOU720256:JOX720263 JEY720256:JFB720263 IVC720256:IVF720263 ILG720256:ILJ720263 IBK720256:IBN720263 HRO720256:HRR720263 HHS720256:HHV720263 GXW720256:GXZ720263 GOA720256:GOD720263 GEE720256:GEH720263 FUI720256:FUL720263 FKM720256:FKP720263 FAQ720256:FAT720263 EQU720256:EQX720263 EGY720256:EHB720263 DXC720256:DXF720263 DNG720256:DNJ720263 DDK720256:DDN720263 CTO720256:CTR720263 CJS720256:CJV720263 BZW720256:BZZ720263 BQA720256:BQD720263 BGE720256:BGH720263 AWI720256:AWL720263 AMM720256:AMP720263 ACQ720256:ACT720263 SU720256:SX720263 IY720256:JB720263 C720256:F720263 WVK654720:WVN654727 WLO654720:WLR654727 WBS654720:WBV654727 VRW654720:VRZ654727 VIA654720:VID654727 UYE654720:UYH654727 UOI654720:UOL654727 UEM654720:UEP654727 TUQ654720:TUT654727 TKU654720:TKX654727 TAY654720:TBB654727 SRC654720:SRF654727 SHG654720:SHJ654727 RXK654720:RXN654727 RNO654720:RNR654727 RDS654720:RDV654727 QTW654720:QTZ654727 QKA654720:QKD654727 QAE654720:QAH654727 PQI654720:PQL654727 PGM654720:PGP654727 OWQ654720:OWT654727 OMU654720:OMX654727 OCY654720:ODB654727 NTC654720:NTF654727 NJG654720:NJJ654727 MZK654720:MZN654727 MPO654720:MPR654727 MFS654720:MFV654727 LVW654720:LVZ654727 LMA654720:LMD654727 LCE654720:LCH654727 KSI654720:KSL654727 KIM654720:KIP654727 JYQ654720:JYT654727 JOU654720:JOX654727 JEY654720:JFB654727 IVC654720:IVF654727 ILG654720:ILJ654727 IBK654720:IBN654727 HRO654720:HRR654727 HHS654720:HHV654727 GXW654720:GXZ654727 GOA654720:GOD654727 GEE654720:GEH654727 FUI654720:FUL654727 FKM654720:FKP654727 FAQ654720:FAT654727 EQU654720:EQX654727 EGY654720:EHB654727 DXC654720:DXF654727 DNG654720:DNJ654727 DDK654720:DDN654727 CTO654720:CTR654727 CJS654720:CJV654727 BZW654720:BZZ654727 BQA654720:BQD654727 BGE654720:BGH654727 AWI654720:AWL654727 AMM654720:AMP654727 ACQ654720:ACT654727 SU654720:SX654727 IY654720:JB654727 C654720:F654727 WVK589184:WVN589191 WLO589184:WLR589191 WBS589184:WBV589191 VRW589184:VRZ589191 VIA589184:VID589191 UYE589184:UYH589191 UOI589184:UOL589191 UEM589184:UEP589191 TUQ589184:TUT589191 TKU589184:TKX589191 TAY589184:TBB589191 SRC589184:SRF589191 SHG589184:SHJ589191 RXK589184:RXN589191 RNO589184:RNR589191 RDS589184:RDV589191 QTW589184:QTZ589191 QKA589184:QKD589191 QAE589184:QAH589191 PQI589184:PQL589191 PGM589184:PGP589191 OWQ589184:OWT589191 OMU589184:OMX589191 OCY589184:ODB589191 NTC589184:NTF589191 NJG589184:NJJ589191 MZK589184:MZN589191 MPO589184:MPR589191 MFS589184:MFV589191 LVW589184:LVZ589191 LMA589184:LMD589191 LCE589184:LCH589191 KSI589184:KSL589191 KIM589184:KIP589191 JYQ589184:JYT589191 JOU589184:JOX589191 JEY589184:JFB589191 IVC589184:IVF589191 ILG589184:ILJ589191 IBK589184:IBN589191 HRO589184:HRR589191 HHS589184:HHV589191 GXW589184:GXZ589191 GOA589184:GOD589191 GEE589184:GEH589191 FUI589184:FUL589191 FKM589184:FKP589191 FAQ589184:FAT589191 EQU589184:EQX589191 EGY589184:EHB589191 DXC589184:DXF589191 DNG589184:DNJ589191 DDK589184:DDN589191 CTO589184:CTR589191 CJS589184:CJV589191 BZW589184:BZZ589191 BQA589184:BQD589191 BGE589184:BGH589191 AWI589184:AWL589191 AMM589184:AMP589191 ACQ589184:ACT589191 SU589184:SX589191 IY589184:JB589191 C589184:F589191 WVK523648:WVN523655 WLO523648:WLR523655 WBS523648:WBV523655 VRW523648:VRZ523655 VIA523648:VID523655 UYE523648:UYH523655 UOI523648:UOL523655 UEM523648:UEP523655 TUQ523648:TUT523655 TKU523648:TKX523655 TAY523648:TBB523655 SRC523648:SRF523655 SHG523648:SHJ523655 RXK523648:RXN523655 RNO523648:RNR523655 RDS523648:RDV523655 QTW523648:QTZ523655 QKA523648:QKD523655 QAE523648:QAH523655 PQI523648:PQL523655 PGM523648:PGP523655 OWQ523648:OWT523655 OMU523648:OMX523655 OCY523648:ODB523655 NTC523648:NTF523655 NJG523648:NJJ523655 MZK523648:MZN523655 MPO523648:MPR523655 MFS523648:MFV523655 LVW523648:LVZ523655 LMA523648:LMD523655 LCE523648:LCH523655 KSI523648:KSL523655 KIM523648:KIP523655 JYQ523648:JYT523655 JOU523648:JOX523655 JEY523648:JFB523655 IVC523648:IVF523655 ILG523648:ILJ523655 IBK523648:IBN523655 HRO523648:HRR523655 HHS523648:HHV523655 GXW523648:GXZ523655 GOA523648:GOD523655 GEE523648:GEH523655 FUI523648:FUL523655 FKM523648:FKP523655 FAQ523648:FAT523655 EQU523648:EQX523655 EGY523648:EHB523655 DXC523648:DXF523655 DNG523648:DNJ523655 DDK523648:DDN523655 CTO523648:CTR523655 CJS523648:CJV523655 BZW523648:BZZ523655 BQA523648:BQD523655 BGE523648:BGH523655 AWI523648:AWL523655 AMM523648:AMP523655 ACQ523648:ACT523655 SU523648:SX523655 IY523648:JB523655 C523648:F523655 WVK458112:WVN458119 WLO458112:WLR458119 WBS458112:WBV458119 VRW458112:VRZ458119 VIA458112:VID458119 UYE458112:UYH458119 UOI458112:UOL458119 UEM458112:UEP458119 TUQ458112:TUT458119 TKU458112:TKX458119 TAY458112:TBB458119 SRC458112:SRF458119 SHG458112:SHJ458119 RXK458112:RXN458119 RNO458112:RNR458119 RDS458112:RDV458119 QTW458112:QTZ458119 QKA458112:QKD458119 QAE458112:QAH458119 PQI458112:PQL458119 PGM458112:PGP458119 OWQ458112:OWT458119 OMU458112:OMX458119 OCY458112:ODB458119 NTC458112:NTF458119 NJG458112:NJJ458119 MZK458112:MZN458119 MPO458112:MPR458119 MFS458112:MFV458119 LVW458112:LVZ458119 LMA458112:LMD458119 LCE458112:LCH458119 KSI458112:KSL458119 KIM458112:KIP458119 JYQ458112:JYT458119 JOU458112:JOX458119 JEY458112:JFB458119 IVC458112:IVF458119 ILG458112:ILJ458119 IBK458112:IBN458119 HRO458112:HRR458119 HHS458112:HHV458119 GXW458112:GXZ458119 GOA458112:GOD458119 GEE458112:GEH458119 FUI458112:FUL458119 FKM458112:FKP458119 FAQ458112:FAT458119 EQU458112:EQX458119 EGY458112:EHB458119 DXC458112:DXF458119 DNG458112:DNJ458119 DDK458112:DDN458119 CTO458112:CTR458119 CJS458112:CJV458119 BZW458112:BZZ458119 BQA458112:BQD458119 BGE458112:BGH458119 AWI458112:AWL458119 AMM458112:AMP458119 ACQ458112:ACT458119 SU458112:SX458119 IY458112:JB458119 C458112:F458119 WVK392576:WVN392583 WLO392576:WLR392583 WBS392576:WBV392583 VRW392576:VRZ392583 VIA392576:VID392583 UYE392576:UYH392583 UOI392576:UOL392583 UEM392576:UEP392583 TUQ392576:TUT392583 TKU392576:TKX392583 TAY392576:TBB392583 SRC392576:SRF392583 SHG392576:SHJ392583 RXK392576:RXN392583 RNO392576:RNR392583 RDS392576:RDV392583 QTW392576:QTZ392583 QKA392576:QKD392583 QAE392576:QAH392583 PQI392576:PQL392583 PGM392576:PGP392583 OWQ392576:OWT392583 OMU392576:OMX392583 OCY392576:ODB392583 NTC392576:NTF392583 NJG392576:NJJ392583 MZK392576:MZN392583 MPO392576:MPR392583 MFS392576:MFV392583 LVW392576:LVZ392583 LMA392576:LMD392583 LCE392576:LCH392583 KSI392576:KSL392583 KIM392576:KIP392583 JYQ392576:JYT392583 JOU392576:JOX392583 JEY392576:JFB392583 IVC392576:IVF392583 ILG392576:ILJ392583 IBK392576:IBN392583 HRO392576:HRR392583 HHS392576:HHV392583 GXW392576:GXZ392583 GOA392576:GOD392583 GEE392576:GEH392583 FUI392576:FUL392583 FKM392576:FKP392583 FAQ392576:FAT392583 EQU392576:EQX392583 EGY392576:EHB392583 DXC392576:DXF392583 DNG392576:DNJ392583 DDK392576:DDN392583 CTO392576:CTR392583 CJS392576:CJV392583 BZW392576:BZZ392583 BQA392576:BQD392583 BGE392576:BGH392583 AWI392576:AWL392583 AMM392576:AMP392583 ACQ392576:ACT392583 SU392576:SX392583 IY392576:JB392583 C392576:F392583 WVK327040:WVN327047 WLO327040:WLR327047 WBS327040:WBV327047 VRW327040:VRZ327047 VIA327040:VID327047 UYE327040:UYH327047 UOI327040:UOL327047 UEM327040:UEP327047 TUQ327040:TUT327047 TKU327040:TKX327047 TAY327040:TBB327047 SRC327040:SRF327047 SHG327040:SHJ327047 RXK327040:RXN327047 RNO327040:RNR327047 RDS327040:RDV327047 QTW327040:QTZ327047 QKA327040:QKD327047 QAE327040:QAH327047 PQI327040:PQL327047 PGM327040:PGP327047 OWQ327040:OWT327047 OMU327040:OMX327047 OCY327040:ODB327047 NTC327040:NTF327047 NJG327040:NJJ327047 MZK327040:MZN327047 MPO327040:MPR327047 MFS327040:MFV327047 LVW327040:LVZ327047 LMA327040:LMD327047 LCE327040:LCH327047 KSI327040:KSL327047 KIM327040:KIP327047 JYQ327040:JYT327047 JOU327040:JOX327047 JEY327040:JFB327047 IVC327040:IVF327047 ILG327040:ILJ327047 IBK327040:IBN327047 HRO327040:HRR327047 HHS327040:HHV327047 GXW327040:GXZ327047 GOA327040:GOD327047 GEE327040:GEH327047 FUI327040:FUL327047 FKM327040:FKP327047 FAQ327040:FAT327047 EQU327040:EQX327047 EGY327040:EHB327047 DXC327040:DXF327047 DNG327040:DNJ327047 DDK327040:DDN327047 CTO327040:CTR327047 CJS327040:CJV327047 BZW327040:BZZ327047 BQA327040:BQD327047 BGE327040:BGH327047 AWI327040:AWL327047 AMM327040:AMP327047 ACQ327040:ACT327047 SU327040:SX327047 IY327040:JB327047 C327040:F327047 WVK261504:WVN261511 WLO261504:WLR261511 WBS261504:WBV261511 VRW261504:VRZ261511 VIA261504:VID261511 UYE261504:UYH261511 UOI261504:UOL261511 UEM261504:UEP261511 TUQ261504:TUT261511 TKU261504:TKX261511 TAY261504:TBB261511 SRC261504:SRF261511 SHG261504:SHJ261511 RXK261504:RXN261511 RNO261504:RNR261511 RDS261504:RDV261511 QTW261504:QTZ261511 QKA261504:QKD261511 QAE261504:QAH261511 PQI261504:PQL261511 PGM261504:PGP261511 OWQ261504:OWT261511 OMU261504:OMX261511 OCY261504:ODB261511 NTC261504:NTF261511 NJG261504:NJJ261511 MZK261504:MZN261511 MPO261504:MPR261511 MFS261504:MFV261511 LVW261504:LVZ261511 LMA261504:LMD261511 LCE261504:LCH261511 KSI261504:KSL261511 KIM261504:KIP261511 JYQ261504:JYT261511 JOU261504:JOX261511 JEY261504:JFB261511 IVC261504:IVF261511 ILG261504:ILJ261511 IBK261504:IBN261511 HRO261504:HRR261511 HHS261504:HHV261511 GXW261504:GXZ261511 GOA261504:GOD261511 GEE261504:GEH261511 FUI261504:FUL261511 FKM261504:FKP261511 FAQ261504:FAT261511 EQU261504:EQX261511 EGY261504:EHB261511 DXC261504:DXF261511 DNG261504:DNJ261511 DDK261504:DDN261511 CTO261504:CTR261511 CJS261504:CJV261511 BZW261504:BZZ261511 BQA261504:BQD261511 BGE261504:BGH261511 AWI261504:AWL261511 AMM261504:AMP261511 ACQ261504:ACT261511 SU261504:SX261511 IY261504:JB261511 C261504:F261511 WVK195968:WVN195975 WLO195968:WLR195975 WBS195968:WBV195975 VRW195968:VRZ195975 VIA195968:VID195975 UYE195968:UYH195975 UOI195968:UOL195975 UEM195968:UEP195975 TUQ195968:TUT195975 TKU195968:TKX195975 TAY195968:TBB195975 SRC195968:SRF195975 SHG195968:SHJ195975 RXK195968:RXN195975 RNO195968:RNR195975 RDS195968:RDV195975 QTW195968:QTZ195975 QKA195968:QKD195975 QAE195968:QAH195975 PQI195968:PQL195975 PGM195968:PGP195975 OWQ195968:OWT195975 OMU195968:OMX195975 OCY195968:ODB195975 NTC195968:NTF195975 NJG195968:NJJ195975 MZK195968:MZN195975 MPO195968:MPR195975 MFS195968:MFV195975 LVW195968:LVZ195975 LMA195968:LMD195975 LCE195968:LCH195975 KSI195968:KSL195975 KIM195968:KIP195975 JYQ195968:JYT195975 JOU195968:JOX195975 JEY195968:JFB195975 IVC195968:IVF195975 ILG195968:ILJ195975 IBK195968:IBN195975 HRO195968:HRR195975 HHS195968:HHV195975 GXW195968:GXZ195975 GOA195968:GOD195975 GEE195968:GEH195975 FUI195968:FUL195975 FKM195968:FKP195975 FAQ195968:FAT195975 EQU195968:EQX195975 EGY195968:EHB195975 DXC195968:DXF195975 DNG195968:DNJ195975 DDK195968:DDN195975 CTO195968:CTR195975 CJS195968:CJV195975 BZW195968:BZZ195975 BQA195968:BQD195975 BGE195968:BGH195975 AWI195968:AWL195975 AMM195968:AMP195975 ACQ195968:ACT195975 SU195968:SX195975 IY195968:JB195975 C195968:F195975 WVK130432:WVN130439 WLO130432:WLR130439 WBS130432:WBV130439 VRW130432:VRZ130439 VIA130432:VID130439 UYE130432:UYH130439 UOI130432:UOL130439 UEM130432:UEP130439 TUQ130432:TUT130439 TKU130432:TKX130439 TAY130432:TBB130439 SRC130432:SRF130439 SHG130432:SHJ130439 RXK130432:RXN130439 RNO130432:RNR130439 RDS130432:RDV130439 QTW130432:QTZ130439 QKA130432:QKD130439 QAE130432:QAH130439 PQI130432:PQL130439 PGM130432:PGP130439 OWQ130432:OWT130439 OMU130432:OMX130439 OCY130432:ODB130439 NTC130432:NTF130439 NJG130432:NJJ130439 MZK130432:MZN130439 MPO130432:MPR130439 MFS130432:MFV130439 LVW130432:LVZ130439 LMA130432:LMD130439 LCE130432:LCH130439 KSI130432:KSL130439 KIM130432:KIP130439 JYQ130432:JYT130439 JOU130432:JOX130439 JEY130432:JFB130439 IVC130432:IVF130439 ILG130432:ILJ130439 IBK130432:IBN130439 HRO130432:HRR130439 HHS130432:HHV130439 GXW130432:GXZ130439 GOA130432:GOD130439 GEE130432:GEH130439 FUI130432:FUL130439 FKM130432:FKP130439 FAQ130432:FAT130439 EQU130432:EQX130439 EGY130432:EHB130439 DXC130432:DXF130439 DNG130432:DNJ130439 DDK130432:DDN130439 CTO130432:CTR130439 CJS130432:CJV130439 BZW130432:BZZ130439 BQA130432:BQD130439 BGE130432:BGH130439 AWI130432:AWL130439 AMM130432:AMP130439 ACQ130432:ACT130439 SU130432:SX130439 IY130432:JB130439 C130432:F130439 WVK64896:WVN64903 WLO64896:WLR64903 WBS64896:WBV64903 VRW64896:VRZ64903 VIA64896:VID64903 UYE64896:UYH64903 UOI64896:UOL64903 UEM64896:UEP64903 TUQ64896:TUT64903 TKU64896:TKX64903 TAY64896:TBB64903 SRC64896:SRF64903 SHG64896:SHJ64903 RXK64896:RXN64903 RNO64896:RNR64903 RDS64896:RDV64903 QTW64896:QTZ64903 QKA64896:QKD64903 QAE64896:QAH64903 PQI64896:PQL64903 PGM64896:PGP64903 OWQ64896:OWT64903 OMU64896:OMX64903 OCY64896:ODB64903 NTC64896:NTF64903 NJG64896:NJJ64903 MZK64896:MZN64903 MPO64896:MPR64903 MFS64896:MFV64903 LVW64896:LVZ64903 LMA64896:LMD64903 LCE64896:LCH64903 KSI64896:KSL64903 KIM64896:KIP64903 JYQ64896:JYT64903 JOU64896:JOX64903 JEY64896:JFB64903 IVC64896:IVF64903 ILG64896:ILJ64903 IBK64896:IBN64903 HRO64896:HRR64903 HHS64896:HHV64903 GXW64896:GXZ64903 GOA64896:GOD64903 GEE64896:GEH64903 FUI64896:FUL64903 FKM64896:FKP64903 FAQ64896:FAT64903 EQU64896:EQX64903 EGY64896:EHB64903 DXC64896:DXF64903 DNG64896:DNJ64903 DDK64896:DDN64903 CTO64896:CTR64903 CJS64896:CJV64903 BZW64896:BZZ64903 BQA64896:BQD64903 BGE64896:BGH64903 AWI64896:AWL64903 AMM64896:AMP64903 ACQ64896:ACT64903 SU64896:SX64903 IY64896:JB64903 C64896:F64903 WVR982400:WVV982407 WLV982400:WLZ982407 WBZ982400:WCD982407 VSD982400:VSH982407 VIH982400:VIL982407 UYL982400:UYP982407 UOP982400:UOT982407 UET982400:UEX982407 TUX982400:TVB982407 TLB982400:TLF982407 TBF982400:TBJ982407 SRJ982400:SRN982407 SHN982400:SHR982407 RXR982400:RXV982407 RNV982400:RNZ982407 RDZ982400:RED982407 QUD982400:QUH982407 QKH982400:QKL982407 QAL982400:QAP982407 PQP982400:PQT982407 PGT982400:PGX982407 OWX982400:OXB982407 ONB982400:ONF982407 ODF982400:ODJ982407 NTJ982400:NTN982407 NJN982400:NJR982407 MZR982400:MZV982407 MPV982400:MPZ982407 MFZ982400:MGD982407 LWD982400:LWH982407 LMH982400:LML982407 LCL982400:LCP982407 KSP982400:KST982407 KIT982400:KIX982407 JYX982400:JZB982407 JPB982400:JPF982407 JFF982400:JFJ982407 IVJ982400:IVN982407 ILN982400:ILR982407 IBR982400:IBV982407 HRV982400:HRZ982407 HHZ982400:HID982407 GYD982400:GYH982407 GOH982400:GOL982407 GEL982400:GEP982407 FUP982400:FUT982407 FKT982400:FKX982407 FAX982400:FBB982407 ERB982400:ERF982407 EHF982400:EHJ982407 DXJ982400:DXN982407 DNN982400:DNR982407 DDR982400:DDV982407 CTV982400:CTZ982407 CJZ982400:CKD982407 CAD982400:CAH982407 BQH982400:BQL982407 BGL982400:BGP982407 AWP982400:AWT982407 AMT982400:AMX982407 ACX982400:ADB982407 TB982400:TF982407 JF982400:JJ982407 J982400:N982407 WVR916864:WVV916871 WLV916864:WLZ916871 WBZ916864:WCD916871 VSD916864:VSH916871 VIH916864:VIL916871 UYL916864:UYP916871 UOP916864:UOT916871 UET916864:UEX916871 TUX916864:TVB916871 TLB916864:TLF916871 TBF916864:TBJ916871 SRJ916864:SRN916871 SHN916864:SHR916871 RXR916864:RXV916871 RNV916864:RNZ916871 RDZ916864:RED916871 QUD916864:QUH916871 QKH916864:QKL916871 QAL916864:QAP916871 PQP916864:PQT916871 PGT916864:PGX916871 OWX916864:OXB916871 ONB916864:ONF916871 ODF916864:ODJ916871 NTJ916864:NTN916871 NJN916864:NJR916871 MZR916864:MZV916871 MPV916864:MPZ916871 MFZ916864:MGD916871 LWD916864:LWH916871 LMH916864:LML916871 LCL916864:LCP916871 KSP916864:KST916871 KIT916864:KIX916871 JYX916864:JZB916871 JPB916864:JPF916871 JFF916864:JFJ916871 IVJ916864:IVN916871 ILN916864:ILR916871 IBR916864:IBV916871 HRV916864:HRZ916871 HHZ916864:HID916871 GYD916864:GYH916871 GOH916864:GOL916871 GEL916864:GEP916871 FUP916864:FUT916871 FKT916864:FKX916871 FAX916864:FBB916871 ERB916864:ERF916871 EHF916864:EHJ916871 DXJ916864:DXN916871 DNN916864:DNR916871 DDR916864:DDV916871 CTV916864:CTZ916871 CJZ916864:CKD916871 CAD916864:CAH916871 BQH916864:BQL916871 BGL916864:BGP916871 AWP916864:AWT916871 AMT916864:AMX916871 ACX916864:ADB916871 TB916864:TF916871 JF916864:JJ916871 J916864:N916871 WVR851328:WVV851335 WLV851328:WLZ851335 WBZ851328:WCD851335 VSD851328:VSH851335 VIH851328:VIL851335 UYL851328:UYP851335 UOP851328:UOT851335 UET851328:UEX851335 TUX851328:TVB851335 TLB851328:TLF851335 TBF851328:TBJ851335 SRJ851328:SRN851335 SHN851328:SHR851335 RXR851328:RXV851335 RNV851328:RNZ851335 RDZ851328:RED851335 QUD851328:QUH851335 QKH851328:QKL851335 QAL851328:QAP851335 PQP851328:PQT851335 PGT851328:PGX851335 OWX851328:OXB851335 ONB851328:ONF851335 ODF851328:ODJ851335 NTJ851328:NTN851335 NJN851328:NJR851335 MZR851328:MZV851335 MPV851328:MPZ851335 MFZ851328:MGD851335 LWD851328:LWH851335 LMH851328:LML851335 LCL851328:LCP851335 KSP851328:KST851335 KIT851328:KIX851335 JYX851328:JZB851335 JPB851328:JPF851335 JFF851328:JFJ851335 IVJ851328:IVN851335 ILN851328:ILR851335 IBR851328:IBV851335 HRV851328:HRZ851335 HHZ851328:HID851335 GYD851328:GYH851335 GOH851328:GOL851335 GEL851328:GEP851335 FUP851328:FUT851335 FKT851328:FKX851335 FAX851328:FBB851335 ERB851328:ERF851335 EHF851328:EHJ851335 DXJ851328:DXN851335 DNN851328:DNR851335 DDR851328:DDV851335 CTV851328:CTZ851335 CJZ851328:CKD851335 CAD851328:CAH851335 BQH851328:BQL851335 BGL851328:BGP851335 AWP851328:AWT851335 AMT851328:AMX851335 ACX851328:ADB851335 TB851328:TF851335 JF851328:JJ851335 J851328:N851335 WVR785792:WVV785799 WLV785792:WLZ785799 WBZ785792:WCD785799 VSD785792:VSH785799 VIH785792:VIL785799 UYL785792:UYP785799 UOP785792:UOT785799 UET785792:UEX785799 TUX785792:TVB785799 TLB785792:TLF785799 TBF785792:TBJ785799 SRJ785792:SRN785799 SHN785792:SHR785799 RXR785792:RXV785799 RNV785792:RNZ785799 RDZ785792:RED785799 QUD785792:QUH785799 QKH785792:QKL785799 QAL785792:QAP785799 PQP785792:PQT785799 PGT785792:PGX785799 OWX785792:OXB785799 ONB785792:ONF785799 ODF785792:ODJ785799 NTJ785792:NTN785799 NJN785792:NJR785799 MZR785792:MZV785799 MPV785792:MPZ785799 MFZ785792:MGD785799 LWD785792:LWH785799 LMH785792:LML785799 LCL785792:LCP785799 KSP785792:KST785799 KIT785792:KIX785799 JYX785792:JZB785799 JPB785792:JPF785799 JFF785792:JFJ785799 IVJ785792:IVN785799 ILN785792:ILR785799 IBR785792:IBV785799 HRV785792:HRZ785799 HHZ785792:HID785799 GYD785792:GYH785799 GOH785792:GOL785799 GEL785792:GEP785799 FUP785792:FUT785799 FKT785792:FKX785799 FAX785792:FBB785799 ERB785792:ERF785799 EHF785792:EHJ785799 DXJ785792:DXN785799 DNN785792:DNR785799 DDR785792:DDV785799 CTV785792:CTZ785799 CJZ785792:CKD785799 CAD785792:CAH785799 BQH785792:BQL785799 BGL785792:BGP785799 AWP785792:AWT785799 AMT785792:AMX785799 ACX785792:ADB785799 TB785792:TF785799 JF785792:JJ785799 J785792:N785799 WVR720256:WVV720263 WLV720256:WLZ720263 WBZ720256:WCD720263 VSD720256:VSH720263 VIH720256:VIL720263 UYL720256:UYP720263 UOP720256:UOT720263 UET720256:UEX720263 TUX720256:TVB720263 TLB720256:TLF720263 TBF720256:TBJ720263 SRJ720256:SRN720263 SHN720256:SHR720263 RXR720256:RXV720263 RNV720256:RNZ720263 RDZ720256:RED720263 QUD720256:QUH720263 QKH720256:QKL720263 QAL720256:QAP720263 PQP720256:PQT720263 PGT720256:PGX720263 OWX720256:OXB720263 ONB720256:ONF720263 ODF720256:ODJ720263 NTJ720256:NTN720263 NJN720256:NJR720263 MZR720256:MZV720263 MPV720256:MPZ720263 MFZ720256:MGD720263 LWD720256:LWH720263 LMH720256:LML720263 LCL720256:LCP720263 KSP720256:KST720263 KIT720256:KIX720263 JYX720256:JZB720263 JPB720256:JPF720263 JFF720256:JFJ720263 IVJ720256:IVN720263 ILN720256:ILR720263 IBR720256:IBV720263 HRV720256:HRZ720263 HHZ720256:HID720263 GYD720256:GYH720263 GOH720256:GOL720263 GEL720256:GEP720263 FUP720256:FUT720263 FKT720256:FKX720263 FAX720256:FBB720263 ERB720256:ERF720263 EHF720256:EHJ720263 DXJ720256:DXN720263 DNN720256:DNR720263 DDR720256:DDV720263 CTV720256:CTZ720263 CJZ720256:CKD720263 CAD720256:CAH720263 BQH720256:BQL720263 BGL720256:BGP720263 AWP720256:AWT720263 AMT720256:AMX720263 ACX720256:ADB720263 TB720256:TF720263 JF720256:JJ720263 J720256:N720263 WVR654720:WVV654727 WLV654720:WLZ654727 WBZ654720:WCD654727 VSD654720:VSH654727 VIH654720:VIL654727 UYL654720:UYP654727 UOP654720:UOT654727 UET654720:UEX654727 TUX654720:TVB654727 TLB654720:TLF654727 TBF654720:TBJ654727 SRJ654720:SRN654727 SHN654720:SHR654727 RXR654720:RXV654727 RNV654720:RNZ654727 RDZ654720:RED654727 QUD654720:QUH654727 QKH654720:QKL654727 QAL654720:QAP654727 PQP654720:PQT654727 PGT654720:PGX654727 OWX654720:OXB654727 ONB654720:ONF654727 ODF654720:ODJ654727 NTJ654720:NTN654727 NJN654720:NJR654727 MZR654720:MZV654727 MPV654720:MPZ654727 MFZ654720:MGD654727 LWD654720:LWH654727 LMH654720:LML654727 LCL654720:LCP654727 KSP654720:KST654727 KIT654720:KIX654727 JYX654720:JZB654727 JPB654720:JPF654727 JFF654720:JFJ654727 IVJ654720:IVN654727 ILN654720:ILR654727 IBR654720:IBV654727 HRV654720:HRZ654727 HHZ654720:HID654727 GYD654720:GYH654727 GOH654720:GOL654727 GEL654720:GEP654727 FUP654720:FUT654727 FKT654720:FKX654727 FAX654720:FBB654727 ERB654720:ERF654727 EHF654720:EHJ654727 DXJ654720:DXN654727 DNN654720:DNR654727 DDR654720:DDV654727 CTV654720:CTZ654727 CJZ654720:CKD654727 CAD654720:CAH654727 BQH654720:BQL654727 BGL654720:BGP654727 AWP654720:AWT654727 AMT654720:AMX654727 ACX654720:ADB654727 TB654720:TF654727 JF654720:JJ654727 J654720:N654727 WVR589184:WVV589191 WLV589184:WLZ589191 WBZ589184:WCD589191 VSD589184:VSH589191 VIH589184:VIL589191 UYL589184:UYP589191 UOP589184:UOT589191 UET589184:UEX589191 TUX589184:TVB589191 TLB589184:TLF589191 TBF589184:TBJ589191 SRJ589184:SRN589191 SHN589184:SHR589191 RXR589184:RXV589191 RNV589184:RNZ589191 RDZ589184:RED589191 QUD589184:QUH589191 QKH589184:QKL589191 QAL589184:QAP589191 PQP589184:PQT589191 PGT589184:PGX589191 OWX589184:OXB589191 ONB589184:ONF589191 ODF589184:ODJ589191 NTJ589184:NTN589191 NJN589184:NJR589191 MZR589184:MZV589191 MPV589184:MPZ589191 MFZ589184:MGD589191 LWD589184:LWH589191 LMH589184:LML589191 LCL589184:LCP589191 KSP589184:KST589191 KIT589184:KIX589191 JYX589184:JZB589191 JPB589184:JPF589191 JFF589184:JFJ589191 IVJ589184:IVN589191 ILN589184:ILR589191 IBR589184:IBV589191 HRV589184:HRZ589191 HHZ589184:HID589191 GYD589184:GYH589191 GOH589184:GOL589191 GEL589184:GEP589191 FUP589184:FUT589191 FKT589184:FKX589191 FAX589184:FBB589191 ERB589184:ERF589191 EHF589184:EHJ589191 DXJ589184:DXN589191 DNN589184:DNR589191 DDR589184:DDV589191 CTV589184:CTZ589191 CJZ589184:CKD589191 CAD589184:CAH589191 BQH589184:BQL589191 BGL589184:BGP589191 AWP589184:AWT589191 AMT589184:AMX589191 ACX589184:ADB589191 TB589184:TF589191 JF589184:JJ589191 J589184:N589191 WVR523648:WVV523655 WLV523648:WLZ523655 WBZ523648:WCD523655 VSD523648:VSH523655 VIH523648:VIL523655 UYL523648:UYP523655 UOP523648:UOT523655 UET523648:UEX523655 TUX523648:TVB523655 TLB523648:TLF523655 TBF523648:TBJ523655 SRJ523648:SRN523655 SHN523648:SHR523655 RXR523648:RXV523655 RNV523648:RNZ523655 RDZ523648:RED523655 QUD523648:QUH523655 QKH523648:QKL523655 QAL523648:QAP523655 PQP523648:PQT523655 PGT523648:PGX523655 OWX523648:OXB523655 ONB523648:ONF523655 ODF523648:ODJ523655 NTJ523648:NTN523655 NJN523648:NJR523655 MZR523648:MZV523655 MPV523648:MPZ523655 MFZ523648:MGD523655 LWD523648:LWH523655 LMH523648:LML523655 LCL523648:LCP523655 KSP523648:KST523655 KIT523648:KIX523655 JYX523648:JZB523655 JPB523648:JPF523655 JFF523648:JFJ523655 IVJ523648:IVN523655 ILN523648:ILR523655 IBR523648:IBV523655 HRV523648:HRZ523655 HHZ523648:HID523655 GYD523648:GYH523655 GOH523648:GOL523655 GEL523648:GEP523655 FUP523648:FUT523655 FKT523648:FKX523655 FAX523648:FBB523655 ERB523648:ERF523655 EHF523648:EHJ523655 DXJ523648:DXN523655 DNN523648:DNR523655 DDR523648:DDV523655 CTV523648:CTZ523655 CJZ523648:CKD523655 CAD523648:CAH523655 BQH523648:BQL523655 BGL523648:BGP523655 AWP523648:AWT523655 AMT523648:AMX523655 ACX523648:ADB523655 TB523648:TF523655 JF523648:JJ523655 J523648:N523655 WVR458112:WVV458119 WLV458112:WLZ458119 WBZ458112:WCD458119 VSD458112:VSH458119 VIH458112:VIL458119 UYL458112:UYP458119 UOP458112:UOT458119 UET458112:UEX458119 TUX458112:TVB458119 TLB458112:TLF458119 TBF458112:TBJ458119 SRJ458112:SRN458119 SHN458112:SHR458119 RXR458112:RXV458119 RNV458112:RNZ458119 RDZ458112:RED458119 QUD458112:QUH458119 QKH458112:QKL458119 QAL458112:QAP458119 PQP458112:PQT458119 PGT458112:PGX458119 OWX458112:OXB458119 ONB458112:ONF458119 ODF458112:ODJ458119 NTJ458112:NTN458119 NJN458112:NJR458119 MZR458112:MZV458119 MPV458112:MPZ458119 MFZ458112:MGD458119 LWD458112:LWH458119 LMH458112:LML458119 LCL458112:LCP458119 KSP458112:KST458119 KIT458112:KIX458119 JYX458112:JZB458119 JPB458112:JPF458119 JFF458112:JFJ458119 IVJ458112:IVN458119 ILN458112:ILR458119 IBR458112:IBV458119 HRV458112:HRZ458119 HHZ458112:HID458119 GYD458112:GYH458119 GOH458112:GOL458119 GEL458112:GEP458119 FUP458112:FUT458119 FKT458112:FKX458119 FAX458112:FBB458119 ERB458112:ERF458119 EHF458112:EHJ458119 DXJ458112:DXN458119 DNN458112:DNR458119 DDR458112:DDV458119 CTV458112:CTZ458119 CJZ458112:CKD458119 CAD458112:CAH458119 BQH458112:BQL458119 BGL458112:BGP458119 AWP458112:AWT458119 AMT458112:AMX458119 ACX458112:ADB458119 TB458112:TF458119 JF458112:JJ458119 J458112:N458119 WVR392576:WVV392583 WLV392576:WLZ392583 WBZ392576:WCD392583 VSD392576:VSH392583 VIH392576:VIL392583 UYL392576:UYP392583 UOP392576:UOT392583 UET392576:UEX392583 TUX392576:TVB392583 TLB392576:TLF392583 TBF392576:TBJ392583 SRJ392576:SRN392583 SHN392576:SHR392583 RXR392576:RXV392583 RNV392576:RNZ392583 RDZ392576:RED392583 QUD392576:QUH392583 QKH392576:QKL392583 QAL392576:QAP392583 PQP392576:PQT392583 PGT392576:PGX392583 OWX392576:OXB392583 ONB392576:ONF392583 ODF392576:ODJ392583 NTJ392576:NTN392583 NJN392576:NJR392583 MZR392576:MZV392583 MPV392576:MPZ392583 MFZ392576:MGD392583 LWD392576:LWH392583 LMH392576:LML392583 LCL392576:LCP392583 KSP392576:KST392583 KIT392576:KIX392583 JYX392576:JZB392583 JPB392576:JPF392583 JFF392576:JFJ392583 IVJ392576:IVN392583 ILN392576:ILR392583 IBR392576:IBV392583 HRV392576:HRZ392583 HHZ392576:HID392583 GYD392576:GYH392583 GOH392576:GOL392583 GEL392576:GEP392583 FUP392576:FUT392583 FKT392576:FKX392583 FAX392576:FBB392583 ERB392576:ERF392583 EHF392576:EHJ392583 DXJ392576:DXN392583 DNN392576:DNR392583 DDR392576:DDV392583 CTV392576:CTZ392583 CJZ392576:CKD392583 CAD392576:CAH392583 BQH392576:BQL392583 BGL392576:BGP392583 AWP392576:AWT392583 AMT392576:AMX392583 ACX392576:ADB392583 TB392576:TF392583 JF392576:JJ392583 J392576:N392583 WVR327040:WVV327047 WLV327040:WLZ327047 WBZ327040:WCD327047 VSD327040:VSH327047 VIH327040:VIL327047 UYL327040:UYP327047 UOP327040:UOT327047 UET327040:UEX327047 TUX327040:TVB327047 TLB327040:TLF327047 TBF327040:TBJ327047 SRJ327040:SRN327047 SHN327040:SHR327047 RXR327040:RXV327047 RNV327040:RNZ327047 RDZ327040:RED327047 QUD327040:QUH327047 QKH327040:QKL327047 QAL327040:QAP327047 PQP327040:PQT327047 PGT327040:PGX327047 OWX327040:OXB327047 ONB327040:ONF327047 ODF327040:ODJ327047 NTJ327040:NTN327047 NJN327040:NJR327047 MZR327040:MZV327047 MPV327040:MPZ327047 MFZ327040:MGD327047 LWD327040:LWH327047 LMH327040:LML327047 LCL327040:LCP327047 KSP327040:KST327047 KIT327040:KIX327047 JYX327040:JZB327047 JPB327040:JPF327047 JFF327040:JFJ327047 IVJ327040:IVN327047 ILN327040:ILR327047 IBR327040:IBV327047 HRV327040:HRZ327047 HHZ327040:HID327047 GYD327040:GYH327047 GOH327040:GOL327047 GEL327040:GEP327047 FUP327040:FUT327047 FKT327040:FKX327047 FAX327040:FBB327047 ERB327040:ERF327047 EHF327040:EHJ327047 DXJ327040:DXN327047 DNN327040:DNR327047 DDR327040:DDV327047 CTV327040:CTZ327047 CJZ327040:CKD327047 CAD327040:CAH327047 BQH327040:BQL327047 BGL327040:BGP327047 AWP327040:AWT327047 AMT327040:AMX327047 ACX327040:ADB327047 TB327040:TF327047 JF327040:JJ327047 J327040:N327047 WVR261504:WVV261511 WLV261504:WLZ261511 WBZ261504:WCD261511 VSD261504:VSH261511 VIH261504:VIL261511 UYL261504:UYP261511 UOP261504:UOT261511 UET261504:UEX261511 TUX261504:TVB261511 TLB261504:TLF261511 TBF261504:TBJ261511 SRJ261504:SRN261511 SHN261504:SHR261511 RXR261504:RXV261511 RNV261504:RNZ261511 RDZ261504:RED261511 QUD261504:QUH261511 QKH261504:QKL261511 QAL261504:QAP261511 PQP261504:PQT261511 PGT261504:PGX261511 OWX261504:OXB261511 ONB261504:ONF261511 ODF261504:ODJ261511 NTJ261504:NTN261511 NJN261504:NJR261511 MZR261504:MZV261511 MPV261504:MPZ261511 MFZ261504:MGD261511 LWD261504:LWH261511 LMH261504:LML261511 LCL261504:LCP261511 KSP261504:KST261511 KIT261504:KIX261511 JYX261504:JZB261511 JPB261504:JPF261511 JFF261504:JFJ261511 IVJ261504:IVN261511 ILN261504:ILR261511 IBR261504:IBV261511 HRV261504:HRZ261511 HHZ261504:HID261511 GYD261504:GYH261511 GOH261504:GOL261511 GEL261504:GEP261511 FUP261504:FUT261511 FKT261504:FKX261511 FAX261504:FBB261511 ERB261504:ERF261511 EHF261504:EHJ261511 DXJ261504:DXN261511 DNN261504:DNR261511 DDR261504:DDV261511 CTV261504:CTZ261511 CJZ261504:CKD261511 CAD261504:CAH261511 BQH261504:BQL261511 BGL261504:BGP261511 AWP261504:AWT261511 AMT261504:AMX261511 ACX261504:ADB261511 TB261504:TF261511 JF261504:JJ261511 J261504:N261511 WVR195968:WVV195975 WLV195968:WLZ195975 WBZ195968:WCD195975 VSD195968:VSH195975 VIH195968:VIL195975 UYL195968:UYP195975 UOP195968:UOT195975 UET195968:UEX195975 TUX195968:TVB195975 TLB195968:TLF195975 TBF195968:TBJ195975 SRJ195968:SRN195975 SHN195968:SHR195975 RXR195968:RXV195975 RNV195968:RNZ195975 RDZ195968:RED195975 QUD195968:QUH195975 QKH195968:QKL195975 QAL195968:QAP195975 PQP195968:PQT195975 PGT195968:PGX195975 OWX195968:OXB195975 ONB195968:ONF195975 ODF195968:ODJ195975 NTJ195968:NTN195975 NJN195968:NJR195975 MZR195968:MZV195975 MPV195968:MPZ195975 MFZ195968:MGD195975 LWD195968:LWH195975 LMH195968:LML195975 LCL195968:LCP195975 KSP195968:KST195975 KIT195968:KIX195975 JYX195968:JZB195975 JPB195968:JPF195975 JFF195968:JFJ195975 IVJ195968:IVN195975 ILN195968:ILR195975 IBR195968:IBV195975 HRV195968:HRZ195975 HHZ195968:HID195975 GYD195968:GYH195975 GOH195968:GOL195975 GEL195968:GEP195975 FUP195968:FUT195975 FKT195968:FKX195975 FAX195968:FBB195975 ERB195968:ERF195975 EHF195968:EHJ195975 DXJ195968:DXN195975 DNN195968:DNR195975 DDR195968:DDV195975 CTV195968:CTZ195975 CJZ195968:CKD195975 CAD195968:CAH195975 BQH195968:BQL195975 BGL195968:BGP195975 AWP195968:AWT195975 AMT195968:AMX195975 ACX195968:ADB195975 TB195968:TF195975 JF195968:JJ195975 J195968:N195975 WVR130432:WVV130439 WLV130432:WLZ130439 WBZ130432:WCD130439 VSD130432:VSH130439 VIH130432:VIL130439 UYL130432:UYP130439 UOP130432:UOT130439 UET130432:UEX130439 TUX130432:TVB130439 TLB130432:TLF130439 TBF130432:TBJ130439 SRJ130432:SRN130439 SHN130432:SHR130439 RXR130432:RXV130439 RNV130432:RNZ130439 RDZ130432:RED130439 QUD130432:QUH130439 QKH130432:QKL130439 QAL130432:QAP130439 PQP130432:PQT130439 PGT130432:PGX130439 OWX130432:OXB130439 ONB130432:ONF130439 ODF130432:ODJ130439 NTJ130432:NTN130439 NJN130432:NJR130439 MZR130432:MZV130439 MPV130432:MPZ130439 MFZ130432:MGD130439 LWD130432:LWH130439 LMH130432:LML130439 LCL130432:LCP130439 KSP130432:KST130439 KIT130432:KIX130439 JYX130432:JZB130439 JPB130432:JPF130439 JFF130432:JFJ130439 IVJ130432:IVN130439 ILN130432:ILR130439 IBR130432:IBV130439 HRV130432:HRZ130439 HHZ130432:HID130439 GYD130432:GYH130439 GOH130432:GOL130439 GEL130432:GEP130439 FUP130432:FUT130439 FKT130432:FKX130439 FAX130432:FBB130439 ERB130432:ERF130439 EHF130432:EHJ130439 DXJ130432:DXN130439 DNN130432:DNR130439 DDR130432:DDV130439 CTV130432:CTZ130439 CJZ130432:CKD130439 CAD130432:CAH130439 BQH130432:BQL130439 BGL130432:BGP130439 AWP130432:AWT130439 AMT130432:AMX130439 ACX130432:ADB130439 TB130432:TF130439 JF130432:JJ130439 J130432:N130439 WVR64896:WVV64903 WLV64896:WLZ64903 WBZ64896:WCD64903 VSD64896:VSH64903 VIH64896:VIL64903 UYL64896:UYP64903 UOP64896:UOT64903 UET64896:UEX64903 TUX64896:TVB64903 TLB64896:TLF64903 TBF64896:TBJ64903 SRJ64896:SRN64903 SHN64896:SHR64903 RXR64896:RXV64903 RNV64896:RNZ64903 RDZ64896:RED64903 QUD64896:QUH64903 QKH64896:QKL64903 QAL64896:QAP64903 PQP64896:PQT64903 PGT64896:PGX64903 OWX64896:OXB64903 ONB64896:ONF64903 ODF64896:ODJ64903 NTJ64896:NTN64903 NJN64896:NJR64903 MZR64896:MZV64903 MPV64896:MPZ64903 MFZ64896:MGD64903 LWD64896:LWH64903 LMH64896:LML64903 LCL64896:LCP64903 KSP64896:KST64903 KIT64896:KIX64903 JYX64896:JZB64903 JPB64896:JPF64903 JFF64896:JFJ64903 IVJ64896:IVN64903 ILN64896:ILR64903 IBR64896:IBV64903 HRV64896:HRZ64903 HHZ64896:HID64903 GYD64896:GYH64903 GOH64896:GOL64903 GEL64896:GEP64903 FUP64896:FUT64903 FKT64896:FKX64903 FAX64896:FBB64903 ERB64896:ERF64903 EHF64896:EHJ64903 DXJ64896:DXN64903 DNN64896:DNR64903 DDR64896:DDV64903 CTV64896:CTZ64903 CJZ64896:CKD64903 CAD64896:CAH64903 BQH64896:BQL64903 BGL64896:BGP64903 AWP64896:AWT64903 AMT64896:AMX64903 ACX64896:ADB64903 TB64896:TF64903 JF64896:JJ64903 J64896:N64903 WVK982411:WVN982419 WLO982411:WLR982419 WBS982411:WBV982419 VRW982411:VRZ982419 VIA982411:VID982419 UYE982411:UYH982419 UOI982411:UOL982419 UEM982411:UEP982419 TUQ982411:TUT982419 TKU982411:TKX982419 TAY982411:TBB982419 SRC982411:SRF982419 SHG982411:SHJ982419 RXK982411:RXN982419 RNO982411:RNR982419 RDS982411:RDV982419 QTW982411:QTZ982419 QKA982411:QKD982419 QAE982411:QAH982419 PQI982411:PQL982419 PGM982411:PGP982419 OWQ982411:OWT982419 OMU982411:OMX982419 OCY982411:ODB982419 NTC982411:NTF982419 NJG982411:NJJ982419 MZK982411:MZN982419 MPO982411:MPR982419 MFS982411:MFV982419 LVW982411:LVZ982419 LMA982411:LMD982419 LCE982411:LCH982419 KSI982411:KSL982419 KIM982411:KIP982419 JYQ982411:JYT982419 JOU982411:JOX982419 JEY982411:JFB982419 IVC982411:IVF982419 ILG982411:ILJ982419 IBK982411:IBN982419 HRO982411:HRR982419 HHS982411:HHV982419 GXW982411:GXZ982419 GOA982411:GOD982419 GEE982411:GEH982419 FUI982411:FUL982419 FKM982411:FKP982419 FAQ982411:FAT982419 EQU982411:EQX982419 EGY982411:EHB982419 DXC982411:DXF982419 DNG982411:DNJ982419 DDK982411:DDN982419 CTO982411:CTR982419 CJS982411:CJV982419 BZW982411:BZZ982419 BQA982411:BQD982419 BGE982411:BGH982419 AWI982411:AWL982419 AMM982411:AMP982419 ACQ982411:ACT982419 SU982411:SX982419 IY982411:JB982419 C982411:F982419 WVK916875:WVN916883 WLO916875:WLR916883 WBS916875:WBV916883 VRW916875:VRZ916883 VIA916875:VID916883 UYE916875:UYH916883 UOI916875:UOL916883 UEM916875:UEP916883 TUQ916875:TUT916883 TKU916875:TKX916883 TAY916875:TBB916883 SRC916875:SRF916883 SHG916875:SHJ916883 RXK916875:RXN916883 RNO916875:RNR916883 RDS916875:RDV916883 QTW916875:QTZ916883 QKA916875:QKD916883 QAE916875:QAH916883 PQI916875:PQL916883 PGM916875:PGP916883 OWQ916875:OWT916883 OMU916875:OMX916883 OCY916875:ODB916883 NTC916875:NTF916883 NJG916875:NJJ916883 MZK916875:MZN916883 MPO916875:MPR916883 MFS916875:MFV916883 LVW916875:LVZ916883 LMA916875:LMD916883 LCE916875:LCH916883 KSI916875:KSL916883 KIM916875:KIP916883 JYQ916875:JYT916883 JOU916875:JOX916883 JEY916875:JFB916883 IVC916875:IVF916883 ILG916875:ILJ916883 IBK916875:IBN916883 HRO916875:HRR916883 HHS916875:HHV916883 GXW916875:GXZ916883 GOA916875:GOD916883 GEE916875:GEH916883 FUI916875:FUL916883 FKM916875:FKP916883 FAQ916875:FAT916883 EQU916875:EQX916883 EGY916875:EHB916883 DXC916875:DXF916883 DNG916875:DNJ916883 DDK916875:DDN916883 CTO916875:CTR916883 CJS916875:CJV916883 BZW916875:BZZ916883 BQA916875:BQD916883 BGE916875:BGH916883 AWI916875:AWL916883 AMM916875:AMP916883 ACQ916875:ACT916883 SU916875:SX916883 IY916875:JB916883 C916875:F916883 WVK851339:WVN851347 WLO851339:WLR851347 WBS851339:WBV851347 VRW851339:VRZ851347 VIA851339:VID851347 UYE851339:UYH851347 UOI851339:UOL851347 UEM851339:UEP851347 TUQ851339:TUT851347 TKU851339:TKX851347 TAY851339:TBB851347 SRC851339:SRF851347 SHG851339:SHJ851347 RXK851339:RXN851347 RNO851339:RNR851347 RDS851339:RDV851347 QTW851339:QTZ851347 QKA851339:QKD851347 QAE851339:QAH851347 PQI851339:PQL851347 PGM851339:PGP851347 OWQ851339:OWT851347 OMU851339:OMX851347 OCY851339:ODB851347 NTC851339:NTF851347 NJG851339:NJJ851347 MZK851339:MZN851347 MPO851339:MPR851347 MFS851339:MFV851347 LVW851339:LVZ851347 LMA851339:LMD851347 LCE851339:LCH851347 KSI851339:KSL851347 KIM851339:KIP851347 JYQ851339:JYT851347 JOU851339:JOX851347 JEY851339:JFB851347 IVC851339:IVF851347 ILG851339:ILJ851347 IBK851339:IBN851347 HRO851339:HRR851347 HHS851339:HHV851347 GXW851339:GXZ851347 GOA851339:GOD851347 GEE851339:GEH851347 FUI851339:FUL851347 FKM851339:FKP851347 FAQ851339:FAT851347 EQU851339:EQX851347 EGY851339:EHB851347 DXC851339:DXF851347 DNG851339:DNJ851347 DDK851339:DDN851347 CTO851339:CTR851347 CJS851339:CJV851347 BZW851339:BZZ851347 BQA851339:BQD851347 BGE851339:BGH851347 AWI851339:AWL851347 AMM851339:AMP851347 ACQ851339:ACT851347 SU851339:SX851347 IY851339:JB851347 C851339:F851347 WVK785803:WVN785811 WLO785803:WLR785811 WBS785803:WBV785811 VRW785803:VRZ785811 VIA785803:VID785811 UYE785803:UYH785811 UOI785803:UOL785811 UEM785803:UEP785811 TUQ785803:TUT785811 TKU785803:TKX785811 TAY785803:TBB785811 SRC785803:SRF785811 SHG785803:SHJ785811 RXK785803:RXN785811 RNO785803:RNR785811 RDS785803:RDV785811 QTW785803:QTZ785811 QKA785803:QKD785811 QAE785803:QAH785811 PQI785803:PQL785811 PGM785803:PGP785811 OWQ785803:OWT785811 OMU785803:OMX785811 OCY785803:ODB785811 NTC785803:NTF785811 NJG785803:NJJ785811 MZK785803:MZN785811 MPO785803:MPR785811 MFS785803:MFV785811 LVW785803:LVZ785811 LMA785803:LMD785811 LCE785803:LCH785811 KSI785803:KSL785811 KIM785803:KIP785811 JYQ785803:JYT785811 JOU785803:JOX785811 JEY785803:JFB785811 IVC785803:IVF785811 ILG785803:ILJ785811 IBK785803:IBN785811 HRO785803:HRR785811 HHS785803:HHV785811 GXW785803:GXZ785811 GOA785803:GOD785811 GEE785803:GEH785811 FUI785803:FUL785811 FKM785803:FKP785811 FAQ785803:FAT785811 EQU785803:EQX785811 EGY785803:EHB785811 DXC785803:DXF785811 DNG785803:DNJ785811 DDK785803:DDN785811 CTO785803:CTR785811 CJS785803:CJV785811 BZW785803:BZZ785811 BQA785803:BQD785811 BGE785803:BGH785811 AWI785803:AWL785811 AMM785803:AMP785811 ACQ785803:ACT785811 SU785803:SX785811 IY785803:JB785811 C785803:F785811 WVK720267:WVN720275 WLO720267:WLR720275 WBS720267:WBV720275 VRW720267:VRZ720275 VIA720267:VID720275 UYE720267:UYH720275 UOI720267:UOL720275 UEM720267:UEP720275 TUQ720267:TUT720275 TKU720267:TKX720275 TAY720267:TBB720275 SRC720267:SRF720275 SHG720267:SHJ720275 RXK720267:RXN720275 RNO720267:RNR720275 RDS720267:RDV720275 QTW720267:QTZ720275 QKA720267:QKD720275 QAE720267:QAH720275 PQI720267:PQL720275 PGM720267:PGP720275 OWQ720267:OWT720275 OMU720267:OMX720275 OCY720267:ODB720275 NTC720267:NTF720275 NJG720267:NJJ720275 MZK720267:MZN720275 MPO720267:MPR720275 MFS720267:MFV720275 LVW720267:LVZ720275 LMA720267:LMD720275 LCE720267:LCH720275 KSI720267:KSL720275 KIM720267:KIP720275 JYQ720267:JYT720275 JOU720267:JOX720275 JEY720267:JFB720275 IVC720267:IVF720275 ILG720267:ILJ720275 IBK720267:IBN720275 HRO720267:HRR720275 HHS720267:HHV720275 GXW720267:GXZ720275 GOA720267:GOD720275 GEE720267:GEH720275 FUI720267:FUL720275 FKM720267:FKP720275 FAQ720267:FAT720275 EQU720267:EQX720275 EGY720267:EHB720275 DXC720267:DXF720275 DNG720267:DNJ720275 DDK720267:DDN720275 CTO720267:CTR720275 CJS720267:CJV720275 BZW720267:BZZ720275 BQA720267:BQD720275 BGE720267:BGH720275 AWI720267:AWL720275 AMM720267:AMP720275 ACQ720267:ACT720275 SU720267:SX720275 IY720267:JB720275 C720267:F720275 WVK654731:WVN654739 WLO654731:WLR654739 WBS654731:WBV654739 VRW654731:VRZ654739 VIA654731:VID654739 UYE654731:UYH654739 UOI654731:UOL654739 UEM654731:UEP654739 TUQ654731:TUT654739 TKU654731:TKX654739 TAY654731:TBB654739 SRC654731:SRF654739 SHG654731:SHJ654739 RXK654731:RXN654739 RNO654731:RNR654739 RDS654731:RDV654739 QTW654731:QTZ654739 QKA654731:QKD654739 QAE654731:QAH654739 PQI654731:PQL654739 PGM654731:PGP654739 OWQ654731:OWT654739 OMU654731:OMX654739 OCY654731:ODB654739 NTC654731:NTF654739 NJG654731:NJJ654739 MZK654731:MZN654739 MPO654731:MPR654739 MFS654731:MFV654739 LVW654731:LVZ654739 LMA654731:LMD654739 LCE654731:LCH654739 KSI654731:KSL654739 KIM654731:KIP654739 JYQ654731:JYT654739 JOU654731:JOX654739 JEY654731:JFB654739 IVC654731:IVF654739 ILG654731:ILJ654739 IBK654731:IBN654739 HRO654731:HRR654739 HHS654731:HHV654739 GXW654731:GXZ654739 GOA654731:GOD654739 GEE654731:GEH654739 FUI654731:FUL654739 FKM654731:FKP654739 FAQ654731:FAT654739 EQU654731:EQX654739 EGY654731:EHB654739 DXC654731:DXF654739 DNG654731:DNJ654739 DDK654731:DDN654739 CTO654731:CTR654739 CJS654731:CJV654739 BZW654731:BZZ654739 BQA654731:BQD654739 BGE654731:BGH654739 AWI654731:AWL654739 AMM654731:AMP654739 ACQ654731:ACT654739 SU654731:SX654739 IY654731:JB654739 C654731:F654739 WVK589195:WVN589203 WLO589195:WLR589203 WBS589195:WBV589203 VRW589195:VRZ589203 VIA589195:VID589203 UYE589195:UYH589203 UOI589195:UOL589203 UEM589195:UEP589203 TUQ589195:TUT589203 TKU589195:TKX589203 TAY589195:TBB589203 SRC589195:SRF589203 SHG589195:SHJ589203 RXK589195:RXN589203 RNO589195:RNR589203 RDS589195:RDV589203 QTW589195:QTZ589203 QKA589195:QKD589203 QAE589195:QAH589203 PQI589195:PQL589203 PGM589195:PGP589203 OWQ589195:OWT589203 OMU589195:OMX589203 OCY589195:ODB589203 NTC589195:NTF589203 NJG589195:NJJ589203 MZK589195:MZN589203 MPO589195:MPR589203 MFS589195:MFV589203 LVW589195:LVZ589203 LMA589195:LMD589203 LCE589195:LCH589203 KSI589195:KSL589203 KIM589195:KIP589203 JYQ589195:JYT589203 JOU589195:JOX589203 JEY589195:JFB589203 IVC589195:IVF589203 ILG589195:ILJ589203 IBK589195:IBN589203 HRO589195:HRR589203 HHS589195:HHV589203 GXW589195:GXZ589203 GOA589195:GOD589203 GEE589195:GEH589203 FUI589195:FUL589203 FKM589195:FKP589203 FAQ589195:FAT589203 EQU589195:EQX589203 EGY589195:EHB589203 DXC589195:DXF589203 DNG589195:DNJ589203 DDK589195:DDN589203 CTO589195:CTR589203 CJS589195:CJV589203 BZW589195:BZZ589203 BQA589195:BQD589203 BGE589195:BGH589203 AWI589195:AWL589203 AMM589195:AMP589203 ACQ589195:ACT589203 SU589195:SX589203 IY589195:JB589203 C589195:F589203 WVK523659:WVN523667 WLO523659:WLR523667 WBS523659:WBV523667 VRW523659:VRZ523667 VIA523659:VID523667 UYE523659:UYH523667 UOI523659:UOL523667 UEM523659:UEP523667 TUQ523659:TUT523667 TKU523659:TKX523667 TAY523659:TBB523667 SRC523659:SRF523667 SHG523659:SHJ523667 RXK523659:RXN523667 RNO523659:RNR523667 RDS523659:RDV523667 QTW523659:QTZ523667 QKA523659:QKD523667 QAE523659:QAH523667 PQI523659:PQL523667 PGM523659:PGP523667 OWQ523659:OWT523667 OMU523659:OMX523667 OCY523659:ODB523667 NTC523659:NTF523667 NJG523659:NJJ523667 MZK523659:MZN523667 MPO523659:MPR523667 MFS523659:MFV523667 LVW523659:LVZ523667 LMA523659:LMD523667 LCE523659:LCH523667 KSI523659:KSL523667 KIM523659:KIP523667 JYQ523659:JYT523667 JOU523659:JOX523667 JEY523659:JFB523667 IVC523659:IVF523667 ILG523659:ILJ523667 IBK523659:IBN523667 HRO523659:HRR523667 HHS523659:HHV523667 GXW523659:GXZ523667 GOA523659:GOD523667 GEE523659:GEH523667 FUI523659:FUL523667 FKM523659:FKP523667 FAQ523659:FAT523667 EQU523659:EQX523667 EGY523659:EHB523667 DXC523659:DXF523667 DNG523659:DNJ523667 DDK523659:DDN523667 CTO523659:CTR523667 CJS523659:CJV523667 BZW523659:BZZ523667 BQA523659:BQD523667 BGE523659:BGH523667 AWI523659:AWL523667 AMM523659:AMP523667 ACQ523659:ACT523667 SU523659:SX523667 IY523659:JB523667 C523659:F523667 WVK458123:WVN458131 WLO458123:WLR458131 WBS458123:WBV458131 VRW458123:VRZ458131 VIA458123:VID458131 UYE458123:UYH458131 UOI458123:UOL458131 UEM458123:UEP458131 TUQ458123:TUT458131 TKU458123:TKX458131 TAY458123:TBB458131 SRC458123:SRF458131 SHG458123:SHJ458131 RXK458123:RXN458131 RNO458123:RNR458131 RDS458123:RDV458131 QTW458123:QTZ458131 QKA458123:QKD458131 QAE458123:QAH458131 PQI458123:PQL458131 PGM458123:PGP458131 OWQ458123:OWT458131 OMU458123:OMX458131 OCY458123:ODB458131 NTC458123:NTF458131 NJG458123:NJJ458131 MZK458123:MZN458131 MPO458123:MPR458131 MFS458123:MFV458131 LVW458123:LVZ458131 LMA458123:LMD458131 LCE458123:LCH458131 KSI458123:KSL458131 KIM458123:KIP458131 JYQ458123:JYT458131 JOU458123:JOX458131 JEY458123:JFB458131 IVC458123:IVF458131 ILG458123:ILJ458131 IBK458123:IBN458131 HRO458123:HRR458131 HHS458123:HHV458131 GXW458123:GXZ458131 GOA458123:GOD458131 GEE458123:GEH458131 FUI458123:FUL458131 FKM458123:FKP458131 FAQ458123:FAT458131 EQU458123:EQX458131 EGY458123:EHB458131 DXC458123:DXF458131 DNG458123:DNJ458131 DDK458123:DDN458131 CTO458123:CTR458131 CJS458123:CJV458131 BZW458123:BZZ458131 BQA458123:BQD458131 BGE458123:BGH458131 AWI458123:AWL458131 AMM458123:AMP458131 ACQ458123:ACT458131 SU458123:SX458131 IY458123:JB458131 C458123:F458131 WVK392587:WVN392595 WLO392587:WLR392595 WBS392587:WBV392595 VRW392587:VRZ392595 VIA392587:VID392595 UYE392587:UYH392595 UOI392587:UOL392595 UEM392587:UEP392595 TUQ392587:TUT392595 TKU392587:TKX392595 TAY392587:TBB392595 SRC392587:SRF392595 SHG392587:SHJ392595 RXK392587:RXN392595 RNO392587:RNR392595 RDS392587:RDV392595 QTW392587:QTZ392595 QKA392587:QKD392595 QAE392587:QAH392595 PQI392587:PQL392595 PGM392587:PGP392595 OWQ392587:OWT392595 OMU392587:OMX392595 OCY392587:ODB392595 NTC392587:NTF392595 NJG392587:NJJ392595 MZK392587:MZN392595 MPO392587:MPR392595 MFS392587:MFV392595 LVW392587:LVZ392595 LMA392587:LMD392595 LCE392587:LCH392595 KSI392587:KSL392595 KIM392587:KIP392595 JYQ392587:JYT392595 JOU392587:JOX392595 JEY392587:JFB392595 IVC392587:IVF392595 ILG392587:ILJ392595 IBK392587:IBN392595 HRO392587:HRR392595 HHS392587:HHV392595 GXW392587:GXZ392595 GOA392587:GOD392595 GEE392587:GEH392595 FUI392587:FUL392595 FKM392587:FKP392595 FAQ392587:FAT392595 EQU392587:EQX392595 EGY392587:EHB392595 DXC392587:DXF392595 DNG392587:DNJ392595 DDK392587:DDN392595 CTO392587:CTR392595 CJS392587:CJV392595 BZW392587:BZZ392595 BQA392587:BQD392595 BGE392587:BGH392595 AWI392587:AWL392595 AMM392587:AMP392595 ACQ392587:ACT392595 SU392587:SX392595 IY392587:JB392595 C392587:F392595 WVK327051:WVN327059 WLO327051:WLR327059 WBS327051:WBV327059 VRW327051:VRZ327059 VIA327051:VID327059 UYE327051:UYH327059 UOI327051:UOL327059 UEM327051:UEP327059 TUQ327051:TUT327059 TKU327051:TKX327059 TAY327051:TBB327059 SRC327051:SRF327059 SHG327051:SHJ327059 RXK327051:RXN327059 RNO327051:RNR327059 RDS327051:RDV327059 QTW327051:QTZ327059 QKA327051:QKD327059 QAE327051:QAH327059 PQI327051:PQL327059 PGM327051:PGP327059 OWQ327051:OWT327059 OMU327051:OMX327059 OCY327051:ODB327059 NTC327051:NTF327059 NJG327051:NJJ327059 MZK327051:MZN327059 MPO327051:MPR327059 MFS327051:MFV327059 LVW327051:LVZ327059 LMA327051:LMD327059 LCE327051:LCH327059 KSI327051:KSL327059 KIM327051:KIP327059 JYQ327051:JYT327059 JOU327051:JOX327059 JEY327051:JFB327059 IVC327051:IVF327059 ILG327051:ILJ327059 IBK327051:IBN327059 HRO327051:HRR327059 HHS327051:HHV327059 GXW327051:GXZ327059 GOA327051:GOD327059 GEE327051:GEH327059 FUI327051:FUL327059 FKM327051:FKP327059 FAQ327051:FAT327059 EQU327051:EQX327059 EGY327051:EHB327059 DXC327051:DXF327059 DNG327051:DNJ327059 DDK327051:DDN327059 CTO327051:CTR327059 CJS327051:CJV327059 BZW327051:BZZ327059 BQA327051:BQD327059 BGE327051:BGH327059 AWI327051:AWL327059 AMM327051:AMP327059 ACQ327051:ACT327059 SU327051:SX327059 IY327051:JB327059 C327051:F327059 WVK261515:WVN261523 WLO261515:WLR261523 WBS261515:WBV261523 VRW261515:VRZ261523 VIA261515:VID261523 UYE261515:UYH261523 UOI261515:UOL261523 UEM261515:UEP261523 TUQ261515:TUT261523 TKU261515:TKX261523 TAY261515:TBB261523 SRC261515:SRF261523 SHG261515:SHJ261523 RXK261515:RXN261523 RNO261515:RNR261523 RDS261515:RDV261523 QTW261515:QTZ261523 QKA261515:QKD261523 QAE261515:QAH261523 PQI261515:PQL261523 PGM261515:PGP261523 OWQ261515:OWT261523 OMU261515:OMX261523 OCY261515:ODB261523 NTC261515:NTF261523 NJG261515:NJJ261523 MZK261515:MZN261523 MPO261515:MPR261523 MFS261515:MFV261523 LVW261515:LVZ261523 LMA261515:LMD261523 LCE261515:LCH261523 KSI261515:KSL261523 KIM261515:KIP261523 JYQ261515:JYT261523 JOU261515:JOX261523 JEY261515:JFB261523 IVC261515:IVF261523 ILG261515:ILJ261523 IBK261515:IBN261523 HRO261515:HRR261523 HHS261515:HHV261523 GXW261515:GXZ261523 GOA261515:GOD261523 GEE261515:GEH261523 FUI261515:FUL261523 FKM261515:FKP261523 FAQ261515:FAT261523 EQU261515:EQX261523 EGY261515:EHB261523 DXC261515:DXF261523 DNG261515:DNJ261523 DDK261515:DDN261523 CTO261515:CTR261523 CJS261515:CJV261523 BZW261515:BZZ261523 BQA261515:BQD261523 BGE261515:BGH261523 AWI261515:AWL261523 AMM261515:AMP261523 ACQ261515:ACT261523 SU261515:SX261523 IY261515:JB261523 C261515:F261523 WVK195979:WVN195987 WLO195979:WLR195987 WBS195979:WBV195987 VRW195979:VRZ195987 VIA195979:VID195987 UYE195979:UYH195987 UOI195979:UOL195987 UEM195979:UEP195987 TUQ195979:TUT195987 TKU195979:TKX195987 TAY195979:TBB195987 SRC195979:SRF195987 SHG195979:SHJ195987 RXK195979:RXN195987 RNO195979:RNR195987 RDS195979:RDV195987 QTW195979:QTZ195987 QKA195979:QKD195987 QAE195979:QAH195987 PQI195979:PQL195987 PGM195979:PGP195987 OWQ195979:OWT195987 OMU195979:OMX195987 OCY195979:ODB195987 NTC195979:NTF195987 NJG195979:NJJ195987 MZK195979:MZN195987 MPO195979:MPR195987 MFS195979:MFV195987 LVW195979:LVZ195987 LMA195979:LMD195987 LCE195979:LCH195987 KSI195979:KSL195987 KIM195979:KIP195987 JYQ195979:JYT195987 JOU195979:JOX195987 JEY195979:JFB195987 IVC195979:IVF195987 ILG195979:ILJ195987 IBK195979:IBN195987 HRO195979:HRR195987 HHS195979:HHV195987 GXW195979:GXZ195987 GOA195979:GOD195987 GEE195979:GEH195987 FUI195979:FUL195987 FKM195979:FKP195987 FAQ195979:FAT195987 EQU195979:EQX195987 EGY195979:EHB195987 DXC195979:DXF195987 DNG195979:DNJ195987 DDK195979:DDN195987 CTO195979:CTR195987 CJS195979:CJV195987 BZW195979:BZZ195987 BQA195979:BQD195987 BGE195979:BGH195987 AWI195979:AWL195987 AMM195979:AMP195987 ACQ195979:ACT195987 SU195979:SX195987 IY195979:JB195987 C195979:F195987 WVK130443:WVN130451 WLO130443:WLR130451 WBS130443:WBV130451 VRW130443:VRZ130451 VIA130443:VID130451 UYE130443:UYH130451 UOI130443:UOL130451 UEM130443:UEP130451 TUQ130443:TUT130451 TKU130443:TKX130451 TAY130443:TBB130451 SRC130443:SRF130451 SHG130443:SHJ130451 RXK130443:RXN130451 RNO130443:RNR130451 RDS130443:RDV130451 QTW130443:QTZ130451 QKA130443:QKD130451 QAE130443:QAH130451 PQI130443:PQL130451 PGM130443:PGP130451 OWQ130443:OWT130451 OMU130443:OMX130451 OCY130443:ODB130451 NTC130443:NTF130451 NJG130443:NJJ130451 MZK130443:MZN130451 MPO130443:MPR130451 MFS130443:MFV130451 LVW130443:LVZ130451 LMA130443:LMD130451 LCE130443:LCH130451 KSI130443:KSL130451 KIM130443:KIP130451 JYQ130443:JYT130451 JOU130443:JOX130451 JEY130443:JFB130451 IVC130443:IVF130451 ILG130443:ILJ130451 IBK130443:IBN130451 HRO130443:HRR130451 HHS130443:HHV130451 GXW130443:GXZ130451 GOA130443:GOD130451 GEE130443:GEH130451 FUI130443:FUL130451 FKM130443:FKP130451 FAQ130443:FAT130451 EQU130443:EQX130451 EGY130443:EHB130451 DXC130443:DXF130451 DNG130443:DNJ130451 DDK130443:DDN130451 CTO130443:CTR130451 CJS130443:CJV130451 BZW130443:BZZ130451 BQA130443:BQD130451 BGE130443:BGH130451 AWI130443:AWL130451 AMM130443:AMP130451 ACQ130443:ACT130451 SU130443:SX130451 IY130443:JB130451 C130443:F130451 WVK64907:WVN64915 WLO64907:WLR64915 WBS64907:WBV64915 VRW64907:VRZ64915 VIA64907:VID64915 UYE64907:UYH64915 UOI64907:UOL64915 UEM64907:UEP64915 TUQ64907:TUT64915 TKU64907:TKX64915 TAY64907:TBB64915 SRC64907:SRF64915 SHG64907:SHJ64915 RXK64907:RXN64915 RNO64907:RNR64915 RDS64907:RDV64915 QTW64907:QTZ64915 QKA64907:QKD64915 QAE64907:QAH64915 PQI64907:PQL64915 PGM64907:PGP64915 OWQ64907:OWT64915 OMU64907:OMX64915 OCY64907:ODB64915 NTC64907:NTF64915 NJG64907:NJJ64915 MZK64907:MZN64915 MPO64907:MPR64915 MFS64907:MFV64915 LVW64907:LVZ64915 LMA64907:LMD64915 LCE64907:LCH64915 KSI64907:KSL64915 KIM64907:KIP64915 JYQ64907:JYT64915 JOU64907:JOX64915 JEY64907:JFB64915 IVC64907:IVF64915 ILG64907:ILJ64915 IBK64907:IBN64915 HRO64907:HRR64915 HHS64907:HHV64915 GXW64907:GXZ64915 GOA64907:GOD64915 GEE64907:GEH64915 FUI64907:FUL64915 FKM64907:FKP64915 FAQ64907:FAT64915 EQU64907:EQX64915 EGY64907:EHB64915 DXC64907:DXF64915 DNG64907:DNJ64915 DDK64907:DDN64915 CTO64907:CTR64915 CJS64907:CJV64915 BZW64907:BZZ64915 BQA64907:BQD64915 BGE64907:BGH64915 AWI64907:AWL64915 AMM64907:AMP64915 ACQ64907:ACT64915 SU64907:SX64915 IY64907:JB64915 C64907:F64915 WVS982411:WVV982419 WLW982411:WLZ982419 WCA982411:WCD982419 VSE982411:VSH982419 VII982411:VIL982419 UYM982411:UYP982419 UOQ982411:UOT982419 UEU982411:UEX982419 TUY982411:TVB982419 TLC982411:TLF982419 TBG982411:TBJ982419 SRK982411:SRN982419 SHO982411:SHR982419 RXS982411:RXV982419 RNW982411:RNZ982419 REA982411:RED982419 QUE982411:QUH982419 QKI982411:QKL982419 QAM982411:QAP982419 PQQ982411:PQT982419 PGU982411:PGX982419 OWY982411:OXB982419 ONC982411:ONF982419 ODG982411:ODJ982419 NTK982411:NTN982419 NJO982411:NJR982419 MZS982411:MZV982419 MPW982411:MPZ982419 MGA982411:MGD982419 LWE982411:LWH982419 LMI982411:LML982419 LCM982411:LCP982419 KSQ982411:KST982419 KIU982411:KIX982419 JYY982411:JZB982419 JPC982411:JPF982419 JFG982411:JFJ982419 IVK982411:IVN982419 ILO982411:ILR982419 IBS982411:IBV982419 HRW982411:HRZ982419 HIA982411:HID982419 GYE982411:GYH982419 GOI982411:GOL982419 GEM982411:GEP982419 FUQ982411:FUT982419 FKU982411:FKX982419 FAY982411:FBB982419 ERC982411:ERF982419 EHG982411:EHJ982419 DXK982411:DXN982419 DNO982411:DNR982419 DDS982411:DDV982419 CTW982411:CTZ982419 CKA982411:CKD982419 CAE982411:CAH982419 BQI982411:BQL982419 BGM982411:BGP982419 AWQ982411:AWT982419 AMU982411:AMX982419 ACY982411:ADB982419 TC982411:TF982419 JG982411:JJ982419 K982411:N982419 WVS916875:WVV916883 WLW916875:WLZ916883 WCA916875:WCD916883 VSE916875:VSH916883 VII916875:VIL916883 UYM916875:UYP916883 UOQ916875:UOT916883 UEU916875:UEX916883 TUY916875:TVB916883 TLC916875:TLF916883 TBG916875:TBJ916883 SRK916875:SRN916883 SHO916875:SHR916883 RXS916875:RXV916883 RNW916875:RNZ916883 REA916875:RED916883 QUE916875:QUH916883 QKI916875:QKL916883 QAM916875:QAP916883 PQQ916875:PQT916883 PGU916875:PGX916883 OWY916875:OXB916883 ONC916875:ONF916883 ODG916875:ODJ916883 NTK916875:NTN916883 NJO916875:NJR916883 MZS916875:MZV916883 MPW916875:MPZ916883 MGA916875:MGD916883 LWE916875:LWH916883 LMI916875:LML916883 LCM916875:LCP916883 KSQ916875:KST916883 KIU916875:KIX916883 JYY916875:JZB916883 JPC916875:JPF916883 JFG916875:JFJ916883 IVK916875:IVN916883 ILO916875:ILR916883 IBS916875:IBV916883 HRW916875:HRZ916883 HIA916875:HID916883 GYE916875:GYH916883 GOI916875:GOL916883 GEM916875:GEP916883 FUQ916875:FUT916883 FKU916875:FKX916883 FAY916875:FBB916883 ERC916875:ERF916883 EHG916875:EHJ916883 DXK916875:DXN916883 DNO916875:DNR916883 DDS916875:DDV916883 CTW916875:CTZ916883 CKA916875:CKD916883 CAE916875:CAH916883 BQI916875:BQL916883 BGM916875:BGP916883 AWQ916875:AWT916883 AMU916875:AMX916883 ACY916875:ADB916883 TC916875:TF916883 JG916875:JJ916883 K916875:N916883 WVS851339:WVV851347 WLW851339:WLZ851347 WCA851339:WCD851347 VSE851339:VSH851347 VII851339:VIL851347 UYM851339:UYP851347 UOQ851339:UOT851347 UEU851339:UEX851347 TUY851339:TVB851347 TLC851339:TLF851347 TBG851339:TBJ851347 SRK851339:SRN851347 SHO851339:SHR851347 RXS851339:RXV851347 RNW851339:RNZ851347 REA851339:RED851347 QUE851339:QUH851347 QKI851339:QKL851347 QAM851339:QAP851347 PQQ851339:PQT851347 PGU851339:PGX851347 OWY851339:OXB851347 ONC851339:ONF851347 ODG851339:ODJ851347 NTK851339:NTN851347 NJO851339:NJR851347 MZS851339:MZV851347 MPW851339:MPZ851347 MGA851339:MGD851347 LWE851339:LWH851347 LMI851339:LML851347 LCM851339:LCP851347 KSQ851339:KST851347 KIU851339:KIX851347 JYY851339:JZB851347 JPC851339:JPF851347 JFG851339:JFJ851347 IVK851339:IVN851347 ILO851339:ILR851347 IBS851339:IBV851347 HRW851339:HRZ851347 HIA851339:HID851347 GYE851339:GYH851347 GOI851339:GOL851347 GEM851339:GEP851347 FUQ851339:FUT851347 FKU851339:FKX851347 FAY851339:FBB851347 ERC851339:ERF851347 EHG851339:EHJ851347 DXK851339:DXN851347 DNO851339:DNR851347 DDS851339:DDV851347 CTW851339:CTZ851347 CKA851339:CKD851347 CAE851339:CAH851347 BQI851339:BQL851347 BGM851339:BGP851347 AWQ851339:AWT851347 AMU851339:AMX851347 ACY851339:ADB851347 TC851339:TF851347 JG851339:JJ851347 K851339:N851347 WVS785803:WVV785811 WLW785803:WLZ785811 WCA785803:WCD785811 VSE785803:VSH785811 VII785803:VIL785811 UYM785803:UYP785811 UOQ785803:UOT785811 UEU785803:UEX785811 TUY785803:TVB785811 TLC785803:TLF785811 TBG785803:TBJ785811 SRK785803:SRN785811 SHO785803:SHR785811 RXS785803:RXV785811 RNW785803:RNZ785811 REA785803:RED785811 QUE785803:QUH785811 QKI785803:QKL785811 QAM785803:QAP785811 PQQ785803:PQT785811 PGU785803:PGX785811 OWY785803:OXB785811 ONC785803:ONF785811 ODG785803:ODJ785811 NTK785803:NTN785811 NJO785803:NJR785811 MZS785803:MZV785811 MPW785803:MPZ785811 MGA785803:MGD785811 LWE785803:LWH785811 LMI785803:LML785811 LCM785803:LCP785811 KSQ785803:KST785811 KIU785803:KIX785811 JYY785803:JZB785811 JPC785803:JPF785811 JFG785803:JFJ785811 IVK785803:IVN785811 ILO785803:ILR785811 IBS785803:IBV785811 HRW785803:HRZ785811 HIA785803:HID785811 GYE785803:GYH785811 GOI785803:GOL785811 GEM785803:GEP785811 FUQ785803:FUT785811 FKU785803:FKX785811 FAY785803:FBB785811 ERC785803:ERF785811 EHG785803:EHJ785811 DXK785803:DXN785811 DNO785803:DNR785811 DDS785803:DDV785811 CTW785803:CTZ785811 CKA785803:CKD785811 CAE785803:CAH785811 BQI785803:BQL785811 BGM785803:BGP785811 AWQ785803:AWT785811 AMU785803:AMX785811 ACY785803:ADB785811 TC785803:TF785811 JG785803:JJ785811 K785803:N785811 WVS720267:WVV720275 WLW720267:WLZ720275 WCA720267:WCD720275 VSE720267:VSH720275 VII720267:VIL720275 UYM720267:UYP720275 UOQ720267:UOT720275 UEU720267:UEX720275 TUY720267:TVB720275 TLC720267:TLF720275 TBG720267:TBJ720275 SRK720267:SRN720275 SHO720267:SHR720275 RXS720267:RXV720275 RNW720267:RNZ720275 REA720267:RED720275 QUE720267:QUH720275 QKI720267:QKL720275 QAM720267:QAP720275 PQQ720267:PQT720275 PGU720267:PGX720275 OWY720267:OXB720275 ONC720267:ONF720275 ODG720267:ODJ720275 NTK720267:NTN720275 NJO720267:NJR720275 MZS720267:MZV720275 MPW720267:MPZ720275 MGA720267:MGD720275 LWE720267:LWH720275 LMI720267:LML720275 LCM720267:LCP720275 KSQ720267:KST720275 KIU720267:KIX720275 JYY720267:JZB720275 JPC720267:JPF720275 JFG720267:JFJ720275 IVK720267:IVN720275 ILO720267:ILR720275 IBS720267:IBV720275 HRW720267:HRZ720275 HIA720267:HID720275 GYE720267:GYH720275 GOI720267:GOL720275 GEM720267:GEP720275 FUQ720267:FUT720275 FKU720267:FKX720275 FAY720267:FBB720275 ERC720267:ERF720275 EHG720267:EHJ720275 DXK720267:DXN720275 DNO720267:DNR720275 DDS720267:DDV720275 CTW720267:CTZ720275 CKA720267:CKD720275 CAE720267:CAH720275 BQI720267:BQL720275 BGM720267:BGP720275 AWQ720267:AWT720275 AMU720267:AMX720275 ACY720267:ADB720275 TC720267:TF720275 JG720267:JJ720275 K720267:N720275 WVS654731:WVV654739 WLW654731:WLZ654739 WCA654731:WCD654739 VSE654731:VSH654739 VII654731:VIL654739 UYM654731:UYP654739 UOQ654731:UOT654739 UEU654731:UEX654739 TUY654731:TVB654739 TLC654731:TLF654739 TBG654731:TBJ654739 SRK654731:SRN654739 SHO654731:SHR654739 RXS654731:RXV654739 RNW654731:RNZ654739 REA654731:RED654739 QUE654731:QUH654739 QKI654731:QKL654739 QAM654731:QAP654739 PQQ654731:PQT654739 PGU654731:PGX654739 OWY654731:OXB654739 ONC654731:ONF654739 ODG654731:ODJ654739 NTK654731:NTN654739 NJO654731:NJR654739 MZS654731:MZV654739 MPW654731:MPZ654739 MGA654731:MGD654739 LWE654731:LWH654739 LMI654731:LML654739 LCM654731:LCP654739 KSQ654731:KST654739 KIU654731:KIX654739 JYY654731:JZB654739 JPC654731:JPF654739 JFG654731:JFJ654739 IVK654731:IVN654739 ILO654731:ILR654739 IBS654731:IBV654739 HRW654731:HRZ654739 HIA654731:HID654739 GYE654731:GYH654739 GOI654731:GOL654739 GEM654731:GEP654739 FUQ654731:FUT654739 FKU654731:FKX654739 FAY654731:FBB654739 ERC654731:ERF654739 EHG654731:EHJ654739 DXK654731:DXN654739 DNO654731:DNR654739 DDS654731:DDV654739 CTW654731:CTZ654739 CKA654731:CKD654739 CAE654731:CAH654739 BQI654731:BQL654739 BGM654731:BGP654739 AWQ654731:AWT654739 AMU654731:AMX654739 ACY654731:ADB654739 TC654731:TF654739 JG654731:JJ654739 K654731:N654739 WVS589195:WVV589203 WLW589195:WLZ589203 WCA589195:WCD589203 VSE589195:VSH589203 VII589195:VIL589203 UYM589195:UYP589203 UOQ589195:UOT589203 UEU589195:UEX589203 TUY589195:TVB589203 TLC589195:TLF589203 TBG589195:TBJ589203 SRK589195:SRN589203 SHO589195:SHR589203 RXS589195:RXV589203 RNW589195:RNZ589203 REA589195:RED589203 QUE589195:QUH589203 QKI589195:QKL589203 QAM589195:QAP589203 PQQ589195:PQT589203 PGU589195:PGX589203 OWY589195:OXB589203 ONC589195:ONF589203 ODG589195:ODJ589203 NTK589195:NTN589203 NJO589195:NJR589203 MZS589195:MZV589203 MPW589195:MPZ589203 MGA589195:MGD589203 LWE589195:LWH589203 LMI589195:LML589203 LCM589195:LCP589203 KSQ589195:KST589203 KIU589195:KIX589203 JYY589195:JZB589203 JPC589195:JPF589203 JFG589195:JFJ589203 IVK589195:IVN589203 ILO589195:ILR589203 IBS589195:IBV589203 HRW589195:HRZ589203 HIA589195:HID589203 GYE589195:GYH589203 GOI589195:GOL589203 GEM589195:GEP589203 FUQ589195:FUT589203 FKU589195:FKX589203 FAY589195:FBB589203 ERC589195:ERF589203 EHG589195:EHJ589203 DXK589195:DXN589203 DNO589195:DNR589203 DDS589195:DDV589203 CTW589195:CTZ589203 CKA589195:CKD589203 CAE589195:CAH589203 BQI589195:BQL589203 BGM589195:BGP589203 AWQ589195:AWT589203 AMU589195:AMX589203 ACY589195:ADB589203 TC589195:TF589203 JG589195:JJ589203 K589195:N589203 WVS523659:WVV523667 WLW523659:WLZ523667 WCA523659:WCD523667 VSE523659:VSH523667 VII523659:VIL523667 UYM523659:UYP523667 UOQ523659:UOT523667 UEU523659:UEX523667 TUY523659:TVB523667 TLC523659:TLF523667 TBG523659:TBJ523667 SRK523659:SRN523667 SHO523659:SHR523667 RXS523659:RXV523667 RNW523659:RNZ523667 REA523659:RED523667 QUE523659:QUH523667 QKI523659:QKL523667 QAM523659:QAP523667 PQQ523659:PQT523667 PGU523659:PGX523667 OWY523659:OXB523667 ONC523659:ONF523667 ODG523659:ODJ523667 NTK523659:NTN523667 NJO523659:NJR523667 MZS523659:MZV523667 MPW523659:MPZ523667 MGA523659:MGD523667 LWE523659:LWH523667 LMI523659:LML523667 LCM523659:LCP523667 KSQ523659:KST523667 KIU523659:KIX523667 JYY523659:JZB523667 JPC523659:JPF523667 JFG523659:JFJ523667 IVK523659:IVN523667 ILO523659:ILR523667 IBS523659:IBV523667 HRW523659:HRZ523667 HIA523659:HID523667 GYE523659:GYH523667 GOI523659:GOL523667 GEM523659:GEP523667 FUQ523659:FUT523667 FKU523659:FKX523667 FAY523659:FBB523667 ERC523659:ERF523667 EHG523659:EHJ523667 DXK523659:DXN523667 DNO523659:DNR523667 DDS523659:DDV523667 CTW523659:CTZ523667 CKA523659:CKD523667 CAE523659:CAH523667 BQI523659:BQL523667 BGM523659:BGP523667 AWQ523659:AWT523667 AMU523659:AMX523667 ACY523659:ADB523667 TC523659:TF523667 JG523659:JJ523667 K523659:N523667 WVS458123:WVV458131 WLW458123:WLZ458131 WCA458123:WCD458131 VSE458123:VSH458131 VII458123:VIL458131 UYM458123:UYP458131 UOQ458123:UOT458131 UEU458123:UEX458131 TUY458123:TVB458131 TLC458123:TLF458131 TBG458123:TBJ458131 SRK458123:SRN458131 SHO458123:SHR458131 RXS458123:RXV458131 RNW458123:RNZ458131 REA458123:RED458131 QUE458123:QUH458131 QKI458123:QKL458131 QAM458123:QAP458131 PQQ458123:PQT458131 PGU458123:PGX458131 OWY458123:OXB458131 ONC458123:ONF458131 ODG458123:ODJ458131 NTK458123:NTN458131 NJO458123:NJR458131 MZS458123:MZV458131 MPW458123:MPZ458131 MGA458123:MGD458131 LWE458123:LWH458131 LMI458123:LML458131 LCM458123:LCP458131 KSQ458123:KST458131 KIU458123:KIX458131 JYY458123:JZB458131 JPC458123:JPF458131 JFG458123:JFJ458131 IVK458123:IVN458131 ILO458123:ILR458131 IBS458123:IBV458131 HRW458123:HRZ458131 HIA458123:HID458131 GYE458123:GYH458131 GOI458123:GOL458131 GEM458123:GEP458131 FUQ458123:FUT458131 FKU458123:FKX458131 FAY458123:FBB458131 ERC458123:ERF458131 EHG458123:EHJ458131 DXK458123:DXN458131 DNO458123:DNR458131 DDS458123:DDV458131 CTW458123:CTZ458131 CKA458123:CKD458131 CAE458123:CAH458131 BQI458123:BQL458131 BGM458123:BGP458131 AWQ458123:AWT458131 AMU458123:AMX458131 ACY458123:ADB458131 TC458123:TF458131 JG458123:JJ458131 K458123:N458131 WVS392587:WVV392595 WLW392587:WLZ392595 WCA392587:WCD392595 VSE392587:VSH392595 VII392587:VIL392595 UYM392587:UYP392595 UOQ392587:UOT392595 UEU392587:UEX392595 TUY392587:TVB392595 TLC392587:TLF392595 TBG392587:TBJ392595 SRK392587:SRN392595 SHO392587:SHR392595 RXS392587:RXV392595 RNW392587:RNZ392595 REA392587:RED392595 QUE392587:QUH392595 QKI392587:QKL392595 QAM392587:QAP392595 PQQ392587:PQT392595 PGU392587:PGX392595 OWY392587:OXB392595 ONC392587:ONF392595 ODG392587:ODJ392595 NTK392587:NTN392595 NJO392587:NJR392595 MZS392587:MZV392595 MPW392587:MPZ392595 MGA392587:MGD392595 LWE392587:LWH392595 LMI392587:LML392595 LCM392587:LCP392595 KSQ392587:KST392595 KIU392587:KIX392595 JYY392587:JZB392595 JPC392587:JPF392595 JFG392587:JFJ392595 IVK392587:IVN392595 ILO392587:ILR392595 IBS392587:IBV392595 HRW392587:HRZ392595 HIA392587:HID392595 GYE392587:GYH392595 GOI392587:GOL392595 GEM392587:GEP392595 FUQ392587:FUT392595 FKU392587:FKX392595 FAY392587:FBB392595 ERC392587:ERF392595 EHG392587:EHJ392595 DXK392587:DXN392595 DNO392587:DNR392595 DDS392587:DDV392595 CTW392587:CTZ392595 CKA392587:CKD392595 CAE392587:CAH392595 BQI392587:BQL392595 BGM392587:BGP392595 AWQ392587:AWT392595 AMU392587:AMX392595 ACY392587:ADB392595 TC392587:TF392595 JG392587:JJ392595 K392587:N392595 WVS327051:WVV327059 WLW327051:WLZ327059 WCA327051:WCD327059 VSE327051:VSH327059 VII327051:VIL327059 UYM327051:UYP327059 UOQ327051:UOT327059 UEU327051:UEX327059 TUY327051:TVB327059 TLC327051:TLF327059 TBG327051:TBJ327059 SRK327051:SRN327059 SHO327051:SHR327059 RXS327051:RXV327059 RNW327051:RNZ327059 REA327051:RED327059 QUE327051:QUH327059 QKI327051:QKL327059 QAM327051:QAP327059 PQQ327051:PQT327059 PGU327051:PGX327059 OWY327051:OXB327059 ONC327051:ONF327059 ODG327051:ODJ327059 NTK327051:NTN327059 NJO327051:NJR327059 MZS327051:MZV327059 MPW327051:MPZ327059 MGA327051:MGD327059 LWE327051:LWH327059 LMI327051:LML327059 LCM327051:LCP327059 KSQ327051:KST327059 KIU327051:KIX327059 JYY327051:JZB327059 JPC327051:JPF327059 JFG327051:JFJ327059 IVK327051:IVN327059 ILO327051:ILR327059 IBS327051:IBV327059 HRW327051:HRZ327059 HIA327051:HID327059 GYE327051:GYH327059 GOI327051:GOL327059 GEM327051:GEP327059 FUQ327051:FUT327059 FKU327051:FKX327059 FAY327051:FBB327059 ERC327051:ERF327059 EHG327051:EHJ327059 DXK327051:DXN327059 DNO327051:DNR327059 DDS327051:DDV327059 CTW327051:CTZ327059 CKA327051:CKD327059 CAE327051:CAH327059 BQI327051:BQL327059 BGM327051:BGP327059 AWQ327051:AWT327059 AMU327051:AMX327059 ACY327051:ADB327059 TC327051:TF327059 JG327051:JJ327059 K327051:N327059 WVS261515:WVV261523 WLW261515:WLZ261523 WCA261515:WCD261523 VSE261515:VSH261523 VII261515:VIL261523 UYM261515:UYP261523 UOQ261515:UOT261523 UEU261515:UEX261523 TUY261515:TVB261523 TLC261515:TLF261523 TBG261515:TBJ261523 SRK261515:SRN261523 SHO261515:SHR261523 RXS261515:RXV261523 RNW261515:RNZ261523 REA261515:RED261523 QUE261515:QUH261523 QKI261515:QKL261523 QAM261515:QAP261523 PQQ261515:PQT261523 PGU261515:PGX261523 OWY261515:OXB261523 ONC261515:ONF261523 ODG261515:ODJ261523 NTK261515:NTN261523 NJO261515:NJR261523 MZS261515:MZV261523 MPW261515:MPZ261523 MGA261515:MGD261523 LWE261515:LWH261523 LMI261515:LML261523 LCM261515:LCP261523 KSQ261515:KST261523 KIU261515:KIX261523 JYY261515:JZB261523 JPC261515:JPF261523 JFG261515:JFJ261523 IVK261515:IVN261523 ILO261515:ILR261523 IBS261515:IBV261523 HRW261515:HRZ261523 HIA261515:HID261523 GYE261515:GYH261523 GOI261515:GOL261523 GEM261515:GEP261523 FUQ261515:FUT261523 FKU261515:FKX261523 FAY261515:FBB261523 ERC261515:ERF261523 EHG261515:EHJ261523 DXK261515:DXN261523 DNO261515:DNR261523 DDS261515:DDV261523 CTW261515:CTZ261523 CKA261515:CKD261523 CAE261515:CAH261523 BQI261515:BQL261523 BGM261515:BGP261523 AWQ261515:AWT261523 AMU261515:AMX261523 ACY261515:ADB261523 TC261515:TF261523 JG261515:JJ261523 K261515:N261523 WVS195979:WVV195987 WLW195979:WLZ195987 WCA195979:WCD195987 VSE195979:VSH195987 VII195979:VIL195987 UYM195979:UYP195987 UOQ195979:UOT195987 UEU195979:UEX195987 TUY195979:TVB195987 TLC195979:TLF195987 TBG195979:TBJ195987 SRK195979:SRN195987 SHO195979:SHR195987 RXS195979:RXV195987 RNW195979:RNZ195987 REA195979:RED195987 QUE195979:QUH195987 QKI195979:QKL195987 QAM195979:QAP195987 PQQ195979:PQT195987 PGU195979:PGX195987 OWY195979:OXB195987 ONC195979:ONF195987 ODG195979:ODJ195987 NTK195979:NTN195987 NJO195979:NJR195987 MZS195979:MZV195987 MPW195979:MPZ195987 MGA195979:MGD195987 LWE195979:LWH195987 LMI195979:LML195987 LCM195979:LCP195987 KSQ195979:KST195987 KIU195979:KIX195987 JYY195979:JZB195987 JPC195979:JPF195987 JFG195979:JFJ195987 IVK195979:IVN195987 ILO195979:ILR195987 IBS195979:IBV195987 HRW195979:HRZ195987 HIA195979:HID195987 GYE195979:GYH195987 GOI195979:GOL195987 GEM195979:GEP195987 FUQ195979:FUT195987 FKU195979:FKX195987 FAY195979:FBB195987 ERC195979:ERF195987 EHG195979:EHJ195987 DXK195979:DXN195987 DNO195979:DNR195987 DDS195979:DDV195987 CTW195979:CTZ195987 CKA195979:CKD195987 CAE195979:CAH195987 BQI195979:BQL195987 BGM195979:BGP195987 AWQ195979:AWT195987 AMU195979:AMX195987 ACY195979:ADB195987 TC195979:TF195987 JG195979:JJ195987 K195979:N195987 WVS130443:WVV130451 WLW130443:WLZ130451 WCA130443:WCD130451 VSE130443:VSH130451 VII130443:VIL130451 UYM130443:UYP130451 UOQ130443:UOT130451 UEU130443:UEX130451 TUY130443:TVB130451 TLC130443:TLF130451 TBG130443:TBJ130451 SRK130443:SRN130451 SHO130443:SHR130451 RXS130443:RXV130451 RNW130443:RNZ130451 REA130443:RED130451 QUE130443:QUH130451 QKI130443:QKL130451 QAM130443:QAP130451 PQQ130443:PQT130451 PGU130443:PGX130451 OWY130443:OXB130451 ONC130443:ONF130451 ODG130443:ODJ130451 NTK130443:NTN130451 NJO130443:NJR130451 MZS130443:MZV130451 MPW130443:MPZ130451 MGA130443:MGD130451 LWE130443:LWH130451 LMI130443:LML130451 LCM130443:LCP130451 KSQ130443:KST130451 KIU130443:KIX130451 JYY130443:JZB130451 JPC130443:JPF130451 JFG130443:JFJ130451 IVK130443:IVN130451 ILO130443:ILR130451 IBS130443:IBV130451 HRW130443:HRZ130451 HIA130443:HID130451 GYE130443:GYH130451 GOI130443:GOL130451 GEM130443:GEP130451 FUQ130443:FUT130451 FKU130443:FKX130451 FAY130443:FBB130451 ERC130443:ERF130451 EHG130443:EHJ130451 DXK130443:DXN130451 DNO130443:DNR130451 DDS130443:DDV130451 CTW130443:CTZ130451 CKA130443:CKD130451 CAE130443:CAH130451 BQI130443:BQL130451 BGM130443:BGP130451 AWQ130443:AWT130451 AMU130443:AMX130451 ACY130443:ADB130451 TC130443:TF130451 JG130443:JJ130451 K130443:N130451 WVS64907:WVV64915 WLW64907:WLZ64915 WCA64907:WCD64915 VSE64907:VSH64915 VII64907:VIL64915 UYM64907:UYP64915 UOQ64907:UOT64915 UEU64907:UEX64915 TUY64907:TVB64915 TLC64907:TLF64915 TBG64907:TBJ64915 SRK64907:SRN64915 SHO64907:SHR64915 RXS64907:RXV64915 RNW64907:RNZ64915 REA64907:RED64915 QUE64907:QUH64915 QKI64907:QKL64915 QAM64907:QAP64915 PQQ64907:PQT64915 PGU64907:PGX64915 OWY64907:OXB64915 ONC64907:ONF64915 ODG64907:ODJ64915 NTK64907:NTN64915 NJO64907:NJR64915 MZS64907:MZV64915 MPW64907:MPZ64915 MGA64907:MGD64915 LWE64907:LWH64915 LMI64907:LML64915 LCM64907:LCP64915 KSQ64907:KST64915 KIU64907:KIX64915 JYY64907:JZB64915 JPC64907:JPF64915 JFG64907:JFJ64915 IVK64907:IVN64915 ILO64907:ILR64915 IBS64907:IBV64915 HRW64907:HRZ64915 HIA64907:HID64915 GYE64907:GYH64915 GOI64907:GOL64915 GEM64907:GEP64915 FUQ64907:FUT64915 FKU64907:FKX64915 FAY64907:FBB64915 ERC64907:ERF64915 EHG64907:EHJ64915 DXK64907:DXN64915 DNO64907:DNR64915 DDS64907:DDV64915 CTW64907:CTZ64915 CKA64907:CKD64915 CAE64907:CAH64915 BQI64907:BQL64915 BGM64907:BGP64915 AWQ64907:AWT64915 AMU64907:AMX64915 ACY64907:ADB64915 TC64907:TF64915 JG64907:JJ64915 K64907:N64915 WVS982423:WVS982450 WLW982423:WLW982450 WCA982423:WCA982450 VSE982423:VSE982450 VII982423:VII982450 UYM982423:UYM982450 UOQ982423:UOQ982450 UEU982423:UEU982450 TUY982423:TUY982450 TLC982423:TLC982450 TBG982423:TBG982450 SRK982423:SRK982450 SHO982423:SHO982450 RXS982423:RXS982450 RNW982423:RNW982450 REA982423:REA982450 QUE982423:QUE982450 QKI982423:QKI982450 QAM982423:QAM982450 PQQ982423:PQQ982450 PGU982423:PGU982450 OWY982423:OWY982450 ONC982423:ONC982450 ODG982423:ODG982450 NTK982423:NTK982450 NJO982423:NJO982450 MZS982423:MZS982450 MPW982423:MPW982450 MGA982423:MGA982450 LWE982423:LWE982450 LMI982423:LMI982450 LCM982423:LCM982450 KSQ982423:KSQ982450 KIU982423:KIU982450 JYY982423:JYY982450 JPC982423:JPC982450 JFG982423:JFG982450 IVK982423:IVK982450 ILO982423:ILO982450 IBS982423:IBS982450 HRW982423:HRW982450 HIA982423:HIA982450 GYE982423:GYE982450 GOI982423:GOI982450 GEM982423:GEM982450 FUQ982423:FUQ982450 FKU982423:FKU982450 FAY982423:FAY982450 ERC982423:ERC982450 EHG982423:EHG982450 DXK982423:DXK982450 DNO982423:DNO982450 DDS982423:DDS982450 CTW982423:CTW982450 CKA982423:CKA982450 CAE982423:CAE982450 BQI982423:BQI982450 BGM982423:BGM982450 AWQ982423:AWQ982450 AMU982423:AMU982450 ACY982423:ACY982450 TC982423:TC982450 JG982423:JG982450 K982423:K982450 WVS916887:WVS916914 WLW916887:WLW916914 WCA916887:WCA916914 VSE916887:VSE916914 VII916887:VII916914 UYM916887:UYM916914 UOQ916887:UOQ916914 UEU916887:UEU916914 TUY916887:TUY916914 TLC916887:TLC916914 TBG916887:TBG916914 SRK916887:SRK916914 SHO916887:SHO916914 RXS916887:RXS916914 RNW916887:RNW916914 REA916887:REA916914 QUE916887:QUE916914 QKI916887:QKI916914 QAM916887:QAM916914 PQQ916887:PQQ916914 PGU916887:PGU916914 OWY916887:OWY916914 ONC916887:ONC916914 ODG916887:ODG916914 NTK916887:NTK916914 NJO916887:NJO916914 MZS916887:MZS916914 MPW916887:MPW916914 MGA916887:MGA916914 LWE916887:LWE916914 LMI916887:LMI916914 LCM916887:LCM916914 KSQ916887:KSQ916914 KIU916887:KIU916914 JYY916887:JYY916914 JPC916887:JPC916914 JFG916887:JFG916914 IVK916887:IVK916914 ILO916887:ILO916914 IBS916887:IBS916914 HRW916887:HRW916914 HIA916887:HIA916914 GYE916887:GYE916914 GOI916887:GOI916914 GEM916887:GEM916914 FUQ916887:FUQ916914 FKU916887:FKU916914 FAY916887:FAY916914 ERC916887:ERC916914 EHG916887:EHG916914 DXK916887:DXK916914 DNO916887:DNO916914 DDS916887:DDS916914 CTW916887:CTW916914 CKA916887:CKA916914 CAE916887:CAE916914 BQI916887:BQI916914 BGM916887:BGM916914 AWQ916887:AWQ916914 AMU916887:AMU916914 ACY916887:ACY916914 TC916887:TC916914 JG916887:JG916914 K916887:K916914 WVS851351:WVS851378 WLW851351:WLW851378 WCA851351:WCA851378 VSE851351:VSE851378 VII851351:VII851378 UYM851351:UYM851378 UOQ851351:UOQ851378 UEU851351:UEU851378 TUY851351:TUY851378 TLC851351:TLC851378 TBG851351:TBG851378 SRK851351:SRK851378 SHO851351:SHO851378 RXS851351:RXS851378 RNW851351:RNW851378 REA851351:REA851378 QUE851351:QUE851378 QKI851351:QKI851378 QAM851351:QAM851378 PQQ851351:PQQ851378 PGU851351:PGU851378 OWY851351:OWY851378 ONC851351:ONC851378 ODG851351:ODG851378 NTK851351:NTK851378 NJO851351:NJO851378 MZS851351:MZS851378 MPW851351:MPW851378 MGA851351:MGA851378 LWE851351:LWE851378 LMI851351:LMI851378 LCM851351:LCM851378 KSQ851351:KSQ851378 KIU851351:KIU851378 JYY851351:JYY851378 JPC851351:JPC851378 JFG851351:JFG851378 IVK851351:IVK851378 ILO851351:ILO851378 IBS851351:IBS851378 HRW851351:HRW851378 HIA851351:HIA851378 GYE851351:GYE851378 GOI851351:GOI851378 GEM851351:GEM851378 FUQ851351:FUQ851378 FKU851351:FKU851378 FAY851351:FAY851378 ERC851351:ERC851378 EHG851351:EHG851378 DXK851351:DXK851378 DNO851351:DNO851378 DDS851351:DDS851378 CTW851351:CTW851378 CKA851351:CKA851378 CAE851351:CAE851378 BQI851351:BQI851378 BGM851351:BGM851378 AWQ851351:AWQ851378 AMU851351:AMU851378 ACY851351:ACY851378 TC851351:TC851378 JG851351:JG851378 K851351:K851378 WVS785815:WVS785842 WLW785815:WLW785842 WCA785815:WCA785842 VSE785815:VSE785842 VII785815:VII785842 UYM785815:UYM785842 UOQ785815:UOQ785842 UEU785815:UEU785842 TUY785815:TUY785842 TLC785815:TLC785842 TBG785815:TBG785842 SRK785815:SRK785842 SHO785815:SHO785842 RXS785815:RXS785842 RNW785815:RNW785842 REA785815:REA785842 QUE785815:QUE785842 QKI785815:QKI785842 QAM785815:QAM785842 PQQ785815:PQQ785842 PGU785815:PGU785842 OWY785815:OWY785842 ONC785815:ONC785842 ODG785815:ODG785842 NTK785815:NTK785842 NJO785815:NJO785842 MZS785815:MZS785842 MPW785815:MPW785842 MGA785815:MGA785842 LWE785815:LWE785842 LMI785815:LMI785842 LCM785815:LCM785842 KSQ785815:KSQ785842 KIU785815:KIU785842 JYY785815:JYY785842 JPC785815:JPC785842 JFG785815:JFG785842 IVK785815:IVK785842 ILO785815:ILO785842 IBS785815:IBS785842 HRW785815:HRW785842 HIA785815:HIA785842 GYE785815:GYE785842 GOI785815:GOI785842 GEM785815:GEM785842 FUQ785815:FUQ785842 FKU785815:FKU785842 FAY785815:FAY785842 ERC785815:ERC785842 EHG785815:EHG785842 DXK785815:DXK785842 DNO785815:DNO785842 DDS785815:DDS785842 CTW785815:CTW785842 CKA785815:CKA785842 CAE785815:CAE785842 BQI785815:BQI785842 BGM785815:BGM785842 AWQ785815:AWQ785842 AMU785815:AMU785842 ACY785815:ACY785842 TC785815:TC785842 JG785815:JG785842 K785815:K785842 WVS720279:WVS720306 WLW720279:WLW720306 WCA720279:WCA720306 VSE720279:VSE720306 VII720279:VII720306 UYM720279:UYM720306 UOQ720279:UOQ720306 UEU720279:UEU720306 TUY720279:TUY720306 TLC720279:TLC720306 TBG720279:TBG720306 SRK720279:SRK720306 SHO720279:SHO720306 RXS720279:RXS720306 RNW720279:RNW720306 REA720279:REA720306 QUE720279:QUE720306 QKI720279:QKI720306 QAM720279:QAM720306 PQQ720279:PQQ720306 PGU720279:PGU720306 OWY720279:OWY720306 ONC720279:ONC720306 ODG720279:ODG720306 NTK720279:NTK720306 NJO720279:NJO720306 MZS720279:MZS720306 MPW720279:MPW720306 MGA720279:MGA720306 LWE720279:LWE720306 LMI720279:LMI720306 LCM720279:LCM720306 KSQ720279:KSQ720306 KIU720279:KIU720306 JYY720279:JYY720306 JPC720279:JPC720306 JFG720279:JFG720306 IVK720279:IVK720306 ILO720279:ILO720306 IBS720279:IBS720306 HRW720279:HRW720306 HIA720279:HIA720306 GYE720279:GYE720306 GOI720279:GOI720306 GEM720279:GEM720306 FUQ720279:FUQ720306 FKU720279:FKU720306 FAY720279:FAY720306 ERC720279:ERC720306 EHG720279:EHG720306 DXK720279:DXK720306 DNO720279:DNO720306 DDS720279:DDS720306 CTW720279:CTW720306 CKA720279:CKA720306 CAE720279:CAE720306 BQI720279:BQI720306 BGM720279:BGM720306 AWQ720279:AWQ720306 AMU720279:AMU720306 ACY720279:ACY720306 TC720279:TC720306 JG720279:JG720306 K720279:K720306 WVS654743:WVS654770 WLW654743:WLW654770 WCA654743:WCA654770 VSE654743:VSE654770 VII654743:VII654770 UYM654743:UYM654770 UOQ654743:UOQ654770 UEU654743:UEU654770 TUY654743:TUY654770 TLC654743:TLC654770 TBG654743:TBG654770 SRK654743:SRK654770 SHO654743:SHO654770 RXS654743:RXS654770 RNW654743:RNW654770 REA654743:REA654770 QUE654743:QUE654770 QKI654743:QKI654770 QAM654743:QAM654770 PQQ654743:PQQ654770 PGU654743:PGU654770 OWY654743:OWY654770 ONC654743:ONC654770 ODG654743:ODG654770 NTK654743:NTK654770 NJO654743:NJO654770 MZS654743:MZS654770 MPW654743:MPW654770 MGA654743:MGA654770 LWE654743:LWE654770 LMI654743:LMI654770 LCM654743:LCM654770 KSQ654743:KSQ654770 KIU654743:KIU654770 JYY654743:JYY654770 JPC654743:JPC654770 JFG654743:JFG654770 IVK654743:IVK654770 ILO654743:ILO654770 IBS654743:IBS654770 HRW654743:HRW654770 HIA654743:HIA654770 GYE654743:GYE654770 GOI654743:GOI654770 GEM654743:GEM654770 FUQ654743:FUQ654770 FKU654743:FKU654770 FAY654743:FAY654770 ERC654743:ERC654770 EHG654743:EHG654770 DXK654743:DXK654770 DNO654743:DNO654770 DDS654743:DDS654770 CTW654743:CTW654770 CKA654743:CKA654770 CAE654743:CAE654770 BQI654743:BQI654770 BGM654743:BGM654770 AWQ654743:AWQ654770 AMU654743:AMU654770 ACY654743:ACY654770 TC654743:TC654770 JG654743:JG654770 K654743:K654770 WVS589207:WVS589234 WLW589207:WLW589234 WCA589207:WCA589234 VSE589207:VSE589234 VII589207:VII589234 UYM589207:UYM589234 UOQ589207:UOQ589234 UEU589207:UEU589234 TUY589207:TUY589234 TLC589207:TLC589234 TBG589207:TBG589234 SRK589207:SRK589234 SHO589207:SHO589234 RXS589207:RXS589234 RNW589207:RNW589234 REA589207:REA589234 QUE589207:QUE589234 QKI589207:QKI589234 QAM589207:QAM589234 PQQ589207:PQQ589234 PGU589207:PGU589234 OWY589207:OWY589234 ONC589207:ONC589234 ODG589207:ODG589234 NTK589207:NTK589234 NJO589207:NJO589234 MZS589207:MZS589234 MPW589207:MPW589234 MGA589207:MGA589234 LWE589207:LWE589234 LMI589207:LMI589234 LCM589207:LCM589234 KSQ589207:KSQ589234 KIU589207:KIU589234 JYY589207:JYY589234 JPC589207:JPC589234 JFG589207:JFG589234 IVK589207:IVK589234 ILO589207:ILO589234 IBS589207:IBS589234 HRW589207:HRW589234 HIA589207:HIA589234 GYE589207:GYE589234 GOI589207:GOI589234 GEM589207:GEM589234 FUQ589207:FUQ589234 FKU589207:FKU589234 FAY589207:FAY589234 ERC589207:ERC589234 EHG589207:EHG589234 DXK589207:DXK589234 DNO589207:DNO589234 DDS589207:DDS589234 CTW589207:CTW589234 CKA589207:CKA589234 CAE589207:CAE589234 BQI589207:BQI589234 BGM589207:BGM589234 AWQ589207:AWQ589234 AMU589207:AMU589234 ACY589207:ACY589234 TC589207:TC589234 JG589207:JG589234 K589207:K589234 WVS523671:WVS523698 WLW523671:WLW523698 WCA523671:WCA523698 VSE523671:VSE523698 VII523671:VII523698 UYM523671:UYM523698 UOQ523671:UOQ523698 UEU523671:UEU523698 TUY523671:TUY523698 TLC523671:TLC523698 TBG523671:TBG523698 SRK523671:SRK523698 SHO523671:SHO523698 RXS523671:RXS523698 RNW523671:RNW523698 REA523671:REA523698 QUE523671:QUE523698 QKI523671:QKI523698 QAM523671:QAM523698 PQQ523671:PQQ523698 PGU523671:PGU523698 OWY523671:OWY523698 ONC523671:ONC523698 ODG523671:ODG523698 NTK523671:NTK523698 NJO523671:NJO523698 MZS523671:MZS523698 MPW523671:MPW523698 MGA523671:MGA523698 LWE523671:LWE523698 LMI523671:LMI523698 LCM523671:LCM523698 KSQ523671:KSQ523698 KIU523671:KIU523698 JYY523671:JYY523698 JPC523671:JPC523698 JFG523671:JFG523698 IVK523671:IVK523698 ILO523671:ILO523698 IBS523671:IBS523698 HRW523671:HRW523698 HIA523671:HIA523698 GYE523671:GYE523698 GOI523671:GOI523698 GEM523671:GEM523698 FUQ523671:FUQ523698 FKU523671:FKU523698 FAY523671:FAY523698 ERC523671:ERC523698 EHG523671:EHG523698 DXK523671:DXK523698 DNO523671:DNO523698 DDS523671:DDS523698 CTW523671:CTW523698 CKA523671:CKA523698 CAE523671:CAE523698 BQI523671:BQI523698 BGM523671:BGM523698 AWQ523671:AWQ523698 AMU523671:AMU523698 ACY523671:ACY523698 TC523671:TC523698 JG523671:JG523698 K523671:K523698 WVS458135:WVS458162 WLW458135:WLW458162 WCA458135:WCA458162 VSE458135:VSE458162 VII458135:VII458162 UYM458135:UYM458162 UOQ458135:UOQ458162 UEU458135:UEU458162 TUY458135:TUY458162 TLC458135:TLC458162 TBG458135:TBG458162 SRK458135:SRK458162 SHO458135:SHO458162 RXS458135:RXS458162 RNW458135:RNW458162 REA458135:REA458162 QUE458135:QUE458162 QKI458135:QKI458162 QAM458135:QAM458162 PQQ458135:PQQ458162 PGU458135:PGU458162 OWY458135:OWY458162 ONC458135:ONC458162 ODG458135:ODG458162 NTK458135:NTK458162 NJO458135:NJO458162 MZS458135:MZS458162 MPW458135:MPW458162 MGA458135:MGA458162 LWE458135:LWE458162 LMI458135:LMI458162 LCM458135:LCM458162 KSQ458135:KSQ458162 KIU458135:KIU458162 JYY458135:JYY458162 JPC458135:JPC458162 JFG458135:JFG458162 IVK458135:IVK458162 ILO458135:ILO458162 IBS458135:IBS458162 HRW458135:HRW458162 HIA458135:HIA458162 GYE458135:GYE458162 GOI458135:GOI458162 GEM458135:GEM458162 FUQ458135:FUQ458162 FKU458135:FKU458162 FAY458135:FAY458162 ERC458135:ERC458162 EHG458135:EHG458162 DXK458135:DXK458162 DNO458135:DNO458162 DDS458135:DDS458162 CTW458135:CTW458162 CKA458135:CKA458162 CAE458135:CAE458162 BQI458135:BQI458162 BGM458135:BGM458162 AWQ458135:AWQ458162 AMU458135:AMU458162 ACY458135:ACY458162 TC458135:TC458162 JG458135:JG458162 K458135:K458162 WVS392599:WVS392626 WLW392599:WLW392626 WCA392599:WCA392626 VSE392599:VSE392626 VII392599:VII392626 UYM392599:UYM392626 UOQ392599:UOQ392626 UEU392599:UEU392626 TUY392599:TUY392626 TLC392599:TLC392626 TBG392599:TBG392626 SRK392599:SRK392626 SHO392599:SHO392626 RXS392599:RXS392626 RNW392599:RNW392626 REA392599:REA392626 QUE392599:QUE392626 QKI392599:QKI392626 QAM392599:QAM392626 PQQ392599:PQQ392626 PGU392599:PGU392626 OWY392599:OWY392626 ONC392599:ONC392626 ODG392599:ODG392626 NTK392599:NTK392626 NJO392599:NJO392626 MZS392599:MZS392626 MPW392599:MPW392626 MGA392599:MGA392626 LWE392599:LWE392626 LMI392599:LMI392626 LCM392599:LCM392626 KSQ392599:KSQ392626 KIU392599:KIU392626 JYY392599:JYY392626 JPC392599:JPC392626 JFG392599:JFG392626 IVK392599:IVK392626 ILO392599:ILO392626 IBS392599:IBS392626 HRW392599:HRW392626 HIA392599:HIA392626 GYE392599:GYE392626 GOI392599:GOI392626 GEM392599:GEM392626 FUQ392599:FUQ392626 FKU392599:FKU392626 FAY392599:FAY392626 ERC392599:ERC392626 EHG392599:EHG392626 DXK392599:DXK392626 DNO392599:DNO392626 DDS392599:DDS392626 CTW392599:CTW392626 CKA392599:CKA392626 CAE392599:CAE392626 BQI392599:BQI392626 BGM392599:BGM392626 AWQ392599:AWQ392626 AMU392599:AMU392626 ACY392599:ACY392626 TC392599:TC392626 JG392599:JG392626 K392599:K392626 WVS327063:WVS327090 WLW327063:WLW327090 WCA327063:WCA327090 VSE327063:VSE327090 VII327063:VII327090 UYM327063:UYM327090 UOQ327063:UOQ327090 UEU327063:UEU327090 TUY327063:TUY327090 TLC327063:TLC327090 TBG327063:TBG327090 SRK327063:SRK327090 SHO327063:SHO327090 RXS327063:RXS327090 RNW327063:RNW327090 REA327063:REA327090 QUE327063:QUE327090 QKI327063:QKI327090 QAM327063:QAM327090 PQQ327063:PQQ327090 PGU327063:PGU327090 OWY327063:OWY327090 ONC327063:ONC327090 ODG327063:ODG327090 NTK327063:NTK327090 NJO327063:NJO327090 MZS327063:MZS327090 MPW327063:MPW327090 MGA327063:MGA327090 LWE327063:LWE327090 LMI327063:LMI327090 LCM327063:LCM327090 KSQ327063:KSQ327090 KIU327063:KIU327090 JYY327063:JYY327090 JPC327063:JPC327090 JFG327063:JFG327090 IVK327063:IVK327090 ILO327063:ILO327090 IBS327063:IBS327090 HRW327063:HRW327090 HIA327063:HIA327090 GYE327063:GYE327090 GOI327063:GOI327090 GEM327063:GEM327090 FUQ327063:FUQ327090 FKU327063:FKU327090 FAY327063:FAY327090 ERC327063:ERC327090 EHG327063:EHG327090 DXK327063:DXK327090 DNO327063:DNO327090 DDS327063:DDS327090 CTW327063:CTW327090 CKA327063:CKA327090 CAE327063:CAE327090 BQI327063:BQI327090 BGM327063:BGM327090 AWQ327063:AWQ327090 AMU327063:AMU327090 ACY327063:ACY327090 TC327063:TC327090 JG327063:JG327090 K327063:K327090 WVS261527:WVS261554 WLW261527:WLW261554 WCA261527:WCA261554 VSE261527:VSE261554 VII261527:VII261554 UYM261527:UYM261554 UOQ261527:UOQ261554 UEU261527:UEU261554 TUY261527:TUY261554 TLC261527:TLC261554 TBG261527:TBG261554 SRK261527:SRK261554 SHO261527:SHO261554 RXS261527:RXS261554 RNW261527:RNW261554 REA261527:REA261554 QUE261527:QUE261554 QKI261527:QKI261554 QAM261527:QAM261554 PQQ261527:PQQ261554 PGU261527:PGU261554 OWY261527:OWY261554 ONC261527:ONC261554 ODG261527:ODG261554 NTK261527:NTK261554 NJO261527:NJO261554 MZS261527:MZS261554 MPW261527:MPW261554 MGA261527:MGA261554 LWE261527:LWE261554 LMI261527:LMI261554 LCM261527:LCM261554 KSQ261527:KSQ261554 KIU261527:KIU261554 JYY261527:JYY261554 JPC261527:JPC261554 JFG261527:JFG261554 IVK261527:IVK261554 ILO261527:ILO261554 IBS261527:IBS261554 HRW261527:HRW261554 HIA261527:HIA261554 GYE261527:GYE261554 GOI261527:GOI261554 GEM261527:GEM261554 FUQ261527:FUQ261554 FKU261527:FKU261554 FAY261527:FAY261554 ERC261527:ERC261554 EHG261527:EHG261554 DXK261527:DXK261554 DNO261527:DNO261554 DDS261527:DDS261554 CTW261527:CTW261554 CKA261527:CKA261554 CAE261527:CAE261554 BQI261527:BQI261554 BGM261527:BGM261554 AWQ261527:AWQ261554 AMU261527:AMU261554 ACY261527:ACY261554 TC261527:TC261554 JG261527:JG261554 K261527:K261554 WVS195991:WVS196018 WLW195991:WLW196018 WCA195991:WCA196018 VSE195991:VSE196018 VII195991:VII196018 UYM195991:UYM196018 UOQ195991:UOQ196018 UEU195991:UEU196018 TUY195991:TUY196018 TLC195991:TLC196018 TBG195991:TBG196018 SRK195991:SRK196018 SHO195991:SHO196018 RXS195991:RXS196018 RNW195991:RNW196018 REA195991:REA196018 QUE195991:QUE196018 QKI195991:QKI196018 QAM195991:QAM196018 PQQ195991:PQQ196018 PGU195991:PGU196018 OWY195991:OWY196018 ONC195991:ONC196018 ODG195991:ODG196018 NTK195991:NTK196018 NJO195991:NJO196018 MZS195991:MZS196018 MPW195991:MPW196018 MGA195991:MGA196018 LWE195991:LWE196018 LMI195991:LMI196018 LCM195991:LCM196018 KSQ195991:KSQ196018 KIU195991:KIU196018 JYY195991:JYY196018 JPC195991:JPC196018 JFG195991:JFG196018 IVK195991:IVK196018 ILO195991:ILO196018 IBS195991:IBS196018 HRW195991:HRW196018 HIA195991:HIA196018 GYE195991:GYE196018 GOI195991:GOI196018 GEM195991:GEM196018 FUQ195991:FUQ196018 FKU195991:FKU196018 FAY195991:FAY196018 ERC195991:ERC196018 EHG195991:EHG196018 DXK195991:DXK196018 DNO195991:DNO196018 DDS195991:DDS196018 CTW195991:CTW196018 CKA195991:CKA196018 CAE195991:CAE196018 BQI195991:BQI196018 BGM195991:BGM196018 AWQ195991:AWQ196018 AMU195991:AMU196018 ACY195991:ACY196018 TC195991:TC196018 JG195991:JG196018 K195991:K196018 WVS130455:WVS130482 WLW130455:WLW130482 WCA130455:WCA130482 VSE130455:VSE130482 VII130455:VII130482 UYM130455:UYM130482 UOQ130455:UOQ130482 UEU130455:UEU130482 TUY130455:TUY130482 TLC130455:TLC130482 TBG130455:TBG130482 SRK130455:SRK130482 SHO130455:SHO130482 RXS130455:RXS130482 RNW130455:RNW130482 REA130455:REA130482 QUE130455:QUE130482 QKI130455:QKI130482 QAM130455:QAM130482 PQQ130455:PQQ130482 PGU130455:PGU130482 OWY130455:OWY130482 ONC130455:ONC130482 ODG130455:ODG130482 NTK130455:NTK130482 NJO130455:NJO130482 MZS130455:MZS130482 MPW130455:MPW130482 MGA130455:MGA130482 LWE130455:LWE130482 LMI130455:LMI130482 LCM130455:LCM130482 KSQ130455:KSQ130482 KIU130455:KIU130482 JYY130455:JYY130482 JPC130455:JPC130482 JFG130455:JFG130482 IVK130455:IVK130482 ILO130455:ILO130482 IBS130455:IBS130482 HRW130455:HRW130482 HIA130455:HIA130482 GYE130455:GYE130482 GOI130455:GOI130482 GEM130455:GEM130482 FUQ130455:FUQ130482 FKU130455:FKU130482 FAY130455:FAY130482 ERC130455:ERC130482 EHG130455:EHG130482 DXK130455:DXK130482 DNO130455:DNO130482 DDS130455:DDS130482 CTW130455:CTW130482 CKA130455:CKA130482 CAE130455:CAE130482 BQI130455:BQI130482 BGM130455:BGM130482 AWQ130455:AWQ130482 AMU130455:AMU130482 ACY130455:ACY130482 TC130455:TC130482 JG130455:JG130482 K130455:K130482 WVS64919:WVS64946 WLW64919:WLW64946 WCA64919:WCA64946 VSE64919:VSE64946 VII64919:VII64946 UYM64919:UYM64946 UOQ64919:UOQ64946 UEU64919:UEU64946 TUY64919:TUY64946 TLC64919:TLC64946 TBG64919:TBG64946 SRK64919:SRK64946 SHO64919:SHO64946 RXS64919:RXS64946 RNW64919:RNW64946 REA64919:REA64946 QUE64919:QUE64946 QKI64919:QKI64946 QAM64919:QAM64946 PQQ64919:PQQ64946 PGU64919:PGU64946 OWY64919:OWY64946 ONC64919:ONC64946 ODG64919:ODG64946 NTK64919:NTK64946 NJO64919:NJO64946 MZS64919:MZS64946 MPW64919:MPW64946 MGA64919:MGA64946 LWE64919:LWE64946 LMI64919:LMI64946 LCM64919:LCM64946 KSQ64919:KSQ64946 KIU64919:KIU64946 JYY64919:JYY64946 JPC64919:JPC64946 JFG64919:JFG64946 IVK64919:IVK64946 ILO64919:ILO64946 IBS64919:IBS64946 HRW64919:HRW64946 HIA64919:HIA64946 GYE64919:GYE64946 GOI64919:GOI64946 GEM64919:GEM64946 FUQ64919:FUQ64946 FKU64919:FKU64946 FAY64919:FAY64946 ERC64919:ERC64946 EHG64919:EHG64946 DXK64919:DXK64946 DNO64919:DNO64946 DDS64919:DDS64946 CTW64919:CTW64946 CKA64919:CKA64946 CAE64919:CAE64946 BQI64919:BQI64946 BGM64919:BGM64946 AWQ64919:AWQ64946 AMU64919:AMU64946 ACY64919:ACY64946 TC64919:TC64946 JG64919:JG64946 K64919:K64946 WVJ982423:WVQ982450 WLN982423:WLU982450 WBR982423:WBY982450 VRV982423:VSC982450 VHZ982423:VIG982450 UYD982423:UYK982450 UOH982423:UOO982450 UEL982423:UES982450 TUP982423:TUW982450 TKT982423:TLA982450 TAX982423:TBE982450 SRB982423:SRI982450 SHF982423:SHM982450 RXJ982423:RXQ982450 RNN982423:RNU982450 RDR982423:RDY982450 QTV982423:QUC982450 QJZ982423:QKG982450 QAD982423:QAK982450 PQH982423:PQO982450 PGL982423:PGS982450 OWP982423:OWW982450 OMT982423:ONA982450 OCX982423:ODE982450 NTB982423:NTI982450 NJF982423:NJM982450 MZJ982423:MZQ982450 MPN982423:MPU982450 MFR982423:MFY982450 LVV982423:LWC982450 LLZ982423:LMG982450 LCD982423:LCK982450 KSH982423:KSO982450 KIL982423:KIS982450 JYP982423:JYW982450 JOT982423:JPA982450 JEX982423:JFE982450 IVB982423:IVI982450 ILF982423:ILM982450 IBJ982423:IBQ982450 HRN982423:HRU982450 HHR982423:HHY982450 GXV982423:GYC982450 GNZ982423:GOG982450 GED982423:GEK982450 FUH982423:FUO982450 FKL982423:FKS982450 FAP982423:FAW982450 EQT982423:ERA982450 EGX982423:EHE982450 DXB982423:DXI982450 DNF982423:DNM982450 DDJ982423:DDQ982450 CTN982423:CTU982450 CJR982423:CJY982450 BZV982423:CAC982450 BPZ982423:BQG982450 BGD982423:BGK982450 AWH982423:AWO982450 AML982423:AMS982450 ACP982423:ACW982450 ST982423:TA982450 IX982423:JE982450 B982423:I982450 WVJ916887:WVQ916914 WLN916887:WLU916914 WBR916887:WBY916914 VRV916887:VSC916914 VHZ916887:VIG916914 UYD916887:UYK916914 UOH916887:UOO916914 UEL916887:UES916914 TUP916887:TUW916914 TKT916887:TLA916914 TAX916887:TBE916914 SRB916887:SRI916914 SHF916887:SHM916914 RXJ916887:RXQ916914 RNN916887:RNU916914 RDR916887:RDY916914 QTV916887:QUC916914 QJZ916887:QKG916914 QAD916887:QAK916914 PQH916887:PQO916914 PGL916887:PGS916914 OWP916887:OWW916914 OMT916887:ONA916914 OCX916887:ODE916914 NTB916887:NTI916914 NJF916887:NJM916914 MZJ916887:MZQ916914 MPN916887:MPU916914 MFR916887:MFY916914 LVV916887:LWC916914 LLZ916887:LMG916914 LCD916887:LCK916914 KSH916887:KSO916914 KIL916887:KIS916914 JYP916887:JYW916914 JOT916887:JPA916914 JEX916887:JFE916914 IVB916887:IVI916914 ILF916887:ILM916914 IBJ916887:IBQ916914 HRN916887:HRU916914 HHR916887:HHY916914 GXV916887:GYC916914 GNZ916887:GOG916914 GED916887:GEK916914 FUH916887:FUO916914 FKL916887:FKS916914 FAP916887:FAW916914 EQT916887:ERA916914 EGX916887:EHE916914 DXB916887:DXI916914 DNF916887:DNM916914 DDJ916887:DDQ916914 CTN916887:CTU916914 CJR916887:CJY916914 BZV916887:CAC916914 BPZ916887:BQG916914 BGD916887:BGK916914 AWH916887:AWO916914 AML916887:AMS916914 ACP916887:ACW916914 ST916887:TA916914 IX916887:JE916914 B916887:I916914 WVJ851351:WVQ851378 WLN851351:WLU851378 WBR851351:WBY851378 VRV851351:VSC851378 VHZ851351:VIG851378 UYD851351:UYK851378 UOH851351:UOO851378 UEL851351:UES851378 TUP851351:TUW851378 TKT851351:TLA851378 TAX851351:TBE851378 SRB851351:SRI851378 SHF851351:SHM851378 RXJ851351:RXQ851378 RNN851351:RNU851378 RDR851351:RDY851378 QTV851351:QUC851378 QJZ851351:QKG851378 QAD851351:QAK851378 PQH851351:PQO851378 PGL851351:PGS851378 OWP851351:OWW851378 OMT851351:ONA851378 OCX851351:ODE851378 NTB851351:NTI851378 NJF851351:NJM851378 MZJ851351:MZQ851378 MPN851351:MPU851378 MFR851351:MFY851378 LVV851351:LWC851378 LLZ851351:LMG851378 LCD851351:LCK851378 KSH851351:KSO851378 KIL851351:KIS851378 JYP851351:JYW851378 JOT851351:JPA851378 JEX851351:JFE851378 IVB851351:IVI851378 ILF851351:ILM851378 IBJ851351:IBQ851378 HRN851351:HRU851378 HHR851351:HHY851378 GXV851351:GYC851378 GNZ851351:GOG851378 GED851351:GEK851378 FUH851351:FUO851378 FKL851351:FKS851378 FAP851351:FAW851378 EQT851351:ERA851378 EGX851351:EHE851378 DXB851351:DXI851378 DNF851351:DNM851378 DDJ851351:DDQ851378 CTN851351:CTU851378 CJR851351:CJY851378 BZV851351:CAC851378 BPZ851351:BQG851378 BGD851351:BGK851378 AWH851351:AWO851378 AML851351:AMS851378 ACP851351:ACW851378 ST851351:TA851378 IX851351:JE851378 B851351:I851378 WVJ785815:WVQ785842 WLN785815:WLU785842 WBR785815:WBY785842 VRV785815:VSC785842 VHZ785815:VIG785842 UYD785815:UYK785842 UOH785815:UOO785842 UEL785815:UES785842 TUP785815:TUW785842 TKT785815:TLA785842 TAX785815:TBE785842 SRB785815:SRI785842 SHF785815:SHM785842 RXJ785815:RXQ785842 RNN785815:RNU785842 RDR785815:RDY785842 QTV785815:QUC785842 QJZ785815:QKG785842 QAD785815:QAK785842 PQH785815:PQO785842 PGL785815:PGS785842 OWP785815:OWW785842 OMT785815:ONA785842 OCX785815:ODE785842 NTB785815:NTI785842 NJF785815:NJM785842 MZJ785815:MZQ785842 MPN785815:MPU785842 MFR785815:MFY785842 LVV785815:LWC785842 LLZ785815:LMG785842 LCD785815:LCK785842 KSH785815:KSO785842 KIL785815:KIS785842 JYP785815:JYW785842 JOT785815:JPA785842 JEX785815:JFE785842 IVB785815:IVI785842 ILF785815:ILM785842 IBJ785815:IBQ785842 HRN785815:HRU785842 HHR785815:HHY785842 GXV785815:GYC785842 GNZ785815:GOG785842 GED785815:GEK785842 FUH785815:FUO785842 FKL785815:FKS785842 FAP785815:FAW785842 EQT785815:ERA785842 EGX785815:EHE785842 DXB785815:DXI785842 DNF785815:DNM785842 DDJ785815:DDQ785842 CTN785815:CTU785842 CJR785815:CJY785842 BZV785815:CAC785842 BPZ785815:BQG785842 BGD785815:BGK785842 AWH785815:AWO785842 AML785815:AMS785842 ACP785815:ACW785842 ST785815:TA785842 IX785815:JE785842 B785815:I785842 WVJ720279:WVQ720306 WLN720279:WLU720306 WBR720279:WBY720306 VRV720279:VSC720306 VHZ720279:VIG720306 UYD720279:UYK720306 UOH720279:UOO720306 UEL720279:UES720306 TUP720279:TUW720306 TKT720279:TLA720306 TAX720279:TBE720306 SRB720279:SRI720306 SHF720279:SHM720306 RXJ720279:RXQ720306 RNN720279:RNU720306 RDR720279:RDY720306 QTV720279:QUC720306 QJZ720279:QKG720306 QAD720279:QAK720306 PQH720279:PQO720306 PGL720279:PGS720306 OWP720279:OWW720306 OMT720279:ONA720306 OCX720279:ODE720306 NTB720279:NTI720306 NJF720279:NJM720306 MZJ720279:MZQ720306 MPN720279:MPU720306 MFR720279:MFY720306 LVV720279:LWC720306 LLZ720279:LMG720306 LCD720279:LCK720306 KSH720279:KSO720306 KIL720279:KIS720306 JYP720279:JYW720306 JOT720279:JPA720306 JEX720279:JFE720306 IVB720279:IVI720306 ILF720279:ILM720306 IBJ720279:IBQ720306 HRN720279:HRU720306 HHR720279:HHY720306 GXV720279:GYC720306 GNZ720279:GOG720306 GED720279:GEK720306 FUH720279:FUO720306 FKL720279:FKS720306 FAP720279:FAW720306 EQT720279:ERA720306 EGX720279:EHE720306 DXB720279:DXI720306 DNF720279:DNM720306 DDJ720279:DDQ720306 CTN720279:CTU720306 CJR720279:CJY720306 BZV720279:CAC720306 BPZ720279:BQG720306 BGD720279:BGK720306 AWH720279:AWO720306 AML720279:AMS720306 ACP720279:ACW720306 ST720279:TA720306 IX720279:JE720306 B720279:I720306 WVJ654743:WVQ654770 WLN654743:WLU654770 WBR654743:WBY654770 VRV654743:VSC654770 VHZ654743:VIG654770 UYD654743:UYK654770 UOH654743:UOO654770 UEL654743:UES654770 TUP654743:TUW654770 TKT654743:TLA654770 TAX654743:TBE654770 SRB654743:SRI654770 SHF654743:SHM654770 RXJ654743:RXQ654770 RNN654743:RNU654770 RDR654743:RDY654770 QTV654743:QUC654770 QJZ654743:QKG654770 QAD654743:QAK654770 PQH654743:PQO654770 PGL654743:PGS654770 OWP654743:OWW654770 OMT654743:ONA654770 OCX654743:ODE654770 NTB654743:NTI654770 NJF654743:NJM654770 MZJ654743:MZQ654770 MPN654743:MPU654770 MFR654743:MFY654770 LVV654743:LWC654770 LLZ654743:LMG654770 LCD654743:LCK654770 KSH654743:KSO654770 KIL654743:KIS654770 JYP654743:JYW654770 JOT654743:JPA654770 JEX654743:JFE654770 IVB654743:IVI654770 ILF654743:ILM654770 IBJ654743:IBQ654770 HRN654743:HRU654770 HHR654743:HHY654770 GXV654743:GYC654770 GNZ654743:GOG654770 GED654743:GEK654770 FUH654743:FUO654770 FKL654743:FKS654770 FAP654743:FAW654770 EQT654743:ERA654770 EGX654743:EHE654770 DXB654743:DXI654770 DNF654743:DNM654770 DDJ654743:DDQ654770 CTN654743:CTU654770 CJR654743:CJY654770 BZV654743:CAC654770 BPZ654743:BQG654770 BGD654743:BGK654770 AWH654743:AWO654770 AML654743:AMS654770 ACP654743:ACW654770 ST654743:TA654770 IX654743:JE654770 B654743:I654770 WVJ589207:WVQ589234 WLN589207:WLU589234 WBR589207:WBY589234 VRV589207:VSC589234 VHZ589207:VIG589234 UYD589207:UYK589234 UOH589207:UOO589234 UEL589207:UES589234 TUP589207:TUW589234 TKT589207:TLA589234 TAX589207:TBE589234 SRB589207:SRI589234 SHF589207:SHM589234 RXJ589207:RXQ589234 RNN589207:RNU589234 RDR589207:RDY589234 QTV589207:QUC589234 QJZ589207:QKG589234 QAD589207:QAK589234 PQH589207:PQO589234 PGL589207:PGS589234 OWP589207:OWW589234 OMT589207:ONA589234 OCX589207:ODE589234 NTB589207:NTI589234 NJF589207:NJM589234 MZJ589207:MZQ589234 MPN589207:MPU589234 MFR589207:MFY589234 LVV589207:LWC589234 LLZ589207:LMG589234 LCD589207:LCK589234 KSH589207:KSO589234 KIL589207:KIS589234 JYP589207:JYW589234 JOT589207:JPA589234 JEX589207:JFE589234 IVB589207:IVI589234 ILF589207:ILM589234 IBJ589207:IBQ589234 HRN589207:HRU589234 HHR589207:HHY589234 GXV589207:GYC589234 GNZ589207:GOG589234 GED589207:GEK589234 FUH589207:FUO589234 FKL589207:FKS589234 FAP589207:FAW589234 EQT589207:ERA589234 EGX589207:EHE589234 DXB589207:DXI589234 DNF589207:DNM589234 DDJ589207:DDQ589234 CTN589207:CTU589234 CJR589207:CJY589234 BZV589207:CAC589234 BPZ589207:BQG589234 BGD589207:BGK589234 AWH589207:AWO589234 AML589207:AMS589234 ACP589207:ACW589234 ST589207:TA589234 IX589207:JE589234 B589207:I589234 WVJ523671:WVQ523698 WLN523671:WLU523698 WBR523671:WBY523698 VRV523671:VSC523698 VHZ523671:VIG523698 UYD523671:UYK523698 UOH523671:UOO523698 UEL523671:UES523698 TUP523671:TUW523698 TKT523671:TLA523698 TAX523671:TBE523698 SRB523671:SRI523698 SHF523671:SHM523698 RXJ523671:RXQ523698 RNN523671:RNU523698 RDR523671:RDY523698 QTV523671:QUC523698 QJZ523671:QKG523698 QAD523671:QAK523698 PQH523671:PQO523698 PGL523671:PGS523698 OWP523671:OWW523698 OMT523671:ONA523698 OCX523671:ODE523698 NTB523671:NTI523698 NJF523671:NJM523698 MZJ523671:MZQ523698 MPN523671:MPU523698 MFR523671:MFY523698 LVV523671:LWC523698 LLZ523671:LMG523698 LCD523671:LCK523698 KSH523671:KSO523698 KIL523671:KIS523698 JYP523671:JYW523698 JOT523671:JPA523698 JEX523671:JFE523698 IVB523671:IVI523698 ILF523671:ILM523698 IBJ523671:IBQ523698 HRN523671:HRU523698 HHR523671:HHY523698 GXV523671:GYC523698 GNZ523671:GOG523698 GED523671:GEK523698 FUH523671:FUO523698 FKL523671:FKS523698 FAP523671:FAW523698 EQT523671:ERA523698 EGX523671:EHE523698 DXB523671:DXI523698 DNF523671:DNM523698 DDJ523671:DDQ523698 CTN523671:CTU523698 CJR523671:CJY523698 BZV523671:CAC523698 BPZ523671:BQG523698 BGD523671:BGK523698 AWH523671:AWO523698 AML523671:AMS523698 ACP523671:ACW523698 ST523671:TA523698 IX523671:JE523698 B523671:I523698 WVJ458135:WVQ458162 WLN458135:WLU458162 WBR458135:WBY458162 VRV458135:VSC458162 VHZ458135:VIG458162 UYD458135:UYK458162 UOH458135:UOO458162 UEL458135:UES458162 TUP458135:TUW458162 TKT458135:TLA458162 TAX458135:TBE458162 SRB458135:SRI458162 SHF458135:SHM458162 RXJ458135:RXQ458162 RNN458135:RNU458162 RDR458135:RDY458162 QTV458135:QUC458162 QJZ458135:QKG458162 QAD458135:QAK458162 PQH458135:PQO458162 PGL458135:PGS458162 OWP458135:OWW458162 OMT458135:ONA458162 OCX458135:ODE458162 NTB458135:NTI458162 NJF458135:NJM458162 MZJ458135:MZQ458162 MPN458135:MPU458162 MFR458135:MFY458162 LVV458135:LWC458162 LLZ458135:LMG458162 LCD458135:LCK458162 KSH458135:KSO458162 KIL458135:KIS458162 JYP458135:JYW458162 JOT458135:JPA458162 JEX458135:JFE458162 IVB458135:IVI458162 ILF458135:ILM458162 IBJ458135:IBQ458162 HRN458135:HRU458162 HHR458135:HHY458162 GXV458135:GYC458162 GNZ458135:GOG458162 GED458135:GEK458162 FUH458135:FUO458162 FKL458135:FKS458162 FAP458135:FAW458162 EQT458135:ERA458162 EGX458135:EHE458162 DXB458135:DXI458162 DNF458135:DNM458162 DDJ458135:DDQ458162 CTN458135:CTU458162 CJR458135:CJY458162 BZV458135:CAC458162 BPZ458135:BQG458162 BGD458135:BGK458162 AWH458135:AWO458162 AML458135:AMS458162 ACP458135:ACW458162 ST458135:TA458162 IX458135:JE458162 B458135:I458162 WVJ392599:WVQ392626 WLN392599:WLU392626 WBR392599:WBY392626 VRV392599:VSC392626 VHZ392599:VIG392626 UYD392599:UYK392626 UOH392599:UOO392626 UEL392599:UES392626 TUP392599:TUW392626 TKT392599:TLA392626 TAX392599:TBE392626 SRB392599:SRI392626 SHF392599:SHM392626 RXJ392599:RXQ392626 RNN392599:RNU392626 RDR392599:RDY392626 QTV392599:QUC392626 QJZ392599:QKG392626 QAD392599:QAK392626 PQH392599:PQO392626 PGL392599:PGS392626 OWP392599:OWW392626 OMT392599:ONA392626 OCX392599:ODE392626 NTB392599:NTI392626 NJF392599:NJM392626 MZJ392599:MZQ392626 MPN392599:MPU392626 MFR392599:MFY392626 LVV392599:LWC392626 LLZ392599:LMG392626 LCD392599:LCK392626 KSH392599:KSO392626 KIL392599:KIS392626 JYP392599:JYW392626 JOT392599:JPA392626 JEX392599:JFE392626 IVB392599:IVI392626 ILF392599:ILM392626 IBJ392599:IBQ392626 HRN392599:HRU392626 HHR392599:HHY392626 GXV392599:GYC392626 GNZ392599:GOG392626 GED392599:GEK392626 FUH392599:FUO392626 FKL392599:FKS392626 FAP392599:FAW392626 EQT392599:ERA392626 EGX392599:EHE392626 DXB392599:DXI392626 DNF392599:DNM392626 DDJ392599:DDQ392626 CTN392599:CTU392626 CJR392599:CJY392626 BZV392599:CAC392626 BPZ392599:BQG392626 BGD392599:BGK392626 AWH392599:AWO392626 AML392599:AMS392626 ACP392599:ACW392626 ST392599:TA392626 IX392599:JE392626 B392599:I392626 WVJ327063:WVQ327090 WLN327063:WLU327090 WBR327063:WBY327090 VRV327063:VSC327090 VHZ327063:VIG327090 UYD327063:UYK327090 UOH327063:UOO327090 UEL327063:UES327090 TUP327063:TUW327090 TKT327063:TLA327090 TAX327063:TBE327090 SRB327063:SRI327090 SHF327063:SHM327090 RXJ327063:RXQ327090 RNN327063:RNU327090 RDR327063:RDY327090 QTV327063:QUC327090 QJZ327063:QKG327090 QAD327063:QAK327090 PQH327063:PQO327090 PGL327063:PGS327090 OWP327063:OWW327090 OMT327063:ONA327090 OCX327063:ODE327090 NTB327063:NTI327090 NJF327063:NJM327090 MZJ327063:MZQ327090 MPN327063:MPU327090 MFR327063:MFY327090 LVV327063:LWC327090 LLZ327063:LMG327090 LCD327063:LCK327090 KSH327063:KSO327090 KIL327063:KIS327090 JYP327063:JYW327090 JOT327063:JPA327090 JEX327063:JFE327090 IVB327063:IVI327090 ILF327063:ILM327090 IBJ327063:IBQ327090 HRN327063:HRU327090 HHR327063:HHY327090 GXV327063:GYC327090 GNZ327063:GOG327090 GED327063:GEK327090 FUH327063:FUO327090 FKL327063:FKS327090 FAP327063:FAW327090 EQT327063:ERA327090 EGX327063:EHE327090 DXB327063:DXI327090 DNF327063:DNM327090 DDJ327063:DDQ327090 CTN327063:CTU327090 CJR327063:CJY327090 BZV327063:CAC327090 BPZ327063:BQG327090 BGD327063:BGK327090 AWH327063:AWO327090 AML327063:AMS327090 ACP327063:ACW327090 ST327063:TA327090 IX327063:JE327090 B327063:I327090 WVJ261527:WVQ261554 WLN261527:WLU261554 WBR261527:WBY261554 VRV261527:VSC261554 VHZ261527:VIG261554 UYD261527:UYK261554 UOH261527:UOO261554 UEL261527:UES261554 TUP261527:TUW261554 TKT261527:TLA261554 TAX261527:TBE261554 SRB261527:SRI261554 SHF261527:SHM261554 RXJ261527:RXQ261554 RNN261527:RNU261554 RDR261527:RDY261554 QTV261527:QUC261554 QJZ261527:QKG261554 QAD261527:QAK261554 PQH261527:PQO261554 PGL261527:PGS261554 OWP261527:OWW261554 OMT261527:ONA261554 OCX261527:ODE261554 NTB261527:NTI261554 NJF261527:NJM261554 MZJ261527:MZQ261554 MPN261527:MPU261554 MFR261527:MFY261554 LVV261527:LWC261554 LLZ261527:LMG261554 LCD261527:LCK261554 KSH261527:KSO261554 KIL261527:KIS261554 JYP261527:JYW261554 JOT261527:JPA261554 JEX261527:JFE261554 IVB261527:IVI261554 ILF261527:ILM261554 IBJ261527:IBQ261554 HRN261527:HRU261554 HHR261527:HHY261554 GXV261527:GYC261554 GNZ261527:GOG261554 GED261527:GEK261554 FUH261527:FUO261554 FKL261527:FKS261554 FAP261527:FAW261554 EQT261527:ERA261554 EGX261527:EHE261554 DXB261527:DXI261554 DNF261527:DNM261554 DDJ261527:DDQ261554 CTN261527:CTU261554 CJR261527:CJY261554 BZV261527:CAC261554 BPZ261527:BQG261554 BGD261527:BGK261554 AWH261527:AWO261554 AML261527:AMS261554 ACP261527:ACW261554 ST261527:TA261554 IX261527:JE261554 B261527:I261554 WVJ195991:WVQ196018 WLN195991:WLU196018 WBR195991:WBY196018 VRV195991:VSC196018 VHZ195991:VIG196018 UYD195991:UYK196018 UOH195991:UOO196018 UEL195991:UES196018 TUP195991:TUW196018 TKT195991:TLA196018 TAX195991:TBE196018 SRB195991:SRI196018 SHF195991:SHM196018 RXJ195991:RXQ196018 RNN195991:RNU196018 RDR195991:RDY196018 QTV195991:QUC196018 QJZ195991:QKG196018 QAD195991:QAK196018 PQH195991:PQO196018 PGL195991:PGS196018 OWP195991:OWW196018 OMT195991:ONA196018 OCX195991:ODE196018 NTB195991:NTI196018 NJF195991:NJM196018 MZJ195991:MZQ196018 MPN195991:MPU196018 MFR195991:MFY196018 LVV195991:LWC196018 LLZ195991:LMG196018 LCD195991:LCK196018 KSH195991:KSO196018 KIL195991:KIS196018 JYP195991:JYW196018 JOT195991:JPA196018 JEX195991:JFE196018 IVB195991:IVI196018 ILF195991:ILM196018 IBJ195991:IBQ196018 HRN195991:HRU196018 HHR195991:HHY196018 GXV195991:GYC196018 GNZ195991:GOG196018 GED195991:GEK196018 FUH195991:FUO196018 FKL195991:FKS196018 FAP195991:FAW196018 EQT195991:ERA196018 EGX195991:EHE196018 DXB195991:DXI196018 DNF195991:DNM196018 DDJ195991:DDQ196018 CTN195991:CTU196018 CJR195991:CJY196018 BZV195991:CAC196018 BPZ195991:BQG196018 BGD195991:BGK196018 AWH195991:AWO196018 AML195991:AMS196018 ACP195991:ACW196018 ST195991:TA196018 IX195991:JE196018 B195991:I196018 WVJ130455:WVQ130482 WLN130455:WLU130482 WBR130455:WBY130482 VRV130455:VSC130482 VHZ130455:VIG130482 UYD130455:UYK130482 UOH130455:UOO130482 UEL130455:UES130482 TUP130455:TUW130482 TKT130455:TLA130482 TAX130455:TBE130482 SRB130455:SRI130482 SHF130455:SHM130482 RXJ130455:RXQ130482 RNN130455:RNU130482 RDR130455:RDY130482 QTV130455:QUC130482 QJZ130455:QKG130482 QAD130455:QAK130482 PQH130455:PQO130482 PGL130455:PGS130482 OWP130455:OWW130482 OMT130455:ONA130482 OCX130455:ODE130482 NTB130455:NTI130482 NJF130455:NJM130482 MZJ130455:MZQ130482 MPN130455:MPU130482 MFR130455:MFY130482 LVV130455:LWC130482 LLZ130455:LMG130482 LCD130455:LCK130482 KSH130455:KSO130482 KIL130455:KIS130482 JYP130455:JYW130482 JOT130455:JPA130482 JEX130455:JFE130482 IVB130455:IVI130482 ILF130455:ILM130482 IBJ130455:IBQ130482 HRN130455:HRU130482 HHR130455:HHY130482 GXV130455:GYC130482 GNZ130455:GOG130482 GED130455:GEK130482 FUH130455:FUO130482 FKL130455:FKS130482 FAP130455:FAW130482 EQT130455:ERA130482 EGX130455:EHE130482 DXB130455:DXI130482 DNF130455:DNM130482 DDJ130455:DDQ130482 CTN130455:CTU130482 CJR130455:CJY130482 BZV130455:CAC130482 BPZ130455:BQG130482 BGD130455:BGK130482 AWH130455:AWO130482 AML130455:AMS130482 ACP130455:ACW130482 ST130455:TA130482 IX130455:JE130482 B130455:I130482 WVJ64919:WVQ64946 WLN64919:WLU64946 WBR64919:WBY64946 VRV64919:VSC64946 VHZ64919:VIG64946 UYD64919:UYK64946 UOH64919:UOO64946 UEL64919:UES64946 TUP64919:TUW64946 TKT64919:TLA64946 TAX64919:TBE64946 SRB64919:SRI64946 SHF64919:SHM64946 RXJ64919:RXQ64946 RNN64919:RNU64946 RDR64919:RDY64946 QTV64919:QUC64946 QJZ64919:QKG64946 QAD64919:QAK64946 PQH64919:PQO64946 PGL64919:PGS64946 OWP64919:OWW64946 OMT64919:ONA64946 OCX64919:ODE64946 NTB64919:NTI64946 NJF64919:NJM64946 MZJ64919:MZQ64946 MPN64919:MPU64946 MFR64919:MFY64946 LVV64919:LWC64946 LLZ64919:LMG64946 LCD64919:LCK64946 KSH64919:KSO64946 KIL64919:KIS64946 JYP64919:JYW64946 JOT64919:JPA64946 JEX64919:JFE64946 IVB64919:IVI64946 ILF64919:ILM64946 IBJ64919:IBQ64946 HRN64919:HRU64946 HHR64919:HHY64946 GXV64919:GYC64946 GNZ64919:GOG64946 GED64919:GEK64946 FUH64919:FUO64946 FKL64919:FKS64946 FAP64919:FAW64946 EQT64919:ERA64946 EGX64919:EHE64946 DXB64919:DXI64946 DNF64919:DNM64946 DDJ64919:DDQ64946 CTN64919:CTU64946 CJR64919:CJY64946 BZV64919:CAC64946 BPZ64919:BQG64946 BGD64919:BGK64946 AWH64919:AWO64946 AML64919:AMS64946 ACP64919:ACW64946 ST64919:TA64946 IX64919:JE64946 B64919:I64946 WVQ982462:WVU982467 WLU982462:WLY982467 WBY982462:WCC982467 VSC982462:VSG982467 VIG982462:VIK982467 UYK982462:UYO982467 UOO982462:UOS982467 UES982462:UEW982467 TUW982462:TVA982467 TLA982462:TLE982467 TBE982462:TBI982467 SRI982462:SRM982467 SHM982462:SHQ982467 RXQ982462:RXU982467 RNU982462:RNY982467 RDY982462:REC982467 QUC982462:QUG982467 QKG982462:QKK982467 QAK982462:QAO982467 PQO982462:PQS982467 PGS982462:PGW982467 OWW982462:OXA982467 ONA982462:ONE982467 ODE982462:ODI982467 NTI982462:NTM982467 NJM982462:NJQ982467 MZQ982462:MZU982467 MPU982462:MPY982467 MFY982462:MGC982467 LWC982462:LWG982467 LMG982462:LMK982467 LCK982462:LCO982467 KSO982462:KSS982467 KIS982462:KIW982467 JYW982462:JZA982467 JPA982462:JPE982467 JFE982462:JFI982467 IVI982462:IVM982467 ILM982462:ILQ982467 IBQ982462:IBU982467 HRU982462:HRY982467 HHY982462:HIC982467 GYC982462:GYG982467 GOG982462:GOK982467 GEK982462:GEO982467 FUO982462:FUS982467 FKS982462:FKW982467 FAW982462:FBA982467 ERA982462:ERE982467 EHE982462:EHI982467 DXI982462:DXM982467 DNM982462:DNQ982467 DDQ982462:DDU982467 CTU982462:CTY982467 CJY982462:CKC982467 CAC982462:CAG982467 BQG982462:BQK982467 BGK982462:BGO982467 AWO982462:AWS982467 AMS982462:AMW982467 ACW982462:ADA982467 TA982462:TE982467 JE982462:JI982467 I982462:M982467 WVQ916926:WVU916931 WLU916926:WLY916931 WBY916926:WCC916931 VSC916926:VSG916931 VIG916926:VIK916931 UYK916926:UYO916931 UOO916926:UOS916931 UES916926:UEW916931 TUW916926:TVA916931 TLA916926:TLE916931 TBE916926:TBI916931 SRI916926:SRM916931 SHM916926:SHQ916931 RXQ916926:RXU916931 RNU916926:RNY916931 RDY916926:REC916931 QUC916926:QUG916931 QKG916926:QKK916931 QAK916926:QAO916931 PQO916926:PQS916931 PGS916926:PGW916931 OWW916926:OXA916931 ONA916926:ONE916931 ODE916926:ODI916931 NTI916926:NTM916931 NJM916926:NJQ916931 MZQ916926:MZU916931 MPU916926:MPY916931 MFY916926:MGC916931 LWC916926:LWG916931 LMG916926:LMK916931 LCK916926:LCO916931 KSO916926:KSS916931 KIS916926:KIW916931 JYW916926:JZA916931 JPA916926:JPE916931 JFE916926:JFI916931 IVI916926:IVM916931 ILM916926:ILQ916931 IBQ916926:IBU916931 HRU916926:HRY916931 HHY916926:HIC916931 GYC916926:GYG916931 GOG916926:GOK916931 GEK916926:GEO916931 FUO916926:FUS916931 FKS916926:FKW916931 FAW916926:FBA916931 ERA916926:ERE916931 EHE916926:EHI916931 DXI916926:DXM916931 DNM916926:DNQ916931 DDQ916926:DDU916931 CTU916926:CTY916931 CJY916926:CKC916931 CAC916926:CAG916931 BQG916926:BQK916931 BGK916926:BGO916931 AWO916926:AWS916931 AMS916926:AMW916931 ACW916926:ADA916931 TA916926:TE916931 JE916926:JI916931 I916926:M916931 WVQ851390:WVU851395 WLU851390:WLY851395 WBY851390:WCC851395 VSC851390:VSG851395 VIG851390:VIK851395 UYK851390:UYO851395 UOO851390:UOS851395 UES851390:UEW851395 TUW851390:TVA851395 TLA851390:TLE851395 TBE851390:TBI851395 SRI851390:SRM851395 SHM851390:SHQ851395 RXQ851390:RXU851395 RNU851390:RNY851395 RDY851390:REC851395 QUC851390:QUG851395 QKG851390:QKK851395 QAK851390:QAO851395 PQO851390:PQS851395 PGS851390:PGW851395 OWW851390:OXA851395 ONA851390:ONE851395 ODE851390:ODI851395 NTI851390:NTM851395 NJM851390:NJQ851395 MZQ851390:MZU851395 MPU851390:MPY851395 MFY851390:MGC851395 LWC851390:LWG851395 LMG851390:LMK851395 LCK851390:LCO851395 KSO851390:KSS851395 KIS851390:KIW851395 JYW851390:JZA851395 JPA851390:JPE851395 JFE851390:JFI851395 IVI851390:IVM851395 ILM851390:ILQ851395 IBQ851390:IBU851395 HRU851390:HRY851395 HHY851390:HIC851395 GYC851390:GYG851395 GOG851390:GOK851395 GEK851390:GEO851395 FUO851390:FUS851395 FKS851390:FKW851395 FAW851390:FBA851395 ERA851390:ERE851395 EHE851390:EHI851395 DXI851390:DXM851395 DNM851390:DNQ851395 DDQ851390:DDU851395 CTU851390:CTY851395 CJY851390:CKC851395 CAC851390:CAG851395 BQG851390:BQK851395 BGK851390:BGO851395 AWO851390:AWS851395 AMS851390:AMW851395 ACW851390:ADA851395 TA851390:TE851395 JE851390:JI851395 I851390:M851395 WVQ785854:WVU785859 WLU785854:WLY785859 WBY785854:WCC785859 VSC785854:VSG785859 VIG785854:VIK785859 UYK785854:UYO785859 UOO785854:UOS785859 UES785854:UEW785859 TUW785854:TVA785859 TLA785854:TLE785859 TBE785854:TBI785859 SRI785854:SRM785859 SHM785854:SHQ785859 RXQ785854:RXU785859 RNU785854:RNY785859 RDY785854:REC785859 QUC785854:QUG785859 QKG785854:QKK785859 QAK785854:QAO785859 PQO785854:PQS785859 PGS785854:PGW785859 OWW785854:OXA785859 ONA785854:ONE785859 ODE785854:ODI785859 NTI785854:NTM785859 NJM785854:NJQ785859 MZQ785854:MZU785859 MPU785854:MPY785859 MFY785854:MGC785859 LWC785854:LWG785859 LMG785854:LMK785859 LCK785854:LCO785859 KSO785854:KSS785859 KIS785854:KIW785859 JYW785854:JZA785859 JPA785854:JPE785859 JFE785854:JFI785859 IVI785854:IVM785859 ILM785854:ILQ785859 IBQ785854:IBU785859 HRU785854:HRY785859 HHY785854:HIC785859 GYC785854:GYG785859 GOG785854:GOK785859 GEK785854:GEO785859 FUO785854:FUS785859 FKS785854:FKW785859 FAW785854:FBA785859 ERA785854:ERE785859 EHE785854:EHI785859 DXI785854:DXM785859 DNM785854:DNQ785859 DDQ785854:DDU785859 CTU785854:CTY785859 CJY785854:CKC785859 CAC785854:CAG785859 BQG785854:BQK785859 BGK785854:BGO785859 AWO785854:AWS785859 AMS785854:AMW785859 ACW785854:ADA785859 TA785854:TE785859 JE785854:JI785859 I785854:M785859 WVQ720318:WVU720323 WLU720318:WLY720323 WBY720318:WCC720323 VSC720318:VSG720323 VIG720318:VIK720323 UYK720318:UYO720323 UOO720318:UOS720323 UES720318:UEW720323 TUW720318:TVA720323 TLA720318:TLE720323 TBE720318:TBI720323 SRI720318:SRM720323 SHM720318:SHQ720323 RXQ720318:RXU720323 RNU720318:RNY720323 RDY720318:REC720323 QUC720318:QUG720323 QKG720318:QKK720323 QAK720318:QAO720323 PQO720318:PQS720323 PGS720318:PGW720323 OWW720318:OXA720323 ONA720318:ONE720323 ODE720318:ODI720323 NTI720318:NTM720323 NJM720318:NJQ720323 MZQ720318:MZU720323 MPU720318:MPY720323 MFY720318:MGC720323 LWC720318:LWG720323 LMG720318:LMK720323 LCK720318:LCO720323 KSO720318:KSS720323 KIS720318:KIW720323 JYW720318:JZA720323 JPA720318:JPE720323 JFE720318:JFI720323 IVI720318:IVM720323 ILM720318:ILQ720323 IBQ720318:IBU720323 HRU720318:HRY720323 HHY720318:HIC720323 GYC720318:GYG720323 GOG720318:GOK720323 GEK720318:GEO720323 FUO720318:FUS720323 FKS720318:FKW720323 FAW720318:FBA720323 ERA720318:ERE720323 EHE720318:EHI720323 DXI720318:DXM720323 DNM720318:DNQ720323 DDQ720318:DDU720323 CTU720318:CTY720323 CJY720318:CKC720323 CAC720318:CAG720323 BQG720318:BQK720323 BGK720318:BGO720323 AWO720318:AWS720323 AMS720318:AMW720323 ACW720318:ADA720323 TA720318:TE720323 JE720318:JI720323 I720318:M720323 WVQ654782:WVU654787 WLU654782:WLY654787 WBY654782:WCC654787 VSC654782:VSG654787 VIG654782:VIK654787 UYK654782:UYO654787 UOO654782:UOS654787 UES654782:UEW654787 TUW654782:TVA654787 TLA654782:TLE654787 TBE654782:TBI654787 SRI654782:SRM654787 SHM654782:SHQ654787 RXQ654782:RXU654787 RNU654782:RNY654787 RDY654782:REC654787 QUC654782:QUG654787 QKG654782:QKK654787 QAK654782:QAO654787 PQO654782:PQS654787 PGS654782:PGW654787 OWW654782:OXA654787 ONA654782:ONE654787 ODE654782:ODI654787 NTI654782:NTM654787 NJM654782:NJQ654787 MZQ654782:MZU654787 MPU654782:MPY654787 MFY654782:MGC654787 LWC654782:LWG654787 LMG654782:LMK654787 LCK654782:LCO654787 KSO654782:KSS654787 KIS654782:KIW654787 JYW654782:JZA654787 JPA654782:JPE654787 JFE654782:JFI654787 IVI654782:IVM654787 ILM654782:ILQ654787 IBQ654782:IBU654787 HRU654782:HRY654787 HHY654782:HIC654787 GYC654782:GYG654787 GOG654782:GOK654787 GEK654782:GEO654787 FUO654782:FUS654787 FKS654782:FKW654787 FAW654782:FBA654787 ERA654782:ERE654787 EHE654782:EHI654787 DXI654782:DXM654787 DNM654782:DNQ654787 DDQ654782:DDU654787 CTU654782:CTY654787 CJY654782:CKC654787 CAC654782:CAG654787 BQG654782:BQK654787 BGK654782:BGO654787 AWO654782:AWS654787 AMS654782:AMW654787 ACW654782:ADA654787 TA654782:TE654787 JE654782:JI654787 I654782:M654787 WVQ589246:WVU589251 WLU589246:WLY589251 WBY589246:WCC589251 VSC589246:VSG589251 VIG589246:VIK589251 UYK589246:UYO589251 UOO589246:UOS589251 UES589246:UEW589251 TUW589246:TVA589251 TLA589246:TLE589251 TBE589246:TBI589251 SRI589246:SRM589251 SHM589246:SHQ589251 RXQ589246:RXU589251 RNU589246:RNY589251 RDY589246:REC589251 QUC589246:QUG589251 QKG589246:QKK589251 QAK589246:QAO589251 PQO589246:PQS589251 PGS589246:PGW589251 OWW589246:OXA589251 ONA589246:ONE589251 ODE589246:ODI589251 NTI589246:NTM589251 NJM589246:NJQ589251 MZQ589246:MZU589251 MPU589246:MPY589251 MFY589246:MGC589251 LWC589246:LWG589251 LMG589246:LMK589251 LCK589246:LCO589251 KSO589246:KSS589251 KIS589246:KIW589251 JYW589246:JZA589251 JPA589246:JPE589251 JFE589246:JFI589251 IVI589246:IVM589251 ILM589246:ILQ589251 IBQ589246:IBU589251 HRU589246:HRY589251 HHY589246:HIC589251 GYC589246:GYG589251 GOG589246:GOK589251 GEK589246:GEO589251 FUO589246:FUS589251 FKS589246:FKW589251 FAW589246:FBA589251 ERA589246:ERE589251 EHE589246:EHI589251 DXI589246:DXM589251 DNM589246:DNQ589251 DDQ589246:DDU589251 CTU589246:CTY589251 CJY589246:CKC589251 CAC589246:CAG589251 BQG589246:BQK589251 BGK589246:BGO589251 AWO589246:AWS589251 AMS589246:AMW589251 ACW589246:ADA589251 TA589246:TE589251 JE589246:JI589251 I589246:M589251 WVQ523710:WVU523715 WLU523710:WLY523715 WBY523710:WCC523715 VSC523710:VSG523715 VIG523710:VIK523715 UYK523710:UYO523715 UOO523710:UOS523715 UES523710:UEW523715 TUW523710:TVA523715 TLA523710:TLE523715 TBE523710:TBI523715 SRI523710:SRM523715 SHM523710:SHQ523715 RXQ523710:RXU523715 RNU523710:RNY523715 RDY523710:REC523715 QUC523710:QUG523715 QKG523710:QKK523715 QAK523710:QAO523715 PQO523710:PQS523715 PGS523710:PGW523715 OWW523710:OXA523715 ONA523710:ONE523715 ODE523710:ODI523715 NTI523710:NTM523715 NJM523710:NJQ523715 MZQ523710:MZU523715 MPU523710:MPY523715 MFY523710:MGC523715 LWC523710:LWG523715 LMG523710:LMK523715 LCK523710:LCO523715 KSO523710:KSS523715 KIS523710:KIW523715 JYW523710:JZA523715 JPA523710:JPE523715 JFE523710:JFI523715 IVI523710:IVM523715 ILM523710:ILQ523715 IBQ523710:IBU523715 HRU523710:HRY523715 HHY523710:HIC523715 GYC523710:GYG523715 GOG523710:GOK523715 GEK523710:GEO523715 FUO523710:FUS523715 FKS523710:FKW523715 FAW523710:FBA523715 ERA523710:ERE523715 EHE523710:EHI523715 DXI523710:DXM523715 DNM523710:DNQ523715 DDQ523710:DDU523715 CTU523710:CTY523715 CJY523710:CKC523715 CAC523710:CAG523715 BQG523710:BQK523715 BGK523710:BGO523715 AWO523710:AWS523715 AMS523710:AMW523715 ACW523710:ADA523715 TA523710:TE523715 JE523710:JI523715 I523710:M523715 WVQ458174:WVU458179 WLU458174:WLY458179 WBY458174:WCC458179 VSC458174:VSG458179 VIG458174:VIK458179 UYK458174:UYO458179 UOO458174:UOS458179 UES458174:UEW458179 TUW458174:TVA458179 TLA458174:TLE458179 TBE458174:TBI458179 SRI458174:SRM458179 SHM458174:SHQ458179 RXQ458174:RXU458179 RNU458174:RNY458179 RDY458174:REC458179 QUC458174:QUG458179 QKG458174:QKK458179 QAK458174:QAO458179 PQO458174:PQS458179 PGS458174:PGW458179 OWW458174:OXA458179 ONA458174:ONE458179 ODE458174:ODI458179 NTI458174:NTM458179 NJM458174:NJQ458179 MZQ458174:MZU458179 MPU458174:MPY458179 MFY458174:MGC458179 LWC458174:LWG458179 LMG458174:LMK458179 LCK458174:LCO458179 KSO458174:KSS458179 KIS458174:KIW458179 JYW458174:JZA458179 JPA458174:JPE458179 JFE458174:JFI458179 IVI458174:IVM458179 ILM458174:ILQ458179 IBQ458174:IBU458179 HRU458174:HRY458179 HHY458174:HIC458179 GYC458174:GYG458179 GOG458174:GOK458179 GEK458174:GEO458179 FUO458174:FUS458179 FKS458174:FKW458179 FAW458174:FBA458179 ERA458174:ERE458179 EHE458174:EHI458179 DXI458174:DXM458179 DNM458174:DNQ458179 DDQ458174:DDU458179 CTU458174:CTY458179 CJY458174:CKC458179 CAC458174:CAG458179 BQG458174:BQK458179 BGK458174:BGO458179 AWO458174:AWS458179 AMS458174:AMW458179 ACW458174:ADA458179 TA458174:TE458179 JE458174:JI458179 I458174:M458179 WVQ392638:WVU392643 WLU392638:WLY392643 WBY392638:WCC392643 VSC392638:VSG392643 VIG392638:VIK392643 UYK392638:UYO392643 UOO392638:UOS392643 UES392638:UEW392643 TUW392638:TVA392643 TLA392638:TLE392643 TBE392638:TBI392643 SRI392638:SRM392643 SHM392638:SHQ392643 RXQ392638:RXU392643 RNU392638:RNY392643 RDY392638:REC392643 QUC392638:QUG392643 QKG392638:QKK392643 QAK392638:QAO392643 PQO392638:PQS392643 PGS392638:PGW392643 OWW392638:OXA392643 ONA392638:ONE392643 ODE392638:ODI392643 NTI392638:NTM392643 NJM392638:NJQ392643 MZQ392638:MZU392643 MPU392638:MPY392643 MFY392638:MGC392643 LWC392638:LWG392643 LMG392638:LMK392643 LCK392638:LCO392643 KSO392638:KSS392643 KIS392638:KIW392643 JYW392638:JZA392643 JPA392638:JPE392643 JFE392638:JFI392643 IVI392638:IVM392643 ILM392638:ILQ392643 IBQ392638:IBU392643 HRU392638:HRY392643 HHY392638:HIC392643 GYC392638:GYG392643 GOG392638:GOK392643 GEK392638:GEO392643 FUO392638:FUS392643 FKS392638:FKW392643 FAW392638:FBA392643 ERA392638:ERE392643 EHE392638:EHI392643 DXI392638:DXM392643 DNM392638:DNQ392643 DDQ392638:DDU392643 CTU392638:CTY392643 CJY392638:CKC392643 CAC392638:CAG392643 BQG392638:BQK392643 BGK392638:BGO392643 AWO392638:AWS392643 AMS392638:AMW392643 ACW392638:ADA392643 TA392638:TE392643 JE392638:JI392643 I392638:M392643 WVQ327102:WVU327107 WLU327102:WLY327107 WBY327102:WCC327107 VSC327102:VSG327107 VIG327102:VIK327107 UYK327102:UYO327107 UOO327102:UOS327107 UES327102:UEW327107 TUW327102:TVA327107 TLA327102:TLE327107 TBE327102:TBI327107 SRI327102:SRM327107 SHM327102:SHQ327107 RXQ327102:RXU327107 RNU327102:RNY327107 RDY327102:REC327107 QUC327102:QUG327107 QKG327102:QKK327107 QAK327102:QAO327107 PQO327102:PQS327107 PGS327102:PGW327107 OWW327102:OXA327107 ONA327102:ONE327107 ODE327102:ODI327107 NTI327102:NTM327107 NJM327102:NJQ327107 MZQ327102:MZU327107 MPU327102:MPY327107 MFY327102:MGC327107 LWC327102:LWG327107 LMG327102:LMK327107 LCK327102:LCO327107 KSO327102:KSS327107 KIS327102:KIW327107 JYW327102:JZA327107 JPA327102:JPE327107 JFE327102:JFI327107 IVI327102:IVM327107 ILM327102:ILQ327107 IBQ327102:IBU327107 HRU327102:HRY327107 HHY327102:HIC327107 GYC327102:GYG327107 GOG327102:GOK327107 GEK327102:GEO327107 FUO327102:FUS327107 FKS327102:FKW327107 FAW327102:FBA327107 ERA327102:ERE327107 EHE327102:EHI327107 DXI327102:DXM327107 DNM327102:DNQ327107 DDQ327102:DDU327107 CTU327102:CTY327107 CJY327102:CKC327107 CAC327102:CAG327107 BQG327102:BQK327107 BGK327102:BGO327107 AWO327102:AWS327107 AMS327102:AMW327107 ACW327102:ADA327107 TA327102:TE327107 JE327102:JI327107 I327102:M327107 WVQ261566:WVU261571 WLU261566:WLY261571 WBY261566:WCC261571 VSC261566:VSG261571 VIG261566:VIK261571 UYK261566:UYO261571 UOO261566:UOS261571 UES261566:UEW261571 TUW261566:TVA261571 TLA261566:TLE261571 TBE261566:TBI261571 SRI261566:SRM261571 SHM261566:SHQ261571 RXQ261566:RXU261571 RNU261566:RNY261571 RDY261566:REC261571 QUC261566:QUG261571 QKG261566:QKK261571 QAK261566:QAO261571 PQO261566:PQS261571 PGS261566:PGW261571 OWW261566:OXA261571 ONA261566:ONE261571 ODE261566:ODI261571 NTI261566:NTM261571 NJM261566:NJQ261571 MZQ261566:MZU261571 MPU261566:MPY261571 MFY261566:MGC261571 LWC261566:LWG261571 LMG261566:LMK261571 LCK261566:LCO261571 KSO261566:KSS261571 KIS261566:KIW261571 JYW261566:JZA261571 JPA261566:JPE261571 JFE261566:JFI261571 IVI261566:IVM261571 ILM261566:ILQ261571 IBQ261566:IBU261571 HRU261566:HRY261571 HHY261566:HIC261571 GYC261566:GYG261571 GOG261566:GOK261571 GEK261566:GEO261571 FUO261566:FUS261571 FKS261566:FKW261571 FAW261566:FBA261571 ERA261566:ERE261571 EHE261566:EHI261571 DXI261566:DXM261571 DNM261566:DNQ261571 DDQ261566:DDU261571 CTU261566:CTY261571 CJY261566:CKC261571 CAC261566:CAG261571 BQG261566:BQK261571 BGK261566:BGO261571 AWO261566:AWS261571 AMS261566:AMW261571 ACW261566:ADA261571 TA261566:TE261571 JE261566:JI261571 I261566:M261571 WVQ196030:WVU196035 WLU196030:WLY196035 WBY196030:WCC196035 VSC196030:VSG196035 VIG196030:VIK196035 UYK196030:UYO196035 UOO196030:UOS196035 UES196030:UEW196035 TUW196030:TVA196035 TLA196030:TLE196035 TBE196030:TBI196035 SRI196030:SRM196035 SHM196030:SHQ196035 RXQ196030:RXU196035 RNU196030:RNY196035 RDY196030:REC196035 QUC196030:QUG196035 QKG196030:QKK196035 QAK196030:QAO196035 PQO196030:PQS196035 PGS196030:PGW196035 OWW196030:OXA196035 ONA196030:ONE196035 ODE196030:ODI196035 NTI196030:NTM196035 NJM196030:NJQ196035 MZQ196030:MZU196035 MPU196030:MPY196035 MFY196030:MGC196035 LWC196030:LWG196035 LMG196030:LMK196035 LCK196030:LCO196035 KSO196030:KSS196035 KIS196030:KIW196035 JYW196030:JZA196035 JPA196030:JPE196035 JFE196030:JFI196035 IVI196030:IVM196035 ILM196030:ILQ196035 IBQ196030:IBU196035 HRU196030:HRY196035 HHY196030:HIC196035 GYC196030:GYG196035 GOG196030:GOK196035 GEK196030:GEO196035 FUO196030:FUS196035 FKS196030:FKW196035 FAW196030:FBA196035 ERA196030:ERE196035 EHE196030:EHI196035 DXI196030:DXM196035 DNM196030:DNQ196035 DDQ196030:DDU196035 CTU196030:CTY196035 CJY196030:CKC196035 CAC196030:CAG196035 BQG196030:BQK196035 BGK196030:BGO196035 AWO196030:AWS196035 AMS196030:AMW196035 ACW196030:ADA196035 TA196030:TE196035 JE196030:JI196035 I196030:M196035 WVQ130494:WVU130499 WLU130494:WLY130499 WBY130494:WCC130499 VSC130494:VSG130499 VIG130494:VIK130499 UYK130494:UYO130499 UOO130494:UOS130499 UES130494:UEW130499 TUW130494:TVA130499 TLA130494:TLE130499 TBE130494:TBI130499 SRI130494:SRM130499 SHM130494:SHQ130499 RXQ130494:RXU130499 RNU130494:RNY130499 RDY130494:REC130499 QUC130494:QUG130499 QKG130494:QKK130499 QAK130494:QAO130499 PQO130494:PQS130499 PGS130494:PGW130499 OWW130494:OXA130499 ONA130494:ONE130499 ODE130494:ODI130499 NTI130494:NTM130499 NJM130494:NJQ130499 MZQ130494:MZU130499 MPU130494:MPY130499 MFY130494:MGC130499 LWC130494:LWG130499 LMG130494:LMK130499 LCK130494:LCO130499 KSO130494:KSS130499 KIS130494:KIW130499 JYW130494:JZA130499 JPA130494:JPE130499 JFE130494:JFI130499 IVI130494:IVM130499 ILM130494:ILQ130499 IBQ130494:IBU130499 HRU130494:HRY130499 HHY130494:HIC130499 GYC130494:GYG130499 GOG130494:GOK130499 GEK130494:GEO130499 FUO130494:FUS130499 FKS130494:FKW130499 FAW130494:FBA130499 ERA130494:ERE130499 EHE130494:EHI130499 DXI130494:DXM130499 DNM130494:DNQ130499 DDQ130494:DDU130499 CTU130494:CTY130499 CJY130494:CKC130499 CAC130494:CAG130499 BQG130494:BQK130499 BGK130494:BGO130499 AWO130494:AWS130499 AMS130494:AMW130499 ACW130494:ADA130499 TA130494:TE130499 JE130494:JI130499 I130494:M130499 WVQ64958:WVU64963 WLU64958:WLY64963 WBY64958:WCC64963 VSC64958:VSG64963 VIG64958:VIK64963 UYK64958:UYO64963 UOO64958:UOS64963 UES64958:UEW64963 TUW64958:TVA64963 TLA64958:TLE64963 TBE64958:TBI64963 SRI64958:SRM64963 SHM64958:SHQ64963 RXQ64958:RXU64963 RNU64958:RNY64963 RDY64958:REC64963 QUC64958:QUG64963 QKG64958:QKK64963 QAK64958:QAO64963 PQO64958:PQS64963 PGS64958:PGW64963 OWW64958:OXA64963 ONA64958:ONE64963 ODE64958:ODI64963 NTI64958:NTM64963 NJM64958:NJQ64963 MZQ64958:MZU64963 MPU64958:MPY64963 MFY64958:MGC64963 LWC64958:LWG64963 LMG64958:LMK64963 LCK64958:LCO64963 KSO64958:KSS64963 KIS64958:KIW64963 JYW64958:JZA64963 JPA64958:JPE64963 JFE64958:JFI64963 IVI64958:IVM64963 ILM64958:ILQ64963 IBQ64958:IBU64963 HRU64958:HRY64963 HHY64958:HIC64963 GYC64958:GYG64963 GOG64958:GOK64963 GEK64958:GEO64963 FUO64958:FUS64963 FKS64958:FKW64963 FAW64958:FBA64963 ERA64958:ERE64963 EHE64958:EHI64963 DXI64958:DXM64963 DNM64958:DNQ64963 DDQ64958:DDU64963 CTU64958:CTY64963 CJY64958:CKC64963 CAC64958:CAG64963 BQG64958:BQK64963 BGK64958:BGO64963 AWO64958:AWS64963 AMS64958:AMW64963 ACW64958:ADA64963 TA64958:TE64963 JE64958:JI64963 I64958:M64963 WVQ982470:WVU982475 WLU982470:WLY982475 WBY982470:WCC982475 VSC982470:VSG982475 VIG982470:VIK982475 UYK982470:UYO982475 UOO982470:UOS982475 UES982470:UEW982475 TUW982470:TVA982475 TLA982470:TLE982475 TBE982470:TBI982475 SRI982470:SRM982475 SHM982470:SHQ982475 RXQ982470:RXU982475 RNU982470:RNY982475 RDY982470:REC982475 QUC982470:QUG982475 QKG982470:QKK982475 QAK982470:QAO982475 PQO982470:PQS982475 PGS982470:PGW982475 OWW982470:OXA982475 ONA982470:ONE982475 ODE982470:ODI982475 NTI982470:NTM982475 NJM982470:NJQ982475 MZQ982470:MZU982475 MPU982470:MPY982475 MFY982470:MGC982475 LWC982470:LWG982475 LMG982470:LMK982475 LCK982470:LCO982475 KSO982470:KSS982475 KIS982470:KIW982475 JYW982470:JZA982475 JPA982470:JPE982475 JFE982470:JFI982475 IVI982470:IVM982475 ILM982470:ILQ982475 IBQ982470:IBU982475 HRU982470:HRY982475 HHY982470:HIC982475 GYC982470:GYG982475 GOG982470:GOK982475 GEK982470:GEO982475 FUO982470:FUS982475 FKS982470:FKW982475 FAW982470:FBA982475 ERA982470:ERE982475 EHE982470:EHI982475 DXI982470:DXM982475 DNM982470:DNQ982475 DDQ982470:DDU982475 CTU982470:CTY982475 CJY982470:CKC982475 CAC982470:CAG982475 BQG982470:BQK982475 BGK982470:BGO982475 AWO982470:AWS982475 AMS982470:AMW982475 ACW982470:ADA982475 TA982470:TE982475 JE982470:JI982475 I982470:M982475 WVQ916934:WVU916939 WLU916934:WLY916939 WBY916934:WCC916939 VSC916934:VSG916939 VIG916934:VIK916939 UYK916934:UYO916939 UOO916934:UOS916939 UES916934:UEW916939 TUW916934:TVA916939 TLA916934:TLE916939 TBE916934:TBI916939 SRI916934:SRM916939 SHM916934:SHQ916939 RXQ916934:RXU916939 RNU916934:RNY916939 RDY916934:REC916939 QUC916934:QUG916939 QKG916934:QKK916939 QAK916934:QAO916939 PQO916934:PQS916939 PGS916934:PGW916939 OWW916934:OXA916939 ONA916934:ONE916939 ODE916934:ODI916939 NTI916934:NTM916939 NJM916934:NJQ916939 MZQ916934:MZU916939 MPU916934:MPY916939 MFY916934:MGC916939 LWC916934:LWG916939 LMG916934:LMK916939 LCK916934:LCO916939 KSO916934:KSS916939 KIS916934:KIW916939 JYW916934:JZA916939 JPA916934:JPE916939 JFE916934:JFI916939 IVI916934:IVM916939 ILM916934:ILQ916939 IBQ916934:IBU916939 HRU916934:HRY916939 HHY916934:HIC916939 GYC916934:GYG916939 GOG916934:GOK916939 GEK916934:GEO916939 FUO916934:FUS916939 FKS916934:FKW916939 FAW916934:FBA916939 ERA916934:ERE916939 EHE916934:EHI916939 DXI916934:DXM916939 DNM916934:DNQ916939 DDQ916934:DDU916939 CTU916934:CTY916939 CJY916934:CKC916939 CAC916934:CAG916939 BQG916934:BQK916939 BGK916934:BGO916939 AWO916934:AWS916939 AMS916934:AMW916939 ACW916934:ADA916939 TA916934:TE916939 JE916934:JI916939 I916934:M916939 WVQ851398:WVU851403 WLU851398:WLY851403 WBY851398:WCC851403 VSC851398:VSG851403 VIG851398:VIK851403 UYK851398:UYO851403 UOO851398:UOS851403 UES851398:UEW851403 TUW851398:TVA851403 TLA851398:TLE851403 TBE851398:TBI851403 SRI851398:SRM851403 SHM851398:SHQ851403 RXQ851398:RXU851403 RNU851398:RNY851403 RDY851398:REC851403 QUC851398:QUG851403 QKG851398:QKK851403 QAK851398:QAO851403 PQO851398:PQS851403 PGS851398:PGW851403 OWW851398:OXA851403 ONA851398:ONE851403 ODE851398:ODI851403 NTI851398:NTM851403 NJM851398:NJQ851403 MZQ851398:MZU851403 MPU851398:MPY851403 MFY851398:MGC851403 LWC851398:LWG851403 LMG851398:LMK851403 LCK851398:LCO851403 KSO851398:KSS851403 KIS851398:KIW851403 JYW851398:JZA851403 JPA851398:JPE851403 JFE851398:JFI851403 IVI851398:IVM851403 ILM851398:ILQ851403 IBQ851398:IBU851403 HRU851398:HRY851403 HHY851398:HIC851403 GYC851398:GYG851403 GOG851398:GOK851403 GEK851398:GEO851403 FUO851398:FUS851403 FKS851398:FKW851403 FAW851398:FBA851403 ERA851398:ERE851403 EHE851398:EHI851403 DXI851398:DXM851403 DNM851398:DNQ851403 DDQ851398:DDU851403 CTU851398:CTY851403 CJY851398:CKC851403 CAC851398:CAG851403 BQG851398:BQK851403 BGK851398:BGO851403 AWO851398:AWS851403 AMS851398:AMW851403 ACW851398:ADA851403 TA851398:TE851403 JE851398:JI851403 I851398:M851403 WVQ785862:WVU785867 WLU785862:WLY785867 WBY785862:WCC785867 VSC785862:VSG785867 VIG785862:VIK785867 UYK785862:UYO785867 UOO785862:UOS785867 UES785862:UEW785867 TUW785862:TVA785867 TLA785862:TLE785867 TBE785862:TBI785867 SRI785862:SRM785867 SHM785862:SHQ785867 RXQ785862:RXU785867 RNU785862:RNY785867 RDY785862:REC785867 QUC785862:QUG785867 QKG785862:QKK785867 QAK785862:QAO785867 PQO785862:PQS785867 PGS785862:PGW785867 OWW785862:OXA785867 ONA785862:ONE785867 ODE785862:ODI785867 NTI785862:NTM785867 NJM785862:NJQ785867 MZQ785862:MZU785867 MPU785862:MPY785867 MFY785862:MGC785867 LWC785862:LWG785867 LMG785862:LMK785867 LCK785862:LCO785867 KSO785862:KSS785867 KIS785862:KIW785867 JYW785862:JZA785867 JPA785862:JPE785867 JFE785862:JFI785867 IVI785862:IVM785867 ILM785862:ILQ785867 IBQ785862:IBU785867 HRU785862:HRY785867 HHY785862:HIC785867 GYC785862:GYG785867 GOG785862:GOK785867 GEK785862:GEO785867 FUO785862:FUS785867 FKS785862:FKW785867 FAW785862:FBA785867 ERA785862:ERE785867 EHE785862:EHI785867 DXI785862:DXM785867 DNM785862:DNQ785867 DDQ785862:DDU785867 CTU785862:CTY785867 CJY785862:CKC785867 CAC785862:CAG785867 BQG785862:BQK785867 BGK785862:BGO785867 AWO785862:AWS785867 AMS785862:AMW785867 ACW785862:ADA785867 TA785862:TE785867 JE785862:JI785867 I785862:M785867 WVQ720326:WVU720331 WLU720326:WLY720331 WBY720326:WCC720331 VSC720326:VSG720331 VIG720326:VIK720331 UYK720326:UYO720331 UOO720326:UOS720331 UES720326:UEW720331 TUW720326:TVA720331 TLA720326:TLE720331 TBE720326:TBI720331 SRI720326:SRM720331 SHM720326:SHQ720331 RXQ720326:RXU720331 RNU720326:RNY720331 RDY720326:REC720331 QUC720326:QUG720331 QKG720326:QKK720331 QAK720326:QAO720331 PQO720326:PQS720331 PGS720326:PGW720331 OWW720326:OXA720331 ONA720326:ONE720331 ODE720326:ODI720331 NTI720326:NTM720331 NJM720326:NJQ720331 MZQ720326:MZU720331 MPU720326:MPY720331 MFY720326:MGC720331 LWC720326:LWG720331 LMG720326:LMK720331 LCK720326:LCO720331 KSO720326:KSS720331 KIS720326:KIW720331 JYW720326:JZA720331 JPA720326:JPE720331 JFE720326:JFI720331 IVI720326:IVM720331 ILM720326:ILQ720331 IBQ720326:IBU720331 HRU720326:HRY720331 HHY720326:HIC720331 GYC720326:GYG720331 GOG720326:GOK720331 GEK720326:GEO720331 FUO720326:FUS720331 FKS720326:FKW720331 FAW720326:FBA720331 ERA720326:ERE720331 EHE720326:EHI720331 DXI720326:DXM720331 DNM720326:DNQ720331 DDQ720326:DDU720331 CTU720326:CTY720331 CJY720326:CKC720331 CAC720326:CAG720331 BQG720326:BQK720331 BGK720326:BGO720331 AWO720326:AWS720331 AMS720326:AMW720331 ACW720326:ADA720331 TA720326:TE720331 JE720326:JI720331 I720326:M720331 WVQ654790:WVU654795 WLU654790:WLY654795 WBY654790:WCC654795 VSC654790:VSG654795 VIG654790:VIK654795 UYK654790:UYO654795 UOO654790:UOS654795 UES654790:UEW654795 TUW654790:TVA654795 TLA654790:TLE654795 TBE654790:TBI654795 SRI654790:SRM654795 SHM654790:SHQ654795 RXQ654790:RXU654795 RNU654790:RNY654795 RDY654790:REC654795 QUC654790:QUG654795 QKG654790:QKK654795 QAK654790:QAO654795 PQO654790:PQS654795 PGS654790:PGW654795 OWW654790:OXA654795 ONA654790:ONE654795 ODE654790:ODI654795 NTI654790:NTM654795 NJM654790:NJQ654795 MZQ654790:MZU654795 MPU654790:MPY654795 MFY654790:MGC654795 LWC654790:LWG654795 LMG654790:LMK654795 LCK654790:LCO654795 KSO654790:KSS654795 KIS654790:KIW654795 JYW654790:JZA654795 JPA654790:JPE654795 JFE654790:JFI654795 IVI654790:IVM654795 ILM654790:ILQ654795 IBQ654790:IBU654795 HRU654790:HRY654795 HHY654790:HIC654795 GYC654790:GYG654795 GOG654790:GOK654795 GEK654790:GEO654795 FUO654790:FUS654795 FKS654790:FKW654795 FAW654790:FBA654795 ERA654790:ERE654795 EHE654790:EHI654795 DXI654790:DXM654795 DNM654790:DNQ654795 DDQ654790:DDU654795 CTU654790:CTY654795 CJY654790:CKC654795 CAC654790:CAG654795 BQG654790:BQK654795 BGK654790:BGO654795 AWO654790:AWS654795 AMS654790:AMW654795 ACW654790:ADA654795 TA654790:TE654795 JE654790:JI654795 I654790:M654795 WVQ589254:WVU589259 WLU589254:WLY589259 WBY589254:WCC589259 VSC589254:VSG589259 VIG589254:VIK589259 UYK589254:UYO589259 UOO589254:UOS589259 UES589254:UEW589259 TUW589254:TVA589259 TLA589254:TLE589259 TBE589254:TBI589259 SRI589254:SRM589259 SHM589254:SHQ589259 RXQ589254:RXU589259 RNU589254:RNY589259 RDY589254:REC589259 QUC589254:QUG589259 QKG589254:QKK589259 QAK589254:QAO589259 PQO589254:PQS589259 PGS589254:PGW589259 OWW589254:OXA589259 ONA589254:ONE589259 ODE589254:ODI589259 NTI589254:NTM589259 NJM589254:NJQ589259 MZQ589254:MZU589259 MPU589254:MPY589259 MFY589254:MGC589259 LWC589254:LWG589259 LMG589254:LMK589259 LCK589254:LCO589259 KSO589254:KSS589259 KIS589254:KIW589259 JYW589254:JZA589259 JPA589254:JPE589259 JFE589254:JFI589259 IVI589254:IVM589259 ILM589254:ILQ589259 IBQ589254:IBU589259 HRU589254:HRY589259 HHY589254:HIC589259 GYC589254:GYG589259 GOG589254:GOK589259 GEK589254:GEO589259 FUO589254:FUS589259 FKS589254:FKW589259 FAW589254:FBA589259 ERA589254:ERE589259 EHE589254:EHI589259 DXI589254:DXM589259 DNM589254:DNQ589259 DDQ589254:DDU589259 CTU589254:CTY589259 CJY589254:CKC589259 CAC589254:CAG589259 BQG589254:BQK589259 BGK589254:BGO589259 AWO589254:AWS589259 AMS589254:AMW589259 ACW589254:ADA589259 TA589254:TE589259 JE589254:JI589259 I589254:M589259 WVQ523718:WVU523723 WLU523718:WLY523723 WBY523718:WCC523723 VSC523718:VSG523723 VIG523718:VIK523723 UYK523718:UYO523723 UOO523718:UOS523723 UES523718:UEW523723 TUW523718:TVA523723 TLA523718:TLE523723 TBE523718:TBI523723 SRI523718:SRM523723 SHM523718:SHQ523723 RXQ523718:RXU523723 RNU523718:RNY523723 RDY523718:REC523723 QUC523718:QUG523723 QKG523718:QKK523723 QAK523718:QAO523723 PQO523718:PQS523723 PGS523718:PGW523723 OWW523718:OXA523723 ONA523718:ONE523723 ODE523718:ODI523723 NTI523718:NTM523723 NJM523718:NJQ523723 MZQ523718:MZU523723 MPU523718:MPY523723 MFY523718:MGC523723 LWC523718:LWG523723 LMG523718:LMK523723 LCK523718:LCO523723 KSO523718:KSS523723 KIS523718:KIW523723 JYW523718:JZA523723 JPA523718:JPE523723 JFE523718:JFI523723 IVI523718:IVM523723 ILM523718:ILQ523723 IBQ523718:IBU523723 HRU523718:HRY523723 HHY523718:HIC523723 GYC523718:GYG523723 GOG523718:GOK523723 GEK523718:GEO523723 FUO523718:FUS523723 FKS523718:FKW523723 FAW523718:FBA523723 ERA523718:ERE523723 EHE523718:EHI523723 DXI523718:DXM523723 DNM523718:DNQ523723 DDQ523718:DDU523723 CTU523718:CTY523723 CJY523718:CKC523723 CAC523718:CAG523723 BQG523718:BQK523723 BGK523718:BGO523723 AWO523718:AWS523723 AMS523718:AMW523723 ACW523718:ADA523723 TA523718:TE523723 JE523718:JI523723 I523718:M523723 WVQ458182:WVU458187 WLU458182:WLY458187 WBY458182:WCC458187 VSC458182:VSG458187 VIG458182:VIK458187 UYK458182:UYO458187 UOO458182:UOS458187 UES458182:UEW458187 TUW458182:TVA458187 TLA458182:TLE458187 TBE458182:TBI458187 SRI458182:SRM458187 SHM458182:SHQ458187 RXQ458182:RXU458187 RNU458182:RNY458187 RDY458182:REC458187 QUC458182:QUG458187 QKG458182:QKK458187 QAK458182:QAO458187 PQO458182:PQS458187 PGS458182:PGW458187 OWW458182:OXA458187 ONA458182:ONE458187 ODE458182:ODI458187 NTI458182:NTM458187 NJM458182:NJQ458187 MZQ458182:MZU458187 MPU458182:MPY458187 MFY458182:MGC458187 LWC458182:LWG458187 LMG458182:LMK458187 LCK458182:LCO458187 KSO458182:KSS458187 KIS458182:KIW458187 JYW458182:JZA458187 JPA458182:JPE458187 JFE458182:JFI458187 IVI458182:IVM458187 ILM458182:ILQ458187 IBQ458182:IBU458187 HRU458182:HRY458187 HHY458182:HIC458187 GYC458182:GYG458187 GOG458182:GOK458187 GEK458182:GEO458187 FUO458182:FUS458187 FKS458182:FKW458187 FAW458182:FBA458187 ERA458182:ERE458187 EHE458182:EHI458187 DXI458182:DXM458187 DNM458182:DNQ458187 DDQ458182:DDU458187 CTU458182:CTY458187 CJY458182:CKC458187 CAC458182:CAG458187 BQG458182:BQK458187 BGK458182:BGO458187 AWO458182:AWS458187 AMS458182:AMW458187 ACW458182:ADA458187 TA458182:TE458187 JE458182:JI458187 I458182:M458187 WVQ392646:WVU392651 WLU392646:WLY392651 WBY392646:WCC392651 VSC392646:VSG392651 VIG392646:VIK392651 UYK392646:UYO392651 UOO392646:UOS392651 UES392646:UEW392651 TUW392646:TVA392651 TLA392646:TLE392651 TBE392646:TBI392651 SRI392646:SRM392651 SHM392646:SHQ392651 RXQ392646:RXU392651 RNU392646:RNY392651 RDY392646:REC392651 QUC392646:QUG392651 QKG392646:QKK392651 QAK392646:QAO392651 PQO392646:PQS392651 PGS392646:PGW392651 OWW392646:OXA392651 ONA392646:ONE392651 ODE392646:ODI392651 NTI392646:NTM392651 NJM392646:NJQ392651 MZQ392646:MZU392651 MPU392646:MPY392651 MFY392646:MGC392651 LWC392646:LWG392651 LMG392646:LMK392651 LCK392646:LCO392651 KSO392646:KSS392651 KIS392646:KIW392651 JYW392646:JZA392651 JPA392646:JPE392651 JFE392646:JFI392651 IVI392646:IVM392651 ILM392646:ILQ392651 IBQ392646:IBU392651 HRU392646:HRY392651 HHY392646:HIC392651 GYC392646:GYG392651 GOG392646:GOK392651 GEK392646:GEO392651 FUO392646:FUS392651 FKS392646:FKW392651 FAW392646:FBA392651 ERA392646:ERE392651 EHE392646:EHI392651 DXI392646:DXM392651 DNM392646:DNQ392651 DDQ392646:DDU392651 CTU392646:CTY392651 CJY392646:CKC392651 CAC392646:CAG392651 BQG392646:BQK392651 BGK392646:BGO392651 AWO392646:AWS392651 AMS392646:AMW392651 ACW392646:ADA392651 TA392646:TE392651 JE392646:JI392651 I392646:M392651 WVQ327110:WVU327115 WLU327110:WLY327115 WBY327110:WCC327115 VSC327110:VSG327115 VIG327110:VIK327115 UYK327110:UYO327115 UOO327110:UOS327115 UES327110:UEW327115 TUW327110:TVA327115 TLA327110:TLE327115 TBE327110:TBI327115 SRI327110:SRM327115 SHM327110:SHQ327115 RXQ327110:RXU327115 RNU327110:RNY327115 RDY327110:REC327115 QUC327110:QUG327115 QKG327110:QKK327115 QAK327110:QAO327115 PQO327110:PQS327115 PGS327110:PGW327115 OWW327110:OXA327115 ONA327110:ONE327115 ODE327110:ODI327115 NTI327110:NTM327115 NJM327110:NJQ327115 MZQ327110:MZU327115 MPU327110:MPY327115 MFY327110:MGC327115 LWC327110:LWG327115 LMG327110:LMK327115 LCK327110:LCO327115 KSO327110:KSS327115 KIS327110:KIW327115 JYW327110:JZA327115 JPA327110:JPE327115 JFE327110:JFI327115 IVI327110:IVM327115 ILM327110:ILQ327115 IBQ327110:IBU327115 HRU327110:HRY327115 HHY327110:HIC327115 GYC327110:GYG327115 GOG327110:GOK327115 GEK327110:GEO327115 FUO327110:FUS327115 FKS327110:FKW327115 FAW327110:FBA327115 ERA327110:ERE327115 EHE327110:EHI327115 DXI327110:DXM327115 DNM327110:DNQ327115 DDQ327110:DDU327115 CTU327110:CTY327115 CJY327110:CKC327115 CAC327110:CAG327115 BQG327110:BQK327115 BGK327110:BGO327115 AWO327110:AWS327115 AMS327110:AMW327115 ACW327110:ADA327115 TA327110:TE327115 JE327110:JI327115 I327110:M327115 WVQ261574:WVU261579 WLU261574:WLY261579 WBY261574:WCC261579 VSC261574:VSG261579 VIG261574:VIK261579 UYK261574:UYO261579 UOO261574:UOS261579 UES261574:UEW261579 TUW261574:TVA261579 TLA261574:TLE261579 TBE261574:TBI261579 SRI261574:SRM261579 SHM261574:SHQ261579 RXQ261574:RXU261579 RNU261574:RNY261579 RDY261574:REC261579 QUC261574:QUG261579 QKG261574:QKK261579 QAK261574:QAO261579 PQO261574:PQS261579 PGS261574:PGW261579 OWW261574:OXA261579 ONA261574:ONE261579 ODE261574:ODI261579 NTI261574:NTM261579 NJM261574:NJQ261579 MZQ261574:MZU261579 MPU261574:MPY261579 MFY261574:MGC261579 LWC261574:LWG261579 LMG261574:LMK261579 LCK261574:LCO261579 KSO261574:KSS261579 KIS261574:KIW261579 JYW261574:JZA261579 JPA261574:JPE261579 JFE261574:JFI261579 IVI261574:IVM261579 ILM261574:ILQ261579 IBQ261574:IBU261579 HRU261574:HRY261579 HHY261574:HIC261579 GYC261574:GYG261579 GOG261574:GOK261579 GEK261574:GEO261579 FUO261574:FUS261579 FKS261574:FKW261579 FAW261574:FBA261579 ERA261574:ERE261579 EHE261574:EHI261579 DXI261574:DXM261579 DNM261574:DNQ261579 DDQ261574:DDU261579 CTU261574:CTY261579 CJY261574:CKC261579 CAC261574:CAG261579 BQG261574:BQK261579 BGK261574:BGO261579 AWO261574:AWS261579 AMS261574:AMW261579 ACW261574:ADA261579 TA261574:TE261579 JE261574:JI261579 I261574:M261579 WVQ196038:WVU196043 WLU196038:WLY196043 WBY196038:WCC196043 VSC196038:VSG196043 VIG196038:VIK196043 UYK196038:UYO196043 UOO196038:UOS196043 UES196038:UEW196043 TUW196038:TVA196043 TLA196038:TLE196043 TBE196038:TBI196043 SRI196038:SRM196043 SHM196038:SHQ196043 RXQ196038:RXU196043 RNU196038:RNY196043 RDY196038:REC196043 QUC196038:QUG196043 QKG196038:QKK196043 QAK196038:QAO196043 PQO196038:PQS196043 PGS196038:PGW196043 OWW196038:OXA196043 ONA196038:ONE196043 ODE196038:ODI196043 NTI196038:NTM196043 NJM196038:NJQ196043 MZQ196038:MZU196043 MPU196038:MPY196043 MFY196038:MGC196043 LWC196038:LWG196043 LMG196038:LMK196043 LCK196038:LCO196043 KSO196038:KSS196043 KIS196038:KIW196043 JYW196038:JZA196043 JPA196038:JPE196043 JFE196038:JFI196043 IVI196038:IVM196043 ILM196038:ILQ196043 IBQ196038:IBU196043 HRU196038:HRY196043 HHY196038:HIC196043 GYC196038:GYG196043 GOG196038:GOK196043 GEK196038:GEO196043 FUO196038:FUS196043 FKS196038:FKW196043 FAW196038:FBA196043 ERA196038:ERE196043 EHE196038:EHI196043 DXI196038:DXM196043 DNM196038:DNQ196043 DDQ196038:DDU196043 CTU196038:CTY196043 CJY196038:CKC196043 CAC196038:CAG196043 BQG196038:BQK196043 BGK196038:BGO196043 AWO196038:AWS196043 AMS196038:AMW196043 ACW196038:ADA196043 TA196038:TE196043 JE196038:JI196043 I196038:M196043 WVQ130502:WVU130507 WLU130502:WLY130507 WBY130502:WCC130507 VSC130502:VSG130507 VIG130502:VIK130507 UYK130502:UYO130507 UOO130502:UOS130507 UES130502:UEW130507 TUW130502:TVA130507 TLA130502:TLE130507 TBE130502:TBI130507 SRI130502:SRM130507 SHM130502:SHQ130507 RXQ130502:RXU130507 RNU130502:RNY130507 RDY130502:REC130507 QUC130502:QUG130507 QKG130502:QKK130507 QAK130502:QAO130507 PQO130502:PQS130507 PGS130502:PGW130507 OWW130502:OXA130507 ONA130502:ONE130507 ODE130502:ODI130507 NTI130502:NTM130507 NJM130502:NJQ130507 MZQ130502:MZU130507 MPU130502:MPY130507 MFY130502:MGC130507 LWC130502:LWG130507 LMG130502:LMK130507 LCK130502:LCO130507 KSO130502:KSS130507 KIS130502:KIW130507 JYW130502:JZA130507 JPA130502:JPE130507 JFE130502:JFI130507 IVI130502:IVM130507 ILM130502:ILQ130507 IBQ130502:IBU130507 HRU130502:HRY130507 HHY130502:HIC130507 GYC130502:GYG130507 GOG130502:GOK130507 GEK130502:GEO130507 FUO130502:FUS130507 FKS130502:FKW130507 FAW130502:FBA130507 ERA130502:ERE130507 EHE130502:EHI130507 DXI130502:DXM130507 DNM130502:DNQ130507 DDQ130502:DDU130507 CTU130502:CTY130507 CJY130502:CKC130507 CAC130502:CAG130507 BQG130502:BQK130507 BGK130502:BGO130507 AWO130502:AWS130507 AMS130502:AMW130507 ACW130502:ADA130507 TA130502:TE130507 JE130502:JI130507 I130502:M130507 WVQ64966:WVU64971 WLU64966:WLY64971 WBY64966:WCC64971 VSC64966:VSG64971 VIG64966:VIK64971 UYK64966:UYO64971 UOO64966:UOS64971 UES64966:UEW64971 TUW64966:TVA64971 TLA64966:TLE64971 TBE64966:TBI64971 SRI64966:SRM64971 SHM64966:SHQ64971 RXQ64966:RXU64971 RNU64966:RNY64971 RDY64966:REC64971 QUC64966:QUG64971 QKG64966:QKK64971 QAK64966:QAO64971 PQO64966:PQS64971 PGS64966:PGW64971 OWW64966:OXA64971 ONA64966:ONE64971 ODE64966:ODI64971 NTI64966:NTM64971 NJM64966:NJQ64971 MZQ64966:MZU64971 MPU64966:MPY64971 MFY64966:MGC64971 LWC64966:LWG64971 LMG64966:LMK64971 LCK64966:LCO64971 KSO64966:KSS64971 KIS64966:KIW64971 JYW64966:JZA64971 JPA64966:JPE64971 JFE64966:JFI64971 IVI64966:IVM64971 ILM64966:ILQ64971 IBQ64966:IBU64971 HRU64966:HRY64971 HHY64966:HIC64971 GYC64966:GYG64971 GOG64966:GOK64971 GEK64966:GEO64971 FUO64966:FUS64971 FKS64966:FKW64971 FAW64966:FBA64971 ERA64966:ERE64971 EHE64966:EHI64971 DXI64966:DXM64971 DNM64966:DNQ64971 DDQ64966:DDU64971 CTU64966:CTY64971 CJY64966:CKC64971 CAC64966:CAG64971 BQG64966:BQK64971 BGK64966:BGO64971 AWO64966:AWS64971 AMS64966:AMW64971 ACW64966:ADA64971 TA64966:TE64971 JE64966:JI64971 JG21:JJ30 TC21:TF30 ACY21:ADB30 AMU21:AMX30 AWQ21:AWT30 BGM21:BGP30 BQI21:BQL30 CAE21:CAH30 CKA21:CKD30 CTW21:CTZ30 DDS21:DDV30 DNO21:DNR30 DXK21:DXN30 EHG21:EHJ30 ERC21:ERF30 FAY21:FBB30 FKU21:FKX30 FUQ21:FUT30 GEM21:GEP30 GOI21:GOL30 GYE21:GYH30 HIA21:HID30 HRW21:HRZ30 IBS21:IBV30 ILO21:ILR30 IVK21:IVN30 JFG21:JFJ30 JPC21:JPF30 JYY21:JZB30 KIU21:KIX30 KSQ21:KST30 LCM21:LCP30 LMI21:LML30 LWE21:LWH30 MGA21:MGD30 MPW21:MPZ30 MZS21:MZV30 NJO21:NJR30 NTK21:NTN30 ODG21:ODJ30 ONC21:ONF30 OWY21:OXB30 PGU21:PGX30 PQQ21:PQT30 QAM21:QAP30 QKI21:QKL30 QUE21:QUH30 REA21:RED30 RNW21:RNZ30 RXS21:RXV30 SHO21:SHR30 SRK21:SRN30 TBG21:TBJ30 TLC21:TLF30 TUY21:TVB30 UEU21:UEX30 UOQ21:UOT30 UYM21:UYP30 VII21:VIL30 VSE21:VSH30 WCA21:WCD30 WLW21:WLZ30 WVS21:WVV30 WVK9:WVN17 IY21:JB30 SU21:SX30 ACQ21:ACT30 AMM21:AMP30 AWI21:AWL30 BGE21:BGH30 BQA21:BQD30 BZW21:BZZ30 CJS21:CJV30 CTO21:CTR30 DDK21:DDN30 DNG21:DNJ30 DXC21:DXF30 EGY21:EHB30 EQU21:EQX30 FAQ21:FAT30 FKM21:FKP30 FUI21:FUL30 GEE21:GEH30 GOA21:GOD30 GXW21:GXZ30 HHS21:HHV30 HRO21:HRR30 IBK21:IBN30 ILG21:ILJ30 IVC21:IVF30 JEY21:JFB30 JOU21:JOX30 JYQ21:JYT30 KIM21:KIP30 KSI21:KSL30 LCE21:LCH30 LMA21:LMD30 LVW21:LVZ30 MFS21:MFV30 MPO21:MPR30 MZK21:MZN30 NJG21:NJJ30 NTC21:NTF30 OCY21:ODB30 OMU21:OMX30 OWQ21:OWT30 PGM21:PGP30 PQI21:PQL30 QAE21:QAH30 QKA21:QKD30 QTW21:QTZ30 RDS21:RDV30 RNO21:RNR30 RXK21:RXN30 SHG21:SHJ30 SRC21:SRF30 TAY21:TBB30 TKU21:TKX30 TUQ21:TUT30 UEM21:UEP30 UOI21:UOL30 UYE21:UYH30 VIA21:VID30 VRW21:VRZ30 WBS21:WBV30 WLO21:WLR30 WVK21:WVN30 JF9:JJ17 TB9:TF17 ACX9:ADB17 AMT9:AMX17 AWP9:AWT17 BGL9:BGP17 BQH9:BQL17 CAD9:CAH17 CJZ9:CKD17 CTV9:CTZ17 DDR9:DDV17 DNN9:DNR17 DXJ9:DXN17 EHF9:EHJ17 ERB9:ERF17 FAX9:FBB17 FKT9:FKX17 FUP9:FUT17 GEL9:GEP17 GOH9:GOL17 GYD9:GYH17 HHZ9:HID17 HRV9:HRZ17 IBR9:IBV17 ILN9:ILR17 IVJ9:IVN17 JFF9:JFJ17 JPB9:JPF17 JYX9:JZB17 KIT9:KIX17 KSP9:KST17 LCL9:LCP17 LMH9:LML17 LWD9:LWH17 MFZ9:MGD17 MPV9:MPZ17 MZR9:MZV17 NJN9:NJR17 NTJ9:NTN17 ODF9:ODJ17 ONB9:ONF17 OWX9:OXB17 PGT9:PGX17 PQP9:PQT17 QAL9:QAP17 QKH9:QKL17 QUD9:QUH17 RDZ9:RED17 RNV9:RNZ17 RXR9:RXV17 SHN9:SHR17 SRJ9:SRN17 TBF9:TBJ17 TLB9:TLF17 TUX9:TVB17 UET9:UEX17 UOP9:UOT17 UYL9:UYP17 VIH9:VIL17 VSD9:VSH17 WBZ9:WCD17 WLV9:WLZ17 WVR9:WVV17 IY9:JB17 SU9:SX17 ACQ9:ACT17 AMM9:AMP17 AWI9:AWL17 BGE9:BGH17 BQA9:BQD17 BZW9:BZZ17 CJS9:CJV17 CTO9:CTR17 DDK9:DDN17 DNG9:DNJ17 DXC9:DXF17 EGY9:EHB17 EQU9:EQX17 FAQ9:FAT17 FKM9:FKP17 FUI9:FUL17 GEE9:GEH17 GOA9:GOD17 GXW9:GXZ17 HHS9:HHV17 HRO9:HRR17 IBK9:IBN17 ILG9:ILJ17 IVC9:IVF17 JEY9:JFB17 JOU9:JOX17 JYQ9:JYT17 KIM9:KIP17 KSI9:KSL17 LCE9:LCH17 LMA9:LMD17 LVW9:LVZ17 MFS9:MFV17 MPO9:MPR17 MZK9:MZN17 NJG9:NJJ17 NTC9:NTF17 OCY9:ODB17 OMU9:OMX17 OWQ9:OWT17 PGM9:PGP17 PQI9:PQL17 QAE9:QAH17 QKA9:QKD17 QTW9:QTZ17 RDS9:RDV17 RNO9:RNR17 RXK9:RXN17 SHG9:SHJ17 SRC9:SRF17 TAY9:TBB17 TKU9:TKX17 TUQ9:TUT17 UEM9:UEP17 UOI9:UOL17 UYE9:UYH17 VIA9:VID17 VRW9:VRZ17 WBS9:WBV17 WLO9:WLR17 ST34:TA58 ACP34:ACW58 AWH34:AWO58 WVS34:WVS58 IX34:JE58 WLW34:WLW58 WCA34:WCA58 BPZ34:BQG58 BZV34:CAC58 CJR34:CJY58 CTN34:CTU58 DDJ34:DDQ58 DNF34:DNM58 DXB34:DXI58 EGX34:EHE58 EQT34:ERA58 FAP34:FAW58 FKL34:FKS58 FUH34:FUO58 GED34:GEK58 GNZ34:GOG58 GXV34:GYC58 HHR34:HHY58 HRN34:HRU58 IBJ34:IBQ58 ILF34:ILM58 IVB34:IVI58 JEX34:JFE58 JOT34:JPA58 JYP34:JYW58 KIL34:KIS58 KSH34:KSO58 LCD34:LCK58 LLZ34:LMG58 LVV34:LWC58 MFR34:MFY58 MPN34:MPU58 MZJ34:MZQ58 NJF34:NJM58 NTB34:NTI58 OCX34:ODE58 OMT34:ONA58 OWP34:OWW58 PGL34:PGS58 PQH34:PQO58 QAD34:QAK58 QJZ34:QKG58 QTV34:QUC58 RDR34:RDY58 RNN34:RNU58 RXJ34:RXQ58 SHF34:SHM58 SRB34:SRI58 TAX34:TBE58 TKT34:TLA58 TUP34:TUW58 UEL34:UES58 UOH34:UOO58 UYD34:UYK58 VHZ34:VIG58 VRV34:VSC58 WBR34:WBY58 WLN34:WLU58 WVJ34:WVQ58 JG34:JG58 TC34:TC58 ACY34:ACY58 AMU34:AMU58 AWQ34:AWQ58 BGM34:BGM58 BQI34:BQI58 CAE34:CAE58 CKA34:CKA58 CTW34:CTW58 DDS34:DDS58 DNO34:DNO58 DXK34:DXK58 EHG34:EHG58 ERC34:ERC58 FAY34:FAY58 FKU34:FKU58 FUQ34:FUQ58 GEM34:GEM58 GOI34:GOI58 GYE34:GYE58 HIA34:HIA58 HRW34:HRW58 IBS34:IBS58 ILO34:ILO58 IVK34:IVK58 JFG34:JFG58 JPC34:JPC58 JYY34:JYY58 KIU34:KIU58 KSQ34:KSQ58 LCM34:LCM58 LMI34:LMI58 LWE34:LWE58 MGA34:MGA58 MPW34:MPW58 MZS34:MZS58 NJO34:NJO58 NTK34:NTK58 ODG34:ODG58 ONC34:ONC58 OWY34:OWY58 PGU34:PGU58 PQQ34:PQQ58 QAM34:QAM58 QKI34:QKI58 QUE34:QUE58 REA34:REA58 RNW34:RNW58 RXS34:RXS58 SHO34:SHO58 SRK34:SRK58 TBG34:TBG58 TLC34:TLC58 TUY34:TUY58 UEU34:UEU58 UOQ34:UOQ58 UYM34:UYM58 VII34:VII58 VSE34:VSE58 BGD34:BGK58 AML34:AMS58</xm:sqref>
        </x14:dataValidation>
        <x14:dataValidation type="whole" showInputMessage="1" showErrorMessage="1" error="The value should be less than or equal to 2.10. Please ensure that 2.10 has been calculated first">
          <x14:formula1>
            <xm:f>0</xm:f>
          </x14:formula1>
          <x14:formula2>
            <xm:f>ART_2!K20</xm:f>
          </x14:formula2>
          <xm:sqref>M4:N4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FA27"/>
  <sheetViews>
    <sheetView zoomScale="80" zoomScaleNormal="80" workbookViewId="0">
      <selection activeCell="K7" sqref="K7"/>
    </sheetView>
  </sheetViews>
  <sheetFormatPr defaultColWidth="0" defaultRowHeight="15" zeroHeight="1" x14ac:dyDescent="0.25"/>
  <cols>
    <col min="1" max="5" width="10.7109375" style="5" customWidth="1"/>
    <col min="6" max="10" width="15.7109375" style="5" customWidth="1"/>
    <col min="11" max="11" width="15.42578125" style="5" customWidth="1"/>
    <col min="12" max="12" width="30.140625" style="5" bestFit="1" customWidth="1"/>
    <col min="16382" max="16384" width="9.140625" hidden="1"/>
  </cols>
  <sheetData>
    <row r="1" spans="1:12" ht="25.15" customHeight="1" x14ac:dyDescent="0.25">
      <c r="A1" s="329" t="s">
        <v>1948</v>
      </c>
      <c r="B1" s="330"/>
      <c r="C1" s="330"/>
      <c r="D1" s="330"/>
      <c r="E1" s="330"/>
      <c r="F1" s="330"/>
      <c r="G1" s="330"/>
      <c r="H1" s="330"/>
      <c r="I1" s="330"/>
      <c r="J1" s="330"/>
      <c r="K1" s="42" t="s">
        <v>21</v>
      </c>
      <c r="L1" s="40"/>
    </row>
    <row r="2" spans="1:12" x14ac:dyDescent="0.25">
      <c r="A2" s="369" t="s">
        <v>1945</v>
      </c>
      <c r="B2" s="369"/>
      <c r="C2" s="369"/>
      <c r="D2" s="379" t="str">
        <f>ART_1!D8</f>
        <v>ART-DL-SOU-02</v>
      </c>
      <c r="E2" s="379"/>
      <c r="F2" s="379"/>
      <c r="G2" s="379"/>
      <c r="H2" s="379"/>
      <c r="I2" s="379"/>
      <c r="J2" s="379"/>
      <c r="K2" s="379"/>
      <c r="L2" s="40"/>
    </row>
    <row r="3" spans="1:12" x14ac:dyDescent="0.25">
      <c r="A3" s="327" t="s">
        <v>2314</v>
      </c>
      <c r="B3" s="327"/>
      <c r="C3" s="327"/>
      <c r="D3" s="327"/>
      <c r="E3" s="327"/>
      <c r="F3" s="327"/>
      <c r="G3" s="327"/>
      <c r="H3" s="327"/>
      <c r="I3" s="327"/>
      <c r="J3" s="327"/>
      <c r="K3" s="327"/>
      <c r="L3" s="40"/>
    </row>
    <row r="4" spans="1:12" x14ac:dyDescent="0.25">
      <c r="A4" s="327" t="s">
        <v>2322</v>
      </c>
      <c r="B4" s="327"/>
      <c r="C4" s="327"/>
      <c r="D4" s="327"/>
      <c r="E4" s="327"/>
      <c r="F4" s="327"/>
      <c r="G4" s="327"/>
      <c r="H4" s="327"/>
      <c r="I4" s="327"/>
      <c r="J4" s="327"/>
      <c r="K4" s="327"/>
      <c r="L4" s="40"/>
    </row>
    <row r="5" spans="1:12" x14ac:dyDescent="0.25">
      <c r="A5" s="474" t="s">
        <v>65</v>
      </c>
      <c r="B5" s="474"/>
      <c r="C5" s="474"/>
      <c r="D5" s="474"/>
      <c r="E5" s="474"/>
      <c r="F5" s="474" t="s">
        <v>7</v>
      </c>
      <c r="G5" s="474"/>
      <c r="H5" s="474"/>
      <c r="I5" s="474" t="s">
        <v>16</v>
      </c>
      <c r="J5" s="474"/>
      <c r="K5" s="54"/>
      <c r="L5" s="40"/>
    </row>
    <row r="6" spans="1:12" x14ac:dyDescent="0.25">
      <c r="A6" s="474"/>
      <c r="B6" s="474"/>
      <c r="C6" s="474"/>
      <c r="D6" s="474"/>
      <c r="E6" s="474"/>
      <c r="F6" s="46" t="s">
        <v>1</v>
      </c>
      <c r="G6" s="46" t="s">
        <v>2</v>
      </c>
      <c r="H6" s="46" t="s">
        <v>3</v>
      </c>
      <c r="I6" s="47" t="s">
        <v>17</v>
      </c>
      <c r="J6" s="46" t="s">
        <v>2</v>
      </c>
      <c r="K6" s="46" t="s">
        <v>5</v>
      </c>
      <c r="L6" s="40"/>
    </row>
    <row r="7" spans="1:12" ht="24.95" customHeight="1" x14ac:dyDescent="0.25">
      <c r="A7" s="470" t="s">
        <v>2369</v>
      </c>
      <c r="B7" s="471"/>
      <c r="C7" s="471"/>
      <c r="D7" s="471"/>
      <c r="E7" s="472"/>
      <c r="F7" s="37">
        <v>35</v>
      </c>
      <c r="G7" s="37">
        <v>18</v>
      </c>
      <c r="H7" s="37">
        <v>0</v>
      </c>
      <c r="I7" s="37">
        <v>2</v>
      </c>
      <c r="J7" s="37">
        <v>2</v>
      </c>
      <c r="K7" s="48">
        <f t="shared" ref="K7:K17" si="0">SUM(F7:J7)</f>
        <v>57</v>
      </c>
      <c r="L7" s="40"/>
    </row>
    <row r="8" spans="1:12" ht="24.95" customHeight="1" x14ac:dyDescent="0.25">
      <c r="A8" s="470" t="s">
        <v>2370</v>
      </c>
      <c r="B8" s="471"/>
      <c r="C8" s="471"/>
      <c r="D8" s="471"/>
      <c r="E8" s="472"/>
      <c r="F8" s="37">
        <v>0</v>
      </c>
      <c r="G8" s="37">
        <v>0</v>
      </c>
      <c r="H8" s="37">
        <v>0</v>
      </c>
      <c r="I8" s="37">
        <v>0</v>
      </c>
      <c r="J8" s="37">
        <v>0</v>
      </c>
      <c r="K8" s="48">
        <f t="shared" si="0"/>
        <v>0</v>
      </c>
      <c r="L8" s="40"/>
    </row>
    <row r="9" spans="1:12" ht="24.95" customHeight="1" x14ac:dyDescent="0.25">
      <c r="A9" s="470" t="s">
        <v>2440</v>
      </c>
      <c r="B9" s="471"/>
      <c r="C9" s="471"/>
      <c r="D9" s="471"/>
      <c r="E9" s="472"/>
      <c r="F9" s="37">
        <v>0</v>
      </c>
      <c r="G9" s="37">
        <v>0</v>
      </c>
      <c r="H9" s="37">
        <v>0</v>
      </c>
      <c r="I9" s="37">
        <v>0</v>
      </c>
      <c r="J9" s="37">
        <v>0</v>
      </c>
      <c r="K9" s="48">
        <f t="shared" si="0"/>
        <v>0</v>
      </c>
      <c r="L9" s="40"/>
    </row>
    <row r="10" spans="1:12" ht="24.95" customHeight="1" x14ac:dyDescent="0.25">
      <c r="A10" s="470" t="s">
        <v>2441</v>
      </c>
      <c r="B10" s="471"/>
      <c r="C10" s="471"/>
      <c r="D10" s="471"/>
      <c r="E10" s="472"/>
      <c r="F10" s="37">
        <v>0</v>
      </c>
      <c r="G10" s="37">
        <v>0</v>
      </c>
      <c r="H10" s="37">
        <v>0</v>
      </c>
      <c r="I10" s="37">
        <v>0</v>
      </c>
      <c r="J10" s="37">
        <v>0</v>
      </c>
      <c r="K10" s="48">
        <f t="shared" si="0"/>
        <v>0</v>
      </c>
      <c r="L10" s="40"/>
    </row>
    <row r="11" spans="1:12" ht="42" x14ac:dyDescent="0.25">
      <c r="A11" s="467" t="s">
        <v>2371</v>
      </c>
      <c r="B11" s="468"/>
      <c r="C11" s="468"/>
      <c r="D11" s="468"/>
      <c r="E11" s="469"/>
      <c r="F11" s="34">
        <f>SUM(F7:F9) - F10</f>
        <v>35</v>
      </c>
      <c r="G11" s="34">
        <f>SUM(G7:G9) - G10</f>
        <v>18</v>
      </c>
      <c r="H11" s="34">
        <f>SUM(H7:H9) - H10</f>
        <v>0</v>
      </c>
      <c r="I11" s="34">
        <f>SUM(I7:I9) - I10</f>
        <v>2</v>
      </c>
      <c r="J11" s="34">
        <f>SUM(J7:J9) - J10</f>
        <v>2</v>
      </c>
      <c r="K11" s="48">
        <f t="shared" si="0"/>
        <v>57</v>
      </c>
      <c r="L11" s="50" t="s">
        <v>2377</v>
      </c>
    </row>
    <row r="12" spans="1:12" ht="24.95" customHeight="1" x14ac:dyDescent="0.25">
      <c r="A12" s="470" t="s">
        <v>2372</v>
      </c>
      <c r="B12" s="471"/>
      <c r="C12" s="471"/>
      <c r="D12" s="471"/>
      <c r="E12" s="472"/>
      <c r="F12" s="37">
        <v>6</v>
      </c>
      <c r="G12" s="37">
        <v>7</v>
      </c>
      <c r="H12" s="37">
        <v>0</v>
      </c>
      <c r="I12" s="37">
        <v>1</v>
      </c>
      <c r="J12" s="37">
        <v>0</v>
      </c>
      <c r="K12" s="48">
        <f t="shared" si="0"/>
        <v>14</v>
      </c>
      <c r="L12" s="40"/>
    </row>
    <row r="13" spans="1:12" ht="24.95" customHeight="1" x14ac:dyDescent="0.25">
      <c r="A13" s="470" t="s">
        <v>2373</v>
      </c>
      <c r="B13" s="471"/>
      <c r="C13" s="471"/>
      <c r="D13" s="471"/>
      <c r="E13" s="472"/>
      <c r="F13" s="37">
        <v>1</v>
      </c>
      <c r="G13" s="37">
        <v>0</v>
      </c>
      <c r="H13" s="37">
        <v>0</v>
      </c>
      <c r="I13" s="37">
        <v>0</v>
      </c>
      <c r="J13" s="37">
        <v>0</v>
      </c>
      <c r="K13" s="48">
        <f t="shared" si="0"/>
        <v>1</v>
      </c>
      <c r="L13" s="40"/>
    </row>
    <row r="14" spans="1:12" ht="24.95" customHeight="1" x14ac:dyDescent="0.25">
      <c r="A14" s="470" t="s">
        <v>2374</v>
      </c>
      <c r="B14" s="471"/>
      <c r="C14" s="471"/>
      <c r="D14" s="471"/>
      <c r="E14" s="472"/>
      <c r="F14" s="37">
        <v>2</v>
      </c>
      <c r="G14" s="37">
        <v>1</v>
      </c>
      <c r="H14" s="37">
        <v>0</v>
      </c>
      <c r="I14" s="37">
        <v>0</v>
      </c>
      <c r="J14" s="37">
        <v>2</v>
      </c>
      <c r="K14" s="48">
        <f t="shared" si="0"/>
        <v>5</v>
      </c>
      <c r="L14" s="40"/>
    </row>
    <row r="15" spans="1:12" ht="35.1" customHeight="1" x14ac:dyDescent="0.25">
      <c r="A15" s="470" t="s">
        <v>2375</v>
      </c>
      <c r="B15" s="471"/>
      <c r="C15" s="471"/>
      <c r="D15" s="471"/>
      <c r="E15" s="472"/>
      <c r="F15" s="37">
        <v>0</v>
      </c>
      <c r="G15" s="37">
        <v>0</v>
      </c>
      <c r="H15" s="37">
        <v>0</v>
      </c>
      <c r="I15" s="37">
        <v>0</v>
      </c>
      <c r="J15" s="37">
        <v>0</v>
      </c>
      <c r="K15" s="48">
        <f t="shared" si="0"/>
        <v>0</v>
      </c>
      <c r="L15" s="40"/>
    </row>
    <row r="16" spans="1:12" ht="24.95" customHeight="1" x14ac:dyDescent="0.25">
      <c r="A16" s="470" t="s">
        <v>2442</v>
      </c>
      <c r="B16" s="471"/>
      <c r="C16" s="471"/>
      <c r="D16" s="471"/>
      <c r="E16" s="472"/>
      <c r="F16" s="37">
        <v>0</v>
      </c>
      <c r="G16" s="37">
        <v>0</v>
      </c>
      <c r="H16" s="37">
        <v>0</v>
      </c>
      <c r="I16" s="37">
        <v>0</v>
      </c>
      <c r="J16" s="37">
        <v>0</v>
      </c>
      <c r="K16" s="48">
        <f t="shared" si="0"/>
        <v>0</v>
      </c>
      <c r="L16" s="40"/>
    </row>
    <row r="17" spans="1:16381" ht="42" x14ac:dyDescent="0.25">
      <c r="A17" s="467" t="s">
        <v>2376</v>
      </c>
      <c r="B17" s="468"/>
      <c r="C17" s="468"/>
      <c r="D17" s="468"/>
      <c r="E17" s="469"/>
      <c r="F17" s="34">
        <f>F11-F12-F13-F14-F15-F16</f>
        <v>26</v>
      </c>
      <c r="G17" s="34">
        <f>G11-G12-G13-G14-G15-G16</f>
        <v>10</v>
      </c>
      <c r="H17" s="34">
        <f>H11-H12-H13-H14-H15-H16</f>
        <v>0</v>
      </c>
      <c r="I17" s="34">
        <f>I11-I12-I13-I14-I15-I16</f>
        <v>1</v>
      </c>
      <c r="J17" s="34">
        <f>J11-J12-J13-J14-J15-J16</f>
        <v>0</v>
      </c>
      <c r="K17" s="34">
        <f t="shared" si="0"/>
        <v>37</v>
      </c>
      <c r="L17" s="50" t="s">
        <v>2378</v>
      </c>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c r="OY17" s="2"/>
      <c r="OZ17" s="2"/>
      <c r="PA17" s="2"/>
      <c r="PB17" s="2"/>
      <c r="PC17" s="2"/>
      <c r="PD17" s="2"/>
      <c r="PE17" s="2"/>
      <c r="PF17" s="2"/>
      <c r="PG17" s="2"/>
      <c r="PH17" s="2"/>
      <c r="PI17" s="2"/>
      <c r="PJ17" s="2"/>
      <c r="PK17" s="2"/>
      <c r="PL17" s="2"/>
      <c r="PM17" s="2"/>
      <c r="PN17" s="2"/>
      <c r="PO17" s="2"/>
      <c r="PP17" s="2"/>
      <c r="PQ17" s="2"/>
      <c r="PR17" s="2"/>
      <c r="PS17" s="2"/>
      <c r="PT17" s="2"/>
      <c r="PU17" s="2"/>
      <c r="PV17" s="2"/>
      <c r="PW17" s="2"/>
      <c r="PX17" s="2"/>
      <c r="PY17" s="2"/>
      <c r="PZ17" s="2"/>
      <c r="QA17" s="2"/>
      <c r="QB17" s="2"/>
      <c r="QC17" s="2"/>
      <c r="QD17" s="2"/>
      <c r="QE17" s="2"/>
      <c r="QF17" s="2"/>
      <c r="QG17" s="2"/>
      <c r="QH17" s="2"/>
      <c r="QI17" s="2"/>
      <c r="QJ17" s="2"/>
      <c r="QK17" s="2"/>
      <c r="QL17" s="2"/>
      <c r="QM17" s="2"/>
      <c r="QN17" s="2"/>
      <c r="QO17" s="2"/>
      <c r="QP17" s="2"/>
      <c r="QQ17" s="2"/>
      <c r="QR17" s="2"/>
      <c r="QS17" s="2"/>
      <c r="QT17" s="2"/>
      <c r="QU17" s="2"/>
      <c r="QV17" s="2"/>
      <c r="QW17" s="2"/>
      <c r="QX17" s="2"/>
      <c r="QY17" s="2"/>
      <c r="QZ17" s="2"/>
      <c r="RA17" s="2"/>
      <c r="RB17" s="2"/>
      <c r="RC17" s="2"/>
      <c r="RD17" s="2"/>
      <c r="RE17" s="2"/>
      <c r="RF17" s="2"/>
      <c r="RG17" s="2"/>
      <c r="RH17" s="2"/>
      <c r="RI17" s="2"/>
      <c r="RJ17" s="2"/>
      <c r="RK17" s="2"/>
      <c r="RL17" s="2"/>
      <c r="RM17" s="2"/>
      <c r="RN17" s="2"/>
      <c r="RO17" s="2"/>
      <c r="RP17" s="2"/>
      <c r="RQ17" s="2"/>
      <c r="RR17" s="2"/>
      <c r="RS17" s="2"/>
      <c r="RT17" s="2"/>
      <c r="RU17" s="2"/>
      <c r="RV17" s="2"/>
      <c r="RW17" s="2"/>
      <c r="RX17" s="2"/>
      <c r="RY17" s="2"/>
      <c r="RZ17" s="2"/>
      <c r="SA17" s="2"/>
      <c r="SB17" s="2"/>
      <c r="SC17" s="2"/>
      <c r="SD17" s="2"/>
      <c r="SE17" s="2"/>
      <c r="SF17" s="2"/>
      <c r="SG17" s="2"/>
      <c r="SH17" s="2"/>
      <c r="SI17" s="2"/>
      <c r="SJ17" s="2"/>
      <c r="SK17" s="2"/>
      <c r="SL17" s="2"/>
      <c r="SM17" s="2"/>
      <c r="SN17" s="2"/>
      <c r="SO17" s="2"/>
      <c r="SP17" s="2"/>
      <c r="SQ17" s="2"/>
      <c r="SR17" s="2"/>
      <c r="SS17" s="2"/>
      <c r="ST17" s="2"/>
      <c r="SU17" s="2"/>
      <c r="SV17" s="2"/>
      <c r="SW17" s="2"/>
      <c r="SX17" s="2"/>
      <c r="SY17" s="2"/>
      <c r="SZ17" s="2"/>
      <c r="TA17" s="2"/>
      <c r="TB17" s="2"/>
      <c r="TC17" s="2"/>
      <c r="TD17" s="2"/>
      <c r="TE17" s="2"/>
      <c r="TF17" s="2"/>
      <c r="TG17" s="2"/>
      <c r="TH17" s="2"/>
      <c r="TI17" s="2"/>
      <c r="TJ17" s="2"/>
      <c r="TK17" s="2"/>
      <c r="TL17" s="2"/>
      <c r="TM17" s="2"/>
      <c r="TN17" s="2"/>
      <c r="TO17" s="2"/>
      <c r="TP17" s="2"/>
      <c r="TQ17" s="2"/>
      <c r="TR17" s="2"/>
      <c r="TS17" s="2"/>
      <c r="TT17" s="2"/>
      <c r="TU17" s="2"/>
      <c r="TV17" s="2"/>
      <c r="TW17" s="2"/>
      <c r="TX17" s="2"/>
      <c r="TY17" s="2"/>
      <c r="TZ17" s="2"/>
      <c r="UA17" s="2"/>
      <c r="UB17" s="2"/>
      <c r="UC17" s="2"/>
      <c r="UD17" s="2"/>
      <c r="UE17" s="2"/>
      <c r="UF17" s="2"/>
      <c r="UG17" s="2"/>
      <c r="UH17" s="2"/>
      <c r="UI17" s="2"/>
      <c r="UJ17" s="2"/>
      <c r="UK17" s="2"/>
      <c r="UL17" s="2"/>
      <c r="UM17" s="2"/>
      <c r="UN17" s="2"/>
      <c r="UO17" s="2"/>
      <c r="UP17" s="2"/>
      <c r="UQ17" s="2"/>
      <c r="UR17" s="2"/>
      <c r="US17" s="2"/>
      <c r="UT17" s="2"/>
      <c r="UU17" s="2"/>
      <c r="UV17" s="2"/>
      <c r="UW17" s="2"/>
      <c r="UX17" s="2"/>
      <c r="UY17" s="2"/>
      <c r="UZ17" s="2"/>
      <c r="VA17" s="2"/>
      <c r="VB17" s="2"/>
      <c r="VC17" s="2"/>
      <c r="VD17" s="2"/>
      <c r="VE17" s="2"/>
      <c r="VF17" s="2"/>
      <c r="VG17" s="2"/>
      <c r="VH17" s="2"/>
      <c r="VI17" s="2"/>
      <c r="VJ17" s="2"/>
      <c r="VK17" s="2"/>
      <c r="VL17" s="2"/>
      <c r="VM17" s="2"/>
      <c r="VN17" s="2"/>
      <c r="VO17" s="2"/>
      <c r="VP17" s="2"/>
      <c r="VQ17" s="2"/>
      <c r="VR17" s="2"/>
      <c r="VS17" s="2"/>
      <c r="VT17" s="2"/>
      <c r="VU17" s="2"/>
      <c r="VV17" s="2"/>
      <c r="VW17" s="2"/>
      <c r="VX17" s="2"/>
      <c r="VY17" s="2"/>
      <c r="VZ17" s="2"/>
      <c r="WA17" s="2"/>
      <c r="WB17" s="2"/>
      <c r="WC17" s="2"/>
      <c r="WD17" s="2"/>
      <c r="WE17" s="2"/>
      <c r="WF17" s="2"/>
      <c r="WG17" s="2"/>
      <c r="WH17" s="2"/>
      <c r="WI17" s="2"/>
      <c r="WJ17" s="2"/>
      <c r="WK17" s="2"/>
      <c r="WL17" s="2"/>
      <c r="WM17" s="2"/>
      <c r="WN17" s="2"/>
      <c r="WO17" s="2"/>
      <c r="WP17" s="2"/>
      <c r="WQ17" s="2"/>
      <c r="WR17" s="2"/>
      <c r="WS17" s="2"/>
      <c r="WT17" s="2"/>
      <c r="WU17" s="2"/>
      <c r="WV17" s="2"/>
      <c r="WW17" s="2"/>
      <c r="WX17" s="2"/>
      <c r="WY17" s="2"/>
      <c r="WZ17" s="2"/>
      <c r="XA17" s="2"/>
      <c r="XB17" s="2"/>
      <c r="XC17" s="2"/>
      <c r="XD17" s="2"/>
      <c r="XE17" s="2"/>
      <c r="XF17" s="2"/>
      <c r="XG17" s="2"/>
      <c r="XH17" s="2"/>
      <c r="XI17" s="2"/>
      <c r="XJ17" s="2"/>
      <c r="XK17" s="2"/>
      <c r="XL17" s="2"/>
      <c r="XM17" s="2"/>
      <c r="XN17" s="2"/>
      <c r="XO17" s="2"/>
      <c r="XP17" s="2"/>
      <c r="XQ17" s="2"/>
      <c r="XR17" s="2"/>
      <c r="XS17" s="2"/>
      <c r="XT17" s="2"/>
      <c r="XU17" s="2"/>
      <c r="XV17" s="2"/>
      <c r="XW17" s="2"/>
      <c r="XX17" s="2"/>
      <c r="XY17" s="2"/>
      <c r="XZ17" s="2"/>
      <c r="YA17" s="2"/>
      <c r="YB17" s="2"/>
      <c r="YC17" s="2"/>
      <c r="YD17" s="2"/>
      <c r="YE17" s="2"/>
      <c r="YF17" s="2"/>
      <c r="YG17" s="2"/>
      <c r="YH17" s="2"/>
      <c r="YI17" s="2"/>
      <c r="YJ17" s="2"/>
      <c r="YK17" s="2"/>
      <c r="YL17" s="2"/>
      <c r="YM17" s="2"/>
      <c r="YN17" s="2"/>
      <c r="YO17" s="2"/>
      <c r="YP17" s="2"/>
      <c r="YQ17" s="2"/>
      <c r="YR17" s="2"/>
      <c r="YS17" s="2"/>
      <c r="YT17" s="2"/>
      <c r="YU17" s="2"/>
      <c r="YV17" s="2"/>
      <c r="YW17" s="2"/>
      <c r="YX17" s="2"/>
      <c r="YY17" s="2"/>
      <c r="YZ17" s="2"/>
      <c r="ZA17" s="2"/>
      <c r="ZB17" s="2"/>
      <c r="ZC17" s="2"/>
      <c r="ZD17" s="2"/>
      <c r="ZE17" s="2"/>
      <c r="ZF17" s="2"/>
      <c r="ZG17" s="2"/>
      <c r="ZH17" s="2"/>
      <c r="ZI17" s="2"/>
      <c r="ZJ17" s="2"/>
      <c r="ZK17" s="2"/>
      <c r="ZL17" s="2"/>
      <c r="ZM17" s="2"/>
      <c r="ZN17" s="2"/>
      <c r="ZO17" s="2"/>
      <c r="ZP17" s="2"/>
      <c r="ZQ17" s="2"/>
      <c r="ZR17" s="2"/>
      <c r="ZS17" s="2"/>
      <c r="ZT17" s="2"/>
      <c r="ZU17" s="2"/>
      <c r="ZV17" s="2"/>
      <c r="ZW17" s="2"/>
      <c r="ZX17" s="2"/>
      <c r="ZY17" s="2"/>
      <c r="ZZ17" s="2"/>
      <c r="AAA17" s="2"/>
      <c r="AAB17" s="2"/>
      <c r="AAC17" s="2"/>
      <c r="AAD17" s="2"/>
      <c r="AAE17" s="2"/>
      <c r="AAF17" s="2"/>
      <c r="AAG17" s="2"/>
      <c r="AAH17" s="2"/>
      <c r="AAI17" s="2"/>
      <c r="AAJ17" s="2"/>
      <c r="AAK17" s="2"/>
      <c r="AAL17" s="2"/>
      <c r="AAM17" s="2"/>
      <c r="AAN17" s="2"/>
      <c r="AAO17" s="2"/>
      <c r="AAP17" s="2"/>
      <c r="AAQ17" s="2"/>
      <c r="AAR17" s="2"/>
      <c r="AAS17" s="2"/>
      <c r="AAT17" s="2"/>
      <c r="AAU17" s="2"/>
      <c r="AAV17" s="2"/>
      <c r="AAW17" s="2"/>
      <c r="AAX17" s="2"/>
      <c r="AAY17" s="2"/>
      <c r="AAZ17" s="2"/>
      <c r="ABA17" s="2"/>
      <c r="ABB17" s="2"/>
      <c r="ABC17" s="2"/>
      <c r="ABD17" s="2"/>
      <c r="ABE17" s="2"/>
      <c r="ABF17" s="2"/>
      <c r="ABG17" s="2"/>
      <c r="ABH17" s="2"/>
      <c r="ABI17" s="2"/>
      <c r="ABJ17" s="2"/>
      <c r="ABK17" s="2"/>
      <c r="ABL17" s="2"/>
      <c r="ABM17" s="2"/>
      <c r="ABN17" s="2"/>
      <c r="ABO17" s="2"/>
      <c r="ABP17" s="2"/>
      <c r="ABQ17" s="2"/>
      <c r="ABR17" s="2"/>
      <c r="ABS17" s="2"/>
      <c r="ABT17" s="2"/>
      <c r="ABU17" s="2"/>
      <c r="ABV17" s="2"/>
      <c r="ABW17" s="2"/>
      <c r="ABX17" s="2"/>
      <c r="ABY17" s="2"/>
      <c r="ABZ17" s="2"/>
      <c r="ACA17" s="2"/>
      <c r="ACB17" s="2"/>
      <c r="ACC17" s="2"/>
      <c r="ACD17" s="2"/>
      <c r="ACE17" s="2"/>
      <c r="ACF17" s="2"/>
      <c r="ACG17" s="2"/>
      <c r="ACH17" s="2"/>
      <c r="ACI17" s="2"/>
      <c r="ACJ17" s="2"/>
      <c r="ACK17" s="2"/>
      <c r="ACL17" s="2"/>
      <c r="ACM17" s="2"/>
      <c r="ACN17" s="2"/>
      <c r="ACO17" s="2"/>
      <c r="ACP17" s="2"/>
      <c r="ACQ17" s="2"/>
      <c r="ACR17" s="2"/>
      <c r="ACS17" s="2"/>
      <c r="ACT17" s="2"/>
      <c r="ACU17" s="2"/>
      <c r="ACV17" s="2"/>
      <c r="ACW17" s="2"/>
      <c r="ACX17" s="2"/>
      <c r="ACY17" s="2"/>
      <c r="ACZ17" s="2"/>
      <c r="ADA17" s="2"/>
      <c r="ADB17" s="2"/>
      <c r="ADC17" s="2"/>
      <c r="ADD17" s="2"/>
      <c r="ADE17" s="2"/>
      <c r="ADF17" s="2"/>
      <c r="ADG17" s="2"/>
      <c r="ADH17" s="2"/>
      <c r="ADI17" s="2"/>
      <c r="ADJ17" s="2"/>
      <c r="ADK17" s="2"/>
      <c r="ADL17" s="2"/>
      <c r="ADM17" s="2"/>
      <c r="ADN17" s="2"/>
      <c r="ADO17" s="2"/>
      <c r="ADP17" s="2"/>
      <c r="ADQ17" s="2"/>
      <c r="ADR17" s="2"/>
      <c r="ADS17" s="2"/>
      <c r="ADT17" s="2"/>
      <c r="ADU17" s="2"/>
      <c r="ADV17" s="2"/>
      <c r="ADW17" s="2"/>
      <c r="ADX17" s="2"/>
      <c r="ADY17" s="2"/>
      <c r="ADZ17" s="2"/>
      <c r="AEA17" s="2"/>
      <c r="AEB17" s="2"/>
      <c r="AEC17" s="2"/>
      <c r="AED17" s="2"/>
      <c r="AEE17" s="2"/>
      <c r="AEF17" s="2"/>
      <c r="AEG17" s="2"/>
      <c r="AEH17" s="2"/>
      <c r="AEI17" s="2"/>
      <c r="AEJ17" s="2"/>
      <c r="AEK17" s="2"/>
      <c r="AEL17" s="2"/>
      <c r="AEM17" s="2"/>
      <c r="AEN17" s="2"/>
      <c r="AEO17" s="2"/>
      <c r="AEP17" s="2"/>
      <c r="AEQ17" s="2"/>
      <c r="AER17" s="2"/>
      <c r="AES17" s="2"/>
      <c r="AET17" s="2"/>
      <c r="AEU17" s="2"/>
      <c r="AEV17" s="2"/>
      <c r="AEW17" s="2"/>
      <c r="AEX17" s="2"/>
      <c r="AEY17" s="2"/>
      <c r="AEZ17" s="2"/>
      <c r="AFA17" s="2"/>
      <c r="AFB17" s="2"/>
      <c r="AFC17" s="2"/>
      <c r="AFD17" s="2"/>
      <c r="AFE17" s="2"/>
      <c r="AFF17" s="2"/>
      <c r="AFG17" s="2"/>
      <c r="AFH17" s="2"/>
      <c r="AFI17" s="2"/>
      <c r="AFJ17" s="2"/>
      <c r="AFK17" s="2"/>
      <c r="AFL17" s="2"/>
      <c r="AFM17" s="2"/>
      <c r="AFN17" s="2"/>
      <c r="AFO17" s="2"/>
      <c r="AFP17" s="2"/>
      <c r="AFQ17" s="2"/>
      <c r="AFR17" s="2"/>
      <c r="AFS17" s="2"/>
      <c r="AFT17" s="2"/>
      <c r="AFU17" s="2"/>
      <c r="AFV17" s="2"/>
      <c r="AFW17" s="2"/>
      <c r="AFX17" s="2"/>
      <c r="AFY17" s="2"/>
      <c r="AFZ17" s="2"/>
      <c r="AGA17" s="2"/>
      <c r="AGB17" s="2"/>
      <c r="AGC17" s="2"/>
      <c r="AGD17" s="2"/>
      <c r="AGE17" s="2"/>
      <c r="AGF17" s="2"/>
      <c r="AGG17" s="2"/>
      <c r="AGH17" s="2"/>
      <c r="AGI17" s="2"/>
      <c r="AGJ17" s="2"/>
      <c r="AGK17" s="2"/>
      <c r="AGL17" s="2"/>
      <c r="AGM17" s="2"/>
      <c r="AGN17" s="2"/>
      <c r="AGO17" s="2"/>
      <c r="AGP17" s="2"/>
      <c r="AGQ17" s="2"/>
      <c r="AGR17" s="2"/>
      <c r="AGS17" s="2"/>
      <c r="AGT17" s="2"/>
      <c r="AGU17" s="2"/>
      <c r="AGV17" s="2"/>
      <c r="AGW17" s="2"/>
      <c r="AGX17" s="2"/>
      <c r="AGY17" s="2"/>
      <c r="AGZ17" s="2"/>
      <c r="AHA17" s="2"/>
      <c r="AHB17" s="2"/>
      <c r="AHC17" s="2"/>
      <c r="AHD17" s="2"/>
      <c r="AHE17" s="2"/>
      <c r="AHF17" s="2"/>
      <c r="AHG17" s="2"/>
      <c r="AHH17" s="2"/>
      <c r="AHI17" s="2"/>
      <c r="AHJ17" s="2"/>
      <c r="AHK17" s="2"/>
      <c r="AHL17" s="2"/>
      <c r="AHM17" s="2"/>
      <c r="AHN17" s="2"/>
      <c r="AHO17" s="2"/>
      <c r="AHP17" s="2"/>
      <c r="AHQ17" s="2"/>
      <c r="AHR17" s="2"/>
      <c r="AHS17" s="2"/>
      <c r="AHT17" s="2"/>
      <c r="AHU17" s="2"/>
      <c r="AHV17" s="2"/>
      <c r="AHW17" s="2"/>
      <c r="AHX17" s="2"/>
      <c r="AHY17" s="2"/>
      <c r="AHZ17" s="2"/>
      <c r="AIA17" s="2"/>
      <c r="AIB17" s="2"/>
      <c r="AIC17" s="2"/>
      <c r="AID17" s="2"/>
      <c r="AIE17" s="2"/>
      <c r="AIF17" s="2"/>
      <c r="AIG17" s="2"/>
      <c r="AIH17" s="2"/>
      <c r="AII17" s="2"/>
      <c r="AIJ17" s="2"/>
      <c r="AIK17" s="2"/>
      <c r="AIL17" s="2"/>
      <c r="AIM17" s="2"/>
      <c r="AIN17" s="2"/>
      <c r="AIO17" s="2"/>
      <c r="AIP17" s="2"/>
      <c r="AIQ17" s="2"/>
      <c r="AIR17" s="2"/>
      <c r="AIS17" s="2"/>
      <c r="AIT17" s="2"/>
      <c r="AIU17" s="2"/>
      <c r="AIV17" s="2"/>
      <c r="AIW17" s="2"/>
      <c r="AIX17" s="2"/>
      <c r="AIY17" s="2"/>
      <c r="AIZ17" s="2"/>
      <c r="AJA17" s="2"/>
      <c r="AJB17" s="2"/>
      <c r="AJC17" s="2"/>
      <c r="AJD17" s="2"/>
      <c r="AJE17" s="2"/>
      <c r="AJF17" s="2"/>
      <c r="AJG17" s="2"/>
      <c r="AJH17" s="2"/>
      <c r="AJI17" s="2"/>
      <c r="AJJ17" s="2"/>
      <c r="AJK17" s="2"/>
      <c r="AJL17" s="2"/>
      <c r="AJM17" s="2"/>
      <c r="AJN17" s="2"/>
      <c r="AJO17" s="2"/>
      <c r="AJP17" s="2"/>
      <c r="AJQ17" s="2"/>
      <c r="AJR17" s="2"/>
      <c r="AJS17" s="2"/>
      <c r="AJT17" s="2"/>
      <c r="AJU17" s="2"/>
      <c r="AJV17" s="2"/>
      <c r="AJW17" s="2"/>
      <c r="AJX17" s="2"/>
      <c r="AJY17" s="2"/>
      <c r="AJZ17" s="2"/>
      <c r="AKA17" s="2"/>
      <c r="AKB17" s="2"/>
      <c r="AKC17" s="2"/>
      <c r="AKD17" s="2"/>
      <c r="AKE17" s="2"/>
      <c r="AKF17" s="2"/>
      <c r="AKG17" s="2"/>
      <c r="AKH17" s="2"/>
      <c r="AKI17" s="2"/>
      <c r="AKJ17" s="2"/>
      <c r="AKK17" s="2"/>
      <c r="AKL17" s="2"/>
      <c r="AKM17" s="2"/>
      <c r="AKN17" s="2"/>
      <c r="AKO17" s="2"/>
      <c r="AKP17" s="2"/>
      <c r="AKQ17" s="2"/>
      <c r="AKR17" s="2"/>
      <c r="AKS17" s="2"/>
      <c r="AKT17" s="2"/>
      <c r="AKU17" s="2"/>
      <c r="AKV17" s="2"/>
      <c r="AKW17" s="2"/>
      <c r="AKX17" s="2"/>
      <c r="AKY17" s="2"/>
      <c r="AKZ17" s="2"/>
      <c r="ALA17" s="2"/>
      <c r="ALB17" s="2"/>
      <c r="ALC17" s="2"/>
      <c r="ALD17" s="2"/>
      <c r="ALE17" s="2"/>
      <c r="ALF17" s="2"/>
      <c r="ALG17" s="2"/>
      <c r="ALH17" s="2"/>
      <c r="ALI17" s="2"/>
      <c r="ALJ17" s="2"/>
      <c r="ALK17" s="2"/>
      <c r="ALL17" s="2"/>
      <c r="ALM17" s="2"/>
      <c r="ALN17" s="2"/>
      <c r="ALO17" s="2"/>
      <c r="ALP17" s="2"/>
      <c r="ALQ17" s="2"/>
      <c r="ALR17" s="2"/>
      <c r="ALS17" s="2"/>
      <c r="ALT17" s="2"/>
      <c r="ALU17" s="2"/>
      <c r="ALV17" s="2"/>
      <c r="ALW17" s="2"/>
      <c r="ALX17" s="2"/>
      <c r="ALY17" s="2"/>
      <c r="ALZ17" s="2"/>
      <c r="AMA17" s="2"/>
      <c r="AMB17" s="2"/>
      <c r="AMC17" s="2"/>
      <c r="AMD17" s="2"/>
      <c r="AME17" s="2"/>
      <c r="AMF17" s="2"/>
      <c r="AMG17" s="2"/>
      <c r="AMH17" s="2"/>
      <c r="AMI17" s="2"/>
      <c r="AMJ17" s="2"/>
      <c r="AMK17" s="2"/>
      <c r="AML17" s="2"/>
      <c r="AMM17" s="2"/>
      <c r="AMN17" s="2"/>
      <c r="AMO17" s="2"/>
      <c r="AMP17" s="2"/>
      <c r="AMQ17" s="2"/>
      <c r="AMR17" s="2"/>
      <c r="AMS17" s="2"/>
      <c r="AMT17" s="2"/>
      <c r="AMU17" s="2"/>
      <c r="AMV17" s="2"/>
      <c r="AMW17" s="2"/>
      <c r="AMX17" s="2"/>
      <c r="AMY17" s="2"/>
      <c r="AMZ17" s="2"/>
      <c r="ANA17" s="2"/>
      <c r="ANB17" s="2"/>
      <c r="ANC17" s="2"/>
      <c r="AND17" s="2"/>
      <c r="ANE17" s="2"/>
      <c r="ANF17" s="2"/>
      <c r="ANG17" s="2"/>
      <c r="ANH17" s="2"/>
      <c r="ANI17" s="2"/>
      <c r="ANJ17" s="2"/>
      <c r="ANK17" s="2"/>
      <c r="ANL17" s="2"/>
      <c r="ANM17" s="2"/>
      <c r="ANN17" s="2"/>
      <c r="ANO17" s="2"/>
      <c r="ANP17" s="2"/>
      <c r="ANQ17" s="2"/>
      <c r="ANR17" s="2"/>
      <c r="ANS17" s="2"/>
      <c r="ANT17" s="2"/>
      <c r="ANU17" s="2"/>
      <c r="ANV17" s="2"/>
      <c r="ANW17" s="2"/>
      <c r="ANX17" s="2"/>
      <c r="ANY17" s="2"/>
      <c r="ANZ17" s="2"/>
      <c r="AOA17" s="2"/>
      <c r="AOB17" s="2"/>
      <c r="AOC17" s="2"/>
      <c r="AOD17" s="2"/>
      <c r="AOE17" s="2"/>
      <c r="AOF17" s="2"/>
      <c r="AOG17" s="2"/>
      <c r="AOH17" s="2"/>
      <c r="AOI17" s="2"/>
      <c r="AOJ17" s="2"/>
      <c r="AOK17" s="2"/>
      <c r="AOL17" s="2"/>
      <c r="AOM17" s="2"/>
      <c r="AON17" s="2"/>
      <c r="AOO17" s="2"/>
      <c r="AOP17" s="2"/>
      <c r="AOQ17" s="2"/>
      <c r="AOR17" s="2"/>
      <c r="AOS17" s="2"/>
      <c r="AOT17" s="2"/>
      <c r="AOU17" s="2"/>
      <c r="AOV17" s="2"/>
      <c r="AOW17" s="2"/>
      <c r="AOX17" s="2"/>
      <c r="AOY17" s="2"/>
      <c r="AOZ17" s="2"/>
      <c r="APA17" s="2"/>
      <c r="APB17" s="2"/>
      <c r="APC17" s="2"/>
      <c r="APD17" s="2"/>
      <c r="APE17" s="2"/>
      <c r="APF17" s="2"/>
      <c r="APG17" s="2"/>
      <c r="APH17" s="2"/>
      <c r="API17" s="2"/>
      <c r="APJ17" s="2"/>
      <c r="APK17" s="2"/>
      <c r="APL17" s="2"/>
      <c r="APM17" s="2"/>
      <c r="APN17" s="2"/>
      <c r="APO17" s="2"/>
      <c r="APP17" s="2"/>
      <c r="APQ17" s="2"/>
      <c r="APR17" s="2"/>
      <c r="APS17" s="2"/>
      <c r="APT17" s="2"/>
      <c r="APU17" s="2"/>
      <c r="APV17" s="2"/>
      <c r="APW17" s="2"/>
      <c r="APX17" s="2"/>
      <c r="APY17" s="2"/>
      <c r="APZ17" s="2"/>
      <c r="AQA17" s="2"/>
      <c r="AQB17" s="2"/>
      <c r="AQC17" s="2"/>
      <c r="AQD17" s="2"/>
      <c r="AQE17" s="2"/>
      <c r="AQF17" s="2"/>
      <c r="AQG17" s="2"/>
      <c r="AQH17" s="2"/>
      <c r="AQI17" s="2"/>
      <c r="AQJ17" s="2"/>
      <c r="AQK17" s="2"/>
      <c r="AQL17" s="2"/>
      <c r="AQM17" s="2"/>
      <c r="AQN17" s="2"/>
      <c r="AQO17" s="2"/>
      <c r="AQP17" s="2"/>
      <c r="AQQ17" s="2"/>
      <c r="AQR17" s="2"/>
      <c r="AQS17" s="2"/>
      <c r="AQT17" s="2"/>
      <c r="AQU17" s="2"/>
      <c r="AQV17" s="2"/>
      <c r="AQW17" s="2"/>
      <c r="AQX17" s="2"/>
      <c r="AQY17" s="2"/>
      <c r="AQZ17" s="2"/>
      <c r="ARA17" s="2"/>
      <c r="ARB17" s="2"/>
      <c r="ARC17" s="2"/>
      <c r="ARD17" s="2"/>
      <c r="ARE17" s="2"/>
      <c r="ARF17" s="2"/>
      <c r="ARG17" s="2"/>
      <c r="ARH17" s="2"/>
      <c r="ARI17" s="2"/>
      <c r="ARJ17" s="2"/>
      <c r="ARK17" s="2"/>
      <c r="ARL17" s="2"/>
      <c r="ARM17" s="2"/>
      <c r="ARN17" s="2"/>
      <c r="ARO17" s="2"/>
      <c r="ARP17" s="2"/>
      <c r="ARQ17" s="2"/>
      <c r="ARR17" s="2"/>
      <c r="ARS17" s="2"/>
      <c r="ART17" s="2"/>
      <c r="ARU17" s="2"/>
      <c r="ARV17" s="2"/>
      <c r="ARW17" s="2"/>
      <c r="ARX17" s="2"/>
      <c r="ARY17" s="2"/>
      <c r="ARZ17" s="2"/>
      <c r="ASA17" s="2"/>
      <c r="ASB17" s="2"/>
      <c r="ASC17" s="2"/>
      <c r="ASD17" s="2"/>
      <c r="ASE17" s="2"/>
      <c r="ASF17" s="2"/>
      <c r="ASG17" s="2"/>
      <c r="ASH17" s="2"/>
      <c r="ASI17" s="2"/>
      <c r="ASJ17" s="2"/>
      <c r="ASK17" s="2"/>
      <c r="ASL17" s="2"/>
      <c r="ASM17" s="2"/>
      <c r="ASN17" s="2"/>
      <c r="ASO17" s="2"/>
      <c r="ASP17" s="2"/>
      <c r="ASQ17" s="2"/>
      <c r="ASR17" s="2"/>
      <c r="ASS17" s="2"/>
      <c r="AST17" s="2"/>
      <c r="ASU17" s="2"/>
      <c r="ASV17" s="2"/>
      <c r="ASW17" s="2"/>
      <c r="ASX17" s="2"/>
      <c r="ASY17" s="2"/>
      <c r="ASZ17" s="2"/>
      <c r="ATA17" s="2"/>
      <c r="ATB17" s="2"/>
      <c r="ATC17" s="2"/>
      <c r="ATD17" s="2"/>
      <c r="ATE17" s="2"/>
      <c r="ATF17" s="2"/>
      <c r="ATG17" s="2"/>
      <c r="ATH17" s="2"/>
      <c r="ATI17" s="2"/>
      <c r="ATJ17" s="2"/>
      <c r="ATK17" s="2"/>
      <c r="ATL17" s="2"/>
      <c r="ATM17" s="2"/>
      <c r="ATN17" s="2"/>
      <c r="ATO17" s="2"/>
      <c r="ATP17" s="2"/>
      <c r="ATQ17" s="2"/>
      <c r="ATR17" s="2"/>
      <c r="ATS17" s="2"/>
      <c r="ATT17" s="2"/>
      <c r="ATU17" s="2"/>
      <c r="ATV17" s="2"/>
      <c r="ATW17" s="2"/>
      <c r="ATX17" s="2"/>
      <c r="ATY17" s="2"/>
      <c r="ATZ17" s="2"/>
      <c r="AUA17" s="2"/>
      <c r="AUB17" s="2"/>
      <c r="AUC17" s="2"/>
      <c r="AUD17" s="2"/>
      <c r="AUE17" s="2"/>
      <c r="AUF17" s="2"/>
      <c r="AUG17" s="2"/>
      <c r="AUH17" s="2"/>
      <c r="AUI17" s="2"/>
      <c r="AUJ17" s="2"/>
      <c r="AUK17" s="2"/>
      <c r="AUL17" s="2"/>
      <c r="AUM17" s="2"/>
      <c r="AUN17" s="2"/>
      <c r="AUO17" s="2"/>
      <c r="AUP17" s="2"/>
      <c r="AUQ17" s="2"/>
      <c r="AUR17" s="2"/>
      <c r="AUS17" s="2"/>
      <c r="AUT17" s="2"/>
      <c r="AUU17" s="2"/>
      <c r="AUV17" s="2"/>
      <c r="AUW17" s="2"/>
      <c r="AUX17" s="2"/>
      <c r="AUY17" s="2"/>
      <c r="AUZ17" s="2"/>
      <c r="AVA17" s="2"/>
      <c r="AVB17" s="2"/>
      <c r="AVC17" s="2"/>
      <c r="AVD17" s="2"/>
      <c r="AVE17" s="2"/>
      <c r="AVF17" s="2"/>
      <c r="AVG17" s="2"/>
      <c r="AVH17" s="2"/>
      <c r="AVI17" s="2"/>
      <c r="AVJ17" s="2"/>
      <c r="AVK17" s="2"/>
      <c r="AVL17" s="2"/>
      <c r="AVM17" s="2"/>
      <c r="AVN17" s="2"/>
      <c r="AVO17" s="2"/>
      <c r="AVP17" s="2"/>
      <c r="AVQ17" s="2"/>
      <c r="AVR17" s="2"/>
      <c r="AVS17" s="2"/>
      <c r="AVT17" s="2"/>
      <c r="AVU17" s="2"/>
      <c r="AVV17" s="2"/>
      <c r="AVW17" s="2"/>
      <c r="AVX17" s="2"/>
      <c r="AVY17" s="2"/>
      <c r="AVZ17" s="2"/>
      <c r="AWA17" s="2"/>
      <c r="AWB17" s="2"/>
      <c r="AWC17" s="2"/>
      <c r="AWD17" s="2"/>
      <c r="AWE17" s="2"/>
      <c r="AWF17" s="2"/>
      <c r="AWG17" s="2"/>
      <c r="AWH17" s="2"/>
      <c r="AWI17" s="2"/>
      <c r="AWJ17" s="2"/>
      <c r="AWK17" s="2"/>
      <c r="AWL17" s="2"/>
      <c r="AWM17" s="2"/>
      <c r="AWN17" s="2"/>
      <c r="AWO17" s="2"/>
      <c r="AWP17" s="2"/>
      <c r="AWQ17" s="2"/>
      <c r="AWR17" s="2"/>
      <c r="AWS17" s="2"/>
      <c r="AWT17" s="2"/>
      <c r="AWU17" s="2"/>
      <c r="AWV17" s="2"/>
      <c r="AWW17" s="2"/>
      <c r="AWX17" s="2"/>
      <c r="AWY17" s="2"/>
      <c r="AWZ17" s="2"/>
      <c r="AXA17" s="2"/>
      <c r="AXB17" s="2"/>
      <c r="AXC17" s="2"/>
      <c r="AXD17" s="2"/>
      <c r="AXE17" s="2"/>
      <c r="AXF17" s="2"/>
      <c r="AXG17" s="2"/>
      <c r="AXH17" s="2"/>
      <c r="AXI17" s="2"/>
      <c r="AXJ17" s="2"/>
      <c r="AXK17" s="2"/>
      <c r="AXL17" s="2"/>
      <c r="AXM17" s="2"/>
      <c r="AXN17" s="2"/>
      <c r="AXO17" s="2"/>
      <c r="AXP17" s="2"/>
      <c r="AXQ17" s="2"/>
      <c r="AXR17" s="2"/>
      <c r="AXS17" s="2"/>
      <c r="AXT17" s="2"/>
      <c r="AXU17" s="2"/>
      <c r="AXV17" s="2"/>
      <c r="AXW17" s="2"/>
      <c r="AXX17" s="2"/>
      <c r="AXY17" s="2"/>
      <c r="AXZ17" s="2"/>
      <c r="AYA17" s="2"/>
      <c r="AYB17" s="2"/>
      <c r="AYC17" s="2"/>
      <c r="AYD17" s="2"/>
      <c r="AYE17" s="2"/>
      <c r="AYF17" s="2"/>
      <c r="AYG17" s="2"/>
      <c r="AYH17" s="2"/>
      <c r="AYI17" s="2"/>
      <c r="AYJ17" s="2"/>
      <c r="AYK17" s="2"/>
      <c r="AYL17" s="2"/>
      <c r="AYM17" s="2"/>
      <c r="AYN17" s="2"/>
      <c r="AYO17" s="2"/>
      <c r="AYP17" s="2"/>
      <c r="AYQ17" s="2"/>
      <c r="AYR17" s="2"/>
      <c r="AYS17" s="2"/>
      <c r="AYT17" s="2"/>
      <c r="AYU17" s="2"/>
      <c r="AYV17" s="2"/>
      <c r="AYW17" s="2"/>
      <c r="AYX17" s="2"/>
      <c r="AYY17" s="2"/>
      <c r="AYZ17" s="2"/>
      <c r="AZA17" s="2"/>
      <c r="AZB17" s="2"/>
      <c r="AZC17" s="2"/>
      <c r="AZD17" s="2"/>
      <c r="AZE17" s="2"/>
      <c r="AZF17" s="2"/>
      <c r="AZG17" s="2"/>
      <c r="AZH17" s="2"/>
      <c r="AZI17" s="2"/>
      <c r="AZJ17" s="2"/>
      <c r="AZK17" s="2"/>
      <c r="AZL17" s="2"/>
      <c r="AZM17" s="2"/>
      <c r="AZN17" s="2"/>
      <c r="AZO17" s="2"/>
      <c r="AZP17" s="2"/>
      <c r="AZQ17" s="2"/>
      <c r="AZR17" s="2"/>
      <c r="AZS17" s="2"/>
      <c r="AZT17" s="2"/>
      <c r="AZU17" s="2"/>
      <c r="AZV17" s="2"/>
      <c r="AZW17" s="2"/>
      <c r="AZX17" s="2"/>
      <c r="AZY17" s="2"/>
      <c r="AZZ17" s="2"/>
      <c r="BAA17" s="2"/>
      <c r="BAB17" s="2"/>
      <c r="BAC17" s="2"/>
      <c r="BAD17" s="2"/>
      <c r="BAE17" s="2"/>
      <c r="BAF17" s="2"/>
      <c r="BAG17" s="2"/>
      <c r="BAH17" s="2"/>
      <c r="BAI17" s="2"/>
      <c r="BAJ17" s="2"/>
      <c r="BAK17" s="2"/>
      <c r="BAL17" s="2"/>
      <c r="BAM17" s="2"/>
      <c r="BAN17" s="2"/>
      <c r="BAO17" s="2"/>
      <c r="BAP17" s="2"/>
      <c r="BAQ17" s="2"/>
      <c r="BAR17" s="2"/>
      <c r="BAS17" s="2"/>
      <c r="BAT17" s="2"/>
      <c r="BAU17" s="2"/>
      <c r="BAV17" s="2"/>
      <c r="BAW17" s="2"/>
      <c r="BAX17" s="2"/>
      <c r="BAY17" s="2"/>
      <c r="BAZ17" s="2"/>
      <c r="BBA17" s="2"/>
      <c r="BBB17" s="2"/>
      <c r="BBC17" s="2"/>
      <c r="BBD17" s="2"/>
      <c r="BBE17" s="2"/>
      <c r="BBF17" s="2"/>
      <c r="BBG17" s="2"/>
      <c r="BBH17" s="2"/>
      <c r="BBI17" s="2"/>
      <c r="BBJ17" s="2"/>
      <c r="BBK17" s="2"/>
      <c r="BBL17" s="2"/>
      <c r="BBM17" s="2"/>
      <c r="BBN17" s="2"/>
      <c r="BBO17" s="2"/>
      <c r="BBP17" s="2"/>
      <c r="BBQ17" s="2"/>
      <c r="BBR17" s="2"/>
      <c r="BBS17" s="2"/>
      <c r="BBT17" s="2"/>
      <c r="BBU17" s="2"/>
      <c r="BBV17" s="2"/>
      <c r="BBW17" s="2"/>
      <c r="BBX17" s="2"/>
      <c r="BBY17" s="2"/>
      <c r="BBZ17" s="2"/>
      <c r="BCA17" s="2"/>
      <c r="BCB17" s="2"/>
      <c r="BCC17" s="2"/>
      <c r="BCD17" s="2"/>
      <c r="BCE17" s="2"/>
      <c r="BCF17" s="2"/>
      <c r="BCG17" s="2"/>
      <c r="BCH17" s="2"/>
      <c r="BCI17" s="2"/>
      <c r="BCJ17" s="2"/>
      <c r="BCK17" s="2"/>
      <c r="BCL17" s="2"/>
      <c r="BCM17" s="2"/>
      <c r="BCN17" s="2"/>
      <c r="BCO17" s="2"/>
      <c r="BCP17" s="2"/>
      <c r="BCQ17" s="2"/>
      <c r="BCR17" s="2"/>
      <c r="BCS17" s="2"/>
      <c r="BCT17" s="2"/>
      <c r="BCU17" s="2"/>
      <c r="BCV17" s="2"/>
      <c r="BCW17" s="2"/>
      <c r="BCX17" s="2"/>
      <c r="BCY17" s="2"/>
      <c r="BCZ17" s="2"/>
      <c r="BDA17" s="2"/>
      <c r="BDB17" s="2"/>
      <c r="BDC17" s="2"/>
      <c r="BDD17" s="2"/>
      <c r="BDE17" s="2"/>
      <c r="BDF17" s="2"/>
      <c r="BDG17" s="2"/>
      <c r="BDH17" s="2"/>
      <c r="BDI17" s="2"/>
      <c r="BDJ17" s="2"/>
      <c r="BDK17" s="2"/>
      <c r="BDL17" s="2"/>
      <c r="BDM17" s="2"/>
      <c r="BDN17" s="2"/>
      <c r="BDO17" s="2"/>
      <c r="BDP17" s="2"/>
      <c r="BDQ17" s="2"/>
      <c r="BDR17" s="2"/>
      <c r="BDS17" s="2"/>
      <c r="BDT17" s="2"/>
      <c r="BDU17" s="2"/>
      <c r="BDV17" s="2"/>
      <c r="BDW17" s="2"/>
      <c r="BDX17" s="2"/>
      <c r="BDY17" s="2"/>
      <c r="BDZ17" s="2"/>
      <c r="BEA17" s="2"/>
      <c r="BEB17" s="2"/>
      <c r="BEC17" s="2"/>
      <c r="BED17" s="2"/>
      <c r="BEE17" s="2"/>
      <c r="BEF17" s="2"/>
      <c r="BEG17" s="2"/>
      <c r="BEH17" s="2"/>
      <c r="BEI17" s="2"/>
      <c r="BEJ17" s="2"/>
      <c r="BEK17" s="2"/>
      <c r="BEL17" s="2"/>
      <c r="BEM17" s="2"/>
      <c r="BEN17" s="2"/>
      <c r="BEO17" s="2"/>
      <c r="BEP17" s="2"/>
      <c r="BEQ17" s="2"/>
      <c r="BER17" s="2"/>
      <c r="BES17" s="2"/>
      <c r="BET17" s="2"/>
      <c r="BEU17" s="2"/>
      <c r="BEV17" s="2"/>
      <c r="BEW17" s="2"/>
      <c r="BEX17" s="2"/>
      <c r="BEY17" s="2"/>
      <c r="BEZ17" s="2"/>
      <c r="BFA17" s="2"/>
      <c r="BFB17" s="2"/>
      <c r="BFC17" s="2"/>
      <c r="BFD17" s="2"/>
      <c r="BFE17" s="2"/>
      <c r="BFF17" s="2"/>
      <c r="BFG17" s="2"/>
      <c r="BFH17" s="2"/>
      <c r="BFI17" s="2"/>
      <c r="BFJ17" s="2"/>
      <c r="BFK17" s="2"/>
      <c r="BFL17" s="2"/>
      <c r="BFM17" s="2"/>
      <c r="BFN17" s="2"/>
      <c r="BFO17" s="2"/>
      <c r="BFP17" s="2"/>
      <c r="BFQ17" s="2"/>
      <c r="BFR17" s="2"/>
      <c r="BFS17" s="2"/>
      <c r="BFT17" s="2"/>
      <c r="BFU17" s="2"/>
      <c r="BFV17" s="2"/>
      <c r="BFW17" s="2"/>
      <c r="BFX17" s="2"/>
      <c r="BFY17" s="2"/>
      <c r="BFZ17" s="2"/>
      <c r="BGA17" s="2"/>
      <c r="BGB17" s="2"/>
      <c r="BGC17" s="2"/>
      <c r="BGD17" s="2"/>
      <c r="BGE17" s="2"/>
      <c r="BGF17" s="2"/>
      <c r="BGG17" s="2"/>
      <c r="BGH17" s="2"/>
      <c r="BGI17" s="2"/>
      <c r="BGJ17" s="2"/>
      <c r="BGK17" s="2"/>
      <c r="BGL17" s="2"/>
      <c r="BGM17" s="2"/>
      <c r="BGN17" s="2"/>
      <c r="BGO17" s="2"/>
      <c r="BGP17" s="2"/>
      <c r="BGQ17" s="2"/>
      <c r="BGR17" s="2"/>
      <c r="BGS17" s="2"/>
      <c r="BGT17" s="2"/>
      <c r="BGU17" s="2"/>
      <c r="BGV17" s="2"/>
      <c r="BGW17" s="2"/>
      <c r="BGX17" s="2"/>
      <c r="BGY17" s="2"/>
      <c r="BGZ17" s="2"/>
      <c r="BHA17" s="2"/>
      <c r="BHB17" s="2"/>
      <c r="BHC17" s="2"/>
      <c r="BHD17" s="2"/>
      <c r="BHE17" s="2"/>
      <c r="BHF17" s="2"/>
      <c r="BHG17" s="2"/>
      <c r="BHH17" s="2"/>
      <c r="BHI17" s="2"/>
      <c r="BHJ17" s="2"/>
      <c r="BHK17" s="2"/>
      <c r="BHL17" s="2"/>
      <c r="BHM17" s="2"/>
      <c r="BHN17" s="2"/>
      <c r="BHO17" s="2"/>
      <c r="BHP17" s="2"/>
      <c r="BHQ17" s="2"/>
      <c r="BHR17" s="2"/>
      <c r="BHS17" s="2"/>
      <c r="BHT17" s="2"/>
      <c r="BHU17" s="2"/>
      <c r="BHV17" s="2"/>
      <c r="BHW17" s="2"/>
      <c r="BHX17" s="2"/>
      <c r="BHY17" s="2"/>
      <c r="BHZ17" s="2"/>
      <c r="BIA17" s="2"/>
      <c r="BIB17" s="2"/>
      <c r="BIC17" s="2"/>
      <c r="BID17" s="2"/>
      <c r="BIE17" s="2"/>
      <c r="BIF17" s="2"/>
      <c r="BIG17" s="2"/>
      <c r="BIH17" s="2"/>
      <c r="BII17" s="2"/>
      <c r="BIJ17" s="2"/>
      <c r="BIK17" s="2"/>
      <c r="BIL17" s="2"/>
      <c r="BIM17" s="2"/>
      <c r="BIN17" s="2"/>
      <c r="BIO17" s="2"/>
      <c r="BIP17" s="2"/>
      <c r="BIQ17" s="2"/>
      <c r="BIR17" s="2"/>
      <c r="BIS17" s="2"/>
      <c r="BIT17" s="2"/>
      <c r="BIU17" s="2"/>
      <c r="BIV17" s="2"/>
      <c r="BIW17" s="2"/>
      <c r="BIX17" s="2"/>
      <c r="BIY17" s="2"/>
      <c r="BIZ17" s="2"/>
      <c r="BJA17" s="2"/>
      <c r="BJB17" s="2"/>
      <c r="BJC17" s="2"/>
      <c r="BJD17" s="2"/>
      <c r="BJE17" s="2"/>
      <c r="BJF17" s="2"/>
      <c r="BJG17" s="2"/>
      <c r="BJH17" s="2"/>
      <c r="BJI17" s="2"/>
      <c r="BJJ17" s="2"/>
      <c r="BJK17" s="2"/>
      <c r="BJL17" s="2"/>
      <c r="BJM17" s="2"/>
      <c r="BJN17" s="2"/>
      <c r="BJO17" s="2"/>
      <c r="BJP17" s="2"/>
      <c r="BJQ17" s="2"/>
      <c r="BJR17" s="2"/>
      <c r="BJS17" s="2"/>
      <c r="BJT17" s="2"/>
      <c r="BJU17" s="2"/>
      <c r="BJV17" s="2"/>
      <c r="BJW17" s="2"/>
      <c r="BJX17" s="2"/>
      <c r="BJY17" s="2"/>
      <c r="BJZ17" s="2"/>
      <c r="BKA17" s="2"/>
      <c r="BKB17" s="2"/>
      <c r="BKC17" s="2"/>
      <c r="BKD17" s="2"/>
      <c r="BKE17" s="2"/>
      <c r="BKF17" s="2"/>
      <c r="BKG17" s="2"/>
      <c r="BKH17" s="2"/>
      <c r="BKI17" s="2"/>
      <c r="BKJ17" s="2"/>
      <c r="BKK17" s="2"/>
      <c r="BKL17" s="2"/>
      <c r="BKM17" s="2"/>
      <c r="BKN17" s="2"/>
      <c r="BKO17" s="2"/>
      <c r="BKP17" s="2"/>
      <c r="BKQ17" s="2"/>
      <c r="BKR17" s="2"/>
      <c r="BKS17" s="2"/>
      <c r="BKT17" s="2"/>
      <c r="BKU17" s="2"/>
      <c r="BKV17" s="2"/>
      <c r="BKW17" s="2"/>
      <c r="BKX17" s="2"/>
      <c r="BKY17" s="2"/>
      <c r="BKZ17" s="2"/>
      <c r="BLA17" s="2"/>
      <c r="BLB17" s="2"/>
      <c r="BLC17" s="2"/>
      <c r="BLD17" s="2"/>
      <c r="BLE17" s="2"/>
      <c r="BLF17" s="2"/>
      <c r="BLG17" s="2"/>
      <c r="BLH17" s="2"/>
      <c r="BLI17" s="2"/>
      <c r="BLJ17" s="2"/>
      <c r="BLK17" s="2"/>
      <c r="BLL17" s="2"/>
      <c r="BLM17" s="2"/>
      <c r="BLN17" s="2"/>
      <c r="BLO17" s="2"/>
      <c r="BLP17" s="2"/>
      <c r="BLQ17" s="2"/>
      <c r="BLR17" s="2"/>
      <c r="BLS17" s="2"/>
      <c r="BLT17" s="2"/>
      <c r="BLU17" s="2"/>
      <c r="BLV17" s="2"/>
      <c r="BLW17" s="2"/>
      <c r="BLX17" s="2"/>
      <c r="BLY17" s="2"/>
      <c r="BLZ17" s="2"/>
      <c r="BMA17" s="2"/>
      <c r="BMB17" s="2"/>
      <c r="BMC17" s="2"/>
      <c r="BMD17" s="2"/>
      <c r="BME17" s="2"/>
      <c r="BMF17" s="2"/>
      <c r="BMG17" s="2"/>
      <c r="BMH17" s="2"/>
      <c r="BMI17" s="2"/>
      <c r="BMJ17" s="2"/>
      <c r="BMK17" s="2"/>
      <c r="BML17" s="2"/>
      <c r="BMM17" s="2"/>
      <c r="BMN17" s="2"/>
      <c r="BMO17" s="2"/>
      <c r="BMP17" s="2"/>
      <c r="BMQ17" s="2"/>
      <c r="BMR17" s="2"/>
      <c r="BMS17" s="2"/>
      <c r="BMT17" s="2"/>
      <c r="BMU17" s="2"/>
      <c r="BMV17" s="2"/>
      <c r="BMW17" s="2"/>
      <c r="BMX17" s="2"/>
      <c r="BMY17" s="2"/>
      <c r="BMZ17" s="2"/>
      <c r="BNA17" s="2"/>
      <c r="BNB17" s="2"/>
      <c r="BNC17" s="2"/>
      <c r="BND17" s="2"/>
      <c r="BNE17" s="2"/>
      <c r="BNF17" s="2"/>
      <c r="BNG17" s="2"/>
      <c r="BNH17" s="2"/>
      <c r="BNI17" s="2"/>
      <c r="BNJ17" s="2"/>
      <c r="BNK17" s="2"/>
      <c r="BNL17" s="2"/>
      <c r="BNM17" s="2"/>
      <c r="BNN17" s="2"/>
      <c r="BNO17" s="2"/>
      <c r="BNP17" s="2"/>
      <c r="BNQ17" s="2"/>
      <c r="BNR17" s="2"/>
      <c r="BNS17" s="2"/>
      <c r="BNT17" s="2"/>
      <c r="BNU17" s="2"/>
      <c r="BNV17" s="2"/>
      <c r="BNW17" s="2"/>
      <c r="BNX17" s="2"/>
      <c r="BNY17" s="2"/>
      <c r="BNZ17" s="2"/>
      <c r="BOA17" s="2"/>
      <c r="BOB17" s="2"/>
      <c r="BOC17" s="2"/>
      <c r="BOD17" s="2"/>
      <c r="BOE17" s="2"/>
      <c r="BOF17" s="2"/>
      <c r="BOG17" s="2"/>
      <c r="BOH17" s="2"/>
      <c r="BOI17" s="2"/>
      <c r="BOJ17" s="2"/>
      <c r="BOK17" s="2"/>
      <c r="BOL17" s="2"/>
      <c r="BOM17" s="2"/>
      <c r="BON17" s="2"/>
      <c r="BOO17" s="2"/>
      <c r="BOP17" s="2"/>
      <c r="BOQ17" s="2"/>
      <c r="BOR17" s="2"/>
      <c r="BOS17" s="2"/>
      <c r="BOT17" s="2"/>
      <c r="BOU17" s="2"/>
      <c r="BOV17" s="2"/>
      <c r="BOW17" s="2"/>
      <c r="BOX17" s="2"/>
      <c r="BOY17" s="2"/>
      <c r="BOZ17" s="2"/>
      <c r="BPA17" s="2"/>
      <c r="BPB17" s="2"/>
      <c r="BPC17" s="2"/>
      <c r="BPD17" s="2"/>
      <c r="BPE17" s="2"/>
      <c r="BPF17" s="2"/>
      <c r="BPG17" s="2"/>
      <c r="BPH17" s="2"/>
      <c r="BPI17" s="2"/>
      <c r="BPJ17" s="2"/>
      <c r="BPK17" s="2"/>
      <c r="BPL17" s="2"/>
      <c r="BPM17" s="2"/>
      <c r="BPN17" s="2"/>
      <c r="BPO17" s="2"/>
      <c r="BPP17" s="2"/>
      <c r="BPQ17" s="2"/>
      <c r="BPR17" s="2"/>
      <c r="BPS17" s="2"/>
      <c r="BPT17" s="2"/>
      <c r="BPU17" s="2"/>
      <c r="BPV17" s="2"/>
      <c r="BPW17" s="2"/>
      <c r="BPX17" s="2"/>
      <c r="BPY17" s="2"/>
      <c r="BPZ17" s="2"/>
      <c r="BQA17" s="2"/>
      <c r="BQB17" s="2"/>
      <c r="BQC17" s="2"/>
      <c r="BQD17" s="2"/>
      <c r="BQE17" s="2"/>
      <c r="BQF17" s="2"/>
      <c r="BQG17" s="2"/>
      <c r="BQH17" s="2"/>
      <c r="BQI17" s="2"/>
      <c r="BQJ17" s="2"/>
      <c r="BQK17" s="2"/>
      <c r="BQL17" s="2"/>
      <c r="BQM17" s="2"/>
      <c r="BQN17" s="2"/>
      <c r="BQO17" s="2"/>
      <c r="BQP17" s="2"/>
      <c r="BQQ17" s="2"/>
      <c r="BQR17" s="2"/>
      <c r="BQS17" s="2"/>
      <c r="BQT17" s="2"/>
      <c r="BQU17" s="2"/>
      <c r="BQV17" s="2"/>
      <c r="BQW17" s="2"/>
      <c r="BQX17" s="2"/>
      <c r="BQY17" s="2"/>
      <c r="BQZ17" s="2"/>
      <c r="BRA17" s="2"/>
      <c r="BRB17" s="2"/>
      <c r="BRC17" s="2"/>
      <c r="BRD17" s="2"/>
      <c r="BRE17" s="2"/>
      <c r="BRF17" s="2"/>
      <c r="BRG17" s="2"/>
      <c r="BRH17" s="2"/>
      <c r="BRI17" s="2"/>
      <c r="BRJ17" s="2"/>
      <c r="BRK17" s="2"/>
      <c r="BRL17" s="2"/>
      <c r="BRM17" s="2"/>
      <c r="BRN17" s="2"/>
      <c r="BRO17" s="2"/>
      <c r="BRP17" s="2"/>
      <c r="BRQ17" s="2"/>
      <c r="BRR17" s="2"/>
      <c r="BRS17" s="2"/>
      <c r="BRT17" s="2"/>
      <c r="BRU17" s="2"/>
      <c r="BRV17" s="2"/>
      <c r="BRW17" s="2"/>
      <c r="BRX17" s="2"/>
      <c r="BRY17" s="2"/>
      <c r="BRZ17" s="2"/>
      <c r="BSA17" s="2"/>
      <c r="BSB17" s="2"/>
      <c r="BSC17" s="2"/>
      <c r="BSD17" s="2"/>
      <c r="BSE17" s="2"/>
      <c r="BSF17" s="2"/>
      <c r="BSG17" s="2"/>
      <c r="BSH17" s="2"/>
      <c r="BSI17" s="2"/>
      <c r="BSJ17" s="2"/>
      <c r="BSK17" s="2"/>
      <c r="BSL17" s="2"/>
      <c r="BSM17" s="2"/>
      <c r="BSN17" s="2"/>
      <c r="BSO17" s="2"/>
      <c r="BSP17" s="2"/>
      <c r="BSQ17" s="2"/>
      <c r="BSR17" s="2"/>
      <c r="BSS17" s="2"/>
      <c r="BST17" s="2"/>
      <c r="BSU17" s="2"/>
      <c r="BSV17" s="2"/>
      <c r="BSW17" s="2"/>
      <c r="BSX17" s="2"/>
      <c r="BSY17" s="2"/>
      <c r="BSZ17" s="2"/>
      <c r="BTA17" s="2"/>
      <c r="BTB17" s="2"/>
      <c r="BTC17" s="2"/>
      <c r="BTD17" s="2"/>
      <c r="BTE17" s="2"/>
      <c r="BTF17" s="2"/>
      <c r="BTG17" s="2"/>
      <c r="BTH17" s="2"/>
      <c r="BTI17" s="2"/>
      <c r="BTJ17" s="2"/>
      <c r="BTK17" s="2"/>
      <c r="BTL17" s="2"/>
      <c r="BTM17" s="2"/>
      <c r="BTN17" s="2"/>
      <c r="BTO17" s="2"/>
      <c r="BTP17" s="2"/>
      <c r="BTQ17" s="2"/>
      <c r="BTR17" s="2"/>
      <c r="BTS17" s="2"/>
      <c r="BTT17" s="2"/>
      <c r="BTU17" s="2"/>
      <c r="BTV17" s="2"/>
      <c r="BTW17" s="2"/>
      <c r="BTX17" s="2"/>
      <c r="BTY17" s="2"/>
      <c r="BTZ17" s="2"/>
      <c r="BUA17" s="2"/>
      <c r="BUB17" s="2"/>
      <c r="BUC17" s="2"/>
      <c r="BUD17" s="2"/>
      <c r="BUE17" s="2"/>
      <c r="BUF17" s="2"/>
      <c r="BUG17" s="2"/>
      <c r="BUH17" s="2"/>
      <c r="BUI17" s="2"/>
      <c r="BUJ17" s="2"/>
      <c r="BUK17" s="2"/>
      <c r="BUL17" s="2"/>
      <c r="BUM17" s="2"/>
      <c r="BUN17" s="2"/>
      <c r="BUO17" s="2"/>
      <c r="BUP17" s="2"/>
      <c r="BUQ17" s="2"/>
      <c r="BUR17" s="2"/>
      <c r="BUS17" s="2"/>
      <c r="BUT17" s="2"/>
      <c r="BUU17" s="2"/>
      <c r="BUV17" s="2"/>
      <c r="BUW17" s="2"/>
      <c r="BUX17" s="2"/>
      <c r="BUY17" s="2"/>
      <c r="BUZ17" s="2"/>
      <c r="BVA17" s="2"/>
      <c r="BVB17" s="2"/>
      <c r="BVC17" s="2"/>
      <c r="BVD17" s="2"/>
      <c r="BVE17" s="2"/>
      <c r="BVF17" s="2"/>
      <c r="BVG17" s="2"/>
      <c r="BVH17" s="2"/>
      <c r="BVI17" s="2"/>
      <c r="BVJ17" s="2"/>
      <c r="BVK17" s="2"/>
      <c r="BVL17" s="2"/>
      <c r="BVM17" s="2"/>
      <c r="BVN17" s="2"/>
      <c r="BVO17" s="2"/>
      <c r="BVP17" s="2"/>
      <c r="BVQ17" s="2"/>
      <c r="BVR17" s="2"/>
      <c r="BVS17" s="2"/>
      <c r="BVT17" s="2"/>
      <c r="BVU17" s="2"/>
      <c r="BVV17" s="2"/>
      <c r="BVW17" s="2"/>
      <c r="BVX17" s="2"/>
      <c r="BVY17" s="2"/>
      <c r="BVZ17" s="2"/>
      <c r="BWA17" s="2"/>
      <c r="BWB17" s="2"/>
      <c r="BWC17" s="2"/>
      <c r="BWD17" s="2"/>
      <c r="BWE17" s="2"/>
      <c r="BWF17" s="2"/>
      <c r="BWG17" s="2"/>
      <c r="BWH17" s="2"/>
      <c r="BWI17" s="2"/>
      <c r="BWJ17" s="2"/>
      <c r="BWK17" s="2"/>
      <c r="BWL17" s="2"/>
      <c r="BWM17" s="2"/>
      <c r="BWN17" s="2"/>
      <c r="BWO17" s="2"/>
      <c r="BWP17" s="2"/>
      <c r="BWQ17" s="2"/>
      <c r="BWR17" s="2"/>
      <c r="BWS17" s="2"/>
      <c r="BWT17" s="2"/>
      <c r="BWU17" s="2"/>
      <c r="BWV17" s="2"/>
      <c r="BWW17" s="2"/>
      <c r="BWX17" s="2"/>
      <c r="BWY17" s="2"/>
      <c r="BWZ17" s="2"/>
      <c r="BXA17" s="2"/>
      <c r="BXB17" s="2"/>
      <c r="BXC17" s="2"/>
      <c r="BXD17" s="2"/>
      <c r="BXE17" s="2"/>
      <c r="BXF17" s="2"/>
      <c r="BXG17" s="2"/>
      <c r="BXH17" s="2"/>
      <c r="BXI17" s="2"/>
      <c r="BXJ17" s="2"/>
      <c r="BXK17" s="2"/>
      <c r="BXL17" s="2"/>
      <c r="BXM17" s="2"/>
      <c r="BXN17" s="2"/>
      <c r="BXO17" s="2"/>
      <c r="BXP17" s="2"/>
      <c r="BXQ17" s="2"/>
      <c r="BXR17" s="2"/>
      <c r="BXS17" s="2"/>
      <c r="BXT17" s="2"/>
      <c r="BXU17" s="2"/>
      <c r="BXV17" s="2"/>
      <c r="BXW17" s="2"/>
      <c r="BXX17" s="2"/>
      <c r="BXY17" s="2"/>
      <c r="BXZ17" s="2"/>
      <c r="BYA17" s="2"/>
      <c r="BYB17" s="2"/>
      <c r="BYC17" s="2"/>
      <c r="BYD17" s="2"/>
      <c r="BYE17" s="2"/>
      <c r="BYF17" s="2"/>
      <c r="BYG17" s="2"/>
      <c r="BYH17" s="2"/>
      <c r="BYI17" s="2"/>
      <c r="BYJ17" s="2"/>
      <c r="BYK17" s="2"/>
      <c r="BYL17" s="2"/>
      <c r="BYM17" s="2"/>
      <c r="BYN17" s="2"/>
      <c r="BYO17" s="2"/>
      <c r="BYP17" s="2"/>
      <c r="BYQ17" s="2"/>
      <c r="BYR17" s="2"/>
      <c r="BYS17" s="2"/>
      <c r="BYT17" s="2"/>
      <c r="BYU17" s="2"/>
      <c r="BYV17" s="2"/>
      <c r="BYW17" s="2"/>
      <c r="BYX17" s="2"/>
      <c r="BYY17" s="2"/>
      <c r="BYZ17" s="2"/>
      <c r="BZA17" s="2"/>
      <c r="BZB17" s="2"/>
      <c r="BZC17" s="2"/>
      <c r="BZD17" s="2"/>
      <c r="BZE17" s="2"/>
      <c r="BZF17" s="2"/>
      <c r="BZG17" s="2"/>
      <c r="BZH17" s="2"/>
      <c r="BZI17" s="2"/>
      <c r="BZJ17" s="2"/>
      <c r="BZK17" s="2"/>
      <c r="BZL17" s="2"/>
      <c r="BZM17" s="2"/>
      <c r="BZN17" s="2"/>
      <c r="BZO17" s="2"/>
      <c r="BZP17" s="2"/>
      <c r="BZQ17" s="2"/>
      <c r="BZR17" s="2"/>
      <c r="BZS17" s="2"/>
      <c r="BZT17" s="2"/>
      <c r="BZU17" s="2"/>
      <c r="BZV17" s="2"/>
      <c r="BZW17" s="2"/>
      <c r="BZX17" s="2"/>
      <c r="BZY17" s="2"/>
      <c r="BZZ17" s="2"/>
      <c r="CAA17" s="2"/>
      <c r="CAB17" s="2"/>
      <c r="CAC17" s="2"/>
      <c r="CAD17" s="2"/>
      <c r="CAE17" s="2"/>
      <c r="CAF17" s="2"/>
      <c r="CAG17" s="2"/>
      <c r="CAH17" s="2"/>
      <c r="CAI17" s="2"/>
      <c r="CAJ17" s="2"/>
      <c r="CAK17" s="2"/>
      <c r="CAL17" s="2"/>
      <c r="CAM17" s="2"/>
      <c r="CAN17" s="2"/>
      <c r="CAO17" s="2"/>
      <c r="CAP17" s="2"/>
      <c r="CAQ17" s="2"/>
      <c r="CAR17" s="2"/>
      <c r="CAS17" s="2"/>
      <c r="CAT17" s="2"/>
      <c r="CAU17" s="2"/>
      <c r="CAV17" s="2"/>
      <c r="CAW17" s="2"/>
      <c r="CAX17" s="2"/>
      <c r="CAY17" s="2"/>
      <c r="CAZ17" s="2"/>
      <c r="CBA17" s="2"/>
      <c r="CBB17" s="2"/>
      <c r="CBC17" s="2"/>
      <c r="CBD17" s="2"/>
      <c r="CBE17" s="2"/>
      <c r="CBF17" s="2"/>
      <c r="CBG17" s="2"/>
      <c r="CBH17" s="2"/>
      <c r="CBI17" s="2"/>
      <c r="CBJ17" s="2"/>
      <c r="CBK17" s="2"/>
      <c r="CBL17" s="2"/>
      <c r="CBM17" s="2"/>
      <c r="CBN17" s="2"/>
      <c r="CBO17" s="2"/>
      <c r="CBP17" s="2"/>
      <c r="CBQ17" s="2"/>
      <c r="CBR17" s="2"/>
      <c r="CBS17" s="2"/>
      <c r="CBT17" s="2"/>
      <c r="CBU17" s="2"/>
      <c r="CBV17" s="2"/>
      <c r="CBW17" s="2"/>
      <c r="CBX17" s="2"/>
      <c r="CBY17" s="2"/>
      <c r="CBZ17" s="2"/>
      <c r="CCA17" s="2"/>
      <c r="CCB17" s="2"/>
      <c r="CCC17" s="2"/>
      <c r="CCD17" s="2"/>
      <c r="CCE17" s="2"/>
      <c r="CCF17" s="2"/>
      <c r="CCG17" s="2"/>
      <c r="CCH17" s="2"/>
      <c r="CCI17" s="2"/>
      <c r="CCJ17" s="2"/>
      <c r="CCK17" s="2"/>
      <c r="CCL17" s="2"/>
      <c r="CCM17" s="2"/>
      <c r="CCN17" s="2"/>
      <c r="CCO17" s="2"/>
      <c r="CCP17" s="2"/>
      <c r="CCQ17" s="2"/>
      <c r="CCR17" s="2"/>
      <c r="CCS17" s="2"/>
      <c r="CCT17" s="2"/>
      <c r="CCU17" s="2"/>
      <c r="CCV17" s="2"/>
      <c r="CCW17" s="2"/>
      <c r="CCX17" s="2"/>
      <c r="CCY17" s="2"/>
      <c r="CCZ17" s="2"/>
      <c r="CDA17" s="2"/>
      <c r="CDB17" s="2"/>
      <c r="CDC17" s="2"/>
      <c r="CDD17" s="2"/>
      <c r="CDE17" s="2"/>
      <c r="CDF17" s="2"/>
      <c r="CDG17" s="2"/>
      <c r="CDH17" s="2"/>
      <c r="CDI17" s="2"/>
      <c r="CDJ17" s="2"/>
      <c r="CDK17" s="2"/>
      <c r="CDL17" s="2"/>
      <c r="CDM17" s="2"/>
      <c r="CDN17" s="2"/>
      <c r="CDO17" s="2"/>
      <c r="CDP17" s="2"/>
      <c r="CDQ17" s="2"/>
      <c r="CDR17" s="2"/>
      <c r="CDS17" s="2"/>
      <c r="CDT17" s="2"/>
      <c r="CDU17" s="2"/>
      <c r="CDV17" s="2"/>
      <c r="CDW17" s="2"/>
      <c r="CDX17" s="2"/>
      <c r="CDY17" s="2"/>
      <c r="CDZ17" s="2"/>
      <c r="CEA17" s="2"/>
      <c r="CEB17" s="2"/>
      <c r="CEC17" s="2"/>
      <c r="CED17" s="2"/>
      <c r="CEE17" s="2"/>
      <c r="CEF17" s="2"/>
      <c r="CEG17" s="2"/>
      <c r="CEH17" s="2"/>
      <c r="CEI17" s="2"/>
      <c r="CEJ17" s="2"/>
      <c r="CEK17" s="2"/>
      <c r="CEL17" s="2"/>
      <c r="CEM17" s="2"/>
      <c r="CEN17" s="2"/>
      <c r="CEO17" s="2"/>
      <c r="CEP17" s="2"/>
      <c r="CEQ17" s="2"/>
      <c r="CER17" s="2"/>
      <c r="CES17" s="2"/>
      <c r="CET17" s="2"/>
      <c r="CEU17" s="2"/>
      <c r="CEV17" s="2"/>
      <c r="CEW17" s="2"/>
      <c r="CEX17" s="2"/>
      <c r="CEY17" s="2"/>
      <c r="CEZ17" s="2"/>
      <c r="CFA17" s="2"/>
      <c r="CFB17" s="2"/>
      <c r="CFC17" s="2"/>
      <c r="CFD17" s="2"/>
      <c r="CFE17" s="2"/>
      <c r="CFF17" s="2"/>
      <c r="CFG17" s="2"/>
      <c r="CFH17" s="2"/>
      <c r="CFI17" s="2"/>
      <c r="CFJ17" s="2"/>
      <c r="CFK17" s="2"/>
      <c r="CFL17" s="2"/>
      <c r="CFM17" s="2"/>
      <c r="CFN17" s="2"/>
      <c r="CFO17" s="2"/>
      <c r="CFP17" s="2"/>
      <c r="CFQ17" s="2"/>
      <c r="CFR17" s="2"/>
      <c r="CFS17" s="2"/>
      <c r="CFT17" s="2"/>
      <c r="CFU17" s="2"/>
      <c r="CFV17" s="2"/>
      <c r="CFW17" s="2"/>
      <c r="CFX17" s="2"/>
      <c r="CFY17" s="2"/>
      <c r="CFZ17" s="2"/>
      <c r="CGA17" s="2"/>
      <c r="CGB17" s="2"/>
      <c r="CGC17" s="2"/>
      <c r="CGD17" s="2"/>
      <c r="CGE17" s="2"/>
      <c r="CGF17" s="2"/>
      <c r="CGG17" s="2"/>
      <c r="CGH17" s="2"/>
      <c r="CGI17" s="2"/>
      <c r="CGJ17" s="2"/>
      <c r="CGK17" s="2"/>
      <c r="CGL17" s="2"/>
      <c r="CGM17" s="2"/>
      <c r="CGN17" s="2"/>
      <c r="CGO17" s="2"/>
      <c r="CGP17" s="2"/>
      <c r="CGQ17" s="2"/>
      <c r="CGR17" s="2"/>
      <c r="CGS17" s="2"/>
      <c r="CGT17" s="2"/>
      <c r="CGU17" s="2"/>
      <c r="CGV17" s="2"/>
      <c r="CGW17" s="2"/>
      <c r="CGX17" s="2"/>
      <c r="CGY17" s="2"/>
      <c r="CGZ17" s="2"/>
      <c r="CHA17" s="2"/>
      <c r="CHB17" s="2"/>
      <c r="CHC17" s="2"/>
      <c r="CHD17" s="2"/>
      <c r="CHE17" s="2"/>
      <c r="CHF17" s="2"/>
      <c r="CHG17" s="2"/>
      <c r="CHH17" s="2"/>
      <c r="CHI17" s="2"/>
      <c r="CHJ17" s="2"/>
      <c r="CHK17" s="2"/>
      <c r="CHL17" s="2"/>
      <c r="CHM17" s="2"/>
      <c r="CHN17" s="2"/>
      <c r="CHO17" s="2"/>
      <c r="CHP17" s="2"/>
      <c r="CHQ17" s="2"/>
      <c r="CHR17" s="2"/>
      <c r="CHS17" s="2"/>
      <c r="CHT17" s="2"/>
      <c r="CHU17" s="2"/>
      <c r="CHV17" s="2"/>
      <c r="CHW17" s="2"/>
      <c r="CHX17" s="2"/>
      <c r="CHY17" s="2"/>
      <c r="CHZ17" s="2"/>
      <c r="CIA17" s="2"/>
      <c r="CIB17" s="2"/>
      <c r="CIC17" s="2"/>
      <c r="CID17" s="2"/>
      <c r="CIE17" s="2"/>
      <c r="CIF17" s="2"/>
      <c r="CIG17" s="2"/>
      <c r="CIH17" s="2"/>
      <c r="CII17" s="2"/>
      <c r="CIJ17" s="2"/>
      <c r="CIK17" s="2"/>
      <c r="CIL17" s="2"/>
      <c r="CIM17" s="2"/>
      <c r="CIN17" s="2"/>
      <c r="CIO17" s="2"/>
      <c r="CIP17" s="2"/>
      <c r="CIQ17" s="2"/>
      <c r="CIR17" s="2"/>
      <c r="CIS17" s="2"/>
      <c r="CIT17" s="2"/>
      <c r="CIU17" s="2"/>
      <c r="CIV17" s="2"/>
      <c r="CIW17" s="2"/>
      <c r="CIX17" s="2"/>
      <c r="CIY17" s="2"/>
      <c r="CIZ17" s="2"/>
      <c r="CJA17" s="2"/>
      <c r="CJB17" s="2"/>
      <c r="CJC17" s="2"/>
      <c r="CJD17" s="2"/>
      <c r="CJE17" s="2"/>
      <c r="CJF17" s="2"/>
      <c r="CJG17" s="2"/>
      <c r="CJH17" s="2"/>
      <c r="CJI17" s="2"/>
      <c r="CJJ17" s="2"/>
      <c r="CJK17" s="2"/>
      <c r="CJL17" s="2"/>
      <c r="CJM17" s="2"/>
      <c r="CJN17" s="2"/>
      <c r="CJO17" s="2"/>
      <c r="CJP17" s="2"/>
      <c r="CJQ17" s="2"/>
      <c r="CJR17" s="2"/>
      <c r="CJS17" s="2"/>
      <c r="CJT17" s="2"/>
      <c r="CJU17" s="2"/>
      <c r="CJV17" s="2"/>
      <c r="CJW17" s="2"/>
      <c r="CJX17" s="2"/>
      <c r="CJY17" s="2"/>
      <c r="CJZ17" s="2"/>
      <c r="CKA17" s="2"/>
      <c r="CKB17" s="2"/>
      <c r="CKC17" s="2"/>
      <c r="CKD17" s="2"/>
      <c r="CKE17" s="2"/>
      <c r="CKF17" s="2"/>
      <c r="CKG17" s="2"/>
      <c r="CKH17" s="2"/>
      <c r="CKI17" s="2"/>
      <c r="CKJ17" s="2"/>
      <c r="CKK17" s="2"/>
      <c r="CKL17" s="2"/>
      <c r="CKM17" s="2"/>
      <c r="CKN17" s="2"/>
      <c r="CKO17" s="2"/>
      <c r="CKP17" s="2"/>
      <c r="CKQ17" s="2"/>
      <c r="CKR17" s="2"/>
      <c r="CKS17" s="2"/>
      <c r="CKT17" s="2"/>
      <c r="CKU17" s="2"/>
      <c r="CKV17" s="2"/>
      <c r="CKW17" s="2"/>
      <c r="CKX17" s="2"/>
      <c r="CKY17" s="2"/>
      <c r="CKZ17" s="2"/>
      <c r="CLA17" s="2"/>
      <c r="CLB17" s="2"/>
      <c r="CLC17" s="2"/>
      <c r="CLD17" s="2"/>
      <c r="CLE17" s="2"/>
      <c r="CLF17" s="2"/>
      <c r="CLG17" s="2"/>
      <c r="CLH17" s="2"/>
      <c r="CLI17" s="2"/>
      <c r="CLJ17" s="2"/>
      <c r="CLK17" s="2"/>
      <c r="CLL17" s="2"/>
      <c r="CLM17" s="2"/>
      <c r="CLN17" s="2"/>
      <c r="CLO17" s="2"/>
      <c r="CLP17" s="2"/>
      <c r="CLQ17" s="2"/>
      <c r="CLR17" s="2"/>
      <c r="CLS17" s="2"/>
      <c r="CLT17" s="2"/>
      <c r="CLU17" s="2"/>
      <c r="CLV17" s="2"/>
      <c r="CLW17" s="2"/>
      <c r="CLX17" s="2"/>
      <c r="CLY17" s="2"/>
      <c r="CLZ17" s="2"/>
      <c r="CMA17" s="2"/>
      <c r="CMB17" s="2"/>
      <c r="CMC17" s="2"/>
      <c r="CMD17" s="2"/>
      <c r="CME17" s="2"/>
      <c r="CMF17" s="2"/>
      <c r="CMG17" s="2"/>
      <c r="CMH17" s="2"/>
      <c r="CMI17" s="2"/>
      <c r="CMJ17" s="2"/>
      <c r="CMK17" s="2"/>
      <c r="CML17" s="2"/>
      <c r="CMM17" s="2"/>
      <c r="CMN17" s="2"/>
      <c r="CMO17" s="2"/>
      <c r="CMP17" s="2"/>
      <c r="CMQ17" s="2"/>
      <c r="CMR17" s="2"/>
      <c r="CMS17" s="2"/>
      <c r="CMT17" s="2"/>
      <c r="CMU17" s="2"/>
      <c r="CMV17" s="2"/>
      <c r="CMW17" s="2"/>
      <c r="CMX17" s="2"/>
      <c r="CMY17" s="2"/>
      <c r="CMZ17" s="2"/>
      <c r="CNA17" s="2"/>
      <c r="CNB17" s="2"/>
      <c r="CNC17" s="2"/>
      <c r="CND17" s="2"/>
      <c r="CNE17" s="2"/>
      <c r="CNF17" s="2"/>
      <c r="CNG17" s="2"/>
      <c r="CNH17" s="2"/>
      <c r="CNI17" s="2"/>
      <c r="CNJ17" s="2"/>
      <c r="CNK17" s="2"/>
      <c r="CNL17" s="2"/>
      <c r="CNM17" s="2"/>
      <c r="CNN17" s="2"/>
      <c r="CNO17" s="2"/>
      <c r="CNP17" s="2"/>
      <c r="CNQ17" s="2"/>
      <c r="CNR17" s="2"/>
      <c r="CNS17" s="2"/>
      <c r="CNT17" s="2"/>
      <c r="CNU17" s="2"/>
      <c r="CNV17" s="2"/>
      <c r="CNW17" s="2"/>
      <c r="CNX17" s="2"/>
      <c r="CNY17" s="2"/>
      <c r="CNZ17" s="2"/>
      <c r="COA17" s="2"/>
      <c r="COB17" s="2"/>
      <c r="COC17" s="2"/>
      <c r="COD17" s="2"/>
      <c r="COE17" s="2"/>
      <c r="COF17" s="2"/>
      <c r="COG17" s="2"/>
      <c r="COH17" s="2"/>
      <c r="COI17" s="2"/>
      <c r="COJ17" s="2"/>
      <c r="COK17" s="2"/>
      <c r="COL17" s="2"/>
      <c r="COM17" s="2"/>
      <c r="CON17" s="2"/>
      <c r="COO17" s="2"/>
      <c r="COP17" s="2"/>
      <c r="COQ17" s="2"/>
      <c r="COR17" s="2"/>
      <c r="COS17" s="2"/>
      <c r="COT17" s="2"/>
      <c r="COU17" s="2"/>
      <c r="COV17" s="2"/>
      <c r="COW17" s="2"/>
      <c r="COX17" s="2"/>
      <c r="COY17" s="2"/>
      <c r="COZ17" s="2"/>
      <c r="CPA17" s="2"/>
      <c r="CPB17" s="2"/>
      <c r="CPC17" s="2"/>
      <c r="CPD17" s="2"/>
      <c r="CPE17" s="2"/>
      <c r="CPF17" s="2"/>
      <c r="CPG17" s="2"/>
      <c r="CPH17" s="2"/>
      <c r="CPI17" s="2"/>
      <c r="CPJ17" s="2"/>
      <c r="CPK17" s="2"/>
      <c r="CPL17" s="2"/>
      <c r="CPM17" s="2"/>
      <c r="CPN17" s="2"/>
      <c r="CPO17" s="2"/>
      <c r="CPP17" s="2"/>
      <c r="CPQ17" s="2"/>
      <c r="CPR17" s="2"/>
      <c r="CPS17" s="2"/>
      <c r="CPT17" s="2"/>
      <c r="CPU17" s="2"/>
      <c r="CPV17" s="2"/>
      <c r="CPW17" s="2"/>
      <c r="CPX17" s="2"/>
      <c r="CPY17" s="2"/>
      <c r="CPZ17" s="2"/>
      <c r="CQA17" s="2"/>
      <c r="CQB17" s="2"/>
      <c r="CQC17" s="2"/>
      <c r="CQD17" s="2"/>
      <c r="CQE17" s="2"/>
      <c r="CQF17" s="2"/>
      <c r="CQG17" s="2"/>
      <c r="CQH17" s="2"/>
      <c r="CQI17" s="2"/>
      <c r="CQJ17" s="2"/>
      <c r="CQK17" s="2"/>
      <c r="CQL17" s="2"/>
      <c r="CQM17" s="2"/>
      <c r="CQN17" s="2"/>
      <c r="CQO17" s="2"/>
      <c r="CQP17" s="2"/>
      <c r="CQQ17" s="2"/>
      <c r="CQR17" s="2"/>
      <c r="CQS17" s="2"/>
      <c r="CQT17" s="2"/>
      <c r="CQU17" s="2"/>
      <c r="CQV17" s="2"/>
      <c r="CQW17" s="2"/>
      <c r="CQX17" s="2"/>
      <c r="CQY17" s="2"/>
      <c r="CQZ17" s="2"/>
      <c r="CRA17" s="2"/>
      <c r="CRB17" s="2"/>
      <c r="CRC17" s="2"/>
      <c r="CRD17" s="2"/>
      <c r="CRE17" s="2"/>
      <c r="CRF17" s="2"/>
      <c r="CRG17" s="2"/>
      <c r="CRH17" s="2"/>
      <c r="CRI17" s="2"/>
      <c r="CRJ17" s="2"/>
      <c r="CRK17" s="2"/>
      <c r="CRL17" s="2"/>
      <c r="CRM17" s="2"/>
      <c r="CRN17" s="2"/>
      <c r="CRO17" s="2"/>
      <c r="CRP17" s="2"/>
      <c r="CRQ17" s="2"/>
      <c r="CRR17" s="2"/>
      <c r="CRS17" s="2"/>
      <c r="CRT17" s="2"/>
      <c r="CRU17" s="2"/>
      <c r="CRV17" s="2"/>
      <c r="CRW17" s="2"/>
      <c r="CRX17" s="2"/>
      <c r="CRY17" s="2"/>
      <c r="CRZ17" s="2"/>
      <c r="CSA17" s="2"/>
      <c r="CSB17" s="2"/>
      <c r="CSC17" s="2"/>
      <c r="CSD17" s="2"/>
      <c r="CSE17" s="2"/>
      <c r="CSF17" s="2"/>
      <c r="CSG17" s="2"/>
      <c r="CSH17" s="2"/>
      <c r="CSI17" s="2"/>
      <c r="CSJ17" s="2"/>
      <c r="CSK17" s="2"/>
      <c r="CSL17" s="2"/>
      <c r="CSM17" s="2"/>
      <c r="CSN17" s="2"/>
      <c r="CSO17" s="2"/>
      <c r="CSP17" s="2"/>
      <c r="CSQ17" s="2"/>
      <c r="CSR17" s="2"/>
      <c r="CSS17" s="2"/>
      <c r="CST17" s="2"/>
      <c r="CSU17" s="2"/>
      <c r="CSV17" s="2"/>
      <c r="CSW17" s="2"/>
      <c r="CSX17" s="2"/>
      <c r="CSY17" s="2"/>
      <c r="CSZ17" s="2"/>
      <c r="CTA17" s="2"/>
      <c r="CTB17" s="2"/>
      <c r="CTC17" s="2"/>
      <c r="CTD17" s="2"/>
      <c r="CTE17" s="2"/>
      <c r="CTF17" s="2"/>
      <c r="CTG17" s="2"/>
      <c r="CTH17" s="2"/>
      <c r="CTI17" s="2"/>
      <c r="CTJ17" s="2"/>
      <c r="CTK17" s="2"/>
      <c r="CTL17" s="2"/>
      <c r="CTM17" s="2"/>
      <c r="CTN17" s="2"/>
      <c r="CTO17" s="2"/>
      <c r="CTP17" s="2"/>
      <c r="CTQ17" s="2"/>
      <c r="CTR17" s="2"/>
      <c r="CTS17" s="2"/>
      <c r="CTT17" s="2"/>
      <c r="CTU17" s="2"/>
      <c r="CTV17" s="2"/>
      <c r="CTW17" s="2"/>
      <c r="CTX17" s="2"/>
      <c r="CTY17" s="2"/>
      <c r="CTZ17" s="2"/>
      <c r="CUA17" s="2"/>
      <c r="CUB17" s="2"/>
      <c r="CUC17" s="2"/>
      <c r="CUD17" s="2"/>
      <c r="CUE17" s="2"/>
      <c r="CUF17" s="2"/>
      <c r="CUG17" s="2"/>
      <c r="CUH17" s="2"/>
      <c r="CUI17" s="2"/>
      <c r="CUJ17" s="2"/>
      <c r="CUK17" s="2"/>
      <c r="CUL17" s="2"/>
      <c r="CUM17" s="2"/>
      <c r="CUN17" s="2"/>
      <c r="CUO17" s="2"/>
      <c r="CUP17" s="2"/>
      <c r="CUQ17" s="2"/>
      <c r="CUR17" s="2"/>
      <c r="CUS17" s="2"/>
      <c r="CUT17" s="2"/>
      <c r="CUU17" s="2"/>
      <c r="CUV17" s="2"/>
      <c r="CUW17" s="2"/>
      <c r="CUX17" s="2"/>
      <c r="CUY17" s="2"/>
      <c r="CUZ17" s="2"/>
      <c r="CVA17" s="2"/>
      <c r="CVB17" s="2"/>
      <c r="CVC17" s="2"/>
      <c r="CVD17" s="2"/>
      <c r="CVE17" s="2"/>
      <c r="CVF17" s="2"/>
      <c r="CVG17" s="2"/>
      <c r="CVH17" s="2"/>
      <c r="CVI17" s="2"/>
      <c r="CVJ17" s="2"/>
      <c r="CVK17" s="2"/>
      <c r="CVL17" s="2"/>
      <c r="CVM17" s="2"/>
      <c r="CVN17" s="2"/>
      <c r="CVO17" s="2"/>
      <c r="CVP17" s="2"/>
      <c r="CVQ17" s="2"/>
      <c r="CVR17" s="2"/>
      <c r="CVS17" s="2"/>
      <c r="CVT17" s="2"/>
      <c r="CVU17" s="2"/>
      <c r="CVV17" s="2"/>
      <c r="CVW17" s="2"/>
      <c r="CVX17" s="2"/>
      <c r="CVY17" s="2"/>
      <c r="CVZ17" s="2"/>
      <c r="CWA17" s="2"/>
      <c r="CWB17" s="2"/>
      <c r="CWC17" s="2"/>
      <c r="CWD17" s="2"/>
      <c r="CWE17" s="2"/>
      <c r="CWF17" s="2"/>
      <c r="CWG17" s="2"/>
      <c r="CWH17" s="2"/>
      <c r="CWI17" s="2"/>
      <c r="CWJ17" s="2"/>
      <c r="CWK17" s="2"/>
      <c r="CWL17" s="2"/>
      <c r="CWM17" s="2"/>
      <c r="CWN17" s="2"/>
      <c r="CWO17" s="2"/>
      <c r="CWP17" s="2"/>
      <c r="CWQ17" s="2"/>
      <c r="CWR17" s="2"/>
      <c r="CWS17" s="2"/>
      <c r="CWT17" s="2"/>
      <c r="CWU17" s="2"/>
      <c r="CWV17" s="2"/>
      <c r="CWW17" s="2"/>
      <c r="CWX17" s="2"/>
      <c r="CWY17" s="2"/>
      <c r="CWZ17" s="2"/>
      <c r="CXA17" s="2"/>
      <c r="CXB17" s="2"/>
      <c r="CXC17" s="2"/>
      <c r="CXD17" s="2"/>
      <c r="CXE17" s="2"/>
      <c r="CXF17" s="2"/>
      <c r="CXG17" s="2"/>
      <c r="CXH17" s="2"/>
      <c r="CXI17" s="2"/>
      <c r="CXJ17" s="2"/>
      <c r="CXK17" s="2"/>
      <c r="CXL17" s="2"/>
      <c r="CXM17" s="2"/>
      <c r="CXN17" s="2"/>
      <c r="CXO17" s="2"/>
      <c r="CXP17" s="2"/>
      <c r="CXQ17" s="2"/>
      <c r="CXR17" s="2"/>
      <c r="CXS17" s="2"/>
      <c r="CXT17" s="2"/>
      <c r="CXU17" s="2"/>
      <c r="CXV17" s="2"/>
      <c r="CXW17" s="2"/>
      <c r="CXX17" s="2"/>
      <c r="CXY17" s="2"/>
      <c r="CXZ17" s="2"/>
      <c r="CYA17" s="2"/>
      <c r="CYB17" s="2"/>
      <c r="CYC17" s="2"/>
      <c r="CYD17" s="2"/>
      <c r="CYE17" s="2"/>
      <c r="CYF17" s="2"/>
      <c r="CYG17" s="2"/>
      <c r="CYH17" s="2"/>
      <c r="CYI17" s="2"/>
      <c r="CYJ17" s="2"/>
      <c r="CYK17" s="2"/>
      <c r="CYL17" s="2"/>
      <c r="CYM17" s="2"/>
      <c r="CYN17" s="2"/>
      <c r="CYO17" s="2"/>
      <c r="CYP17" s="2"/>
      <c r="CYQ17" s="2"/>
      <c r="CYR17" s="2"/>
      <c r="CYS17" s="2"/>
      <c r="CYT17" s="2"/>
      <c r="CYU17" s="2"/>
      <c r="CYV17" s="2"/>
      <c r="CYW17" s="2"/>
      <c r="CYX17" s="2"/>
      <c r="CYY17" s="2"/>
      <c r="CYZ17" s="2"/>
      <c r="CZA17" s="2"/>
      <c r="CZB17" s="2"/>
      <c r="CZC17" s="2"/>
      <c r="CZD17" s="2"/>
      <c r="CZE17" s="2"/>
      <c r="CZF17" s="2"/>
      <c r="CZG17" s="2"/>
      <c r="CZH17" s="2"/>
      <c r="CZI17" s="2"/>
      <c r="CZJ17" s="2"/>
      <c r="CZK17" s="2"/>
      <c r="CZL17" s="2"/>
      <c r="CZM17" s="2"/>
      <c r="CZN17" s="2"/>
      <c r="CZO17" s="2"/>
      <c r="CZP17" s="2"/>
      <c r="CZQ17" s="2"/>
      <c r="CZR17" s="2"/>
      <c r="CZS17" s="2"/>
      <c r="CZT17" s="2"/>
      <c r="CZU17" s="2"/>
      <c r="CZV17" s="2"/>
      <c r="CZW17" s="2"/>
      <c r="CZX17" s="2"/>
      <c r="CZY17" s="2"/>
      <c r="CZZ17" s="2"/>
      <c r="DAA17" s="2"/>
      <c r="DAB17" s="2"/>
      <c r="DAC17" s="2"/>
      <c r="DAD17" s="2"/>
      <c r="DAE17" s="2"/>
      <c r="DAF17" s="2"/>
      <c r="DAG17" s="2"/>
      <c r="DAH17" s="2"/>
      <c r="DAI17" s="2"/>
      <c r="DAJ17" s="2"/>
      <c r="DAK17" s="2"/>
      <c r="DAL17" s="2"/>
      <c r="DAM17" s="2"/>
      <c r="DAN17" s="2"/>
      <c r="DAO17" s="2"/>
      <c r="DAP17" s="2"/>
      <c r="DAQ17" s="2"/>
      <c r="DAR17" s="2"/>
      <c r="DAS17" s="2"/>
      <c r="DAT17" s="2"/>
      <c r="DAU17" s="2"/>
      <c r="DAV17" s="2"/>
      <c r="DAW17" s="2"/>
      <c r="DAX17" s="2"/>
      <c r="DAY17" s="2"/>
      <c r="DAZ17" s="2"/>
      <c r="DBA17" s="2"/>
      <c r="DBB17" s="2"/>
      <c r="DBC17" s="2"/>
      <c r="DBD17" s="2"/>
      <c r="DBE17" s="2"/>
      <c r="DBF17" s="2"/>
      <c r="DBG17" s="2"/>
      <c r="DBH17" s="2"/>
      <c r="DBI17" s="2"/>
      <c r="DBJ17" s="2"/>
      <c r="DBK17" s="2"/>
      <c r="DBL17" s="2"/>
      <c r="DBM17" s="2"/>
      <c r="DBN17" s="2"/>
      <c r="DBO17" s="2"/>
      <c r="DBP17" s="2"/>
      <c r="DBQ17" s="2"/>
      <c r="DBR17" s="2"/>
      <c r="DBS17" s="2"/>
      <c r="DBT17" s="2"/>
      <c r="DBU17" s="2"/>
      <c r="DBV17" s="2"/>
      <c r="DBW17" s="2"/>
      <c r="DBX17" s="2"/>
      <c r="DBY17" s="2"/>
      <c r="DBZ17" s="2"/>
      <c r="DCA17" s="2"/>
      <c r="DCB17" s="2"/>
      <c r="DCC17" s="2"/>
      <c r="DCD17" s="2"/>
      <c r="DCE17" s="2"/>
      <c r="DCF17" s="2"/>
      <c r="DCG17" s="2"/>
      <c r="DCH17" s="2"/>
      <c r="DCI17" s="2"/>
      <c r="DCJ17" s="2"/>
      <c r="DCK17" s="2"/>
      <c r="DCL17" s="2"/>
      <c r="DCM17" s="2"/>
      <c r="DCN17" s="2"/>
      <c r="DCO17" s="2"/>
      <c r="DCP17" s="2"/>
      <c r="DCQ17" s="2"/>
      <c r="DCR17" s="2"/>
      <c r="DCS17" s="2"/>
      <c r="DCT17" s="2"/>
      <c r="DCU17" s="2"/>
      <c r="DCV17" s="2"/>
      <c r="DCW17" s="2"/>
      <c r="DCX17" s="2"/>
      <c r="DCY17" s="2"/>
      <c r="DCZ17" s="2"/>
      <c r="DDA17" s="2"/>
      <c r="DDB17" s="2"/>
      <c r="DDC17" s="2"/>
      <c r="DDD17" s="2"/>
      <c r="DDE17" s="2"/>
      <c r="DDF17" s="2"/>
      <c r="DDG17" s="2"/>
      <c r="DDH17" s="2"/>
      <c r="DDI17" s="2"/>
      <c r="DDJ17" s="2"/>
      <c r="DDK17" s="2"/>
      <c r="DDL17" s="2"/>
      <c r="DDM17" s="2"/>
      <c r="DDN17" s="2"/>
      <c r="DDO17" s="2"/>
      <c r="DDP17" s="2"/>
      <c r="DDQ17" s="2"/>
      <c r="DDR17" s="2"/>
      <c r="DDS17" s="2"/>
      <c r="DDT17" s="2"/>
      <c r="DDU17" s="2"/>
      <c r="DDV17" s="2"/>
      <c r="DDW17" s="2"/>
      <c r="DDX17" s="2"/>
      <c r="DDY17" s="2"/>
      <c r="DDZ17" s="2"/>
      <c r="DEA17" s="2"/>
      <c r="DEB17" s="2"/>
      <c r="DEC17" s="2"/>
      <c r="DED17" s="2"/>
      <c r="DEE17" s="2"/>
      <c r="DEF17" s="2"/>
      <c r="DEG17" s="2"/>
      <c r="DEH17" s="2"/>
      <c r="DEI17" s="2"/>
      <c r="DEJ17" s="2"/>
      <c r="DEK17" s="2"/>
      <c r="DEL17" s="2"/>
      <c r="DEM17" s="2"/>
      <c r="DEN17" s="2"/>
      <c r="DEO17" s="2"/>
      <c r="DEP17" s="2"/>
      <c r="DEQ17" s="2"/>
      <c r="DER17" s="2"/>
      <c r="DES17" s="2"/>
      <c r="DET17" s="2"/>
      <c r="DEU17" s="2"/>
      <c r="DEV17" s="2"/>
      <c r="DEW17" s="2"/>
      <c r="DEX17" s="2"/>
      <c r="DEY17" s="2"/>
      <c r="DEZ17" s="2"/>
      <c r="DFA17" s="2"/>
      <c r="DFB17" s="2"/>
      <c r="DFC17" s="2"/>
      <c r="DFD17" s="2"/>
      <c r="DFE17" s="2"/>
      <c r="DFF17" s="2"/>
      <c r="DFG17" s="2"/>
      <c r="DFH17" s="2"/>
      <c r="DFI17" s="2"/>
      <c r="DFJ17" s="2"/>
      <c r="DFK17" s="2"/>
      <c r="DFL17" s="2"/>
      <c r="DFM17" s="2"/>
      <c r="DFN17" s="2"/>
      <c r="DFO17" s="2"/>
      <c r="DFP17" s="2"/>
      <c r="DFQ17" s="2"/>
      <c r="DFR17" s="2"/>
      <c r="DFS17" s="2"/>
      <c r="DFT17" s="2"/>
      <c r="DFU17" s="2"/>
      <c r="DFV17" s="2"/>
      <c r="DFW17" s="2"/>
      <c r="DFX17" s="2"/>
      <c r="DFY17" s="2"/>
      <c r="DFZ17" s="2"/>
      <c r="DGA17" s="2"/>
      <c r="DGB17" s="2"/>
      <c r="DGC17" s="2"/>
      <c r="DGD17" s="2"/>
      <c r="DGE17" s="2"/>
      <c r="DGF17" s="2"/>
      <c r="DGG17" s="2"/>
      <c r="DGH17" s="2"/>
      <c r="DGI17" s="2"/>
      <c r="DGJ17" s="2"/>
      <c r="DGK17" s="2"/>
      <c r="DGL17" s="2"/>
      <c r="DGM17" s="2"/>
      <c r="DGN17" s="2"/>
      <c r="DGO17" s="2"/>
      <c r="DGP17" s="2"/>
      <c r="DGQ17" s="2"/>
      <c r="DGR17" s="2"/>
      <c r="DGS17" s="2"/>
      <c r="DGT17" s="2"/>
      <c r="DGU17" s="2"/>
      <c r="DGV17" s="2"/>
      <c r="DGW17" s="2"/>
      <c r="DGX17" s="2"/>
      <c r="DGY17" s="2"/>
      <c r="DGZ17" s="2"/>
      <c r="DHA17" s="2"/>
      <c r="DHB17" s="2"/>
      <c r="DHC17" s="2"/>
      <c r="DHD17" s="2"/>
      <c r="DHE17" s="2"/>
      <c r="DHF17" s="2"/>
      <c r="DHG17" s="2"/>
      <c r="DHH17" s="2"/>
      <c r="DHI17" s="2"/>
      <c r="DHJ17" s="2"/>
      <c r="DHK17" s="2"/>
      <c r="DHL17" s="2"/>
      <c r="DHM17" s="2"/>
      <c r="DHN17" s="2"/>
      <c r="DHO17" s="2"/>
      <c r="DHP17" s="2"/>
      <c r="DHQ17" s="2"/>
      <c r="DHR17" s="2"/>
      <c r="DHS17" s="2"/>
      <c r="DHT17" s="2"/>
      <c r="DHU17" s="2"/>
      <c r="DHV17" s="2"/>
      <c r="DHW17" s="2"/>
      <c r="DHX17" s="2"/>
      <c r="DHY17" s="2"/>
      <c r="DHZ17" s="2"/>
      <c r="DIA17" s="2"/>
      <c r="DIB17" s="2"/>
      <c r="DIC17" s="2"/>
      <c r="DID17" s="2"/>
      <c r="DIE17" s="2"/>
      <c r="DIF17" s="2"/>
      <c r="DIG17" s="2"/>
      <c r="DIH17" s="2"/>
      <c r="DII17" s="2"/>
      <c r="DIJ17" s="2"/>
      <c r="DIK17" s="2"/>
      <c r="DIL17" s="2"/>
      <c r="DIM17" s="2"/>
      <c r="DIN17" s="2"/>
      <c r="DIO17" s="2"/>
      <c r="DIP17" s="2"/>
      <c r="DIQ17" s="2"/>
      <c r="DIR17" s="2"/>
      <c r="DIS17" s="2"/>
      <c r="DIT17" s="2"/>
      <c r="DIU17" s="2"/>
      <c r="DIV17" s="2"/>
      <c r="DIW17" s="2"/>
      <c r="DIX17" s="2"/>
      <c r="DIY17" s="2"/>
      <c r="DIZ17" s="2"/>
      <c r="DJA17" s="2"/>
      <c r="DJB17" s="2"/>
      <c r="DJC17" s="2"/>
      <c r="DJD17" s="2"/>
      <c r="DJE17" s="2"/>
      <c r="DJF17" s="2"/>
      <c r="DJG17" s="2"/>
      <c r="DJH17" s="2"/>
      <c r="DJI17" s="2"/>
      <c r="DJJ17" s="2"/>
      <c r="DJK17" s="2"/>
      <c r="DJL17" s="2"/>
      <c r="DJM17" s="2"/>
      <c r="DJN17" s="2"/>
      <c r="DJO17" s="2"/>
      <c r="DJP17" s="2"/>
      <c r="DJQ17" s="2"/>
      <c r="DJR17" s="2"/>
      <c r="DJS17" s="2"/>
      <c r="DJT17" s="2"/>
      <c r="DJU17" s="2"/>
      <c r="DJV17" s="2"/>
      <c r="DJW17" s="2"/>
      <c r="DJX17" s="2"/>
      <c r="DJY17" s="2"/>
      <c r="DJZ17" s="2"/>
      <c r="DKA17" s="2"/>
      <c r="DKB17" s="2"/>
      <c r="DKC17" s="2"/>
      <c r="DKD17" s="2"/>
      <c r="DKE17" s="2"/>
      <c r="DKF17" s="2"/>
      <c r="DKG17" s="2"/>
      <c r="DKH17" s="2"/>
      <c r="DKI17" s="2"/>
      <c r="DKJ17" s="2"/>
      <c r="DKK17" s="2"/>
      <c r="DKL17" s="2"/>
      <c r="DKM17" s="2"/>
      <c r="DKN17" s="2"/>
      <c r="DKO17" s="2"/>
      <c r="DKP17" s="2"/>
      <c r="DKQ17" s="2"/>
      <c r="DKR17" s="2"/>
      <c r="DKS17" s="2"/>
      <c r="DKT17" s="2"/>
      <c r="DKU17" s="2"/>
      <c r="DKV17" s="2"/>
      <c r="DKW17" s="2"/>
      <c r="DKX17" s="2"/>
      <c r="DKY17" s="2"/>
      <c r="DKZ17" s="2"/>
      <c r="DLA17" s="2"/>
      <c r="DLB17" s="2"/>
      <c r="DLC17" s="2"/>
      <c r="DLD17" s="2"/>
      <c r="DLE17" s="2"/>
      <c r="DLF17" s="2"/>
      <c r="DLG17" s="2"/>
      <c r="DLH17" s="2"/>
      <c r="DLI17" s="2"/>
      <c r="DLJ17" s="2"/>
      <c r="DLK17" s="2"/>
      <c r="DLL17" s="2"/>
      <c r="DLM17" s="2"/>
      <c r="DLN17" s="2"/>
      <c r="DLO17" s="2"/>
      <c r="DLP17" s="2"/>
      <c r="DLQ17" s="2"/>
      <c r="DLR17" s="2"/>
      <c r="DLS17" s="2"/>
      <c r="DLT17" s="2"/>
      <c r="DLU17" s="2"/>
      <c r="DLV17" s="2"/>
      <c r="DLW17" s="2"/>
      <c r="DLX17" s="2"/>
      <c r="DLY17" s="2"/>
      <c r="DLZ17" s="2"/>
      <c r="DMA17" s="2"/>
      <c r="DMB17" s="2"/>
      <c r="DMC17" s="2"/>
      <c r="DMD17" s="2"/>
      <c r="DME17" s="2"/>
      <c r="DMF17" s="2"/>
      <c r="DMG17" s="2"/>
      <c r="DMH17" s="2"/>
      <c r="DMI17" s="2"/>
      <c r="DMJ17" s="2"/>
      <c r="DMK17" s="2"/>
      <c r="DML17" s="2"/>
      <c r="DMM17" s="2"/>
      <c r="DMN17" s="2"/>
      <c r="DMO17" s="2"/>
      <c r="DMP17" s="2"/>
      <c r="DMQ17" s="2"/>
      <c r="DMR17" s="2"/>
      <c r="DMS17" s="2"/>
      <c r="DMT17" s="2"/>
      <c r="DMU17" s="2"/>
      <c r="DMV17" s="2"/>
      <c r="DMW17" s="2"/>
      <c r="DMX17" s="2"/>
      <c r="DMY17" s="2"/>
      <c r="DMZ17" s="2"/>
      <c r="DNA17" s="2"/>
      <c r="DNB17" s="2"/>
      <c r="DNC17" s="2"/>
      <c r="DND17" s="2"/>
      <c r="DNE17" s="2"/>
      <c r="DNF17" s="2"/>
      <c r="DNG17" s="2"/>
      <c r="DNH17" s="2"/>
      <c r="DNI17" s="2"/>
      <c r="DNJ17" s="2"/>
      <c r="DNK17" s="2"/>
      <c r="DNL17" s="2"/>
      <c r="DNM17" s="2"/>
      <c r="DNN17" s="2"/>
      <c r="DNO17" s="2"/>
      <c r="DNP17" s="2"/>
      <c r="DNQ17" s="2"/>
      <c r="DNR17" s="2"/>
      <c r="DNS17" s="2"/>
      <c r="DNT17" s="2"/>
      <c r="DNU17" s="2"/>
      <c r="DNV17" s="2"/>
      <c r="DNW17" s="2"/>
      <c r="DNX17" s="2"/>
      <c r="DNY17" s="2"/>
      <c r="DNZ17" s="2"/>
      <c r="DOA17" s="2"/>
      <c r="DOB17" s="2"/>
      <c r="DOC17" s="2"/>
      <c r="DOD17" s="2"/>
      <c r="DOE17" s="2"/>
      <c r="DOF17" s="2"/>
      <c r="DOG17" s="2"/>
      <c r="DOH17" s="2"/>
      <c r="DOI17" s="2"/>
      <c r="DOJ17" s="2"/>
      <c r="DOK17" s="2"/>
      <c r="DOL17" s="2"/>
      <c r="DOM17" s="2"/>
      <c r="DON17" s="2"/>
      <c r="DOO17" s="2"/>
      <c r="DOP17" s="2"/>
      <c r="DOQ17" s="2"/>
      <c r="DOR17" s="2"/>
      <c r="DOS17" s="2"/>
      <c r="DOT17" s="2"/>
      <c r="DOU17" s="2"/>
      <c r="DOV17" s="2"/>
      <c r="DOW17" s="2"/>
      <c r="DOX17" s="2"/>
      <c r="DOY17" s="2"/>
      <c r="DOZ17" s="2"/>
      <c r="DPA17" s="2"/>
      <c r="DPB17" s="2"/>
      <c r="DPC17" s="2"/>
      <c r="DPD17" s="2"/>
      <c r="DPE17" s="2"/>
      <c r="DPF17" s="2"/>
      <c r="DPG17" s="2"/>
      <c r="DPH17" s="2"/>
      <c r="DPI17" s="2"/>
      <c r="DPJ17" s="2"/>
      <c r="DPK17" s="2"/>
      <c r="DPL17" s="2"/>
      <c r="DPM17" s="2"/>
      <c r="DPN17" s="2"/>
      <c r="DPO17" s="2"/>
      <c r="DPP17" s="2"/>
      <c r="DPQ17" s="2"/>
      <c r="DPR17" s="2"/>
      <c r="DPS17" s="2"/>
      <c r="DPT17" s="2"/>
      <c r="DPU17" s="2"/>
      <c r="DPV17" s="2"/>
      <c r="DPW17" s="2"/>
      <c r="DPX17" s="2"/>
      <c r="DPY17" s="2"/>
      <c r="DPZ17" s="2"/>
      <c r="DQA17" s="2"/>
      <c r="DQB17" s="2"/>
      <c r="DQC17" s="2"/>
      <c r="DQD17" s="2"/>
      <c r="DQE17" s="2"/>
      <c r="DQF17" s="2"/>
      <c r="DQG17" s="2"/>
      <c r="DQH17" s="2"/>
      <c r="DQI17" s="2"/>
      <c r="DQJ17" s="2"/>
      <c r="DQK17" s="2"/>
      <c r="DQL17" s="2"/>
      <c r="DQM17" s="2"/>
      <c r="DQN17" s="2"/>
      <c r="DQO17" s="2"/>
      <c r="DQP17" s="2"/>
      <c r="DQQ17" s="2"/>
      <c r="DQR17" s="2"/>
      <c r="DQS17" s="2"/>
      <c r="DQT17" s="2"/>
      <c r="DQU17" s="2"/>
      <c r="DQV17" s="2"/>
      <c r="DQW17" s="2"/>
      <c r="DQX17" s="2"/>
      <c r="DQY17" s="2"/>
      <c r="DQZ17" s="2"/>
      <c r="DRA17" s="2"/>
      <c r="DRB17" s="2"/>
      <c r="DRC17" s="2"/>
      <c r="DRD17" s="2"/>
      <c r="DRE17" s="2"/>
      <c r="DRF17" s="2"/>
      <c r="DRG17" s="2"/>
      <c r="DRH17" s="2"/>
      <c r="DRI17" s="2"/>
      <c r="DRJ17" s="2"/>
      <c r="DRK17" s="2"/>
      <c r="DRL17" s="2"/>
      <c r="DRM17" s="2"/>
      <c r="DRN17" s="2"/>
      <c r="DRO17" s="2"/>
      <c r="DRP17" s="2"/>
      <c r="DRQ17" s="2"/>
      <c r="DRR17" s="2"/>
      <c r="DRS17" s="2"/>
      <c r="DRT17" s="2"/>
      <c r="DRU17" s="2"/>
      <c r="DRV17" s="2"/>
      <c r="DRW17" s="2"/>
      <c r="DRX17" s="2"/>
      <c r="DRY17" s="2"/>
      <c r="DRZ17" s="2"/>
      <c r="DSA17" s="2"/>
      <c r="DSB17" s="2"/>
      <c r="DSC17" s="2"/>
      <c r="DSD17" s="2"/>
      <c r="DSE17" s="2"/>
      <c r="DSF17" s="2"/>
      <c r="DSG17" s="2"/>
      <c r="DSH17" s="2"/>
      <c r="DSI17" s="2"/>
      <c r="DSJ17" s="2"/>
      <c r="DSK17" s="2"/>
      <c r="DSL17" s="2"/>
      <c r="DSM17" s="2"/>
      <c r="DSN17" s="2"/>
      <c r="DSO17" s="2"/>
      <c r="DSP17" s="2"/>
      <c r="DSQ17" s="2"/>
      <c r="DSR17" s="2"/>
      <c r="DSS17" s="2"/>
      <c r="DST17" s="2"/>
      <c r="DSU17" s="2"/>
      <c r="DSV17" s="2"/>
      <c r="DSW17" s="2"/>
      <c r="DSX17" s="2"/>
      <c r="DSY17" s="2"/>
      <c r="DSZ17" s="2"/>
      <c r="DTA17" s="2"/>
      <c r="DTB17" s="2"/>
      <c r="DTC17" s="2"/>
      <c r="DTD17" s="2"/>
      <c r="DTE17" s="2"/>
      <c r="DTF17" s="2"/>
      <c r="DTG17" s="2"/>
      <c r="DTH17" s="2"/>
      <c r="DTI17" s="2"/>
      <c r="DTJ17" s="2"/>
      <c r="DTK17" s="2"/>
      <c r="DTL17" s="2"/>
      <c r="DTM17" s="2"/>
      <c r="DTN17" s="2"/>
      <c r="DTO17" s="2"/>
      <c r="DTP17" s="2"/>
      <c r="DTQ17" s="2"/>
      <c r="DTR17" s="2"/>
      <c r="DTS17" s="2"/>
      <c r="DTT17" s="2"/>
      <c r="DTU17" s="2"/>
      <c r="DTV17" s="2"/>
      <c r="DTW17" s="2"/>
      <c r="DTX17" s="2"/>
      <c r="DTY17" s="2"/>
      <c r="DTZ17" s="2"/>
      <c r="DUA17" s="2"/>
      <c r="DUB17" s="2"/>
      <c r="DUC17" s="2"/>
      <c r="DUD17" s="2"/>
      <c r="DUE17" s="2"/>
      <c r="DUF17" s="2"/>
      <c r="DUG17" s="2"/>
      <c r="DUH17" s="2"/>
      <c r="DUI17" s="2"/>
      <c r="DUJ17" s="2"/>
      <c r="DUK17" s="2"/>
      <c r="DUL17" s="2"/>
      <c r="DUM17" s="2"/>
      <c r="DUN17" s="2"/>
      <c r="DUO17" s="2"/>
      <c r="DUP17" s="2"/>
      <c r="DUQ17" s="2"/>
      <c r="DUR17" s="2"/>
      <c r="DUS17" s="2"/>
      <c r="DUT17" s="2"/>
      <c r="DUU17" s="2"/>
      <c r="DUV17" s="2"/>
      <c r="DUW17" s="2"/>
      <c r="DUX17" s="2"/>
      <c r="DUY17" s="2"/>
      <c r="DUZ17" s="2"/>
      <c r="DVA17" s="2"/>
      <c r="DVB17" s="2"/>
      <c r="DVC17" s="2"/>
      <c r="DVD17" s="2"/>
      <c r="DVE17" s="2"/>
      <c r="DVF17" s="2"/>
      <c r="DVG17" s="2"/>
      <c r="DVH17" s="2"/>
      <c r="DVI17" s="2"/>
      <c r="DVJ17" s="2"/>
      <c r="DVK17" s="2"/>
      <c r="DVL17" s="2"/>
      <c r="DVM17" s="2"/>
      <c r="DVN17" s="2"/>
      <c r="DVO17" s="2"/>
      <c r="DVP17" s="2"/>
      <c r="DVQ17" s="2"/>
      <c r="DVR17" s="2"/>
      <c r="DVS17" s="2"/>
      <c r="DVT17" s="2"/>
      <c r="DVU17" s="2"/>
      <c r="DVV17" s="2"/>
      <c r="DVW17" s="2"/>
      <c r="DVX17" s="2"/>
      <c r="DVY17" s="2"/>
      <c r="DVZ17" s="2"/>
      <c r="DWA17" s="2"/>
      <c r="DWB17" s="2"/>
      <c r="DWC17" s="2"/>
      <c r="DWD17" s="2"/>
      <c r="DWE17" s="2"/>
      <c r="DWF17" s="2"/>
      <c r="DWG17" s="2"/>
      <c r="DWH17" s="2"/>
      <c r="DWI17" s="2"/>
      <c r="DWJ17" s="2"/>
      <c r="DWK17" s="2"/>
      <c r="DWL17" s="2"/>
      <c r="DWM17" s="2"/>
      <c r="DWN17" s="2"/>
      <c r="DWO17" s="2"/>
      <c r="DWP17" s="2"/>
      <c r="DWQ17" s="2"/>
      <c r="DWR17" s="2"/>
      <c r="DWS17" s="2"/>
      <c r="DWT17" s="2"/>
      <c r="DWU17" s="2"/>
      <c r="DWV17" s="2"/>
      <c r="DWW17" s="2"/>
      <c r="DWX17" s="2"/>
      <c r="DWY17" s="2"/>
      <c r="DWZ17" s="2"/>
      <c r="DXA17" s="2"/>
      <c r="DXB17" s="2"/>
      <c r="DXC17" s="2"/>
      <c r="DXD17" s="2"/>
      <c r="DXE17" s="2"/>
      <c r="DXF17" s="2"/>
      <c r="DXG17" s="2"/>
      <c r="DXH17" s="2"/>
      <c r="DXI17" s="2"/>
      <c r="DXJ17" s="2"/>
      <c r="DXK17" s="2"/>
      <c r="DXL17" s="2"/>
      <c r="DXM17" s="2"/>
      <c r="DXN17" s="2"/>
      <c r="DXO17" s="2"/>
      <c r="DXP17" s="2"/>
      <c r="DXQ17" s="2"/>
      <c r="DXR17" s="2"/>
      <c r="DXS17" s="2"/>
      <c r="DXT17" s="2"/>
      <c r="DXU17" s="2"/>
      <c r="DXV17" s="2"/>
      <c r="DXW17" s="2"/>
      <c r="DXX17" s="2"/>
      <c r="DXY17" s="2"/>
      <c r="DXZ17" s="2"/>
      <c r="DYA17" s="2"/>
      <c r="DYB17" s="2"/>
      <c r="DYC17" s="2"/>
      <c r="DYD17" s="2"/>
      <c r="DYE17" s="2"/>
      <c r="DYF17" s="2"/>
      <c r="DYG17" s="2"/>
      <c r="DYH17" s="2"/>
      <c r="DYI17" s="2"/>
      <c r="DYJ17" s="2"/>
      <c r="DYK17" s="2"/>
      <c r="DYL17" s="2"/>
      <c r="DYM17" s="2"/>
      <c r="DYN17" s="2"/>
      <c r="DYO17" s="2"/>
      <c r="DYP17" s="2"/>
      <c r="DYQ17" s="2"/>
      <c r="DYR17" s="2"/>
      <c r="DYS17" s="2"/>
      <c r="DYT17" s="2"/>
      <c r="DYU17" s="2"/>
      <c r="DYV17" s="2"/>
      <c r="DYW17" s="2"/>
      <c r="DYX17" s="2"/>
      <c r="DYY17" s="2"/>
      <c r="DYZ17" s="2"/>
      <c r="DZA17" s="2"/>
      <c r="DZB17" s="2"/>
      <c r="DZC17" s="2"/>
      <c r="DZD17" s="2"/>
      <c r="DZE17" s="2"/>
      <c r="DZF17" s="2"/>
      <c r="DZG17" s="2"/>
      <c r="DZH17" s="2"/>
      <c r="DZI17" s="2"/>
      <c r="DZJ17" s="2"/>
      <c r="DZK17" s="2"/>
      <c r="DZL17" s="2"/>
      <c r="DZM17" s="2"/>
      <c r="DZN17" s="2"/>
      <c r="DZO17" s="2"/>
      <c r="DZP17" s="2"/>
      <c r="DZQ17" s="2"/>
      <c r="DZR17" s="2"/>
      <c r="DZS17" s="2"/>
      <c r="DZT17" s="2"/>
      <c r="DZU17" s="2"/>
      <c r="DZV17" s="2"/>
      <c r="DZW17" s="2"/>
      <c r="DZX17" s="2"/>
      <c r="DZY17" s="2"/>
      <c r="DZZ17" s="2"/>
      <c r="EAA17" s="2"/>
      <c r="EAB17" s="2"/>
      <c r="EAC17" s="2"/>
      <c r="EAD17" s="2"/>
      <c r="EAE17" s="2"/>
      <c r="EAF17" s="2"/>
      <c r="EAG17" s="2"/>
      <c r="EAH17" s="2"/>
      <c r="EAI17" s="2"/>
      <c r="EAJ17" s="2"/>
      <c r="EAK17" s="2"/>
      <c r="EAL17" s="2"/>
      <c r="EAM17" s="2"/>
      <c r="EAN17" s="2"/>
      <c r="EAO17" s="2"/>
      <c r="EAP17" s="2"/>
      <c r="EAQ17" s="2"/>
      <c r="EAR17" s="2"/>
      <c r="EAS17" s="2"/>
      <c r="EAT17" s="2"/>
      <c r="EAU17" s="2"/>
      <c r="EAV17" s="2"/>
      <c r="EAW17" s="2"/>
      <c r="EAX17" s="2"/>
      <c r="EAY17" s="2"/>
      <c r="EAZ17" s="2"/>
      <c r="EBA17" s="2"/>
      <c r="EBB17" s="2"/>
      <c r="EBC17" s="2"/>
      <c r="EBD17" s="2"/>
      <c r="EBE17" s="2"/>
      <c r="EBF17" s="2"/>
      <c r="EBG17" s="2"/>
      <c r="EBH17" s="2"/>
      <c r="EBI17" s="2"/>
      <c r="EBJ17" s="2"/>
      <c r="EBK17" s="2"/>
      <c r="EBL17" s="2"/>
      <c r="EBM17" s="2"/>
      <c r="EBN17" s="2"/>
      <c r="EBO17" s="2"/>
      <c r="EBP17" s="2"/>
      <c r="EBQ17" s="2"/>
      <c r="EBR17" s="2"/>
      <c r="EBS17" s="2"/>
      <c r="EBT17" s="2"/>
      <c r="EBU17" s="2"/>
      <c r="EBV17" s="2"/>
      <c r="EBW17" s="2"/>
      <c r="EBX17" s="2"/>
      <c r="EBY17" s="2"/>
      <c r="EBZ17" s="2"/>
      <c r="ECA17" s="2"/>
      <c r="ECB17" s="2"/>
      <c r="ECC17" s="2"/>
      <c r="ECD17" s="2"/>
      <c r="ECE17" s="2"/>
      <c r="ECF17" s="2"/>
      <c r="ECG17" s="2"/>
      <c r="ECH17" s="2"/>
      <c r="ECI17" s="2"/>
      <c r="ECJ17" s="2"/>
      <c r="ECK17" s="2"/>
      <c r="ECL17" s="2"/>
      <c r="ECM17" s="2"/>
      <c r="ECN17" s="2"/>
      <c r="ECO17" s="2"/>
      <c r="ECP17" s="2"/>
      <c r="ECQ17" s="2"/>
      <c r="ECR17" s="2"/>
      <c r="ECS17" s="2"/>
      <c r="ECT17" s="2"/>
      <c r="ECU17" s="2"/>
      <c r="ECV17" s="2"/>
      <c r="ECW17" s="2"/>
      <c r="ECX17" s="2"/>
      <c r="ECY17" s="2"/>
      <c r="ECZ17" s="2"/>
      <c r="EDA17" s="2"/>
      <c r="EDB17" s="2"/>
      <c r="EDC17" s="2"/>
      <c r="EDD17" s="2"/>
      <c r="EDE17" s="2"/>
      <c r="EDF17" s="2"/>
      <c r="EDG17" s="2"/>
      <c r="EDH17" s="2"/>
      <c r="EDI17" s="2"/>
      <c r="EDJ17" s="2"/>
      <c r="EDK17" s="2"/>
      <c r="EDL17" s="2"/>
      <c r="EDM17" s="2"/>
      <c r="EDN17" s="2"/>
      <c r="EDO17" s="2"/>
      <c r="EDP17" s="2"/>
      <c r="EDQ17" s="2"/>
      <c r="EDR17" s="2"/>
      <c r="EDS17" s="2"/>
      <c r="EDT17" s="2"/>
      <c r="EDU17" s="2"/>
      <c r="EDV17" s="2"/>
      <c r="EDW17" s="2"/>
      <c r="EDX17" s="2"/>
      <c r="EDY17" s="2"/>
      <c r="EDZ17" s="2"/>
      <c r="EEA17" s="2"/>
      <c r="EEB17" s="2"/>
      <c r="EEC17" s="2"/>
      <c r="EED17" s="2"/>
      <c r="EEE17" s="2"/>
      <c r="EEF17" s="2"/>
      <c r="EEG17" s="2"/>
      <c r="EEH17" s="2"/>
      <c r="EEI17" s="2"/>
      <c r="EEJ17" s="2"/>
      <c r="EEK17" s="2"/>
      <c r="EEL17" s="2"/>
      <c r="EEM17" s="2"/>
      <c r="EEN17" s="2"/>
      <c r="EEO17" s="2"/>
      <c r="EEP17" s="2"/>
      <c r="EEQ17" s="2"/>
      <c r="EER17" s="2"/>
      <c r="EES17" s="2"/>
      <c r="EET17" s="2"/>
      <c r="EEU17" s="2"/>
      <c r="EEV17" s="2"/>
      <c r="EEW17" s="2"/>
      <c r="EEX17" s="2"/>
      <c r="EEY17" s="2"/>
      <c r="EEZ17" s="2"/>
      <c r="EFA17" s="2"/>
      <c r="EFB17" s="2"/>
      <c r="EFC17" s="2"/>
      <c r="EFD17" s="2"/>
      <c r="EFE17" s="2"/>
      <c r="EFF17" s="2"/>
      <c r="EFG17" s="2"/>
      <c r="EFH17" s="2"/>
      <c r="EFI17" s="2"/>
      <c r="EFJ17" s="2"/>
      <c r="EFK17" s="2"/>
      <c r="EFL17" s="2"/>
      <c r="EFM17" s="2"/>
      <c r="EFN17" s="2"/>
      <c r="EFO17" s="2"/>
      <c r="EFP17" s="2"/>
      <c r="EFQ17" s="2"/>
      <c r="EFR17" s="2"/>
      <c r="EFS17" s="2"/>
      <c r="EFT17" s="2"/>
      <c r="EFU17" s="2"/>
      <c r="EFV17" s="2"/>
      <c r="EFW17" s="2"/>
      <c r="EFX17" s="2"/>
      <c r="EFY17" s="2"/>
      <c r="EFZ17" s="2"/>
      <c r="EGA17" s="2"/>
      <c r="EGB17" s="2"/>
      <c r="EGC17" s="2"/>
      <c r="EGD17" s="2"/>
      <c r="EGE17" s="2"/>
      <c r="EGF17" s="2"/>
      <c r="EGG17" s="2"/>
      <c r="EGH17" s="2"/>
      <c r="EGI17" s="2"/>
      <c r="EGJ17" s="2"/>
      <c r="EGK17" s="2"/>
      <c r="EGL17" s="2"/>
      <c r="EGM17" s="2"/>
      <c r="EGN17" s="2"/>
      <c r="EGO17" s="2"/>
      <c r="EGP17" s="2"/>
      <c r="EGQ17" s="2"/>
      <c r="EGR17" s="2"/>
      <c r="EGS17" s="2"/>
      <c r="EGT17" s="2"/>
      <c r="EGU17" s="2"/>
      <c r="EGV17" s="2"/>
      <c r="EGW17" s="2"/>
      <c r="EGX17" s="2"/>
      <c r="EGY17" s="2"/>
      <c r="EGZ17" s="2"/>
      <c r="EHA17" s="2"/>
      <c r="EHB17" s="2"/>
      <c r="EHC17" s="2"/>
      <c r="EHD17" s="2"/>
      <c r="EHE17" s="2"/>
      <c r="EHF17" s="2"/>
      <c r="EHG17" s="2"/>
      <c r="EHH17" s="2"/>
      <c r="EHI17" s="2"/>
      <c r="EHJ17" s="2"/>
      <c r="EHK17" s="2"/>
      <c r="EHL17" s="2"/>
      <c r="EHM17" s="2"/>
      <c r="EHN17" s="2"/>
      <c r="EHO17" s="2"/>
      <c r="EHP17" s="2"/>
      <c r="EHQ17" s="2"/>
      <c r="EHR17" s="2"/>
      <c r="EHS17" s="2"/>
      <c r="EHT17" s="2"/>
      <c r="EHU17" s="2"/>
      <c r="EHV17" s="2"/>
      <c r="EHW17" s="2"/>
      <c r="EHX17" s="2"/>
      <c r="EHY17" s="2"/>
      <c r="EHZ17" s="2"/>
      <c r="EIA17" s="2"/>
      <c r="EIB17" s="2"/>
      <c r="EIC17" s="2"/>
      <c r="EID17" s="2"/>
      <c r="EIE17" s="2"/>
      <c r="EIF17" s="2"/>
      <c r="EIG17" s="2"/>
      <c r="EIH17" s="2"/>
      <c r="EII17" s="2"/>
      <c r="EIJ17" s="2"/>
      <c r="EIK17" s="2"/>
      <c r="EIL17" s="2"/>
      <c r="EIM17" s="2"/>
      <c r="EIN17" s="2"/>
      <c r="EIO17" s="2"/>
      <c r="EIP17" s="2"/>
      <c r="EIQ17" s="2"/>
      <c r="EIR17" s="2"/>
      <c r="EIS17" s="2"/>
      <c r="EIT17" s="2"/>
      <c r="EIU17" s="2"/>
      <c r="EIV17" s="2"/>
      <c r="EIW17" s="2"/>
      <c r="EIX17" s="2"/>
      <c r="EIY17" s="2"/>
      <c r="EIZ17" s="2"/>
      <c r="EJA17" s="2"/>
      <c r="EJB17" s="2"/>
      <c r="EJC17" s="2"/>
      <c r="EJD17" s="2"/>
      <c r="EJE17" s="2"/>
      <c r="EJF17" s="2"/>
      <c r="EJG17" s="2"/>
      <c r="EJH17" s="2"/>
      <c r="EJI17" s="2"/>
      <c r="EJJ17" s="2"/>
      <c r="EJK17" s="2"/>
      <c r="EJL17" s="2"/>
      <c r="EJM17" s="2"/>
      <c r="EJN17" s="2"/>
      <c r="EJO17" s="2"/>
      <c r="EJP17" s="2"/>
      <c r="EJQ17" s="2"/>
      <c r="EJR17" s="2"/>
      <c r="EJS17" s="2"/>
      <c r="EJT17" s="2"/>
      <c r="EJU17" s="2"/>
      <c r="EJV17" s="2"/>
      <c r="EJW17" s="2"/>
      <c r="EJX17" s="2"/>
      <c r="EJY17" s="2"/>
      <c r="EJZ17" s="2"/>
      <c r="EKA17" s="2"/>
      <c r="EKB17" s="2"/>
      <c r="EKC17" s="2"/>
      <c r="EKD17" s="2"/>
      <c r="EKE17" s="2"/>
      <c r="EKF17" s="2"/>
      <c r="EKG17" s="2"/>
      <c r="EKH17" s="2"/>
      <c r="EKI17" s="2"/>
      <c r="EKJ17" s="2"/>
      <c r="EKK17" s="2"/>
      <c r="EKL17" s="2"/>
      <c r="EKM17" s="2"/>
      <c r="EKN17" s="2"/>
      <c r="EKO17" s="2"/>
      <c r="EKP17" s="2"/>
      <c r="EKQ17" s="2"/>
      <c r="EKR17" s="2"/>
      <c r="EKS17" s="2"/>
      <c r="EKT17" s="2"/>
      <c r="EKU17" s="2"/>
      <c r="EKV17" s="2"/>
      <c r="EKW17" s="2"/>
      <c r="EKX17" s="2"/>
      <c r="EKY17" s="2"/>
      <c r="EKZ17" s="2"/>
      <c r="ELA17" s="2"/>
      <c r="ELB17" s="2"/>
      <c r="ELC17" s="2"/>
      <c r="ELD17" s="2"/>
      <c r="ELE17" s="2"/>
      <c r="ELF17" s="2"/>
      <c r="ELG17" s="2"/>
      <c r="ELH17" s="2"/>
      <c r="ELI17" s="2"/>
      <c r="ELJ17" s="2"/>
      <c r="ELK17" s="2"/>
      <c r="ELL17" s="2"/>
      <c r="ELM17" s="2"/>
      <c r="ELN17" s="2"/>
      <c r="ELO17" s="2"/>
      <c r="ELP17" s="2"/>
      <c r="ELQ17" s="2"/>
      <c r="ELR17" s="2"/>
      <c r="ELS17" s="2"/>
      <c r="ELT17" s="2"/>
      <c r="ELU17" s="2"/>
      <c r="ELV17" s="2"/>
      <c r="ELW17" s="2"/>
      <c r="ELX17" s="2"/>
      <c r="ELY17" s="2"/>
      <c r="ELZ17" s="2"/>
      <c r="EMA17" s="2"/>
      <c r="EMB17" s="2"/>
      <c r="EMC17" s="2"/>
      <c r="EMD17" s="2"/>
      <c r="EME17" s="2"/>
      <c r="EMF17" s="2"/>
      <c r="EMG17" s="2"/>
      <c r="EMH17" s="2"/>
      <c r="EMI17" s="2"/>
      <c r="EMJ17" s="2"/>
      <c r="EMK17" s="2"/>
      <c r="EML17" s="2"/>
      <c r="EMM17" s="2"/>
      <c r="EMN17" s="2"/>
      <c r="EMO17" s="2"/>
      <c r="EMP17" s="2"/>
      <c r="EMQ17" s="2"/>
      <c r="EMR17" s="2"/>
      <c r="EMS17" s="2"/>
      <c r="EMT17" s="2"/>
      <c r="EMU17" s="2"/>
      <c r="EMV17" s="2"/>
      <c r="EMW17" s="2"/>
      <c r="EMX17" s="2"/>
      <c r="EMY17" s="2"/>
      <c r="EMZ17" s="2"/>
      <c r="ENA17" s="2"/>
      <c r="ENB17" s="2"/>
      <c r="ENC17" s="2"/>
      <c r="END17" s="2"/>
      <c r="ENE17" s="2"/>
      <c r="ENF17" s="2"/>
      <c r="ENG17" s="2"/>
      <c r="ENH17" s="2"/>
      <c r="ENI17" s="2"/>
      <c r="ENJ17" s="2"/>
      <c r="ENK17" s="2"/>
      <c r="ENL17" s="2"/>
      <c r="ENM17" s="2"/>
      <c r="ENN17" s="2"/>
      <c r="ENO17" s="2"/>
      <c r="ENP17" s="2"/>
      <c r="ENQ17" s="2"/>
      <c r="ENR17" s="2"/>
      <c r="ENS17" s="2"/>
      <c r="ENT17" s="2"/>
      <c r="ENU17" s="2"/>
      <c r="ENV17" s="2"/>
      <c r="ENW17" s="2"/>
      <c r="ENX17" s="2"/>
      <c r="ENY17" s="2"/>
      <c r="ENZ17" s="2"/>
      <c r="EOA17" s="2"/>
      <c r="EOB17" s="2"/>
      <c r="EOC17" s="2"/>
      <c r="EOD17" s="2"/>
      <c r="EOE17" s="2"/>
      <c r="EOF17" s="2"/>
      <c r="EOG17" s="2"/>
      <c r="EOH17" s="2"/>
      <c r="EOI17" s="2"/>
      <c r="EOJ17" s="2"/>
      <c r="EOK17" s="2"/>
      <c r="EOL17" s="2"/>
      <c r="EOM17" s="2"/>
      <c r="EON17" s="2"/>
      <c r="EOO17" s="2"/>
      <c r="EOP17" s="2"/>
      <c r="EOQ17" s="2"/>
      <c r="EOR17" s="2"/>
      <c r="EOS17" s="2"/>
      <c r="EOT17" s="2"/>
      <c r="EOU17" s="2"/>
      <c r="EOV17" s="2"/>
      <c r="EOW17" s="2"/>
      <c r="EOX17" s="2"/>
      <c r="EOY17" s="2"/>
      <c r="EOZ17" s="2"/>
      <c r="EPA17" s="2"/>
      <c r="EPB17" s="2"/>
      <c r="EPC17" s="2"/>
      <c r="EPD17" s="2"/>
      <c r="EPE17" s="2"/>
      <c r="EPF17" s="2"/>
      <c r="EPG17" s="2"/>
      <c r="EPH17" s="2"/>
      <c r="EPI17" s="2"/>
      <c r="EPJ17" s="2"/>
      <c r="EPK17" s="2"/>
      <c r="EPL17" s="2"/>
      <c r="EPM17" s="2"/>
      <c r="EPN17" s="2"/>
      <c r="EPO17" s="2"/>
      <c r="EPP17" s="2"/>
      <c r="EPQ17" s="2"/>
      <c r="EPR17" s="2"/>
      <c r="EPS17" s="2"/>
      <c r="EPT17" s="2"/>
      <c r="EPU17" s="2"/>
      <c r="EPV17" s="2"/>
      <c r="EPW17" s="2"/>
      <c r="EPX17" s="2"/>
      <c r="EPY17" s="2"/>
      <c r="EPZ17" s="2"/>
      <c r="EQA17" s="2"/>
      <c r="EQB17" s="2"/>
      <c r="EQC17" s="2"/>
      <c r="EQD17" s="2"/>
      <c r="EQE17" s="2"/>
      <c r="EQF17" s="2"/>
      <c r="EQG17" s="2"/>
      <c r="EQH17" s="2"/>
      <c r="EQI17" s="2"/>
      <c r="EQJ17" s="2"/>
      <c r="EQK17" s="2"/>
      <c r="EQL17" s="2"/>
      <c r="EQM17" s="2"/>
      <c r="EQN17" s="2"/>
      <c r="EQO17" s="2"/>
      <c r="EQP17" s="2"/>
      <c r="EQQ17" s="2"/>
      <c r="EQR17" s="2"/>
      <c r="EQS17" s="2"/>
      <c r="EQT17" s="2"/>
      <c r="EQU17" s="2"/>
      <c r="EQV17" s="2"/>
      <c r="EQW17" s="2"/>
      <c r="EQX17" s="2"/>
      <c r="EQY17" s="2"/>
      <c r="EQZ17" s="2"/>
      <c r="ERA17" s="2"/>
      <c r="ERB17" s="2"/>
      <c r="ERC17" s="2"/>
      <c r="ERD17" s="2"/>
      <c r="ERE17" s="2"/>
      <c r="ERF17" s="2"/>
      <c r="ERG17" s="2"/>
      <c r="ERH17" s="2"/>
      <c r="ERI17" s="2"/>
      <c r="ERJ17" s="2"/>
      <c r="ERK17" s="2"/>
      <c r="ERL17" s="2"/>
      <c r="ERM17" s="2"/>
      <c r="ERN17" s="2"/>
      <c r="ERO17" s="2"/>
      <c r="ERP17" s="2"/>
      <c r="ERQ17" s="2"/>
      <c r="ERR17" s="2"/>
      <c r="ERS17" s="2"/>
      <c r="ERT17" s="2"/>
      <c r="ERU17" s="2"/>
      <c r="ERV17" s="2"/>
      <c r="ERW17" s="2"/>
      <c r="ERX17" s="2"/>
      <c r="ERY17" s="2"/>
      <c r="ERZ17" s="2"/>
      <c r="ESA17" s="2"/>
      <c r="ESB17" s="2"/>
      <c r="ESC17" s="2"/>
      <c r="ESD17" s="2"/>
      <c r="ESE17" s="2"/>
      <c r="ESF17" s="2"/>
      <c r="ESG17" s="2"/>
      <c r="ESH17" s="2"/>
      <c r="ESI17" s="2"/>
      <c r="ESJ17" s="2"/>
      <c r="ESK17" s="2"/>
      <c r="ESL17" s="2"/>
      <c r="ESM17" s="2"/>
      <c r="ESN17" s="2"/>
      <c r="ESO17" s="2"/>
      <c r="ESP17" s="2"/>
      <c r="ESQ17" s="2"/>
      <c r="ESR17" s="2"/>
      <c r="ESS17" s="2"/>
      <c r="EST17" s="2"/>
      <c r="ESU17" s="2"/>
      <c r="ESV17" s="2"/>
      <c r="ESW17" s="2"/>
      <c r="ESX17" s="2"/>
      <c r="ESY17" s="2"/>
      <c r="ESZ17" s="2"/>
      <c r="ETA17" s="2"/>
      <c r="ETB17" s="2"/>
      <c r="ETC17" s="2"/>
      <c r="ETD17" s="2"/>
      <c r="ETE17" s="2"/>
      <c r="ETF17" s="2"/>
      <c r="ETG17" s="2"/>
      <c r="ETH17" s="2"/>
      <c r="ETI17" s="2"/>
      <c r="ETJ17" s="2"/>
      <c r="ETK17" s="2"/>
      <c r="ETL17" s="2"/>
      <c r="ETM17" s="2"/>
      <c r="ETN17" s="2"/>
      <c r="ETO17" s="2"/>
      <c r="ETP17" s="2"/>
      <c r="ETQ17" s="2"/>
      <c r="ETR17" s="2"/>
      <c r="ETS17" s="2"/>
      <c r="ETT17" s="2"/>
      <c r="ETU17" s="2"/>
      <c r="ETV17" s="2"/>
      <c r="ETW17" s="2"/>
      <c r="ETX17" s="2"/>
      <c r="ETY17" s="2"/>
      <c r="ETZ17" s="2"/>
      <c r="EUA17" s="2"/>
      <c r="EUB17" s="2"/>
      <c r="EUC17" s="2"/>
      <c r="EUD17" s="2"/>
      <c r="EUE17" s="2"/>
      <c r="EUF17" s="2"/>
      <c r="EUG17" s="2"/>
      <c r="EUH17" s="2"/>
      <c r="EUI17" s="2"/>
      <c r="EUJ17" s="2"/>
      <c r="EUK17" s="2"/>
      <c r="EUL17" s="2"/>
      <c r="EUM17" s="2"/>
      <c r="EUN17" s="2"/>
      <c r="EUO17" s="2"/>
      <c r="EUP17" s="2"/>
      <c r="EUQ17" s="2"/>
      <c r="EUR17" s="2"/>
      <c r="EUS17" s="2"/>
      <c r="EUT17" s="2"/>
      <c r="EUU17" s="2"/>
      <c r="EUV17" s="2"/>
      <c r="EUW17" s="2"/>
      <c r="EUX17" s="2"/>
      <c r="EUY17" s="2"/>
      <c r="EUZ17" s="2"/>
      <c r="EVA17" s="2"/>
      <c r="EVB17" s="2"/>
      <c r="EVC17" s="2"/>
      <c r="EVD17" s="2"/>
      <c r="EVE17" s="2"/>
      <c r="EVF17" s="2"/>
      <c r="EVG17" s="2"/>
      <c r="EVH17" s="2"/>
      <c r="EVI17" s="2"/>
      <c r="EVJ17" s="2"/>
      <c r="EVK17" s="2"/>
      <c r="EVL17" s="2"/>
      <c r="EVM17" s="2"/>
      <c r="EVN17" s="2"/>
      <c r="EVO17" s="2"/>
      <c r="EVP17" s="2"/>
      <c r="EVQ17" s="2"/>
      <c r="EVR17" s="2"/>
      <c r="EVS17" s="2"/>
      <c r="EVT17" s="2"/>
      <c r="EVU17" s="2"/>
      <c r="EVV17" s="2"/>
      <c r="EVW17" s="2"/>
      <c r="EVX17" s="2"/>
      <c r="EVY17" s="2"/>
      <c r="EVZ17" s="2"/>
      <c r="EWA17" s="2"/>
      <c r="EWB17" s="2"/>
      <c r="EWC17" s="2"/>
      <c r="EWD17" s="2"/>
      <c r="EWE17" s="2"/>
      <c r="EWF17" s="2"/>
      <c r="EWG17" s="2"/>
      <c r="EWH17" s="2"/>
      <c r="EWI17" s="2"/>
      <c r="EWJ17" s="2"/>
      <c r="EWK17" s="2"/>
      <c r="EWL17" s="2"/>
      <c r="EWM17" s="2"/>
      <c r="EWN17" s="2"/>
      <c r="EWO17" s="2"/>
      <c r="EWP17" s="2"/>
      <c r="EWQ17" s="2"/>
      <c r="EWR17" s="2"/>
      <c r="EWS17" s="2"/>
      <c r="EWT17" s="2"/>
      <c r="EWU17" s="2"/>
      <c r="EWV17" s="2"/>
      <c r="EWW17" s="2"/>
      <c r="EWX17" s="2"/>
      <c r="EWY17" s="2"/>
      <c r="EWZ17" s="2"/>
      <c r="EXA17" s="2"/>
      <c r="EXB17" s="2"/>
      <c r="EXC17" s="2"/>
      <c r="EXD17" s="2"/>
      <c r="EXE17" s="2"/>
      <c r="EXF17" s="2"/>
      <c r="EXG17" s="2"/>
      <c r="EXH17" s="2"/>
      <c r="EXI17" s="2"/>
      <c r="EXJ17" s="2"/>
      <c r="EXK17" s="2"/>
      <c r="EXL17" s="2"/>
      <c r="EXM17" s="2"/>
      <c r="EXN17" s="2"/>
      <c r="EXO17" s="2"/>
      <c r="EXP17" s="2"/>
      <c r="EXQ17" s="2"/>
      <c r="EXR17" s="2"/>
      <c r="EXS17" s="2"/>
      <c r="EXT17" s="2"/>
      <c r="EXU17" s="2"/>
      <c r="EXV17" s="2"/>
      <c r="EXW17" s="2"/>
      <c r="EXX17" s="2"/>
      <c r="EXY17" s="2"/>
      <c r="EXZ17" s="2"/>
      <c r="EYA17" s="2"/>
      <c r="EYB17" s="2"/>
      <c r="EYC17" s="2"/>
      <c r="EYD17" s="2"/>
      <c r="EYE17" s="2"/>
      <c r="EYF17" s="2"/>
      <c r="EYG17" s="2"/>
      <c r="EYH17" s="2"/>
      <c r="EYI17" s="2"/>
      <c r="EYJ17" s="2"/>
      <c r="EYK17" s="2"/>
      <c r="EYL17" s="2"/>
      <c r="EYM17" s="2"/>
      <c r="EYN17" s="2"/>
      <c r="EYO17" s="2"/>
      <c r="EYP17" s="2"/>
      <c r="EYQ17" s="2"/>
      <c r="EYR17" s="2"/>
      <c r="EYS17" s="2"/>
      <c r="EYT17" s="2"/>
      <c r="EYU17" s="2"/>
      <c r="EYV17" s="2"/>
      <c r="EYW17" s="2"/>
      <c r="EYX17" s="2"/>
      <c r="EYY17" s="2"/>
      <c r="EYZ17" s="2"/>
      <c r="EZA17" s="2"/>
      <c r="EZB17" s="2"/>
      <c r="EZC17" s="2"/>
      <c r="EZD17" s="2"/>
      <c r="EZE17" s="2"/>
      <c r="EZF17" s="2"/>
      <c r="EZG17" s="2"/>
      <c r="EZH17" s="2"/>
      <c r="EZI17" s="2"/>
      <c r="EZJ17" s="2"/>
      <c r="EZK17" s="2"/>
      <c r="EZL17" s="2"/>
      <c r="EZM17" s="2"/>
      <c r="EZN17" s="2"/>
      <c r="EZO17" s="2"/>
      <c r="EZP17" s="2"/>
      <c r="EZQ17" s="2"/>
      <c r="EZR17" s="2"/>
      <c r="EZS17" s="2"/>
      <c r="EZT17" s="2"/>
      <c r="EZU17" s="2"/>
      <c r="EZV17" s="2"/>
      <c r="EZW17" s="2"/>
      <c r="EZX17" s="2"/>
      <c r="EZY17" s="2"/>
      <c r="EZZ17" s="2"/>
      <c r="FAA17" s="2"/>
      <c r="FAB17" s="2"/>
      <c r="FAC17" s="2"/>
      <c r="FAD17" s="2"/>
      <c r="FAE17" s="2"/>
      <c r="FAF17" s="2"/>
      <c r="FAG17" s="2"/>
      <c r="FAH17" s="2"/>
      <c r="FAI17" s="2"/>
      <c r="FAJ17" s="2"/>
      <c r="FAK17" s="2"/>
      <c r="FAL17" s="2"/>
      <c r="FAM17" s="2"/>
      <c r="FAN17" s="2"/>
      <c r="FAO17" s="2"/>
      <c r="FAP17" s="2"/>
      <c r="FAQ17" s="2"/>
      <c r="FAR17" s="2"/>
      <c r="FAS17" s="2"/>
      <c r="FAT17" s="2"/>
      <c r="FAU17" s="2"/>
      <c r="FAV17" s="2"/>
      <c r="FAW17" s="2"/>
      <c r="FAX17" s="2"/>
      <c r="FAY17" s="2"/>
      <c r="FAZ17" s="2"/>
      <c r="FBA17" s="2"/>
      <c r="FBB17" s="2"/>
      <c r="FBC17" s="2"/>
      <c r="FBD17" s="2"/>
      <c r="FBE17" s="2"/>
      <c r="FBF17" s="2"/>
      <c r="FBG17" s="2"/>
      <c r="FBH17" s="2"/>
      <c r="FBI17" s="2"/>
      <c r="FBJ17" s="2"/>
      <c r="FBK17" s="2"/>
      <c r="FBL17" s="2"/>
      <c r="FBM17" s="2"/>
      <c r="FBN17" s="2"/>
      <c r="FBO17" s="2"/>
      <c r="FBP17" s="2"/>
      <c r="FBQ17" s="2"/>
      <c r="FBR17" s="2"/>
      <c r="FBS17" s="2"/>
      <c r="FBT17" s="2"/>
      <c r="FBU17" s="2"/>
      <c r="FBV17" s="2"/>
      <c r="FBW17" s="2"/>
      <c r="FBX17" s="2"/>
      <c r="FBY17" s="2"/>
      <c r="FBZ17" s="2"/>
      <c r="FCA17" s="2"/>
      <c r="FCB17" s="2"/>
      <c r="FCC17" s="2"/>
      <c r="FCD17" s="2"/>
      <c r="FCE17" s="2"/>
      <c r="FCF17" s="2"/>
      <c r="FCG17" s="2"/>
      <c r="FCH17" s="2"/>
      <c r="FCI17" s="2"/>
      <c r="FCJ17" s="2"/>
      <c r="FCK17" s="2"/>
      <c r="FCL17" s="2"/>
      <c r="FCM17" s="2"/>
      <c r="FCN17" s="2"/>
      <c r="FCO17" s="2"/>
      <c r="FCP17" s="2"/>
      <c r="FCQ17" s="2"/>
      <c r="FCR17" s="2"/>
      <c r="FCS17" s="2"/>
      <c r="FCT17" s="2"/>
      <c r="FCU17" s="2"/>
      <c r="FCV17" s="2"/>
      <c r="FCW17" s="2"/>
      <c r="FCX17" s="2"/>
      <c r="FCY17" s="2"/>
      <c r="FCZ17" s="2"/>
      <c r="FDA17" s="2"/>
      <c r="FDB17" s="2"/>
      <c r="FDC17" s="2"/>
      <c r="FDD17" s="2"/>
      <c r="FDE17" s="2"/>
      <c r="FDF17" s="2"/>
      <c r="FDG17" s="2"/>
      <c r="FDH17" s="2"/>
      <c r="FDI17" s="2"/>
      <c r="FDJ17" s="2"/>
      <c r="FDK17" s="2"/>
      <c r="FDL17" s="2"/>
      <c r="FDM17" s="2"/>
      <c r="FDN17" s="2"/>
      <c r="FDO17" s="2"/>
      <c r="FDP17" s="2"/>
      <c r="FDQ17" s="2"/>
      <c r="FDR17" s="2"/>
      <c r="FDS17" s="2"/>
      <c r="FDT17" s="2"/>
      <c r="FDU17" s="2"/>
      <c r="FDV17" s="2"/>
      <c r="FDW17" s="2"/>
      <c r="FDX17" s="2"/>
      <c r="FDY17" s="2"/>
      <c r="FDZ17" s="2"/>
      <c r="FEA17" s="2"/>
      <c r="FEB17" s="2"/>
      <c r="FEC17" s="2"/>
      <c r="FED17" s="2"/>
      <c r="FEE17" s="2"/>
      <c r="FEF17" s="2"/>
      <c r="FEG17" s="2"/>
      <c r="FEH17" s="2"/>
      <c r="FEI17" s="2"/>
      <c r="FEJ17" s="2"/>
      <c r="FEK17" s="2"/>
      <c r="FEL17" s="2"/>
      <c r="FEM17" s="2"/>
      <c r="FEN17" s="2"/>
      <c r="FEO17" s="2"/>
      <c r="FEP17" s="2"/>
      <c r="FEQ17" s="2"/>
      <c r="FER17" s="2"/>
      <c r="FES17" s="2"/>
      <c r="FET17" s="2"/>
      <c r="FEU17" s="2"/>
      <c r="FEV17" s="2"/>
      <c r="FEW17" s="2"/>
      <c r="FEX17" s="2"/>
      <c r="FEY17" s="2"/>
      <c r="FEZ17" s="2"/>
      <c r="FFA17" s="2"/>
      <c r="FFB17" s="2"/>
      <c r="FFC17" s="2"/>
      <c r="FFD17" s="2"/>
      <c r="FFE17" s="2"/>
      <c r="FFF17" s="2"/>
      <c r="FFG17" s="2"/>
      <c r="FFH17" s="2"/>
      <c r="FFI17" s="2"/>
      <c r="FFJ17" s="2"/>
      <c r="FFK17" s="2"/>
      <c r="FFL17" s="2"/>
      <c r="FFM17" s="2"/>
      <c r="FFN17" s="2"/>
      <c r="FFO17" s="2"/>
      <c r="FFP17" s="2"/>
      <c r="FFQ17" s="2"/>
      <c r="FFR17" s="2"/>
      <c r="FFS17" s="2"/>
      <c r="FFT17" s="2"/>
      <c r="FFU17" s="2"/>
      <c r="FFV17" s="2"/>
      <c r="FFW17" s="2"/>
      <c r="FFX17" s="2"/>
      <c r="FFY17" s="2"/>
      <c r="FFZ17" s="2"/>
      <c r="FGA17" s="2"/>
      <c r="FGB17" s="2"/>
      <c r="FGC17" s="2"/>
      <c r="FGD17" s="2"/>
      <c r="FGE17" s="2"/>
      <c r="FGF17" s="2"/>
      <c r="FGG17" s="2"/>
      <c r="FGH17" s="2"/>
      <c r="FGI17" s="2"/>
      <c r="FGJ17" s="2"/>
      <c r="FGK17" s="2"/>
      <c r="FGL17" s="2"/>
      <c r="FGM17" s="2"/>
      <c r="FGN17" s="2"/>
      <c r="FGO17" s="2"/>
      <c r="FGP17" s="2"/>
      <c r="FGQ17" s="2"/>
      <c r="FGR17" s="2"/>
      <c r="FGS17" s="2"/>
      <c r="FGT17" s="2"/>
      <c r="FGU17" s="2"/>
      <c r="FGV17" s="2"/>
      <c r="FGW17" s="2"/>
      <c r="FGX17" s="2"/>
      <c r="FGY17" s="2"/>
      <c r="FGZ17" s="2"/>
      <c r="FHA17" s="2"/>
      <c r="FHB17" s="2"/>
      <c r="FHC17" s="2"/>
      <c r="FHD17" s="2"/>
      <c r="FHE17" s="2"/>
      <c r="FHF17" s="2"/>
      <c r="FHG17" s="2"/>
      <c r="FHH17" s="2"/>
      <c r="FHI17" s="2"/>
      <c r="FHJ17" s="2"/>
      <c r="FHK17" s="2"/>
      <c r="FHL17" s="2"/>
      <c r="FHM17" s="2"/>
      <c r="FHN17" s="2"/>
      <c r="FHO17" s="2"/>
      <c r="FHP17" s="2"/>
      <c r="FHQ17" s="2"/>
      <c r="FHR17" s="2"/>
      <c r="FHS17" s="2"/>
      <c r="FHT17" s="2"/>
      <c r="FHU17" s="2"/>
      <c r="FHV17" s="2"/>
      <c r="FHW17" s="2"/>
      <c r="FHX17" s="2"/>
      <c r="FHY17" s="2"/>
      <c r="FHZ17" s="2"/>
      <c r="FIA17" s="2"/>
      <c r="FIB17" s="2"/>
      <c r="FIC17" s="2"/>
      <c r="FID17" s="2"/>
      <c r="FIE17" s="2"/>
      <c r="FIF17" s="2"/>
      <c r="FIG17" s="2"/>
      <c r="FIH17" s="2"/>
      <c r="FII17" s="2"/>
      <c r="FIJ17" s="2"/>
      <c r="FIK17" s="2"/>
      <c r="FIL17" s="2"/>
      <c r="FIM17" s="2"/>
      <c r="FIN17" s="2"/>
      <c r="FIO17" s="2"/>
      <c r="FIP17" s="2"/>
      <c r="FIQ17" s="2"/>
      <c r="FIR17" s="2"/>
      <c r="FIS17" s="2"/>
      <c r="FIT17" s="2"/>
      <c r="FIU17" s="2"/>
      <c r="FIV17" s="2"/>
      <c r="FIW17" s="2"/>
      <c r="FIX17" s="2"/>
      <c r="FIY17" s="2"/>
      <c r="FIZ17" s="2"/>
      <c r="FJA17" s="2"/>
      <c r="FJB17" s="2"/>
      <c r="FJC17" s="2"/>
      <c r="FJD17" s="2"/>
      <c r="FJE17" s="2"/>
      <c r="FJF17" s="2"/>
      <c r="FJG17" s="2"/>
      <c r="FJH17" s="2"/>
      <c r="FJI17" s="2"/>
      <c r="FJJ17" s="2"/>
      <c r="FJK17" s="2"/>
      <c r="FJL17" s="2"/>
      <c r="FJM17" s="2"/>
      <c r="FJN17" s="2"/>
      <c r="FJO17" s="2"/>
      <c r="FJP17" s="2"/>
      <c r="FJQ17" s="2"/>
      <c r="FJR17" s="2"/>
      <c r="FJS17" s="2"/>
      <c r="FJT17" s="2"/>
      <c r="FJU17" s="2"/>
      <c r="FJV17" s="2"/>
      <c r="FJW17" s="2"/>
      <c r="FJX17" s="2"/>
      <c r="FJY17" s="2"/>
      <c r="FJZ17" s="2"/>
      <c r="FKA17" s="2"/>
      <c r="FKB17" s="2"/>
      <c r="FKC17" s="2"/>
      <c r="FKD17" s="2"/>
      <c r="FKE17" s="2"/>
      <c r="FKF17" s="2"/>
      <c r="FKG17" s="2"/>
      <c r="FKH17" s="2"/>
      <c r="FKI17" s="2"/>
      <c r="FKJ17" s="2"/>
      <c r="FKK17" s="2"/>
      <c r="FKL17" s="2"/>
      <c r="FKM17" s="2"/>
      <c r="FKN17" s="2"/>
      <c r="FKO17" s="2"/>
      <c r="FKP17" s="2"/>
      <c r="FKQ17" s="2"/>
      <c r="FKR17" s="2"/>
      <c r="FKS17" s="2"/>
      <c r="FKT17" s="2"/>
      <c r="FKU17" s="2"/>
      <c r="FKV17" s="2"/>
      <c r="FKW17" s="2"/>
      <c r="FKX17" s="2"/>
      <c r="FKY17" s="2"/>
      <c r="FKZ17" s="2"/>
      <c r="FLA17" s="2"/>
      <c r="FLB17" s="2"/>
      <c r="FLC17" s="2"/>
      <c r="FLD17" s="2"/>
      <c r="FLE17" s="2"/>
      <c r="FLF17" s="2"/>
      <c r="FLG17" s="2"/>
      <c r="FLH17" s="2"/>
      <c r="FLI17" s="2"/>
      <c r="FLJ17" s="2"/>
      <c r="FLK17" s="2"/>
      <c r="FLL17" s="2"/>
      <c r="FLM17" s="2"/>
      <c r="FLN17" s="2"/>
      <c r="FLO17" s="2"/>
      <c r="FLP17" s="2"/>
      <c r="FLQ17" s="2"/>
      <c r="FLR17" s="2"/>
      <c r="FLS17" s="2"/>
      <c r="FLT17" s="2"/>
      <c r="FLU17" s="2"/>
      <c r="FLV17" s="2"/>
      <c r="FLW17" s="2"/>
      <c r="FLX17" s="2"/>
      <c r="FLY17" s="2"/>
      <c r="FLZ17" s="2"/>
      <c r="FMA17" s="2"/>
      <c r="FMB17" s="2"/>
      <c r="FMC17" s="2"/>
      <c r="FMD17" s="2"/>
      <c r="FME17" s="2"/>
      <c r="FMF17" s="2"/>
      <c r="FMG17" s="2"/>
      <c r="FMH17" s="2"/>
      <c r="FMI17" s="2"/>
      <c r="FMJ17" s="2"/>
      <c r="FMK17" s="2"/>
      <c r="FML17" s="2"/>
      <c r="FMM17" s="2"/>
      <c r="FMN17" s="2"/>
      <c r="FMO17" s="2"/>
      <c r="FMP17" s="2"/>
      <c r="FMQ17" s="2"/>
      <c r="FMR17" s="2"/>
      <c r="FMS17" s="2"/>
      <c r="FMT17" s="2"/>
      <c r="FMU17" s="2"/>
      <c r="FMV17" s="2"/>
      <c r="FMW17" s="2"/>
      <c r="FMX17" s="2"/>
      <c r="FMY17" s="2"/>
      <c r="FMZ17" s="2"/>
      <c r="FNA17" s="2"/>
      <c r="FNB17" s="2"/>
      <c r="FNC17" s="2"/>
      <c r="FND17" s="2"/>
      <c r="FNE17" s="2"/>
      <c r="FNF17" s="2"/>
      <c r="FNG17" s="2"/>
      <c r="FNH17" s="2"/>
      <c r="FNI17" s="2"/>
      <c r="FNJ17" s="2"/>
      <c r="FNK17" s="2"/>
      <c r="FNL17" s="2"/>
      <c r="FNM17" s="2"/>
      <c r="FNN17" s="2"/>
      <c r="FNO17" s="2"/>
      <c r="FNP17" s="2"/>
      <c r="FNQ17" s="2"/>
      <c r="FNR17" s="2"/>
      <c r="FNS17" s="2"/>
      <c r="FNT17" s="2"/>
      <c r="FNU17" s="2"/>
      <c r="FNV17" s="2"/>
      <c r="FNW17" s="2"/>
      <c r="FNX17" s="2"/>
      <c r="FNY17" s="2"/>
      <c r="FNZ17" s="2"/>
      <c r="FOA17" s="2"/>
      <c r="FOB17" s="2"/>
      <c r="FOC17" s="2"/>
      <c r="FOD17" s="2"/>
      <c r="FOE17" s="2"/>
      <c r="FOF17" s="2"/>
      <c r="FOG17" s="2"/>
      <c r="FOH17" s="2"/>
      <c r="FOI17" s="2"/>
      <c r="FOJ17" s="2"/>
      <c r="FOK17" s="2"/>
      <c r="FOL17" s="2"/>
      <c r="FOM17" s="2"/>
      <c r="FON17" s="2"/>
      <c r="FOO17" s="2"/>
      <c r="FOP17" s="2"/>
      <c r="FOQ17" s="2"/>
      <c r="FOR17" s="2"/>
      <c r="FOS17" s="2"/>
      <c r="FOT17" s="2"/>
      <c r="FOU17" s="2"/>
      <c r="FOV17" s="2"/>
      <c r="FOW17" s="2"/>
      <c r="FOX17" s="2"/>
      <c r="FOY17" s="2"/>
      <c r="FOZ17" s="2"/>
      <c r="FPA17" s="2"/>
      <c r="FPB17" s="2"/>
      <c r="FPC17" s="2"/>
      <c r="FPD17" s="2"/>
      <c r="FPE17" s="2"/>
      <c r="FPF17" s="2"/>
      <c r="FPG17" s="2"/>
      <c r="FPH17" s="2"/>
      <c r="FPI17" s="2"/>
      <c r="FPJ17" s="2"/>
      <c r="FPK17" s="2"/>
      <c r="FPL17" s="2"/>
      <c r="FPM17" s="2"/>
      <c r="FPN17" s="2"/>
      <c r="FPO17" s="2"/>
      <c r="FPP17" s="2"/>
      <c r="FPQ17" s="2"/>
      <c r="FPR17" s="2"/>
      <c r="FPS17" s="2"/>
      <c r="FPT17" s="2"/>
      <c r="FPU17" s="2"/>
      <c r="FPV17" s="2"/>
      <c r="FPW17" s="2"/>
      <c r="FPX17" s="2"/>
      <c r="FPY17" s="2"/>
      <c r="FPZ17" s="2"/>
      <c r="FQA17" s="2"/>
      <c r="FQB17" s="2"/>
      <c r="FQC17" s="2"/>
      <c r="FQD17" s="2"/>
      <c r="FQE17" s="2"/>
      <c r="FQF17" s="2"/>
      <c r="FQG17" s="2"/>
      <c r="FQH17" s="2"/>
      <c r="FQI17" s="2"/>
      <c r="FQJ17" s="2"/>
      <c r="FQK17" s="2"/>
      <c r="FQL17" s="2"/>
      <c r="FQM17" s="2"/>
      <c r="FQN17" s="2"/>
      <c r="FQO17" s="2"/>
      <c r="FQP17" s="2"/>
      <c r="FQQ17" s="2"/>
      <c r="FQR17" s="2"/>
      <c r="FQS17" s="2"/>
      <c r="FQT17" s="2"/>
      <c r="FQU17" s="2"/>
      <c r="FQV17" s="2"/>
      <c r="FQW17" s="2"/>
      <c r="FQX17" s="2"/>
      <c r="FQY17" s="2"/>
      <c r="FQZ17" s="2"/>
      <c r="FRA17" s="2"/>
      <c r="FRB17" s="2"/>
      <c r="FRC17" s="2"/>
      <c r="FRD17" s="2"/>
      <c r="FRE17" s="2"/>
      <c r="FRF17" s="2"/>
      <c r="FRG17" s="2"/>
      <c r="FRH17" s="2"/>
      <c r="FRI17" s="2"/>
      <c r="FRJ17" s="2"/>
      <c r="FRK17" s="2"/>
      <c r="FRL17" s="2"/>
      <c r="FRM17" s="2"/>
      <c r="FRN17" s="2"/>
      <c r="FRO17" s="2"/>
      <c r="FRP17" s="2"/>
      <c r="FRQ17" s="2"/>
      <c r="FRR17" s="2"/>
      <c r="FRS17" s="2"/>
      <c r="FRT17" s="2"/>
      <c r="FRU17" s="2"/>
      <c r="FRV17" s="2"/>
      <c r="FRW17" s="2"/>
      <c r="FRX17" s="2"/>
      <c r="FRY17" s="2"/>
      <c r="FRZ17" s="2"/>
      <c r="FSA17" s="2"/>
      <c r="FSB17" s="2"/>
      <c r="FSC17" s="2"/>
      <c r="FSD17" s="2"/>
      <c r="FSE17" s="2"/>
      <c r="FSF17" s="2"/>
      <c r="FSG17" s="2"/>
      <c r="FSH17" s="2"/>
      <c r="FSI17" s="2"/>
      <c r="FSJ17" s="2"/>
      <c r="FSK17" s="2"/>
      <c r="FSL17" s="2"/>
      <c r="FSM17" s="2"/>
      <c r="FSN17" s="2"/>
      <c r="FSO17" s="2"/>
      <c r="FSP17" s="2"/>
      <c r="FSQ17" s="2"/>
      <c r="FSR17" s="2"/>
      <c r="FSS17" s="2"/>
      <c r="FST17" s="2"/>
      <c r="FSU17" s="2"/>
      <c r="FSV17" s="2"/>
      <c r="FSW17" s="2"/>
      <c r="FSX17" s="2"/>
      <c r="FSY17" s="2"/>
      <c r="FSZ17" s="2"/>
      <c r="FTA17" s="2"/>
      <c r="FTB17" s="2"/>
      <c r="FTC17" s="2"/>
      <c r="FTD17" s="2"/>
      <c r="FTE17" s="2"/>
      <c r="FTF17" s="2"/>
      <c r="FTG17" s="2"/>
      <c r="FTH17" s="2"/>
      <c r="FTI17" s="2"/>
      <c r="FTJ17" s="2"/>
      <c r="FTK17" s="2"/>
      <c r="FTL17" s="2"/>
      <c r="FTM17" s="2"/>
      <c r="FTN17" s="2"/>
      <c r="FTO17" s="2"/>
      <c r="FTP17" s="2"/>
      <c r="FTQ17" s="2"/>
      <c r="FTR17" s="2"/>
      <c r="FTS17" s="2"/>
      <c r="FTT17" s="2"/>
      <c r="FTU17" s="2"/>
      <c r="FTV17" s="2"/>
      <c r="FTW17" s="2"/>
      <c r="FTX17" s="2"/>
      <c r="FTY17" s="2"/>
      <c r="FTZ17" s="2"/>
      <c r="FUA17" s="2"/>
      <c r="FUB17" s="2"/>
      <c r="FUC17" s="2"/>
      <c r="FUD17" s="2"/>
      <c r="FUE17" s="2"/>
      <c r="FUF17" s="2"/>
      <c r="FUG17" s="2"/>
      <c r="FUH17" s="2"/>
      <c r="FUI17" s="2"/>
      <c r="FUJ17" s="2"/>
      <c r="FUK17" s="2"/>
      <c r="FUL17" s="2"/>
      <c r="FUM17" s="2"/>
      <c r="FUN17" s="2"/>
      <c r="FUO17" s="2"/>
      <c r="FUP17" s="2"/>
      <c r="FUQ17" s="2"/>
      <c r="FUR17" s="2"/>
      <c r="FUS17" s="2"/>
      <c r="FUT17" s="2"/>
      <c r="FUU17" s="2"/>
      <c r="FUV17" s="2"/>
      <c r="FUW17" s="2"/>
      <c r="FUX17" s="2"/>
      <c r="FUY17" s="2"/>
      <c r="FUZ17" s="2"/>
      <c r="FVA17" s="2"/>
      <c r="FVB17" s="2"/>
      <c r="FVC17" s="2"/>
      <c r="FVD17" s="2"/>
      <c r="FVE17" s="2"/>
      <c r="FVF17" s="2"/>
      <c r="FVG17" s="2"/>
      <c r="FVH17" s="2"/>
      <c r="FVI17" s="2"/>
      <c r="FVJ17" s="2"/>
      <c r="FVK17" s="2"/>
      <c r="FVL17" s="2"/>
      <c r="FVM17" s="2"/>
      <c r="FVN17" s="2"/>
      <c r="FVO17" s="2"/>
      <c r="FVP17" s="2"/>
      <c r="FVQ17" s="2"/>
      <c r="FVR17" s="2"/>
      <c r="FVS17" s="2"/>
      <c r="FVT17" s="2"/>
      <c r="FVU17" s="2"/>
      <c r="FVV17" s="2"/>
      <c r="FVW17" s="2"/>
      <c r="FVX17" s="2"/>
      <c r="FVY17" s="2"/>
      <c r="FVZ17" s="2"/>
      <c r="FWA17" s="2"/>
      <c r="FWB17" s="2"/>
      <c r="FWC17" s="2"/>
      <c r="FWD17" s="2"/>
      <c r="FWE17" s="2"/>
      <c r="FWF17" s="2"/>
      <c r="FWG17" s="2"/>
      <c r="FWH17" s="2"/>
      <c r="FWI17" s="2"/>
      <c r="FWJ17" s="2"/>
      <c r="FWK17" s="2"/>
      <c r="FWL17" s="2"/>
      <c r="FWM17" s="2"/>
      <c r="FWN17" s="2"/>
      <c r="FWO17" s="2"/>
      <c r="FWP17" s="2"/>
      <c r="FWQ17" s="2"/>
      <c r="FWR17" s="2"/>
      <c r="FWS17" s="2"/>
      <c r="FWT17" s="2"/>
      <c r="FWU17" s="2"/>
      <c r="FWV17" s="2"/>
      <c r="FWW17" s="2"/>
      <c r="FWX17" s="2"/>
      <c r="FWY17" s="2"/>
      <c r="FWZ17" s="2"/>
      <c r="FXA17" s="2"/>
      <c r="FXB17" s="2"/>
      <c r="FXC17" s="2"/>
      <c r="FXD17" s="2"/>
      <c r="FXE17" s="2"/>
      <c r="FXF17" s="2"/>
      <c r="FXG17" s="2"/>
      <c r="FXH17" s="2"/>
      <c r="FXI17" s="2"/>
      <c r="FXJ17" s="2"/>
      <c r="FXK17" s="2"/>
      <c r="FXL17" s="2"/>
      <c r="FXM17" s="2"/>
      <c r="FXN17" s="2"/>
      <c r="FXO17" s="2"/>
      <c r="FXP17" s="2"/>
      <c r="FXQ17" s="2"/>
      <c r="FXR17" s="2"/>
      <c r="FXS17" s="2"/>
      <c r="FXT17" s="2"/>
      <c r="FXU17" s="2"/>
      <c r="FXV17" s="2"/>
      <c r="FXW17" s="2"/>
      <c r="FXX17" s="2"/>
      <c r="FXY17" s="2"/>
      <c r="FXZ17" s="2"/>
      <c r="FYA17" s="2"/>
      <c r="FYB17" s="2"/>
      <c r="FYC17" s="2"/>
      <c r="FYD17" s="2"/>
      <c r="FYE17" s="2"/>
      <c r="FYF17" s="2"/>
      <c r="FYG17" s="2"/>
      <c r="FYH17" s="2"/>
      <c r="FYI17" s="2"/>
      <c r="FYJ17" s="2"/>
      <c r="FYK17" s="2"/>
      <c r="FYL17" s="2"/>
      <c r="FYM17" s="2"/>
      <c r="FYN17" s="2"/>
      <c r="FYO17" s="2"/>
      <c r="FYP17" s="2"/>
      <c r="FYQ17" s="2"/>
      <c r="FYR17" s="2"/>
      <c r="FYS17" s="2"/>
      <c r="FYT17" s="2"/>
      <c r="FYU17" s="2"/>
      <c r="FYV17" s="2"/>
      <c r="FYW17" s="2"/>
      <c r="FYX17" s="2"/>
      <c r="FYY17" s="2"/>
      <c r="FYZ17" s="2"/>
      <c r="FZA17" s="2"/>
      <c r="FZB17" s="2"/>
      <c r="FZC17" s="2"/>
      <c r="FZD17" s="2"/>
      <c r="FZE17" s="2"/>
      <c r="FZF17" s="2"/>
      <c r="FZG17" s="2"/>
      <c r="FZH17" s="2"/>
      <c r="FZI17" s="2"/>
      <c r="FZJ17" s="2"/>
      <c r="FZK17" s="2"/>
      <c r="FZL17" s="2"/>
      <c r="FZM17" s="2"/>
      <c r="FZN17" s="2"/>
      <c r="FZO17" s="2"/>
      <c r="FZP17" s="2"/>
      <c r="FZQ17" s="2"/>
      <c r="FZR17" s="2"/>
      <c r="FZS17" s="2"/>
      <c r="FZT17" s="2"/>
      <c r="FZU17" s="2"/>
      <c r="FZV17" s="2"/>
      <c r="FZW17" s="2"/>
      <c r="FZX17" s="2"/>
      <c r="FZY17" s="2"/>
      <c r="FZZ17" s="2"/>
      <c r="GAA17" s="2"/>
      <c r="GAB17" s="2"/>
      <c r="GAC17" s="2"/>
      <c r="GAD17" s="2"/>
      <c r="GAE17" s="2"/>
      <c r="GAF17" s="2"/>
      <c r="GAG17" s="2"/>
      <c r="GAH17" s="2"/>
      <c r="GAI17" s="2"/>
      <c r="GAJ17" s="2"/>
      <c r="GAK17" s="2"/>
      <c r="GAL17" s="2"/>
      <c r="GAM17" s="2"/>
      <c r="GAN17" s="2"/>
      <c r="GAO17" s="2"/>
      <c r="GAP17" s="2"/>
      <c r="GAQ17" s="2"/>
      <c r="GAR17" s="2"/>
      <c r="GAS17" s="2"/>
      <c r="GAT17" s="2"/>
      <c r="GAU17" s="2"/>
      <c r="GAV17" s="2"/>
      <c r="GAW17" s="2"/>
      <c r="GAX17" s="2"/>
      <c r="GAY17" s="2"/>
      <c r="GAZ17" s="2"/>
      <c r="GBA17" s="2"/>
      <c r="GBB17" s="2"/>
      <c r="GBC17" s="2"/>
      <c r="GBD17" s="2"/>
      <c r="GBE17" s="2"/>
      <c r="GBF17" s="2"/>
      <c r="GBG17" s="2"/>
      <c r="GBH17" s="2"/>
      <c r="GBI17" s="2"/>
      <c r="GBJ17" s="2"/>
      <c r="GBK17" s="2"/>
      <c r="GBL17" s="2"/>
      <c r="GBM17" s="2"/>
      <c r="GBN17" s="2"/>
      <c r="GBO17" s="2"/>
      <c r="GBP17" s="2"/>
      <c r="GBQ17" s="2"/>
      <c r="GBR17" s="2"/>
      <c r="GBS17" s="2"/>
      <c r="GBT17" s="2"/>
      <c r="GBU17" s="2"/>
      <c r="GBV17" s="2"/>
      <c r="GBW17" s="2"/>
      <c r="GBX17" s="2"/>
      <c r="GBY17" s="2"/>
      <c r="GBZ17" s="2"/>
      <c r="GCA17" s="2"/>
      <c r="GCB17" s="2"/>
      <c r="GCC17" s="2"/>
      <c r="GCD17" s="2"/>
      <c r="GCE17" s="2"/>
      <c r="GCF17" s="2"/>
      <c r="GCG17" s="2"/>
      <c r="GCH17" s="2"/>
      <c r="GCI17" s="2"/>
      <c r="GCJ17" s="2"/>
      <c r="GCK17" s="2"/>
      <c r="GCL17" s="2"/>
      <c r="GCM17" s="2"/>
      <c r="GCN17" s="2"/>
      <c r="GCO17" s="2"/>
      <c r="GCP17" s="2"/>
      <c r="GCQ17" s="2"/>
      <c r="GCR17" s="2"/>
      <c r="GCS17" s="2"/>
      <c r="GCT17" s="2"/>
      <c r="GCU17" s="2"/>
      <c r="GCV17" s="2"/>
      <c r="GCW17" s="2"/>
      <c r="GCX17" s="2"/>
      <c r="GCY17" s="2"/>
      <c r="GCZ17" s="2"/>
      <c r="GDA17" s="2"/>
      <c r="GDB17" s="2"/>
      <c r="GDC17" s="2"/>
      <c r="GDD17" s="2"/>
      <c r="GDE17" s="2"/>
      <c r="GDF17" s="2"/>
      <c r="GDG17" s="2"/>
      <c r="GDH17" s="2"/>
      <c r="GDI17" s="2"/>
      <c r="GDJ17" s="2"/>
      <c r="GDK17" s="2"/>
      <c r="GDL17" s="2"/>
      <c r="GDM17" s="2"/>
      <c r="GDN17" s="2"/>
      <c r="GDO17" s="2"/>
      <c r="GDP17" s="2"/>
      <c r="GDQ17" s="2"/>
      <c r="GDR17" s="2"/>
      <c r="GDS17" s="2"/>
      <c r="GDT17" s="2"/>
      <c r="GDU17" s="2"/>
      <c r="GDV17" s="2"/>
      <c r="GDW17" s="2"/>
      <c r="GDX17" s="2"/>
      <c r="GDY17" s="2"/>
      <c r="GDZ17" s="2"/>
      <c r="GEA17" s="2"/>
      <c r="GEB17" s="2"/>
      <c r="GEC17" s="2"/>
      <c r="GED17" s="2"/>
      <c r="GEE17" s="2"/>
      <c r="GEF17" s="2"/>
      <c r="GEG17" s="2"/>
      <c r="GEH17" s="2"/>
      <c r="GEI17" s="2"/>
      <c r="GEJ17" s="2"/>
      <c r="GEK17" s="2"/>
      <c r="GEL17" s="2"/>
      <c r="GEM17" s="2"/>
      <c r="GEN17" s="2"/>
      <c r="GEO17" s="2"/>
      <c r="GEP17" s="2"/>
      <c r="GEQ17" s="2"/>
      <c r="GER17" s="2"/>
      <c r="GES17" s="2"/>
      <c r="GET17" s="2"/>
      <c r="GEU17" s="2"/>
      <c r="GEV17" s="2"/>
      <c r="GEW17" s="2"/>
      <c r="GEX17" s="2"/>
      <c r="GEY17" s="2"/>
      <c r="GEZ17" s="2"/>
      <c r="GFA17" s="2"/>
      <c r="GFB17" s="2"/>
      <c r="GFC17" s="2"/>
      <c r="GFD17" s="2"/>
      <c r="GFE17" s="2"/>
      <c r="GFF17" s="2"/>
      <c r="GFG17" s="2"/>
      <c r="GFH17" s="2"/>
      <c r="GFI17" s="2"/>
      <c r="GFJ17" s="2"/>
      <c r="GFK17" s="2"/>
      <c r="GFL17" s="2"/>
      <c r="GFM17" s="2"/>
      <c r="GFN17" s="2"/>
      <c r="GFO17" s="2"/>
      <c r="GFP17" s="2"/>
      <c r="GFQ17" s="2"/>
      <c r="GFR17" s="2"/>
      <c r="GFS17" s="2"/>
      <c r="GFT17" s="2"/>
      <c r="GFU17" s="2"/>
      <c r="GFV17" s="2"/>
      <c r="GFW17" s="2"/>
      <c r="GFX17" s="2"/>
      <c r="GFY17" s="2"/>
      <c r="GFZ17" s="2"/>
      <c r="GGA17" s="2"/>
      <c r="GGB17" s="2"/>
      <c r="GGC17" s="2"/>
      <c r="GGD17" s="2"/>
      <c r="GGE17" s="2"/>
      <c r="GGF17" s="2"/>
      <c r="GGG17" s="2"/>
      <c r="GGH17" s="2"/>
      <c r="GGI17" s="2"/>
      <c r="GGJ17" s="2"/>
      <c r="GGK17" s="2"/>
      <c r="GGL17" s="2"/>
      <c r="GGM17" s="2"/>
      <c r="GGN17" s="2"/>
      <c r="GGO17" s="2"/>
      <c r="GGP17" s="2"/>
      <c r="GGQ17" s="2"/>
      <c r="GGR17" s="2"/>
      <c r="GGS17" s="2"/>
      <c r="GGT17" s="2"/>
      <c r="GGU17" s="2"/>
      <c r="GGV17" s="2"/>
      <c r="GGW17" s="2"/>
      <c r="GGX17" s="2"/>
      <c r="GGY17" s="2"/>
      <c r="GGZ17" s="2"/>
      <c r="GHA17" s="2"/>
      <c r="GHB17" s="2"/>
      <c r="GHC17" s="2"/>
      <c r="GHD17" s="2"/>
      <c r="GHE17" s="2"/>
      <c r="GHF17" s="2"/>
      <c r="GHG17" s="2"/>
      <c r="GHH17" s="2"/>
      <c r="GHI17" s="2"/>
      <c r="GHJ17" s="2"/>
      <c r="GHK17" s="2"/>
      <c r="GHL17" s="2"/>
      <c r="GHM17" s="2"/>
      <c r="GHN17" s="2"/>
      <c r="GHO17" s="2"/>
      <c r="GHP17" s="2"/>
      <c r="GHQ17" s="2"/>
      <c r="GHR17" s="2"/>
      <c r="GHS17" s="2"/>
      <c r="GHT17" s="2"/>
      <c r="GHU17" s="2"/>
      <c r="GHV17" s="2"/>
      <c r="GHW17" s="2"/>
      <c r="GHX17" s="2"/>
      <c r="GHY17" s="2"/>
      <c r="GHZ17" s="2"/>
      <c r="GIA17" s="2"/>
      <c r="GIB17" s="2"/>
      <c r="GIC17" s="2"/>
      <c r="GID17" s="2"/>
      <c r="GIE17" s="2"/>
      <c r="GIF17" s="2"/>
      <c r="GIG17" s="2"/>
      <c r="GIH17" s="2"/>
      <c r="GII17" s="2"/>
      <c r="GIJ17" s="2"/>
      <c r="GIK17" s="2"/>
      <c r="GIL17" s="2"/>
      <c r="GIM17" s="2"/>
      <c r="GIN17" s="2"/>
      <c r="GIO17" s="2"/>
      <c r="GIP17" s="2"/>
      <c r="GIQ17" s="2"/>
      <c r="GIR17" s="2"/>
      <c r="GIS17" s="2"/>
      <c r="GIT17" s="2"/>
      <c r="GIU17" s="2"/>
      <c r="GIV17" s="2"/>
      <c r="GIW17" s="2"/>
      <c r="GIX17" s="2"/>
      <c r="GIY17" s="2"/>
      <c r="GIZ17" s="2"/>
      <c r="GJA17" s="2"/>
      <c r="GJB17" s="2"/>
      <c r="GJC17" s="2"/>
      <c r="GJD17" s="2"/>
      <c r="GJE17" s="2"/>
      <c r="GJF17" s="2"/>
      <c r="GJG17" s="2"/>
      <c r="GJH17" s="2"/>
      <c r="GJI17" s="2"/>
      <c r="GJJ17" s="2"/>
      <c r="GJK17" s="2"/>
      <c r="GJL17" s="2"/>
      <c r="GJM17" s="2"/>
      <c r="GJN17" s="2"/>
      <c r="GJO17" s="2"/>
      <c r="GJP17" s="2"/>
      <c r="GJQ17" s="2"/>
      <c r="GJR17" s="2"/>
      <c r="GJS17" s="2"/>
      <c r="GJT17" s="2"/>
      <c r="GJU17" s="2"/>
      <c r="GJV17" s="2"/>
      <c r="GJW17" s="2"/>
      <c r="GJX17" s="2"/>
      <c r="GJY17" s="2"/>
      <c r="GJZ17" s="2"/>
      <c r="GKA17" s="2"/>
      <c r="GKB17" s="2"/>
      <c r="GKC17" s="2"/>
      <c r="GKD17" s="2"/>
      <c r="GKE17" s="2"/>
      <c r="GKF17" s="2"/>
      <c r="GKG17" s="2"/>
      <c r="GKH17" s="2"/>
      <c r="GKI17" s="2"/>
      <c r="GKJ17" s="2"/>
      <c r="GKK17" s="2"/>
      <c r="GKL17" s="2"/>
      <c r="GKM17" s="2"/>
      <c r="GKN17" s="2"/>
      <c r="GKO17" s="2"/>
      <c r="GKP17" s="2"/>
      <c r="GKQ17" s="2"/>
      <c r="GKR17" s="2"/>
      <c r="GKS17" s="2"/>
      <c r="GKT17" s="2"/>
      <c r="GKU17" s="2"/>
      <c r="GKV17" s="2"/>
      <c r="GKW17" s="2"/>
      <c r="GKX17" s="2"/>
      <c r="GKY17" s="2"/>
      <c r="GKZ17" s="2"/>
      <c r="GLA17" s="2"/>
      <c r="GLB17" s="2"/>
      <c r="GLC17" s="2"/>
      <c r="GLD17" s="2"/>
      <c r="GLE17" s="2"/>
      <c r="GLF17" s="2"/>
      <c r="GLG17" s="2"/>
      <c r="GLH17" s="2"/>
      <c r="GLI17" s="2"/>
      <c r="GLJ17" s="2"/>
      <c r="GLK17" s="2"/>
      <c r="GLL17" s="2"/>
      <c r="GLM17" s="2"/>
      <c r="GLN17" s="2"/>
      <c r="GLO17" s="2"/>
      <c r="GLP17" s="2"/>
      <c r="GLQ17" s="2"/>
      <c r="GLR17" s="2"/>
      <c r="GLS17" s="2"/>
      <c r="GLT17" s="2"/>
      <c r="GLU17" s="2"/>
      <c r="GLV17" s="2"/>
      <c r="GLW17" s="2"/>
      <c r="GLX17" s="2"/>
      <c r="GLY17" s="2"/>
      <c r="GLZ17" s="2"/>
      <c r="GMA17" s="2"/>
      <c r="GMB17" s="2"/>
      <c r="GMC17" s="2"/>
      <c r="GMD17" s="2"/>
      <c r="GME17" s="2"/>
      <c r="GMF17" s="2"/>
      <c r="GMG17" s="2"/>
      <c r="GMH17" s="2"/>
      <c r="GMI17" s="2"/>
      <c r="GMJ17" s="2"/>
      <c r="GMK17" s="2"/>
      <c r="GML17" s="2"/>
      <c r="GMM17" s="2"/>
      <c r="GMN17" s="2"/>
      <c r="GMO17" s="2"/>
      <c r="GMP17" s="2"/>
      <c r="GMQ17" s="2"/>
      <c r="GMR17" s="2"/>
      <c r="GMS17" s="2"/>
      <c r="GMT17" s="2"/>
      <c r="GMU17" s="2"/>
      <c r="GMV17" s="2"/>
      <c r="GMW17" s="2"/>
      <c r="GMX17" s="2"/>
      <c r="GMY17" s="2"/>
      <c r="GMZ17" s="2"/>
      <c r="GNA17" s="2"/>
      <c r="GNB17" s="2"/>
      <c r="GNC17" s="2"/>
      <c r="GND17" s="2"/>
      <c r="GNE17" s="2"/>
      <c r="GNF17" s="2"/>
      <c r="GNG17" s="2"/>
      <c r="GNH17" s="2"/>
      <c r="GNI17" s="2"/>
      <c r="GNJ17" s="2"/>
      <c r="GNK17" s="2"/>
      <c r="GNL17" s="2"/>
      <c r="GNM17" s="2"/>
      <c r="GNN17" s="2"/>
      <c r="GNO17" s="2"/>
      <c r="GNP17" s="2"/>
      <c r="GNQ17" s="2"/>
      <c r="GNR17" s="2"/>
      <c r="GNS17" s="2"/>
      <c r="GNT17" s="2"/>
      <c r="GNU17" s="2"/>
      <c r="GNV17" s="2"/>
      <c r="GNW17" s="2"/>
      <c r="GNX17" s="2"/>
      <c r="GNY17" s="2"/>
      <c r="GNZ17" s="2"/>
      <c r="GOA17" s="2"/>
      <c r="GOB17" s="2"/>
      <c r="GOC17" s="2"/>
      <c r="GOD17" s="2"/>
      <c r="GOE17" s="2"/>
      <c r="GOF17" s="2"/>
      <c r="GOG17" s="2"/>
      <c r="GOH17" s="2"/>
      <c r="GOI17" s="2"/>
      <c r="GOJ17" s="2"/>
      <c r="GOK17" s="2"/>
      <c r="GOL17" s="2"/>
      <c r="GOM17" s="2"/>
      <c r="GON17" s="2"/>
      <c r="GOO17" s="2"/>
      <c r="GOP17" s="2"/>
      <c r="GOQ17" s="2"/>
      <c r="GOR17" s="2"/>
      <c r="GOS17" s="2"/>
      <c r="GOT17" s="2"/>
      <c r="GOU17" s="2"/>
      <c r="GOV17" s="2"/>
      <c r="GOW17" s="2"/>
      <c r="GOX17" s="2"/>
      <c r="GOY17" s="2"/>
      <c r="GOZ17" s="2"/>
      <c r="GPA17" s="2"/>
      <c r="GPB17" s="2"/>
      <c r="GPC17" s="2"/>
      <c r="GPD17" s="2"/>
      <c r="GPE17" s="2"/>
      <c r="GPF17" s="2"/>
      <c r="GPG17" s="2"/>
      <c r="GPH17" s="2"/>
      <c r="GPI17" s="2"/>
      <c r="GPJ17" s="2"/>
      <c r="GPK17" s="2"/>
      <c r="GPL17" s="2"/>
      <c r="GPM17" s="2"/>
      <c r="GPN17" s="2"/>
      <c r="GPO17" s="2"/>
      <c r="GPP17" s="2"/>
      <c r="GPQ17" s="2"/>
      <c r="GPR17" s="2"/>
      <c r="GPS17" s="2"/>
      <c r="GPT17" s="2"/>
      <c r="GPU17" s="2"/>
      <c r="GPV17" s="2"/>
      <c r="GPW17" s="2"/>
      <c r="GPX17" s="2"/>
      <c r="GPY17" s="2"/>
      <c r="GPZ17" s="2"/>
      <c r="GQA17" s="2"/>
      <c r="GQB17" s="2"/>
      <c r="GQC17" s="2"/>
      <c r="GQD17" s="2"/>
      <c r="GQE17" s="2"/>
      <c r="GQF17" s="2"/>
      <c r="GQG17" s="2"/>
      <c r="GQH17" s="2"/>
      <c r="GQI17" s="2"/>
      <c r="GQJ17" s="2"/>
      <c r="GQK17" s="2"/>
      <c r="GQL17" s="2"/>
      <c r="GQM17" s="2"/>
      <c r="GQN17" s="2"/>
      <c r="GQO17" s="2"/>
      <c r="GQP17" s="2"/>
      <c r="GQQ17" s="2"/>
      <c r="GQR17" s="2"/>
      <c r="GQS17" s="2"/>
      <c r="GQT17" s="2"/>
      <c r="GQU17" s="2"/>
      <c r="GQV17" s="2"/>
      <c r="GQW17" s="2"/>
      <c r="GQX17" s="2"/>
      <c r="GQY17" s="2"/>
      <c r="GQZ17" s="2"/>
      <c r="GRA17" s="2"/>
      <c r="GRB17" s="2"/>
      <c r="GRC17" s="2"/>
      <c r="GRD17" s="2"/>
      <c r="GRE17" s="2"/>
      <c r="GRF17" s="2"/>
      <c r="GRG17" s="2"/>
      <c r="GRH17" s="2"/>
      <c r="GRI17" s="2"/>
      <c r="GRJ17" s="2"/>
      <c r="GRK17" s="2"/>
      <c r="GRL17" s="2"/>
      <c r="GRM17" s="2"/>
      <c r="GRN17" s="2"/>
      <c r="GRO17" s="2"/>
      <c r="GRP17" s="2"/>
      <c r="GRQ17" s="2"/>
      <c r="GRR17" s="2"/>
      <c r="GRS17" s="2"/>
      <c r="GRT17" s="2"/>
      <c r="GRU17" s="2"/>
      <c r="GRV17" s="2"/>
      <c r="GRW17" s="2"/>
      <c r="GRX17" s="2"/>
      <c r="GRY17" s="2"/>
      <c r="GRZ17" s="2"/>
      <c r="GSA17" s="2"/>
      <c r="GSB17" s="2"/>
      <c r="GSC17" s="2"/>
      <c r="GSD17" s="2"/>
      <c r="GSE17" s="2"/>
      <c r="GSF17" s="2"/>
      <c r="GSG17" s="2"/>
      <c r="GSH17" s="2"/>
      <c r="GSI17" s="2"/>
      <c r="GSJ17" s="2"/>
      <c r="GSK17" s="2"/>
      <c r="GSL17" s="2"/>
      <c r="GSM17" s="2"/>
      <c r="GSN17" s="2"/>
      <c r="GSO17" s="2"/>
      <c r="GSP17" s="2"/>
      <c r="GSQ17" s="2"/>
      <c r="GSR17" s="2"/>
      <c r="GSS17" s="2"/>
      <c r="GST17" s="2"/>
      <c r="GSU17" s="2"/>
      <c r="GSV17" s="2"/>
      <c r="GSW17" s="2"/>
      <c r="GSX17" s="2"/>
      <c r="GSY17" s="2"/>
      <c r="GSZ17" s="2"/>
      <c r="GTA17" s="2"/>
      <c r="GTB17" s="2"/>
      <c r="GTC17" s="2"/>
      <c r="GTD17" s="2"/>
      <c r="GTE17" s="2"/>
      <c r="GTF17" s="2"/>
      <c r="GTG17" s="2"/>
      <c r="GTH17" s="2"/>
      <c r="GTI17" s="2"/>
      <c r="GTJ17" s="2"/>
      <c r="GTK17" s="2"/>
      <c r="GTL17" s="2"/>
      <c r="GTM17" s="2"/>
      <c r="GTN17" s="2"/>
      <c r="GTO17" s="2"/>
      <c r="GTP17" s="2"/>
      <c r="GTQ17" s="2"/>
      <c r="GTR17" s="2"/>
      <c r="GTS17" s="2"/>
      <c r="GTT17" s="2"/>
      <c r="GTU17" s="2"/>
      <c r="GTV17" s="2"/>
      <c r="GTW17" s="2"/>
      <c r="GTX17" s="2"/>
      <c r="GTY17" s="2"/>
      <c r="GTZ17" s="2"/>
      <c r="GUA17" s="2"/>
      <c r="GUB17" s="2"/>
      <c r="GUC17" s="2"/>
      <c r="GUD17" s="2"/>
      <c r="GUE17" s="2"/>
      <c r="GUF17" s="2"/>
      <c r="GUG17" s="2"/>
      <c r="GUH17" s="2"/>
      <c r="GUI17" s="2"/>
      <c r="GUJ17" s="2"/>
      <c r="GUK17" s="2"/>
      <c r="GUL17" s="2"/>
      <c r="GUM17" s="2"/>
      <c r="GUN17" s="2"/>
      <c r="GUO17" s="2"/>
      <c r="GUP17" s="2"/>
      <c r="GUQ17" s="2"/>
      <c r="GUR17" s="2"/>
      <c r="GUS17" s="2"/>
      <c r="GUT17" s="2"/>
      <c r="GUU17" s="2"/>
      <c r="GUV17" s="2"/>
      <c r="GUW17" s="2"/>
      <c r="GUX17" s="2"/>
      <c r="GUY17" s="2"/>
      <c r="GUZ17" s="2"/>
      <c r="GVA17" s="2"/>
      <c r="GVB17" s="2"/>
      <c r="GVC17" s="2"/>
      <c r="GVD17" s="2"/>
      <c r="GVE17" s="2"/>
      <c r="GVF17" s="2"/>
      <c r="GVG17" s="2"/>
      <c r="GVH17" s="2"/>
      <c r="GVI17" s="2"/>
      <c r="GVJ17" s="2"/>
      <c r="GVK17" s="2"/>
      <c r="GVL17" s="2"/>
      <c r="GVM17" s="2"/>
      <c r="GVN17" s="2"/>
      <c r="GVO17" s="2"/>
      <c r="GVP17" s="2"/>
      <c r="GVQ17" s="2"/>
      <c r="GVR17" s="2"/>
      <c r="GVS17" s="2"/>
      <c r="GVT17" s="2"/>
      <c r="GVU17" s="2"/>
      <c r="GVV17" s="2"/>
      <c r="GVW17" s="2"/>
      <c r="GVX17" s="2"/>
      <c r="GVY17" s="2"/>
      <c r="GVZ17" s="2"/>
      <c r="GWA17" s="2"/>
      <c r="GWB17" s="2"/>
      <c r="GWC17" s="2"/>
      <c r="GWD17" s="2"/>
      <c r="GWE17" s="2"/>
      <c r="GWF17" s="2"/>
      <c r="GWG17" s="2"/>
      <c r="GWH17" s="2"/>
      <c r="GWI17" s="2"/>
      <c r="GWJ17" s="2"/>
      <c r="GWK17" s="2"/>
      <c r="GWL17" s="2"/>
      <c r="GWM17" s="2"/>
      <c r="GWN17" s="2"/>
      <c r="GWO17" s="2"/>
      <c r="GWP17" s="2"/>
      <c r="GWQ17" s="2"/>
      <c r="GWR17" s="2"/>
      <c r="GWS17" s="2"/>
      <c r="GWT17" s="2"/>
      <c r="GWU17" s="2"/>
      <c r="GWV17" s="2"/>
      <c r="GWW17" s="2"/>
      <c r="GWX17" s="2"/>
      <c r="GWY17" s="2"/>
      <c r="GWZ17" s="2"/>
      <c r="GXA17" s="2"/>
      <c r="GXB17" s="2"/>
      <c r="GXC17" s="2"/>
      <c r="GXD17" s="2"/>
      <c r="GXE17" s="2"/>
      <c r="GXF17" s="2"/>
      <c r="GXG17" s="2"/>
      <c r="GXH17" s="2"/>
      <c r="GXI17" s="2"/>
      <c r="GXJ17" s="2"/>
      <c r="GXK17" s="2"/>
      <c r="GXL17" s="2"/>
      <c r="GXM17" s="2"/>
      <c r="GXN17" s="2"/>
      <c r="GXO17" s="2"/>
      <c r="GXP17" s="2"/>
      <c r="GXQ17" s="2"/>
      <c r="GXR17" s="2"/>
      <c r="GXS17" s="2"/>
      <c r="GXT17" s="2"/>
      <c r="GXU17" s="2"/>
      <c r="GXV17" s="2"/>
      <c r="GXW17" s="2"/>
      <c r="GXX17" s="2"/>
      <c r="GXY17" s="2"/>
      <c r="GXZ17" s="2"/>
      <c r="GYA17" s="2"/>
      <c r="GYB17" s="2"/>
      <c r="GYC17" s="2"/>
      <c r="GYD17" s="2"/>
      <c r="GYE17" s="2"/>
      <c r="GYF17" s="2"/>
      <c r="GYG17" s="2"/>
      <c r="GYH17" s="2"/>
      <c r="GYI17" s="2"/>
      <c r="GYJ17" s="2"/>
      <c r="GYK17" s="2"/>
      <c r="GYL17" s="2"/>
      <c r="GYM17" s="2"/>
      <c r="GYN17" s="2"/>
      <c r="GYO17" s="2"/>
      <c r="GYP17" s="2"/>
      <c r="GYQ17" s="2"/>
      <c r="GYR17" s="2"/>
      <c r="GYS17" s="2"/>
      <c r="GYT17" s="2"/>
      <c r="GYU17" s="2"/>
      <c r="GYV17" s="2"/>
      <c r="GYW17" s="2"/>
      <c r="GYX17" s="2"/>
      <c r="GYY17" s="2"/>
      <c r="GYZ17" s="2"/>
      <c r="GZA17" s="2"/>
      <c r="GZB17" s="2"/>
      <c r="GZC17" s="2"/>
      <c r="GZD17" s="2"/>
      <c r="GZE17" s="2"/>
      <c r="GZF17" s="2"/>
      <c r="GZG17" s="2"/>
      <c r="GZH17" s="2"/>
      <c r="GZI17" s="2"/>
      <c r="GZJ17" s="2"/>
      <c r="GZK17" s="2"/>
      <c r="GZL17" s="2"/>
      <c r="GZM17" s="2"/>
      <c r="GZN17" s="2"/>
      <c r="GZO17" s="2"/>
      <c r="GZP17" s="2"/>
      <c r="GZQ17" s="2"/>
      <c r="GZR17" s="2"/>
      <c r="GZS17" s="2"/>
      <c r="GZT17" s="2"/>
      <c r="GZU17" s="2"/>
      <c r="GZV17" s="2"/>
      <c r="GZW17" s="2"/>
      <c r="GZX17" s="2"/>
      <c r="GZY17" s="2"/>
      <c r="GZZ17" s="2"/>
      <c r="HAA17" s="2"/>
      <c r="HAB17" s="2"/>
      <c r="HAC17" s="2"/>
      <c r="HAD17" s="2"/>
      <c r="HAE17" s="2"/>
      <c r="HAF17" s="2"/>
      <c r="HAG17" s="2"/>
      <c r="HAH17" s="2"/>
      <c r="HAI17" s="2"/>
      <c r="HAJ17" s="2"/>
      <c r="HAK17" s="2"/>
      <c r="HAL17" s="2"/>
      <c r="HAM17" s="2"/>
      <c r="HAN17" s="2"/>
      <c r="HAO17" s="2"/>
      <c r="HAP17" s="2"/>
      <c r="HAQ17" s="2"/>
      <c r="HAR17" s="2"/>
      <c r="HAS17" s="2"/>
      <c r="HAT17" s="2"/>
      <c r="HAU17" s="2"/>
      <c r="HAV17" s="2"/>
      <c r="HAW17" s="2"/>
      <c r="HAX17" s="2"/>
      <c r="HAY17" s="2"/>
      <c r="HAZ17" s="2"/>
      <c r="HBA17" s="2"/>
      <c r="HBB17" s="2"/>
      <c r="HBC17" s="2"/>
      <c r="HBD17" s="2"/>
      <c r="HBE17" s="2"/>
      <c r="HBF17" s="2"/>
      <c r="HBG17" s="2"/>
      <c r="HBH17" s="2"/>
      <c r="HBI17" s="2"/>
      <c r="HBJ17" s="2"/>
      <c r="HBK17" s="2"/>
      <c r="HBL17" s="2"/>
      <c r="HBM17" s="2"/>
      <c r="HBN17" s="2"/>
      <c r="HBO17" s="2"/>
      <c r="HBP17" s="2"/>
      <c r="HBQ17" s="2"/>
      <c r="HBR17" s="2"/>
      <c r="HBS17" s="2"/>
      <c r="HBT17" s="2"/>
      <c r="HBU17" s="2"/>
      <c r="HBV17" s="2"/>
      <c r="HBW17" s="2"/>
      <c r="HBX17" s="2"/>
      <c r="HBY17" s="2"/>
      <c r="HBZ17" s="2"/>
      <c r="HCA17" s="2"/>
      <c r="HCB17" s="2"/>
      <c r="HCC17" s="2"/>
      <c r="HCD17" s="2"/>
      <c r="HCE17" s="2"/>
      <c r="HCF17" s="2"/>
      <c r="HCG17" s="2"/>
      <c r="HCH17" s="2"/>
      <c r="HCI17" s="2"/>
      <c r="HCJ17" s="2"/>
      <c r="HCK17" s="2"/>
      <c r="HCL17" s="2"/>
      <c r="HCM17" s="2"/>
      <c r="HCN17" s="2"/>
      <c r="HCO17" s="2"/>
      <c r="HCP17" s="2"/>
      <c r="HCQ17" s="2"/>
      <c r="HCR17" s="2"/>
      <c r="HCS17" s="2"/>
      <c r="HCT17" s="2"/>
      <c r="HCU17" s="2"/>
      <c r="HCV17" s="2"/>
      <c r="HCW17" s="2"/>
      <c r="HCX17" s="2"/>
      <c r="HCY17" s="2"/>
      <c r="HCZ17" s="2"/>
      <c r="HDA17" s="2"/>
      <c r="HDB17" s="2"/>
      <c r="HDC17" s="2"/>
      <c r="HDD17" s="2"/>
      <c r="HDE17" s="2"/>
      <c r="HDF17" s="2"/>
      <c r="HDG17" s="2"/>
      <c r="HDH17" s="2"/>
      <c r="HDI17" s="2"/>
      <c r="HDJ17" s="2"/>
      <c r="HDK17" s="2"/>
      <c r="HDL17" s="2"/>
      <c r="HDM17" s="2"/>
      <c r="HDN17" s="2"/>
      <c r="HDO17" s="2"/>
      <c r="HDP17" s="2"/>
      <c r="HDQ17" s="2"/>
      <c r="HDR17" s="2"/>
      <c r="HDS17" s="2"/>
      <c r="HDT17" s="2"/>
      <c r="HDU17" s="2"/>
      <c r="HDV17" s="2"/>
      <c r="HDW17" s="2"/>
      <c r="HDX17" s="2"/>
      <c r="HDY17" s="2"/>
      <c r="HDZ17" s="2"/>
      <c r="HEA17" s="2"/>
      <c r="HEB17" s="2"/>
      <c r="HEC17" s="2"/>
      <c r="HED17" s="2"/>
      <c r="HEE17" s="2"/>
      <c r="HEF17" s="2"/>
      <c r="HEG17" s="2"/>
      <c r="HEH17" s="2"/>
      <c r="HEI17" s="2"/>
      <c r="HEJ17" s="2"/>
      <c r="HEK17" s="2"/>
      <c r="HEL17" s="2"/>
      <c r="HEM17" s="2"/>
      <c r="HEN17" s="2"/>
      <c r="HEO17" s="2"/>
      <c r="HEP17" s="2"/>
      <c r="HEQ17" s="2"/>
      <c r="HER17" s="2"/>
      <c r="HES17" s="2"/>
      <c r="HET17" s="2"/>
      <c r="HEU17" s="2"/>
      <c r="HEV17" s="2"/>
      <c r="HEW17" s="2"/>
      <c r="HEX17" s="2"/>
      <c r="HEY17" s="2"/>
      <c r="HEZ17" s="2"/>
      <c r="HFA17" s="2"/>
      <c r="HFB17" s="2"/>
      <c r="HFC17" s="2"/>
      <c r="HFD17" s="2"/>
      <c r="HFE17" s="2"/>
      <c r="HFF17" s="2"/>
      <c r="HFG17" s="2"/>
      <c r="HFH17" s="2"/>
      <c r="HFI17" s="2"/>
      <c r="HFJ17" s="2"/>
      <c r="HFK17" s="2"/>
      <c r="HFL17" s="2"/>
      <c r="HFM17" s="2"/>
      <c r="HFN17" s="2"/>
      <c r="HFO17" s="2"/>
      <c r="HFP17" s="2"/>
      <c r="HFQ17" s="2"/>
      <c r="HFR17" s="2"/>
      <c r="HFS17" s="2"/>
      <c r="HFT17" s="2"/>
      <c r="HFU17" s="2"/>
      <c r="HFV17" s="2"/>
      <c r="HFW17" s="2"/>
      <c r="HFX17" s="2"/>
      <c r="HFY17" s="2"/>
      <c r="HFZ17" s="2"/>
      <c r="HGA17" s="2"/>
      <c r="HGB17" s="2"/>
      <c r="HGC17" s="2"/>
      <c r="HGD17" s="2"/>
      <c r="HGE17" s="2"/>
      <c r="HGF17" s="2"/>
      <c r="HGG17" s="2"/>
      <c r="HGH17" s="2"/>
      <c r="HGI17" s="2"/>
      <c r="HGJ17" s="2"/>
      <c r="HGK17" s="2"/>
      <c r="HGL17" s="2"/>
      <c r="HGM17" s="2"/>
      <c r="HGN17" s="2"/>
      <c r="HGO17" s="2"/>
      <c r="HGP17" s="2"/>
      <c r="HGQ17" s="2"/>
      <c r="HGR17" s="2"/>
      <c r="HGS17" s="2"/>
      <c r="HGT17" s="2"/>
      <c r="HGU17" s="2"/>
      <c r="HGV17" s="2"/>
      <c r="HGW17" s="2"/>
      <c r="HGX17" s="2"/>
      <c r="HGY17" s="2"/>
      <c r="HGZ17" s="2"/>
      <c r="HHA17" s="2"/>
      <c r="HHB17" s="2"/>
      <c r="HHC17" s="2"/>
      <c r="HHD17" s="2"/>
      <c r="HHE17" s="2"/>
      <c r="HHF17" s="2"/>
      <c r="HHG17" s="2"/>
      <c r="HHH17" s="2"/>
      <c r="HHI17" s="2"/>
      <c r="HHJ17" s="2"/>
      <c r="HHK17" s="2"/>
      <c r="HHL17" s="2"/>
      <c r="HHM17" s="2"/>
      <c r="HHN17" s="2"/>
      <c r="HHO17" s="2"/>
      <c r="HHP17" s="2"/>
      <c r="HHQ17" s="2"/>
      <c r="HHR17" s="2"/>
      <c r="HHS17" s="2"/>
      <c r="HHT17" s="2"/>
      <c r="HHU17" s="2"/>
      <c r="HHV17" s="2"/>
      <c r="HHW17" s="2"/>
      <c r="HHX17" s="2"/>
      <c r="HHY17" s="2"/>
      <c r="HHZ17" s="2"/>
      <c r="HIA17" s="2"/>
      <c r="HIB17" s="2"/>
      <c r="HIC17" s="2"/>
      <c r="HID17" s="2"/>
      <c r="HIE17" s="2"/>
      <c r="HIF17" s="2"/>
      <c r="HIG17" s="2"/>
      <c r="HIH17" s="2"/>
      <c r="HII17" s="2"/>
      <c r="HIJ17" s="2"/>
      <c r="HIK17" s="2"/>
      <c r="HIL17" s="2"/>
      <c r="HIM17" s="2"/>
      <c r="HIN17" s="2"/>
      <c r="HIO17" s="2"/>
      <c r="HIP17" s="2"/>
      <c r="HIQ17" s="2"/>
      <c r="HIR17" s="2"/>
      <c r="HIS17" s="2"/>
      <c r="HIT17" s="2"/>
      <c r="HIU17" s="2"/>
      <c r="HIV17" s="2"/>
      <c r="HIW17" s="2"/>
      <c r="HIX17" s="2"/>
      <c r="HIY17" s="2"/>
      <c r="HIZ17" s="2"/>
      <c r="HJA17" s="2"/>
      <c r="HJB17" s="2"/>
      <c r="HJC17" s="2"/>
      <c r="HJD17" s="2"/>
      <c r="HJE17" s="2"/>
      <c r="HJF17" s="2"/>
      <c r="HJG17" s="2"/>
      <c r="HJH17" s="2"/>
      <c r="HJI17" s="2"/>
      <c r="HJJ17" s="2"/>
      <c r="HJK17" s="2"/>
      <c r="HJL17" s="2"/>
      <c r="HJM17" s="2"/>
      <c r="HJN17" s="2"/>
      <c r="HJO17" s="2"/>
      <c r="HJP17" s="2"/>
      <c r="HJQ17" s="2"/>
      <c r="HJR17" s="2"/>
      <c r="HJS17" s="2"/>
      <c r="HJT17" s="2"/>
      <c r="HJU17" s="2"/>
      <c r="HJV17" s="2"/>
      <c r="HJW17" s="2"/>
      <c r="HJX17" s="2"/>
      <c r="HJY17" s="2"/>
      <c r="HJZ17" s="2"/>
      <c r="HKA17" s="2"/>
      <c r="HKB17" s="2"/>
      <c r="HKC17" s="2"/>
      <c r="HKD17" s="2"/>
      <c r="HKE17" s="2"/>
      <c r="HKF17" s="2"/>
      <c r="HKG17" s="2"/>
      <c r="HKH17" s="2"/>
      <c r="HKI17" s="2"/>
      <c r="HKJ17" s="2"/>
      <c r="HKK17" s="2"/>
      <c r="HKL17" s="2"/>
      <c r="HKM17" s="2"/>
      <c r="HKN17" s="2"/>
      <c r="HKO17" s="2"/>
      <c r="HKP17" s="2"/>
      <c r="HKQ17" s="2"/>
      <c r="HKR17" s="2"/>
      <c r="HKS17" s="2"/>
      <c r="HKT17" s="2"/>
      <c r="HKU17" s="2"/>
      <c r="HKV17" s="2"/>
      <c r="HKW17" s="2"/>
      <c r="HKX17" s="2"/>
      <c r="HKY17" s="2"/>
      <c r="HKZ17" s="2"/>
      <c r="HLA17" s="2"/>
      <c r="HLB17" s="2"/>
      <c r="HLC17" s="2"/>
      <c r="HLD17" s="2"/>
      <c r="HLE17" s="2"/>
      <c r="HLF17" s="2"/>
      <c r="HLG17" s="2"/>
      <c r="HLH17" s="2"/>
      <c r="HLI17" s="2"/>
      <c r="HLJ17" s="2"/>
      <c r="HLK17" s="2"/>
      <c r="HLL17" s="2"/>
      <c r="HLM17" s="2"/>
      <c r="HLN17" s="2"/>
      <c r="HLO17" s="2"/>
      <c r="HLP17" s="2"/>
      <c r="HLQ17" s="2"/>
      <c r="HLR17" s="2"/>
      <c r="HLS17" s="2"/>
      <c r="HLT17" s="2"/>
      <c r="HLU17" s="2"/>
      <c r="HLV17" s="2"/>
      <c r="HLW17" s="2"/>
      <c r="HLX17" s="2"/>
      <c r="HLY17" s="2"/>
      <c r="HLZ17" s="2"/>
      <c r="HMA17" s="2"/>
      <c r="HMB17" s="2"/>
      <c r="HMC17" s="2"/>
      <c r="HMD17" s="2"/>
      <c r="HME17" s="2"/>
      <c r="HMF17" s="2"/>
      <c r="HMG17" s="2"/>
      <c r="HMH17" s="2"/>
      <c r="HMI17" s="2"/>
      <c r="HMJ17" s="2"/>
      <c r="HMK17" s="2"/>
      <c r="HML17" s="2"/>
      <c r="HMM17" s="2"/>
      <c r="HMN17" s="2"/>
      <c r="HMO17" s="2"/>
      <c r="HMP17" s="2"/>
      <c r="HMQ17" s="2"/>
      <c r="HMR17" s="2"/>
      <c r="HMS17" s="2"/>
      <c r="HMT17" s="2"/>
      <c r="HMU17" s="2"/>
      <c r="HMV17" s="2"/>
      <c r="HMW17" s="2"/>
      <c r="HMX17" s="2"/>
      <c r="HMY17" s="2"/>
      <c r="HMZ17" s="2"/>
      <c r="HNA17" s="2"/>
      <c r="HNB17" s="2"/>
      <c r="HNC17" s="2"/>
      <c r="HND17" s="2"/>
      <c r="HNE17" s="2"/>
      <c r="HNF17" s="2"/>
      <c r="HNG17" s="2"/>
      <c r="HNH17" s="2"/>
      <c r="HNI17" s="2"/>
      <c r="HNJ17" s="2"/>
      <c r="HNK17" s="2"/>
      <c r="HNL17" s="2"/>
      <c r="HNM17" s="2"/>
      <c r="HNN17" s="2"/>
      <c r="HNO17" s="2"/>
      <c r="HNP17" s="2"/>
      <c r="HNQ17" s="2"/>
      <c r="HNR17" s="2"/>
      <c r="HNS17" s="2"/>
      <c r="HNT17" s="2"/>
      <c r="HNU17" s="2"/>
      <c r="HNV17" s="2"/>
      <c r="HNW17" s="2"/>
      <c r="HNX17" s="2"/>
      <c r="HNY17" s="2"/>
      <c r="HNZ17" s="2"/>
      <c r="HOA17" s="2"/>
      <c r="HOB17" s="2"/>
      <c r="HOC17" s="2"/>
      <c r="HOD17" s="2"/>
      <c r="HOE17" s="2"/>
      <c r="HOF17" s="2"/>
      <c r="HOG17" s="2"/>
      <c r="HOH17" s="2"/>
      <c r="HOI17" s="2"/>
      <c r="HOJ17" s="2"/>
      <c r="HOK17" s="2"/>
      <c r="HOL17" s="2"/>
      <c r="HOM17" s="2"/>
      <c r="HON17" s="2"/>
      <c r="HOO17" s="2"/>
      <c r="HOP17" s="2"/>
      <c r="HOQ17" s="2"/>
      <c r="HOR17" s="2"/>
      <c r="HOS17" s="2"/>
      <c r="HOT17" s="2"/>
      <c r="HOU17" s="2"/>
      <c r="HOV17" s="2"/>
      <c r="HOW17" s="2"/>
      <c r="HOX17" s="2"/>
      <c r="HOY17" s="2"/>
      <c r="HOZ17" s="2"/>
      <c r="HPA17" s="2"/>
      <c r="HPB17" s="2"/>
      <c r="HPC17" s="2"/>
      <c r="HPD17" s="2"/>
      <c r="HPE17" s="2"/>
      <c r="HPF17" s="2"/>
      <c r="HPG17" s="2"/>
      <c r="HPH17" s="2"/>
      <c r="HPI17" s="2"/>
      <c r="HPJ17" s="2"/>
      <c r="HPK17" s="2"/>
      <c r="HPL17" s="2"/>
      <c r="HPM17" s="2"/>
      <c r="HPN17" s="2"/>
      <c r="HPO17" s="2"/>
      <c r="HPP17" s="2"/>
      <c r="HPQ17" s="2"/>
      <c r="HPR17" s="2"/>
      <c r="HPS17" s="2"/>
      <c r="HPT17" s="2"/>
      <c r="HPU17" s="2"/>
      <c r="HPV17" s="2"/>
      <c r="HPW17" s="2"/>
      <c r="HPX17" s="2"/>
      <c r="HPY17" s="2"/>
      <c r="HPZ17" s="2"/>
      <c r="HQA17" s="2"/>
      <c r="HQB17" s="2"/>
      <c r="HQC17" s="2"/>
      <c r="HQD17" s="2"/>
      <c r="HQE17" s="2"/>
      <c r="HQF17" s="2"/>
      <c r="HQG17" s="2"/>
      <c r="HQH17" s="2"/>
      <c r="HQI17" s="2"/>
      <c r="HQJ17" s="2"/>
      <c r="HQK17" s="2"/>
      <c r="HQL17" s="2"/>
      <c r="HQM17" s="2"/>
      <c r="HQN17" s="2"/>
      <c r="HQO17" s="2"/>
      <c r="HQP17" s="2"/>
      <c r="HQQ17" s="2"/>
      <c r="HQR17" s="2"/>
      <c r="HQS17" s="2"/>
      <c r="HQT17" s="2"/>
      <c r="HQU17" s="2"/>
      <c r="HQV17" s="2"/>
      <c r="HQW17" s="2"/>
      <c r="HQX17" s="2"/>
      <c r="HQY17" s="2"/>
      <c r="HQZ17" s="2"/>
      <c r="HRA17" s="2"/>
      <c r="HRB17" s="2"/>
      <c r="HRC17" s="2"/>
      <c r="HRD17" s="2"/>
      <c r="HRE17" s="2"/>
      <c r="HRF17" s="2"/>
      <c r="HRG17" s="2"/>
      <c r="HRH17" s="2"/>
      <c r="HRI17" s="2"/>
      <c r="HRJ17" s="2"/>
      <c r="HRK17" s="2"/>
      <c r="HRL17" s="2"/>
      <c r="HRM17" s="2"/>
      <c r="HRN17" s="2"/>
      <c r="HRO17" s="2"/>
      <c r="HRP17" s="2"/>
      <c r="HRQ17" s="2"/>
      <c r="HRR17" s="2"/>
      <c r="HRS17" s="2"/>
      <c r="HRT17" s="2"/>
      <c r="HRU17" s="2"/>
      <c r="HRV17" s="2"/>
      <c r="HRW17" s="2"/>
      <c r="HRX17" s="2"/>
      <c r="HRY17" s="2"/>
      <c r="HRZ17" s="2"/>
      <c r="HSA17" s="2"/>
      <c r="HSB17" s="2"/>
      <c r="HSC17" s="2"/>
      <c r="HSD17" s="2"/>
      <c r="HSE17" s="2"/>
      <c r="HSF17" s="2"/>
      <c r="HSG17" s="2"/>
      <c r="HSH17" s="2"/>
      <c r="HSI17" s="2"/>
      <c r="HSJ17" s="2"/>
      <c r="HSK17" s="2"/>
      <c r="HSL17" s="2"/>
      <c r="HSM17" s="2"/>
      <c r="HSN17" s="2"/>
      <c r="HSO17" s="2"/>
      <c r="HSP17" s="2"/>
      <c r="HSQ17" s="2"/>
      <c r="HSR17" s="2"/>
      <c r="HSS17" s="2"/>
      <c r="HST17" s="2"/>
      <c r="HSU17" s="2"/>
      <c r="HSV17" s="2"/>
      <c r="HSW17" s="2"/>
      <c r="HSX17" s="2"/>
      <c r="HSY17" s="2"/>
      <c r="HSZ17" s="2"/>
      <c r="HTA17" s="2"/>
      <c r="HTB17" s="2"/>
      <c r="HTC17" s="2"/>
      <c r="HTD17" s="2"/>
      <c r="HTE17" s="2"/>
      <c r="HTF17" s="2"/>
      <c r="HTG17" s="2"/>
      <c r="HTH17" s="2"/>
      <c r="HTI17" s="2"/>
      <c r="HTJ17" s="2"/>
      <c r="HTK17" s="2"/>
      <c r="HTL17" s="2"/>
      <c r="HTM17" s="2"/>
      <c r="HTN17" s="2"/>
      <c r="HTO17" s="2"/>
      <c r="HTP17" s="2"/>
      <c r="HTQ17" s="2"/>
      <c r="HTR17" s="2"/>
      <c r="HTS17" s="2"/>
      <c r="HTT17" s="2"/>
      <c r="HTU17" s="2"/>
      <c r="HTV17" s="2"/>
      <c r="HTW17" s="2"/>
      <c r="HTX17" s="2"/>
      <c r="HTY17" s="2"/>
      <c r="HTZ17" s="2"/>
      <c r="HUA17" s="2"/>
      <c r="HUB17" s="2"/>
      <c r="HUC17" s="2"/>
      <c r="HUD17" s="2"/>
      <c r="HUE17" s="2"/>
      <c r="HUF17" s="2"/>
      <c r="HUG17" s="2"/>
      <c r="HUH17" s="2"/>
      <c r="HUI17" s="2"/>
      <c r="HUJ17" s="2"/>
      <c r="HUK17" s="2"/>
      <c r="HUL17" s="2"/>
      <c r="HUM17" s="2"/>
      <c r="HUN17" s="2"/>
      <c r="HUO17" s="2"/>
      <c r="HUP17" s="2"/>
      <c r="HUQ17" s="2"/>
      <c r="HUR17" s="2"/>
      <c r="HUS17" s="2"/>
      <c r="HUT17" s="2"/>
      <c r="HUU17" s="2"/>
      <c r="HUV17" s="2"/>
      <c r="HUW17" s="2"/>
      <c r="HUX17" s="2"/>
      <c r="HUY17" s="2"/>
      <c r="HUZ17" s="2"/>
      <c r="HVA17" s="2"/>
      <c r="HVB17" s="2"/>
      <c r="HVC17" s="2"/>
      <c r="HVD17" s="2"/>
      <c r="HVE17" s="2"/>
      <c r="HVF17" s="2"/>
      <c r="HVG17" s="2"/>
      <c r="HVH17" s="2"/>
      <c r="HVI17" s="2"/>
      <c r="HVJ17" s="2"/>
      <c r="HVK17" s="2"/>
      <c r="HVL17" s="2"/>
      <c r="HVM17" s="2"/>
      <c r="HVN17" s="2"/>
      <c r="HVO17" s="2"/>
      <c r="HVP17" s="2"/>
      <c r="HVQ17" s="2"/>
      <c r="HVR17" s="2"/>
      <c r="HVS17" s="2"/>
      <c r="HVT17" s="2"/>
      <c r="HVU17" s="2"/>
      <c r="HVV17" s="2"/>
      <c r="HVW17" s="2"/>
      <c r="HVX17" s="2"/>
      <c r="HVY17" s="2"/>
      <c r="HVZ17" s="2"/>
      <c r="HWA17" s="2"/>
      <c r="HWB17" s="2"/>
      <c r="HWC17" s="2"/>
      <c r="HWD17" s="2"/>
      <c r="HWE17" s="2"/>
      <c r="HWF17" s="2"/>
      <c r="HWG17" s="2"/>
      <c r="HWH17" s="2"/>
      <c r="HWI17" s="2"/>
      <c r="HWJ17" s="2"/>
      <c r="HWK17" s="2"/>
      <c r="HWL17" s="2"/>
      <c r="HWM17" s="2"/>
      <c r="HWN17" s="2"/>
      <c r="HWO17" s="2"/>
      <c r="HWP17" s="2"/>
      <c r="HWQ17" s="2"/>
      <c r="HWR17" s="2"/>
      <c r="HWS17" s="2"/>
      <c r="HWT17" s="2"/>
      <c r="HWU17" s="2"/>
      <c r="HWV17" s="2"/>
      <c r="HWW17" s="2"/>
      <c r="HWX17" s="2"/>
      <c r="HWY17" s="2"/>
      <c r="HWZ17" s="2"/>
      <c r="HXA17" s="2"/>
      <c r="HXB17" s="2"/>
      <c r="HXC17" s="2"/>
      <c r="HXD17" s="2"/>
      <c r="HXE17" s="2"/>
      <c r="HXF17" s="2"/>
      <c r="HXG17" s="2"/>
      <c r="HXH17" s="2"/>
      <c r="HXI17" s="2"/>
      <c r="HXJ17" s="2"/>
      <c r="HXK17" s="2"/>
      <c r="HXL17" s="2"/>
      <c r="HXM17" s="2"/>
      <c r="HXN17" s="2"/>
      <c r="HXO17" s="2"/>
      <c r="HXP17" s="2"/>
      <c r="HXQ17" s="2"/>
      <c r="HXR17" s="2"/>
      <c r="HXS17" s="2"/>
      <c r="HXT17" s="2"/>
      <c r="HXU17" s="2"/>
      <c r="HXV17" s="2"/>
      <c r="HXW17" s="2"/>
      <c r="HXX17" s="2"/>
      <c r="HXY17" s="2"/>
      <c r="HXZ17" s="2"/>
      <c r="HYA17" s="2"/>
      <c r="HYB17" s="2"/>
      <c r="HYC17" s="2"/>
      <c r="HYD17" s="2"/>
      <c r="HYE17" s="2"/>
      <c r="HYF17" s="2"/>
      <c r="HYG17" s="2"/>
      <c r="HYH17" s="2"/>
      <c r="HYI17" s="2"/>
      <c r="HYJ17" s="2"/>
      <c r="HYK17" s="2"/>
      <c r="HYL17" s="2"/>
      <c r="HYM17" s="2"/>
      <c r="HYN17" s="2"/>
      <c r="HYO17" s="2"/>
      <c r="HYP17" s="2"/>
      <c r="HYQ17" s="2"/>
      <c r="HYR17" s="2"/>
      <c r="HYS17" s="2"/>
      <c r="HYT17" s="2"/>
      <c r="HYU17" s="2"/>
      <c r="HYV17" s="2"/>
      <c r="HYW17" s="2"/>
      <c r="HYX17" s="2"/>
      <c r="HYY17" s="2"/>
      <c r="HYZ17" s="2"/>
      <c r="HZA17" s="2"/>
      <c r="HZB17" s="2"/>
      <c r="HZC17" s="2"/>
      <c r="HZD17" s="2"/>
      <c r="HZE17" s="2"/>
      <c r="HZF17" s="2"/>
      <c r="HZG17" s="2"/>
      <c r="HZH17" s="2"/>
      <c r="HZI17" s="2"/>
      <c r="HZJ17" s="2"/>
      <c r="HZK17" s="2"/>
      <c r="HZL17" s="2"/>
      <c r="HZM17" s="2"/>
      <c r="HZN17" s="2"/>
      <c r="HZO17" s="2"/>
      <c r="HZP17" s="2"/>
      <c r="HZQ17" s="2"/>
      <c r="HZR17" s="2"/>
      <c r="HZS17" s="2"/>
      <c r="HZT17" s="2"/>
      <c r="HZU17" s="2"/>
      <c r="HZV17" s="2"/>
      <c r="HZW17" s="2"/>
      <c r="HZX17" s="2"/>
      <c r="HZY17" s="2"/>
      <c r="HZZ17" s="2"/>
      <c r="IAA17" s="2"/>
      <c r="IAB17" s="2"/>
      <c r="IAC17" s="2"/>
      <c r="IAD17" s="2"/>
      <c r="IAE17" s="2"/>
      <c r="IAF17" s="2"/>
      <c r="IAG17" s="2"/>
      <c r="IAH17" s="2"/>
      <c r="IAI17" s="2"/>
      <c r="IAJ17" s="2"/>
      <c r="IAK17" s="2"/>
      <c r="IAL17" s="2"/>
      <c r="IAM17" s="2"/>
      <c r="IAN17" s="2"/>
      <c r="IAO17" s="2"/>
      <c r="IAP17" s="2"/>
      <c r="IAQ17" s="2"/>
      <c r="IAR17" s="2"/>
      <c r="IAS17" s="2"/>
      <c r="IAT17" s="2"/>
      <c r="IAU17" s="2"/>
      <c r="IAV17" s="2"/>
      <c r="IAW17" s="2"/>
      <c r="IAX17" s="2"/>
      <c r="IAY17" s="2"/>
      <c r="IAZ17" s="2"/>
      <c r="IBA17" s="2"/>
      <c r="IBB17" s="2"/>
      <c r="IBC17" s="2"/>
      <c r="IBD17" s="2"/>
      <c r="IBE17" s="2"/>
      <c r="IBF17" s="2"/>
      <c r="IBG17" s="2"/>
      <c r="IBH17" s="2"/>
      <c r="IBI17" s="2"/>
      <c r="IBJ17" s="2"/>
      <c r="IBK17" s="2"/>
      <c r="IBL17" s="2"/>
      <c r="IBM17" s="2"/>
      <c r="IBN17" s="2"/>
      <c r="IBO17" s="2"/>
      <c r="IBP17" s="2"/>
      <c r="IBQ17" s="2"/>
      <c r="IBR17" s="2"/>
      <c r="IBS17" s="2"/>
      <c r="IBT17" s="2"/>
      <c r="IBU17" s="2"/>
      <c r="IBV17" s="2"/>
      <c r="IBW17" s="2"/>
      <c r="IBX17" s="2"/>
      <c r="IBY17" s="2"/>
      <c r="IBZ17" s="2"/>
      <c r="ICA17" s="2"/>
      <c r="ICB17" s="2"/>
      <c r="ICC17" s="2"/>
      <c r="ICD17" s="2"/>
      <c r="ICE17" s="2"/>
      <c r="ICF17" s="2"/>
      <c r="ICG17" s="2"/>
      <c r="ICH17" s="2"/>
      <c r="ICI17" s="2"/>
      <c r="ICJ17" s="2"/>
      <c r="ICK17" s="2"/>
      <c r="ICL17" s="2"/>
      <c r="ICM17" s="2"/>
      <c r="ICN17" s="2"/>
      <c r="ICO17" s="2"/>
      <c r="ICP17" s="2"/>
      <c r="ICQ17" s="2"/>
      <c r="ICR17" s="2"/>
      <c r="ICS17" s="2"/>
      <c r="ICT17" s="2"/>
      <c r="ICU17" s="2"/>
      <c r="ICV17" s="2"/>
      <c r="ICW17" s="2"/>
      <c r="ICX17" s="2"/>
      <c r="ICY17" s="2"/>
      <c r="ICZ17" s="2"/>
      <c r="IDA17" s="2"/>
      <c r="IDB17" s="2"/>
      <c r="IDC17" s="2"/>
      <c r="IDD17" s="2"/>
      <c r="IDE17" s="2"/>
      <c r="IDF17" s="2"/>
      <c r="IDG17" s="2"/>
      <c r="IDH17" s="2"/>
      <c r="IDI17" s="2"/>
      <c r="IDJ17" s="2"/>
      <c r="IDK17" s="2"/>
      <c r="IDL17" s="2"/>
      <c r="IDM17" s="2"/>
      <c r="IDN17" s="2"/>
      <c r="IDO17" s="2"/>
      <c r="IDP17" s="2"/>
      <c r="IDQ17" s="2"/>
      <c r="IDR17" s="2"/>
      <c r="IDS17" s="2"/>
      <c r="IDT17" s="2"/>
      <c r="IDU17" s="2"/>
      <c r="IDV17" s="2"/>
      <c r="IDW17" s="2"/>
      <c r="IDX17" s="2"/>
      <c r="IDY17" s="2"/>
      <c r="IDZ17" s="2"/>
      <c r="IEA17" s="2"/>
      <c r="IEB17" s="2"/>
      <c r="IEC17" s="2"/>
      <c r="IED17" s="2"/>
      <c r="IEE17" s="2"/>
      <c r="IEF17" s="2"/>
      <c r="IEG17" s="2"/>
      <c r="IEH17" s="2"/>
      <c r="IEI17" s="2"/>
      <c r="IEJ17" s="2"/>
      <c r="IEK17" s="2"/>
      <c r="IEL17" s="2"/>
      <c r="IEM17" s="2"/>
      <c r="IEN17" s="2"/>
      <c r="IEO17" s="2"/>
      <c r="IEP17" s="2"/>
      <c r="IEQ17" s="2"/>
      <c r="IER17" s="2"/>
      <c r="IES17" s="2"/>
      <c r="IET17" s="2"/>
      <c r="IEU17" s="2"/>
      <c r="IEV17" s="2"/>
      <c r="IEW17" s="2"/>
      <c r="IEX17" s="2"/>
      <c r="IEY17" s="2"/>
      <c r="IEZ17" s="2"/>
      <c r="IFA17" s="2"/>
      <c r="IFB17" s="2"/>
      <c r="IFC17" s="2"/>
      <c r="IFD17" s="2"/>
      <c r="IFE17" s="2"/>
      <c r="IFF17" s="2"/>
      <c r="IFG17" s="2"/>
      <c r="IFH17" s="2"/>
      <c r="IFI17" s="2"/>
      <c r="IFJ17" s="2"/>
      <c r="IFK17" s="2"/>
      <c r="IFL17" s="2"/>
      <c r="IFM17" s="2"/>
      <c r="IFN17" s="2"/>
      <c r="IFO17" s="2"/>
      <c r="IFP17" s="2"/>
      <c r="IFQ17" s="2"/>
      <c r="IFR17" s="2"/>
      <c r="IFS17" s="2"/>
      <c r="IFT17" s="2"/>
      <c r="IFU17" s="2"/>
      <c r="IFV17" s="2"/>
      <c r="IFW17" s="2"/>
      <c r="IFX17" s="2"/>
      <c r="IFY17" s="2"/>
      <c r="IFZ17" s="2"/>
      <c r="IGA17" s="2"/>
      <c r="IGB17" s="2"/>
      <c r="IGC17" s="2"/>
      <c r="IGD17" s="2"/>
      <c r="IGE17" s="2"/>
      <c r="IGF17" s="2"/>
      <c r="IGG17" s="2"/>
      <c r="IGH17" s="2"/>
      <c r="IGI17" s="2"/>
      <c r="IGJ17" s="2"/>
      <c r="IGK17" s="2"/>
      <c r="IGL17" s="2"/>
      <c r="IGM17" s="2"/>
      <c r="IGN17" s="2"/>
      <c r="IGO17" s="2"/>
      <c r="IGP17" s="2"/>
      <c r="IGQ17" s="2"/>
      <c r="IGR17" s="2"/>
      <c r="IGS17" s="2"/>
      <c r="IGT17" s="2"/>
      <c r="IGU17" s="2"/>
      <c r="IGV17" s="2"/>
      <c r="IGW17" s="2"/>
      <c r="IGX17" s="2"/>
      <c r="IGY17" s="2"/>
      <c r="IGZ17" s="2"/>
      <c r="IHA17" s="2"/>
      <c r="IHB17" s="2"/>
      <c r="IHC17" s="2"/>
      <c r="IHD17" s="2"/>
      <c r="IHE17" s="2"/>
      <c r="IHF17" s="2"/>
      <c r="IHG17" s="2"/>
      <c r="IHH17" s="2"/>
      <c r="IHI17" s="2"/>
      <c r="IHJ17" s="2"/>
      <c r="IHK17" s="2"/>
      <c r="IHL17" s="2"/>
      <c r="IHM17" s="2"/>
      <c r="IHN17" s="2"/>
      <c r="IHO17" s="2"/>
      <c r="IHP17" s="2"/>
      <c r="IHQ17" s="2"/>
      <c r="IHR17" s="2"/>
      <c r="IHS17" s="2"/>
      <c r="IHT17" s="2"/>
      <c r="IHU17" s="2"/>
      <c r="IHV17" s="2"/>
      <c r="IHW17" s="2"/>
      <c r="IHX17" s="2"/>
      <c r="IHY17" s="2"/>
      <c r="IHZ17" s="2"/>
      <c r="IIA17" s="2"/>
      <c r="IIB17" s="2"/>
      <c r="IIC17" s="2"/>
      <c r="IID17" s="2"/>
      <c r="IIE17" s="2"/>
      <c r="IIF17" s="2"/>
      <c r="IIG17" s="2"/>
      <c r="IIH17" s="2"/>
      <c r="III17" s="2"/>
      <c r="IIJ17" s="2"/>
      <c r="IIK17" s="2"/>
      <c r="IIL17" s="2"/>
      <c r="IIM17" s="2"/>
      <c r="IIN17" s="2"/>
      <c r="IIO17" s="2"/>
      <c r="IIP17" s="2"/>
      <c r="IIQ17" s="2"/>
      <c r="IIR17" s="2"/>
      <c r="IIS17" s="2"/>
      <c r="IIT17" s="2"/>
      <c r="IIU17" s="2"/>
      <c r="IIV17" s="2"/>
      <c r="IIW17" s="2"/>
      <c r="IIX17" s="2"/>
      <c r="IIY17" s="2"/>
      <c r="IIZ17" s="2"/>
      <c r="IJA17" s="2"/>
      <c r="IJB17" s="2"/>
      <c r="IJC17" s="2"/>
      <c r="IJD17" s="2"/>
      <c r="IJE17" s="2"/>
      <c r="IJF17" s="2"/>
      <c r="IJG17" s="2"/>
      <c r="IJH17" s="2"/>
      <c r="IJI17" s="2"/>
      <c r="IJJ17" s="2"/>
      <c r="IJK17" s="2"/>
      <c r="IJL17" s="2"/>
      <c r="IJM17" s="2"/>
      <c r="IJN17" s="2"/>
      <c r="IJO17" s="2"/>
      <c r="IJP17" s="2"/>
      <c r="IJQ17" s="2"/>
      <c r="IJR17" s="2"/>
      <c r="IJS17" s="2"/>
      <c r="IJT17" s="2"/>
      <c r="IJU17" s="2"/>
      <c r="IJV17" s="2"/>
      <c r="IJW17" s="2"/>
      <c r="IJX17" s="2"/>
      <c r="IJY17" s="2"/>
      <c r="IJZ17" s="2"/>
      <c r="IKA17" s="2"/>
      <c r="IKB17" s="2"/>
      <c r="IKC17" s="2"/>
      <c r="IKD17" s="2"/>
      <c r="IKE17" s="2"/>
      <c r="IKF17" s="2"/>
      <c r="IKG17" s="2"/>
      <c r="IKH17" s="2"/>
      <c r="IKI17" s="2"/>
      <c r="IKJ17" s="2"/>
      <c r="IKK17" s="2"/>
      <c r="IKL17" s="2"/>
      <c r="IKM17" s="2"/>
      <c r="IKN17" s="2"/>
      <c r="IKO17" s="2"/>
      <c r="IKP17" s="2"/>
      <c r="IKQ17" s="2"/>
      <c r="IKR17" s="2"/>
      <c r="IKS17" s="2"/>
      <c r="IKT17" s="2"/>
      <c r="IKU17" s="2"/>
      <c r="IKV17" s="2"/>
      <c r="IKW17" s="2"/>
      <c r="IKX17" s="2"/>
      <c r="IKY17" s="2"/>
      <c r="IKZ17" s="2"/>
      <c r="ILA17" s="2"/>
      <c r="ILB17" s="2"/>
      <c r="ILC17" s="2"/>
      <c r="ILD17" s="2"/>
      <c r="ILE17" s="2"/>
      <c r="ILF17" s="2"/>
      <c r="ILG17" s="2"/>
      <c r="ILH17" s="2"/>
      <c r="ILI17" s="2"/>
      <c r="ILJ17" s="2"/>
      <c r="ILK17" s="2"/>
      <c r="ILL17" s="2"/>
      <c r="ILM17" s="2"/>
      <c r="ILN17" s="2"/>
      <c r="ILO17" s="2"/>
      <c r="ILP17" s="2"/>
      <c r="ILQ17" s="2"/>
      <c r="ILR17" s="2"/>
      <c r="ILS17" s="2"/>
      <c r="ILT17" s="2"/>
      <c r="ILU17" s="2"/>
      <c r="ILV17" s="2"/>
      <c r="ILW17" s="2"/>
      <c r="ILX17" s="2"/>
      <c r="ILY17" s="2"/>
      <c r="ILZ17" s="2"/>
      <c r="IMA17" s="2"/>
      <c r="IMB17" s="2"/>
      <c r="IMC17" s="2"/>
      <c r="IMD17" s="2"/>
      <c r="IME17" s="2"/>
      <c r="IMF17" s="2"/>
      <c r="IMG17" s="2"/>
      <c r="IMH17" s="2"/>
      <c r="IMI17" s="2"/>
      <c r="IMJ17" s="2"/>
      <c r="IMK17" s="2"/>
      <c r="IML17" s="2"/>
      <c r="IMM17" s="2"/>
      <c r="IMN17" s="2"/>
      <c r="IMO17" s="2"/>
      <c r="IMP17" s="2"/>
      <c r="IMQ17" s="2"/>
      <c r="IMR17" s="2"/>
      <c r="IMS17" s="2"/>
      <c r="IMT17" s="2"/>
      <c r="IMU17" s="2"/>
      <c r="IMV17" s="2"/>
      <c r="IMW17" s="2"/>
      <c r="IMX17" s="2"/>
      <c r="IMY17" s="2"/>
      <c r="IMZ17" s="2"/>
      <c r="INA17" s="2"/>
      <c r="INB17" s="2"/>
      <c r="INC17" s="2"/>
      <c r="IND17" s="2"/>
      <c r="INE17" s="2"/>
      <c r="INF17" s="2"/>
      <c r="ING17" s="2"/>
      <c r="INH17" s="2"/>
      <c r="INI17" s="2"/>
      <c r="INJ17" s="2"/>
      <c r="INK17" s="2"/>
      <c r="INL17" s="2"/>
      <c r="INM17" s="2"/>
      <c r="INN17" s="2"/>
      <c r="INO17" s="2"/>
      <c r="INP17" s="2"/>
      <c r="INQ17" s="2"/>
      <c r="INR17" s="2"/>
      <c r="INS17" s="2"/>
      <c r="INT17" s="2"/>
      <c r="INU17" s="2"/>
      <c r="INV17" s="2"/>
      <c r="INW17" s="2"/>
      <c r="INX17" s="2"/>
      <c r="INY17" s="2"/>
      <c r="INZ17" s="2"/>
      <c r="IOA17" s="2"/>
      <c r="IOB17" s="2"/>
      <c r="IOC17" s="2"/>
      <c r="IOD17" s="2"/>
      <c r="IOE17" s="2"/>
      <c r="IOF17" s="2"/>
      <c r="IOG17" s="2"/>
      <c r="IOH17" s="2"/>
      <c r="IOI17" s="2"/>
      <c r="IOJ17" s="2"/>
      <c r="IOK17" s="2"/>
      <c r="IOL17" s="2"/>
      <c r="IOM17" s="2"/>
      <c r="ION17" s="2"/>
      <c r="IOO17" s="2"/>
      <c r="IOP17" s="2"/>
      <c r="IOQ17" s="2"/>
      <c r="IOR17" s="2"/>
      <c r="IOS17" s="2"/>
      <c r="IOT17" s="2"/>
      <c r="IOU17" s="2"/>
      <c r="IOV17" s="2"/>
      <c r="IOW17" s="2"/>
      <c r="IOX17" s="2"/>
      <c r="IOY17" s="2"/>
      <c r="IOZ17" s="2"/>
      <c r="IPA17" s="2"/>
      <c r="IPB17" s="2"/>
      <c r="IPC17" s="2"/>
      <c r="IPD17" s="2"/>
      <c r="IPE17" s="2"/>
      <c r="IPF17" s="2"/>
      <c r="IPG17" s="2"/>
      <c r="IPH17" s="2"/>
      <c r="IPI17" s="2"/>
      <c r="IPJ17" s="2"/>
      <c r="IPK17" s="2"/>
      <c r="IPL17" s="2"/>
      <c r="IPM17" s="2"/>
      <c r="IPN17" s="2"/>
      <c r="IPO17" s="2"/>
      <c r="IPP17" s="2"/>
      <c r="IPQ17" s="2"/>
      <c r="IPR17" s="2"/>
      <c r="IPS17" s="2"/>
      <c r="IPT17" s="2"/>
      <c r="IPU17" s="2"/>
      <c r="IPV17" s="2"/>
      <c r="IPW17" s="2"/>
      <c r="IPX17" s="2"/>
      <c r="IPY17" s="2"/>
      <c r="IPZ17" s="2"/>
      <c r="IQA17" s="2"/>
      <c r="IQB17" s="2"/>
      <c r="IQC17" s="2"/>
      <c r="IQD17" s="2"/>
      <c r="IQE17" s="2"/>
      <c r="IQF17" s="2"/>
      <c r="IQG17" s="2"/>
      <c r="IQH17" s="2"/>
      <c r="IQI17" s="2"/>
      <c r="IQJ17" s="2"/>
      <c r="IQK17" s="2"/>
      <c r="IQL17" s="2"/>
      <c r="IQM17" s="2"/>
      <c r="IQN17" s="2"/>
      <c r="IQO17" s="2"/>
      <c r="IQP17" s="2"/>
      <c r="IQQ17" s="2"/>
      <c r="IQR17" s="2"/>
      <c r="IQS17" s="2"/>
      <c r="IQT17" s="2"/>
      <c r="IQU17" s="2"/>
      <c r="IQV17" s="2"/>
      <c r="IQW17" s="2"/>
      <c r="IQX17" s="2"/>
      <c r="IQY17" s="2"/>
      <c r="IQZ17" s="2"/>
      <c r="IRA17" s="2"/>
      <c r="IRB17" s="2"/>
      <c r="IRC17" s="2"/>
      <c r="IRD17" s="2"/>
      <c r="IRE17" s="2"/>
      <c r="IRF17" s="2"/>
      <c r="IRG17" s="2"/>
      <c r="IRH17" s="2"/>
      <c r="IRI17" s="2"/>
      <c r="IRJ17" s="2"/>
      <c r="IRK17" s="2"/>
      <c r="IRL17" s="2"/>
      <c r="IRM17" s="2"/>
      <c r="IRN17" s="2"/>
      <c r="IRO17" s="2"/>
      <c r="IRP17" s="2"/>
      <c r="IRQ17" s="2"/>
      <c r="IRR17" s="2"/>
      <c r="IRS17" s="2"/>
      <c r="IRT17" s="2"/>
      <c r="IRU17" s="2"/>
      <c r="IRV17" s="2"/>
      <c r="IRW17" s="2"/>
      <c r="IRX17" s="2"/>
      <c r="IRY17" s="2"/>
      <c r="IRZ17" s="2"/>
      <c r="ISA17" s="2"/>
      <c r="ISB17" s="2"/>
      <c r="ISC17" s="2"/>
      <c r="ISD17" s="2"/>
      <c r="ISE17" s="2"/>
      <c r="ISF17" s="2"/>
      <c r="ISG17" s="2"/>
      <c r="ISH17" s="2"/>
      <c r="ISI17" s="2"/>
      <c r="ISJ17" s="2"/>
      <c r="ISK17" s="2"/>
      <c r="ISL17" s="2"/>
      <c r="ISM17" s="2"/>
      <c r="ISN17" s="2"/>
      <c r="ISO17" s="2"/>
      <c r="ISP17" s="2"/>
      <c r="ISQ17" s="2"/>
      <c r="ISR17" s="2"/>
      <c r="ISS17" s="2"/>
      <c r="IST17" s="2"/>
      <c r="ISU17" s="2"/>
      <c r="ISV17" s="2"/>
      <c r="ISW17" s="2"/>
      <c r="ISX17" s="2"/>
      <c r="ISY17" s="2"/>
      <c r="ISZ17" s="2"/>
      <c r="ITA17" s="2"/>
      <c r="ITB17" s="2"/>
      <c r="ITC17" s="2"/>
      <c r="ITD17" s="2"/>
      <c r="ITE17" s="2"/>
      <c r="ITF17" s="2"/>
      <c r="ITG17" s="2"/>
      <c r="ITH17" s="2"/>
      <c r="ITI17" s="2"/>
      <c r="ITJ17" s="2"/>
      <c r="ITK17" s="2"/>
      <c r="ITL17" s="2"/>
      <c r="ITM17" s="2"/>
      <c r="ITN17" s="2"/>
      <c r="ITO17" s="2"/>
      <c r="ITP17" s="2"/>
      <c r="ITQ17" s="2"/>
      <c r="ITR17" s="2"/>
      <c r="ITS17" s="2"/>
      <c r="ITT17" s="2"/>
      <c r="ITU17" s="2"/>
      <c r="ITV17" s="2"/>
      <c r="ITW17" s="2"/>
      <c r="ITX17" s="2"/>
      <c r="ITY17" s="2"/>
      <c r="ITZ17" s="2"/>
      <c r="IUA17" s="2"/>
      <c r="IUB17" s="2"/>
      <c r="IUC17" s="2"/>
      <c r="IUD17" s="2"/>
      <c r="IUE17" s="2"/>
      <c r="IUF17" s="2"/>
      <c r="IUG17" s="2"/>
      <c r="IUH17" s="2"/>
      <c r="IUI17" s="2"/>
      <c r="IUJ17" s="2"/>
      <c r="IUK17" s="2"/>
      <c r="IUL17" s="2"/>
      <c r="IUM17" s="2"/>
      <c r="IUN17" s="2"/>
      <c r="IUO17" s="2"/>
      <c r="IUP17" s="2"/>
      <c r="IUQ17" s="2"/>
      <c r="IUR17" s="2"/>
      <c r="IUS17" s="2"/>
      <c r="IUT17" s="2"/>
      <c r="IUU17" s="2"/>
      <c r="IUV17" s="2"/>
      <c r="IUW17" s="2"/>
      <c r="IUX17" s="2"/>
      <c r="IUY17" s="2"/>
      <c r="IUZ17" s="2"/>
      <c r="IVA17" s="2"/>
      <c r="IVB17" s="2"/>
      <c r="IVC17" s="2"/>
      <c r="IVD17" s="2"/>
      <c r="IVE17" s="2"/>
      <c r="IVF17" s="2"/>
      <c r="IVG17" s="2"/>
      <c r="IVH17" s="2"/>
      <c r="IVI17" s="2"/>
      <c r="IVJ17" s="2"/>
      <c r="IVK17" s="2"/>
      <c r="IVL17" s="2"/>
      <c r="IVM17" s="2"/>
      <c r="IVN17" s="2"/>
      <c r="IVO17" s="2"/>
      <c r="IVP17" s="2"/>
      <c r="IVQ17" s="2"/>
      <c r="IVR17" s="2"/>
      <c r="IVS17" s="2"/>
      <c r="IVT17" s="2"/>
      <c r="IVU17" s="2"/>
      <c r="IVV17" s="2"/>
      <c r="IVW17" s="2"/>
      <c r="IVX17" s="2"/>
      <c r="IVY17" s="2"/>
      <c r="IVZ17" s="2"/>
      <c r="IWA17" s="2"/>
      <c r="IWB17" s="2"/>
      <c r="IWC17" s="2"/>
      <c r="IWD17" s="2"/>
      <c r="IWE17" s="2"/>
      <c r="IWF17" s="2"/>
      <c r="IWG17" s="2"/>
      <c r="IWH17" s="2"/>
      <c r="IWI17" s="2"/>
      <c r="IWJ17" s="2"/>
      <c r="IWK17" s="2"/>
      <c r="IWL17" s="2"/>
      <c r="IWM17" s="2"/>
      <c r="IWN17" s="2"/>
      <c r="IWO17" s="2"/>
      <c r="IWP17" s="2"/>
      <c r="IWQ17" s="2"/>
      <c r="IWR17" s="2"/>
      <c r="IWS17" s="2"/>
      <c r="IWT17" s="2"/>
      <c r="IWU17" s="2"/>
      <c r="IWV17" s="2"/>
      <c r="IWW17" s="2"/>
      <c r="IWX17" s="2"/>
      <c r="IWY17" s="2"/>
      <c r="IWZ17" s="2"/>
      <c r="IXA17" s="2"/>
      <c r="IXB17" s="2"/>
      <c r="IXC17" s="2"/>
      <c r="IXD17" s="2"/>
      <c r="IXE17" s="2"/>
      <c r="IXF17" s="2"/>
      <c r="IXG17" s="2"/>
      <c r="IXH17" s="2"/>
      <c r="IXI17" s="2"/>
      <c r="IXJ17" s="2"/>
      <c r="IXK17" s="2"/>
      <c r="IXL17" s="2"/>
      <c r="IXM17" s="2"/>
      <c r="IXN17" s="2"/>
      <c r="IXO17" s="2"/>
      <c r="IXP17" s="2"/>
      <c r="IXQ17" s="2"/>
      <c r="IXR17" s="2"/>
      <c r="IXS17" s="2"/>
      <c r="IXT17" s="2"/>
      <c r="IXU17" s="2"/>
      <c r="IXV17" s="2"/>
      <c r="IXW17" s="2"/>
      <c r="IXX17" s="2"/>
      <c r="IXY17" s="2"/>
      <c r="IXZ17" s="2"/>
      <c r="IYA17" s="2"/>
      <c r="IYB17" s="2"/>
      <c r="IYC17" s="2"/>
      <c r="IYD17" s="2"/>
      <c r="IYE17" s="2"/>
      <c r="IYF17" s="2"/>
      <c r="IYG17" s="2"/>
      <c r="IYH17" s="2"/>
      <c r="IYI17" s="2"/>
      <c r="IYJ17" s="2"/>
      <c r="IYK17" s="2"/>
      <c r="IYL17" s="2"/>
      <c r="IYM17" s="2"/>
      <c r="IYN17" s="2"/>
      <c r="IYO17" s="2"/>
      <c r="IYP17" s="2"/>
      <c r="IYQ17" s="2"/>
      <c r="IYR17" s="2"/>
      <c r="IYS17" s="2"/>
      <c r="IYT17" s="2"/>
      <c r="IYU17" s="2"/>
      <c r="IYV17" s="2"/>
      <c r="IYW17" s="2"/>
      <c r="IYX17" s="2"/>
      <c r="IYY17" s="2"/>
      <c r="IYZ17" s="2"/>
      <c r="IZA17" s="2"/>
      <c r="IZB17" s="2"/>
      <c r="IZC17" s="2"/>
      <c r="IZD17" s="2"/>
      <c r="IZE17" s="2"/>
      <c r="IZF17" s="2"/>
      <c r="IZG17" s="2"/>
      <c r="IZH17" s="2"/>
      <c r="IZI17" s="2"/>
      <c r="IZJ17" s="2"/>
      <c r="IZK17" s="2"/>
      <c r="IZL17" s="2"/>
      <c r="IZM17" s="2"/>
      <c r="IZN17" s="2"/>
      <c r="IZO17" s="2"/>
      <c r="IZP17" s="2"/>
      <c r="IZQ17" s="2"/>
      <c r="IZR17" s="2"/>
      <c r="IZS17" s="2"/>
      <c r="IZT17" s="2"/>
      <c r="IZU17" s="2"/>
      <c r="IZV17" s="2"/>
      <c r="IZW17" s="2"/>
      <c r="IZX17" s="2"/>
      <c r="IZY17" s="2"/>
      <c r="IZZ17" s="2"/>
      <c r="JAA17" s="2"/>
      <c r="JAB17" s="2"/>
      <c r="JAC17" s="2"/>
      <c r="JAD17" s="2"/>
      <c r="JAE17" s="2"/>
      <c r="JAF17" s="2"/>
      <c r="JAG17" s="2"/>
      <c r="JAH17" s="2"/>
      <c r="JAI17" s="2"/>
      <c r="JAJ17" s="2"/>
      <c r="JAK17" s="2"/>
      <c r="JAL17" s="2"/>
      <c r="JAM17" s="2"/>
      <c r="JAN17" s="2"/>
      <c r="JAO17" s="2"/>
      <c r="JAP17" s="2"/>
      <c r="JAQ17" s="2"/>
      <c r="JAR17" s="2"/>
      <c r="JAS17" s="2"/>
      <c r="JAT17" s="2"/>
      <c r="JAU17" s="2"/>
      <c r="JAV17" s="2"/>
      <c r="JAW17" s="2"/>
      <c r="JAX17" s="2"/>
      <c r="JAY17" s="2"/>
      <c r="JAZ17" s="2"/>
      <c r="JBA17" s="2"/>
      <c r="JBB17" s="2"/>
      <c r="JBC17" s="2"/>
      <c r="JBD17" s="2"/>
      <c r="JBE17" s="2"/>
      <c r="JBF17" s="2"/>
      <c r="JBG17" s="2"/>
      <c r="JBH17" s="2"/>
      <c r="JBI17" s="2"/>
      <c r="JBJ17" s="2"/>
      <c r="JBK17" s="2"/>
      <c r="JBL17" s="2"/>
      <c r="JBM17" s="2"/>
      <c r="JBN17" s="2"/>
      <c r="JBO17" s="2"/>
      <c r="JBP17" s="2"/>
      <c r="JBQ17" s="2"/>
      <c r="JBR17" s="2"/>
      <c r="JBS17" s="2"/>
      <c r="JBT17" s="2"/>
      <c r="JBU17" s="2"/>
      <c r="JBV17" s="2"/>
      <c r="JBW17" s="2"/>
      <c r="JBX17" s="2"/>
      <c r="JBY17" s="2"/>
      <c r="JBZ17" s="2"/>
      <c r="JCA17" s="2"/>
      <c r="JCB17" s="2"/>
      <c r="JCC17" s="2"/>
      <c r="JCD17" s="2"/>
      <c r="JCE17" s="2"/>
      <c r="JCF17" s="2"/>
      <c r="JCG17" s="2"/>
      <c r="JCH17" s="2"/>
      <c r="JCI17" s="2"/>
      <c r="JCJ17" s="2"/>
      <c r="JCK17" s="2"/>
      <c r="JCL17" s="2"/>
      <c r="JCM17" s="2"/>
      <c r="JCN17" s="2"/>
      <c r="JCO17" s="2"/>
      <c r="JCP17" s="2"/>
      <c r="JCQ17" s="2"/>
      <c r="JCR17" s="2"/>
      <c r="JCS17" s="2"/>
      <c r="JCT17" s="2"/>
      <c r="JCU17" s="2"/>
      <c r="JCV17" s="2"/>
      <c r="JCW17" s="2"/>
      <c r="JCX17" s="2"/>
      <c r="JCY17" s="2"/>
      <c r="JCZ17" s="2"/>
      <c r="JDA17" s="2"/>
      <c r="JDB17" s="2"/>
      <c r="JDC17" s="2"/>
      <c r="JDD17" s="2"/>
      <c r="JDE17" s="2"/>
      <c r="JDF17" s="2"/>
      <c r="JDG17" s="2"/>
      <c r="JDH17" s="2"/>
      <c r="JDI17" s="2"/>
      <c r="JDJ17" s="2"/>
      <c r="JDK17" s="2"/>
      <c r="JDL17" s="2"/>
      <c r="JDM17" s="2"/>
      <c r="JDN17" s="2"/>
      <c r="JDO17" s="2"/>
      <c r="JDP17" s="2"/>
      <c r="JDQ17" s="2"/>
      <c r="JDR17" s="2"/>
      <c r="JDS17" s="2"/>
      <c r="JDT17" s="2"/>
      <c r="JDU17" s="2"/>
      <c r="JDV17" s="2"/>
      <c r="JDW17" s="2"/>
      <c r="JDX17" s="2"/>
      <c r="JDY17" s="2"/>
      <c r="JDZ17" s="2"/>
      <c r="JEA17" s="2"/>
      <c r="JEB17" s="2"/>
      <c r="JEC17" s="2"/>
      <c r="JED17" s="2"/>
      <c r="JEE17" s="2"/>
      <c r="JEF17" s="2"/>
      <c r="JEG17" s="2"/>
      <c r="JEH17" s="2"/>
      <c r="JEI17" s="2"/>
      <c r="JEJ17" s="2"/>
      <c r="JEK17" s="2"/>
      <c r="JEL17" s="2"/>
      <c r="JEM17" s="2"/>
      <c r="JEN17" s="2"/>
      <c r="JEO17" s="2"/>
      <c r="JEP17" s="2"/>
      <c r="JEQ17" s="2"/>
      <c r="JER17" s="2"/>
      <c r="JES17" s="2"/>
      <c r="JET17" s="2"/>
      <c r="JEU17" s="2"/>
      <c r="JEV17" s="2"/>
      <c r="JEW17" s="2"/>
      <c r="JEX17" s="2"/>
      <c r="JEY17" s="2"/>
      <c r="JEZ17" s="2"/>
      <c r="JFA17" s="2"/>
      <c r="JFB17" s="2"/>
      <c r="JFC17" s="2"/>
      <c r="JFD17" s="2"/>
      <c r="JFE17" s="2"/>
      <c r="JFF17" s="2"/>
      <c r="JFG17" s="2"/>
      <c r="JFH17" s="2"/>
      <c r="JFI17" s="2"/>
      <c r="JFJ17" s="2"/>
      <c r="JFK17" s="2"/>
      <c r="JFL17" s="2"/>
      <c r="JFM17" s="2"/>
      <c r="JFN17" s="2"/>
      <c r="JFO17" s="2"/>
      <c r="JFP17" s="2"/>
      <c r="JFQ17" s="2"/>
      <c r="JFR17" s="2"/>
      <c r="JFS17" s="2"/>
      <c r="JFT17" s="2"/>
      <c r="JFU17" s="2"/>
      <c r="JFV17" s="2"/>
      <c r="JFW17" s="2"/>
      <c r="JFX17" s="2"/>
      <c r="JFY17" s="2"/>
      <c r="JFZ17" s="2"/>
      <c r="JGA17" s="2"/>
      <c r="JGB17" s="2"/>
      <c r="JGC17" s="2"/>
      <c r="JGD17" s="2"/>
      <c r="JGE17" s="2"/>
      <c r="JGF17" s="2"/>
      <c r="JGG17" s="2"/>
      <c r="JGH17" s="2"/>
      <c r="JGI17" s="2"/>
      <c r="JGJ17" s="2"/>
      <c r="JGK17" s="2"/>
      <c r="JGL17" s="2"/>
      <c r="JGM17" s="2"/>
      <c r="JGN17" s="2"/>
      <c r="JGO17" s="2"/>
      <c r="JGP17" s="2"/>
      <c r="JGQ17" s="2"/>
      <c r="JGR17" s="2"/>
      <c r="JGS17" s="2"/>
      <c r="JGT17" s="2"/>
      <c r="JGU17" s="2"/>
      <c r="JGV17" s="2"/>
      <c r="JGW17" s="2"/>
      <c r="JGX17" s="2"/>
      <c r="JGY17" s="2"/>
      <c r="JGZ17" s="2"/>
      <c r="JHA17" s="2"/>
      <c r="JHB17" s="2"/>
      <c r="JHC17" s="2"/>
      <c r="JHD17" s="2"/>
      <c r="JHE17" s="2"/>
      <c r="JHF17" s="2"/>
      <c r="JHG17" s="2"/>
      <c r="JHH17" s="2"/>
      <c r="JHI17" s="2"/>
      <c r="JHJ17" s="2"/>
      <c r="JHK17" s="2"/>
      <c r="JHL17" s="2"/>
      <c r="JHM17" s="2"/>
      <c r="JHN17" s="2"/>
      <c r="JHO17" s="2"/>
      <c r="JHP17" s="2"/>
      <c r="JHQ17" s="2"/>
      <c r="JHR17" s="2"/>
      <c r="JHS17" s="2"/>
      <c r="JHT17" s="2"/>
      <c r="JHU17" s="2"/>
      <c r="JHV17" s="2"/>
      <c r="JHW17" s="2"/>
      <c r="JHX17" s="2"/>
      <c r="JHY17" s="2"/>
      <c r="JHZ17" s="2"/>
      <c r="JIA17" s="2"/>
      <c r="JIB17" s="2"/>
      <c r="JIC17" s="2"/>
      <c r="JID17" s="2"/>
      <c r="JIE17" s="2"/>
      <c r="JIF17" s="2"/>
      <c r="JIG17" s="2"/>
      <c r="JIH17" s="2"/>
      <c r="JII17" s="2"/>
      <c r="JIJ17" s="2"/>
      <c r="JIK17" s="2"/>
      <c r="JIL17" s="2"/>
      <c r="JIM17" s="2"/>
      <c r="JIN17" s="2"/>
      <c r="JIO17" s="2"/>
      <c r="JIP17" s="2"/>
      <c r="JIQ17" s="2"/>
      <c r="JIR17" s="2"/>
      <c r="JIS17" s="2"/>
      <c r="JIT17" s="2"/>
      <c r="JIU17" s="2"/>
      <c r="JIV17" s="2"/>
      <c r="JIW17" s="2"/>
      <c r="JIX17" s="2"/>
      <c r="JIY17" s="2"/>
      <c r="JIZ17" s="2"/>
      <c r="JJA17" s="2"/>
      <c r="JJB17" s="2"/>
      <c r="JJC17" s="2"/>
      <c r="JJD17" s="2"/>
      <c r="JJE17" s="2"/>
      <c r="JJF17" s="2"/>
      <c r="JJG17" s="2"/>
      <c r="JJH17" s="2"/>
      <c r="JJI17" s="2"/>
      <c r="JJJ17" s="2"/>
      <c r="JJK17" s="2"/>
      <c r="JJL17" s="2"/>
      <c r="JJM17" s="2"/>
      <c r="JJN17" s="2"/>
      <c r="JJO17" s="2"/>
      <c r="JJP17" s="2"/>
      <c r="JJQ17" s="2"/>
      <c r="JJR17" s="2"/>
      <c r="JJS17" s="2"/>
      <c r="JJT17" s="2"/>
      <c r="JJU17" s="2"/>
      <c r="JJV17" s="2"/>
      <c r="JJW17" s="2"/>
      <c r="JJX17" s="2"/>
      <c r="JJY17" s="2"/>
      <c r="JJZ17" s="2"/>
      <c r="JKA17" s="2"/>
      <c r="JKB17" s="2"/>
      <c r="JKC17" s="2"/>
      <c r="JKD17" s="2"/>
      <c r="JKE17" s="2"/>
      <c r="JKF17" s="2"/>
      <c r="JKG17" s="2"/>
      <c r="JKH17" s="2"/>
      <c r="JKI17" s="2"/>
      <c r="JKJ17" s="2"/>
      <c r="JKK17" s="2"/>
      <c r="JKL17" s="2"/>
      <c r="JKM17" s="2"/>
      <c r="JKN17" s="2"/>
      <c r="JKO17" s="2"/>
      <c r="JKP17" s="2"/>
      <c r="JKQ17" s="2"/>
      <c r="JKR17" s="2"/>
      <c r="JKS17" s="2"/>
      <c r="JKT17" s="2"/>
      <c r="JKU17" s="2"/>
      <c r="JKV17" s="2"/>
      <c r="JKW17" s="2"/>
      <c r="JKX17" s="2"/>
      <c r="JKY17" s="2"/>
      <c r="JKZ17" s="2"/>
      <c r="JLA17" s="2"/>
      <c r="JLB17" s="2"/>
      <c r="JLC17" s="2"/>
      <c r="JLD17" s="2"/>
      <c r="JLE17" s="2"/>
      <c r="JLF17" s="2"/>
      <c r="JLG17" s="2"/>
      <c r="JLH17" s="2"/>
      <c r="JLI17" s="2"/>
      <c r="JLJ17" s="2"/>
      <c r="JLK17" s="2"/>
      <c r="JLL17" s="2"/>
      <c r="JLM17" s="2"/>
      <c r="JLN17" s="2"/>
      <c r="JLO17" s="2"/>
      <c r="JLP17" s="2"/>
      <c r="JLQ17" s="2"/>
      <c r="JLR17" s="2"/>
      <c r="JLS17" s="2"/>
      <c r="JLT17" s="2"/>
      <c r="JLU17" s="2"/>
      <c r="JLV17" s="2"/>
      <c r="JLW17" s="2"/>
      <c r="JLX17" s="2"/>
      <c r="JLY17" s="2"/>
      <c r="JLZ17" s="2"/>
      <c r="JMA17" s="2"/>
      <c r="JMB17" s="2"/>
      <c r="JMC17" s="2"/>
      <c r="JMD17" s="2"/>
      <c r="JME17" s="2"/>
      <c r="JMF17" s="2"/>
      <c r="JMG17" s="2"/>
      <c r="JMH17" s="2"/>
      <c r="JMI17" s="2"/>
      <c r="JMJ17" s="2"/>
      <c r="JMK17" s="2"/>
      <c r="JML17" s="2"/>
      <c r="JMM17" s="2"/>
      <c r="JMN17" s="2"/>
      <c r="JMO17" s="2"/>
      <c r="JMP17" s="2"/>
      <c r="JMQ17" s="2"/>
      <c r="JMR17" s="2"/>
      <c r="JMS17" s="2"/>
      <c r="JMT17" s="2"/>
      <c r="JMU17" s="2"/>
      <c r="JMV17" s="2"/>
      <c r="JMW17" s="2"/>
      <c r="JMX17" s="2"/>
      <c r="JMY17" s="2"/>
      <c r="JMZ17" s="2"/>
      <c r="JNA17" s="2"/>
      <c r="JNB17" s="2"/>
      <c r="JNC17" s="2"/>
      <c r="JND17" s="2"/>
      <c r="JNE17" s="2"/>
      <c r="JNF17" s="2"/>
      <c r="JNG17" s="2"/>
      <c r="JNH17" s="2"/>
      <c r="JNI17" s="2"/>
      <c r="JNJ17" s="2"/>
      <c r="JNK17" s="2"/>
      <c r="JNL17" s="2"/>
      <c r="JNM17" s="2"/>
      <c r="JNN17" s="2"/>
      <c r="JNO17" s="2"/>
      <c r="JNP17" s="2"/>
      <c r="JNQ17" s="2"/>
      <c r="JNR17" s="2"/>
      <c r="JNS17" s="2"/>
      <c r="JNT17" s="2"/>
      <c r="JNU17" s="2"/>
      <c r="JNV17" s="2"/>
      <c r="JNW17" s="2"/>
      <c r="JNX17" s="2"/>
      <c r="JNY17" s="2"/>
      <c r="JNZ17" s="2"/>
      <c r="JOA17" s="2"/>
      <c r="JOB17" s="2"/>
      <c r="JOC17" s="2"/>
      <c r="JOD17" s="2"/>
      <c r="JOE17" s="2"/>
      <c r="JOF17" s="2"/>
      <c r="JOG17" s="2"/>
      <c r="JOH17" s="2"/>
      <c r="JOI17" s="2"/>
      <c r="JOJ17" s="2"/>
      <c r="JOK17" s="2"/>
      <c r="JOL17" s="2"/>
      <c r="JOM17" s="2"/>
      <c r="JON17" s="2"/>
      <c r="JOO17" s="2"/>
      <c r="JOP17" s="2"/>
      <c r="JOQ17" s="2"/>
      <c r="JOR17" s="2"/>
      <c r="JOS17" s="2"/>
      <c r="JOT17" s="2"/>
      <c r="JOU17" s="2"/>
      <c r="JOV17" s="2"/>
      <c r="JOW17" s="2"/>
      <c r="JOX17" s="2"/>
      <c r="JOY17" s="2"/>
      <c r="JOZ17" s="2"/>
      <c r="JPA17" s="2"/>
      <c r="JPB17" s="2"/>
      <c r="JPC17" s="2"/>
      <c r="JPD17" s="2"/>
      <c r="JPE17" s="2"/>
      <c r="JPF17" s="2"/>
      <c r="JPG17" s="2"/>
      <c r="JPH17" s="2"/>
      <c r="JPI17" s="2"/>
      <c r="JPJ17" s="2"/>
      <c r="JPK17" s="2"/>
      <c r="JPL17" s="2"/>
      <c r="JPM17" s="2"/>
      <c r="JPN17" s="2"/>
      <c r="JPO17" s="2"/>
      <c r="JPP17" s="2"/>
      <c r="JPQ17" s="2"/>
      <c r="JPR17" s="2"/>
      <c r="JPS17" s="2"/>
      <c r="JPT17" s="2"/>
      <c r="JPU17" s="2"/>
      <c r="JPV17" s="2"/>
      <c r="JPW17" s="2"/>
      <c r="JPX17" s="2"/>
      <c r="JPY17" s="2"/>
      <c r="JPZ17" s="2"/>
      <c r="JQA17" s="2"/>
      <c r="JQB17" s="2"/>
      <c r="JQC17" s="2"/>
      <c r="JQD17" s="2"/>
      <c r="JQE17" s="2"/>
      <c r="JQF17" s="2"/>
      <c r="JQG17" s="2"/>
      <c r="JQH17" s="2"/>
      <c r="JQI17" s="2"/>
      <c r="JQJ17" s="2"/>
      <c r="JQK17" s="2"/>
      <c r="JQL17" s="2"/>
      <c r="JQM17" s="2"/>
      <c r="JQN17" s="2"/>
      <c r="JQO17" s="2"/>
      <c r="JQP17" s="2"/>
      <c r="JQQ17" s="2"/>
      <c r="JQR17" s="2"/>
      <c r="JQS17" s="2"/>
      <c r="JQT17" s="2"/>
      <c r="JQU17" s="2"/>
      <c r="JQV17" s="2"/>
      <c r="JQW17" s="2"/>
      <c r="JQX17" s="2"/>
      <c r="JQY17" s="2"/>
      <c r="JQZ17" s="2"/>
      <c r="JRA17" s="2"/>
      <c r="JRB17" s="2"/>
      <c r="JRC17" s="2"/>
      <c r="JRD17" s="2"/>
      <c r="JRE17" s="2"/>
      <c r="JRF17" s="2"/>
      <c r="JRG17" s="2"/>
      <c r="JRH17" s="2"/>
      <c r="JRI17" s="2"/>
      <c r="JRJ17" s="2"/>
      <c r="JRK17" s="2"/>
      <c r="JRL17" s="2"/>
      <c r="JRM17" s="2"/>
      <c r="JRN17" s="2"/>
      <c r="JRO17" s="2"/>
      <c r="JRP17" s="2"/>
      <c r="JRQ17" s="2"/>
      <c r="JRR17" s="2"/>
      <c r="JRS17" s="2"/>
      <c r="JRT17" s="2"/>
      <c r="JRU17" s="2"/>
      <c r="JRV17" s="2"/>
      <c r="JRW17" s="2"/>
      <c r="JRX17" s="2"/>
      <c r="JRY17" s="2"/>
      <c r="JRZ17" s="2"/>
      <c r="JSA17" s="2"/>
      <c r="JSB17" s="2"/>
      <c r="JSC17" s="2"/>
      <c r="JSD17" s="2"/>
      <c r="JSE17" s="2"/>
      <c r="JSF17" s="2"/>
      <c r="JSG17" s="2"/>
      <c r="JSH17" s="2"/>
      <c r="JSI17" s="2"/>
      <c r="JSJ17" s="2"/>
      <c r="JSK17" s="2"/>
      <c r="JSL17" s="2"/>
      <c r="JSM17" s="2"/>
      <c r="JSN17" s="2"/>
      <c r="JSO17" s="2"/>
      <c r="JSP17" s="2"/>
      <c r="JSQ17" s="2"/>
      <c r="JSR17" s="2"/>
      <c r="JSS17" s="2"/>
      <c r="JST17" s="2"/>
      <c r="JSU17" s="2"/>
      <c r="JSV17" s="2"/>
      <c r="JSW17" s="2"/>
      <c r="JSX17" s="2"/>
      <c r="JSY17" s="2"/>
      <c r="JSZ17" s="2"/>
      <c r="JTA17" s="2"/>
      <c r="JTB17" s="2"/>
      <c r="JTC17" s="2"/>
      <c r="JTD17" s="2"/>
      <c r="JTE17" s="2"/>
      <c r="JTF17" s="2"/>
      <c r="JTG17" s="2"/>
      <c r="JTH17" s="2"/>
      <c r="JTI17" s="2"/>
      <c r="JTJ17" s="2"/>
      <c r="JTK17" s="2"/>
      <c r="JTL17" s="2"/>
      <c r="JTM17" s="2"/>
      <c r="JTN17" s="2"/>
      <c r="JTO17" s="2"/>
      <c r="JTP17" s="2"/>
      <c r="JTQ17" s="2"/>
      <c r="JTR17" s="2"/>
      <c r="JTS17" s="2"/>
      <c r="JTT17" s="2"/>
      <c r="JTU17" s="2"/>
      <c r="JTV17" s="2"/>
      <c r="JTW17" s="2"/>
      <c r="JTX17" s="2"/>
      <c r="JTY17" s="2"/>
      <c r="JTZ17" s="2"/>
      <c r="JUA17" s="2"/>
      <c r="JUB17" s="2"/>
      <c r="JUC17" s="2"/>
      <c r="JUD17" s="2"/>
      <c r="JUE17" s="2"/>
      <c r="JUF17" s="2"/>
      <c r="JUG17" s="2"/>
      <c r="JUH17" s="2"/>
      <c r="JUI17" s="2"/>
      <c r="JUJ17" s="2"/>
      <c r="JUK17" s="2"/>
      <c r="JUL17" s="2"/>
      <c r="JUM17" s="2"/>
      <c r="JUN17" s="2"/>
      <c r="JUO17" s="2"/>
      <c r="JUP17" s="2"/>
      <c r="JUQ17" s="2"/>
      <c r="JUR17" s="2"/>
      <c r="JUS17" s="2"/>
      <c r="JUT17" s="2"/>
      <c r="JUU17" s="2"/>
      <c r="JUV17" s="2"/>
      <c r="JUW17" s="2"/>
      <c r="JUX17" s="2"/>
      <c r="JUY17" s="2"/>
      <c r="JUZ17" s="2"/>
      <c r="JVA17" s="2"/>
      <c r="JVB17" s="2"/>
      <c r="JVC17" s="2"/>
      <c r="JVD17" s="2"/>
      <c r="JVE17" s="2"/>
      <c r="JVF17" s="2"/>
      <c r="JVG17" s="2"/>
      <c r="JVH17" s="2"/>
      <c r="JVI17" s="2"/>
      <c r="JVJ17" s="2"/>
      <c r="JVK17" s="2"/>
      <c r="JVL17" s="2"/>
      <c r="JVM17" s="2"/>
      <c r="JVN17" s="2"/>
      <c r="JVO17" s="2"/>
      <c r="JVP17" s="2"/>
      <c r="JVQ17" s="2"/>
      <c r="JVR17" s="2"/>
      <c r="JVS17" s="2"/>
      <c r="JVT17" s="2"/>
      <c r="JVU17" s="2"/>
      <c r="JVV17" s="2"/>
      <c r="JVW17" s="2"/>
      <c r="JVX17" s="2"/>
      <c r="JVY17" s="2"/>
      <c r="JVZ17" s="2"/>
      <c r="JWA17" s="2"/>
      <c r="JWB17" s="2"/>
      <c r="JWC17" s="2"/>
      <c r="JWD17" s="2"/>
      <c r="JWE17" s="2"/>
      <c r="JWF17" s="2"/>
      <c r="JWG17" s="2"/>
      <c r="JWH17" s="2"/>
      <c r="JWI17" s="2"/>
      <c r="JWJ17" s="2"/>
      <c r="JWK17" s="2"/>
      <c r="JWL17" s="2"/>
      <c r="JWM17" s="2"/>
      <c r="JWN17" s="2"/>
      <c r="JWO17" s="2"/>
      <c r="JWP17" s="2"/>
      <c r="JWQ17" s="2"/>
      <c r="JWR17" s="2"/>
      <c r="JWS17" s="2"/>
      <c r="JWT17" s="2"/>
      <c r="JWU17" s="2"/>
      <c r="JWV17" s="2"/>
      <c r="JWW17" s="2"/>
      <c r="JWX17" s="2"/>
      <c r="JWY17" s="2"/>
      <c r="JWZ17" s="2"/>
      <c r="JXA17" s="2"/>
      <c r="JXB17" s="2"/>
      <c r="JXC17" s="2"/>
      <c r="JXD17" s="2"/>
      <c r="JXE17" s="2"/>
      <c r="JXF17" s="2"/>
      <c r="JXG17" s="2"/>
      <c r="JXH17" s="2"/>
      <c r="JXI17" s="2"/>
      <c r="JXJ17" s="2"/>
      <c r="JXK17" s="2"/>
      <c r="JXL17" s="2"/>
      <c r="JXM17" s="2"/>
      <c r="JXN17" s="2"/>
      <c r="JXO17" s="2"/>
      <c r="JXP17" s="2"/>
      <c r="JXQ17" s="2"/>
      <c r="JXR17" s="2"/>
      <c r="JXS17" s="2"/>
      <c r="JXT17" s="2"/>
      <c r="JXU17" s="2"/>
      <c r="JXV17" s="2"/>
      <c r="JXW17" s="2"/>
      <c r="JXX17" s="2"/>
      <c r="JXY17" s="2"/>
      <c r="JXZ17" s="2"/>
      <c r="JYA17" s="2"/>
      <c r="JYB17" s="2"/>
      <c r="JYC17" s="2"/>
      <c r="JYD17" s="2"/>
      <c r="JYE17" s="2"/>
      <c r="JYF17" s="2"/>
      <c r="JYG17" s="2"/>
      <c r="JYH17" s="2"/>
      <c r="JYI17" s="2"/>
      <c r="JYJ17" s="2"/>
      <c r="JYK17" s="2"/>
      <c r="JYL17" s="2"/>
      <c r="JYM17" s="2"/>
      <c r="JYN17" s="2"/>
      <c r="JYO17" s="2"/>
      <c r="JYP17" s="2"/>
      <c r="JYQ17" s="2"/>
      <c r="JYR17" s="2"/>
      <c r="JYS17" s="2"/>
      <c r="JYT17" s="2"/>
      <c r="JYU17" s="2"/>
      <c r="JYV17" s="2"/>
      <c r="JYW17" s="2"/>
      <c r="JYX17" s="2"/>
      <c r="JYY17" s="2"/>
      <c r="JYZ17" s="2"/>
      <c r="JZA17" s="2"/>
      <c r="JZB17" s="2"/>
      <c r="JZC17" s="2"/>
      <c r="JZD17" s="2"/>
      <c r="JZE17" s="2"/>
      <c r="JZF17" s="2"/>
      <c r="JZG17" s="2"/>
      <c r="JZH17" s="2"/>
      <c r="JZI17" s="2"/>
      <c r="JZJ17" s="2"/>
      <c r="JZK17" s="2"/>
      <c r="JZL17" s="2"/>
      <c r="JZM17" s="2"/>
      <c r="JZN17" s="2"/>
      <c r="JZO17" s="2"/>
      <c r="JZP17" s="2"/>
      <c r="JZQ17" s="2"/>
      <c r="JZR17" s="2"/>
      <c r="JZS17" s="2"/>
      <c r="JZT17" s="2"/>
      <c r="JZU17" s="2"/>
      <c r="JZV17" s="2"/>
      <c r="JZW17" s="2"/>
      <c r="JZX17" s="2"/>
      <c r="JZY17" s="2"/>
      <c r="JZZ17" s="2"/>
      <c r="KAA17" s="2"/>
      <c r="KAB17" s="2"/>
      <c r="KAC17" s="2"/>
      <c r="KAD17" s="2"/>
      <c r="KAE17" s="2"/>
      <c r="KAF17" s="2"/>
      <c r="KAG17" s="2"/>
      <c r="KAH17" s="2"/>
      <c r="KAI17" s="2"/>
      <c r="KAJ17" s="2"/>
      <c r="KAK17" s="2"/>
      <c r="KAL17" s="2"/>
      <c r="KAM17" s="2"/>
      <c r="KAN17" s="2"/>
      <c r="KAO17" s="2"/>
      <c r="KAP17" s="2"/>
      <c r="KAQ17" s="2"/>
      <c r="KAR17" s="2"/>
      <c r="KAS17" s="2"/>
      <c r="KAT17" s="2"/>
      <c r="KAU17" s="2"/>
      <c r="KAV17" s="2"/>
      <c r="KAW17" s="2"/>
      <c r="KAX17" s="2"/>
      <c r="KAY17" s="2"/>
      <c r="KAZ17" s="2"/>
      <c r="KBA17" s="2"/>
      <c r="KBB17" s="2"/>
      <c r="KBC17" s="2"/>
      <c r="KBD17" s="2"/>
      <c r="KBE17" s="2"/>
      <c r="KBF17" s="2"/>
      <c r="KBG17" s="2"/>
      <c r="KBH17" s="2"/>
      <c r="KBI17" s="2"/>
      <c r="KBJ17" s="2"/>
      <c r="KBK17" s="2"/>
      <c r="KBL17" s="2"/>
      <c r="KBM17" s="2"/>
      <c r="KBN17" s="2"/>
      <c r="KBO17" s="2"/>
      <c r="KBP17" s="2"/>
      <c r="KBQ17" s="2"/>
      <c r="KBR17" s="2"/>
      <c r="KBS17" s="2"/>
      <c r="KBT17" s="2"/>
      <c r="KBU17" s="2"/>
      <c r="KBV17" s="2"/>
      <c r="KBW17" s="2"/>
      <c r="KBX17" s="2"/>
      <c r="KBY17" s="2"/>
      <c r="KBZ17" s="2"/>
      <c r="KCA17" s="2"/>
      <c r="KCB17" s="2"/>
      <c r="KCC17" s="2"/>
      <c r="KCD17" s="2"/>
      <c r="KCE17" s="2"/>
      <c r="KCF17" s="2"/>
      <c r="KCG17" s="2"/>
      <c r="KCH17" s="2"/>
      <c r="KCI17" s="2"/>
      <c r="KCJ17" s="2"/>
      <c r="KCK17" s="2"/>
      <c r="KCL17" s="2"/>
      <c r="KCM17" s="2"/>
      <c r="KCN17" s="2"/>
      <c r="KCO17" s="2"/>
      <c r="KCP17" s="2"/>
      <c r="KCQ17" s="2"/>
      <c r="KCR17" s="2"/>
      <c r="KCS17" s="2"/>
      <c r="KCT17" s="2"/>
      <c r="KCU17" s="2"/>
      <c r="KCV17" s="2"/>
      <c r="KCW17" s="2"/>
      <c r="KCX17" s="2"/>
      <c r="KCY17" s="2"/>
      <c r="KCZ17" s="2"/>
      <c r="KDA17" s="2"/>
      <c r="KDB17" s="2"/>
      <c r="KDC17" s="2"/>
      <c r="KDD17" s="2"/>
      <c r="KDE17" s="2"/>
      <c r="KDF17" s="2"/>
      <c r="KDG17" s="2"/>
      <c r="KDH17" s="2"/>
      <c r="KDI17" s="2"/>
      <c r="KDJ17" s="2"/>
      <c r="KDK17" s="2"/>
      <c r="KDL17" s="2"/>
      <c r="KDM17" s="2"/>
      <c r="KDN17" s="2"/>
      <c r="KDO17" s="2"/>
      <c r="KDP17" s="2"/>
      <c r="KDQ17" s="2"/>
      <c r="KDR17" s="2"/>
      <c r="KDS17" s="2"/>
      <c r="KDT17" s="2"/>
      <c r="KDU17" s="2"/>
      <c r="KDV17" s="2"/>
      <c r="KDW17" s="2"/>
      <c r="KDX17" s="2"/>
      <c r="KDY17" s="2"/>
      <c r="KDZ17" s="2"/>
      <c r="KEA17" s="2"/>
      <c r="KEB17" s="2"/>
      <c r="KEC17" s="2"/>
      <c r="KED17" s="2"/>
      <c r="KEE17" s="2"/>
      <c r="KEF17" s="2"/>
      <c r="KEG17" s="2"/>
      <c r="KEH17" s="2"/>
      <c r="KEI17" s="2"/>
      <c r="KEJ17" s="2"/>
      <c r="KEK17" s="2"/>
      <c r="KEL17" s="2"/>
      <c r="KEM17" s="2"/>
      <c r="KEN17" s="2"/>
      <c r="KEO17" s="2"/>
      <c r="KEP17" s="2"/>
      <c r="KEQ17" s="2"/>
      <c r="KER17" s="2"/>
      <c r="KES17" s="2"/>
      <c r="KET17" s="2"/>
      <c r="KEU17" s="2"/>
      <c r="KEV17" s="2"/>
      <c r="KEW17" s="2"/>
      <c r="KEX17" s="2"/>
      <c r="KEY17" s="2"/>
      <c r="KEZ17" s="2"/>
      <c r="KFA17" s="2"/>
      <c r="KFB17" s="2"/>
      <c r="KFC17" s="2"/>
      <c r="KFD17" s="2"/>
      <c r="KFE17" s="2"/>
      <c r="KFF17" s="2"/>
      <c r="KFG17" s="2"/>
      <c r="KFH17" s="2"/>
      <c r="KFI17" s="2"/>
      <c r="KFJ17" s="2"/>
      <c r="KFK17" s="2"/>
      <c r="KFL17" s="2"/>
      <c r="KFM17" s="2"/>
      <c r="KFN17" s="2"/>
      <c r="KFO17" s="2"/>
      <c r="KFP17" s="2"/>
      <c r="KFQ17" s="2"/>
      <c r="KFR17" s="2"/>
      <c r="KFS17" s="2"/>
      <c r="KFT17" s="2"/>
      <c r="KFU17" s="2"/>
      <c r="KFV17" s="2"/>
      <c r="KFW17" s="2"/>
      <c r="KFX17" s="2"/>
      <c r="KFY17" s="2"/>
      <c r="KFZ17" s="2"/>
      <c r="KGA17" s="2"/>
      <c r="KGB17" s="2"/>
      <c r="KGC17" s="2"/>
      <c r="KGD17" s="2"/>
      <c r="KGE17" s="2"/>
      <c r="KGF17" s="2"/>
      <c r="KGG17" s="2"/>
      <c r="KGH17" s="2"/>
      <c r="KGI17" s="2"/>
      <c r="KGJ17" s="2"/>
      <c r="KGK17" s="2"/>
      <c r="KGL17" s="2"/>
      <c r="KGM17" s="2"/>
      <c r="KGN17" s="2"/>
      <c r="KGO17" s="2"/>
      <c r="KGP17" s="2"/>
      <c r="KGQ17" s="2"/>
      <c r="KGR17" s="2"/>
      <c r="KGS17" s="2"/>
      <c r="KGT17" s="2"/>
      <c r="KGU17" s="2"/>
      <c r="KGV17" s="2"/>
      <c r="KGW17" s="2"/>
      <c r="KGX17" s="2"/>
      <c r="KGY17" s="2"/>
      <c r="KGZ17" s="2"/>
      <c r="KHA17" s="2"/>
      <c r="KHB17" s="2"/>
      <c r="KHC17" s="2"/>
      <c r="KHD17" s="2"/>
      <c r="KHE17" s="2"/>
      <c r="KHF17" s="2"/>
      <c r="KHG17" s="2"/>
      <c r="KHH17" s="2"/>
      <c r="KHI17" s="2"/>
      <c r="KHJ17" s="2"/>
      <c r="KHK17" s="2"/>
      <c r="KHL17" s="2"/>
      <c r="KHM17" s="2"/>
      <c r="KHN17" s="2"/>
      <c r="KHO17" s="2"/>
      <c r="KHP17" s="2"/>
      <c r="KHQ17" s="2"/>
      <c r="KHR17" s="2"/>
      <c r="KHS17" s="2"/>
      <c r="KHT17" s="2"/>
      <c r="KHU17" s="2"/>
      <c r="KHV17" s="2"/>
      <c r="KHW17" s="2"/>
      <c r="KHX17" s="2"/>
      <c r="KHY17" s="2"/>
      <c r="KHZ17" s="2"/>
      <c r="KIA17" s="2"/>
      <c r="KIB17" s="2"/>
      <c r="KIC17" s="2"/>
      <c r="KID17" s="2"/>
      <c r="KIE17" s="2"/>
      <c r="KIF17" s="2"/>
      <c r="KIG17" s="2"/>
      <c r="KIH17" s="2"/>
      <c r="KII17" s="2"/>
      <c r="KIJ17" s="2"/>
      <c r="KIK17" s="2"/>
      <c r="KIL17" s="2"/>
      <c r="KIM17" s="2"/>
      <c r="KIN17" s="2"/>
      <c r="KIO17" s="2"/>
      <c r="KIP17" s="2"/>
      <c r="KIQ17" s="2"/>
      <c r="KIR17" s="2"/>
      <c r="KIS17" s="2"/>
      <c r="KIT17" s="2"/>
      <c r="KIU17" s="2"/>
      <c r="KIV17" s="2"/>
      <c r="KIW17" s="2"/>
      <c r="KIX17" s="2"/>
      <c r="KIY17" s="2"/>
      <c r="KIZ17" s="2"/>
      <c r="KJA17" s="2"/>
      <c r="KJB17" s="2"/>
      <c r="KJC17" s="2"/>
      <c r="KJD17" s="2"/>
      <c r="KJE17" s="2"/>
      <c r="KJF17" s="2"/>
      <c r="KJG17" s="2"/>
      <c r="KJH17" s="2"/>
      <c r="KJI17" s="2"/>
      <c r="KJJ17" s="2"/>
      <c r="KJK17" s="2"/>
      <c r="KJL17" s="2"/>
      <c r="KJM17" s="2"/>
      <c r="KJN17" s="2"/>
      <c r="KJO17" s="2"/>
      <c r="KJP17" s="2"/>
      <c r="KJQ17" s="2"/>
      <c r="KJR17" s="2"/>
      <c r="KJS17" s="2"/>
      <c r="KJT17" s="2"/>
      <c r="KJU17" s="2"/>
      <c r="KJV17" s="2"/>
      <c r="KJW17" s="2"/>
      <c r="KJX17" s="2"/>
      <c r="KJY17" s="2"/>
      <c r="KJZ17" s="2"/>
      <c r="KKA17" s="2"/>
      <c r="KKB17" s="2"/>
      <c r="KKC17" s="2"/>
      <c r="KKD17" s="2"/>
      <c r="KKE17" s="2"/>
      <c r="KKF17" s="2"/>
      <c r="KKG17" s="2"/>
      <c r="KKH17" s="2"/>
      <c r="KKI17" s="2"/>
      <c r="KKJ17" s="2"/>
      <c r="KKK17" s="2"/>
      <c r="KKL17" s="2"/>
      <c r="KKM17" s="2"/>
      <c r="KKN17" s="2"/>
      <c r="KKO17" s="2"/>
      <c r="KKP17" s="2"/>
      <c r="KKQ17" s="2"/>
      <c r="KKR17" s="2"/>
      <c r="KKS17" s="2"/>
      <c r="KKT17" s="2"/>
      <c r="KKU17" s="2"/>
      <c r="KKV17" s="2"/>
      <c r="KKW17" s="2"/>
      <c r="KKX17" s="2"/>
      <c r="KKY17" s="2"/>
      <c r="KKZ17" s="2"/>
      <c r="KLA17" s="2"/>
      <c r="KLB17" s="2"/>
      <c r="KLC17" s="2"/>
      <c r="KLD17" s="2"/>
      <c r="KLE17" s="2"/>
      <c r="KLF17" s="2"/>
      <c r="KLG17" s="2"/>
      <c r="KLH17" s="2"/>
      <c r="KLI17" s="2"/>
      <c r="KLJ17" s="2"/>
      <c r="KLK17" s="2"/>
      <c r="KLL17" s="2"/>
      <c r="KLM17" s="2"/>
      <c r="KLN17" s="2"/>
      <c r="KLO17" s="2"/>
      <c r="KLP17" s="2"/>
      <c r="KLQ17" s="2"/>
      <c r="KLR17" s="2"/>
      <c r="KLS17" s="2"/>
      <c r="KLT17" s="2"/>
      <c r="KLU17" s="2"/>
      <c r="KLV17" s="2"/>
      <c r="KLW17" s="2"/>
      <c r="KLX17" s="2"/>
      <c r="KLY17" s="2"/>
      <c r="KLZ17" s="2"/>
      <c r="KMA17" s="2"/>
      <c r="KMB17" s="2"/>
      <c r="KMC17" s="2"/>
      <c r="KMD17" s="2"/>
      <c r="KME17" s="2"/>
      <c r="KMF17" s="2"/>
      <c r="KMG17" s="2"/>
      <c r="KMH17" s="2"/>
      <c r="KMI17" s="2"/>
      <c r="KMJ17" s="2"/>
      <c r="KMK17" s="2"/>
      <c r="KML17" s="2"/>
      <c r="KMM17" s="2"/>
      <c r="KMN17" s="2"/>
      <c r="KMO17" s="2"/>
      <c r="KMP17" s="2"/>
      <c r="KMQ17" s="2"/>
      <c r="KMR17" s="2"/>
      <c r="KMS17" s="2"/>
      <c r="KMT17" s="2"/>
      <c r="KMU17" s="2"/>
      <c r="KMV17" s="2"/>
      <c r="KMW17" s="2"/>
      <c r="KMX17" s="2"/>
      <c r="KMY17" s="2"/>
      <c r="KMZ17" s="2"/>
      <c r="KNA17" s="2"/>
      <c r="KNB17" s="2"/>
      <c r="KNC17" s="2"/>
      <c r="KND17" s="2"/>
      <c r="KNE17" s="2"/>
      <c r="KNF17" s="2"/>
      <c r="KNG17" s="2"/>
      <c r="KNH17" s="2"/>
      <c r="KNI17" s="2"/>
      <c r="KNJ17" s="2"/>
      <c r="KNK17" s="2"/>
      <c r="KNL17" s="2"/>
      <c r="KNM17" s="2"/>
      <c r="KNN17" s="2"/>
      <c r="KNO17" s="2"/>
      <c r="KNP17" s="2"/>
      <c r="KNQ17" s="2"/>
      <c r="KNR17" s="2"/>
      <c r="KNS17" s="2"/>
      <c r="KNT17" s="2"/>
      <c r="KNU17" s="2"/>
      <c r="KNV17" s="2"/>
      <c r="KNW17" s="2"/>
      <c r="KNX17" s="2"/>
      <c r="KNY17" s="2"/>
      <c r="KNZ17" s="2"/>
      <c r="KOA17" s="2"/>
      <c r="KOB17" s="2"/>
      <c r="KOC17" s="2"/>
      <c r="KOD17" s="2"/>
      <c r="KOE17" s="2"/>
      <c r="KOF17" s="2"/>
      <c r="KOG17" s="2"/>
      <c r="KOH17" s="2"/>
      <c r="KOI17" s="2"/>
      <c r="KOJ17" s="2"/>
      <c r="KOK17" s="2"/>
      <c r="KOL17" s="2"/>
      <c r="KOM17" s="2"/>
      <c r="KON17" s="2"/>
      <c r="KOO17" s="2"/>
      <c r="KOP17" s="2"/>
      <c r="KOQ17" s="2"/>
      <c r="KOR17" s="2"/>
      <c r="KOS17" s="2"/>
      <c r="KOT17" s="2"/>
      <c r="KOU17" s="2"/>
      <c r="KOV17" s="2"/>
      <c r="KOW17" s="2"/>
      <c r="KOX17" s="2"/>
      <c r="KOY17" s="2"/>
      <c r="KOZ17" s="2"/>
      <c r="KPA17" s="2"/>
      <c r="KPB17" s="2"/>
      <c r="KPC17" s="2"/>
      <c r="KPD17" s="2"/>
      <c r="KPE17" s="2"/>
      <c r="KPF17" s="2"/>
      <c r="KPG17" s="2"/>
      <c r="KPH17" s="2"/>
      <c r="KPI17" s="2"/>
      <c r="KPJ17" s="2"/>
      <c r="KPK17" s="2"/>
      <c r="KPL17" s="2"/>
      <c r="KPM17" s="2"/>
      <c r="KPN17" s="2"/>
      <c r="KPO17" s="2"/>
      <c r="KPP17" s="2"/>
      <c r="KPQ17" s="2"/>
      <c r="KPR17" s="2"/>
      <c r="KPS17" s="2"/>
      <c r="KPT17" s="2"/>
      <c r="KPU17" s="2"/>
      <c r="KPV17" s="2"/>
      <c r="KPW17" s="2"/>
      <c r="KPX17" s="2"/>
      <c r="KPY17" s="2"/>
      <c r="KPZ17" s="2"/>
      <c r="KQA17" s="2"/>
      <c r="KQB17" s="2"/>
      <c r="KQC17" s="2"/>
      <c r="KQD17" s="2"/>
      <c r="KQE17" s="2"/>
      <c r="KQF17" s="2"/>
      <c r="KQG17" s="2"/>
      <c r="KQH17" s="2"/>
      <c r="KQI17" s="2"/>
      <c r="KQJ17" s="2"/>
      <c r="KQK17" s="2"/>
      <c r="KQL17" s="2"/>
      <c r="KQM17" s="2"/>
      <c r="KQN17" s="2"/>
      <c r="KQO17" s="2"/>
      <c r="KQP17" s="2"/>
      <c r="KQQ17" s="2"/>
      <c r="KQR17" s="2"/>
      <c r="KQS17" s="2"/>
      <c r="KQT17" s="2"/>
      <c r="KQU17" s="2"/>
      <c r="KQV17" s="2"/>
      <c r="KQW17" s="2"/>
      <c r="KQX17" s="2"/>
      <c r="KQY17" s="2"/>
      <c r="KQZ17" s="2"/>
      <c r="KRA17" s="2"/>
      <c r="KRB17" s="2"/>
      <c r="KRC17" s="2"/>
      <c r="KRD17" s="2"/>
      <c r="KRE17" s="2"/>
      <c r="KRF17" s="2"/>
      <c r="KRG17" s="2"/>
      <c r="KRH17" s="2"/>
      <c r="KRI17" s="2"/>
      <c r="KRJ17" s="2"/>
      <c r="KRK17" s="2"/>
      <c r="KRL17" s="2"/>
      <c r="KRM17" s="2"/>
      <c r="KRN17" s="2"/>
      <c r="KRO17" s="2"/>
      <c r="KRP17" s="2"/>
      <c r="KRQ17" s="2"/>
      <c r="KRR17" s="2"/>
      <c r="KRS17" s="2"/>
      <c r="KRT17" s="2"/>
      <c r="KRU17" s="2"/>
      <c r="KRV17" s="2"/>
      <c r="KRW17" s="2"/>
      <c r="KRX17" s="2"/>
      <c r="KRY17" s="2"/>
      <c r="KRZ17" s="2"/>
      <c r="KSA17" s="2"/>
      <c r="KSB17" s="2"/>
      <c r="KSC17" s="2"/>
      <c r="KSD17" s="2"/>
      <c r="KSE17" s="2"/>
      <c r="KSF17" s="2"/>
      <c r="KSG17" s="2"/>
      <c r="KSH17" s="2"/>
      <c r="KSI17" s="2"/>
      <c r="KSJ17" s="2"/>
      <c r="KSK17" s="2"/>
      <c r="KSL17" s="2"/>
      <c r="KSM17" s="2"/>
      <c r="KSN17" s="2"/>
      <c r="KSO17" s="2"/>
      <c r="KSP17" s="2"/>
      <c r="KSQ17" s="2"/>
      <c r="KSR17" s="2"/>
      <c r="KSS17" s="2"/>
      <c r="KST17" s="2"/>
      <c r="KSU17" s="2"/>
      <c r="KSV17" s="2"/>
      <c r="KSW17" s="2"/>
      <c r="KSX17" s="2"/>
      <c r="KSY17" s="2"/>
      <c r="KSZ17" s="2"/>
      <c r="KTA17" s="2"/>
      <c r="KTB17" s="2"/>
      <c r="KTC17" s="2"/>
      <c r="KTD17" s="2"/>
      <c r="KTE17" s="2"/>
      <c r="KTF17" s="2"/>
      <c r="KTG17" s="2"/>
      <c r="KTH17" s="2"/>
      <c r="KTI17" s="2"/>
      <c r="KTJ17" s="2"/>
      <c r="KTK17" s="2"/>
      <c r="KTL17" s="2"/>
      <c r="KTM17" s="2"/>
      <c r="KTN17" s="2"/>
      <c r="KTO17" s="2"/>
      <c r="KTP17" s="2"/>
      <c r="KTQ17" s="2"/>
      <c r="KTR17" s="2"/>
      <c r="KTS17" s="2"/>
      <c r="KTT17" s="2"/>
      <c r="KTU17" s="2"/>
      <c r="KTV17" s="2"/>
      <c r="KTW17" s="2"/>
      <c r="KTX17" s="2"/>
      <c r="KTY17" s="2"/>
      <c r="KTZ17" s="2"/>
      <c r="KUA17" s="2"/>
      <c r="KUB17" s="2"/>
      <c r="KUC17" s="2"/>
      <c r="KUD17" s="2"/>
      <c r="KUE17" s="2"/>
      <c r="KUF17" s="2"/>
      <c r="KUG17" s="2"/>
      <c r="KUH17" s="2"/>
      <c r="KUI17" s="2"/>
      <c r="KUJ17" s="2"/>
      <c r="KUK17" s="2"/>
      <c r="KUL17" s="2"/>
      <c r="KUM17" s="2"/>
      <c r="KUN17" s="2"/>
      <c r="KUO17" s="2"/>
      <c r="KUP17" s="2"/>
      <c r="KUQ17" s="2"/>
      <c r="KUR17" s="2"/>
      <c r="KUS17" s="2"/>
      <c r="KUT17" s="2"/>
      <c r="KUU17" s="2"/>
      <c r="KUV17" s="2"/>
      <c r="KUW17" s="2"/>
      <c r="KUX17" s="2"/>
      <c r="KUY17" s="2"/>
      <c r="KUZ17" s="2"/>
      <c r="KVA17" s="2"/>
      <c r="KVB17" s="2"/>
      <c r="KVC17" s="2"/>
      <c r="KVD17" s="2"/>
      <c r="KVE17" s="2"/>
      <c r="KVF17" s="2"/>
      <c r="KVG17" s="2"/>
      <c r="KVH17" s="2"/>
      <c r="KVI17" s="2"/>
      <c r="KVJ17" s="2"/>
      <c r="KVK17" s="2"/>
      <c r="KVL17" s="2"/>
      <c r="KVM17" s="2"/>
      <c r="KVN17" s="2"/>
      <c r="KVO17" s="2"/>
      <c r="KVP17" s="2"/>
      <c r="KVQ17" s="2"/>
      <c r="KVR17" s="2"/>
      <c r="KVS17" s="2"/>
      <c r="KVT17" s="2"/>
      <c r="KVU17" s="2"/>
      <c r="KVV17" s="2"/>
      <c r="KVW17" s="2"/>
      <c r="KVX17" s="2"/>
      <c r="KVY17" s="2"/>
      <c r="KVZ17" s="2"/>
      <c r="KWA17" s="2"/>
      <c r="KWB17" s="2"/>
      <c r="KWC17" s="2"/>
      <c r="KWD17" s="2"/>
      <c r="KWE17" s="2"/>
      <c r="KWF17" s="2"/>
      <c r="KWG17" s="2"/>
      <c r="KWH17" s="2"/>
      <c r="KWI17" s="2"/>
      <c r="KWJ17" s="2"/>
      <c r="KWK17" s="2"/>
      <c r="KWL17" s="2"/>
      <c r="KWM17" s="2"/>
      <c r="KWN17" s="2"/>
      <c r="KWO17" s="2"/>
      <c r="KWP17" s="2"/>
      <c r="KWQ17" s="2"/>
      <c r="KWR17" s="2"/>
      <c r="KWS17" s="2"/>
      <c r="KWT17" s="2"/>
      <c r="KWU17" s="2"/>
      <c r="KWV17" s="2"/>
      <c r="KWW17" s="2"/>
      <c r="KWX17" s="2"/>
      <c r="KWY17" s="2"/>
      <c r="KWZ17" s="2"/>
      <c r="KXA17" s="2"/>
      <c r="KXB17" s="2"/>
      <c r="KXC17" s="2"/>
      <c r="KXD17" s="2"/>
      <c r="KXE17" s="2"/>
      <c r="KXF17" s="2"/>
      <c r="KXG17" s="2"/>
      <c r="KXH17" s="2"/>
      <c r="KXI17" s="2"/>
      <c r="KXJ17" s="2"/>
      <c r="KXK17" s="2"/>
      <c r="KXL17" s="2"/>
      <c r="KXM17" s="2"/>
      <c r="KXN17" s="2"/>
      <c r="KXO17" s="2"/>
      <c r="KXP17" s="2"/>
      <c r="KXQ17" s="2"/>
      <c r="KXR17" s="2"/>
      <c r="KXS17" s="2"/>
      <c r="KXT17" s="2"/>
      <c r="KXU17" s="2"/>
      <c r="KXV17" s="2"/>
      <c r="KXW17" s="2"/>
      <c r="KXX17" s="2"/>
      <c r="KXY17" s="2"/>
      <c r="KXZ17" s="2"/>
      <c r="KYA17" s="2"/>
      <c r="KYB17" s="2"/>
      <c r="KYC17" s="2"/>
      <c r="KYD17" s="2"/>
      <c r="KYE17" s="2"/>
      <c r="KYF17" s="2"/>
      <c r="KYG17" s="2"/>
      <c r="KYH17" s="2"/>
      <c r="KYI17" s="2"/>
      <c r="KYJ17" s="2"/>
      <c r="KYK17" s="2"/>
      <c r="KYL17" s="2"/>
      <c r="KYM17" s="2"/>
      <c r="KYN17" s="2"/>
      <c r="KYO17" s="2"/>
      <c r="KYP17" s="2"/>
      <c r="KYQ17" s="2"/>
      <c r="KYR17" s="2"/>
      <c r="KYS17" s="2"/>
      <c r="KYT17" s="2"/>
      <c r="KYU17" s="2"/>
      <c r="KYV17" s="2"/>
      <c r="KYW17" s="2"/>
      <c r="KYX17" s="2"/>
      <c r="KYY17" s="2"/>
      <c r="KYZ17" s="2"/>
      <c r="KZA17" s="2"/>
      <c r="KZB17" s="2"/>
      <c r="KZC17" s="2"/>
      <c r="KZD17" s="2"/>
      <c r="KZE17" s="2"/>
      <c r="KZF17" s="2"/>
      <c r="KZG17" s="2"/>
      <c r="KZH17" s="2"/>
      <c r="KZI17" s="2"/>
      <c r="KZJ17" s="2"/>
      <c r="KZK17" s="2"/>
      <c r="KZL17" s="2"/>
      <c r="KZM17" s="2"/>
      <c r="KZN17" s="2"/>
      <c r="KZO17" s="2"/>
      <c r="KZP17" s="2"/>
      <c r="KZQ17" s="2"/>
      <c r="KZR17" s="2"/>
      <c r="KZS17" s="2"/>
      <c r="KZT17" s="2"/>
      <c r="KZU17" s="2"/>
      <c r="KZV17" s="2"/>
      <c r="KZW17" s="2"/>
      <c r="KZX17" s="2"/>
      <c r="KZY17" s="2"/>
      <c r="KZZ17" s="2"/>
      <c r="LAA17" s="2"/>
      <c r="LAB17" s="2"/>
      <c r="LAC17" s="2"/>
      <c r="LAD17" s="2"/>
      <c r="LAE17" s="2"/>
      <c r="LAF17" s="2"/>
      <c r="LAG17" s="2"/>
      <c r="LAH17" s="2"/>
      <c r="LAI17" s="2"/>
      <c r="LAJ17" s="2"/>
      <c r="LAK17" s="2"/>
      <c r="LAL17" s="2"/>
      <c r="LAM17" s="2"/>
      <c r="LAN17" s="2"/>
      <c r="LAO17" s="2"/>
      <c r="LAP17" s="2"/>
      <c r="LAQ17" s="2"/>
      <c r="LAR17" s="2"/>
      <c r="LAS17" s="2"/>
      <c r="LAT17" s="2"/>
      <c r="LAU17" s="2"/>
      <c r="LAV17" s="2"/>
      <c r="LAW17" s="2"/>
      <c r="LAX17" s="2"/>
      <c r="LAY17" s="2"/>
      <c r="LAZ17" s="2"/>
      <c r="LBA17" s="2"/>
      <c r="LBB17" s="2"/>
      <c r="LBC17" s="2"/>
      <c r="LBD17" s="2"/>
      <c r="LBE17" s="2"/>
      <c r="LBF17" s="2"/>
      <c r="LBG17" s="2"/>
      <c r="LBH17" s="2"/>
      <c r="LBI17" s="2"/>
      <c r="LBJ17" s="2"/>
      <c r="LBK17" s="2"/>
      <c r="LBL17" s="2"/>
      <c r="LBM17" s="2"/>
      <c r="LBN17" s="2"/>
      <c r="LBO17" s="2"/>
      <c r="LBP17" s="2"/>
      <c r="LBQ17" s="2"/>
      <c r="LBR17" s="2"/>
      <c r="LBS17" s="2"/>
      <c r="LBT17" s="2"/>
      <c r="LBU17" s="2"/>
      <c r="LBV17" s="2"/>
      <c r="LBW17" s="2"/>
      <c r="LBX17" s="2"/>
      <c r="LBY17" s="2"/>
      <c r="LBZ17" s="2"/>
      <c r="LCA17" s="2"/>
      <c r="LCB17" s="2"/>
      <c r="LCC17" s="2"/>
      <c r="LCD17" s="2"/>
      <c r="LCE17" s="2"/>
      <c r="LCF17" s="2"/>
      <c r="LCG17" s="2"/>
      <c r="LCH17" s="2"/>
      <c r="LCI17" s="2"/>
      <c r="LCJ17" s="2"/>
      <c r="LCK17" s="2"/>
      <c r="LCL17" s="2"/>
      <c r="LCM17" s="2"/>
      <c r="LCN17" s="2"/>
      <c r="LCO17" s="2"/>
      <c r="LCP17" s="2"/>
      <c r="LCQ17" s="2"/>
      <c r="LCR17" s="2"/>
      <c r="LCS17" s="2"/>
      <c r="LCT17" s="2"/>
      <c r="LCU17" s="2"/>
      <c r="LCV17" s="2"/>
      <c r="LCW17" s="2"/>
      <c r="LCX17" s="2"/>
      <c r="LCY17" s="2"/>
      <c r="LCZ17" s="2"/>
      <c r="LDA17" s="2"/>
      <c r="LDB17" s="2"/>
      <c r="LDC17" s="2"/>
      <c r="LDD17" s="2"/>
      <c r="LDE17" s="2"/>
      <c r="LDF17" s="2"/>
      <c r="LDG17" s="2"/>
      <c r="LDH17" s="2"/>
      <c r="LDI17" s="2"/>
      <c r="LDJ17" s="2"/>
      <c r="LDK17" s="2"/>
      <c r="LDL17" s="2"/>
      <c r="LDM17" s="2"/>
      <c r="LDN17" s="2"/>
      <c r="LDO17" s="2"/>
      <c r="LDP17" s="2"/>
      <c r="LDQ17" s="2"/>
      <c r="LDR17" s="2"/>
      <c r="LDS17" s="2"/>
      <c r="LDT17" s="2"/>
      <c r="LDU17" s="2"/>
      <c r="LDV17" s="2"/>
      <c r="LDW17" s="2"/>
      <c r="LDX17" s="2"/>
      <c r="LDY17" s="2"/>
      <c r="LDZ17" s="2"/>
      <c r="LEA17" s="2"/>
      <c r="LEB17" s="2"/>
      <c r="LEC17" s="2"/>
      <c r="LED17" s="2"/>
      <c r="LEE17" s="2"/>
      <c r="LEF17" s="2"/>
      <c r="LEG17" s="2"/>
      <c r="LEH17" s="2"/>
      <c r="LEI17" s="2"/>
      <c r="LEJ17" s="2"/>
      <c r="LEK17" s="2"/>
      <c r="LEL17" s="2"/>
      <c r="LEM17" s="2"/>
      <c r="LEN17" s="2"/>
      <c r="LEO17" s="2"/>
      <c r="LEP17" s="2"/>
      <c r="LEQ17" s="2"/>
      <c r="LER17" s="2"/>
      <c r="LES17" s="2"/>
      <c r="LET17" s="2"/>
      <c r="LEU17" s="2"/>
      <c r="LEV17" s="2"/>
      <c r="LEW17" s="2"/>
      <c r="LEX17" s="2"/>
      <c r="LEY17" s="2"/>
      <c r="LEZ17" s="2"/>
      <c r="LFA17" s="2"/>
      <c r="LFB17" s="2"/>
      <c r="LFC17" s="2"/>
      <c r="LFD17" s="2"/>
      <c r="LFE17" s="2"/>
      <c r="LFF17" s="2"/>
      <c r="LFG17" s="2"/>
      <c r="LFH17" s="2"/>
      <c r="LFI17" s="2"/>
      <c r="LFJ17" s="2"/>
      <c r="LFK17" s="2"/>
      <c r="LFL17" s="2"/>
      <c r="LFM17" s="2"/>
      <c r="LFN17" s="2"/>
      <c r="LFO17" s="2"/>
      <c r="LFP17" s="2"/>
      <c r="LFQ17" s="2"/>
      <c r="LFR17" s="2"/>
      <c r="LFS17" s="2"/>
      <c r="LFT17" s="2"/>
      <c r="LFU17" s="2"/>
      <c r="LFV17" s="2"/>
      <c r="LFW17" s="2"/>
      <c r="LFX17" s="2"/>
      <c r="LFY17" s="2"/>
      <c r="LFZ17" s="2"/>
      <c r="LGA17" s="2"/>
      <c r="LGB17" s="2"/>
      <c r="LGC17" s="2"/>
      <c r="LGD17" s="2"/>
      <c r="LGE17" s="2"/>
      <c r="LGF17" s="2"/>
      <c r="LGG17" s="2"/>
      <c r="LGH17" s="2"/>
      <c r="LGI17" s="2"/>
      <c r="LGJ17" s="2"/>
      <c r="LGK17" s="2"/>
      <c r="LGL17" s="2"/>
      <c r="LGM17" s="2"/>
      <c r="LGN17" s="2"/>
      <c r="LGO17" s="2"/>
      <c r="LGP17" s="2"/>
      <c r="LGQ17" s="2"/>
      <c r="LGR17" s="2"/>
      <c r="LGS17" s="2"/>
      <c r="LGT17" s="2"/>
      <c r="LGU17" s="2"/>
      <c r="LGV17" s="2"/>
      <c r="LGW17" s="2"/>
      <c r="LGX17" s="2"/>
      <c r="LGY17" s="2"/>
      <c r="LGZ17" s="2"/>
      <c r="LHA17" s="2"/>
      <c r="LHB17" s="2"/>
      <c r="LHC17" s="2"/>
      <c r="LHD17" s="2"/>
      <c r="LHE17" s="2"/>
      <c r="LHF17" s="2"/>
      <c r="LHG17" s="2"/>
      <c r="LHH17" s="2"/>
      <c r="LHI17" s="2"/>
      <c r="LHJ17" s="2"/>
      <c r="LHK17" s="2"/>
      <c r="LHL17" s="2"/>
      <c r="LHM17" s="2"/>
      <c r="LHN17" s="2"/>
      <c r="LHO17" s="2"/>
      <c r="LHP17" s="2"/>
      <c r="LHQ17" s="2"/>
      <c r="LHR17" s="2"/>
      <c r="LHS17" s="2"/>
      <c r="LHT17" s="2"/>
      <c r="LHU17" s="2"/>
      <c r="LHV17" s="2"/>
      <c r="LHW17" s="2"/>
      <c r="LHX17" s="2"/>
      <c r="LHY17" s="2"/>
      <c r="LHZ17" s="2"/>
      <c r="LIA17" s="2"/>
      <c r="LIB17" s="2"/>
      <c r="LIC17" s="2"/>
      <c r="LID17" s="2"/>
      <c r="LIE17" s="2"/>
      <c r="LIF17" s="2"/>
      <c r="LIG17" s="2"/>
      <c r="LIH17" s="2"/>
      <c r="LII17" s="2"/>
      <c r="LIJ17" s="2"/>
      <c r="LIK17" s="2"/>
      <c r="LIL17" s="2"/>
      <c r="LIM17" s="2"/>
      <c r="LIN17" s="2"/>
      <c r="LIO17" s="2"/>
      <c r="LIP17" s="2"/>
      <c r="LIQ17" s="2"/>
      <c r="LIR17" s="2"/>
      <c r="LIS17" s="2"/>
      <c r="LIT17" s="2"/>
      <c r="LIU17" s="2"/>
      <c r="LIV17" s="2"/>
      <c r="LIW17" s="2"/>
      <c r="LIX17" s="2"/>
      <c r="LIY17" s="2"/>
      <c r="LIZ17" s="2"/>
      <c r="LJA17" s="2"/>
      <c r="LJB17" s="2"/>
      <c r="LJC17" s="2"/>
      <c r="LJD17" s="2"/>
      <c r="LJE17" s="2"/>
      <c r="LJF17" s="2"/>
      <c r="LJG17" s="2"/>
      <c r="LJH17" s="2"/>
      <c r="LJI17" s="2"/>
      <c r="LJJ17" s="2"/>
      <c r="LJK17" s="2"/>
      <c r="LJL17" s="2"/>
      <c r="LJM17" s="2"/>
      <c r="LJN17" s="2"/>
      <c r="LJO17" s="2"/>
      <c r="LJP17" s="2"/>
      <c r="LJQ17" s="2"/>
      <c r="LJR17" s="2"/>
      <c r="LJS17" s="2"/>
      <c r="LJT17" s="2"/>
      <c r="LJU17" s="2"/>
      <c r="LJV17" s="2"/>
      <c r="LJW17" s="2"/>
      <c r="LJX17" s="2"/>
      <c r="LJY17" s="2"/>
      <c r="LJZ17" s="2"/>
      <c r="LKA17" s="2"/>
      <c r="LKB17" s="2"/>
      <c r="LKC17" s="2"/>
      <c r="LKD17" s="2"/>
      <c r="LKE17" s="2"/>
      <c r="LKF17" s="2"/>
      <c r="LKG17" s="2"/>
      <c r="LKH17" s="2"/>
      <c r="LKI17" s="2"/>
      <c r="LKJ17" s="2"/>
      <c r="LKK17" s="2"/>
      <c r="LKL17" s="2"/>
      <c r="LKM17" s="2"/>
      <c r="LKN17" s="2"/>
      <c r="LKO17" s="2"/>
      <c r="LKP17" s="2"/>
      <c r="LKQ17" s="2"/>
      <c r="LKR17" s="2"/>
      <c r="LKS17" s="2"/>
      <c r="LKT17" s="2"/>
      <c r="LKU17" s="2"/>
      <c r="LKV17" s="2"/>
      <c r="LKW17" s="2"/>
      <c r="LKX17" s="2"/>
      <c r="LKY17" s="2"/>
      <c r="LKZ17" s="2"/>
      <c r="LLA17" s="2"/>
      <c r="LLB17" s="2"/>
      <c r="LLC17" s="2"/>
      <c r="LLD17" s="2"/>
      <c r="LLE17" s="2"/>
      <c r="LLF17" s="2"/>
      <c r="LLG17" s="2"/>
      <c r="LLH17" s="2"/>
      <c r="LLI17" s="2"/>
      <c r="LLJ17" s="2"/>
      <c r="LLK17" s="2"/>
      <c r="LLL17" s="2"/>
      <c r="LLM17" s="2"/>
      <c r="LLN17" s="2"/>
      <c r="LLO17" s="2"/>
      <c r="LLP17" s="2"/>
      <c r="LLQ17" s="2"/>
      <c r="LLR17" s="2"/>
      <c r="LLS17" s="2"/>
      <c r="LLT17" s="2"/>
      <c r="LLU17" s="2"/>
      <c r="LLV17" s="2"/>
      <c r="LLW17" s="2"/>
      <c r="LLX17" s="2"/>
      <c r="LLY17" s="2"/>
      <c r="LLZ17" s="2"/>
      <c r="LMA17" s="2"/>
      <c r="LMB17" s="2"/>
      <c r="LMC17" s="2"/>
      <c r="LMD17" s="2"/>
      <c r="LME17" s="2"/>
      <c r="LMF17" s="2"/>
      <c r="LMG17" s="2"/>
      <c r="LMH17" s="2"/>
      <c r="LMI17" s="2"/>
      <c r="LMJ17" s="2"/>
      <c r="LMK17" s="2"/>
      <c r="LML17" s="2"/>
      <c r="LMM17" s="2"/>
      <c r="LMN17" s="2"/>
      <c r="LMO17" s="2"/>
      <c r="LMP17" s="2"/>
      <c r="LMQ17" s="2"/>
      <c r="LMR17" s="2"/>
      <c r="LMS17" s="2"/>
      <c r="LMT17" s="2"/>
      <c r="LMU17" s="2"/>
      <c r="LMV17" s="2"/>
      <c r="LMW17" s="2"/>
      <c r="LMX17" s="2"/>
      <c r="LMY17" s="2"/>
      <c r="LMZ17" s="2"/>
      <c r="LNA17" s="2"/>
      <c r="LNB17" s="2"/>
      <c r="LNC17" s="2"/>
      <c r="LND17" s="2"/>
      <c r="LNE17" s="2"/>
      <c r="LNF17" s="2"/>
      <c r="LNG17" s="2"/>
      <c r="LNH17" s="2"/>
      <c r="LNI17" s="2"/>
      <c r="LNJ17" s="2"/>
      <c r="LNK17" s="2"/>
      <c r="LNL17" s="2"/>
      <c r="LNM17" s="2"/>
      <c r="LNN17" s="2"/>
      <c r="LNO17" s="2"/>
      <c r="LNP17" s="2"/>
      <c r="LNQ17" s="2"/>
      <c r="LNR17" s="2"/>
      <c r="LNS17" s="2"/>
      <c r="LNT17" s="2"/>
      <c r="LNU17" s="2"/>
      <c r="LNV17" s="2"/>
      <c r="LNW17" s="2"/>
      <c r="LNX17" s="2"/>
      <c r="LNY17" s="2"/>
      <c r="LNZ17" s="2"/>
      <c r="LOA17" s="2"/>
      <c r="LOB17" s="2"/>
      <c r="LOC17" s="2"/>
      <c r="LOD17" s="2"/>
      <c r="LOE17" s="2"/>
      <c r="LOF17" s="2"/>
      <c r="LOG17" s="2"/>
      <c r="LOH17" s="2"/>
      <c r="LOI17" s="2"/>
      <c r="LOJ17" s="2"/>
      <c r="LOK17" s="2"/>
      <c r="LOL17" s="2"/>
      <c r="LOM17" s="2"/>
      <c r="LON17" s="2"/>
      <c r="LOO17" s="2"/>
      <c r="LOP17" s="2"/>
      <c r="LOQ17" s="2"/>
      <c r="LOR17" s="2"/>
      <c r="LOS17" s="2"/>
      <c r="LOT17" s="2"/>
      <c r="LOU17" s="2"/>
      <c r="LOV17" s="2"/>
      <c r="LOW17" s="2"/>
      <c r="LOX17" s="2"/>
      <c r="LOY17" s="2"/>
      <c r="LOZ17" s="2"/>
      <c r="LPA17" s="2"/>
      <c r="LPB17" s="2"/>
      <c r="LPC17" s="2"/>
      <c r="LPD17" s="2"/>
      <c r="LPE17" s="2"/>
      <c r="LPF17" s="2"/>
      <c r="LPG17" s="2"/>
      <c r="LPH17" s="2"/>
      <c r="LPI17" s="2"/>
      <c r="LPJ17" s="2"/>
      <c r="LPK17" s="2"/>
      <c r="LPL17" s="2"/>
      <c r="LPM17" s="2"/>
      <c r="LPN17" s="2"/>
      <c r="LPO17" s="2"/>
      <c r="LPP17" s="2"/>
      <c r="LPQ17" s="2"/>
      <c r="LPR17" s="2"/>
      <c r="LPS17" s="2"/>
      <c r="LPT17" s="2"/>
      <c r="LPU17" s="2"/>
      <c r="LPV17" s="2"/>
      <c r="LPW17" s="2"/>
      <c r="LPX17" s="2"/>
      <c r="LPY17" s="2"/>
      <c r="LPZ17" s="2"/>
      <c r="LQA17" s="2"/>
      <c r="LQB17" s="2"/>
      <c r="LQC17" s="2"/>
      <c r="LQD17" s="2"/>
      <c r="LQE17" s="2"/>
      <c r="LQF17" s="2"/>
      <c r="LQG17" s="2"/>
      <c r="LQH17" s="2"/>
      <c r="LQI17" s="2"/>
      <c r="LQJ17" s="2"/>
      <c r="LQK17" s="2"/>
      <c r="LQL17" s="2"/>
      <c r="LQM17" s="2"/>
      <c r="LQN17" s="2"/>
      <c r="LQO17" s="2"/>
      <c r="LQP17" s="2"/>
      <c r="LQQ17" s="2"/>
      <c r="LQR17" s="2"/>
      <c r="LQS17" s="2"/>
      <c r="LQT17" s="2"/>
      <c r="LQU17" s="2"/>
      <c r="LQV17" s="2"/>
      <c r="LQW17" s="2"/>
      <c r="LQX17" s="2"/>
      <c r="LQY17" s="2"/>
      <c r="LQZ17" s="2"/>
      <c r="LRA17" s="2"/>
      <c r="LRB17" s="2"/>
      <c r="LRC17" s="2"/>
      <c r="LRD17" s="2"/>
      <c r="LRE17" s="2"/>
      <c r="LRF17" s="2"/>
      <c r="LRG17" s="2"/>
      <c r="LRH17" s="2"/>
      <c r="LRI17" s="2"/>
      <c r="LRJ17" s="2"/>
      <c r="LRK17" s="2"/>
      <c r="LRL17" s="2"/>
      <c r="LRM17" s="2"/>
      <c r="LRN17" s="2"/>
      <c r="LRO17" s="2"/>
      <c r="LRP17" s="2"/>
      <c r="LRQ17" s="2"/>
      <c r="LRR17" s="2"/>
      <c r="LRS17" s="2"/>
      <c r="LRT17" s="2"/>
      <c r="LRU17" s="2"/>
      <c r="LRV17" s="2"/>
      <c r="LRW17" s="2"/>
      <c r="LRX17" s="2"/>
      <c r="LRY17" s="2"/>
      <c r="LRZ17" s="2"/>
      <c r="LSA17" s="2"/>
      <c r="LSB17" s="2"/>
      <c r="LSC17" s="2"/>
      <c r="LSD17" s="2"/>
      <c r="LSE17" s="2"/>
      <c r="LSF17" s="2"/>
      <c r="LSG17" s="2"/>
      <c r="LSH17" s="2"/>
      <c r="LSI17" s="2"/>
      <c r="LSJ17" s="2"/>
      <c r="LSK17" s="2"/>
      <c r="LSL17" s="2"/>
      <c r="LSM17" s="2"/>
      <c r="LSN17" s="2"/>
      <c r="LSO17" s="2"/>
      <c r="LSP17" s="2"/>
      <c r="LSQ17" s="2"/>
      <c r="LSR17" s="2"/>
      <c r="LSS17" s="2"/>
      <c r="LST17" s="2"/>
      <c r="LSU17" s="2"/>
      <c r="LSV17" s="2"/>
      <c r="LSW17" s="2"/>
      <c r="LSX17" s="2"/>
      <c r="LSY17" s="2"/>
      <c r="LSZ17" s="2"/>
      <c r="LTA17" s="2"/>
      <c r="LTB17" s="2"/>
      <c r="LTC17" s="2"/>
      <c r="LTD17" s="2"/>
      <c r="LTE17" s="2"/>
      <c r="LTF17" s="2"/>
      <c r="LTG17" s="2"/>
      <c r="LTH17" s="2"/>
      <c r="LTI17" s="2"/>
      <c r="LTJ17" s="2"/>
      <c r="LTK17" s="2"/>
      <c r="LTL17" s="2"/>
      <c r="LTM17" s="2"/>
      <c r="LTN17" s="2"/>
      <c r="LTO17" s="2"/>
      <c r="LTP17" s="2"/>
      <c r="LTQ17" s="2"/>
      <c r="LTR17" s="2"/>
      <c r="LTS17" s="2"/>
      <c r="LTT17" s="2"/>
      <c r="LTU17" s="2"/>
      <c r="LTV17" s="2"/>
      <c r="LTW17" s="2"/>
      <c r="LTX17" s="2"/>
      <c r="LTY17" s="2"/>
      <c r="LTZ17" s="2"/>
      <c r="LUA17" s="2"/>
      <c r="LUB17" s="2"/>
      <c r="LUC17" s="2"/>
      <c r="LUD17" s="2"/>
      <c r="LUE17" s="2"/>
      <c r="LUF17" s="2"/>
      <c r="LUG17" s="2"/>
      <c r="LUH17" s="2"/>
      <c r="LUI17" s="2"/>
      <c r="LUJ17" s="2"/>
      <c r="LUK17" s="2"/>
      <c r="LUL17" s="2"/>
      <c r="LUM17" s="2"/>
      <c r="LUN17" s="2"/>
      <c r="LUO17" s="2"/>
      <c r="LUP17" s="2"/>
      <c r="LUQ17" s="2"/>
      <c r="LUR17" s="2"/>
      <c r="LUS17" s="2"/>
      <c r="LUT17" s="2"/>
      <c r="LUU17" s="2"/>
      <c r="LUV17" s="2"/>
      <c r="LUW17" s="2"/>
      <c r="LUX17" s="2"/>
      <c r="LUY17" s="2"/>
      <c r="LUZ17" s="2"/>
      <c r="LVA17" s="2"/>
      <c r="LVB17" s="2"/>
      <c r="LVC17" s="2"/>
      <c r="LVD17" s="2"/>
      <c r="LVE17" s="2"/>
      <c r="LVF17" s="2"/>
      <c r="LVG17" s="2"/>
      <c r="LVH17" s="2"/>
      <c r="LVI17" s="2"/>
      <c r="LVJ17" s="2"/>
      <c r="LVK17" s="2"/>
      <c r="LVL17" s="2"/>
      <c r="LVM17" s="2"/>
      <c r="LVN17" s="2"/>
      <c r="LVO17" s="2"/>
      <c r="LVP17" s="2"/>
      <c r="LVQ17" s="2"/>
      <c r="LVR17" s="2"/>
      <c r="LVS17" s="2"/>
      <c r="LVT17" s="2"/>
      <c r="LVU17" s="2"/>
      <c r="LVV17" s="2"/>
      <c r="LVW17" s="2"/>
      <c r="LVX17" s="2"/>
      <c r="LVY17" s="2"/>
      <c r="LVZ17" s="2"/>
      <c r="LWA17" s="2"/>
      <c r="LWB17" s="2"/>
      <c r="LWC17" s="2"/>
      <c r="LWD17" s="2"/>
      <c r="LWE17" s="2"/>
      <c r="LWF17" s="2"/>
      <c r="LWG17" s="2"/>
      <c r="LWH17" s="2"/>
      <c r="LWI17" s="2"/>
      <c r="LWJ17" s="2"/>
      <c r="LWK17" s="2"/>
      <c r="LWL17" s="2"/>
      <c r="LWM17" s="2"/>
      <c r="LWN17" s="2"/>
      <c r="LWO17" s="2"/>
      <c r="LWP17" s="2"/>
      <c r="LWQ17" s="2"/>
      <c r="LWR17" s="2"/>
      <c r="LWS17" s="2"/>
      <c r="LWT17" s="2"/>
      <c r="LWU17" s="2"/>
      <c r="LWV17" s="2"/>
      <c r="LWW17" s="2"/>
      <c r="LWX17" s="2"/>
      <c r="LWY17" s="2"/>
      <c r="LWZ17" s="2"/>
      <c r="LXA17" s="2"/>
      <c r="LXB17" s="2"/>
      <c r="LXC17" s="2"/>
      <c r="LXD17" s="2"/>
      <c r="LXE17" s="2"/>
      <c r="LXF17" s="2"/>
      <c r="LXG17" s="2"/>
      <c r="LXH17" s="2"/>
      <c r="LXI17" s="2"/>
      <c r="LXJ17" s="2"/>
      <c r="LXK17" s="2"/>
      <c r="LXL17" s="2"/>
      <c r="LXM17" s="2"/>
      <c r="LXN17" s="2"/>
      <c r="LXO17" s="2"/>
      <c r="LXP17" s="2"/>
      <c r="LXQ17" s="2"/>
      <c r="LXR17" s="2"/>
      <c r="LXS17" s="2"/>
      <c r="LXT17" s="2"/>
      <c r="LXU17" s="2"/>
      <c r="LXV17" s="2"/>
      <c r="LXW17" s="2"/>
      <c r="LXX17" s="2"/>
      <c r="LXY17" s="2"/>
      <c r="LXZ17" s="2"/>
      <c r="LYA17" s="2"/>
      <c r="LYB17" s="2"/>
      <c r="LYC17" s="2"/>
      <c r="LYD17" s="2"/>
      <c r="LYE17" s="2"/>
      <c r="LYF17" s="2"/>
      <c r="LYG17" s="2"/>
      <c r="LYH17" s="2"/>
      <c r="LYI17" s="2"/>
      <c r="LYJ17" s="2"/>
      <c r="LYK17" s="2"/>
      <c r="LYL17" s="2"/>
      <c r="LYM17" s="2"/>
      <c r="LYN17" s="2"/>
      <c r="LYO17" s="2"/>
      <c r="LYP17" s="2"/>
      <c r="LYQ17" s="2"/>
      <c r="LYR17" s="2"/>
      <c r="LYS17" s="2"/>
      <c r="LYT17" s="2"/>
      <c r="LYU17" s="2"/>
      <c r="LYV17" s="2"/>
      <c r="LYW17" s="2"/>
      <c r="LYX17" s="2"/>
      <c r="LYY17" s="2"/>
      <c r="LYZ17" s="2"/>
      <c r="LZA17" s="2"/>
      <c r="LZB17" s="2"/>
      <c r="LZC17" s="2"/>
      <c r="LZD17" s="2"/>
      <c r="LZE17" s="2"/>
      <c r="LZF17" s="2"/>
      <c r="LZG17" s="2"/>
      <c r="LZH17" s="2"/>
      <c r="LZI17" s="2"/>
      <c r="LZJ17" s="2"/>
      <c r="LZK17" s="2"/>
      <c r="LZL17" s="2"/>
      <c r="LZM17" s="2"/>
      <c r="LZN17" s="2"/>
      <c r="LZO17" s="2"/>
      <c r="LZP17" s="2"/>
      <c r="LZQ17" s="2"/>
      <c r="LZR17" s="2"/>
      <c r="LZS17" s="2"/>
      <c r="LZT17" s="2"/>
      <c r="LZU17" s="2"/>
      <c r="LZV17" s="2"/>
      <c r="LZW17" s="2"/>
      <c r="LZX17" s="2"/>
      <c r="LZY17" s="2"/>
      <c r="LZZ17" s="2"/>
      <c r="MAA17" s="2"/>
      <c r="MAB17" s="2"/>
      <c r="MAC17" s="2"/>
      <c r="MAD17" s="2"/>
      <c r="MAE17" s="2"/>
      <c r="MAF17" s="2"/>
      <c r="MAG17" s="2"/>
      <c r="MAH17" s="2"/>
      <c r="MAI17" s="2"/>
      <c r="MAJ17" s="2"/>
      <c r="MAK17" s="2"/>
      <c r="MAL17" s="2"/>
      <c r="MAM17" s="2"/>
      <c r="MAN17" s="2"/>
      <c r="MAO17" s="2"/>
      <c r="MAP17" s="2"/>
      <c r="MAQ17" s="2"/>
      <c r="MAR17" s="2"/>
      <c r="MAS17" s="2"/>
      <c r="MAT17" s="2"/>
      <c r="MAU17" s="2"/>
      <c r="MAV17" s="2"/>
      <c r="MAW17" s="2"/>
      <c r="MAX17" s="2"/>
      <c r="MAY17" s="2"/>
      <c r="MAZ17" s="2"/>
      <c r="MBA17" s="2"/>
      <c r="MBB17" s="2"/>
      <c r="MBC17" s="2"/>
      <c r="MBD17" s="2"/>
      <c r="MBE17" s="2"/>
      <c r="MBF17" s="2"/>
      <c r="MBG17" s="2"/>
      <c r="MBH17" s="2"/>
      <c r="MBI17" s="2"/>
      <c r="MBJ17" s="2"/>
      <c r="MBK17" s="2"/>
      <c r="MBL17" s="2"/>
      <c r="MBM17" s="2"/>
      <c r="MBN17" s="2"/>
      <c r="MBO17" s="2"/>
      <c r="MBP17" s="2"/>
      <c r="MBQ17" s="2"/>
      <c r="MBR17" s="2"/>
      <c r="MBS17" s="2"/>
      <c r="MBT17" s="2"/>
      <c r="MBU17" s="2"/>
      <c r="MBV17" s="2"/>
      <c r="MBW17" s="2"/>
      <c r="MBX17" s="2"/>
      <c r="MBY17" s="2"/>
      <c r="MBZ17" s="2"/>
      <c r="MCA17" s="2"/>
      <c r="MCB17" s="2"/>
      <c r="MCC17" s="2"/>
      <c r="MCD17" s="2"/>
      <c r="MCE17" s="2"/>
      <c r="MCF17" s="2"/>
      <c r="MCG17" s="2"/>
      <c r="MCH17" s="2"/>
      <c r="MCI17" s="2"/>
      <c r="MCJ17" s="2"/>
      <c r="MCK17" s="2"/>
      <c r="MCL17" s="2"/>
      <c r="MCM17" s="2"/>
      <c r="MCN17" s="2"/>
      <c r="MCO17" s="2"/>
      <c r="MCP17" s="2"/>
      <c r="MCQ17" s="2"/>
      <c r="MCR17" s="2"/>
      <c r="MCS17" s="2"/>
      <c r="MCT17" s="2"/>
      <c r="MCU17" s="2"/>
      <c r="MCV17" s="2"/>
      <c r="MCW17" s="2"/>
      <c r="MCX17" s="2"/>
      <c r="MCY17" s="2"/>
      <c r="MCZ17" s="2"/>
      <c r="MDA17" s="2"/>
      <c r="MDB17" s="2"/>
      <c r="MDC17" s="2"/>
      <c r="MDD17" s="2"/>
      <c r="MDE17" s="2"/>
      <c r="MDF17" s="2"/>
      <c r="MDG17" s="2"/>
      <c r="MDH17" s="2"/>
      <c r="MDI17" s="2"/>
      <c r="MDJ17" s="2"/>
      <c r="MDK17" s="2"/>
      <c r="MDL17" s="2"/>
      <c r="MDM17" s="2"/>
      <c r="MDN17" s="2"/>
      <c r="MDO17" s="2"/>
      <c r="MDP17" s="2"/>
      <c r="MDQ17" s="2"/>
      <c r="MDR17" s="2"/>
      <c r="MDS17" s="2"/>
      <c r="MDT17" s="2"/>
      <c r="MDU17" s="2"/>
      <c r="MDV17" s="2"/>
      <c r="MDW17" s="2"/>
      <c r="MDX17" s="2"/>
      <c r="MDY17" s="2"/>
      <c r="MDZ17" s="2"/>
      <c r="MEA17" s="2"/>
      <c r="MEB17" s="2"/>
      <c r="MEC17" s="2"/>
      <c r="MED17" s="2"/>
      <c r="MEE17" s="2"/>
      <c r="MEF17" s="2"/>
      <c r="MEG17" s="2"/>
      <c r="MEH17" s="2"/>
      <c r="MEI17" s="2"/>
      <c r="MEJ17" s="2"/>
      <c r="MEK17" s="2"/>
      <c r="MEL17" s="2"/>
      <c r="MEM17" s="2"/>
      <c r="MEN17" s="2"/>
      <c r="MEO17" s="2"/>
      <c r="MEP17" s="2"/>
      <c r="MEQ17" s="2"/>
      <c r="MER17" s="2"/>
      <c r="MES17" s="2"/>
      <c r="MET17" s="2"/>
      <c r="MEU17" s="2"/>
      <c r="MEV17" s="2"/>
      <c r="MEW17" s="2"/>
      <c r="MEX17" s="2"/>
      <c r="MEY17" s="2"/>
      <c r="MEZ17" s="2"/>
      <c r="MFA17" s="2"/>
      <c r="MFB17" s="2"/>
      <c r="MFC17" s="2"/>
      <c r="MFD17" s="2"/>
      <c r="MFE17" s="2"/>
      <c r="MFF17" s="2"/>
      <c r="MFG17" s="2"/>
      <c r="MFH17" s="2"/>
      <c r="MFI17" s="2"/>
      <c r="MFJ17" s="2"/>
      <c r="MFK17" s="2"/>
      <c r="MFL17" s="2"/>
      <c r="MFM17" s="2"/>
      <c r="MFN17" s="2"/>
      <c r="MFO17" s="2"/>
      <c r="MFP17" s="2"/>
      <c r="MFQ17" s="2"/>
      <c r="MFR17" s="2"/>
      <c r="MFS17" s="2"/>
      <c r="MFT17" s="2"/>
      <c r="MFU17" s="2"/>
      <c r="MFV17" s="2"/>
      <c r="MFW17" s="2"/>
      <c r="MFX17" s="2"/>
      <c r="MFY17" s="2"/>
      <c r="MFZ17" s="2"/>
      <c r="MGA17" s="2"/>
      <c r="MGB17" s="2"/>
      <c r="MGC17" s="2"/>
      <c r="MGD17" s="2"/>
      <c r="MGE17" s="2"/>
      <c r="MGF17" s="2"/>
      <c r="MGG17" s="2"/>
      <c r="MGH17" s="2"/>
      <c r="MGI17" s="2"/>
      <c r="MGJ17" s="2"/>
      <c r="MGK17" s="2"/>
      <c r="MGL17" s="2"/>
      <c r="MGM17" s="2"/>
      <c r="MGN17" s="2"/>
      <c r="MGO17" s="2"/>
      <c r="MGP17" s="2"/>
      <c r="MGQ17" s="2"/>
      <c r="MGR17" s="2"/>
      <c r="MGS17" s="2"/>
      <c r="MGT17" s="2"/>
      <c r="MGU17" s="2"/>
      <c r="MGV17" s="2"/>
      <c r="MGW17" s="2"/>
      <c r="MGX17" s="2"/>
      <c r="MGY17" s="2"/>
      <c r="MGZ17" s="2"/>
      <c r="MHA17" s="2"/>
      <c r="MHB17" s="2"/>
      <c r="MHC17" s="2"/>
      <c r="MHD17" s="2"/>
      <c r="MHE17" s="2"/>
      <c r="MHF17" s="2"/>
      <c r="MHG17" s="2"/>
      <c r="MHH17" s="2"/>
      <c r="MHI17" s="2"/>
      <c r="MHJ17" s="2"/>
      <c r="MHK17" s="2"/>
      <c r="MHL17" s="2"/>
      <c r="MHM17" s="2"/>
      <c r="MHN17" s="2"/>
      <c r="MHO17" s="2"/>
      <c r="MHP17" s="2"/>
      <c r="MHQ17" s="2"/>
      <c r="MHR17" s="2"/>
      <c r="MHS17" s="2"/>
      <c r="MHT17" s="2"/>
      <c r="MHU17" s="2"/>
      <c r="MHV17" s="2"/>
      <c r="MHW17" s="2"/>
      <c r="MHX17" s="2"/>
      <c r="MHY17" s="2"/>
      <c r="MHZ17" s="2"/>
      <c r="MIA17" s="2"/>
      <c r="MIB17" s="2"/>
      <c r="MIC17" s="2"/>
      <c r="MID17" s="2"/>
      <c r="MIE17" s="2"/>
      <c r="MIF17" s="2"/>
      <c r="MIG17" s="2"/>
      <c r="MIH17" s="2"/>
      <c r="MII17" s="2"/>
      <c r="MIJ17" s="2"/>
      <c r="MIK17" s="2"/>
      <c r="MIL17" s="2"/>
      <c r="MIM17" s="2"/>
      <c r="MIN17" s="2"/>
      <c r="MIO17" s="2"/>
      <c r="MIP17" s="2"/>
      <c r="MIQ17" s="2"/>
      <c r="MIR17" s="2"/>
      <c r="MIS17" s="2"/>
      <c r="MIT17" s="2"/>
      <c r="MIU17" s="2"/>
      <c r="MIV17" s="2"/>
      <c r="MIW17" s="2"/>
      <c r="MIX17" s="2"/>
      <c r="MIY17" s="2"/>
      <c r="MIZ17" s="2"/>
      <c r="MJA17" s="2"/>
      <c r="MJB17" s="2"/>
      <c r="MJC17" s="2"/>
      <c r="MJD17" s="2"/>
      <c r="MJE17" s="2"/>
      <c r="MJF17" s="2"/>
      <c r="MJG17" s="2"/>
      <c r="MJH17" s="2"/>
      <c r="MJI17" s="2"/>
      <c r="MJJ17" s="2"/>
      <c r="MJK17" s="2"/>
      <c r="MJL17" s="2"/>
      <c r="MJM17" s="2"/>
      <c r="MJN17" s="2"/>
      <c r="MJO17" s="2"/>
      <c r="MJP17" s="2"/>
      <c r="MJQ17" s="2"/>
      <c r="MJR17" s="2"/>
      <c r="MJS17" s="2"/>
      <c r="MJT17" s="2"/>
      <c r="MJU17" s="2"/>
      <c r="MJV17" s="2"/>
      <c r="MJW17" s="2"/>
      <c r="MJX17" s="2"/>
      <c r="MJY17" s="2"/>
      <c r="MJZ17" s="2"/>
      <c r="MKA17" s="2"/>
      <c r="MKB17" s="2"/>
      <c r="MKC17" s="2"/>
      <c r="MKD17" s="2"/>
      <c r="MKE17" s="2"/>
      <c r="MKF17" s="2"/>
      <c r="MKG17" s="2"/>
      <c r="MKH17" s="2"/>
      <c r="MKI17" s="2"/>
      <c r="MKJ17" s="2"/>
      <c r="MKK17" s="2"/>
      <c r="MKL17" s="2"/>
      <c r="MKM17" s="2"/>
      <c r="MKN17" s="2"/>
      <c r="MKO17" s="2"/>
      <c r="MKP17" s="2"/>
      <c r="MKQ17" s="2"/>
      <c r="MKR17" s="2"/>
      <c r="MKS17" s="2"/>
      <c r="MKT17" s="2"/>
      <c r="MKU17" s="2"/>
      <c r="MKV17" s="2"/>
      <c r="MKW17" s="2"/>
      <c r="MKX17" s="2"/>
      <c r="MKY17" s="2"/>
      <c r="MKZ17" s="2"/>
      <c r="MLA17" s="2"/>
      <c r="MLB17" s="2"/>
      <c r="MLC17" s="2"/>
      <c r="MLD17" s="2"/>
      <c r="MLE17" s="2"/>
      <c r="MLF17" s="2"/>
      <c r="MLG17" s="2"/>
      <c r="MLH17" s="2"/>
      <c r="MLI17" s="2"/>
      <c r="MLJ17" s="2"/>
      <c r="MLK17" s="2"/>
      <c r="MLL17" s="2"/>
      <c r="MLM17" s="2"/>
      <c r="MLN17" s="2"/>
      <c r="MLO17" s="2"/>
      <c r="MLP17" s="2"/>
      <c r="MLQ17" s="2"/>
      <c r="MLR17" s="2"/>
      <c r="MLS17" s="2"/>
      <c r="MLT17" s="2"/>
      <c r="MLU17" s="2"/>
      <c r="MLV17" s="2"/>
      <c r="MLW17" s="2"/>
      <c r="MLX17" s="2"/>
      <c r="MLY17" s="2"/>
      <c r="MLZ17" s="2"/>
      <c r="MMA17" s="2"/>
      <c r="MMB17" s="2"/>
      <c r="MMC17" s="2"/>
      <c r="MMD17" s="2"/>
      <c r="MME17" s="2"/>
      <c r="MMF17" s="2"/>
      <c r="MMG17" s="2"/>
      <c r="MMH17" s="2"/>
      <c r="MMI17" s="2"/>
      <c r="MMJ17" s="2"/>
      <c r="MMK17" s="2"/>
      <c r="MML17" s="2"/>
      <c r="MMM17" s="2"/>
      <c r="MMN17" s="2"/>
      <c r="MMO17" s="2"/>
      <c r="MMP17" s="2"/>
      <c r="MMQ17" s="2"/>
      <c r="MMR17" s="2"/>
      <c r="MMS17" s="2"/>
      <c r="MMT17" s="2"/>
      <c r="MMU17" s="2"/>
      <c r="MMV17" s="2"/>
      <c r="MMW17" s="2"/>
      <c r="MMX17" s="2"/>
      <c r="MMY17" s="2"/>
      <c r="MMZ17" s="2"/>
      <c r="MNA17" s="2"/>
      <c r="MNB17" s="2"/>
      <c r="MNC17" s="2"/>
      <c r="MND17" s="2"/>
      <c r="MNE17" s="2"/>
      <c r="MNF17" s="2"/>
      <c r="MNG17" s="2"/>
      <c r="MNH17" s="2"/>
      <c r="MNI17" s="2"/>
      <c r="MNJ17" s="2"/>
      <c r="MNK17" s="2"/>
      <c r="MNL17" s="2"/>
      <c r="MNM17" s="2"/>
      <c r="MNN17" s="2"/>
      <c r="MNO17" s="2"/>
      <c r="MNP17" s="2"/>
      <c r="MNQ17" s="2"/>
      <c r="MNR17" s="2"/>
      <c r="MNS17" s="2"/>
      <c r="MNT17" s="2"/>
      <c r="MNU17" s="2"/>
      <c r="MNV17" s="2"/>
      <c r="MNW17" s="2"/>
      <c r="MNX17" s="2"/>
      <c r="MNY17" s="2"/>
      <c r="MNZ17" s="2"/>
      <c r="MOA17" s="2"/>
      <c r="MOB17" s="2"/>
      <c r="MOC17" s="2"/>
      <c r="MOD17" s="2"/>
      <c r="MOE17" s="2"/>
      <c r="MOF17" s="2"/>
      <c r="MOG17" s="2"/>
      <c r="MOH17" s="2"/>
      <c r="MOI17" s="2"/>
      <c r="MOJ17" s="2"/>
      <c r="MOK17" s="2"/>
      <c r="MOL17" s="2"/>
      <c r="MOM17" s="2"/>
      <c r="MON17" s="2"/>
      <c r="MOO17" s="2"/>
      <c r="MOP17" s="2"/>
      <c r="MOQ17" s="2"/>
      <c r="MOR17" s="2"/>
      <c r="MOS17" s="2"/>
      <c r="MOT17" s="2"/>
      <c r="MOU17" s="2"/>
      <c r="MOV17" s="2"/>
      <c r="MOW17" s="2"/>
      <c r="MOX17" s="2"/>
      <c r="MOY17" s="2"/>
      <c r="MOZ17" s="2"/>
      <c r="MPA17" s="2"/>
      <c r="MPB17" s="2"/>
      <c r="MPC17" s="2"/>
      <c r="MPD17" s="2"/>
      <c r="MPE17" s="2"/>
      <c r="MPF17" s="2"/>
      <c r="MPG17" s="2"/>
      <c r="MPH17" s="2"/>
      <c r="MPI17" s="2"/>
      <c r="MPJ17" s="2"/>
      <c r="MPK17" s="2"/>
      <c r="MPL17" s="2"/>
      <c r="MPM17" s="2"/>
      <c r="MPN17" s="2"/>
      <c r="MPO17" s="2"/>
      <c r="MPP17" s="2"/>
      <c r="MPQ17" s="2"/>
      <c r="MPR17" s="2"/>
      <c r="MPS17" s="2"/>
      <c r="MPT17" s="2"/>
      <c r="MPU17" s="2"/>
      <c r="MPV17" s="2"/>
      <c r="MPW17" s="2"/>
      <c r="MPX17" s="2"/>
      <c r="MPY17" s="2"/>
      <c r="MPZ17" s="2"/>
      <c r="MQA17" s="2"/>
      <c r="MQB17" s="2"/>
      <c r="MQC17" s="2"/>
      <c r="MQD17" s="2"/>
      <c r="MQE17" s="2"/>
      <c r="MQF17" s="2"/>
      <c r="MQG17" s="2"/>
      <c r="MQH17" s="2"/>
      <c r="MQI17" s="2"/>
      <c r="MQJ17" s="2"/>
      <c r="MQK17" s="2"/>
      <c r="MQL17" s="2"/>
      <c r="MQM17" s="2"/>
      <c r="MQN17" s="2"/>
      <c r="MQO17" s="2"/>
      <c r="MQP17" s="2"/>
      <c r="MQQ17" s="2"/>
      <c r="MQR17" s="2"/>
      <c r="MQS17" s="2"/>
      <c r="MQT17" s="2"/>
      <c r="MQU17" s="2"/>
      <c r="MQV17" s="2"/>
      <c r="MQW17" s="2"/>
      <c r="MQX17" s="2"/>
      <c r="MQY17" s="2"/>
      <c r="MQZ17" s="2"/>
      <c r="MRA17" s="2"/>
      <c r="MRB17" s="2"/>
      <c r="MRC17" s="2"/>
      <c r="MRD17" s="2"/>
      <c r="MRE17" s="2"/>
      <c r="MRF17" s="2"/>
      <c r="MRG17" s="2"/>
      <c r="MRH17" s="2"/>
      <c r="MRI17" s="2"/>
      <c r="MRJ17" s="2"/>
      <c r="MRK17" s="2"/>
      <c r="MRL17" s="2"/>
      <c r="MRM17" s="2"/>
      <c r="MRN17" s="2"/>
      <c r="MRO17" s="2"/>
      <c r="MRP17" s="2"/>
      <c r="MRQ17" s="2"/>
      <c r="MRR17" s="2"/>
      <c r="MRS17" s="2"/>
      <c r="MRT17" s="2"/>
      <c r="MRU17" s="2"/>
      <c r="MRV17" s="2"/>
      <c r="MRW17" s="2"/>
      <c r="MRX17" s="2"/>
      <c r="MRY17" s="2"/>
      <c r="MRZ17" s="2"/>
      <c r="MSA17" s="2"/>
      <c r="MSB17" s="2"/>
      <c r="MSC17" s="2"/>
      <c r="MSD17" s="2"/>
      <c r="MSE17" s="2"/>
      <c r="MSF17" s="2"/>
      <c r="MSG17" s="2"/>
      <c r="MSH17" s="2"/>
      <c r="MSI17" s="2"/>
      <c r="MSJ17" s="2"/>
      <c r="MSK17" s="2"/>
      <c r="MSL17" s="2"/>
      <c r="MSM17" s="2"/>
      <c r="MSN17" s="2"/>
      <c r="MSO17" s="2"/>
      <c r="MSP17" s="2"/>
      <c r="MSQ17" s="2"/>
      <c r="MSR17" s="2"/>
      <c r="MSS17" s="2"/>
      <c r="MST17" s="2"/>
      <c r="MSU17" s="2"/>
      <c r="MSV17" s="2"/>
      <c r="MSW17" s="2"/>
      <c r="MSX17" s="2"/>
      <c r="MSY17" s="2"/>
      <c r="MSZ17" s="2"/>
      <c r="MTA17" s="2"/>
      <c r="MTB17" s="2"/>
      <c r="MTC17" s="2"/>
      <c r="MTD17" s="2"/>
      <c r="MTE17" s="2"/>
      <c r="MTF17" s="2"/>
      <c r="MTG17" s="2"/>
      <c r="MTH17" s="2"/>
      <c r="MTI17" s="2"/>
      <c r="MTJ17" s="2"/>
      <c r="MTK17" s="2"/>
      <c r="MTL17" s="2"/>
      <c r="MTM17" s="2"/>
      <c r="MTN17" s="2"/>
      <c r="MTO17" s="2"/>
      <c r="MTP17" s="2"/>
      <c r="MTQ17" s="2"/>
      <c r="MTR17" s="2"/>
      <c r="MTS17" s="2"/>
      <c r="MTT17" s="2"/>
      <c r="MTU17" s="2"/>
      <c r="MTV17" s="2"/>
      <c r="MTW17" s="2"/>
      <c r="MTX17" s="2"/>
      <c r="MTY17" s="2"/>
      <c r="MTZ17" s="2"/>
      <c r="MUA17" s="2"/>
      <c r="MUB17" s="2"/>
      <c r="MUC17" s="2"/>
      <c r="MUD17" s="2"/>
      <c r="MUE17" s="2"/>
      <c r="MUF17" s="2"/>
      <c r="MUG17" s="2"/>
      <c r="MUH17" s="2"/>
      <c r="MUI17" s="2"/>
      <c r="MUJ17" s="2"/>
      <c r="MUK17" s="2"/>
      <c r="MUL17" s="2"/>
      <c r="MUM17" s="2"/>
      <c r="MUN17" s="2"/>
      <c r="MUO17" s="2"/>
      <c r="MUP17" s="2"/>
      <c r="MUQ17" s="2"/>
      <c r="MUR17" s="2"/>
      <c r="MUS17" s="2"/>
      <c r="MUT17" s="2"/>
      <c r="MUU17" s="2"/>
      <c r="MUV17" s="2"/>
      <c r="MUW17" s="2"/>
      <c r="MUX17" s="2"/>
      <c r="MUY17" s="2"/>
      <c r="MUZ17" s="2"/>
      <c r="MVA17" s="2"/>
      <c r="MVB17" s="2"/>
      <c r="MVC17" s="2"/>
      <c r="MVD17" s="2"/>
      <c r="MVE17" s="2"/>
      <c r="MVF17" s="2"/>
      <c r="MVG17" s="2"/>
      <c r="MVH17" s="2"/>
      <c r="MVI17" s="2"/>
      <c r="MVJ17" s="2"/>
      <c r="MVK17" s="2"/>
      <c r="MVL17" s="2"/>
      <c r="MVM17" s="2"/>
      <c r="MVN17" s="2"/>
      <c r="MVO17" s="2"/>
      <c r="MVP17" s="2"/>
      <c r="MVQ17" s="2"/>
      <c r="MVR17" s="2"/>
      <c r="MVS17" s="2"/>
      <c r="MVT17" s="2"/>
      <c r="MVU17" s="2"/>
      <c r="MVV17" s="2"/>
      <c r="MVW17" s="2"/>
      <c r="MVX17" s="2"/>
      <c r="MVY17" s="2"/>
      <c r="MVZ17" s="2"/>
      <c r="MWA17" s="2"/>
      <c r="MWB17" s="2"/>
      <c r="MWC17" s="2"/>
      <c r="MWD17" s="2"/>
      <c r="MWE17" s="2"/>
      <c r="MWF17" s="2"/>
      <c r="MWG17" s="2"/>
      <c r="MWH17" s="2"/>
      <c r="MWI17" s="2"/>
      <c r="MWJ17" s="2"/>
      <c r="MWK17" s="2"/>
      <c r="MWL17" s="2"/>
      <c r="MWM17" s="2"/>
      <c r="MWN17" s="2"/>
      <c r="MWO17" s="2"/>
      <c r="MWP17" s="2"/>
      <c r="MWQ17" s="2"/>
      <c r="MWR17" s="2"/>
      <c r="MWS17" s="2"/>
      <c r="MWT17" s="2"/>
      <c r="MWU17" s="2"/>
      <c r="MWV17" s="2"/>
      <c r="MWW17" s="2"/>
      <c r="MWX17" s="2"/>
      <c r="MWY17" s="2"/>
      <c r="MWZ17" s="2"/>
      <c r="MXA17" s="2"/>
      <c r="MXB17" s="2"/>
      <c r="MXC17" s="2"/>
      <c r="MXD17" s="2"/>
      <c r="MXE17" s="2"/>
      <c r="MXF17" s="2"/>
      <c r="MXG17" s="2"/>
      <c r="MXH17" s="2"/>
      <c r="MXI17" s="2"/>
      <c r="MXJ17" s="2"/>
      <c r="MXK17" s="2"/>
      <c r="MXL17" s="2"/>
      <c r="MXM17" s="2"/>
      <c r="MXN17" s="2"/>
      <c r="MXO17" s="2"/>
      <c r="MXP17" s="2"/>
      <c r="MXQ17" s="2"/>
      <c r="MXR17" s="2"/>
      <c r="MXS17" s="2"/>
      <c r="MXT17" s="2"/>
      <c r="MXU17" s="2"/>
      <c r="MXV17" s="2"/>
      <c r="MXW17" s="2"/>
      <c r="MXX17" s="2"/>
      <c r="MXY17" s="2"/>
      <c r="MXZ17" s="2"/>
      <c r="MYA17" s="2"/>
      <c r="MYB17" s="2"/>
      <c r="MYC17" s="2"/>
      <c r="MYD17" s="2"/>
      <c r="MYE17" s="2"/>
      <c r="MYF17" s="2"/>
      <c r="MYG17" s="2"/>
      <c r="MYH17" s="2"/>
      <c r="MYI17" s="2"/>
      <c r="MYJ17" s="2"/>
      <c r="MYK17" s="2"/>
      <c r="MYL17" s="2"/>
      <c r="MYM17" s="2"/>
      <c r="MYN17" s="2"/>
      <c r="MYO17" s="2"/>
      <c r="MYP17" s="2"/>
      <c r="MYQ17" s="2"/>
      <c r="MYR17" s="2"/>
      <c r="MYS17" s="2"/>
      <c r="MYT17" s="2"/>
      <c r="MYU17" s="2"/>
      <c r="MYV17" s="2"/>
      <c r="MYW17" s="2"/>
      <c r="MYX17" s="2"/>
      <c r="MYY17" s="2"/>
      <c r="MYZ17" s="2"/>
      <c r="MZA17" s="2"/>
      <c r="MZB17" s="2"/>
      <c r="MZC17" s="2"/>
      <c r="MZD17" s="2"/>
      <c r="MZE17" s="2"/>
      <c r="MZF17" s="2"/>
      <c r="MZG17" s="2"/>
      <c r="MZH17" s="2"/>
      <c r="MZI17" s="2"/>
      <c r="MZJ17" s="2"/>
      <c r="MZK17" s="2"/>
      <c r="MZL17" s="2"/>
      <c r="MZM17" s="2"/>
      <c r="MZN17" s="2"/>
      <c r="MZO17" s="2"/>
      <c r="MZP17" s="2"/>
      <c r="MZQ17" s="2"/>
      <c r="MZR17" s="2"/>
      <c r="MZS17" s="2"/>
      <c r="MZT17" s="2"/>
      <c r="MZU17" s="2"/>
      <c r="MZV17" s="2"/>
      <c r="MZW17" s="2"/>
      <c r="MZX17" s="2"/>
      <c r="MZY17" s="2"/>
      <c r="MZZ17" s="2"/>
      <c r="NAA17" s="2"/>
      <c r="NAB17" s="2"/>
      <c r="NAC17" s="2"/>
      <c r="NAD17" s="2"/>
      <c r="NAE17" s="2"/>
      <c r="NAF17" s="2"/>
      <c r="NAG17" s="2"/>
      <c r="NAH17" s="2"/>
      <c r="NAI17" s="2"/>
      <c r="NAJ17" s="2"/>
      <c r="NAK17" s="2"/>
      <c r="NAL17" s="2"/>
      <c r="NAM17" s="2"/>
      <c r="NAN17" s="2"/>
      <c r="NAO17" s="2"/>
      <c r="NAP17" s="2"/>
      <c r="NAQ17" s="2"/>
      <c r="NAR17" s="2"/>
      <c r="NAS17" s="2"/>
      <c r="NAT17" s="2"/>
      <c r="NAU17" s="2"/>
      <c r="NAV17" s="2"/>
      <c r="NAW17" s="2"/>
      <c r="NAX17" s="2"/>
      <c r="NAY17" s="2"/>
      <c r="NAZ17" s="2"/>
      <c r="NBA17" s="2"/>
      <c r="NBB17" s="2"/>
      <c r="NBC17" s="2"/>
      <c r="NBD17" s="2"/>
      <c r="NBE17" s="2"/>
      <c r="NBF17" s="2"/>
      <c r="NBG17" s="2"/>
      <c r="NBH17" s="2"/>
      <c r="NBI17" s="2"/>
      <c r="NBJ17" s="2"/>
      <c r="NBK17" s="2"/>
      <c r="NBL17" s="2"/>
      <c r="NBM17" s="2"/>
      <c r="NBN17" s="2"/>
      <c r="NBO17" s="2"/>
      <c r="NBP17" s="2"/>
      <c r="NBQ17" s="2"/>
      <c r="NBR17" s="2"/>
      <c r="NBS17" s="2"/>
      <c r="NBT17" s="2"/>
      <c r="NBU17" s="2"/>
      <c r="NBV17" s="2"/>
      <c r="NBW17" s="2"/>
      <c r="NBX17" s="2"/>
      <c r="NBY17" s="2"/>
      <c r="NBZ17" s="2"/>
      <c r="NCA17" s="2"/>
      <c r="NCB17" s="2"/>
      <c r="NCC17" s="2"/>
      <c r="NCD17" s="2"/>
      <c r="NCE17" s="2"/>
      <c r="NCF17" s="2"/>
      <c r="NCG17" s="2"/>
      <c r="NCH17" s="2"/>
      <c r="NCI17" s="2"/>
      <c r="NCJ17" s="2"/>
      <c r="NCK17" s="2"/>
      <c r="NCL17" s="2"/>
      <c r="NCM17" s="2"/>
      <c r="NCN17" s="2"/>
      <c r="NCO17" s="2"/>
      <c r="NCP17" s="2"/>
      <c r="NCQ17" s="2"/>
      <c r="NCR17" s="2"/>
      <c r="NCS17" s="2"/>
      <c r="NCT17" s="2"/>
      <c r="NCU17" s="2"/>
      <c r="NCV17" s="2"/>
      <c r="NCW17" s="2"/>
      <c r="NCX17" s="2"/>
      <c r="NCY17" s="2"/>
      <c r="NCZ17" s="2"/>
      <c r="NDA17" s="2"/>
      <c r="NDB17" s="2"/>
      <c r="NDC17" s="2"/>
      <c r="NDD17" s="2"/>
      <c r="NDE17" s="2"/>
      <c r="NDF17" s="2"/>
      <c r="NDG17" s="2"/>
      <c r="NDH17" s="2"/>
      <c r="NDI17" s="2"/>
      <c r="NDJ17" s="2"/>
      <c r="NDK17" s="2"/>
      <c r="NDL17" s="2"/>
      <c r="NDM17" s="2"/>
      <c r="NDN17" s="2"/>
      <c r="NDO17" s="2"/>
      <c r="NDP17" s="2"/>
      <c r="NDQ17" s="2"/>
      <c r="NDR17" s="2"/>
      <c r="NDS17" s="2"/>
      <c r="NDT17" s="2"/>
      <c r="NDU17" s="2"/>
      <c r="NDV17" s="2"/>
      <c r="NDW17" s="2"/>
      <c r="NDX17" s="2"/>
      <c r="NDY17" s="2"/>
      <c r="NDZ17" s="2"/>
      <c r="NEA17" s="2"/>
      <c r="NEB17" s="2"/>
      <c r="NEC17" s="2"/>
      <c r="NED17" s="2"/>
      <c r="NEE17" s="2"/>
      <c r="NEF17" s="2"/>
      <c r="NEG17" s="2"/>
      <c r="NEH17" s="2"/>
      <c r="NEI17" s="2"/>
      <c r="NEJ17" s="2"/>
      <c r="NEK17" s="2"/>
      <c r="NEL17" s="2"/>
      <c r="NEM17" s="2"/>
      <c r="NEN17" s="2"/>
      <c r="NEO17" s="2"/>
      <c r="NEP17" s="2"/>
      <c r="NEQ17" s="2"/>
      <c r="NER17" s="2"/>
      <c r="NES17" s="2"/>
      <c r="NET17" s="2"/>
      <c r="NEU17" s="2"/>
      <c r="NEV17" s="2"/>
      <c r="NEW17" s="2"/>
      <c r="NEX17" s="2"/>
      <c r="NEY17" s="2"/>
      <c r="NEZ17" s="2"/>
      <c r="NFA17" s="2"/>
      <c r="NFB17" s="2"/>
      <c r="NFC17" s="2"/>
      <c r="NFD17" s="2"/>
      <c r="NFE17" s="2"/>
      <c r="NFF17" s="2"/>
      <c r="NFG17" s="2"/>
      <c r="NFH17" s="2"/>
      <c r="NFI17" s="2"/>
      <c r="NFJ17" s="2"/>
      <c r="NFK17" s="2"/>
      <c r="NFL17" s="2"/>
      <c r="NFM17" s="2"/>
      <c r="NFN17" s="2"/>
      <c r="NFO17" s="2"/>
      <c r="NFP17" s="2"/>
      <c r="NFQ17" s="2"/>
      <c r="NFR17" s="2"/>
      <c r="NFS17" s="2"/>
      <c r="NFT17" s="2"/>
      <c r="NFU17" s="2"/>
      <c r="NFV17" s="2"/>
      <c r="NFW17" s="2"/>
      <c r="NFX17" s="2"/>
      <c r="NFY17" s="2"/>
      <c r="NFZ17" s="2"/>
      <c r="NGA17" s="2"/>
      <c r="NGB17" s="2"/>
      <c r="NGC17" s="2"/>
      <c r="NGD17" s="2"/>
      <c r="NGE17" s="2"/>
      <c r="NGF17" s="2"/>
      <c r="NGG17" s="2"/>
      <c r="NGH17" s="2"/>
      <c r="NGI17" s="2"/>
      <c r="NGJ17" s="2"/>
      <c r="NGK17" s="2"/>
      <c r="NGL17" s="2"/>
      <c r="NGM17" s="2"/>
      <c r="NGN17" s="2"/>
      <c r="NGO17" s="2"/>
      <c r="NGP17" s="2"/>
      <c r="NGQ17" s="2"/>
      <c r="NGR17" s="2"/>
      <c r="NGS17" s="2"/>
      <c r="NGT17" s="2"/>
      <c r="NGU17" s="2"/>
      <c r="NGV17" s="2"/>
      <c r="NGW17" s="2"/>
      <c r="NGX17" s="2"/>
      <c r="NGY17" s="2"/>
      <c r="NGZ17" s="2"/>
      <c r="NHA17" s="2"/>
      <c r="NHB17" s="2"/>
      <c r="NHC17" s="2"/>
      <c r="NHD17" s="2"/>
      <c r="NHE17" s="2"/>
      <c r="NHF17" s="2"/>
      <c r="NHG17" s="2"/>
      <c r="NHH17" s="2"/>
      <c r="NHI17" s="2"/>
      <c r="NHJ17" s="2"/>
      <c r="NHK17" s="2"/>
      <c r="NHL17" s="2"/>
      <c r="NHM17" s="2"/>
      <c r="NHN17" s="2"/>
      <c r="NHO17" s="2"/>
      <c r="NHP17" s="2"/>
      <c r="NHQ17" s="2"/>
      <c r="NHR17" s="2"/>
      <c r="NHS17" s="2"/>
      <c r="NHT17" s="2"/>
      <c r="NHU17" s="2"/>
      <c r="NHV17" s="2"/>
      <c r="NHW17" s="2"/>
      <c r="NHX17" s="2"/>
      <c r="NHY17" s="2"/>
      <c r="NHZ17" s="2"/>
      <c r="NIA17" s="2"/>
      <c r="NIB17" s="2"/>
      <c r="NIC17" s="2"/>
      <c r="NID17" s="2"/>
      <c r="NIE17" s="2"/>
      <c r="NIF17" s="2"/>
      <c r="NIG17" s="2"/>
      <c r="NIH17" s="2"/>
      <c r="NII17" s="2"/>
      <c r="NIJ17" s="2"/>
      <c r="NIK17" s="2"/>
      <c r="NIL17" s="2"/>
      <c r="NIM17" s="2"/>
      <c r="NIN17" s="2"/>
      <c r="NIO17" s="2"/>
      <c r="NIP17" s="2"/>
      <c r="NIQ17" s="2"/>
      <c r="NIR17" s="2"/>
      <c r="NIS17" s="2"/>
      <c r="NIT17" s="2"/>
      <c r="NIU17" s="2"/>
      <c r="NIV17" s="2"/>
      <c r="NIW17" s="2"/>
      <c r="NIX17" s="2"/>
      <c r="NIY17" s="2"/>
      <c r="NIZ17" s="2"/>
      <c r="NJA17" s="2"/>
      <c r="NJB17" s="2"/>
      <c r="NJC17" s="2"/>
      <c r="NJD17" s="2"/>
      <c r="NJE17" s="2"/>
      <c r="NJF17" s="2"/>
      <c r="NJG17" s="2"/>
      <c r="NJH17" s="2"/>
      <c r="NJI17" s="2"/>
      <c r="NJJ17" s="2"/>
      <c r="NJK17" s="2"/>
      <c r="NJL17" s="2"/>
      <c r="NJM17" s="2"/>
      <c r="NJN17" s="2"/>
      <c r="NJO17" s="2"/>
      <c r="NJP17" s="2"/>
      <c r="NJQ17" s="2"/>
      <c r="NJR17" s="2"/>
      <c r="NJS17" s="2"/>
      <c r="NJT17" s="2"/>
      <c r="NJU17" s="2"/>
      <c r="NJV17" s="2"/>
      <c r="NJW17" s="2"/>
      <c r="NJX17" s="2"/>
      <c r="NJY17" s="2"/>
      <c r="NJZ17" s="2"/>
      <c r="NKA17" s="2"/>
      <c r="NKB17" s="2"/>
      <c r="NKC17" s="2"/>
      <c r="NKD17" s="2"/>
      <c r="NKE17" s="2"/>
      <c r="NKF17" s="2"/>
      <c r="NKG17" s="2"/>
      <c r="NKH17" s="2"/>
      <c r="NKI17" s="2"/>
      <c r="NKJ17" s="2"/>
      <c r="NKK17" s="2"/>
      <c r="NKL17" s="2"/>
      <c r="NKM17" s="2"/>
      <c r="NKN17" s="2"/>
      <c r="NKO17" s="2"/>
      <c r="NKP17" s="2"/>
      <c r="NKQ17" s="2"/>
      <c r="NKR17" s="2"/>
      <c r="NKS17" s="2"/>
      <c r="NKT17" s="2"/>
      <c r="NKU17" s="2"/>
      <c r="NKV17" s="2"/>
      <c r="NKW17" s="2"/>
      <c r="NKX17" s="2"/>
      <c r="NKY17" s="2"/>
      <c r="NKZ17" s="2"/>
      <c r="NLA17" s="2"/>
      <c r="NLB17" s="2"/>
      <c r="NLC17" s="2"/>
      <c r="NLD17" s="2"/>
      <c r="NLE17" s="2"/>
      <c r="NLF17" s="2"/>
      <c r="NLG17" s="2"/>
      <c r="NLH17" s="2"/>
      <c r="NLI17" s="2"/>
      <c r="NLJ17" s="2"/>
      <c r="NLK17" s="2"/>
      <c r="NLL17" s="2"/>
      <c r="NLM17" s="2"/>
      <c r="NLN17" s="2"/>
      <c r="NLO17" s="2"/>
      <c r="NLP17" s="2"/>
      <c r="NLQ17" s="2"/>
      <c r="NLR17" s="2"/>
      <c r="NLS17" s="2"/>
      <c r="NLT17" s="2"/>
      <c r="NLU17" s="2"/>
      <c r="NLV17" s="2"/>
      <c r="NLW17" s="2"/>
      <c r="NLX17" s="2"/>
      <c r="NLY17" s="2"/>
      <c r="NLZ17" s="2"/>
      <c r="NMA17" s="2"/>
      <c r="NMB17" s="2"/>
      <c r="NMC17" s="2"/>
      <c r="NMD17" s="2"/>
      <c r="NME17" s="2"/>
      <c r="NMF17" s="2"/>
      <c r="NMG17" s="2"/>
      <c r="NMH17" s="2"/>
      <c r="NMI17" s="2"/>
      <c r="NMJ17" s="2"/>
      <c r="NMK17" s="2"/>
      <c r="NML17" s="2"/>
      <c r="NMM17" s="2"/>
      <c r="NMN17" s="2"/>
      <c r="NMO17" s="2"/>
      <c r="NMP17" s="2"/>
      <c r="NMQ17" s="2"/>
      <c r="NMR17" s="2"/>
      <c r="NMS17" s="2"/>
      <c r="NMT17" s="2"/>
      <c r="NMU17" s="2"/>
      <c r="NMV17" s="2"/>
      <c r="NMW17" s="2"/>
      <c r="NMX17" s="2"/>
      <c r="NMY17" s="2"/>
      <c r="NMZ17" s="2"/>
      <c r="NNA17" s="2"/>
      <c r="NNB17" s="2"/>
      <c r="NNC17" s="2"/>
      <c r="NND17" s="2"/>
      <c r="NNE17" s="2"/>
      <c r="NNF17" s="2"/>
      <c r="NNG17" s="2"/>
      <c r="NNH17" s="2"/>
      <c r="NNI17" s="2"/>
      <c r="NNJ17" s="2"/>
      <c r="NNK17" s="2"/>
      <c r="NNL17" s="2"/>
      <c r="NNM17" s="2"/>
      <c r="NNN17" s="2"/>
      <c r="NNO17" s="2"/>
      <c r="NNP17" s="2"/>
      <c r="NNQ17" s="2"/>
      <c r="NNR17" s="2"/>
      <c r="NNS17" s="2"/>
      <c r="NNT17" s="2"/>
      <c r="NNU17" s="2"/>
      <c r="NNV17" s="2"/>
      <c r="NNW17" s="2"/>
      <c r="NNX17" s="2"/>
      <c r="NNY17" s="2"/>
      <c r="NNZ17" s="2"/>
      <c r="NOA17" s="2"/>
      <c r="NOB17" s="2"/>
      <c r="NOC17" s="2"/>
      <c r="NOD17" s="2"/>
      <c r="NOE17" s="2"/>
      <c r="NOF17" s="2"/>
      <c r="NOG17" s="2"/>
      <c r="NOH17" s="2"/>
      <c r="NOI17" s="2"/>
      <c r="NOJ17" s="2"/>
      <c r="NOK17" s="2"/>
      <c r="NOL17" s="2"/>
      <c r="NOM17" s="2"/>
      <c r="NON17" s="2"/>
      <c r="NOO17" s="2"/>
      <c r="NOP17" s="2"/>
      <c r="NOQ17" s="2"/>
      <c r="NOR17" s="2"/>
      <c r="NOS17" s="2"/>
      <c r="NOT17" s="2"/>
      <c r="NOU17" s="2"/>
      <c r="NOV17" s="2"/>
      <c r="NOW17" s="2"/>
      <c r="NOX17" s="2"/>
      <c r="NOY17" s="2"/>
      <c r="NOZ17" s="2"/>
      <c r="NPA17" s="2"/>
      <c r="NPB17" s="2"/>
      <c r="NPC17" s="2"/>
      <c r="NPD17" s="2"/>
      <c r="NPE17" s="2"/>
      <c r="NPF17" s="2"/>
      <c r="NPG17" s="2"/>
      <c r="NPH17" s="2"/>
      <c r="NPI17" s="2"/>
      <c r="NPJ17" s="2"/>
      <c r="NPK17" s="2"/>
      <c r="NPL17" s="2"/>
      <c r="NPM17" s="2"/>
      <c r="NPN17" s="2"/>
      <c r="NPO17" s="2"/>
      <c r="NPP17" s="2"/>
      <c r="NPQ17" s="2"/>
      <c r="NPR17" s="2"/>
      <c r="NPS17" s="2"/>
      <c r="NPT17" s="2"/>
      <c r="NPU17" s="2"/>
      <c r="NPV17" s="2"/>
      <c r="NPW17" s="2"/>
      <c r="NPX17" s="2"/>
      <c r="NPY17" s="2"/>
      <c r="NPZ17" s="2"/>
      <c r="NQA17" s="2"/>
      <c r="NQB17" s="2"/>
      <c r="NQC17" s="2"/>
      <c r="NQD17" s="2"/>
      <c r="NQE17" s="2"/>
      <c r="NQF17" s="2"/>
      <c r="NQG17" s="2"/>
      <c r="NQH17" s="2"/>
      <c r="NQI17" s="2"/>
      <c r="NQJ17" s="2"/>
      <c r="NQK17" s="2"/>
      <c r="NQL17" s="2"/>
      <c r="NQM17" s="2"/>
      <c r="NQN17" s="2"/>
      <c r="NQO17" s="2"/>
      <c r="NQP17" s="2"/>
      <c r="NQQ17" s="2"/>
      <c r="NQR17" s="2"/>
      <c r="NQS17" s="2"/>
      <c r="NQT17" s="2"/>
      <c r="NQU17" s="2"/>
      <c r="NQV17" s="2"/>
      <c r="NQW17" s="2"/>
      <c r="NQX17" s="2"/>
      <c r="NQY17" s="2"/>
      <c r="NQZ17" s="2"/>
      <c r="NRA17" s="2"/>
      <c r="NRB17" s="2"/>
      <c r="NRC17" s="2"/>
      <c r="NRD17" s="2"/>
      <c r="NRE17" s="2"/>
      <c r="NRF17" s="2"/>
      <c r="NRG17" s="2"/>
      <c r="NRH17" s="2"/>
      <c r="NRI17" s="2"/>
      <c r="NRJ17" s="2"/>
      <c r="NRK17" s="2"/>
      <c r="NRL17" s="2"/>
      <c r="NRM17" s="2"/>
      <c r="NRN17" s="2"/>
      <c r="NRO17" s="2"/>
      <c r="NRP17" s="2"/>
      <c r="NRQ17" s="2"/>
      <c r="NRR17" s="2"/>
      <c r="NRS17" s="2"/>
      <c r="NRT17" s="2"/>
      <c r="NRU17" s="2"/>
      <c r="NRV17" s="2"/>
      <c r="NRW17" s="2"/>
      <c r="NRX17" s="2"/>
      <c r="NRY17" s="2"/>
      <c r="NRZ17" s="2"/>
      <c r="NSA17" s="2"/>
      <c r="NSB17" s="2"/>
      <c r="NSC17" s="2"/>
      <c r="NSD17" s="2"/>
      <c r="NSE17" s="2"/>
      <c r="NSF17" s="2"/>
      <c r="NSG17" s="2"/>
      <c r="NSH17" s="2"/>
      <c r="NSI17" s="2"/>
      <c r="NSJ17" s="2"/>
      <c r="NSK17" s="2"/>
      <c r="NSL17" s="2"/>
      <c r="NSM17" s="2"/>
      <c r="NSN17" s="2"/>
      <c r="NSO17" s="2"/>
      <c r="NSP17" s="2"/>
      <c r="NSQ17" s="2"/>
      <c r="NSR17" s="2"/>
      <c r="NSS17" s="2"/>
      <c r="NST17" s="2"/>
      <c r="NSU17" s="2"/>
      <c r="NSV17" s="2"/>
      <c r="NSW17" s="2"/>
      <c r="NSX17" s="2"/>
      <c r="NSY17" s="2"/>
      <c r="NSZ17" s="2"/>
      <c r="NTA17" s="2"/>
      <c r="NTB17" s="2"/>
      <c r="NTC17" s="2"/>
      <c r="NTD17" s="2"/>
      <c r="NTE17" s="2"/>
      <c r="NTF17" s="2"/>
      <c r="NTG17" s="2"/>
      <c r="NTH17" s="2"/>
      <c r="NTI17" s="2"/>
      <c r="NTJ17" s="2"/>
      <c r="NTK17" s="2"/>
      <c r="NTL17" s="2"/>
      <c r="NTM17" s="2"/>
      <c r="NTN17" s="2"/>
      <c r="NTO17" s="2"/>
      <c r="NTP17" s="2"/>
      <c r="NTQ17" s="2"/>
      <c r="NTR17" s="2"/>
      <c r="NTS17" s="2"/>
      <c r="NTT17" s="2"/>
      <c r="NTU17" s="2"/>
      <c r="NTV17" s="2"/>
      <c r="NTW17" s="2"/>
      <c r="NTX17" s="2"/>
      <c r="NTY17" s="2"/>
      <c r="NTZ17" s="2"/>
      <c r="NUA17" s="2"/>
      <c r="NUB17" s="2"/>
      <c r="NUC17" s="2"/>
      <c r="NUD17" s="2"/>
      <c r="NUE17" s="2"/>
      <c r="NUF17" s="2"/>
      <c r="NUG17" s="2"/>
      <c r="NUH17" s="2"/>
      <c r="NUI17" s="2"/>
      <c r="NUJ17" s="2"/>
      <c r="NUK17" s="2"/>
      <c r="NUL17" s="2"/>
      <c r="NUM17" s="2"/>
      <c r="NUN17" s="2"/>
      <c r="NUO17" s="2"/>
      <c r="NUP17" s="2"/>
      <c r="NUQ17" s="2"/>
      <c r="NUR17" s="2"/>
      <c r="NUS17" s="2"/>
      <c r="NUT17" s="2"/>
      <c r="NUU17" s="2"/>
      <c r="NUV17" s="2"/>
      <c r="NUW17" s="2"/>
      <c r="NUX17" s="2"/>
      <c r="NUY17" s="2"/>
      <c r="NUZ17" s="2"/>
      <c r="NVA17" s="2"/>
      <c r="NVB17" s="2"/>
      <c r="NVC17" s="2"/>
      <c r="NVD17" s="2"/>
      <c r="NVE17" s="2"/>
      <c r="NVF17" s="2"/>
      <c r="NVG17" s="2"/>
      <c r="NVH17" s="2"/>
      <c r="NVI17" s="2"/>
      <c r="NVJ17" s="2"/>
      <c r="NVK17" s="2"/>
      <c r="NVL17" s="2"/>
      <c r="NVM17" s="2"/>
      <c r="NVN17" s="2"/>
      <c r="NVO17" s="2"/>
      <c r="NVP17" s="2"/>
      <c r="NVQ17" s="2"/>
      <c r="NVR17" s="2"/>
      <c r="NVS17" s="2"/>
      <c r="NVT17" s="2"/>
      <c r="NVU17" s="2"/>
      <c r="NVV17" s="2"/>
      <c r="NVW17" s="2"/>
      <c r="NVX17" s="2"/>
      <c r="NVY17" s="2"/>
      <c r="NVZ17" s="2"/>
      <c r="NWA17" s="2"/>
      <c r="NWB17" s="2"/>
      <c r="NWC17" s="2"/>
      <c r="NWD17" s="2"/>
      <c r="NWE17" s="2"/>
      <c r="NWF17" s="2"/>
      <c r="NWG17" s="2"/>
      <c r="NWH17" s="2"/>
      <c r="NWI17" s="2"/>
      <c r="NWJ17" s="2"/>
      <c r="NWK17" s="2"/>
      <c r="NWL17" s="2"/>
      <c r="NWM17" s="2"/>
      <c r="NWN17" s="2"/>
      <c r="NWO17" s="2"/>
      <c r="NWP17" s="2"/>
      <c r="NWQ17" s="2"/>
      <c r="NWR17" s="2"/>
      <c r="NWS17" s="2"/>
      <c r="NWT17" s="2"/>
      <c r="NWU17" s="2"/>
      <c r="NWV17" s="2"/>
      <c r="NWW17" s="2"/>
      <c r="NWX17" s="2"/>
      <c r="NWY17" s="2"/>
      <c r="NWZ17" s="2"/>
      <c r="NXA17" s="2"/>
      <c r="NXB17" s="2"/>
      <c r="NXC17" s="2"/>
      <c r="NXD17" s="2"/>
      <c r="NXE17" s="2"/>
      <c r="NXF17" s="2"/>
      <c r="NXG17" s="2"/>
      <c r="NXH17" s="2"/>
      <c r="NXI17" s="2"/>
      <c r="NXJ17" s="2"/>
      <c r="NXK17" s="2"/>
      <c r="NXL17" s="2"/>
      <c r="NXM17" s="2"/>
      <c r="NXN17" s="2"/>
      <c r="NXO17" s="2"/>
      <c r="NXP17" s="2"/>
      <c r="NXQ17" s="2"/>
      <c r="NXR17" s="2"/>
      <c r="NXS17" s="2"/>
      <c r="NXT17" s="2"/>
      <c r="NXU17" s="2"/>
      <c r="NXV17" s="2"/>
      <c r="NXW17" s="2"/>
      <c r="NXX17" s="2"/>
      <c r="NXY17" s="2"/>
      <c r="NXZ17" s="2"/>
      <c r="NYA17" s="2"/>
      <c r="NYB17" s="2"/>
      <c r="NYC17" s="2"/>
      <c r="NYD17" s="2"/>
      <c r="NYE17" s="2"/>
      <c r="NYF17" s="2"/>
      <c r="NYG17" s="2"/>
      <c r="NYH17" s="2"/>
      <c r="NYI17" s="2"/>
      <c r="NYJ17" s="2"/>
      <c r="NYK17" s="2"/>
      <c r="NYL17" s="2"/>
      <c r="NYM17" s="2"/>
      <c r="NYN17" s="2"/>
      <c r="NYO17" s="2"/>
      <c r="NYP17" s="2"/>
      <c r="NYQ17" s="2"/>
      <c r="NYR17" s="2"/>
      <c r="NYS17" s="2"/>
      <c r="NYT17" s="2"/>
      <c r="NYU17" s="2"/>
      <c r="NYV17" s="2"/>
      <c r="NYW17" s="2"/>
      <c r="NYX17" s="2"/>
      <c r="NYY17" s="2"/>
      <c r="NYZ17" s="2"/>
      <c r="NZA17" s="2"/>
      <c r="NZB17" s="2"/>
      <c r="NZC17" s="2"/>
      <c r="NZD17" s="2"/>
      <c r="NZE17" s="2"/>
      <c r="NZF17" s="2"/>
      <c r="NZG17" s="2"/>
      <c r="NZH17" s="2"/>
      <c r="NZI17" s="2"/>
      <c r="NZJ17" s="2"/>
      <c r="NZK17" s="2"/>
      <c r="NZL17" s="2"/>
      <c r="NZM17" s="2"/>
      <c r="NZN17" s="2"/>
      <c r="NZO17" s="2"/>
      <c r="NZP17" s="2"/>
      <c r="NZQ17" s="2"/>
      <c r="NZR17" s="2"/>
      <c r="NZS17" s="2"/>
      <c r="NZT17" s="2"/>
      <c r="NZU17" s="2"/>
      <c r="NZV17" s="2"/>
      <c r="NZW17" s="2"/>
      <c r="NZX17" s="2"/>
      <c r="NZY17" s="2"/>
      <c r="NZZ17" s="2"/>
      <c r="OAA17" s="2"/>
      <c r="OAB17" s="2"/>
      <c r="OAC17" s="2"/>
      <c r="OAD17" s="2"/>
      <c r="OAE17" s="2"/>
      <c r="OAF17" s="2"/>
      <c r="OAG17" s="2"/>
      <c r="OAH17" s="2"/>
      <c r="OAI17" s="2"/>
      <c r="OAJ17" s="2"/>
      <c r="OAK17" s="2"/>
      <c r="OAL17" s="2"/>
      <c r="OAM17" s="2"/>
      <c r="OAN17" s="2"/>
      <c r="OAO17" s="2"/>
      <c r="OAP17" s="2"/>
      <c r="OAQ17" s="2"/>
      <c r="OAR17" s="2"/>
      <c r="OAS17" s="2"/>
      <c r="OAT17" s="2"/>
      <c r="OAU17" s="2"/>
      <c r="OAV17" s="2"/>
      <c r="OAW17" s="2"/>
      <c r="OAX17" s="2"/>
      <c r="OAY17" s="2"/>
      <c r="OAZ17" s="2"/>
      <c r="OBA17" s="2"/>
      <c r="OBB17" s="2"/>
      <c r="OBC17" s="2"/>
      <c r="OBD17" s="2"/>
      <c r="OBE17" s="2"/>
      <c r="OBF17" s="2"/>
      <c r="OBG17" s="2"/>
      <c r="OBH17" s="2"/>
      <c r="OBI17" s="2"/>
      <c r="OBJ17" s="2"/>
      <c r="OBK17" s="2"/>
      <c r="OBL17" s="2"/>
      <c r="OBM17" s="2"/>
      <c r="OBN17" s="2"/>
      <c r="OBO17" s="2"/>
      <c r="OBP17" s="2"/>
      <c r="OBQ17" s="2"/>
      <c r="OBR17" s="2"/>
      <c r="OBS17" s="2"/>
      <c r="OBT17" s="2"/>
      <c r="OBU17" s="2"/>
      <c r="OBV17" s="2"/>
      <c r="OBW17" s="2"/>
      <c r="OBX17" s="2"/>
      <c r="OBY17" s="2"/>
      <c r="OBZ17" s="2"/>
      <c r="OCA17" s="2"/>
      <c r="OCB17" s="2"/>
      <c r="OCC17" s="2"/>
      <c r="OCD17" s="2"/>
      <c r="OCE17" s="2"/>
      <c r="OCF17" s="2"/>
      <c r="OCG17" s="2"/>
      <c r="OCH17" s="2"/>
      <c r="OCI17" s="2"/>
      <c r="OCJ17" s="2"/>
      <c r="OCK17" s="2"/>
      <c r="OCL17" s="2"/>
      <c r="OCM17" s="2"/>
      <c r="OCN17" s="2"/>
      <c r="OCO17" s="2"/>
      <c r="OCP17" s="2"/>
      <c r="OCQ17" s="2"/>
      <c r="OCR17" s="2"/>
      <c r="OCS17" s="2"/>
      <c r="OCT17" s="2"/>
      <c r="OCU17" s="2"/>
      <c r="OCV17" s="2"/>
      <c r="OCW17" s="2"/>
      <c r="OCX17" s="2"/>
      <c r="OCY17" s="2"/>
      <c r="OCZ17" s="2"/>
      <c r="ODA17" s="2"/>
      <c r="ODB17" s="2"/>
      <c r="ODC17" s="2"/>
      <c r="ODD17" s="2"/>
      <c r="ODE17" s="2"/>
      <c r="ODF17" s="2"/>
      <c r="ODG17" s="2"/>
      <c r="ODH17" s="2"/>
      <c r="ODI17" s="2"/>
      <c r="ODJ17" s="2"/>
      <c r="ODK17" s="2"/>
      <c r="ODL17" s="2"/>
      <c r="ODM17" s="2"/>
      <c r="ODN17" s="2"/>
      <c r="ODO17" s="2"/>
      <c r="ODP17" s="2"/>
      <c r="ODQ17" s="2"/>
      <c r="ODR17" s="2"/>
      <c r="ODS17" s="2"/>
      <c r="ODT17" s="2"/>
      <c r="ODU17" s="2"/>
      <c r="ODV17" s="2"/>
      <c r="ODW17" s="2"/>
      <c r="ODX17" s="2"/>
      <c r="ODY17" s="2"/>
      <c r="ODZ17" s="2"/>
      <c r="OEA17" s="2"/>
      <c r="OEB17" s="2"/>
      <c r="OEC17" s="2"/>
      <c r="OED17" s="2"/>
      <c r="OEE17" s="2"/>
      <c r="OEF17" s="2"/>
      <c r="OEG17" s="2"/>
      <c r="OEH17" s="2"/>
      <c r="OEI17" s="2"/>
      <c r="OEJ17" s="2"/>
      <c r="OEK17" s="2"/>
      <c r="OEL17" s="2"/>
      <c r="OEM17" s="2"/>
      <c r="OEN17" s="2"/>
      <c r="OEO17" s="2"/>
      <c r="OEP17" s="2"/>
      <c r="OEQ17" s="2"/>
      <c r="OER17" s="2"/>
      <c r="OES17" s="2"/>
      <c r="OET17" s="2"/>
      <c r="OEU17" s="2"/>
      <c r="OEV17" s="2"/>
      <c r="OEW17" s="2"/>
      <c r="OEX17" s="2"/>
      <c r="OEY17" s="2"/>
      <c r="OEZ17" s="2"/>
      <c r="OFA17" s="2"/>
      <c r="OFB17" s="2"/>
      <c r="OFC17" s="2"/>
      <c r="OFD17" s="2"/>
      <c r="OFE17" s="2"/>
      <c r="OFF17" s="2"/>
      <c r="OFG17" s="2"/>
      <c r="OFH17" s="2"/>
      <c r="OFI17" s="2"/>
      <c r="OFJ17" s="2"/>
      <c r="OFK17" s="2"/>
      <c r="OFL17" s="2"/>
      <c r="OFM17" s="2"/>
      <c r="OFN17" s="2"/>
      <c r="OFO17" s="2"/>
      <c r="OFP17" s="2"/>
      <c r="OFQ17" s="2"/>
      <c r="OFR17" s="2"/>
      <c r="OFS17" s="2"/>
      <c r="OFT17" s="2"/>
      <c r="OFU17" s="2"/>
      <c r="OFV17" s="2"/>
      <c r="OFW17" s="2"/>
      <c r="OFX17" s="2"/>
      <c r="OFY17" s="2"/>
      <c r="OFZ17" s="2"/>
      <c r="OGA17" s="2"/>
      <c r="OGB17" s="2"/>
      <c r="OGC17" s="2"/>
      <c r="OGD17" s="2"/>
      <c r="OGE17" s="2"/>
      <c r="OGF17" s="2"/>
      <c r="OGG17" s="2"/>
      <c r="OGH17" s="2"/>
      <c r="OGI17" s="2"/>
      <c r="OGJ17" s="2"/>
      <c r="OGK17" s="2"/>
      <c r="OGL17" s="2"/>
      <c r="OGM17" s="2"/>
      <c r="OGN17" s="2"/>
      <c r="OGO17" s="2"/>
      <c r="OGP17" s="2"/>
      <c r="OGQ17" s="2"/>
      <c r="OGR17" s="2"/>
      <c r="OGS17" s="2"/>
      <c r="OGT17" s="2"/>
      <c r="OGU17" s="2"/>
      <c r="OGV17" s="2"/>
      <c r="OGW17" s="2"/>
      <c r="OGX17" s="2"/>
      <c r="OGY17" s="2"/>
      <c r="OGZ17" s="2"/>
      <c r="OHA17" s="2"/>
      <c r="OHB17" s="2"/>
      <c r="OHC17" s="2"/>
      <c r="OHD17" s="2"/>
      <c r="OHE17" s="2"/>
      <c r="OHF17" s="2"/>
      <c r="OHG17" s="2"/>
      <c r="OHH17" s="2"/>
      <c r="OHI17" s="2"/>
      <c r="OHJ17" s="2"/>
      <c r="OHK17" s="2"/>
      <c r="OHL17" s="2"/>
      <c r="OHM17" s="2"/>
      <c r="OHN17" s="2"/>
      <c r="OHO17" s="2"/>
      <c r="OHP17" s="2"/>
      <c r="OHQ17" s="2"/>
      <c r="OHR17" s="2"/>
      <c r="OHS17" s="2"/>
      <c r="OHT17" s="2"/>
      <c r="OHU17" s="2"/>
      <c r="OHV17" s="2"/>
      <c r="OHW17" s="2"/>
      <c r="OHX17" s="2"/>
      <c r="OHY17" s="2"/>
      <c r="OHZ17" s="2"/>
      <c r="OIA17" s="2"/>
      <c r="OIB17" s="2"/>
      <c r="OIC17" s="2"/>
      <c r="OID17" s="2"/>
      <c r="OIE17" s="2"/>
      <c r="OIF17" s="2"/>
      <c r="OIG17" s="2"/>
      <c r="OIH17" s="2"/>
      <c r="OII17" s="2"/>
      <c r="OIJ17" s="2"/>
      <c r="OIK17" s="2"/>
      <c r="OIL17" s="2"/>
      <c r="OIM17" s="2"/>
      <c r="OIN17" s="2"/>
      <c r="OIO17" s="2"/>
      <c r="OIP17" s="2"/>
      <c r="OIQ17" s="2"/>
      <c r="OIR17" s="2"/>
      <c r="OIS17" s="2"/>
      <c r="OIT17" s="2"/>
      <c r="OIU17" s="2"/>
      <c r="OIV17" s="2"/>
      <c r="OIW17" s="2"/>
      <c r="OIX17" s="2"/>
      <c r="OIY17" s="2"/>
      <c r="OIZ17" s="2"/>
      <c r="OJA17" s="2"/>
      <c r="OJB17" s="2"/>
      <c r="OJC17" s="2"/>
      <c r="OJD17" s="2"/>
      <c r="OJE17" s="2"/>
      <c r="OJF17" s="2"/>
      <c r="OJG17" s="2"/>
      <c r="OJH17" s="2"/>
      <c r="OJI17" s="2"/>
      <c r="OJJ17" s="2"/>
      <c r="OJK17" s="2"/>
      <c r="OJL17" s="2"/>
      <c r="OJM17" s="2"/>
      <c r="OJN17" s="2"/>
      <c r="OJO17" s="2"/>
      <c r="OJP17" s="2"/>
      <c r="OJQ17" s="2"/>
      <c r="OJR17" s="2"/>
      <c r="OJS17" s="2"/>
      <c r="OJT17" s="2"/>
      <c r="OJU17" s="2"/>
      <c r="OJV17" s="2"/>
      <c r="OJW17" s="2"/>
      <c r="OJX17" s="2"/>
      <c r="OJY17" s="2"/>
      <c r="OJZ17" s="2"/>
      <c r="OKA17" s="2"/>
      <c r="OKB17" s="2"/>
      <c r="OKC17" s="2"/>
      <c r="OKD17" s="2"/>
      <c r="OKE17" s="2"/>
      <c r="OKF17" s="2"/>
      <c r="OKG17" s="2"/>
      <c r="OKH17" s="2"/>
      <c r="OKI17" s="2"/>
      <c r="OKJ17" s="2"/>
      <c r="OKK17" s="2"/>
      <c r="OKL17" s="2"/>
      <c r="OKM17" s="2"/>
      <c r="OKN17" s="2"/>
      <c r="OKO17" s="2"/>
      <c r="OKP17" s="2"/>
      <c r="OKQ17" s="2"/>
      <c r="OKR17" s="2"/>
      <c r="OKS17" s="2"/>
      <c r="OKT17" s="2"/>
      <c r="OKU17" s="2"/>
      <c r="OKV17" s="2"/>
      <c r="OKW17" s="2"/>
      <c r="OKX17" s="2"/>
      <c r="OKY17" s="2"/>
      <c r="OKZ17" s="2"/>
      <c r="OLA17" s="2"/>
      <c r="OLB17" s="2"/>
      <c r="OLC17" s="2"/>
      <c r="OLD17" s="2"/>
      <c r="OLE17" s="2"/>
      <c r="OLF17" s="2"/>
      <c r="OLG17" s="2"/>
      <c r="OLH17" s="2"/>
      <c r="OLI17" s="2"/>
      <c r="OLJ17" s="2"/>
      <c r="OLK17" s="2"/>
      <c r="OLL17" s="2"/>
      <c r="OLM17" s="2"/>
      <c r="OLN17" s="2"/>
      <c r="OLO17" s="2"/>
      <c r="OLP17" s="2"/>
      <c r="OLQ17" s="2"/>
      <c r="OLR17" s="2"/>
      <c r="OLS17" s="2"/>
      <c r="OLT17" s="2"/>
      <c r="OLU17" s="2"/>
      <c r="OLV17" s="2"/>
      <c r="OLW17" s="2"/>
      <c r="OLX17" s="2"/>
      <c r="OLY17" s="2"/>
      <c r="OLZ17" s="2"/>
      <c r="OMA17" s="2"/>
      <c r="OMB17" s="2"/>
      <c r="OMC17" s="2"/>
      <c r="OMD17" s="2"/>
      <c r="OME17" s="2"/>
      <c r="OMF17" s="2"/>
      <c r="OMG17" s="2"/>
      <c r="OMH17" s="2"/>
      <c r="OMI17" s="2"/>
      <c r="OMJ17" s="2"/>
      <c r="OMK17" s="2"/>
      <c r="OML17" s="2"/>
      <c r="OMM17" s="2"/>
      <c r="OMN17" s="2"/>
      <c r="OMO17" s="2"/>
      <c r="OMP17" s="2"/>
      <c r="OMQ17" s="2"/>
      <c r="OMR17" s="2"/>
      <c r="OMS17" s="2"/>
      <c r="OMT17" s="2"/>
      <c r="OMU17" s="2"/>
      <c r="OMV17" s="2"/>
      <c r="OMW17" s="2"/>
      <c r="OMX17" s="2"/>
      <c r="OMY17" s="2"/>
      <c r="OMZ17" s="2"/>
      <c r="ONA17" s="2"/>
      <c r="ONB17" s="2"/>
      <c r="ONC17" s="2"/>
      <c r="OND17" s="2"/>
      <c r="ONE17" s="2"/>
      <c r="ONF17" s="2"/>
      <c r="ONG17" s="2"/>
      <c r="ONH17" s="2"/>
      <c r="ONI17" s="2"/>
      <c r="ONJ17" s="2"/>
      <c r="ONK17" s="2"/>
      <c r="ONL17" s="2"/>
      <c r="ONM17" s="2"/>
      <c r="ONN17" s="2"/>
      <c r="ONO17" s="2"/>
      <c r="ONP17" s="2"/>
      <c r="ONQ17" s="2"/>
      <c r="ONR17" s="2"/>
      <c r="ONS17" s="2"/>
      <c r="ONT17" s="2"/>
      <c r="ONU17" s="2"/>
      <c r="ONV17" s="2"/>
      <c r="ONW17" s="2"/>
      <c r="ONX17" s="2"/>
      <c r="ONY17" s="2"/>
      <c r="ONZ17" s="2"/>
      <c r="OOA17" s="2"/>
      <c r="OOB17" s="2"/>
      <c r="OOC17" s="2"/>
      <c r="OOD17" s="2"/>
      <c r="OOE17" s="2"/>
      <c r="OOF17" s="2"/>
      <c r="OOG17" s="2"/>
      <c r="OOH17" s="2"/>
      <c r="OOI17" s="2"/>
      <c r="OOJ17" s="2"/>
      <c r="OOK17" s="2"/>
      <c r="OOL17" s="2"/>
      <c r="OOM17" s="2"/>
      <c r="OON17" s="2"/>
      <c r="OOO17" s="2"/>
      <c r="OOP17" s="2"/>
      <c r="OOQ17" s="2"/>
      <c r="OOR17" s="2"/>
      <c r="OOS17" s="2"/>
      <c r="OOT17" s="2"/>
      <c r="OOU17" s="2"/>
      <c r="OOV17" s="2"/>
      <c r="OOW17" s="2"/>
      <c r="OOX17" s="2"/>
      <c r="OOY17" s="2"/>
      <c r="OOZ17" s="2"/>
      <c r="OPA17" s="2"/>
      <c r="OPB17" s="2"/>
      <c r="OPC17" s="2"/>
      <c r="OPD17" s="2"/>
      <c r="OPE17" s="2"/>
      <c r="OPF17" s="2"/>
      <c r="OPG17" s="2"/>
      <c r="OPH17" s="2"/>
      <c r="OPI17" s="2"/>
      <c r="OPJ17" s="2"/>
      <c r="OPK17" s="2"/>
      <c r="OPL17" s="2"/>
      <c r="OPM17" s="2"/>
      <c r="OPN17" s="2"/>
      <c r="OPO17" s="2"/>
      <c r="OPP17" s="2"/>
      <c r="OPQ17" s="2"/>
      <c r="OPR17" s="2"/>
      <c r="OPS17" s="2"/>
      <c r="OPT17" s="2"/>
      <c r="OPU17" s="2"/>
      <c r="OPV17" s="2"/>
      <c r="OPW17" s="2"/>
      <c r="OPX17" s="2"/>
      <c r="OPY17" s="2"/>
      <c r="OPZ17" s="2"/>
      <c r="OQA17" s="2"/>
      <c r="OQB17" s="2"/>
      <c r="OQC17" s="2"/>
      <c r="OQD17" s="2"/>
      <c r="OQE17" s="2"/>
      <c r="OQF17" s="2"/>
      <c r="OQG17" s="2"/>
      <c r="OQH17" s="2"/>
      <c r="OQI17" s="2"/>
      <c r="OQJ17" s="2"/>
      <c r="OQK17" s="2"/>
      <c r="OQL17" s="2"/>
      <c r="OQM17" s="2"/>
      <c r="OQN17" s="2"/>
      <c r="OQO17" s="2"/>
      <c r="OQP17" s="2"/>
      <c r="OQQ17" s="2"/>
      <c r="OQR17" s="2"/>
      <c r="OQS17" s="2"/>
      <c r="OQT17" s="2"/>
      <c r="OQU17" s="2"/>
      <c r="OQV17" s="2"/>
      <c r="OQW17" s="2"/>
      <c r="OQX17" s="2"/>
      <c r="OQY17" s="2"/>
      <c r="OQZ17" s="2"/>
      <c r="ORA17" s="2"/>
      <c r="ORB17" s="2"/>
      <c r="ORC17" s="2"/>
      <c r="ORD17" s="2"/>
      <c r="ORE17" s="2"/>
      <c r="ORF17" s="2"/>
      <c r="ORG17" s="2"/>
      <c r="ORH17" s="2"/>
      <c r="ORI17" s="2"/>
      <c r="ORJ17" s="2"/>
      <c r="ORK17" s="2"/>
      <c r="ORL17" s="2"/>
      <c r="ORM17" s="2"/>
      <c r="ORN17" s="2"/>
      <c r="ORO17" s="2"/>
      <c r="ORP17" s="2"/>
      <c r="ORQ17" s="2"/>
      <c r="ORR17" s="2"/>
      <c r="ORS17" s="2"/>
      <c r="ORT17" s="2"/>
      <c r="ORU17" s="2"/>
      <c r="ORV17" s="2"/>
      <c r="ORW17" s="2"/>
      <c r="ORX17" s="2"/>
      <c r="ORY17" s="2"/>
      <c r="ORZ17" s="2"/>
      <c r="OSA17" s="2"/>
      <c r="OSB17" s="2"/>
      <c r="OSC17" s="2"/>
      <c r="OSD17" s="2"/>
      <c r="OSE17" s="2"/>
      <c r="OSF17" s="2"/>
      <c r="OSG17" s="2"/>
      <c r="OSH17" s="2"/>
      <c r="OSI17" s="2"/>
      <c r="OSJ17" s="2"/>
      <c r="OSK17" s="2"/>
      <c r="OSL17" s="2"/>
      <c r="OSM17" s="2"/>
      <c r="OSN17" s="2"/>
      <c r="OSO17" s="2"/>
      <c r="OSP17" s="2"/>
      <c r="OSQ17" s="2"/>
      <c r="OSR17" s="2"/>
      <c r="OSS17" s="2"/>
      <c r="OST17" s="2"/>
      <c r="OSU17" s="2"/>
      <c r="OSV17" s="2"/>
      <c r="OSW17" s="2"/>
      <c r="OSX17" s="2"/>
      <c r="OSY17" s="2"/>
      <c r="OSZ17" s="2"/>
      <c r="OTA17" s="2"/>
      <c r="OTB17" s="2"/>
      <c r="OTC17" s="2"/>
      <c r="OTD17" s="2"/>
      <c r="OTE17" s="2"/>
      <c r="OTF17" s="2"/>
      <c r="OTG17" s="2"/>
      <c r="OTH17" s="2"/>
      <c r="OTI17" s="2"/>
      <c r="OTJ17" s="2"/>
      <c r="OTK17" s="2"/>
      <c r="OTL17" s="2"/>
      <c r="OTM17" s="2"/>
      <c r="OTN17" s="2"/>
      <c r="OTO17" s="2"/>
      <c r="OTP17" s="2"/>
      <c r="OTQ17" s="2"/>
      <c r="OTR17" s="2"/>
      <c r="OTS17" s="2"/>
      <c r="OTT17" s="2"/>
      <c r="OTU17" s="2"/>
      <c r="OTV17" s="2"/>
      <c r="OTW17" s="2"/>
      <c r="OTX17" s="2"/>
      <c r="OTY17" s="2"/>
      <c r="OTZ17" s="2"/>
      <c r="OUA17" s="2"/>
      <c r="OUB17" s="2"/>
      <c r="OUC17" s="2"/>
      <c r="OUD17" s="2"/>
      <c r="OUE17" s="2"/>
      <c r="OUF17" s="2"/>
      <c r="OUG17" s="2"/>
      <c r="OUH17" s="2"/>
      <c r="OUI17" s="2"/>
      <c r="OUJ17" s="2"/>
      <c r="OUK17" s="2"/>
      <c r="OUL17" s="2"/>
      <c r="OUM17" s="2"/>
      <c r="OUN17" s="2"/>
      <c r="OUO17" s="2"/>
      <c r="OUP17" s="2"/>
      <c r="OUQ17" s="2"/>
      <c r="OUR17" s="2"/>
      <c r="OUS17" s="2"/>
      <c r="OUT17" s="2"/>
      <c r="OUU17" s="2"/>
      <c r="OUV17" s="2"/>
      <c r="OUW17" s="2"/>
      <c r="OUX17" s="2"/>
      <c r="OUY17" s="2"/>
      <c r="OUZ17" s="2"/>
      <c r="OVA17" s="2"/>
      <c r="OVB17" s="2"/>
      <c r="OVC17" s="2"/>
      <c r="OVD17" s="2"/>
      <c r="OVE17" s="2"/>
      <c r="OVF17" s="2"/>
      <c r="OVG17" s="2"/>
      <c r="OVH17" s="2"/>
      <c r="OVI17" s="2"/>
      <c r="OVJ17" s="2"/>
      <c r="OVK17" s="2"/>
      <c r="OVL17" s="2"/>
      <c r="OVM17" s="2"/>
      <c r="OVN17" s="2"/>
      <c r="OVO17" s="2"/>
      <c r="OVP17" s="2"/>
      <c r="OVQ17" s="2"/>
      <c r="OVR17" s="2"/>
      <c r="OVS17" s="2"/>
      <c r="OVT17" s="2"/>
      <c r="OVU17" s="2"/>
      <c r="OVV17" s="2"/>
      <c r="OVW17" s="2"/>
      <c r="OVX17" s="2"/>
      <c r="OVY17" s="2"/>
      <c r="OVZ17" s="2"/>
      <c r="OWA17" s="2"/>
      <c r="OWB17" s="2"/>
      <c r="OWC17" s="2"/>
      <c r="OWD17" s="2"/>
      <c r="OWE17" s="2"/>
      <c r="OWF17" s="2"/>
      <c r="OWG17" s="2"/>
      <c r="OWH17" s="2"/>
      <c r="OWI17" s="2"/>
      <c r="OWJ17" s="2"/>
      <c r="OWK17" s="2"/>
      <c r="OWL17" s="2"/>
      <c r="OWM17" s="2"/>
      <c r="OWN17" s="2"/>
      <c r="OWO17" s="2"/>
      <c r="OWP17" s="2"/>
      <c r="OWQ17" s="2"/>
      <c r="OWR17" s="2"/>
      <c r="OWS17" s="2"/>
      <c r="OWT17" s="2"/>
      <c r="OWU17" s="2"/>
      <c r="OWV17" s="2"/>
      <c r="OWW17" s="2"/>
      <c r="OWX17" s="2"/>
      <c r="OWY17" s="2"/>
      <c r="OWZ17" s="2"/>
      <c r="OXA17" s="2"/>
      <c r="OXB17" s="2"/>
      <c r="OXC17" s="2"/>
      <c r="OXD17" s="2"/>
      <c r="OXE17" s="2"/>
      <c r="OXF17" s="2"/>
      <c r="OXG17" s="2"/>
      <c r="OXH17" s="2"/>
      <c r="OXI17" s="2"/>
      <c r="OXJ17" s="2"/>
      <c r="OXK17" s="2"/>
      <c r="OXL17" s="2"/>
      <c r="OXM17" s="2"/>
      <c r="OXN17" s="2"/>
      <c r="OXO17" s="2"/>
      <c r="OXP17" s="2"/>
      <c r="OXQ17" s="2"/>
      <c r="OXR17" s="2"/>
      <c r="OXS17" s="2"/>
      <c r="OXT17" s="2"/>
      <c r="OXU17" s="2"/>
      <c r="OXV17" s="2"/>
      <c r="OXW17" s="2"/>
      <c r="OXX17" s="2"/>
      <c r="OXY17" s="2"/>
      <c r="OXZ17" s="2"/>
      <c r="OYA17" s="2"/>
      <c r="OYB17" s="2"/>
      <c r="OYC17" s="2"/>
      <c r="OYD17" s="2"/>
      <c r="OYE17" s="2"/>
      <c r="OYF17" s="2"/>
      <c r="OYG17" s="2"/>
      <c r="OYH17" s="2"/>
      <c r="OYI17" s="2"/>
      <c r="OYJ17" s="2"/>
      <c r="OYK17" s="2"/>
      <c r="OYL17" s="2"/>
      <c r="OYM17" s="2"/>
      <c r="OYN17" s="2"/>
      <c r="OYO17" s="2"/>
      <c r="OYP17" s="2"/>
      <c r="OYQ17" s="2"/>
      <c r="OYR17" s="2"/>
      <c r="OYS17" s="2"/>
      <c r="OYT17" s="2"/>
      <c r="OYU17" s="2"/>
      <c r="OYV17" s="2"/>
      <c r="OYW17" s="2"/>
      <c r="OYX17" s="2"/>
      <c r="OYY17" s="2"/>
      <c r="OYZ17" s="2"/>
      <c r="OZA17" s="2"/>
      <c r="OZB17" s="2"/>
      <c r="OZC17" s="2"/>
      <c r="OZD17" s="2"/>
      <c r="OZE17" s="2"/>
      <c r="OZF17" s="2"/>
      <c r="OZG17" s="2"/>
      <c r="OZH17" s="2"/>
      <c r="OZI17" s="2"/>
      <c r="OZJ17" s="2"/>
      <c r="OZK17" s="2"/>
      <c r="OZL17" s="2"/>
      <c r="OZM17" s="2"/>
      <c r="OZN17" s="2"/>
      <c r="OZO17" s="2"/>
      <c r="OZP17" s="2"/>
      <c r="OZQ17" s="2"/>
      <c r="OZR17" s="2"/>
      <c r="OZS17" s="2"/>
      <c r="OZT17" s="2"/>
      <c r="OZU17" s="2"/>
      <c r="OZV17" s="2"/>
      <c r="OZW17" s="2"/>
      <c r="OZX17" s="2"/>
      <c r="OZY17" s="2"/>
      <c r="OZZ17" s="2"/>
      <c r="PAA17" s="2"/>
      <c r="PAB17" s="2"/>
      <c r="PAC17" s="2"/>
      <c r="PAD17" s="2"/>
      <c r="PAE17" s="2"/>
      <c r="PAF17" s="2"/>
      <c r="PAG17" s="2"/>
      <c r="PAH17" s="2"/>
      <c r="PAI17" s="2"/>
      <c r="PAJ17" s="2"/>
      <c r="PAK17" s="2"/>
      <c r="PAL17" s="2"/>
      <c r="PAM17" s="2"/>
      <c r="PAN17" s="2"/>
      <c r="PAO17" s="2"/>
      <c r="PAP17" s="2"/>
      <c r="PAQ17" s="2"/>
      <c r="PAR17" s="2"/>
      <c r="PAS17" s="2"/>
      <c r="PAT17" s="2"/>
      <c r="PAU17" s="2"/>
      <c r="PAV17" s="2"/>
      <c r="PAW17" s="2"/>
      <c r="PAX17" s="2"/>
      <c r="PAY17" s="2"/>
      <c r="PAZ17" s="2"/>
      <c r="PBA17" s="2"/>
      <c r="PBB17" s="2"/>
      <c r="PBC17" s="2"/>
      <c r="PBD17" s="2"/>
      <c r="PBE17" s="2"/>
      <c r="PBF17" s="2"/>
      <c r="PBG17" s="2"/>
      <c r="PBH17" s="2"/>
      <c r="PBI17" s="2"/>
      <c r="PBJ17" s="2"/>
      <c r="PBK17" s="2"/>
      <c r="PBL17" s="2"/>
      <c r="PBM17" s="2"/>
      <c r="PBN17" s="2"/>
      <c r="PBO17" s="2"/>
      <c r="PBP17" s="2"/>
      <c r="PBQ17" s="2"/>
      <c r="PBR17" s="2"/>
      <c r="PBS17" s="2"/>
      <c r="PBT17" s="2"/>
      <c r="PBU17" s="2"/>
      <c r="PBV17" s="2"/>
      <c r="PBW17" s="2"/>
      <c r="PBX17" s="2"/>
      <c r="PBY17" s="2"/>
      <c r="PBZ17" s="2"/>
      <c r="PCA17" s="2"/>
      <c r="PCB17" s="2"/>
      <c r="PCC17" s="2"/>
      <c r="PCD17" s="2"/>
      <c r="PCE17" s="2"/>
      <c r="PCF17" s="2"/>
      <c r="PCG17" s="2"/>
      <c r="PCH17" s="2"/>
      <c r="PCI17" s="2"/>
      <c r="PCJ17" s="2"/>
      <c r="PCK17" s="2"/>
      <c r="PCL17" s="2"/>
      <c r="PCM17" s="2"/>
      <c r="PCN17" s="2"/>
      <c r="PCO17" s="2"/>
      <c r="PCP17" s="2"/>
      <c r="PCQ17" s="2"/>
      <c r="PCR17" s="2"/>
      <c r="PCS17" s="2"/>
      <c r="PCT17" s="2"/>
      <c r="PCU17" s="2"/>
      <c r="PCV17" s="2"/>
      <c r="PCW17" s="2"/>
      <c r="PCX17" s="2"/>
      <c r="PCY17" s="2"/>
      <c r="PCZ17" s="2"/>
      <c r="PDA17" s="2"/>
      <c r="PDB17" s="2"/>
      <c r="PDC17" s="2"/>
      <c r="PDD17" s="2"/>
      <c r="PDE17" s="2"/>
      <c r="PDF17" s="2"/>
      <c r="PDG17" s="2"/>
      <c r="PDH17" s="2"/>
      <c r="PDI17" s="2"/>
      <c r="PDJ17" s="2"/>
      <c r="PDK17" s="2"/>
      <c r="PDL17" s="2"/>
      <c r="PDM17" s="2"/>
      <c r="PDN17" s="2"/>
      <c r="PDO17" s="2"/>
      <c r="PDP17" s="2"/>
      <c r="PDQ17" s="2"/>
      <c r="PDR17" s="2"/>
      <c r="PDS17" s="2"/>
      <c r="PDT17" s="2"/>
      <c r="PDU17" s="2"/>
      <c r="PDV17" s="2"/>
      <c r="PDW17" s="2"/>
      <c r="PDX17" s="2"/>
      <c r="PDY17" s="2"/>
      <c r="PDZ17" s="2"/>
      <c r="PEA17" s="2"/>
      <c r="PEB17" s="2"/>
      <c r="PEC17" s="2"/>
      <c r="PED17" s="2"/>
      <c r="PEE17" s="2"/>
      <c r="PEF17" s="2"/>
      <c r="PEG17" s="2"/>
      <c r="PEH17" s="2"/>
      <c r="PEI17" s="2"/>
      <c r="PEJ17" s="2"/>
      <c r="PEK17" s="2"/>
      <c r="PEL17" s="2"/>
      <c r="PEM17" s="2"/>
      <c r="PEN17" s="2"/>
      <c r="PEO17" s="2"/>
      <c r="PEP17" s="2"/>
      <c r="PEQ17" s="2"/>
      <c r="PER17" s="2"/>
      <c r="PES17" s="2"/>
      <c r="PET17" s="2"/>
      <c r="PEU17" s="2"/>
      <c r="PEV17" s="2"/>
      <c r="PEW17" s="2"/>
      <c r="PEX17" s="2"/>
      <c r="PEY17" s="2"/>
      <c r="PEZ17" s="2"/>
      <c r="PFA17" s="2"/>
      <c r="PFB17" s="2"/>
      <c r="PFC17" s="2"/>
      <c r="PFD17" s="2"/>
      <c r="PFE17" s="2"/>
      <c r="PFF17" s="2"/>
      <c r="PFG17" s="2"/>
      <c r="PFH17" s="2"/>
      <c r="PFI17" s="2"/>
      <c r="PFJ17" s="2"/>
      <c r="PFK17" s="2"/>
      <c r="PFL17" s="2"/>
      <c r="PFM17" s="2"/>
      <c r="PFN17" s="2"/>
      <c r="PFO17" s="2"/>
      <c r="PFP17" s="2"/>
      <c r="PFQ17" s="2"/>
      <c r="PFR17" s="2"/>
      <c r="PFS17" s="2"/>
      <c r="PFT17" s="2"/>
      <c r="PFU17" s="2"/>
      <c r="PFV17" s="2"/>
      <c r="PFW17" s="2"/>
      <c r="PFX17" s="2"/>
      <c r="PFY17" s="2"/>
      <c r="PFZ17" s="2"/>
      <c r="PGA17" s="2"/>
      <c r="PGB17" s="2"/>
      <c r="PGC17" s="2"/>
      <c r="PGD17" s="2"/>
      <c r="PGE17" s="2"/>
      <c r="PGF17" s="2"/>
      <c r="PGG17" s="2"/>
      <c r="PGH17" s="2"/>
      <c r="PGI17" s="2"/>
      <c r="PGJ17" s="2"/>
      <c r="PGK17" s="2"/>
      <c r="PGL17" s="2"/>
      <c r="PGM17" s="2"/>
      <c r="PGN17" s="2"/>
      <c r="PGO17" s="2"/>
      <c r="PGP17" s="2"/>
      <c r="PGQ17" s="2"/>
      <c r="PGR17" s="2"/>
      <c r="PGS17" s="2"/>
      <c r="PGT17" s="2"/>
      <c r="PGU17" s="2"/>
      <c r="PGV17" s="2"/>
      <c r="PGW17" s="2"/>
      <c r="PGX17" s="2"/>
      <c r="PGY17" s="2"/>
      <c r="PGZ17" s="2"/>
      <c r="PHA17" s="2"/>
      <c r="PHB17" s="2"/>
      <c r="PHC17" s="2"/>
      <c r="PHD17" s="2"/>
      <c r="PHE17" s="2"/>
      <c r="PHF17" s="2"/>
      <c r="PHG17" s="2"/>
      <c r="PHH17" s="2"/>
      <c r="PHI17" s="2"/>
      <c r="PHJ17" s="2"/>
      <c r="PHK17" s="2"/>
      <c r="PHL17" s="2"/>
      <c r="PHM17" s="2"/>
      <c r="PHN17" s="2"/>
      <c r="PHO17" s="2"/>
      <c r="PHP17" s="2"/>
      <c r="PHQ17" s="2"/>
      <c r="PHR17" s="2"/>
      <c r="PHS17" s="2"/>
      <c r="PHT17" s="2"/>
      <c r="PHU17" s="2"/>
      <c r="PHV17" s="2"/>
      <c r="PHW17" s="2"/>
      <c r="PHX17" s="2"/>
      <c r="PHY17" s="2"/>
      <c r="PHZ17" s="2"/>
      <c r="PIA17" s="2"/>
      <c r="PIB17" s="2"/>
      <c r="PIC17" s="2"/>
      <c r="PID17" s="2"/>
      <c r="PIE17" s="2"/>
      <c r="PIF17" s="2"/>
      <c r="PIG17" s="2"/>
      <c r="PIH17" s="2"/>
      <c r="PII17" s="2"/>
      <c r="PIJ17" s="2"/>
      <c r="PIK17" s="2"/>
      <c r="PIL17" s="2"/>
      <c r="PIM17" s="2"/>
      <c r="PIN17" s="2"/>
      <c r="PIO17" s="2"/>
      <c r="PIP17" s="2"/>
      <c r="PIQ17" s="2"/>
      <c r="PIR17" s="2"/>
      <c r="PIS17" s="2"/>
      <c r="PIT17" s="2"/>
      <c r="PIU17" s="2"/>
      <c r="PIV17" s="2"/>
      <c r="PIW17" s="2"/>
      <c r="PIX17" s="2"/>
      <c r="PIY17" s="2"/>
      <c r="PIZ17" s="2"/>
      <c r="PJA17" s="2"/>
      <c r="PJB17" s="2"/>
      <c r="PJC17" s="2"/>
      <c r="PJD17" s="2"/>
      <c r="PJE17" s="2"/>
      <c r="PJF17" s="2"/>
      <c r="PJG17" s="2"/>
      <c r="PJH17" s="2"/>
      <c r="PJI17" s="2"/>
      <c r="PJJ17" s="2"/>
      <c r="PJK17" s="2"/>
      <c r="PJL17" s="2"/>
      <c r="PJM17" s="2"/>
      <c r="PJN17" s="2"/>
      <c r="PJO17" s="2"/>
      <c r="PJP17" s="2"/>
      <c r="PJQ17" s="2"/>
      <c r="PJR17" s="2"/>
      <c r="PJS17" s="2"/>
      <c r="PJT17" s="2"/>
      <c r="PJU17" s="2"/>
      <c r="PJV17" s="2"/>
      <c r="PJW17" s="2"/>
      <c r="PJX17" s="2"/>
      <c r="PJY17" s="2"/>
      <c r="PJZ17" s="2"/>
      <c r="PKA17" s="2"/>
      <c r="PKB17" s="2"/>
      <c r="PKC17" s="2"/>
      <c r="PKD17" s="2"/>
      <c r="PKE17" s="2"/>
      <c r="PKF17" s="2"/>
      <c r="PKG17" s="2"/>
      <c r="PKH17" s="2"/>
      <c r="PKI17" s="2"/>
      <c r="PKJ17" s="2"/>
      <c r="PKK17" s="2"/>
      <c r="PKL17" s="2"/>
      <c r="PKM17" s="2"/>
      <c r="PKN17" s="2"/>
      <c r="PKO17" s="2"/>
      <c r="PKP17" s="2"/>
      <c r="PKQ17" s="2"/>
      <c r="PKR17" s="2"/>
      <c r="PKS17" s="2"/>
      <c r="PKT17" s="2"/>
      <c r="PKU17" s="2"/>
      <c r="PKV17" s="2"/>
      <c r="PKW17" s="2"/>
      <c r="PKX17" s="2"/>
      <c r="PKY17" s="2"/>
      <c r="PKZ17" s="2"/>
      <c r="PLA17" s="2"/>
      <c r="PLB17" s="2"/>
      <c r="PLC17" s="2"/>
      <c r="PLD17" s="2"/>
      <c r="PLE17" s="2"/>
      <c r="PLF17" s="2"/>
      <c r="PLG17" s="2"/>
      <c r="PLH17" s="2"/>
      <c r="PLI17" s="2"/>
      <c r="PLJ17" s="2"/>
      <c r="PLK17" s="2"/>
      <c r="PLL17" s="2"/>
      <c r="PLM17" s="2"/>
      <c r="PLN17" s="2"/>
      <c r="PLO17" s="2"/>
      <c r="PLP17" s="2"/>
      <c r="PLQ17" s="2"/>
      <c r="PLR17" s="2"/>
      <c r="PLS17" s="2"/>
      <c r="PLT17" s="2"/>
      <c r="PLU17" s="2"/>
      <c r="PLV17" s="2"/>
      <c r="PLW17" s="2"/>
      <c r="PLX17" s="2"/>
      <c r="PLY17" s="2"/>
      <c r="PLZ17" s="2"/>
      <c r="PMA17" s="2"/>
      <c r="PMB17" s="2"/>
      <c r="PMC17" s="2"/>
      <c r="PMD17" s="2"/>
      <c r="PME17" s="2"/>
      <c r="PMF17" s="2"/>
      <c r="PMG17" s="2"/>
      <c r="PMH17" s="2"/>
      <c r="PMI17" s="2"/>
      <c r="PMJ17" s="2"/>
      <c r="PMK17" s="2"/>
      <c r="PML17" s="2"/>
      <c r="PMM17" s="2"/>
      <c r="PMN17" s="2"/>
      <c r="PMO17" s="2"/>
      <c r="PMP17" s="2"/>
      <c r="PMQ17" s="2"/>
      <c r="PMR17" s="2"/>
      <c r="PMS17" s="2"/>
      <c r="PMT17" s="2"/>
      <c r="PMU17" s="2"/>
      <c r="PMV17" s="2"/>
      <c r="PMW17" s="2"/>
      <c r="PMX17" s="2"/>
      <c r="PMY17" s="2"/>
      <c r="PMZ17" s="2"/>
      <c r="PNA17" s="2"/>
      <c r="PNB17" s="2"/>
      <c r="PNC17" s="2"/>
      <c r="PND17" s="2"/>
      <c r="PNE17" s="2"/>
      <c r="PNF17" s="2"/>
      <c r="PNG17" s="2"/>
      <c r="PNH17" s="2"/>
      <c r="PNI17" s="2"/>
      <c r="PNJ17" s="2"/>
      <c r="PNK17" s="2"/>
      <c r="PNL17" s="2"/>
      <c r="PNM17" s="2"/>
      <c r="PNN17" s="2"/>
      <c r="PNO17" s="2"/>
      <c r="PNP17" s="2"/>
      <c r="PNQ17" s="2"/>
      <c r="PNR17" s="2"/>
      <c r="PNS17" s="2"/>
      <c r="PNT17" s="2"/>
      <c r="PNU17" s="2"/>
      <c r="PNV17" s="2"/>
      <c r="PNW17" s="2"/>
      <c r="PNX17" s="2"/>
      <c r="PNY17" s="2"/>
      <c r="PNZ17" s="2"/>
      <c r="POA17" s="2"/>
      <c r="POB17" s="2"/>
      <c r="POC17" s="2"/>
      <c r="POD17" s="2"/>
      <c r="POE17" s="2"/>
      <c r="POF17" s="2"/>
      <c r="POG17" s="2"/>
      <c r="POH17" s="2"/>
      <c r="POI17" s="2"/>
      <c r="POJ17" s="2"/>
      <c r="POK17" s="2"/>
      <c r="POL17" s="2"/>
      <c r="POM17" s="2"/>
      <c r="PON17" s="2"/>
      <c r="POO17" s="2"/>
      <c r="POP17" s="2"/>
      <c r="POQ17" s="2"/>
      <c r="POR17" s="2"/>
      <c r="POS17" s="2"/>
      <c r="POT17" s="2"/>
      <c r="POU17" s="2"/>
      <c r="POV17" s="2"/>
      <c r="POW17" s="2"/>
      <c r="POX17" s="2"/>
      <c r="POY17" s="2"/>
      <c r="POZ17" s="2"/>
      <c r="PPA17" s="2"/>
      <c r="PPB17" s="2"/>
      <c r="PPC17" s="2"/>
      <c r="PPD17" s="2"/>
      <c r="PPE17" s="2"/>
      <c r="PPF17" s="2"/>
      <c r="PPG17" s="2"/>
      <c r="PPH17" s="2"/>
      <c r="PPI17" s="2"/>
      <c r="PPJ17" s="2"/>
      <c r="PPK17" s="2"/>
      <c r="PPL17" s="2"/>
      <c r="PPM17" s="2"/>
      <c r="PPN17" s="2"/>
      <c r="PPO17" s="2"/>
      <c r="PPP17" s="2"/>
      <c r="PPQ17" s="2"/>
      <c r="PPR17" s="2"/>
      <c r="PPS17" s="2"/>
      <c r="PPT17" s="2"/>
      <c r="PPU17" s="2"/>
      <c r="PPV17" s="2"/>
      <c r="PPW17" s="2"/>
      <c r="PPX17" s="2"/>
      <c r="PPY17" s="2"/>
      <c r="PPZ17" s="2"/>
      <c r="PQA17" s="2"/>
      <c r="PQB17" s="2"/>
      <c r="PQC17" s="2"/>
      <c r="PQD17" s="2"/>
      <c r="PQE17" s="2"/>
      <c r="PQF17" s="2"/>
      <c r="PQG17" s="2"/>
      <c r="PQH17" s="2"/>
      <c r="PQI17" s="2"/>
      <c r="PQJ17" s="2"/>
      <c r="PQK17" s="2"/>
      <c r="PQL17" s="2"/>
      <c r="PQM17" s="2"/>
      <c r="PQN17" s="2"/>
      <c r="PQO17" s="2"/>
      <c r="PQP17" s="2"/>
      <c r="PQQ17" s="2"/>
      <c r="PQR17" s="2"/>
      <c r="PQS17" s="2"/>
      <c r="PQT17" s="2"/>
      <c r="PQU17" s="2"/>
      <c r="PQV17" s="2"/>
      <c r="PQW17" s="2"/>
      <c r="PQX17" s="2"/>
      <c r="PQY17" s="2"/>
      <c r="PQZ17" s="2"/>
      <c r="PRA17" s="2"/>
      <c r="PRB17" s="2"/>
      <c r="PRC17" s="2"/>
      <c r="PRD17" s="2"/>
      <c r="PRE17" s="2"/>
      <c r="PRF17" s="2"/>
      <c r="PRG17" s="2"/>
      <c r="PRH17" s="2"/>
      <c r="PRI17" s="2"/>
      <c r="PRJ17" s="2"/>
      <c r="PRK17" s="2"/>
      <c r="PRL17" s="2"/>
      <c r="PRM17" s="2"/>
      <c r="PRN17" s="2"/>
      <c r="PRO17" s="2"/>
      <c r="PRP17" s="2"/>
      <c r="PRQ17" s="2"/>
      <c r="PRR17" s="2"/>
      <c r="PRS17" s="2"/>
      <c r="PRT17" s="2"/>
      <c r="PRU17" s="2"/>
      <c r="PRV17" s="2"/>
      <c r="PRW17" s="2"/>
      <c r="PRX17" s="2"/>
      <c r="PRY17" s="2"/>
      <c r="PRZ17" s="2"/>
      <c r="PSA17" s="2"/>
      <c r="PSB17" s="2"/>
      <c r="PSC17" s="2"/>
      <c r="PSD17" s="2"/>
      <c r="PSE17" s="2"/>
      <c r="PSF17" s="2"/>
      <c r="PSG17" s="2"/>
      <c r="PSH17" s="2"/>
      <c r="PSI17" s="2"/>
      <c r="PSJ17" s="2"/>
      <c r="PSK17" s="2"/>
      <c r="PSL17" s="2"/>
      <c r="PSM17" s="2"/>
      <c r="PSN17" s="2"/>
      <c r="PSO17" s="2"/>
      <c r="PSP17" s="2"/>
      <c r="PSQ17" s="2"/>
      <c r="PSR17" s="2"/>
      <c r="PSS17" s="2"/>
      <c r="PST17" s="2"/>
      <c r="PSU17" s="2"/>
      <c r="PSV17" s="2"/>
      <c r="PSW17" s="2"/>
      <c r="PSX17" s="2"/>
      <c r="PSY17" s="2"/>
      <c r="PSZ17" s="2"/>
      <c r="PTA17" s="2"/>
      <c r="PTB17" s="2"/>
      <c r="PTC17" s="2"/>
      <c r="PTD17" s="2"/>
      <c r="PTE17" s="2"/>
      <c r="PTF17" s="2"/>
      <c r="PTG17" s="2"/>
      <c r="PTH17" s="2"/>
      <c r="PTI17" s="2"/>
      <c r="PTJ17" s="2"/>
      <c r="PTK17" s="2"/>
      <c r="PTL17" s="2"/>
      <c r="PTM17" s="2"/>
      <c r="PTN17" s="2"/>
      <c r="PTO17" s="2"/>
      <c r="PTP17" s="2"/>
      <c r="PTQ17" s="2"/>
      <c r="PTR17" s="2"/>
      <c r="PTS17" s="2"/>
      <c r="PTT17" s="2"/>
      <c r="PTU17" s="2"/>
      <c r="PTV17" s="2"/>
      <c r="PTW17" s="2"/>
      <c r="PTX17" s="2"/>
      <c r="PTY17" s="2"/>
      <c r="PTZ17" s="2"/>
      <c r="PUA17" s="2"/>
      <c r="PUB17" s="2"/>
      <c r="PUC17" s="2"/>
      <c r="PUD17" s="2"/>
      <c r="PUE17" s="2"/>
      <c r="PUF17" s="2"/>
      <c r="PUG17" s="2"/>
      <c r="PUH17" s="2"/>
      <c r="PUI17" s="2"/>
      <c r="PUJ17" s="2"/>
      <c r="PUK17" s="2"/>
      <c r="PUL17" s="2"/>
      <c r="PUM17" s="2"/>
      <c r="PUN17" s="2"/>
      <c r="PUO17" s="2"/>
      <c r="PUP17" s="2"/>
      <c r="PUQ17" s="2"/>
      <c r="PUR17" s="2"/>
      <c r="PUS17" s="2"/>
      <c r="PUT17" s="2"/>
      <c r="PUU17" s="2"/>
      <c r="PUV17" s="2"/>
      <c r="PUW17" s="2"/>
      <c r="PUX17" s="2"/>
      <c r="PUY17" s="2"/>
      <c r="PUZ17" s="2"/>
      <c r="PVA17" s="2"/>
      <c r="PVB17" s="2"/>
      <c r="PVC17" s="2"/>
      <c r="PVD17" s="2"/>
      <c r="PVE17" s="2"/>
      <c r="PVF17" s="2"/>
      <c r="PVG17" s="2"/>
      <c r="PVH17" s="2"/>
      <c r="PVI17" s="2"/>
      <c r="PVJ17" s="2"/>
      <c r="PVK17" s="2"/>
      <c r="PVL17" s="2"/>
      <c r="PVM17" s="2"/>
      <c r="PVN17" s="2"/>
      <c r="PVO17" s="2"/>
      <c r="PVP17" s="2"/>
      <c r="PVQ17" s="2"/>
      <c r="PVR17" s="2"/>
      <c r="PVS17" s="2"/>
      <c r="PVT17" s="2"/>
      <c r="PVU17" s="2"/>
      <c r="PVV17" s="2"/>
      <c r="PVW17" s="2"/>
      <c r="PVX17" s="2"/>
      <c r="PVY17" s="2"/>
      <c r="PVZ17" s="2"/>
      <c r="PWA17" s="2"/>
      <c r="PWB17" s="2"/>
      <c r="PWC17" s="2"/>
      <c r="PWD17" s="2"/>
      <c r="PWE17" s="2"/>
      <c r="PWF17" s="2"/>
      <c r="PWG17" s="2"/>
      <c r="PWH17" s="2"/>
      <c r="PWI17" s="2"/>
      <c r="PWJ17" s="2"/>
      <c r="PWK17" s="2"/>
      <c r="PWL17" s="2"/>
      <c r="PWM17" s="2"/>
      <c r="PWN17" s="2"/>
      <c r="PWO17" s="2"/>
      <c r="PWP17" s="2"/>
      <c r="PWQ17" s="2"/>
      <c r="PWR17" s="2"/>
      <c r="PWS17" s="2"/>
      <c r="PWT17" s="2"/>
      <c r="PWU17" s="2"/>
      <c r="PWV17" s="2"/>
      <c r="PWW17" s="2"/>
      <c r="PWX17" s="2"/>
      <c r="PWY17" s="2"/>
      <c r="PWZ17" s="2"/>
      <c r="PXA17" s="2"/>
      <c r="PXB17" s="2"/>
      <c r="PXC17" s="2"/>
      <c r="PXD17" s="2"/>
      <c r="PXE17" s="2"/>
      <c r="PXF17" s="2"/>
      <c r="PXG17" s="2"/>
      <c r="PXH17" s="2"/>
      <c r="PXI17" s="2"/>
      <c r="PXJ17" s="2"/>
      <c r="PXK17" s="2"/>
      <c r="PXL17" s="2"/>
      <c r="PXM17" s="2"/>
      <c r="PXN17" s="2"/>
      <c r="PXO17" s="2"/>
      <c r="PXP17" s="2"/>
      <c r="PXQ17" s="2"/>
      <c r="PXR17" s="2"/>
      <c r="PXS17" s="2"/>
      <c r="PXT17" s="2"/>
      <c r="PXU17" s="2"/>
      <c r="PXV17" s="2"/>
      <c r="PXW17" s="2"/>
      <c r="PXX17" s="2"/>
      <c r="PXY17" s="2"/>
      <c r="PXZ17" s="2"/>
      <c r="PYA17" s="2"/>
      <c r="PYB17" s="2"/>
      <c r="PYC17" s="2"/>
      <c r="PYD17" s="2"/>
      <c r="PYE17" s="2"/>
      <c r="PYF17" s="2"/>
      <c r="PYG17" s="2"/>
      <c r="PYH17" s="2"/>
      <c r="PYI17" s="2"/>
      <c r="PYJ17" s="2"/>
      <c r="PYK17" s="2"/>
      <c r="PYL17" s="2"/>
      <c r="PYM17" s="2"/>
      <c r="PYN17" s="2"/>
      <c r="PYO17" s="2"/>
      <c r="PYP17" s="2"/>
      <c r="PYQ17" s="2"/>
      <c r="PYR17" s="2"/>
      <c r="PYS17" s="2"/>
      <c r="PYT17" s="2"/>
      <c r="PYU17" s="2"/>
      <c r="PYV17" s="2"/>
      <c r="PYW17" s="2"/>
      <c r="PYX17" s="2"/>
      <c r="PYY17" s="2"/>
      <c r="PYZ17" s="2"/>
      <c r="PZA17" s="2"/>
      <c r="PZB17" s="2"/>
      <c r="PZC17" s="2"/>
      <c r="PZD17" s="2"/>
      <c r="PZE17" s="2"/>
      <c r="PZF17" s="2"/>
      <c r="PZG17" s="2"/>
      <c r="PZH17" s="2"/>
      <c r="PZI17" s="2"/>
      <c r="PZJ17" s="2"/>
      <c r="PZK17" s="2"/>
      <c r="PZL17" s="2"/>
      <c r="PZM17" s="2"/>
      <c r="PZN17" s="2"/>
      <c r="PZO17" s="2"/>
      <c r="PZP17" s="2"/>
      <c r="PZQ17" s="2"/>
      <c r="PZR17" s="2"/>
      <c r="PZS17" s="2"/>
      <c r="PZT17" s="2"/>
      <c r="PZU17" s="2"/>
      <c r="PZV17" s="2"/>
      <c r="PZW17" s="2"/>
      <c r="PZX17" s="2"/>
      <c r="PZY17" s="2"/>
      <c r="PZZ17" s="2"/>
      <c r="QAA17" s="2"/>
      <c r="QAB17" s="2"/>
      <c r="QAC17" s="2"/>
      <c r="QAD17" s="2"/>
      <c r="QAE17" s="2"/>
      <c r="QAF17" s="2"/>
      <c r="QAG17" s="2"/>
      <c r="QAH17" s="2"/>
      <c r="QAI17" s="2"/>
      <c r="QAJ17" s="2"/>
      <c r="QAK17" s="2"/>
      <c r="QAL17" s="2"/>
      <c r="QAM17" s="2"/>
      <c r="QAN17" s="2"/>
      <c r="QAO17" s="2"/>
      <c r="QAP17" s="2"/>
      <c r="QAQ17" s="2"/>
      <c r="QAR17" s="2"/>
      <c r="QAS17" s="2"/>
      <c r="QAT17" s="2"/>
      <c r="QAU17" s="2"/>
      <c r="QAV17" s="2"/>
      <c r="QAW17" s="2"/>
      <c r="QAX17" s="2"/>
      <c r="QAY17" s="2"/>
      <c r="QAZ17" s="2"/>
      <c r="QBA17" s="2"/>
      <c r="QBB17" s="2"/>
      <c r="QBC17" s="2"/>
      <c r="QBD17" s="2"/>
      <c r="QBE17" s="2"/>
      <c r="QBF17" s="2"/>
      <c r="QBG17" s="2"/>
      <c r="QBH17" s="2"/>
      <c r="QBI17" s="2"/>
      <c r="QBJ17" s="2"/>
      <c r="QBK17" s="2"/>
      <c r="QBL17" s="2"/>
      <c r="QBM17" s="2"/>
      <c r="QBN17" s="2"/>
      <c r="QBO17" s="2"/>
      <c r="QBP17" s="2"/>
      <c r="QBQ17" s="2"/>
      <c r="QBR17" s="2"/>
      <c r="QBS17" s="2"/>
      <c r="QBT17" s="2"/>
      <c r="QBU17" s="2"/>
      <c r="QBV17" s="2"/>
      <c r="QBW17" s="2"/>
      <c r="QBX17" s="2"/>
      <c r="QBY17" s="2"/>
      <c r="QBZ17" s="2"/>
      <c r="QCA17" s="2"/>
      <c r="QCB17" s="2"/>
      <c r="QCC17" s="2"/>
      <c r="QCD17" s="2"/>
      <c r="QCE17" s="2"/>
      <c r="QCF17" s="2"/>
      <c r="QCG17" s="2"/>
      <c r="QCH17" s="2"/>
      <c r="QCI17" s="2"/>
      <c r="QCJ17" s="2"/>
      <c r="QCK17" s="2"/>
      <c r="QCL17" s="2"/>
      <c r="QCM17" s="2"/>
      <c r="QCN17" s="2"/>
      <c r="QCO17" s="2"/>
      <c r="QCP17" s="2"/>
      <c r="QCQ17" s="2"/>
      <c r="QCR17" s="2"/>
      <c r="QCS17" s="2"/>
      <c r="QCT17" s="2"/>
      <c r="QCU17" s="2"/>
      <c r="QCV17" s="2"/>
      <c r="QCW17" s="2"/>
      <c r="QCX17" s="2"/>
      <c r="QCY17" s="2"/>
      <c r="QCZ17" s="2"/>
      <c r="QDA17" s="2"/>
      <c r="QDB17" s="2"/>
      <c r="QDC17" s="2"/>
      <c r="QDD17" s="2"/>
      <c r="QDE17" s="2"/>
      <c r="QDF17" s="2"/>
      <c r="QDG17" s="2"/>
      <c r="QDH17" s="2"/>
      <c r="QDI17" s="2"/>
      <c r="QDJ17" s="2"/>
      <c r="QDK17" s="2"/>
      <c r="QDL17" s="2"/>
      <c r="QDM17" s="2"/>
      <c r="QDN17" s="2"/>
      <c r="QDO17" s="2"/>
      <c r="QDP17" s="2"/>
      <c r="QDQ17" s="2"/>
      <c r="QDR17" s="2"/>
      <c r="QDS17" s="2"/>
      <c r="QDT17" s="2"/>
      <c r="QDU17" s="2"/>
      <c r="QDV17" s="2"/>
      <c r="QDW17" s="2"/>
      <c r="QDX17" s="2"/>
      <c r="QDY17" s="2"/>
      <c r="QDZ17" s="2"/>
      <c r="QEA17" s="2"/>
      <c r="QEB17" s="2"/>
      <c r="QEC17" s="2"/>
      <c r="QED17" s="2"/>
      <c r="QEE17" s="2"/>
      <c r="QEF17" s="2"/>
      <c r="QEG17" s="2"/>
      <c r="QEH17" s="2"/>
      <c r="QEI17" s="2"/>
      <c r="QEJ17" s="2"/>
      <c r="QEK17" s="2"/>
      <c r="QEL17" s="2"/>
      <c r="QEM17" s="2"/>
      <c r="QEN17" s="2"/>
      <c r="QEO17" s="2"/>
      <c r="QEP17" s="2"/>
      <c r="QEQ17" s="2"/>
      <c r="QER17" s="2"/>
      <c r="QES17" s="2"/>
      <c r="QET17" s="2"/>
      <c r="QEU17" s="2"/>
      <c r="QEV17" s="2"/>
      <c r="QEW17" s="2"/>
      <c r="QEX17" s="2"/>
      <c r="QEY17" s="2"/>
      <c r="QEZ17" s="2"/>
      <c r="QFA17" s="2"/>
      <c r="QFB17" s="2"/>
      <c r="QFC17" s="2"/>
      <c r="QFD17" s="2"/>
      <c r="QFE17" s="2"/>
      <c r="QFF17" s="2"/>
      <c r="QFG17" s="2"/>
      <c r="QFH17" s="2"/>
      <c r="QFI17" s="2"/>
      <c r="QFJ17" s="2"/>
      <c r="QFK17" s="2"/>
      <c r="QFL17" s="2"/>
      <c r="QFM17" s="2"/>
      <c r="QFN17" s="2"/>
      <c r="QFO17" s="2"/>
      <c r="QFP17" s="2"/>
      <c r="QFQ17" s="2"/>
      <c r="QFR17" s="2"/>
      <c r="QFS17" s="2"/>
      <c r="QFT17" s="2"/>
      <c r="QFU17" s="2"/>
      <c r="QFV17" s="2"/>
      <c r="QFW17" s="2"/>
      <c r="QFX17" s="2"/>
      <c r="QFY17" s="2"/>
      <c r="QFZ17" s="2"/>
      <c r="QGA17" s="2"/>
      <c r="QGB17" s="2"/>
      <c r="QGC17" s="2"/>
      <c r="QGD17" s="2"/>
      <c r="QGE17" s="2"/>
      <c r="QGF17" s="2"/>
      <c r="QGG17" s="2"/>
      <c r="QGH17" s="2"/>
      <c r="QGI17" s="2"/>
      <c r="QGJ17" s="2"/>
      <c r="QGK17" s="2"/>
      <c r="QGL17" s="2"/>
      <c r="QGM17" s="2"/>
      <c r="QGN17" s="2"/>
      <c r="QGO17" s="2"/>
      <c r="QGP17" s="2"/>
      <c r="QGQ17" s="2"/>
      <c r="QGR17" s="2"/>
      <c r="QGS17" s="2"/>
      <c r="QGT17" s="2"/>
      <c r="QGU17" s="2"/>
      <c r="QGV17" s="2"/>
      <c r="QGW17" s="2"/>
      <c r="QGX17" s="2"/>
      <c r="QGY17" s="2"/>
      <c r="QGZ17" s="2"/>
      <c r="QHA17" s="2"/>
      <c r="QHB17" s="2"/>
      <c r="QHC17" s="2"/>
      <c r="QHD17" s="2"/>
      <c r="QHE17" s="2"/>
      <c r="QHF17" s="2"/>
      <c r="QHG17" s="2"/>
      <c r="QHH17" s="2"/>
      <c r="QHI17" s="2"/>
      <c r="QHJ17" s="2"/>
      <c r="QHK17" s="2"/>
      <c r="QHL17" s="2"/>
      <c r="QHM17" s="2"/>
      <c r="QHN17" s="2"/>
      <c r="QHO17" s="2"/>
      <c r="QHP17" s="2"/>
      <c r="QHQ17" s="2"/>
      <c r="QHR17" s="2"/>
      <c r="QHS17" s="2"/>
      <c r="QHT17" s="2"/>
      <c r="QHU17" s="2"/>
      <c r="QHV17" s="2"/>
      <c r="QHW17" s="2"/>
      <c r="QHX17" s="2"/>
      <c r="QHY17" s="2"/>
      <c r="QHZ17" s="2"/>
      <c r="QIA17" s="2"/>
      <c r="QIB17" s="2"/>
      <c r="QIC17" s="2"/>
      <c r="QID17" s="2"/>
      <c r="QIE17" s="2"/>
      <c r="QIF17" s="2"/>
      <c r="QIG17" s="2"/>
      <c r="QIH17" s="2"/>
      <c r="QII17" s="2"/>
      <c r="QIJ17" s="2"/>
      <c r="QIK17" s="2"/>
      <c r="QIL17" s="2"/>
      <c r="QIM17" s="2"/>
      <c r="QIN17" s="2"/>
      <c r="QIO17" s="2"/>
      <c r="QIP17" s="2"/>
      <c r="QIQ17" s="2"/>
      <c r="QIR17" s="2"/>
      <c r="QIS17" s="2"/>
      <c r="QIT17" s="2"/>
      <c r="QIU17" s="2"/>
      <c r="QIV17" s="2"/>
      <c r="QIW17" s="2"/>
      <c r="QIX17" s="2"/>
      <c r="QIY17" s="2"/>
      <c r="QIZ17" s="2"/>
      <c r="QJA17" s="2"/>
      <c r="QJB17" s="2"/>
      <c r="QJC17" s="2"/>
      <c r="QJD17" s="2"/>
      <c r="QJE17" s="2"/>
      <c r="QJF17" s="2"/>
      <c r="QJG17" s="2"/>
      <c r="QJH17" s="2"/>
      <c r="QJI17" s="2"/>
      <c r="QJJ17" s="2"/>
      <c r="QJK17" s="2"/>
      <c r="QJL17" s="2"/>
      <c r="QJM17" s="2"/>
      <c r="QJN17" s="2"/>
      <c r="QJO17" s="2"/>
      <c r="QJP17" s="2"/>
      <c r="QJQ17" s="2"/>
      <c r="QJR17" s="2"/>
      <c r="QJS17" s="2"/>
      <c r="QJT17" s="2"/>
      <c r="QJU17" s="2"/>
      <c r="QJV17" s="2"/>
      <c r="QJW17" s="2"/>
      <c r="QJX17" s="2"/>
      <c r="QJY17" s="2"/>
      <c r="QJZ17" s="2"/>
      <c r="QKA17" s="2"/>
      <c r="QKB17" s="2"/>
      <c r="QKC17" s="2"/>
      <c r="QKD17" s="2"/>
      <c r="QKE17" s="2"/>
      <c r="QKF17" s="2"/>
      <c r="QKG17" s="2"/>
      <c r="QKH17" s="2"/>
      <c r="QKI17" s="2"/>
      <c r="QKJ17" s="2"/>
      <c r="QKK17" s="2"/>
      <c r="QKL17" s="2"/>
      <c r="QKM17" s="2"/>
      <c r="QKN17" s="2"/>
      <c r="QKO17" s="2"/>
      <c r="QKP17" s="2"/>
      <c r="QKQ17" s="2"/>
      <c r="QKR17" s="2"/>
      <c r="QKS17" s="2"/>
      <c r="QKT17" s="2"/>
      <c r="QKU17" s="2"/>
      <c r="QKV17" s="2"/>
      <c r="QKW17" s="2"/>
      <c r="QKX17" s="2"/>
      <c r="QKY17" s="2"/>
      <c r="QKZ17" s="2"/>
      <c r="QLA17" s="2"/>
      <c r="QLB17" s="2"/>
      <c r="QLC17" s="2"/>
      <c r="QLD17" s="2"/>
      <c r="QLE17" s="2"/>
      <c r="QLF17" s="2"/>
      <c r="QLG17" s="2"/>
      <c r="QLH17" s="2"/>
      <c r="QLI17" s="2"/>
      <c r="QLJ17" s="2"/>
      <c r="QLK17" s="2"/>
      <c r="QLL17" s="2"/>
      <c r="QLM17" s="2"/>
      <c r="QLN17" s="2"/>
      <c r="QLO17" s="2"/>
      <c r="QLP17" s="2"/>
      <c r="QLQ17" s="2"/>
      <c r="QLR17" s="2"/>
      <c r="QLS17" s="2"/>
      <c r="QLT17" s="2"/>
      <c r="QLU17" s="2"/>
      <c r="QLV17" s="2"/>
      <c r="QLW17" s="2"/>
      <c r="QLX17" s="2"/>
      <c r="QLY17" s="2"/>
      <c r="QLZ17" s="2"/>
      <c r="QMA17" s="2"/>
      <c r="QMB17" s="2"/>
      <c r="QMC17" s="2"/>
      <c r="QMD17" s="2"/>
      <c r="QME17" s="2"/>
      <c r="QMF17" s="2"/>
      <c r="QMG17" s="2"/>
      <c r="QMH17" s="2"/>
      <c r="QMI17" s="2"/>
      <c r="QMJ17" s="2"/>
      <c r="QMK17" s="2"/>
      <c r="QML17" s="2"/>
      <c r="QMM17" s="2"/>
      <c r="QMN17" s="2"/>
      <c r="QMO17" s="2"/>
      <c r="QMP17" s="2"/>
      <c r="QMQ17" s="2"/>
      <c r="QMR17" s="2"/>
      <c r="QMS17" s="2"/>
      <c r="QMT17" s="2"/>
      <c r="QMU17" s="2"/>
      <c r="QMV17" s="2"/>
      <c r="QMW17" s="2"/>
      <c r="QMX17" s="2"/>
      <c r="QMY17" s="2"/>
      <c r="QMZ17" s="2"/>
      <c r="QNA17" s="2"/>
      <c r="QNB17" s="2"/>
      <c r="QNC17" s="2"/>
      <c r="QND17" s="2"/>
      <c r="QNE17" s="2"/>
      <c r="QNF17" s="2"/>
      <c r="QNG17" s="2"/>
      <c r="QNH17" s="2"/>
      <c r="QNI17" s="2"/>
      <c r="QNJ17" s="2"/>
      <c r="QNK17" s="2"/>
      <c r="QNL17" s="2"/>
      <c r="QNM17" s="2"/>
      <c r="QNN17" s="2"/>
      <c r="QNO17" s="2"/>
      <c r="QNP17" s="2"/>
      <c r="QNQ17" s="2"/>
      <c r="QNR17" s="2"/>
      <c r="QNS17" s="2"/>
      <c r="QNT17" s="2"/>
      <c r="QNU17" s="2"/>
      <c r="QNV17" s="2"/>
      <c r="QNW17" s="2"/>
      <c r="QNX17" s="2"/>
      <c r="QNY17" s="2"/>
      <c r="QNZ17" s="2"/>
      <c r="QOA17" s="2"/>
      <c r="QOB17" s="2"/>
      <c r="QOC17" s="2"/>
      <c r="QOD17" s="2"/>
      <c r="QOE17" s="2"/>
      <c r="QOF17" s="2"/>
      <c r="QOG17" s="2"/>
      <c r="QOH17" s="2"/>
      <c r="QOI17" s="2"/>
      <c r="QOJ17" s="2"/>
      <c r="QOK17" s="2"/>
      <c r="QOL17" s="2"/>
      <c r="QOM17" s="2"/>
      <c r="QON17" s="2"/>
      <c r="QOO17" s="2"/>
      <c r="QOP17" s="2"/>
      <c r="QOQ17" s="2"/>
      <c r="QOR17" s="2"/>
      <c r="QOS17" s="2"/>
      <c r="QOT17" s="2"/>
      <c r="QOU17" s="2"/>
      <c r="QOV17" s="2"/>
      <c r="QOW17" s="2"/>
      <c r="QOX17" s="2"/>
      <c r="QOY17" s="2"/>
      <c r="QOZ17" s="2"/>
      <c r="QPA17" s="2"/>
      <c r="QPB17" s="2"/>
      <c r="QPC17" s="2"/>
      <c r="QPD17" s="2"/>
      <c r="QPE17" s="2"/>
      <c r="QPF17" s="2"/>
      <c r="QPG17" s="2"/>
      <c r="QPH17" s="2"/>
      <c r="QPI17" s="2"/>
      <c r="QPJ17" s="2"/>
      <c r="QPK17" s="2"/>
      <c r="QPL17" s="2"/>
      <c r="QPM17" s="2"/>
      <c r="QPN17" s="2"/>
      <c r="QPO17" s="2"/>
      <c r="QPP17" s="2"/>
      <c r="QPQ17" s="2"/>
      <c r="QPR17" s="2"/>
      <c r="QPS17" s="2"/>
      <c r="QPT17" s="2"/>
      <c r="QPU17" s="2"/>
      <c r="QPV17" s="2"/>
      <c r="QPW17" s="2"/>
      <c r="QPX17" s="2"/>
      <c r="QPY17" s="2"/>
      <c r="QPZ17" s="2"/>
      <c r="QQA17" s="2"/>
      <c r="QQB17" s="2"/>
      <c r="QQC17" s="2"/>
      <c r="QQD17" s="2"/>
      <c r="QQE17" s="2"/>
      <c r="QQF17" s="2"/>
      <c r="QQG17" s="2"/>
      <c r="QQH17" s="2"/>
      <c r="QQI17" s="2"/>
      <c r="QQJ17" s="2"/>
      <c r="QQK17" s="2"/>
      <c r="QQL17" s="2"/>
      <c r="QQM17" s="2"/>
      <c r="QQN17" s="2"/>
      <c r="QQO17" s="2"/>
      <c r="QQP17" s="2"/>
      <c r="QQQ17" s="2"/>
      <c r="QQR17" s="2"/>
      <c r="QQS17" s="2"/>
      <c r="QQT17" s="2"/>
      <c r="QQU17" s="2"/>
      <c r="QQV17" s="2"/>
      <c r="QQW17" s="2"/>
      <c r="QQX17" s="2"/>
      <c r="QQY17" s="2"/>
      <c r="QQZ17" s="2"/>
      <c r="QRA17" s="2"/>
      <c r="QRB17" s="2"/>
      <c r="QRC17" s="2"/>
      <c r="QRD17" s="2"/>
      <c r="QRE17" s="2"/>
      <c r="QRF17" s="2"/>
      <c r="QRG17" s="2"/>
      <c r="QRH17" s="2"/>
      <c r="QRI17" s="2"/>
      <c r="QRJ17" s="2"/>
      <c r="QRK17" s="2"/>
      <c r="QRL17" s="2"/>
      <c r="QRM17" s="2"/>
      <c r="QRN17" s="2"/>
      <c r="QRO17" s="2"/>
      <c r="QRP17" s="2"/>
      <c r="QRQ17" s="2"/>
      <c r="QRR17" s="2"/>
      <c r="QRS17" s="2"/>
      <c r="QRT17" s="2"/>
      <c r="QRU17" s="2"/>
      <c r="QRV17" s="2"/>
      <c r="QRW17" s="2"/>
      <c r="QRX17" s="2"/>
      <c r="QRY17" s="2"/>
      <c r="QRZ17" s="2"/>
      <c r="QSA17" s="2"/>
      <c r="QSB17" s="2"/>
      <c r="QSC17" s="2"/>
      <c r="QSD17" s="2"/>
      <c r="QSE17" s="2"/>
      <c r="QSF17" s="2"/>
      <c r="QSG17" s="2"/>
      <c r="QSH17" s="2"/>
      <c r="QSI17" s="2"/>
      <c r="QSJ17" s="2"/>
      <c r="QSK17" s="2"/>
      <c r="QSL17" s="2"/>
      <c r="QSM17" s="2"/>
      <c r="QSN17" s="2"/>
      <c r="QSO17" s="2"/>
      <c r="QSP17" s="2"/>
      <c r="QSQ17" s="2"/>
      <c r="QSR17" s="2"/>
      <c r="QSS17" s="2"/>
      <c r="QST17" s="2"/>
      <c r="QSU17" s="2"/>
      <c r="QSV17" s="2"/>
      <c r="QSW17" s="2"/>
      <c r="QSX17" s="2"/>
      <c r="QSY17" s="2"/>
      <c r="QSZ17" s="2"/>
      <c r="QTA17" s="2"/>
      <c r="QTB17" s="2"/>
      <c r="QTC17" s="2"/>
      <c r="QTD17" s="2"/>
      <c r="QTE17" s="2"/>
      <c r="QTF17" s="2"/>
      <c r="QTG17" s="2"/>
      <c r="QTH17" s="2"/>
      <c r="QTI17" s="2"/>
      <c r="QTJ17" s="2"/>
      <c r="QTK17" s="2"/>
      <c r="QTL17" s="2"/>
      <c r="QTM17" s="2"/>
      <c r="QTN17" s="2"/>
      <c r="QTO17" s="2"/>
      <c r="QTP17" s="2"/>
      <c r="QTQ17" s="2"/>
      <c r="QTR17" s="2"/>
      <c r="QTS17" s="2"/>
      <c r="QTT17" s="2"/>
      <c r="QTU17" s="2"/>
      <c r="QTV17" s="2"/>
      <c r="QTW17" s="2"/>
      <c r="QTX17" s="2"/>
      <c r="QTY17" s="2"/>
      <c r="QTZ17" s="2"/>
      <c r="QUA17" s="2"/>
      <c r="QUB17" s="2"/>
      <c r="QUC17" s="2"/>
      <c r="QUD17" s="2"/>
      <c r="QUE17" s="2"/>
      <c r="QUF17" s="2"/>
      <c r="QUG17" s="2"/>
      <c r="QUH17" s="2"/>
      <c r="QUI17" s="2"/>
      <c r="QUJ17" s="2"/>
      <c r="QUK17" s="2"/>
      <c r="QUL17" s="2"/>
      <c r="QUM17" s="2"/>
      <c r="QUN17" s="2"/>
      <c r="QUO17" s="2"/>
      <c r="QUP17" s="2"/>
      <c r="QUQ17" s="2"/>
      <c r="QUR17" s="2"/>
      <c r="QUS17" s="2"/>
      <c r="QUT17" s="2"/>
      <c r="QUU17" s="2"/>
      <c r="QUV17" s="2"/>
      <c r="QUW17" s="2"/>
      <c r="QUX17" s="2"/>
      <c r="QUY17" s="2"/>
      <c r="QUZ17" s="2"/>
      <c r="QVA17" s="2"/>
      <c r="QVB17" s="2"/>
      <c r="QVC17" s="2"/>
      <c r="QVD17" s="2"/>
      <c r="QVE17" s="2"/>
      <c r="QVF17" s="2"/>
      <c r="QVG17" s="2"/>
      <c r="QVH17" s="2"/>
      <c r="QVI17" s="2"/>
      <c r="QVJ17" s="2"/>
      <c r="QVK17" s="2"/>
      <c r="QVL17" s="2"/>
      <c r="QVM17" s="2"/>
      <c r="QVN17" s="2"/>
      <c r="QVO17" s="2"/>
      <c r="QVP17" s="2"/>
      <c r="QVQ17" s="2"/>
      <c r="QVR17" s="2"/>
      <c r="QVS17" s="2"/>
      <c r="QVT17" s="2"/>
      <c r="QVU17" s="2"/>
      <c r="QVV17" s="2"/>
      <c r="QVW17" s="2"/>
      <c r="QVX17" s="2"/>
      <c r="QVY17" s="2"/>
      <c r="QVZ17" s="2"/>
      <c r="QWA17" s="2"/>
      <c r="QWB17" s="2"/>
      <c r="QWC17" s="2"/>
      <c r="QWD17" s="2"/>
      <c r="QWE17" s="2"/>
      <c r="QWF17" s="2"/>
      <c r="QWG17" s="2"/>
      <c r="QWH17" s="2"/>
      <c r="QWI17" s="2"/>
      <c r="QWJ17" s="2"/>
      <c r="QWK17" s="2"/>
      <c r="QWL17" s="2"/>
      <c r="QWM17" s="2"/>
      <c r="QWN17" s="2"/>
      <c r="QWO17" s="2"/>
      <c r="QWP17" s="2"/>
      <c r="QWQ17" s="2"/>
      <c r="QWR17" s="2"/>
      <c r="QWS17" s="2"/>
      <c r="QWT17" s="2"/>
      <c r="QWU17" s="2"/>
      <c r="QWV17" s="2"/>
      <c r="QWW17" s="2"/>
      <c r="QWX17" s="2"/>
      <c r="QWY17" s="2"/>
      <c r="QWZ17" s="2"/>
      <c r="QXA17" s="2"/>
      <c r="QXB17" s="2"/>
      <c r="QXC17" s="2"/>
      <c r="QXD17" s="2"/>
      <c r="QXE17" s="2"/>
      <c r="QXF17" s="2"/>
      <c r="QXG17" s="2"/>
      <c r="QXH17" s="2"/>
      <c r="QXI17" s="2"/>
      <c r="QXJ17" s="2"/>
      <c r="QXK17" s="2"/>
      <c r="QXL17" s="2"/>
      <c r="QXM17" s="2"/>
      <c r="QXN17" s="2"/>
      <c r="QXO17" s="2"/>
      <c r="QXP17" s="2"/>
      <c r="QXQ17" s="2"/>
      <c r="QXR17" s="2"/>
      <c r="QXS17" s="2"/>
      <c r="QXT17" s="2"/>
      <c r="QXU17" s="2"/>
      <c r="QXV17" s="2"/>
      <c r="QXW17" s="2"/>
      <c r="QXX17" s="2"/>
      <c r="QXY17" s="2"/>
      <c r="QXZ17" s="2"/>
      <c r="QYA17" s="2"/>
      <c r="QYB17" s="2"/>
      <c r="QYC17" s="2"/>
      <c r="QYD17" s="2"/>
      <c r="QYE17" s="2"/>
      <c r="QYF17" s="2"/>
      <c r="QYG17" s="2"/>
      <c r="QYH17" s="2"/>
      <c r="QYI17" s="2"/>
      <c r="QYJ17" s="2"/>
      <c r="QYK17" s="2"/>
      <c r="QYL17" s="2"/>
      <c r="QYM17" s="2"/>
      <c r="QYN17" s="2"/>
      <c r="QYO17" s="2"/>
      <c r="QYP17" s="2"/>
      <c r="QYQ17" s="2"/>
      <c r="QYR17" s="2"/>
      <c r="QYS17" s="2"/>
      <c r="QYT17" s="2"/>
      <c r="QYU17" s="2"/>
      <c r="QYV17" s="2"/>
      <c r="QYW17" s="2"/>
      <c r="QYX17" s="2"/>
      <c r="QYY17" s="2"/>
      <c r="QYZ17" s="2"/>
      <c r="QZA17" s="2"/>
      <c r="QZB17" s="2"/>
      <c r="QZC17" s="2"/>
      <c r="QZD17" s="2"/>
      <c r="QZE17" s="2"/>
      <c r="QZF17" s="2"/>
      <c r="QZG17" s="2"/>
      <c r="QZH17" s="2"/>
      <c r="QZI17" s="2"/>
      <c r="QZJ17" s="2"/>
      <c r="QZK17" s="2"/>
      <c r="QZL17" s="2"/>
      <c r="QZM17" s="2"/>
      <c r="QZN17" s="2"/>
      <c r="QZO17" s="2"/>
      <c r="QZP17" s="2"/>
      <c r="QZQ17" s="2"/>
      <c r="QZR17" s="2"/>
      <c r="QZS17" s="2"/>
      <c r="QZT17" s="2"/>
      <c r="QZU17" s="2"/>
      <c r="QZV17" s="2"/>
      <c r="QZW17" s="2"/>
      <c r="QZX17" s="2"/>
      <c r="QZY17" s="2"/>
      <c r="QZZ17" s="2"/>
      <c r="RAA17" s="2"/>
      <c r="RAB17" s="2"/>
      <c r="RAC17" s="2"/>
      <c r="RAD17" s="2"/>
      <c r="RAE17" s="2"/>
      <c r="RAF17" s="2"/>
      <c r="RAG17" s="2"/>
      <c r="RAH17" s="2"/>
      <c r="RAI17" s="2"/>
      <c r="RAJ17" s="2"/>
      <c r="RAK17" s="2"/>
      <c r="RAL17" s="2"/>
      <c r="RAM17" s="2"/>
      <c r="RAN17" s="2"/>
      <c r="RAO17" s="2"/>
      <c r="RAP17" s="2"/>
      <c r="RAQ17" s="2"/>
      <c r="RAR17" s="2"/>
      <c r="RAS17" s="2"/>
      <c r="RAT17" s="2"/>
      <c r="RAU17" s="2"/>
      <c r="RAV17" s="2"/>
      <c r="RAW17" s="2"/>
      <c r="RAX17" s="2"/>
      <c r="RAY17" s="2"/>
      <c r="RAZ17" s="2"/>
      <c r="RBA17" s="2"/>
      <c r="RBB17" s="2"/>
      <c r="RBC17" s="2"/>
      <c r="RBD17" s="2"/>
      <c r="RBE17" s="2"/>
      <c r="RBF17" s="2"/>
      <c r="RBG17" s="2"/>
      <c r="RBH17" s="2"/>
      <c r="RBI17" s="2"/>
      <c r="RBJ17" s="2"/>
      <c r="RBK17" s="2"/>
      <c r="RBL17" s="2"/>
      <c r="RBM17" s="2"/>
      <c r="RBN17" s="2"/>
      <c r="RBO17" s="2"/>
      <c r="RBP17" s="2"/>
      <c r="RBQ17" s="2"/>
      <c r="RBR17" s="2"/>
      <c r="RBS17" s="2"/>
      <c r="RBT17" s="2"/>
      <c r="RBU17" s="2"/>
      <c r="RBV17" s="2"/>
      <c r="RBW17" s="2"/>
      <c r="RBX17" s="2"/>
      <c r="RBY17" s="2"/>
      <c r="RBZ17" s="2"/>
      <c r="RCA17" s="2"/>
      <c r="RCB17" s="2"/>
      <c r="RCC17" s="2"/>
      <c r="RCD17" s="2"/>
      <c r="RCE17" s="2"/>
      <c r="RCF17" s="2"/>
      <c r="RCG17" s="2"/>
      <c r="RCH17" s="2"/>
      <c r="RCI17" s="2"/>
      <c r="RCJ17" s="2"/>
      <c r="RCK17" s="2"/>
      <c r="RCL17" s="2"/>
      <c r="RCM17" s="2"/>
      <c r="RCN17" s="2"/>
      <c r="RCO17" s="2"/>
      <c r="RCP17" s="2"/>
      <c r="RCQ17" s="2"/>
      <c r="RCR17" s="2"/>
      <c r="RCS17" s="2"/>
      <c r="RCT17" s="2"/>
      <c r="RCU17" s="2"/>
      <c r="RCV17" s="2"/>
      <c r="RCW17" s="2"/>
      <c r="RCX17" s="2"/>
      <c r="RCY17" s="2"/>
      <c r="RCZ17" s="2"/>
      <c r="RDA17" s="2"/>
      <c r="RDB17" s="2"/>
      <c r="RDC17" s="2"/>
      <c r="RDD17" s="2"/>
      <c r="RDE17" s="2"/>
      <c r="RDF17" s="2"/>
      <c r="RDG17" s="2"/>
      <c r="RDH17" s="2"/>
      <c r="RDI17" s="2"/>
      <c r="RDJ17" s="2"/>
      <c r="RDK17" s="2"/>
      <c r="RDL17" s="2"/>
      <c r="RDM17" s="2"/>
      <c r="RDN17" s="2"/>
      <c r="RDO17" s="2"/>
      <c r="RDP17" s="2"/>
      <c r="RDQ17" s="2"/>
      <c r="RDR17" s="2"/>
      <c r="RDS17" s="2"/>
      <c r="RDT17" s="2"/>
      <c r="RDU17" s="2"/>
      <c r="RDV17" s="2"/>
      <c r="RDW17" s="2"/>
      <c r="RDX17" s="2"/>
      <c r="RDY17" s="2"/>
      <c r="RDZ17" s="2"/>
      <c r="REA17" s="2"/>
      <c r="REB17" s="2"/>
      <c r="REC17" s="2"/>
      <c r="RED17" s="2"/>
      <c r="REE17" s="2"/>
      <c r="REF17" s="2"/>
      <c r="REG17" s="2"/>
      <c r="REH17" s="2"/>
      <c r="REI17" s="2"/>
      <c r="REJ17" s="2"/>
      <c r="REK17" s="2"/>
      <c r="REL17" s="2"/>
      <c r="REM17" s="2"/>
      <c r="REN17" s="2"/>
      <c r="REO17" s="2"/>
      <c r="REP17" s="2"/>
      <c r="REQ17" s="2"/>
      <c r="RER17" s="2"/>
      <c r="RES17" s="2"/>
      <c r="RET17" s="2"/>
      <c r="REU17" s="2"/>
      <c r="REV17" s="2"/>
      <c r="REW17" s="2"/>
      <c r="REX17" s="2"/>
      <c r="REY17" s="2"/>
      <c r="REZ17" s="2"/>
      <c r="RFA17" s="2"/>
      <c r="RFB17" s="2"/>
      <c r="RFC17" s="2"/>
      <c r="RFD17" s="2"/>
      <c r="RFE17" s="2"/>
      <c r="RFF17" s="2"/>
      <c r="RFG17" s="2"/>
      <c r="RFH17" s="2"/>
      <c r="RFI17" s="2"/>
      <c r="RFJ17" s="2"/>
      <c r="RFK17" s="2"/>
      <c r="RFL17" s="2"/>
      <c r="RFM17" s="2"/>
      <c r="RFN17" s="2"/>
      <c r="RFO17" s="2"/>
      <c r="RFP17" s="2"/>
      <c r="RFQ17" s="2"/>
      <c r="RFR17" s="2"/>
      <c r="RFS17" s="2"/>
      <c r="RFT17" s="2"/>
      <c r="RFU17" s="2"/>
      <c r="RFV17" s="2"/>
      <c r="RFW17" s="2"/>
      <c r="RFX17" s="2"/>
      <c r="RFY17" s="2"/>
      <c r="RFZ17" s="2"/>
      <c r="RGA17" s="2"/>
      <c r="RGB17" s="2"/>
      <c r="RGC17" s="2"/>
      <c r="RGD17" s="2"/>
      <c r="RGE17" s="2"/>
      <c r="RGF17" s="2"/>
      <c r="RGG17" s="2"/>
      <c r="RGH17" s="2"/>
      <c r="RGI17" s="2"/>
      <c r="RGJ17" s="2"/>
      <c r="RGK17" s="2"/>
      <c r="RGL17" s="2"/>
      <c r="RGM17" s="2"/>
      <c r="RGN17" s="2"/>
      <c r="RGO17" s="2"/>
      <c r="RGP17" s="2"/>
      <c r="RGQ17" s="2"/>
      <c r="RGR17" s="2"/>
      <c r="RGS17" s="2"/>
      <c r="RGT17" s="2"/>
      <c r="RGU17" s="2"/>
      <c r="RGV17" s="2"/>
      <c r="RGW17" s="2"/>
      <c r="RGX17" s="2"/>
      <c r="RGY17" s="2"/>
      <c r="RGZ17" s="2"/>
      <c r="RHA17" s="2"/>
      <c r="RHB17" s="2"/>
      <c r="RHC17" s="2"/>
      <c r="RHD17" s="2"/>
      <c r="RHE17" s="2"/>
      <c r="RHF17" s="2"/>
      <c r="RHG17" s="2"/>
      <c r="RHH17" s="2"/>
      <c r="RHI17" s="2"/>
      <c r="RHJ17" s="2"/>
      <c r="RHK17" s="2"/>
      <c r="RHL17" s="2"/>
      <c r="RHM17" s="2"/>
      <c r="RHN17" s="2"/>
      <c r="RHO17" s="2"/>
      <c r="RHP17" s="2"/>
      <c r="RHQ17" s="2"/>
      <c r="RHR17" s="2"/>
      <c r="RHS17" s="2"/>
      <c r="RHT17" s="2"/>
      <c r="RHU17" s="2"/>
      <c r="RHV17" s="2"/>
      <c r="RHW17" s="2"/>
      <c r="RHX17" s="2"/>
      <c r="RHY17" s="2"/>
      <c r="RHZ17" s="2"/>
      <c r="RIA17" s="2"/>
      <c r="RIB17" s="2"/>
      <c r="RIC17" s="2"/>
      <c r="RID17" s="2"/>
      <c r="RIE17" s="2"/>
      <c r="RIF17" s="2"/>
      <c r="RIG17" s="2"/>
      <c r="RIH17" s="2"/>
      <c r="RII17" s="2"/>
      <c r="RIJ17" s="2"/>
      <c r="RIK17" s="2"/>
      <c r="RIL17" s="2"/>
      <c r="RIM17" s="2"/>
      <c r="RIN17" s="2"/>
      <c r="RIO17" s="2"/>
      <c r="RIP17" s="2"/>
      <c r="RIQ17" s="2"/>
      <c r="RIR17" s="2"/>
      <c r="RIS17" s="2"/>
      <c r="RIT17" s="2"/>
      <c r="RIU17" s="2"/>
      <c r="RIV17" s="2"/>
      <c r="RIW17" s="2"/>
      <c r="RIX17" s="2"/>
      <c r="RIY17" s="2"/>
      <c r="RIZ17" s="2"/>
      <c r="RJA17" s="2"/>
      <c r="RJB17" s="2"/>
      <c r="RJC17" s="2"/>
      <c r="RJD17" s="2"/>
      <c r="RJE17" s="2"/>
      <c r="RJF17" s="2"/>
      <c r="RJG17" s="2"/>
      <c r="RJH17" s="2"/>
      <c r="RJI17" s="2"/>
      <c r="RJJ17" s="2"/>
      <c r="RJK17" s="2"/>
      <c r="RJL17" s="2"/>
      <c r="RJM17" s="2"/>
      <c r="RJN17" s="2"/>
      <c r="RJO17" s="2"/>
      <c r="RJP17" s="2"/>
      <c r="RJQ17" s="2"/>
      <c r="RJR17" s="2"/>
      <c r="RJS17" s="2"/>
      <c r="RJT17" s="2"/>
      <c r="RJU17" s="2"/>
      <c r="RJV17" s="2"/>
      <c r="RJW17" s="2"/>
      <c r="RJX17" s="2"/>
      <c r="RJY17" s="2"/>
      <c r="RJZ17" s="2"/>
      <c r="RKA17" s="2"/>
      <c r="RKB17" s="2"/>
      <c r="RKC17" s="2"/>
      <c r="RKD17" s="2"/>
      <c r="RKE17" s="2"/>
      <c r="RKF17" s="2"/>
      <c r="RKG17" s="2"/>
      <c r="RKH17" s="2"/>
      <c r="RKI17" s="2"/>
      <c r="RKJ17" s="2"/>
      <c r="RKK17" s="2"/>
      <c r="RKL17" s="2"/>
      <c r="RKM17" s="2"/>
      <c r="RKN17" s="2"/>
      <c r="RKO17" s="2"/>
      <c r="RKP17" s="2"/>
      <c r="RKQ17" s="2"/>
      <c r="RKR17" s="2"/>
      <c r="RKS17" s="2"/>
      <c r="RKT17" s="2"/>
      <c r="RKU17" s="2"/>
      <c r="RKV17" s="2"/>
      <c r="RKW17" s="2"/>
      <c r="RKX17" s="2"/>
      <c r="RKY17" s="2"/>
      <c r="RKZ17" s="2"/>
      <c r="RLA17" s="2"/>
      <c r="RLB17" s="2"/>
      <c r="RLC17" s="2"/>
      <c r="RLD17" s="2"/>
      <c r="RLE17" s="2"/>
      <c r="RLF17" s="2"/>
      <c r="RLG17" s="2"/>
      <c r="RLH17" s="2"/>
      <c r="RLI17" s="2"/>
      <c r="RLJ17" s="2"/>
      <c r="RLK17" s="2"/>
      <c r="RLL17" s="2"/>
      <c r="RLM17" s="2"/>
      <c r="RLN17" s="2"/>
      <c r="RLO17" s="2"/>
      <c r="RLP17" s="2"/>
      <c r="RLQ17" s="2"/>
      <c r="RLR17" s="2"/>
      <c r="RLS17" s="2"/>
      <c r="RLT17" s="2"/>
      <c r="RLU17" s="2"/>
      <c r="RLV17" s="2"/>
      <c r="RLW17" s="2"/>
      <c r="RLX17" s="2"/>
      <c r="RLY17" s="2"/>
      <c r="RLZ17" s="2"/>
      <c r="RMA17" s="2"/>
      <c r="RMB17" s="2"/>
      <c r="RMC17" s="2"/>
      <c r="RMD17" s="2"/>
      <c r="RME17" s="2"/>
      <c r="RMF17" s="2"/>
      <c r="RMG17" s="2"/>
      <c r="RMH17" s="2"/>
      <c r="RMI17" s="2"/>
      <c r="RMJ17" s="2"/>
      <c r="RMK17" s="2"/>
      <c r="RML17" s="2"/>
      <c r="RMM17" s="2"/>
      <c r="RMN17" s="2"/>
      <c r="RMO17" s="2"/>
      <c r="RMP17" s="2"/>
      <c r="RMQ17" s="2"/>
      <c r="RMR17" s="2"/>
      <c r="RMS17" s="2"/>
      <c r="RMT17" s="2"/>
      <c r="RMU17" s="2"/>
      <c r="RMV17" s="2"/>
      <c r="RMW17" s="2"/>
      <c r="RMX17" s="2"/>
      <c r="RMY17" s="2"/>
      <c r="RMZ17" s="2"/>
      <c r="RNA17" s="2"/>
      <c r="RNB17" s="2"/>
      <c r="RNC17" s="2"/>
      <c r="RND17" s="2"/>
      <c r="RNE17" s="2"/>
      <c r="RNF17" s="2"/>
      <c r="RNG17" s="2"/>
      <c r="RNH17" s="2"/>
      <c r="RNI17" s="2"/>
      <c r="RNJ17" s="2"/>
      <c r="RNK17" s="2"/>
      <c r="RNL17" s="2"/>
      <c r="RNM17" s="2"/>
      <c r="RNN17" s="2"/>
      <c r="RNO17" s="2"/>
      <c r="RNP17" s="2"/>
      <c r="RNQ17" s="2"/>
      <c r="RNR17" s="2"/>
      <c r="RNS17" s="2"/>
      <c r="RNT17" s="2"/>
      <c r="RNU17" s="2"/>
      <c r="RNV17" s="2"/>
      <c r="RNW17" s="2"/>
      <c r="RNX17" s="2"/>
      <c r="RNY17" s="2"/>
      <c r="RNZ17" s="2"/>
      <c r="ROA17" s="2"/>
      <c r="ROB17" s="2"/>
      <c r="ROC17" s="2"/>
      <c r="ROD17" s="2"/>
      <c r="ROE17" s="2"/>
      <c r="ROF17" s="2"/>
      <c r="ROG17" s="2"/>
      <c r="ROH17" s="2"/>
      <c r="ROI17" s="2"/>
      <c r="ROJ17" s="2"/>
      <c r="ROK17" s="2"/>
      <c r="ROL17" s="2"/>
      <c r="ROM17" s="2"/>
      <c r="RON17" s="2"/>
      <c r="ROO17" s="2"/>
      <c r="ROP17" s="2"/>
      <c r="ROQ17" s="2"/>
      <c r="ROR17" s="2"/>
      <c r="ROS17" s="2"/>
      <c r="ROT17" s="2"/>
      <c r="ROU17" s="2"/>
      <c r="ROV17" s="2"/>
      <c r="ROW17" s="2"/>
      <c r="ROX17" s="2"/>
      <c r="ROY17" s="2"/>
      <c r="ROZ17" s="2"/>
      <c r="RPA17" s="2"/>
      <c r="RPB17" s="2"/>
      <c r="RPC17" s="2"/>
      <c r="RPD17" s="2"/>
      <c r="RPE17" s="2"/>
      <c r="RPF17" s="2"/>
      <c r="RPG17" s="2"/>
      <c r="RPH17" s="2"/>
      <c r="RPI17" s="2"/>
      <c r="RPJ17" s="2"/>
      <c r="RPK17" s="2"/>
      <c r="RPL17" s="2"/>
      <c r="RPM17" s="2"/>
      <c r="RPN17" s="2"/>
      <c r="RPO17" s="2"/>
      <c r="RPP17" s="2"/>
      <c r="RPQ17" s="2"/>
      <c r="RPR17" s="2"/>
      <c r="RPS17" s="2"/>
      <c r="RPT17" s="2"/>
      <c r="RPU17" s="2"/>
      <c r="RPV17" s="2"/>
      <c r="RPW17" s="2"/>
      <c r="RPX17" s="2"/>
      <c r="RPY17" s="2"/>
      <c r="RPZ17" s="2"/>
      <c r="RQA17" s="2"/>
      <c r="RQB17" s="2"/>
      <c r="RQC17" s="2"/>
      <c r="RQD17" s="2"/>
      <c r="RQE17" s="2"/>
      <c r="RQF17" s="2"/>
      <c r="RQG17" s="2"/>
      <c r="RQH17" s="2"/>
      <c r="RQI17" s="2"/>
      <c r="RQJ17" s="2"/>
      <c r="RQK17" s="2"/>
      <c r="RQL17" s="2"/>
      <c r="RQM17" s="2"/>
      <c r="RQN17" s="2"/>
      <c r="RQO17" s="2"/>
      <c r="RQP17" s="2"/>
      <c r="RQQ17" s="2"/>
      <c r="RQR17" s="2"/>
      <c r="RQS17" s="2"/>
      <c r="RQT17" s="2"/>
      <c r="RQU17" s="2"/>
      <c r="RQV17" s="2"/>
      <c r="RQW17" s="2"/>
      <c r="RQX17" s="2"/>
      <c r="RQY17" s="2"/>
      <c r="RQZ17" s="2"/>
      <c r="RRA17" s="2"/>
      <c r="RRB17" s="2"/>
      <c r="RRC17" s="2"/>
      <c r="RRD17" s="2"/>
      <c r="RRE17" s="2"/>
      <c r="RRF17" s="2"/>
      <c r="RRG17" s="2"/>
      <c r="RRH17" s="2"/>
      <c r="RRI17" s="2"/>
      <c r="RRJ17" s="2"/>
      <c r="RRK17" s="2"/>
      <c r="RRL17" s="2"/>
      <c r="RRM17" s="2"/>
      <c r="RRN17" s="2"/>
      <c r="RRO17" s="2"/>
      <c r="RRP17" s="2"/>
      <c r="RRQ17" s="2"/>
      <c r="RRR17" s="2"/>
      <c r="RRS17" s="2"/>
      <c r="RRT17" s="2"/>
      <c r="RRU17" s="2"/>
      <c r="RRV17" s="2"/>
      <c r="RRW17" s="2"/>
      <c r="RRX17" s="2"/>
      <c r="RRY17" s="2"/>
      <c r="RRZ17" s="2"/>
      <c r="RSA17" s="2"/>
      <c r="RSB17" s="2"/>
      <c r="RSC17" s="2"/>
      <c r="RSD17" s="2"/>
      <c r="RSE17" s="2"/>
      <c r="RSF17" s="2"/>
      <c r="RSG17" s="2"/>
      <c r="RSH17" s="2"/>
      <c r="RSI17" s="2"/>
      <c r="RSJ17" s="2"/>
      <c r="RSK17" s="2"/>
      <c r="RSL17" s="2"/>
      <c r="RSM17" s="2"/>
      <c r="RSN17" s="2"/>
      <c r="RSO17" s="2"/>
      <c r="RSP17" s="2"/>
      <c r="RSQ17" s="2"/>
      <c r="RSR17" s="2"/>
      <c r="RSS17" s="2"/>
      <c r="RST17" s="2"/>
      <c r="RSU17" s="2"/>
      <c r="RSV17" s="2"/>
      <c r="RSW17" s="2"/>
      <c r="RSX17" s="2"/>
      <c r="RSY17" s="2"/>
      <c r="RSZ17" s="2"/>
      <c r="RTA17" s="2"/>
      <c r="RTB17" s="2"/>
      <c r="RTC17" s="2"/>
      <c r="RTD17" s="2"/>
      <c r="RTE17" s="2"/>
      <c r="RTF17" s="2"/>
      <c r="RTG17" s="2"/>
      <c r="RTH17" s="2"/>
      <c r="RTI17" s="2"/>
      <c r="RTJ17" s="2"/>
      <c r="RTK17" s="2"/>
      <c r="RTL17" s="2"/>
      <c r="RTM17" s="2"/>
      <c r="RTN17" s="2"/>
      <c r="RTO17" s="2"/>
      <c r="RTP17" s="2"/>
      <c r="RTQ17" s="2"/>
      <c r="RTR17" s="2"/>
      <c r="RTS17" s="2"/>
      <c r="RTT17" s="2"/>
      <c r="RTU17" s="2"/>
      <c r="RTV17" s="2"/>
      <c r="RTW17" s="2"/>
      <c r="RTX17" s="2"/>
      <c r="RTY17" s="2"/>
      <c r="RTZ17" s="2"/>
      <c r="RUA17" s="2"/>
      <c r="RUB17" s="2"/>
      <c r="RUC17" s="2"/>
      <c r="RUD17" s="2"/>
      <c r="RUE17" s="2"/>
      <c r="RUF17" s="2"/>
      <c r="RUG17" s="2"/>
      <c r="RUH17" s="2"/>
      <c r="RUI17" s="2"/>
      <c r="RUJ17" s="2"/>
      <c r="RUK17" s="2"/>
      <c r="RUL17" s="2"/>
      <c r="RUM17" s="2"/>
      <c r="RUN17" s="2"/>
      <c r="RUO17" s="2"/>
      <c r="RUP17" s="2"/>
      <c r="RUQ17" s="2"/>
      <c r="RUR17" s="2"/>
      <c r="RUS17" s="2"/>
      <c r="RUT17" s="2"/>
      <c r="RUU17" s="2"/>
      <c r="RUV17" s="2"/>
      <c r="RUW17" s="2"/>
      <c r="RUX17" s="2"/>
      <c r="RUY17" s="2"/>
      <c r="RUZ17" s="2"/>
      <c r="RVA17" s="2"/>
      <c r="RVB17" s="2"/>
      <c r="RVC17" s="2"/>
      <c r="RVD17" s="2"/>
      <c r="RVE17" s="2"/>
      <c r="RVF17" s="2"/>
      <c r="RVG17" s="2"/>
      <c r="RVH17" s="2"/>
      <c r="RVI17" s="2"/>
      <c r="RVJ17" s="2"/>
      <c r="RVK17" s="2"/>
      <c r="RVL17" s="2"/>
      <c r="RVM17" s="2"/>
      <c r="RVN17" s="2"/>
      <c r="RVO17" s="2"/>
      <c r="RVP17" s="2"/>
      <c r="RVQ17" s="2"/>
      <c r="RVR17" s="2"/>
      <c r="RVS17" s="2"/>
      <c r="RVT17" s="2"/>
      <c r="RVU17" s="2"/>
      <c r="RVV17" s="2"/>
      <c r="RVW17" s="2"/>
      <c r="RVX17" s="2"/>
      <c r="RVY17" s="2"/>
      <c r="RVZ17" s="2"/>
      <c r="RWA17" s="2"/>
      <c r="RWB17" s="2"/>
      <c r="RWC17" s="2"/>
      <c r="RWD17" s="2"/>
      <c r="RWE17" s="2"/>
      <c r="RWF17" s="2"/>
      <c r="RWG17" s="2"/>
      <c r="RWH17" s="2"/>
      <c r="RWI17" s="2"/>
      <c r="RWJ17" s="2"/>
      <c r="RWK17" s="2"/>
      <c r="RWL17" s="2"/>
      <c r="RWM17" s="2"/>
      <c r="RWN17" s="2"/>
      <c r="RWO17" s="2"/>
      <c r="RWP17" s="2"/>
      <c r="RWQ17" s="2"/>
      <c r="RWR17" s="2"/>
      <c r="RWS17" s="2"/>
      <c r="RWT17" s="2"/>
      <c r="RWU17" s="2"/>
      <c r="RWV17" s="2"/>
      <c r="RWW17" s="2"/>
      <c r="RWX17" s="2"/>
      <c r="RWY17" s="2"/>
      <c r="RWZ17" s="2"/>
      <c r="RXA17" s="2"/>
      <c r="RXB17" s="2"/>
      <c r="RXC17" s="2"/>
      <c r="RXD17" s="2"/>
      <c r="RXE17" s="2"/>
      <c r="RXF17" s="2"/>
      <c r="RXG17" s="2"/>
      <c r="RXH17" s="2"/>
      <c r="RXI17" s="2"/>
      <c r="RXJ17" s="2"/>
      <c r="RXK17" s="2"/>
      <c r="RXL17" s="2"/>
      <c r="RXM17" s="2"/>
      <c r="RXN17" s="2"/>
      <c r="RXO17" s="2"/>
      <c r="RXP17" s="2"/>
      <c r="RXQ17" s="2"/>
      <c r="RXR17" s="2"/>
      <c r="RXS17" s="2"/>
      <c r="RXT17" s="2"/>
      <c r="RXU17" s="2"/>
      <c r="RXV17" s="2"/>
      <c r="RXW17" s="2"/>
      <c r="RXX17" s="2"/>
      <c r="RXY17" s="2"/>
      <c r="RXZ17" s="2"/>
      <c r="RYA17" s="2"/>
      <c r="RYB17" s="2"/>
      <c r="RYC17" s="2"/>
      <c r="RYD17" s="2"/>
      <c r="RYE17" s="2"/>
      <c r="RYF17" s="2"/>
      <c r="RYG17" s="2"/>
      <c r="RYH17" s="2"/>
      <c r="RYI17" s="2"/>
      <c r="RYJ17" s="2"/>
      <c r="RYK17" s="2"/>
      <c r="RYL17" s="2"/>
      <c r="RYM17" s="2"/>
      <c r="RYN17" s="2"/>
      <c r="RYO17" s="2"/>
      <c r="RYP17" s="2"/>
      <c r="RYQ17" s="2"/>
      <c r="RYR17" s="2"/>
      <c r="RYS17" s="2"/>
      <c r="RYT17" s="2"/>
      <c r="RYU17" s="2"/>
      <c r="RYV17" s="2"/>
      <c r="RYW17" s="2"/>
      <c r="RYX17" s="2"/>
      <c r="RYY17" s="2"/>
      <c r="RYZ17" s="2"/>
      <c r="RZA17" s="2"/>
      <c r="RZB17" s="2"/>
      <c r="RZC17" s="2"/>
      <c r="RZD17" s="2"/>
      <c r="RZE17" s="2"/>
      <c r="RZF17" s="2"/>
      <c r="RZG17" s="2"/>
      <c r="RZH17" s="2"/>
      <c r="RZI17" s="2"/>
      <c r="RZJ17" s="2"/>
      <c r="RZK17" s="2"/>
      <c r="RZL17" s="2"/>
      <c r="RZM17" s="2"/>
      <c r="RZN17" s="2"/>
      <c r="RZO17" s="2"/>
      <c r="RZP17" s="2"/>
      <c r="RZQ17" s="2"/>
      <c r="RZR17" s="2"/>
      <c r="RZS17" s="2"/>
      <c r="RZT17" s="2"/>
      <c r="RZU17" s="2"/>
      <c r="RZV17" s="2"/>
      <c r="RZW17" s="2"/>
      <c r="RZX17" s="2"/>
      <c r="RZY17" s="2"/>
      <c r="RZZ17" s="2"/>
      <c r="SAA17" s="2"/>
      <c r="SAB17" s="2"/>
      <c r="SAC17" s="2"/>
      <c r="SAD17" s="2"/>
      <c r="SAE17" s="2"/>
      <c r="SAF17" s="2"/>
      <c r="SAG17" s="2"/>
      <c r="SAH17" s="2"/>
      <c r="SAI17" s="2"/>
      <c r="SAJ17" s="2"/>
      <c r="SAK17" s="2"/>
      <c r="SAL17" s="2"/>
      <c r="SAM17" s="2"/>
      <c r="SAN17" s="2"/>
      <c r="SAO17" s="2"/>
      <c r="SAP17" s="2"/>
      <c r="SAQ17" s="2"/>
      <c r="SAR17" s="2"/>
      <c r="SAS17" s="2"/>
      <c r="SAT17" s="2"/>
      <c r="SAU17" s="2"/>
      <c r="SAV17" s="2"/>
      <c r="SAW17" s="2"/>
      <c r="SAX17" s="2"/>
      <c r="SAY17" s="2"/>
      <c r="SAZ17" s="2"/>
      <c r="SBA17" s="2"/>
      <c r="SBB17" s="2"/>
      <c r="SBC17" s="2"/>
      <c r="SBD17" s="2"/>
      <c r="SBE17" s="2"/>
      <c r="SBF17" s="2"/>
      <c r="SBG17" s="2"/>
      <c r="SBH17" s="2"/>
      <c r="SBI17" s="2"/>
      <c r="SBJ17" s="2"/>
      <c r="SBK17" s="2"/>
      <c r="SBL17" s="2"/>
      <c r="SBM17" s="2"/>
      <c r="SBN17" s="2"/>
      <c r="SBO17" s="2"/>
      <c r="SBP17" s="2"/>
      <c r="SBQ17" s="2"/>
      <c r="SBR17" s="2"/>
      <c r="SBS17" s="2"/>
      <c r="SBT17" s="2"/>
      <c r="SBU17" s="2"/>
      <c r="SBV17" s="2"/>
      <c r="SBW17" s="2"/>
      <c r="SBX17" s="2"/>
      <c r="SBY17" s="2"/>
      <c r="SBZ17" s="2"/>
      <c r="SCA17" s="2"/>
      <c r="SCB17" s="2"/>
      <c r="SCC17" s="2"/>
      <c r="SCD17" s="2"/>
      <c r="SCE17" s="2"/>
      <c r="SCF17" s="2"/>
      <c r="SCG17" s="2"/>
      <c r="SCH17" s="2"/>
      <c r="SCI17" s="2"/>
      <c r="SCJ17" s="2"/>
      <c r="SCK17" s="2"/>
      <c r="SCL17" s="2"/>
      <c r="SCM17" s="2"/>
      <c r="SCN17" s="2"/>
      <c r="SCO17" s="2"/>
      <c r="SCP17" s="2"/>
      <c r="SCQ17" s="2"/>
      <c r="SCR17" s="2"/>
      <c r="SCS17" s="2"/>
      <c r="SCT17" s="2"/>
      <c r="SCU17" s="2"/>
      <c r="SCV17" s="2"/>
      <c r="SCW17" s="2"/>
      <c r="SCX17" s="2"/>
      <c r="SCY17" s="2"/>
      <c r="SCZ17" s="2"/>
      <c r="SDA17" s="2"/>
      <c r="SDB17" s="2"/>
      <c r="SDC17" s="2"/>
      <c r="SDD17" s="2"/>
      <c r="SDE17" s="2"/>
      <c r="SDF17" s="2"/>
      <c r="SDG17" s="2"/>
      <c r="SDH17" s="2"/>
      <c r="SDI17" s="2"/>
      <c r="SDJ17" s="2"/>
      <c r="SDK17" s="2"/>
      <c r="SDL17" s="2"/>
      <c r="SDM17" s="2"/>
      <c r="SDN17" s="2"/>
      <c r="SDO17" s="2"/>
      <c r="SDP17" s="2"/>
      <c r="SDQ17" s="2"/>
      <c r="SDR17" s="2"/>
      <c r="SDS17" s="2"/>
      <c r="SDT17" s="2"/>
      <c r="SDU17" s="2"/>
      <c r="SDV17" s="2"/>
      <c r="SDW17" s="2"/>
      <c r="SDX17" s="2"/>
      <c r="SDY17" s="2"/>
      <c r="SDZ17" s="2"/>
      <c r="SEA17" s="2"/>
      <c r="SEB17" s="2"/>
      <c r="SEC17" s="2"/>
      <c r="SED17" s="2"/>
      <c r="SEE17" s="2"/>
      <c r="SEF17" s="2"/>
      <c r="SEG17" s="2"/>
      <c r="SEH17" s="2"/>
      <c r="SEI17" s="2"/>
      <c r="SEJ17" s="2"/>
      <c r="SEK17" s="2"/>
      <c r="SEL17" s="2"/>
      <c r="SEM17" s="2"/>
      <c r="SEN17" s="2"/>
      <c r="SEO17" s="2"/>
      <c r="SEP17" s="2"/>
      <c r="SEQ17" s="2"/>
      <c r="SER17" s="2"/>
      <c r="SES17" s="2"/>
      <c r="SET17" s="2"/>
      <c r="SEU17" s="2"/>
      <c r="SEV17" s="2"/>
      <c r="SEW17" s="2"/>
      <c r="SEX17" s="2"/>
      <c r="SEY17" s="2"/>
      <c r="SEZ17" s="2"/>
      <c r="SFA17" s="2"/>
      <c r="SFB17" s="2"/>
      <c r="SFC17" s="2"/>
      <c r="SFD17" s="2"/>
      <c r="SFE17" s="2"/>
      <c r="SFF17" s="2"/>
      <c r="SFG17" s="2"/>
      <c r="SFH17" s="2"/>
      <c r="SFI17" s="2"/>
      <c r="SFJ17" s="2"/>
      <c r="SFK17" s="2"/>
      <c r="SFL17" s="2"/>
      <c r="SFM17" s="2"/>
      <c r="SFN17" s="2"/>
      <c r="SFO17" s="2"/>
      <c r="SFP17" s="2"/>
      <c r="SFQ17" s="2"/>
      <c r="SFR17" s="2"/>
      <c r="SFS17" s="2"/>
      <c r="SFT17" s="2"/>
      <c r="SFU17" s="2"/>
      <c r="SFV17" s="2"/>
      <c r="SFW17" s="2"/>
      <c r="SFX17" s="2"/>
      <c r="SFY17" s="2"/>
      <c r="SFZ17" s="2"/>
      <c r="SGA17" s="2"/>
      <c r="SGB17" s="2"/>
      <c r="SGC17" s="2"/>
      <c r="SGD17" s="2"/>
      <c r="SGE17" s="2"/>
      <c r="SGF17" s="2"/>
      <c r="SGG17" s="2"/>
      <c r="SGH17" s="2"/>
      <c r="SGI17" s="2"/>
      <c r="SGJ17" s="2"/>
      <c r="SGK17" s="2"/>
      <c r="SGL17" s="2"/>
      <c r="SGM17" s="2"/>
      <c r="SGN17" s="2"/>
      <c r="SGO17" s="2"/>
      <c r="SGP17" s="2"/>
      <c r="SGQ17" s="2"/>
      <c r="SGR17" s="2"/>
      <c r="SGS17" s="2"/>
      <c r="SGT17" s="2"/>
      <c r="SGU17" s="2"/>
      <c r="SGV17" s="2"/>
      <c r="SGW17" s="2"/>
      <c r="SGX17" s="2"/>
      <c r="SGY17" s="2"/>
      <c r="SGZ17" s="2"/>
      <c r="SHA17" s="2"/>
      <c r="SHB17" s="2"/>
      <c r="SHC17" s="2"/>
      <c r="SHD17" s="2"/>
      <c r="SHE17" s="2"/>
      <c r="SHF17" s="2"/>
      <c r="SHG17" s="2"/>
      <c r="SHH17" s="2"/>
      <c r="SHI17" s="2"/>
      <c r="SHJ17" s="2"/>
      <c r="SHK17" s="2"/>
      <c r="SHL17" s="2"/>
      <c r="SHM17" s="2"/>
      <c r="SHN17" s="2"/>
      <c r="SHO17" s="2"/>
      <c r="SHP17" s="2"/>
      <c r="SHQ17" s="2"/>
      <c r="SHR17" s="2"/>
      <c r="SHS17" s="2"/>
      <c r="SHT17" s="2"/>
      <c r="SHU17" s="2"/>
      <c r="SHV17" s="2"/>
      <c r="SHW17" s="2"/>
      <c r="SHX17" s="2"/>
      <c r="SHY17" s="2"/>
      <c r="SHZ17" s="2"/>
      <c r="SIA17" s="2"/>
      <c r="SIB17" s="2"/>
      <c r="SIC17" s="2"/>
      <c r="SID17" s="2"/>
      <c r="SIE17" s="2"/>
      <c r="SIF17" s="2"/>
      <c r="SIG17" s="2"/>
      <c r="SIH17" s="2"/>
      <c r="SII17" s="2"/>
      <c r="SIJ17" s="2"/>
      <c r="SIK17" s="2"/>
      <c r="SIL17" s="2"/>
      <c r="SIM17" s="2"/>
      <c r="SIN17" s="2"/>
      <c r="SIO17" s="2"/>
      <c r="SIP17" s="2"/>
      <c r="SIQ17" s="2"/>
      <c r="SIR17" s="2"/>
      <c r="SIS17" s="2"/>
      <c r="SIT17" s="2"/>
      <c r="SIU17" s="2"/>
      <c r="SIV17" s="2"/>
      <c r="SIW17" s="2"/>
      <c r="SIX17" s="2"/>
      <c r="SIY17" s="2"/>
      <c r="SIZ17" s="2"/>
      <c r="SJA17" s="2"/>
      <c r="SJB17" s="2"/>
      <c r="SJC17" s="2"/>
      <c r="SJD17" s="2"/>
      <c r="SJE17" s="2"/>
      <c r="SJF17" s="2"/>
      <c r="SJG17" s="2"/>
      <c r="SJH17" s="2"/>
      <c r="SJI17" s="2"/>
      <c r="SJJ17" s="2"/>
      <c r="SJK17" s="2"/>
      <c r="SJL17" s="2"/>
      <c r="SJM17" s="2"/>
      <c r="SJN17" s="2"/>
      <c r="SJO17" s="2"/>
      <c r="SJP17" s="2"/>
      <c r="SJQ17" s="2"/>
      <c r="SJR17" s="2"/>
      <c r="SJS17" s="2"/>
      <c r="SJT17" s="2"/>
      <c r="SJU17" s="2"/>
      <c r="SJV17" s="2"/>
      <c r="SJW17" s="2"/>
      <c r="SJX17" s="2"/>
      <c r="SJY17" s="2"/>
      <c r="SJZ17" s="2"/>
      <c r="SKA17" s="2"/>
      <c r="SKB17" s="2"/>
      <c r="SKC17" s="2"/>
      <c r="SKD17" s="2"/>
      <c r="SKE17" s="2"/>
      <c r="SKF17" s="2"/>
      <c r="SKG17" s="2"/>
      <c r="SKH17" s="2"/>
      <c r="SKI17" s="2"/>
      <c r="SKJ17" s="2"/>
      <c r="SKK17" s="2"/>
      <c r="SKL17" s="2"/>
      <c r="SKM17" s="2"/>
      <c r="SKN17" s="2"/>
      <c r="SKO17" s="2"/>
      <c r="SKP17" s="2"/>
      <c r="SKQ17" s="2"/>
      <c r="SKR17" s="2"/>
      <c r="SKS17" s="2"/>
      <c r="SKT17" s="2"/>
      <c r="SKU17" s="2"/>
      <c r="SKV17" s="2"/>
      <c r="SKW17" s="2"/>
      <c r="SKX17" s="2"/>
      <c r="SKY17" s="2"/>
      <c r="SKZ17" s="2"/>
      <c r="SLA17" s="2"/>
      <c r="SLB17" s="2"/>
      <c r="SLC17" s="2"/>
      <c r="SLD17" s="2"/>
      <c r="SLE17" s="2"/>
      <c r="SLF17" s="2"/>
      <c r="SLG17" s="2"/>
      <c r="SLH17" s="2"/>
      <c r="SLI17" s="2"/>
      <c r="SLJ17" s="2"/>
      <c r="SLK17" s="2"/>
      <c r="SLL17" s="2"/>
      <c r="SLM17" s="2"/>
      <c r="SLN17" s="2"/>
      <c r="SLO17" s="2"/>
      <c r="SLP17" s="2"/>
      <c r="SLQ17" s="2"/>
      <c r="SLR17" s="2"/>
      <c r="SLS17" s="2"/>
      <c r="SLT17" s="2"/>
      <c r="SLU17" s="2"/>
      <c r="SLV17" s="2"/>
      <c r="SLW17" s="2"/>
      <c r="SLX17" s="2"/>
      <c r="SLY17" s="2"/>
      <c r="SLZ17" s="2"/>
      <c r="SMA17" s="2"/>
      <c r="SMB17" s="2"/>
      <c r="SMC17" s="2"/>
      <c r="SMD17" s="2"/>
      <c r="SME17" s="2"/>
      <c r="SMF17" s="2"/>
      <c r="SMG17" s="2"/>
      <c r="SMH17" s="2"/>
      <c r="SMI17" s="2"/>
      <c r="SMJ17" s="2"/>
      <c r="SMK17" s="2"/>
      <c r="SML17" s="2"/>
      <c r="SMM17" s="2"/>
      <c r="SMN17" s="2"/>
      <c r="SMO17" s="2"/>
      <c r="SMP17" s="2"/>
      <c r="SMQ17" s="2"/>
      <c r="SMR17" s="2"/>
      <c r="SMS17" s="2"/>
      <c r="SMT17" s="2"/>
      <c r="SMU17" s="2"/>
      <c r="SMV17" s="2"/>
      <c r="SMW17" s="2"/>
      <c r="SMX17" s="2"/>
      <c r="SMY17" s="2"/>
      <c r="SMZ17" s="2"/>
      <c r="SNA17" s="2"/>
      <c r="SNB17" s="2"/>
      <c r="SNC17" s="2"/>
      <c r="SND17" s="2"/>
      <c r="SNE17" s="2"/>
      <c r="SNF17" s="2"/>
      <c r="SNG17" s="2"/>
      <c r="SNH17" s="2"/>
      <c r="SNI17" s="2"/>
      <c r="SNJ17" s="2"/>
      <c r="SNK17" s="2"/>
      <c r="SNL17" s="2"/>
      <c r="SNM17" s="2"/>
      <c r="SNN17" s="2"/>
      <c r="SNO17" s="2"/>
      <c r="SNP17" s="2"/>
      <c r="SNQ17" s="2"/>
      <c r="SNR17" s="2"/>
      <c r="SNS17" s="2"/>
      <c r="SNT17" s="2"/>
      <c r="SNU17" s="2"/>
      <c r="SNV17" s="2"/>
      <c r="SNW17" s="2"/>
      <c r="SNX17" s="2"/>
      <c r="SNY17" s="2"/>
      <c r="SNZ17" s="2"/>
      <c r="SOA17" s="2"/>
      <c r="SOB17" s="2"/>
      <c r="SOC17" s="2"/>
      <c r="SOD17" s="2"/>
      <c r="SOE17" s="2"/>
      <c r="SOF17" s="2"/>
      <c r="SOG17" s="2"/>
      <c r="SOH17" s="2"/>
      <c r="SOI17" s="2"/>
      <c r="SOJ17" s="2"/>
      <c r="SOK17" s="2"/>
      <c r="SOL17" s="2"/>
      <c r="SOM17" s="2"/>
      <c r="SON17" s="2"/>
      <c r="SOO17" s="2"/>
      <c r="SOP17" s="2"/>
      <c r="SOQ17" s="2"/>
      <c r="SOR17" s="2"/>
      <c r="SOS17" s="2"/>
      <c r="SOT17" s="2"/>
      <c r="SOU17" s="2"/>
      <c r="SOV17" s="2"/>
      <c r="SOW17" s="2"/>
      <c r="SOX17" s="2"/>
      <c r="SOY17" s="2"/>
      <c r="SOZ17" s="2"/>
      <c r="SPA17" s="2"/>
      <c r="SPB17" s="2"/>
      <c r="SPC17" s="2"/>
      <c r="SPD17" s="2"/>
      <c r="SPE17" s="2"/>
      <c r="SPF17" s="2"/>
      <c r="SPG17" s="2"/>
      <c r="SPH17" s="2"/>
      <c r="SPI17" s="2"/>
      <c r="SPJ17" s="2"/>
      <c r="SPK17" s="2"/>
      <c r="SPL17" s="2"/>
      <c r="SPM17" s="2"/>
      <c r="SPN17" s="2"/>
      <c r="SPO17" s="2"/>
      <c r="SPP17" s="2"/>
      <c r="SPQ17" s="2"/>
      <c r="SPR17" s="2"/>
      <c r="SPS17" s="2"/>
      <c r="SPT17" s="2"/>
      <c r="SPU17" s="2"/>
      <c r="SPV17" s="2"/>
      <c r="SPW17" s="2"/>
      <c r="SPX17" s="2"/>
      <c r="SPY17" s="2"/>
      <c r="SPZ17" s="2"/>
      <c r="SQA17" s="2"/>
      <c r="SQB17" s="2"/>
      <c r="SQC17" s="2"/>
      <c r="SQD17" s="2"/>
      <c r="SQE17" s="2"/>
      <c r="SQF17" s="2"/>
      <c r="SQG17" s="2"/>
      <c r="SQH17" s="2"/>
      <c r="SQI17" s="2"/>
      <c r="SQJ17" s="2"/>
      <c r="SQK17" s="2"/>
      <c r="SQL17" s="2"/>
      <c r="SQM17" s="2"/>
      <c r="SQN17" s="2"/>
      <c r="SQO17" s="2"/>
      <c r="SQP17" s="2"/>
      <c r="SQQ17" s="2"/>
      <c r="SQR17" s="2"/>
      <c r="SQS17" s="2"/>
      <c r="SQT17" s="2"/>
      <c r="SQU17" s="2"/>
      <c r="SQV17" s="2"/>
      <c r="SQW17" s="2"/>
      <c r="SQX17" s="2"/>
      <c r="SQY17" s="2"/>
      <c r="SQZ17" s="2"/>
      <c r="SRA17" s="2"/>
      <c r="SRB17" s="2"/>
      <c r="SRC17" s="2"/>
      <c r="SRD17" s="2"/>
      <c r="SRE17" s="2"/>
      <c r="SRF17" s="2"/>
      <c r="SRG17" s="2"/>
      <c r="SRH17" s="2"/>
      <c r="SRI17" s="2"/>
      <c r="SRJ17" s="2"/>
      <c r="SRK17" s="2"/>
      <c r="SRL17" s="2"/>
      <c r="SRM17" s="2"/>
      <c r="SRN17" s="2"/>
      <c r="SRO17" s="2"/>
      <c r="SRP17" s="2"/>
      <c r="SRQ17" s="2"/>
      <c r="SRR17" s="2"/>
      <c r="SRS17" s="2"/>
      <c r="SRT17" s="2"/>
      <c r="SRU17" s="2"/>
      <c r="SRV17" s="2"/>
      <c r="SRW17" s="2"/>
      <c r="SRX17" s="2"/>
      <c r="SRY17" s="2"/>
      <c r="SRZ17" s="2"/>
      <c r="SSA17" s="2"/>
      <c r="SSB17" s="2"/>
      <c r="SSC17" s="2"/>
      <c r="SSD17" s="2"/>
      <c r="SSE17" s="2"/>
      <c r="SSF17" s="2"/>
      <c r="SSG17" s="2"/>
      <c r="SSH17" s="2"/>
      <c r="SSI17" s="2"/>
      <c r="SSJ17" s="2"/>
      <c r="SSK17" s="2"/>
      <c r="SSL17" s="2"/>
      <c r="SSM17" s="2"/>
      <c r="SSN17" s="2"/>
      <c r="SSO17" s="2"/>
      <c r="SSP17" s="2"/>
      <c r="SSQ17" s="2"/>
      <c r="SSR17" s="2"/>
      <c r="SSS17" s="2"/>
      <c r="SST17" s="2"/>
      <c r="SSU17" s="2"/>
      <c r="SSV17" s="2"/>
      <c r="SSW17" s="2"/>
      <c r="SSX17" s="2"/>
      <c r="SSY17" s="2"/>
      <c r="SSZ17" s="2"/>
      <c r="STA17" s="2"/>
      <c r="STB17" s="2"/>
      <c r="STC17" s="2"/>
      <c r="STD17" s="2"/>
      <c r="STE17" s="2"/>
      <c r="STF17" s="2"/>
      <c r="STG17" s="2"/>
      <c r="STH17" s="2"/>
      <c r="STI17" s="2"/>
      <c r="STJ17" s="2"/>
      <c r="STK17" s="2"/>
      <c r="STL17" s="2"/>
      <c r="STM17" s="2"/>
      <c r="STN17" s="2"/>
      <c r="STO17" s="2"/>
      <c r="STP17" s="2"/>
      <c r="STQ17" s="2"/>
      <c r="STR17" s="2"/>
      <c r="STS17" s="2"/>
      <c r="STT17" s="2"/>
      <c r="STU17" s="2"/>
      <c r="STV17" s="2"/>
      <c r="STW17" s="2"/>
      <c r="STX17" s="2"/>
      <c r="STY17" s="2"/>
      <c r="STZ17" s="2"/>
      <c r="SUA17" s="2"/>
      <c r="SUB17" s="2"/>
      <c r="SUC17" s="2"/>
      <c r="SUD17" s="2"/>
      <c r="SUE17" s="2"/>
      <c r="SUF17" s="2"/>
      <c r="SUG17" s="2"/>
      <c r="SUH17" s="2"/>
      <c r="SUI17" s="2"/>
      <c r="SUJ17" s="2"/>
      <c r="SUK17" s="2"/>
      <c r="SUL17" s="2"/>
      <c r="SUM17" s="2"/>
      <c r="SUN17" s="2"/>
      <c r="SUO17" s="2"/>
      <c r="SUP17" s="2"/>
      <c r="SUQ17" s="2"/>
      <c r="SUR17" s="2"/>
      <c r="SUS17" s="2"/>
      <c r="SUT17" s="2"/>
      <c r="SUU17" s="2"/>
      <c r="SUV17" s="2"/>
      <c r="SUW17" s="2"/>
      <c r="SUX17" s="2"/>
      <c r="SUY17" s="2"/>
      <c r="SUZ17" s="2"/>
      <c r="SVA17" s="2"/>
      <c r="SVB17" s="2"/>
      <c r="SVC17" s="2"/>
      <c r="SVD17" s="2"/>
      <c r="SVE17" s="2"/>
      <c r="SVF17" s="2"/>
      <c r="SVG17" s="2"/>
      <c r="SVH17" s="2"/>
      <c r="SVI17" s="2"/>
      <c r="SVJ17" s="2"/>
      <c r="SVK17" s="2"/>
      <c r="SVL17" s="2"/>
      <c r="SVM17" s="2"/>
      <c r="SVN17" s="2"/>
      <c r="SVO17" s="2"/>
      <c r="SVP17" s="2"/>
      <c r="SVQ17" s="2"/>
      <c r="SVR17" s="2"/>
      <c r="SVS17" s="2"/>
      <c r="SVT17" s="2"/>
      <c r="SVU17" s="2"/>
      <c r="SVV17" s="2"/>
      <c r="SVW17" s="2"/>
      <c r="SVX17" s="2"/>
      <c r="SVY17" s="2"/>
      <c r="SVZ17" s="2"/>
      <c r="SWA17" s="2"/>
      <c r="SWB17" s="2"/>
      <c r="SWC17" s="2"/>
      <c r="SWD17" s="2"/>
      <c r="SWE17" s="2"/>
      <c r="SWF17" s="2"/>
      <c r="SWG17" s="2"/>
      <c r="SWH17" s="2"/>
      <c r="SWI17" s="2"/>
      <c r="SWJ17" s="2"/>
      <c r="SWK17" s="2"/>
      <c r="SWL17" s="2"/>
      <c r="SWM17" s="2"/>
      <c r="SWN17" s="2"/>
      <c r="SWO17" s="2"/>
      <c r="SWP17" s="2"/>
      <c r="SWQ17" s="2"/>
      <c r="SWR17" s="2"/>
      <c r="SWS17" s="2"/>
      <c r="SWT17" s="2"/>
      <c r="SWU17" s="2"/>
      <c r="SWV17" s="2"/>
      <c r="SWW17" s="2"/>
      <c r="SWX17" s="2"/>
      <c r="SWY17" s="2"/>
      <c r="SWZ17" s="2"/>
      <c r="SXA17" s="2"/>
      <c r="SXB17" s="2"/>
      <c r="SXC17" s="2"/>
      <c r="SXD17" s="2"/>
      <c r="SXE17" s="2"/>
      <c r="SXF17" s="2"/>
      <c r="SXG17" s="2"/>
      <c r="SXH17" s="2"/>
      <c r="SXI17" s="2"/>
      <c r="SXJ17" s="2"/>
      <c r="SXK17" s="2"/>
      <c r="SXL17" s="2"/>
      <c r="SXM17" s="2"/>
      <c r="SXN17" s="2"/>
      <c r="SXO17" s="2"/>
      <c r="SXP17" s="2"/>
      <c r="SXQ17" s="2"/>
      <c r="SXR17" s="2"/>
      <c r="SXS17" s="2"/>
      <c r="SXT17" s="2"/>
      <c r="SXU17" s="2"/>
      <c r="SXV17" s="2"/>
      <c r="SXW17" s="2"/>
      <c r="SXX17" s="2"/>
      <c r="SXY17" s="2"/>
      <c r="SXZ17" s="2"/>
      <c r="SYA17" s="2"/>
      <c r="SYB17" s="2"/>
      <c r="SYC17" s="2"/>
      <c r="SYD17" s="2"/>
      <c r="SYE17" s="2"/>
      <c r="SYF17" s="2"/>
      <c r="SYG17" s="2"/>
      <c r="SYH17" s="2"/>
      <c r="SYI17" s="2"/>
      <c r="SYJ17" s="2"/>
      <c r="SYK17" s="2"/>
      <c r="SYL17" s="2"/>
      <c r="SYM17" s="2"/>
      <c r="SYN17" s="2"/>
      <c r="SYO17" s="2"/>
      <c r="SYP17" s="2"/>
      <c r="SYQ17" s="2"/>
      <c r="SYR17" s="2"/>
      <c r="SYS17" s="2"/>
      <c r="SYT17" s="2"/>
      <c r="SYU17" s="2"/>
      <c r="SYV17" s="2"/>
      <c r="SYW17" s="2"/>
      <c r="SYX17" s="2"/>
      <c r="SYY17" s="2"/>
      <c r="SYZ17" s="2"/>
      <c r="SZA17" s="2"/>
      <c r="SZB17" s="2"/>
      <c r="SZC17" s="2"/>
      <c r="SZD17" s="2"/>
      <c r="SZE17" s="2"/>
      <c r="SZF17" s="2"/>
      <c r="SZG17" s="2"/>
      <c r="SZH17" s="2"/>
      <c r="SZI17" s="2"/>
      <c r="SZJ17" s="2"/>
      <c r="SZK17" s="2"/>
      <c r="SZL17" s="2"/>
      <c r="SZM17" s="2"/>
      <c r="SZN17" s="2"/>
      <c r="SZO17" s="2"/>
      <c r="SZP17" s="2"/>
      <c r="SZQ17" s="2"/>
      <c r="SZR17" s="2"/>
      <c r="SZS17" s="2"/>
      <c r="SZT17" s="2"/>
      <c r="SZU17" s="2"/>
      <c r="SZV17" s="2"/>
      <c r="SZW17" s="2"/>
      <c r="SZX17" s="2"/>
      <c r="SZY17" s="2"/>
      <c r="SZZ17" s="2"/>
      <c r="TAA17" s="2"/>
      <c r="TAB17" s="2"/>
      <c r="TAC17" s="2"/>
      <c r="TAD17" s="2"/>
      <c r="TAE17" s="2"/>
      <c r="TAF17" s="2"/>
      <c r="TAG17" s="2"/>
      <c r="TAH17" s="2"/>
      <c r="TAI17" s="2"/>
      <c r="TAJ17" s="2"/>
      <c r="TAK17" s="2"/>
      <c r="TAL17" s="2"/>
      <c r="TAM17" s="2"/>
      <c r="TAN17" s="2"/>
      <c r="TAO17" s="2"/>
      <c r="TAP17" s="2"/>
      <c r="TAQ17" s="2"/>
      <c r="TAR17" s="2"/>
      <c r="TAS17" s="2"/>
      <c r="TAT17" s="2"/>
      <c r="TAU17" s="2"/>
      <c r="TAV17" s="2"/>
      <c r="TAW17" s="2"/>
      <c r="TAX17" s="2"/>
      <c r="TAY17" s="2"/>
      <c r="TAZ17" s="2"/>
      <c r="TBA17" s="2"/>
      <c r="TBB17" s="2"/>
      <c r="TBC17" s="2"/>
      <c r="TBD17" s="2"/>
      <c r="TBE17" s="2"/>
      <c r="TBF17" s="2"/>
      <c r="TBG17" s="2"/>
      <c r="TBH17" s="2"/>
      <c r="TBI17" s="2"/>
      <c r="TBJ17" s="2"/>
      <c r="TBK17" s="2"/>
      <c r="TBL17" s="2"/>
      <c r="TBM17" s="2"/>
      <c r="TBN17" s="2"/>
      <c r="TBO17" s="2"/>
      <c r="TBP17" s="2"/>
      <c r="TBQ17" s="2"/>
      <c r="TBR17" s="2"/>
      <c r="TBS17" s="2"/>
      <c r="TBT17" s="2"/>
      <c r="TBU17" s="2"/>
      <c r="TBV17" s="2"/>
      <c r="TBW17" s="2"/>
      <c r="TBX17" s="2"/>
      <c r="TBY17" s="2"/>
      <c r="TBZ17" s="2"/>
      <c r="TCA17" s="2"/>
      <c r="TCB17" s="2"/>
      <c r="TCC17" s="2"/>
      <c r="TCD17" s="2"/>
      <c r="TCE17" s="2"/>
      <c r="TCF17" s="2"/>
      <c r="TCG17" s="2"/>
      <c r="TCH17" s="2"/>
      <c r="TCI17" s="2"/>
      <c r="TCJ17" s="2"/>
      <c r="TCK17" s="2"/>
      <c r="TCL17" s="2"/>
      <c r="TCM17" s="2"/>
      <c r="TCN17" s="2"/>
      <c r="TCO17" s="2"/>
      <c r="TCP17" s="2"/>
      <c r="TCQ17" s="2"/>
      <c r="TCR17" s="2"/>
      <c r="TCS17" s="2"/>
      <c r="TCT17" s="2"/>
      <c r="TCU17" s="2"/>
      <c r="TCV17" s="2"/>
      <c r="TCW17" s="2"/>
      <c r="TCX17" s="2"/>
      <c r="TCY17" s="2"/>
      <c r="TCZ17" s="2"/>
      <c r="TDA17" s="2"/>
      <c r="TDB17" s="2"/>
      <c r="TDC17" s="2"/>
      <c r="TDD17" s="2"/>
      <c r="TDE17" s="2"/>
      <c r="TDF17" s="2"/>
      <c r="TDG17" s="2"/>
      <c r="TDH17" s="2"/>
      <c r="TDI17" s="2"/>
      <c r="TDJ17" s="2"/>
      <c r="TDK17" s="2"/>
      <c r="TDL17" s="2"/>
      <c r="TDM17" s="2"/>
      <c r="TDN17" s="2"/>
      <c r="TDO17" s="2"/>
      <c r="TDP17" s="2"/>
      <c r="TDQ17" s="2"/>
      <c r="TDR17" s="2"/>
      <c r="TDS17" s="2"/>
      <c r="TDT17" s="2"/>
      <c r="TDU17" s="2"/>
      <c r="TDV17" s="2"/>
      <c r="TDW17" s="2"/>
      <c r="TDX17" s="2"/>
      <c r="TDY17" s="2"/>
      <c r="TDZ17" s="2"/>
      <c r="TEA17" s="2"/>
      <c r="TEB17" s="2"/>
      <c r="TEC17" s="2"/>
      <c r="TED17" s="2"/>
      <c r="TEE17" s="2"/>
      <c r="TEF17" s="2"/>
      <c r="TEG17" s="2"/>
      <c r="TEH17" s="2"/>
      <c r="TEI17" s="2"/>
      <c r="TEJ17" s="2"/>
      <c r="TEK17" s="2"/>
      <c r="TEL17" s="2"/>
      <c r="TEM17" s="2"/>
      <c r="TEN17" s="2"/>
      <c r="TEO17" s="2"/>
      <c r="TEP17" s="2"/>
      <c r="TEQ17" s="2"/>
      <c r="TER17" s="2"/>
      <c r="TES17" s="2"/>
      <c r="TET17" s="2"/>
      <c r="TEU17" s="2"/>
      <c r="TEV17" s="2"/>
      <c r="TEW17" s="2"/>
      <c r="TEX17" s="2"/>
      <c r="TEY17" s="2"/>
      <c r="TEZ17" s="2"/>
      <c r="TFA17" s="2"/>
      <c r="TFB17" s="2"/>
      <c r="TFC17" s="2"/>
      <c r="TFD17" s="2"/>
      <c r="TFE17" s="2"/>
      <c r="TFF17" s="2"/>
      <c r="TFG17" s="2"/>
      <c r="TFH17" s="2"/>
      <c r="TFI17" s="2"/>
      <c r="TFJ17" s="2"/>
      <c r="TFK17" s="2"/>
      <c r="TFL17" s="2"/>
      <c r="TFM17" s="2"/>
      <c r="TFN17" s="2"/>
      <c r="TFO17" s="2"/>
      <c r="TFP17" s="2"/>
      <c r="TFQ17" s="2"/>
      <c r="TFR17" s="2"/>
      <c r="TFS17" s="2"/>
      <c r="TFT17" s="2"/>
      <c r="TFU17" s="2"/>
      <c r="TFV17" s="2"/>
      <c r="TFW17" s="2"/>
      <c r="TFX17" s="2"/>
      <c r="TFY17" s="2"/>
      <c r="TFZ17" s="2"/>
      <c r="TGA17" s="2"/>
      <c r="TGB17" s="2"/>
      <c r="TGC17" s="2"/>
      <c r="TGD17" s="2"/>
      <c r="TGE17" s="2"/>
      <c r="TGF17" s="2"/>
      <c r="TGG17" s="2"/>
      <c r="TGH17" s="2"/>
      <c r="TGI17" s="2"/>
      <c r="TGJ17" s="2"/>
      <c r="TGK17" s="2"/>
      <c r="TGL17" s="2"/>
      <c r="TGM17" s="2"/>
      <c r="TGN17" s="2"/>
      <c r="TGO17" s="2"/>
      <c r="TGP17" s="2"/>
      <c r="TGQ17" s="2"/>
      <c r="TGR17" s="2"/>
      <c r="TGS17" s="2"/>
      <c r="TGT17" s="2"/>
      <c r="TGU17" s="2"/>
      <c r="TGV17" s="2"/>
      <c r="TGW17" s="2"/>
      <c r="TGX17" s="2"/>
      <c r="TGY17" s="2"/>
      <c r="TGZ17" s="2"/>
      <c r="THA17" s="2"/>
      <c r="THB17" s="2"/>
      <c r="THC17" s="2"/>
      <c r="THD17" s="2"/>
      <c r="THE17" s="2"/>
      <c r="THF17" s="2"/>
      <c r="THG17" s="2"/>
      <c r="THH17" s="2"/>
      <c r="THI17" s="2"/>
      <c r="THJ17" s="2"/>
      <c r="THK17" s="2"/>
      <c r="THL17" s="2"/>
      <c r="THM17" s="2"/>
      <c r="THN17" s="2"/>
      <c r="THO17" s="2"/>
      <c r="THP17" s="2"/>
      <c r="THQ17" s="2"/>
      <c r="THR17" s="2"/>
      <c r="THS17" s="2"/>
      <c r="THT17" s="2"/>
      <c r="THU17" s="2"/>
      <c r="THV17" s="2"/>
      <c r="THW17" s="2"/>
      <c r="THX17" s="2"/>
      <c r="THY17" s="2"/>
      <c r="THZ17" s="2"/>
      <c r="TIA17" s="2"/>
      <c r="TIB17" s="2"/>
      <c r="TIC17" s="2"/>
      <c r="TID17" s="2"/>
      <c r="TIE17" s="2"/>
      <c r="TIF17" s="2"/>
      <c r="TIG17" s="2"/>
      <c r="TIH17" s="2"/>
      <c r="TII17" s="2"/>
      <c r="TIJ17" s="2"/>
      <c r="TIK17" s="2"/>
      <c r="TIL17" s="2"/>
      <c r="TIM17" s="2"/>
      <c r="TIN17" s="2"/>
      <c r="TIO17" s="2"/>
      <c r="TIP17" s="2"/>
      <c r="TIQ17" s="2"/>
      <c r="TIR17" s="2"/>
      <c r="TIS17" s="2"/>
      <c r="TIT17" s="2"/>
      <c r="TIU17" s="2"/>
      <c r="TIV17" s="2"/>
      <c r="TIW17" s="2"/>
      <c r="TIX17" s="2"/>
      <c r="TIY17" s="2"/>
      <c r="TIZ17" s="2"/>
      <c r="TJA17" s="2"/>
      <c r="TJB17" s="2"/>
      <c r="TJC17" s="2"/>
      <c r="TJD17" s="2"/>
      <c r="TJE17" s="2"/>
      <c r="TJF17" s="2"/>
      <c r="TJG17" s="2"/>
      <c r="TJH17" s="2"/>
      <c r="TJI17" s="2"/>
      <c r="TJJ17" s="2"/>
      <c r="TJK17" s="2"/>
      <c r="TJL17" s="2"/>
      <c r="TJM17" s="2"/>
      <c r="TJN17" s="2"/>
      <c r="TJO17" s="2"/>
      <c r="TJP17" s="2"/>
      <c r="TJQ17" s="2"/>
      <c r="TJR17" s="2"/>
      <c r="TJS17" s="2"/>
      <c r="TJT17" s="2"/>
      <c r="TJU17" s="2"/>
      <c r="TJV17" s="2"/>
      <c r="TJW17" s="2"/>
      <c r="TJX17" s="2"/>
      <c r="TJY17" s="2"/>
      <c r="TJZ17" s="2"/>
      <c r="TKA17" s="2"/>
      <c r="TKB17" s="2"/>
      <c r="TKC17" s="2"/>
      <c r="TKD17" s="2"/>
      <c r="TKE17" s="2"/>
      <c r="TKF17" s="2"/>
      <c r="TKG17" s="2"/>
      <c r="TKH17" s="2"/>
      <c r="TKI17" s="2"/>
      <c r="TKJ17" s="2"/>
      <c r="TKK17" s="2"/>
      <c r="TKL17" s="2"/>
      <c r="TKM17" s="2"/>
      <c r="TKN17" s="2"/>
      <c r="TKO17" s="2"/>
      <c r="TKP17" s="2"/>
      <c r="TKQ17" s="2"/>
      <c r="TKR17" s="2"/>
      <c r="TKS17" s="2"/>
      <c r="TKT17" s="2"/>
      <c r="TKU17" s="2"/>
      <c r="TKV17" s="2"/>
      <c r="TKW17" s="2"/>
      <c r="TKX17" s="2"/>
      <c r="TKY17" s="2"/>
      <c r="TKZ17" s="2"/>
      <c r="TLA17" s="2"/>
      <c r="TLB17" s="2"/>
      <c r="TLC17" s="2"/>
      <c r="TLD17" s="2"/>
      <c r="TLE17" s="2"/>
      <c r="TLF17" s="2"/>
      <c r="TLG17" s="2"/>
      <c r="TLH17" s="2"/>
      <c r="TLI17" s="2"/>
      <c r="TLJ17" s="2"/>
      <c r="TLK17" s="2"/>
      <c r="TLL17" s="2"/>
      <c r="TLM17" s="2"/>
      <c r="TLN17" s="2"/>
      <c r="TLO17" s="2"/>
      <c r="TLP17" s="2"/>
      <c r="TLQ17" s="2"/>
      <c r="TLR17" s="2"/>
      <c r="TLS17" s="2"/>
      <c r="TLT17" s="2"/>
      <c r="TLU17" s="2"/>
      <c r="TLV17" s="2"/>
      <c r="TLW17" s="2"/>
      <c r="TLX17" s="2"/>
      <c r="TLY17" s="2"/>
      <c r="TLZ17" s="2"/>
      <c r="TMA17" s="2"/>
      <c r="TMB17" s="2"/>
      <c r="TMC17" s="2"/>
      <c r="TMD17" s="2"/>
      <c r="TME17" s="2"/>
      <c r="TMF17" s="2"/>
      <c r="TMG17" s="2"/>
      <c r="TMH17" s="2"/>
      <c r="TMI17" s="2"/>
      <c r="TMJ17" s="2"/>
      <c r="TMK17" s="2"/>
      <c r="TML17" s="2"/>
      <c r="TMM17" s="2"/>
      <c r="TMN17" s="2"/>
      <c r="TMO17" s="2"/>
      <c r="TMP17" s="2"/>
      <c r="TMQ17" s="2"/>
      <c r="TMR17" s="2"/>
      <c r="TMS17" s="2"/>
      <c r="TMT17" s="2"/>
      <c r="TMU17" s="2"/>
      <c r="TMV17" s="2"/>
      <c r="TMW17" s="2"/>
      <c r="TMX17" s="2"/>
      <c r="TMY17" s="2"/>
      <c r="TMZ17" s="2"/>
      <c r="TNA17" s="2"/>
      <c r="TNB17" s="2"/>
      <c r="TNC17" s="2"/>
      <c r="TND17" s="2"/>
      <c r="TNE17" s="2"/>
      <c r="TNF17" s="2"/>
      <c r="TNG17" s="2"/>
      <c r="TNH17" s="2"/>
      <c r="TNI17" s="2"/>
      <c r="TNJ17" s="2"/>
      <c r="TNK17" s="2"/>
      <c r="TNL17" s="2"/>
      <c r="TNM17" s="2"/>
      <c r="TNN17" s="2"/>
      <c r="TNO17" s="2"/>
      <c r="TNP17" s="2"/>
      <c r="TNQ17" s="2"/>
      <c r="TNR17" s="2"/>
      <c r="TNS17" s="2"/>
      <c r="TNT17" s="2"/>
      <c r="TNU17" s="2"/>
      <c r="TNV17" s="2"/>
      <c r="TNW17" s="2"/>
      <c r="TNX17" s="2"/>
      <c r="TNY17" s="2"/>
      <c r="TNZ17" s="2"/>
      <c r="TOA17" s="2"/>
      <c r="TOB17" s="2"/>
      <c r="TOC17" s="2"/>
      <c r="TOD17" s="2"/>
      <c r="TOE17" s="2"/>
      <c r="TOF17" s="2"/>
      <c r="TOG17" s="2"/>
      <c r="TOH17" s="2"/>
      <c r="TOI17" s="2"/>
      <c r="TOJ17" s="2"/>
      <c r="TOK17" s="2"/>
      <c r="TOL17" s="2"/>
      <c r="TOM17" s="2"/>
      <c r="TON17" s="2"/>
      <c r="TOO17" s="2"/>
      <c r="TOP17" s="2"/>
      <c r="TOQ17" s="2"/>
      <c r="TOR17" s="2"/>
      <c r="TOS17" s="2"/>
      <c r="TOT17" s="2"/>
      <c r="TOU17" s="2"/>
      <c r="TOV17" s="2"/>
      <c r="TOW17" s="2"/>
      <c r="TOX17" s="2"/>
      <c r="TOY17" s="2"/>
      <c r="TOZ17" s="2"/>
      <c r="TPA17" s="2"/>
      <c r="TPB17" s="2"/>
      <c r="TPC17" s="2"/>
      <c r="TPD17" s="2"/>
      <c r="TPE17" s="2"/>
      <c r="TPF17" s="2"/>
      <c r="TPG17" s="2"/>
      <c r="TPH17" s="2"/>
      <c r="TPI17" s="2"/>
      <c r="TPJ17" s="2"/>
      <c r="TPK17" s="2"/>
      <c r="TPL17" s="2"/>
      <c r="TPM17" s="2"/>
      <c r="TPN17" s="2"/>
      <c r="TPO17" s="2"/>
      <c r="TPP17" s="2"/>
      <c r="TPQ17" s="2"/>
      <c r="TPR17" s="2"/>
      <c r="TPS17" s="2"/>
      <c r="TPT17" s="2"/>
      <c r="TPU17" s="2"/>
      <c r="TPV17" s="2"/>
      <c r="TPW17" s="2"/>
      <c r="TPX17" s="2"/>
      <c r="TPY17" s="2"/>
      <c r="TPZ17" s="2"/>
      <c r="TQA17" s="2"/>
      <c r="TQB17" s="2"/>
      <c r="TQC17" s="2"/>
      <c r="TQD17" s="2"/>
      <c r="TQE17" s="2"/>
      <c r="TQF17" s="2"/>
      <c r="TQG17" s="2"/>
      <c r="TQH17" s="2"/>
      <c r="TQI17" s="2"/>
      <c r="TQJ17" s="2"/>
      <c r="TQK17" s="2"/>
      <c r="TQL17" s="2"/>
      <c r="TQM17" s="2"/>
      <c r="TQN17" s="2"/>
      <c r="TQO17" s="2"/>
      <c r="TQP17" s="2"/>
      <c r="TQQ17" s="2"/>
      <c r="TQR17" s="2"/>
      <c r="TQS17" s="2"/>
      <c r="TQT17" s="2"/>
      <c r="TQU17" s="2"/>
      <c r="TQV17" s="2"/>
      <c r="TQW17" s="2"/>
      <c r="TQX17" s="2"/>
      <c r="TQY17" s="2"/>
      <c r="TQZ17" s="2"/>
      <c r="TRA17" s="2"/>
      <c r="TRB17" s="2"/>
      <c r="TRC17" s="2"/>
      <c r="TRD17" s="2"/>
      <c r="TRE17" s="2"/>
      <c r="TRF17" s="2"/>
      <c r="TRG17" s="2"/>
      <c r="TRH17" s="2"/>
      <c r="TRI17" s="2"/>
      <c r="TRJ17" s="2"/>
      <c r="TRK17" s="2"/>
      <c r="TRL17" s="2"/>
      <c r="TRM17" s="2"/>
      <c r="TRN17" s="2"/>
      <c r="TRO17" s="2"/>
      <c r="TRP17" s="2"/>
      <c r="TRQ17" s="2"/>
      <c r="TRR17" s="2"/>
      <c r="TRS17" s="2"/>
      <c r="TRT17" s="2"/>
      <c r="TRU17" s="2"/>
      <c r="TRV17" s="2"/>
      <c r="TRW17" s="2"/>
      <c r="TRX17" s="2"/>
      <c r="TRY17" s="2"/>
      <c r="TRZ17" s="2"/>
      <c r="TSA17" s="2"/>
      <c r="TSB17" s="2"/>
      <c r="TSC17" s="2"/>
      <c r="TSD17" s="2"/>
      <c r="TSE17" s="2"/>
      <c r="TSF17" s="2"/>
      <c r="TSG17" s="2"/>
      <c r="TSH17" s="2"/>
      <c r="TSI17" s="2"/>
      <c r="TSJ17" s="2"/>
      <c r="TSK17" s="2"/>
      <c r="TSL17" s="2"/>
      <c r="TSM17" s="2"/>
      <c r="TSN17" s="2"/>
      <c r="TSO17" s="2"/>
      <c r="TSP17" s="2"/>
      <c r="TSQ17" s="2"/>
      <c r="TSR17" s="2"/>
      <c r="TSS17" s="2"/>
      <c r="TST17" s="2"/>
      <c r="TSU17" s="2"/>
      <c r="TSV17" s="2"/>
      <c r="TSW17" s="2"/>
      <c r="TSX17" s="2"/>
      <c r="TSY17" s="2"/>
      <c r="TSZ17" s="2"/>
      <c r="TTA17" s="2"/>
      <c r="TTB17" s="2"/>
      <c r="TTC17" s="2"/>
      <c r="TTD17" s="2"/>
      <c r="TTE17" s="2"/>
      <c r="TTF17" s="2"/>
      <c r="TTG17" s="2"/>
      <c r="TTH17" s="2"/>
      <c r="TTI17" s="2"/>
      <c r="TTJ17" s="2"/>
      <c r="TTK17" s="2"/>
      <c r="TTL17" s="2"/>
      <c r="TTM17" s="2"/>
      <c r="TTN17" s="2"/>
      <c r="TTO17" s="2"/>
      <c r="TTP17" s="2"/>
      <c r="TTQ17" s="2"/>
      <c r="TTR17" s="2"/>
      <c r="TTS17" s="2"/>
      <c r="TTT17" s="2"/>
      <c r="TTU17" s="2"/>
      <c r="TTV17" s="2"/>
      <c r="TTW17" s="2"/>
      <c r="TTX17" s="2"/>
      <c r="TTY17" s="2"/>
      <c r="TTZ17" s="2"/>
      <c r="TUA17" s="2"/>
      <c r="TUB17" s="2"/>
      <c r="TUC17" s="2"/>
      <c r="TUD17" s="2"/>
      <c r="TUE17" s="2"/>
      <c r="TUF17" s="2"/>
      <c r="TUG17" s="2"/>
      <c r="TUH17" s="2"/>
      <c r="TUI17" s="2"/>
      <c r="TUJ17" s="2"/>
      <c r="TUK17" s="2"/>
      <c r="TUL17" s="2"/>
      <c r="TUM17" s="2"/>
      <c r="TUN17" s="2"/>
      <c r="TUO17" s="2"/>
      <c r="TUP17" s="2"/>
      <c r="TUQ17" s="2"/>
      <c r="TUR17" s="2"/>
      <c r="TUS17" s="2"/>
      <c r="TUT17" s="2"/>
      <c r="TUU17" s="2"/>
      <c r="TUV17" s="2"/>
      <c r="TUW17" s="2"/>
      <c r="TUX17" s="2"/>
      <c r="TUY17" s="2"/>
      <c r="TUZ17" s="2"/>
      <c r="TVA17" s="2"/>
      <c r="TVB17" s="2"/>
      <c r="TVC17" s="2"/>
      <c r="TVD17" s="2"/>
      <c r="TVE17" s="2"/>
      <c r="TVF17" s="2"/>
      <c r="TVG17" s="2"/>
      <c r="TVH17" s="2"/>
      <c r="TVI17" s="2"/>
      <c r="TVJ17" s="2"/>
      <c r="TVK17" s="2"/>
      <c r="TVL17" s="2"/>
      <c r="TVM17" s="2"/>
      <c r="TVN17" s="2"/>
      <c r="TVO17" s="2"/>
      <c r="TVP17" s="2"/>
      <c r="TVQ17" s="2"/>
      <c r="TVR17" s="2"/>
      <c r="TVS17" s="2"/>
      <c r="TVT17" s="2"/>
      <c r="TVU17" s="2"/>
      <c r="TVV17" s="2"/>
      <c r="TVW17" s="2"/>
      <c r="TVX17" s="2"/>
      <c r="TVY17" s="2"/>
      <c r="TVZ17" s="2"/>
      <c r="TWA17" s="2"/>
      <c r="TWB17" s="2"/>
      <c r="TWC17" s="2"/>
      <c r="TWD17" s="2"/>
      <c r="TWE17" s="2"/>
      <c r="TWF17" s="2"/>
      <c r="TWG17" s="2"/>
      <c r="TWH17" s="2"/>
      <c r="TWI17" s="2"/>
      <c r="TWJ17" s="2"/>
      <c r="TWK17" s="2"/>
      <c r="TWL17" s="2"/>
      <c r="TWM17" s="2"/>
      <c r="TWN17" s="2"/>
      <c r="TWO17" s="2"/>
      <c r="TWP17" s="2"/>
      <c r="TWQ17" s="2"/>
      <c r="TWR17" s="2"/>
      <c r="TWS17" s="2"/>
      <c r="TWT17" s="2"/>
      <c r="TWU17" s="2"/>
      <c r="TWV17" s="2"/>
      <c r="TWW17" s="2"/>
      <c r="TWX17" s="2"/>
      <c r="TWY17" s="2"/>
      <c r="TWZ17" s="2"/>
      <c r="TXA17" s="2"/>
      <c r="TXB17" s="2"/>
      <c r="TXC17" s="2"/>
      <c r="TXD17" s="2"/>
      <c r="TXE17" s="2"/>
      <c r="TXF17" s="2"/>
      <c r="TXG17" s="2"/>
      <c r="TXH17" s="2"/>
      <c r="TXI17" s="2"/>
      <c r="TXJ17" s="2"/>
      <c r="TXK17" s="2"/>
      <c r="TXL17" s="2"/>
      <c r="TXM17" s="2"/>
      <c r="TXN17" s="2"/>
      <c r="TXO17" s="2"/>
      <c r="TXP17" s="2"/>
      <c r="TXQ17" s="2"/>
      <c r="TXR17" s="2"/>
      <c r="TXS17" s="2"/>
      <c r="TXT17" s="2"/>
      <c r="TXU17" s="2"/>
      <c r="TXV17" s="2"/>
      <c r="TXW17" s="2"/>
      <c r="TXX17" s="2"/>
      <c r="TXY17" s="2"/>
      <c r="TXZ17" s="2"/>
      <c r="TYA17" s="2"/>
      <c r="TYB17" s="2"/>
      <c r="TYC17" s="2"/>
      <c r="TYD17" s="2"/>
      <c r="TYE17" s="2"/>
      <c r="TYF17" s="2"/>
      <c r="TYG17" s="2"/>
      <c r="TYH17" s="2"/>
      <c r="TYI17" s="2"/>
      <c r="TYJ17" s="2"/>
      <c r="TYK17" s="2"/>
      <c r="TYL17" s="2"/>
      <c r="TYM17" s="2"/>
      <c r="TYN17" s="2"/>
      <c r="TYO17" s="2"/>
      <c r="TYP17" s="2"/>
      <c r="TYQ17" s="2"/>
      <c r="TYR17" s="2"/>
      <c r="TYS17" s="2"/>
      <c r="TYT17" s="2"/>
      <c r="TYU17" s="2"/>
      <c r="TYV17" s="2"/>
      <c r="TYW17" s="2"/>
      <c r="TYX17" s="2"/>
      <c r="TYY17" s="2"/>
      <c r="TYZ17" s="2"/>
      <c r="TZA17" s="2"/>
      <c r="TZB17" s="2"/>
      <c r="TZC17" s="2"/>
      <c r="TZD17" s="2"/>
      <c r="TZE17" s="2"/>
      <c r="TZF17" s="2"/>
      <c r="TZG17" s="2"/>
      <c r="TZH17" s="2"/>
      <c r="TZI17" s="2"/>
      <c r="TZJ17" s="2"/>
      <c r="TZK17" s="2"/>
      <c r="TZL17" s="2"/>
      <c r="TZM17" s="2"/>
      <c r="TZN17" s="2"/>
      <c r="TZO17" s="2"/>
      <c r="TZP17" s="2"/>
      <c r="TZQ17" s="2"/>
      <c r="TZR17" s="2"/>
      <c r="TZS17" s="2"/>
      <c r="TZT17" s="2"/>
      <c r="TZU17" s="2"/>
      <c r="TZV17" s="2"/>
      <c r="TZW17" s="2"/>
      <c r="TZX17" s="2"/>
      <c r="TZY17" s="2"/>
      <c r="TZZ17" s="2"/>
      <c r="UAA17" s="2"/>
      <c r="UAB17" s="2"/>
      <c r="UAC17" s="2"/>
      <c r="UAD17" s="2"/>
      <c r="UAE17" s="2"/>
      <c r="UAF17" s="2"/>
      <c r="UAG17" s="2"/>
      <c r="UAH17" s="2"/>
      <c r="UAI17" s="2"/>
      <c r="UAJ17" s="2"/>
      <c r="UAK17" s="2"/>
      <c r="UAL17" s="2"/>
      <c r="UAM17" s="2"/>
      <c r="UAN17" s="2"/>
      <c r="UAO17" s="2"/>
      <c r="UAP17" s="2"/>
      <c r="UAQ17" s="2"/>
      <c r="UAR17" s="2"/>
      <c r="UAS17" s="2"/>
      <c r="UAT17" s="2"/>
      <c r="UAU17" s="2"/>
      <c r="UAV17" s="2"/>
      <c r="UAW17" s="2"/>
      <c r="UAX17" s="2"/>
      <c r="UAY17" s="2"/>
      <c r="UAZ17" s="2"/>
      <c r="UBA17" s="2"/>
      <c r="UBB17" s="2"/>
      <c r="UBC17" s="2"/>
      <c r="UBD17" s="2"/>
      <c r="UBE17" s="2"/>
      <c r="UBF17" s="2"/>
      <c r="UBG17" s="2"/>
      <c r="UBH17" s="2"/>
      <c r="UBI17" s="2"/>
      <c r="UBJ17" s="2"/>
      <c r="UBK17" s="2"/>
      <c r="UBL17" s="2"/>
      <c r="UBM17" s="2"/>
      <c r="UBN17" s="2"/>
      <c r="UBO17" s="2"/>
      <c r="UBP17" s="2"/>
      <c r="UBQ17" s="2"/>
      <c r="UBR17" s="2"/>
      <c r="UBS17" s="2"/>
      <c r="UBT17" s="2"/>
      <c r="UBU17" s="2"/>
      <c r="UBV17" s="2"/>
      <c r="UBW17" s="2"/>
      <c r="UBX17" s="2"/>
      <c r="UBY17" s="2"/>
      <c r="UBZ17" s="2"/>
      <c r="UCA17" s="2"/>
      <c r="UCB17" s="2"/>
      <c r="UCC17" s="2"/>
      <c r="UCD17" s="2"/>
      <c r="UCE17" s="2"/>
      <c r="UCF17" s="2"/>
      <c r="UCG17" s="2"/>
      <c r="UCH17" s="2"/>
      <c r="UCI17" s="2"/>
      <c r="UCJ17" s="2"/>
      <c r="UCK17" s="2"/>
      <c r="UCL17" s="2"/>
      <c r="UCM17" s="2"/>
      <c r="UCN17" s="2"/>
      <c r="UCO17" s="2"/>
      <c r="UCP17" s="2"/>
      <c r="UCQ17" s="2"/>
      <c r="UCR17" s="2"/>
      <c r="UCS17" s="2"/>
      <c r="UCT17" s="2"/>
      <c r="UCU17" s="2"/>
      <c r="UCV17" s="2"/>
      <c r="UCW17" s="2"/>
      <c r="UCX17" s="2"/>
      <c r="UCY17" s="2"/>
      <c r="UCZ17" s="2"/>
      <c r="UDA17" s="2"/>
      <c r="UDB17" s="2"/>
      <c r="UDC17" s="2"/>
      <c r="UDD17" s="2"/>
      <c r="UDE17" s="2"/>
      <c r="UDF17" s="2"/>
      <c r="UDG17" s="2"/>
      <c r="UDH17" s="2"/>
      <c r="UDI17" s="2"/>
      <c r="UDJ17" s="2"/>
      <c r="UDK17" s="2"/>
      <c r="UDL17" s="2"/>
      <c r="UDM17" s="2"/>
      <c r="UDN17" s="2"/>
      <c r="UDO17" s="2"/>
      <c r="UDP17" s="2"/>
      <c r="UDQ17" s="2"/>
      <c r="UDR17" s="2"/>
      <c r="UDS17" s="2"/>
      <c r="UDT17" s="2"/>
      <c r="UDU17" s="2"/>
      <c r="UDV17" s="2"/>
      <c r="UDW17" s="2"/>
      <c r="UDX17" s="2"/>
      <c r="UDY17" s="2"/>
      <c r="UDZ17" s="2"/>
      <c r="UEA17" s="2"/>
      <c r="UEB17" s="2"/>
      <c r="UEC17" s="2"/>
      <c r="UED17" s="2"/>
      <c r="UEE17" s="2"/>
      <c r="UEF17" s="2"/>
      <c r="UEG17" s="2"/>
      <c r="UEH17" s="2"/>
      <c r="UEI17" s="2"/>
      <c r="UEJ17" s="2"/>
      <c r="UEK17" s="2"/>
      <c r="UEL17" s="2"/>
      <c r="UEM17" s="2"/>
      <c r="UEN17" s="2"/>
      <c r="UEO17" s="2"/>
      <c r="UEP17" s="2"/>
      <c r="UEQ17" s="2"/>
      <c r="UER17" s="2"/>
      <c r="UES17" s="2"/>
      <c r="UET17" s="2"/>
      <c r="UEU17" s="2"/>
      <c r="UEV17" s="2"/>
      <c r="UEW17" s="2"/>
      <c r="UEX17" s="2"/>
      <c r="UEY17" s="2"/>
      <c r="UEZ17" s="2"/>
      <c r="UFA17" s="2"/>
      <c r="UFB17" s="2"/>
      <c r="UFC17" s="2"/>
      <c r="UFD17" s="2"/>
      <c r="UFE17" s="2"/>
      <c r="UFF17" s="2"/>
      <c r="UFG17" s="2"/>
      <c r="UFH17" s="2"/>
      <c r="UFI17" s="2"/>
      <c r="UFJ17" s="2"/>
      <c r="UFK17" s="2"/>
      <c r="UFL17" s="2"/>
      <c r="UFM17" s="2"/>
      <c r="UFN17" s="2"/>
      <c r="UFO17" s="2"/>
      <c r="UFP17" s="2"/>
      <c r="UFQ17" s="2"/>
      <c r="UFR17" s="2"/>
      <c r="UFS17" s="2"/>
      <c r="UFT17" s="2"/>
      <c r="UFU17" s="2"/>
      <c r="UFV17" s="2"/>
      <c r="UFW17" s="2"/>
      <c r="UFX17" s="2"/>
      <c r="UFY17" s="2"/>
      <c r="UFZ17" s="2"/>
      <c r="UGA17" s="2"/>
      <c r="UGB17" s="2"/>
      <c r="UGC17" s="2"/>
      <c r="UGD17" s="2"/>
      <c r="UGE17" s="2"/>
      <c r="UGF17" s="2"/>
      <c r="UGG17" s="2"/>
      <c r="UGH17" s="2"/>
      <c r="UGI17" s="2"/>
      <c r="UGJ17" s="2"/>
      <c r="UGK17" s="2"/>
      <c r="UGL17" s="2"/>
      <c r="UGM17" s="2"/>
      <c r="UGN17" s="2"/>
      <c r="UGO17" s="2"/>
      <c r="UGP17" s="2"/>
      <c r="UGQ17" s="2"/>
      <c r="UGR17" s="2"/>
      <c r="UGS17" s="2"/>
      <c r="UGT17" s="2"/>
      <c r="UGU17" s="2"/>
      <c r="UGV17" s="2"/>
      <c r="UGW17" s="2"/>
      <c r="UGX17" s="2"/>
      <c r="UGY17" s="2"/>
      <c r="UGZ17" s="2"/>
      <c r="UHA17" s="2"/>
      <c r="UHB17" s="2"/>
      <c r="UHC17" s="2"/>
      <c r="UHD17" s="2"/>
      <c r="UHE17" s="2"/>
      <c r="UHF17" s="2"/>
      <c r="UHG17" s="2"/>
      <c r="UHH17" s="2"/>
      <c r="UHI17" s="2"/>
      <c r="UHJ17" s="2"/>
      <c r="UHK17" s="2"/>
      <c r="UHL17" s="2"/>
      <c r="UHM17" s="2"/>
      <c r="UHN17" s="2"/>
      <c r="UHO17" s="2"/>
      <c r="UHP17" s="2"/>
      <c r="UHQ17" s="2"/>
      <c r="UHR17" s="2"/>
      <c r="UHS17" s="2"/>
      <c r="UHT17" s="2"/>
      <c r="UHU17" s="2"/>
      <c r="UHV17" s="2"/>
      <c r="UHW17" s="2"/>
      <c r="UHX17" s="2"/>
      <c r="UHY17" s="2"/>
      <c r="UHZ17" s="2"/>
      <c r="UIA17" s="2"/>
      <c r="UIB17" s="2"/>
      <c r="UIC17" s="2"/>
      <c r="UID17" s="2"/>
      <c r="UIE17" s="2"/>
      <c r="UIF17" s="2"/>
      <c r="UIG17" s="2"/>
      <c r="UIH17" s="2"/>
      <c r="UII17" s="2"/>
      <c r="UIJ17" s="2"/>
      <c r="UIK17" s="2"/>
      <c r="UIL17" s="2"/>
      <c r="UIM17" s="2"/>
      <c r="UIN17" s="2"/>
      <c r="UIO17" s="2"/>
      <c r="UIP17" s="2"/>
      <c r="UIQ17" s="2"/>
      <c r="UIR17" s="2"/>
      <c r="UIS17" s="2"/>
      <c r="UIT17" s="2"/>
      <c r="UIU17" s="2"/>
      <c r="UIV17" s="2"/>
      <c r="UIW17" s="2"/>
      <c r="UIX17" s="2"/>
      <c r="UIY17" s="2"/>
      <c r="UIZ17" s="2"/>
      <c r="UJA17" s="2"/>
      <c r="UJB17" s="2"/>
      <c r="UJC17" s="2"/>
      <c r="UJD17" s="2"/>
      <c r="UJE17" s="2"/>
      <c r="UJF17" s="2"/>
      <c r="UJG17" s="2"/>
      <c r="UJH17" s="2"/>
      <c r="UJI17" s="2"/>
      <c r="UJJ17" s="2"/>
      <c r="UJK17" s="2"/>
      <c r="UJL17" s="2"/>
      <c r="UJM17" s="2"/>
      <c r="UJN17" s="2"/>
      <c r="UJO17" s="2"/>
      <c r="UJP17" s="2"/>
      <c r="UJQ17" s="2"/>
      <c r="UJR17" s="2"/>
      <c r="UJS17" s="2"/>
      <c r="UJT17" s="2"/>
      <c r="UJU17" s="2"/>
      <c r="UJV17" s="2"/>
      <c r="UJW17" s="2"/>
      <c r="UJX17" s="2"/>
      <c r="UJY17" s="2"/>
      <c r="UJZ17" s="2"/>
      <c r="UKA17" s="2"/>
      <c r="UKB17" s="2"/>
      <c r="UKC17" s="2"/>
      <c r="UKD17" s="2"/>
      <c r="UKE17" s="2"/>
      <c r="UKF17" s="2"/>
      <c r="UKG17" s="2"/>
      <c r="UKH17" s="2"/>
      <c r="UKI17" s="2"/>
      <c r="UKJ17" s="2"/>
      <c r="UKK17" s="2"/>
      <c r="UKL17" s="2"/>
      <c r="UKM17" s="2"/>
      <c r="UKN17" s="2"/>
      <c r="UKO17" s="2"/>
      <c r="UKP17" s="2"/>
      <c r="UKQ17" s="2"/>
      <c r="UKR17" s="2"/>
      <c r="UKS17" s="2"/>
      <c r="UKT17" s="2"/>
      <c r="UKU17" s="2"/>
      <c r="UKV17" s="2"/>
      <c r="UKW17" s="2"/>
      <c r="UKX17" s="2"/>
      <c r="UKY17" s="2"/>
      <c r="UKZ17" s="2"/>
      <c r="ULA17" s="2"/>
      <c r="ULB17" s="2"/>
      <c r="ULC17" s="2"/>
      <c r="ULD17" s="2"/>
      <c r="ULE17" s="2"/>
      <c r="ULF17" s="2"/>
      <c r="ULG17" s="2"/>
      <c r="ULH17" s="2"/>
      <c r="ULI17" s="2"/>
      <c r="ULJ17" s="2"/>
      <c r="ULK17" s="2"/>
      <c r="ULL17" s="2"/>
      <c r="ULM17" s="2"/>
      <c r="ULN17" s="2"/>
      <c r="ULO17" s="2"/>
      <c r="ULP17" s="2"/>
      <c r="ULQ17" s="2"/>
      <c r="ULR17" s="2"/>
      <c r="ULS17" s="2"/>
      <c r="ULT17" s="2"/>
      <c r="ULU17" s="2"/>
      <c r="ULV17" s="2"/>
      <c r="ULW17" s="2"/>
      <c r="ULX17" s="2"/>
      <c r="ULY17" s="2"/>
      <c r="ULZ17" s="2"/>
      <c r="UMA17" s="2"/>
      <c r="UMB17" s="2"/>
      <c r="UMC17" s="2"/>
      <c r="UMD17" s="2"/>
      <c r="UME17" s="2"/>
      <c r="UMF17" s="2"/>
      <c r="UMG17" s="2"/>
      <c r="UMH17" s="2"/>
      <c r="UMI17" s="2"/>
      <c r="UMJ17" s="2"/>
      <c r="UMK17" s="2"/>
      <c r="UML17" s="2"/>
      <c r="UMM17" s="2"/>
      <c r="UMN17" s="2"/>
      <c r="UMO17" s="2"/>
      <c r="UMP17" s="2"/>
      <c r="UMQ17" s="2"/>
      <c r="UMR17" s="2"/>
      <c r="UMS17" s="2"/>
      <c r="UMT17" s="2"/>
      <c r="UMU17" s="2"/>
      <c r="UMV17" s="2"/>
      <c r="UMW17" s="2"/>
      <c r="UMX17" s="2"/>
      <c r="UMY17" s="2"/>
      <c r="UMZ17" s="2"/>
      <c r="UNA17" s="2"/>
      <c r="UNB17" s="2"/>
      <c r="UNC17" s="2"/>
      <c r="UND17" s="2"/>
      <c r="UNE17" s="2"/>
      <c r="UNF17" s="2"/>
      <c r="UNG17" s="2"/>
      <c r="UNH17" s="2"/>
      <c r="UNI17" s="2"/>
      <c r="UNJ17" s="2"/>
      <c r="UNK17" s="2"/>
      <c r="UNL17" s="2"/>
      <c r="UNM17" s="2"/>
      <c r="UNN17" s="2"/>
      <c r="UNO17" s="2"/>
      <c r="UNP17" s="2"/>
      <c r="UNQ17" s="2"/>
      <c r="UNR17" s="2"/>
      <c r="UNS17" s="2"/>
      <c r="UNT17" s="2"/>
      <c r="UNU17" s="2"/>
      <c r="UNV17" s="2"/>
      <c r="UNW17" s="2"/>
      <c r="UNX17" s="2"/>
      <c r="UNY17" s="2"/>
      <c r="UNZ17" s="2"/>
      <c r="UOA17" s="2"/>
      <c r="UOB17" s="2"/>
      <c r="UOC17" s="2"/>
      <c r="UOD17" s="2"/>
      <c r="UOE17" s="2"/>
      <c r="UOF17" s="2"/>
      <c r="UOG17" s="2"/>
      <c r="UOH17" s="2"/>
      <c r="UOI17" s="2"/>
      <c r="UOJ17" s="2"/>
      <c r="UOK17" s="2"/>
      <c r="UOL17" s="2"/>
      <c r="UOM17" s="2"/>
      <c r="UON17" s="2"/>
      <c r="UOO17" s="2"/>
      <c r="UOP17" s="2"/>
      <c r="UOQ17" s="2"/>
      <c r="UOR17" s="2"/>
      <c r="UOS17" s="2"/>
      <c r="UOT17" s="2"/>
      <c r="UOU17" s="2"/>
      <c r="UOV17" s="2"/>
      <c r="UOW17" s="2"/>
      <c r="UOX17" s="2"/>
      <c r="UOY17" s="2"/>
      <c r="UOZ17" s="2"/>
      <c r="UPA17" s="2"/>
      <c r="UPB17" s="2"/>
      <c r="UPC17" s="2"/>
      <c r="UPD17" s="2"/>
      <c r="UPE17" s="2"/>
      <c r="UPF17" s="2"/>
      <c r="UPG17" s="2"/>
      <c r="UPH17" s="2"/>
      <c r="UPI17" s="2"/>
      <c r="UPJ17" s="2"/>
      <c r="UPK17" s="2"/>
      <c r="UPL17" s="2"/>
      <c r="UPM17" s="2"/>
      <c r="UPN17" s="2"/>
      <c r="UPO17" s="2"/>
      <c r="UPP17" s="2"/>
      <c r="UPQ17" s="2"/>
      <c r="UPR17" s="2"/>
      <c r="UPS17" s="2"/>
      <c r="UPT17" s="2"/>
      <c r="UPU17" s="2"/>
      <c r="UPV17" s="2"/>
      <c r="UPW17" s="2"/>
      <c r="UPX17" s="2"/>
      <c r="UPY17" s="2"/>
      <c r="UPZ17" s="2"/>
      <c r="UQA17" s="2"/>
      <c r="UQB17" s="2"/>
      <c r="UQC17" s="2"/>
      <c r="UQD17" s="2"/>
      <c r="UQE17" s="2"/>
      <c r="UQF17" s="2"/>
      <c r="UQG17" s="2"/>
      <c r="UQH17" s="2"/>
      <c r="UQI17" s="2"/>
      <c r="UQJ17" s="2"/>
      <c r="UQK17" s="2"/>
      <c r="UQL17" s="2"/>
      <c r="UQM17" s="2"/>
      <c r="UQN17" s="2"/>
      <c r="UQO17" s="2"/>
      <c r="UQP17" s="2"/>
      <c r="UQQ17" s="2"/>
      <c r="UQR17" s="2"/>
      <c r="UQS17" s="2"/>
      <c r="UQT17" s="2"/>
      <c r="UQU17" s="2"/>
      <c r="UQV17" s="2"/>
      <c r="UQW17" s="2"/>
      <c r="UQX17" s="2"/>
      <c r="UQY17" s="2"/>
      <c r="UQZ17" s="2"/>
      <c r="URA17" s="2"/>
      <c r="URB17" s="2"/>
      <c r="URC17" s="2"/>
      <c r="URD17" s="2"/>
      <c r="URE17" s="2"/>
      <c r="URF17" s="2"/>
      <c r="URG17" s="2"/>
      <c r="URH17" s="2"/>
      <c r="URI17" s="2"/>
      <c r="URJ17" s="2"/>
      <c r="URK17" s="2"/>
      <c r="URL17" s="2"/>
      <c r="URM17" s="2"/>
      <c r="URN17" s="2"/>
      <c r="URO17" s="2"/>
      <c r="URP17" s="2"/>
      <c r="URQ17" s="2"/>
      <c r="URR17" s="2"/>
      <c r="URS17" s="2"/>
      <c r="URT17" s="2"/>
      <c r="URU17" s="2"/>
      <c r="URV17" s="2"/>
      <c r="URW17" s="2"/>
      <c r="URX17" s="2"/>
      <c r="URY17" s="2"/>
      <c r="URZ17" s="2"/>
      <c r="USA17" s="2"/>
      <c r="USB17" s="2"/>
      <c r="USC17" s="2"/>
      <c r="USD17" s="2"/>
      <c r="USE17" s="2"/>
      <c r="USF17" s="2"/>
      <c r="USG17" s="2"/>
      <c r="USH17" s="2"/>
      <c r="USI17" s="2"/>
      <c r="USJ17" s="2"/>
      <c r="USK17" s="2"/>
      <c r="USL17" s="2"/>
      <c r="USM17" s="2"/>
      <c r="USN17" s="2"/>
      <c r="USO17" s="2"/>
      <c r="USP17" s="2"/>
      <c r="USQ17" s="2"/>
      <c r="USR17" s="2"/>
      <c r="USS17" s="2"/>
      <c r="UST17" s="2"/>
      <c r="USU17" s="2"/>
      <c r="USV17" s="2"/>
      <c r="USW17" s="2"/>
      <c r="USX17" s="2"/>
      <c r="USY17" s="2"/>
      <c r="USZ17" s="2"/>
      <c r="UTA17" s="2"/>
      <c r="UTB17" s="2"/>
      <c r="UTC17" s="2"/>
      <c r="UTD17" s="2"/>
      <c r="UTE17" s="2"/>
      <c r="UTF17" s="2"/>
      <c r="UTG17" s="2"/>
      <c r="UTH17" s="2"/>
      <c r="UTI17" s="2"/>
      <c r="UTJ17" s="2"/>
      <c r="UTK17" s="2"/>
      <c r="UTL17" s="2"/>
      <c r="UTM17" s="2"/>
      <c r="UTN17" s="2"/>
      <c r="UTO17" s="2"/>
      <c r="UTP17" s="2"/>
      <c r="UTQ17" s="2"/>
      <c r="UTR17" s="2"/>
      <c r="UTS17" s="2"/>
      <c r="UTT17" s="2"/>
      <c r="UTU17" s="2"/>
      <c r="UTV17" s="2"/>
      <c r="UTW17" s="2"/>
      <c r="UTX17" s="2"/>
      <c r="UTY17" s="2"/>
      <c r="UTZ17" s="2"/>
      <c r="UUA17" s="2"/>
      <c r="UUB17" s="2"/>
      <c r="UUC17" s="2"/>
      <c r="UUD17" s="2"/>
      <c r="UUE17" s="2"/>
      <c r="UUF17" s="2"/>
      <c r="UUG17" s="2"/>
      <c r="UUH17" s="2"/>
      <c r="UUI17" s="2"/>
      <c r="UUJ17" s="2"/>
      <c r="UUK17" s="2"/>
      <c r="UUL17" s="2"/>
      <c r="UUM17" s="2"/>
      <c r="UUN17" s="2"/>
      <c r="UUO17" s="2"/>
      <c r="UUP17" s="2"/>
      <c r="UUQ17" s="2"/>
      <c r="UUR17" s="2"/>
      <c r="UUS17" s="2"/>
      <c r="UUT17" s="2"/>
      <c r="UUU17" s="2"/>
      <c r="UUV17" s="2"/>
      <c r="UUW17" s="2"/>
      <c r="UUX17" s="2"/>
      <c r="UUY17" s="2"/>
      <c r="UUZ17" s="2"/>
      <c r="UVA17" s="2"/>
      <c r="UVB17" s="2"/>
      <c r="UVC17" s="2"/>
      <c r="UVD17" s="2"/>
      <c r="UVE17" s="2"/>
      <c r="UVF17" s="2"/>
      <c r="UVG17" s="2"/>
      <c r="UVH17" s="2"/>
      <c r="UVI17" s="2"/>
      <c r="UVJ17" s="2"/>
      <c r="UVK17" s="2"/>
      <c r="UVL17" s="2"/>
      <c r="UVM17" s="2"/>
      <c r="UVN17" s="2"/>
      <c r="UVO17" s="2"/>
      <c r="UVP17" s="2"/>
      <c r="UVQ17" s="2"/>
      <c r="UVR17" s="2"/>
      <c r="UVS17" s="2"/>
      <c r="UVT17" s="2"/>
      <c r="UVU17" s="2"/>
      <c r="UVV17" s="2"/>
      <c r="UVW17" s="2"/>
      <c r="UVX17" s="2"/>
      <c r="UVY17" s="2"/>
      <c r="UVZ17" s="2"/>
      <c r="UWA17" s="2"/>
      <c r="UWB17" s="2"/>
      <c r="UWC17" s="2"/>
      <c r="UWD17" s="2"/>
      <c r="UWE17" s="2"/>
      <c r="UWF17" s="2"/>
      <c r="UWG17" s="2"/>
      <c r="UWH17" s="2"/>
      <c r="UWI17" s="2"/>
      <c r="UWJ17" s="2"/>
      <c r="UWK17" s="2"/>
      <c r="UWL17" s="2"/>
      <c r="UWM17" s="2"/>
      <c r="UWN17" s="2"/>
      <c r="UWO17" s="2"/>
      <c r="UWP17" s="2"/>
      <c r="UWQ17" s="2"/>
      <c r="UWR17" s="2"/>
      <c r="UWS17" s="2"/>
      <c r="UWT17" s="2"/>
      <c r="UWU17" s="2"/>
      <c r="UWV17" s="2"/>
      <c r="UWW17" s="2"/>
      <c r="UWX17" s="2"/>
      <c r="UWY17" s="2"/>
      <c r="UWZ17" s="2"/>
      <c r="UXA17" s="2"/>
      <c r="UXB17" s="2"/>
      <c r="UXC17" s="2"/>
      <c r="UXD17" s="2"/>
      <c r="UXE17" s="2"/>
      <c r="UXF17" s="2"/>
      <c r="UXG17" s="2"/>
      <c r="UXH17" s="2"/>
      <c r="UXI17" s="2"/>
      <c r="UXJ17" s="2"/>
      <c r="UXK17" s="2"/>
      <c r="UXL17" s="2"/>
      <c r="UXM17" s="2"/>
      <c r="UXN17" s="2"/>
      <c r="UXO17" s="2"/>
      <c r="UXP17" s="2"/>
      <c r="UXQ17" s="2"/>
      <c r="UXR17" s="2"/>
      <c r="UXS17" s="2"/>
      <c r="UXT17" s="2"/>
      <c r="UXU17" s="2"/>
      <c r="UXV17" s="2"/>
      <c r="UXW17" s="2"/>
      <c r="UXX17" s="2"/>
      <c r="UXY17" s="2"/>
      <c r="UXZ17" s="2"/>
      <c r="UYA17" s="2"/>
      <c r="UYB17" s="2"/>
      <c r="UYC17" s="2"/>
      <c r="UYD17" s="2"/>
      <c r="UYE17" s="2"/>
      <c r="UYF17" s="2"/>
      <c r="UYG17" s="2"/>
      <c r="UYH17" s="2"/>
      <c r="UYI17" s="2"/>
      <c r="UYJ17" s="2"/>
      <c r="UYK17" s="2"/>
      <c r="UYL17" s="2"/>
      <c r="UYM17" s="2"/>
      <c r="UYN17" s="2"/>
      <c r="UYO17" s="2"/>
      <c r="UYP17" s="2"/>
      <c r="UYQ17" s="2"/>
      <c r="UYR17" s="2"/>
      <c r="UYS17" s="2"/>
      <c r="UYT17" s="2"/>
      <c r="UYU17" s="2"/>
      <c r="UYV17" s="2"/>
      <c r="UYW17" s="2"/>
      <c r="UYX17" s="2"/>
      <c r="UYY17" s="2"/>
      <c r="UYZ17" s="2"/>
      <c r="UZA17" s="2"/>
      <c r="UZB17" s="2"/>
      <c r="UZC17" s="2"/>
      <c r="UZD17" s="2"/>
      <c r="UZE17" s="2"/>
      <c r="UZF17" s="2"/>
      <c r="UZG17" s="2"/>
      <c r="UZH17" s="2"/>
      <c r="UZI17" s="2"/>
      <c r="UZJ17" s="2"/>
      <c r="UZK17" s="2"/>
      <c r="UZL17" s="2"/>
      <c r="UZM17" s="2"/>
      <c r="UZN17" s="2"/>
      <c r="UZO17" s="2"/>
      <c r="UZP17" s="2"/>
      <c r="UZQ17" s="2"/>
      <c r="UZR17" s="2"/>
      <c r="UZS17" s="2"/>
      <c r="UZT17" s="2"/>
      <c r="UZU17" s="2"/>
      <c r="UZV17" s="2"/>
      <c r="UZW17" s="2"/>
      <c r="UZX17" s="2"/>
      <c r="UZY17" s="2"/>
      <c r="UZZ17" s="2"/>
      <c r="VAA17" s="2"/>
      <c r="VAB17" s="2"/>
      <c r="VAC17" s="2"/>
      <c r="VAD17" s="2"/>
      <c r="VAE17" s="2"/>
      <c r="VAF17" s="2"/>
      <c r="VAG17" s="2"/>
      <c r="VAH17" s="2"/>
      <c r="VAI17" s="2"/>
      <c r="VAJ17" s="2"/>
      <c r="VAK17" s="2"/>
      <c r="VAL17" s="2"/>
      <c r="VAM17" s="2"/>
      <c r="VAN17" s="2"/>
      <c r="VAO17" s="2"/>
      <c r="VAP17" s="2"/>
      <c r="VAQ17" s="2"/>
      <c r="VAR17" s="2"/>
      <c r="VAS17" s="2"/>
      <c r="VAT17" s="2"/>
      <c r="VAU17" s="2"/>
      <c r="VAV17" s="2"/>
      <c r="VAW17" s="2"/>
      <c r="VAX17" s="2"/>
      <c r="VAY17" s="2"/>
      <c r="VAZ17" s="2"/>
      <c r="VBA17" s="2"/>
      <c r="VBB17" s="2"/>
      <c r="VBC17" s="2"/>
      <c r="VBD17" s="2"/>
      <c r="VBE17" s="2"/>
      <c r="VBF17" s="2"/>
      <c r="VBG17" s="2"/>
      <c r="VBH17" s="2"/>
      <c r="VBI17" s="2"/>
      <c r="VBJ17" s="2"/>
      <c r="VBK17" s="2"/>
      <c r="VBL17" s="2"/>
      <c r="VBM17" s="2"/>
      <c r="VBN17" s="2"/>
      <c r="VBO17" s="2"/>
      <c r="VBP17" s="2"/>
      <c r="VBQ17" s="2"/>
      <c r="VBR17" s="2"/>
      <c r="VBS17" s="2"/>
      <c r="VBT17" s="2"/>
      <c r="VBU17" s="2"/>
      <c r="VBV17" s="2"/>
      <c r="VBW17" s="2"/>
      <c r="VBX17" s="2"/>
      <c r="VBY17" s="2"/>
      <c r="VBZ17" s="2"/>
      <c r="VCA17" s="2"/>
      <c r="VCB17" s="2"/>
      <c r="VCC17" s="2"/>
      <c r="VCD17" s="2"/>
      <c r="VCE17" s="2"/>
      <c r="VCF17" s="2"/>
      <c r="VCG17" s="2"/>
      <c r="VCH17" s="2"/>
      <c r="VCI17" s="2"/>
      <c r="VCJ17" s="2"/>
      <c r="VCK17" s="2"/>
      <c r="VCL17" s="2"/>
      <c r="VCM17" s="2"/>
      <c r="VCN17" s="2"/>
      <c r="VCO17" s="2"/>
      <c r="VCP17" s="2"/>
      <c r="VCQ17" s="2"/>
      <c r="VCR17" s="2"/>
      <c r="VCS17" s="2"/>
      <c r="VCT17" s="2"/>
      <c r="VCU17" s="2"/>
      <c r="VCV17" s="2"/>
      <c r="VCW17" s="2"/>
      <c r="VCX17" s="2"/>
      <c r="VCY17" s="2"/>
      <c r="VCZ17" s="2"/>
      <c r="VDA17" s="2"/>
      <c r="VDB17" s="2"/>
      <c r="VDC17" s="2"/>
      <c r="VDD17" s="2"/>
      <c r="VDE17" s="2"/>
      <c r="VDF17" s="2"/>
      <c r="VDG17" s="2"/>
      <c r="VDH17" s="2"/>
      <c r="VDI17" s="2"/>
      <c r="VDJ17" s="2"/>
      <c r="VDK17" s="2"/>
      <c r="VDL17" s="2"/>
      <c r="VDM17" s="2"/>
      <c r="VDN17" s="2"/>
      <c r="VDO17" s="2"/>
      <c r="VDP17" s="2"/>
      <c r="VDQ17" s="2"/>
      <c r="VDR17" s="2"/>
      <c r="VDS17" s="2"/>
      <c r="VDT17" s="2"/>
      <c r="VDU17" s="2"/>
      <c r="VDV17" s="2"/>
      <c r="VDW17" s="2"/>
      <c r="VDX17" s="2"/>
      <c r="VDY17" s="2"/>
      <c r="VDZ17" s="2"/>
      <c r="VEA17" s="2"/>
      <c r="VEB17" s="2"/>
      <c r="VEC17" s="2"/>
      <c r="VED17" s="2"/>
      <c r="VEE17" s="2"/>
      <c r="VEF17" s="2"/>
      <c r="VEG17" s="2"/>
      <c r="VEH17" s="2"/>
      <c r="VEI17" s="2"/>
      <c r="VEJ17" s="2"/>
      <c r="VEK17" s="2"/>
      <c r="VEL17" s="2"/>
      <c r="VEM17" s="2"/>
      <c r="VEN17" s="2"/>
      <c r="VEO17" s="2"/>
      <c r="VEP17" s="2"/>
      <c r="VEQ17" s="2"/>
      <c r="VER17" s="2"/>
      <c r="VES17" s="2"/>
      <c r="VET17" s="2"/>
      <c r="VEU17" s="2"/>
      <c r="VEV17" s="2"/>
      <c r="VEW17" s="2"/>
      <c r="VEX17" s="2"/>
      <c r="VEY17" s="2"/>
      <c r="VEZ17" s="2"/>
      <c r="VFA17" s="2"/>
      <c r="VFB17" s="2"/>
      <c r="VFC17" s="2"/>
      <c r="VFD17" s="2"/>
      <c r="VFE17" s="2"/>
      <c r="VFF17" s="2"/>
      <c r="VFG17" s="2"/>
      <c r="VFH17" s="2"/>
      <c r="VFI17" s="2"/>
      <c r="VFJ17" s="2"/>
      <c r="VFK17" s="2"/>
      <c r="VFL17" s="2"/>
      <c r="VFM17" s="2"/>
      <c r="VFN17" s="2"/>
      <c r="VFO17" s="2"/>
      <c r="VFP17" s="2"/>
      <c r="VFQ17" s="2"/>
      <c r="VFR17" s="2"/>
      <c r="VFS17" s="2"/>
      <c r="VFT17" s="2"/>
      <c r="VFU17" s="2"/>
      <c r="VFV17" s="2"/>
      <c r="VFW17" s="2"/>
      <c r="VFX17" s="2"/>
      <c r="VFY17" s="2"/>
      <c r="VFZ17" s="2"/>
      <c r="VGA17" s="2"/>
      <c r="VGB17" s="2"/>
      <c r="VGC17" s="2"/>
      <c r="VGD17" s="2"/>
      <c r="VGE17" s="2"/>
      <c r="VGF17" s="2"/>
      <c r="VGG17" s="2"/>
      <c r="VGH17" s="2"/>
      <c r="VGI17" s="2"/>
      <c r="VGJ17" s="2"/>
      <c r="VGK17" s="2"/>
      <c r="VGL17" s="2"/>
      <c r="VGM17" s="2"/>
      <c r="VGN17" s="2"/>
      <c r="VGO17" s="2"/>
      <c r="VGP17" s="2"/>
      <c r="VGQ17" s="2"/>
      <c r="VGR17" s="2"/>
      <c r="VGS17" s="2"/>
      <c r="VGT17" s="2"/>
      <c r="VGU17" s="2"/>
      <c r="VGV17" s="2"/>
      <c r="VGW17" s="2"/>
      <c r="VGX17" s="2"/>
      <c r="VGY17" s="2"/>
      <c r="VGZ17" s="2"/>
      <c r="VHA17" s="2"/>
      <c r="VHB17" s="2"/>
      <c r="VHC17" s="2"/>
      <c r="VHD17" s="2"/>
      <c r="VHE17" s="2"/>
      <c r="VHF17" s="2"/>
      <c r="VHG17" s="2"/>
      <c r="VHH17" s="2"/>
      <c r="VHI17" s="2"/>
      <c r="VHJ17" s="2"/>
      <c r="VHK17" s="2"/>
      <c r="VHL17" s="2"/>
      <c r="VHM17" s="2"/>
      <c r="VHN17" s="2"/>
      <c r="VHO17" s="2"/>
      <c r="VHP17" s="2"/>
      <c r="VHQ17" s="2"/>
      <c r="VHR17" s="2"/>
      <c r="VHS17" s="2"/>
      <c r="VHT17" s="2"/>
      <c r="VHU17" s="2"/>
      <c r="VHV17" s="2"/>
      <c r="VHW17" s="2"/>
      <c r="VHX17" s="2"/>
      <c r="VHY17" s="2"/>
      <c r="VHZ17" s="2"/>
      <c r="VIA17" s="2"/>
      <c r="VIB17" s="2"/>
      <c r="VIC17" s="2"/>
      <c r="VID17" s="2"/>
      <c r="VIE17" s="2"/>
      <c r="VIF17" s="2"/>
      <c r="VIG17" s="2"/>
      <c r="VIH17" s="2"/>
      <c r="VII17" s="2"/>
      <c r="VIJ17" s="2"/>
      <c r="VIK17" s="2"/>
      <c r="VIL17" s="2"/>
      <c r="VIM17" s="2"/>
      <c r="VIN17" s="2"/>
      <c r="VIO17" s="2"/>
      <c r="VIP17" s="2"/>
      <c r="VIQ17" s="2"/>
      <c r="VIR17" s="2"/>
      <c r="VIS17" s="2"/>
      <c r="VIT17" s="2"/>
      <c r="VIU17" s="2"/>
      <c r="VIV17" s="2"/>
      <c r="VIW17" s="2"/>
      <c r="VIX17" s="2"/>
      <c r="VIY17" s="2"/>
      <c r="VIZ17" s="2"/>
      <c r="VJA17" s="2"/>
      <c r="VJB17" s="2"/>
      <c r="VJC17" s="2"/>
      <c r="VJD17" s="2"/>
      <c r="VJE17" s="2"/>
      <c r="VJF17" s="2"/>
      <c r="VJG17" s="2"/>
      <c r="VJH17" s="2"/>
      <c r="VJI17" s="2"/>
      <c r="VJJ17" s="2"/>
      <c r="VJK17" s="2"/>
      <c r="VJL17" s="2"/>
      <c r="VJM17" s="2"/>
      <c r="VJN17" s="2"/>
      <c r="VJO17" s="2"/>
      <c r="VJP17" s="2"/>
      <c r="VJQ17" s="2"/>
      <c r="VJR17" s="2"/>
      <c r="VJS17" s="2"/>
      <c r="VJT17" s="2"/>
      <c r="VJU17" s="2"/>
      <c r="VJV17" s="2"/>
      <c r="VJW17" s="2"/>
      <c r="VJX17" s="2"/>
      <c r="VJY17" s="2"/>
      <c r="VJZ17" s="2"/>
      <c r="VKA17" s="2"/>
      <c r="VKB17" s="2"/>
      <c r="VKC17" s="2"/>
      <c r="VKD17" s="2"/>
      <c r="VKE17" s="2"/>
      <c r="VKF17" s="2"/>
      <c r="VKG17" s="2"/>
      <c r="VKH17" s="2"/>
      <c r="VKI17" s="2"/>
      <c r="VKJ17" s="2"/>
      <c r="VKK17" s="2"/>
      <c r="VKL17" s="2"/>
      <c r="VKM17" s="2"/>
      <c r="VKN17" s="2"/>
      <c r="VKO17" s="2"/>
      <c r="VKP17" s="2"/>
      <c r="VKQ17" s="2"/>
      <c r="VKR17" s="2"/>
      <c r="VKS17" s="2"/>
      <c r="VKT17" s="2"/>
      <c r="VKU17" s="2"/>
      <c r="VKV17" s="2"/>
      <c r="VKW17" s="2"/>
      <c r="VKX17" s="2"/>
      <c r="VKY17" s="2"/>
      <c r="VKZ17" s="2"/>
      <c r="VLA17" s="2"/>
      <c r="VLB17" s="2"/>
      <c r="VLC17" s="2"/>
      <c r="VLD17" s="2"/>
      <c r="VLE17" s="2"/>
      <c r="VLF17" s="2"/>
      <c r="VLG17" s="2"/>
      <c r="VLH17" s="2"/>
      <c r="VLI17" s="2"/>
      <c r="VLJ17" s="2"/>
      <c r="VLK17" s="2"/>
      <c r="VLL17" s="2"/>
      <c r="VLM17" s="2"/>
      <c r="VLN17" s="2"/>
      <c r="VLO17" s="2"/>
      <c r="VLP17" s="2"/>
      <c r="VLQ17" s="2"/>
      <c r="VLR17" s="2"/>
      <c r="VLS17" s="2"/>
      <c r="VLT17" s="2"/>
      <c r="VLU17" s="2"/>
      <c r="VLV17" s="2"/>
      <c r="VLW17" s="2"/>
      <c r="VLX17" s="2"/>
      <c r="VLY17" s="2"/>
      <c r="VLZ17" s="2"/>
      <c r="VMA17" s="2"/>
      <c r="VMB17" s="2"/>
      <c r="VMC17" s="2"/>
      <c r="VMD17" s="2"/>
      <c r="VME17" s="2"/>
      <c r="VMF17" s="2"/>
      <c r="VMG17" s="2"/>
      <c r="VMH17" s="2"/>
      <c r="VMI17" s="2"/>
      <c r="VMJ17" s="2"/>
      <c r="VMK17" s="2"/>
      <c r="VML17" s="2"/>
      <c r="VMM17" s="2"/>
      <c r="VMN17" s="2"/>
      <c r="VMO17" s="2"/>
      <c r="VMP17" s="2"/>
      <c r="VMQ17" s="2"/>
      <c r="VMR17" s="2"/>
      <c r="VMS17" s="2"/>
      <c r="VMT17" s="2"/>
      <c r="VMU17" s="2"/>
      <c r="VMV17" s="2"/>
      <c r="VMW17" s="2"/>
      <c r="VMX17" s="2"/>
      <c r="VMY17" s="2"/>
      <c r="VMZ17" s="2"/>
      <c r="VNA17" s="2"/>
      <c r="VNB17" s="2"/>
      <c r="VNC17" s="2"/>
      <c r="VND17" s="2"/>
      <c r="VNE17" s="2"/>
      <c r="VNF17" s="2"/>
      <c r="VNG17" s="2"/>
      <c r="VNH17" s="2"/>
      <c r="VNI17" s="2"/>
      <c r="VNJ17" s="2"/>
      <c r="VNK17" s="2"/>
      <c r="VNL17" s="2"/>
      <c r="VNM17" s="2"/>
      <c r="VNN17" s="2"/>
      <c r="VNO17" s="2"/>
      <c r="VNP17" s="2"/>
      <c r="VNQ17" s="2"/>
      <c r="VNR17" s="2"/>
      <c r="VNS17" s="2"/>
      <c r="VNT17" s="2"/>
      <c r="VNU17" s="2"/>
      <c r="VNV17" s="2"/>
      <c r="VNW17" s="2"/>
      <c r="VNX17" s="2"/>
      <c r="VNY17" s="2"/>
      <c r="VNZ17" s="2"/>
      <c r="VOA17" s="2"/>
      <c r="VOB17" s="2"/>
      <c r="VOC17" s="2"/>
      <c r="VOD17" s="2"/>
      <c r="VOE17" s="2"/>
      <c r="VOF17" s="2"/>
      <c r="VOG17" s="2"/>
      <c r="VOH17" s="2"/>
      <c r="VOI17" s="2"/>
      <c r="VOJ17" s="2"/>
      <c r="VOK17" s="2"/>
      <c r="VOL17" s="2"/>
      <c r="VOM17" s="2"/>
      <c r="VON17" s="2"/>
      <c r="VOO17" s="2"/>
      <c r="VOP17" s="2"/>
      <c r="VOQ17" s="2"/>
      <c r="VOR17" s="2"/>
      <c r="VOS17" s="2"/>
      <c r="VOT17" s="2"/>
      <c r="VOU17" s="2"/>
      <c r="VOV17" s="2"/>
      <c r="VOW17" s="2"/>
      <c r="VOX17" s="2"/>
      <c r="VOY17" s="2"/>
      <c r="VOZ17" s="2"/>
      <c r="VPA17" s="2"/>
      <c r="VPB17" s="2"/>
      <c r="VPC17" s="2"/>
      <c r="VPD17" s="2"/>
      <c r="VPE17" s="2"/>
      <c r="VPF17" s="2"/>
      <c r="VPG17" s="2"/>
      <c r="VPH17" s="2"/>
      <c r="VPI17" s="2"/>
      <c r="VPJ17" s="2"/>
      <c r="VPK17" s="2"/>
      <c r="VPL17" s="2"/>
      <c r="VPM17" s="2"/>
      <c r="VPN17" s="2"/>
      <c r="VPO17" s="2"/>
      <c r="VPP17" s="2"/>
      <c r="VPQ17" s="2"/>
      <c r="VPR17" s="2"/>
      <c r="VPS17" s="2"/>
      <c r="VPT17" s="2"/>
      <c r="VPU17" s="2"/>
      <c r="VPV17" s="2"/>
      <c r="VPW17" s="2"/>
      <c r="VPX17" s="2"/>
      <c r="VPY17" s="2"/>
      <c r="VPZ17" s="2"/>
      <c r="VQA17" s="2"/>
      <c r="VQB17" s="2"/>
      <c r="VQC17" s="2"/>
      <c r="VQD17" s="2"/>
      <c r="VQE17" s="2"/>
      <c r="VQF17" s="2"/>
      <c r="VQG17" s="2"/>
      <c r="VQH17" s="2"/>
      <c r="VQI17" s="2"/>
      <c r="VQJ17" s="2"/>
      <c r="VQK17" s="2"/>
      <c r="VQL17" s="2"/>
      <c r="VQM17" s="2"/>
      <c r="VQN17" s="2"/>
      <c r="VQO17" s="2"/>
      <c r="VQP17" s="2"/>
      <c r="VQQ17" s="2"/>
      <c r="VQR17" s="2"/>
      <c r="VQS17" s="2"/>
      <c r="VQT17" s="2"/>
      <c r="VQU17" s="2"/>
      <c r="VQV17" s="2"/>
      <c r="VQW17" s="2"/>
      <c r="VQX17" s="2"/>
      <c r="VQY17" s="2"/>
      <c r="VQZ17" s="2"/>
      <c r="VRA17" s="2"/>
      <c r="VRB17" s="2"/>
      <c r="VRC17" s="2"/>
      <c r="VRD17" s="2"/>
      <c r="VRE17" s="2"/>
      <c r="VRF17" s="2"/>
      <c r="VRG17" s="2"/>
      <c r="VRH17" s="2"/>
      <c r="VRI17" s="2"/>
      <c r="VRJ17" s="2"/>
      <c r="VRK17" s="2"/>
      <c r="VRL17" s="2"/>
      <c r="VRM17" s="2"/>
      <c r="VRN17" s="2"/>
      <c r="VRO17" s="2"/>
      <c r="VRP17" s="2"/>
      <c r="VRQ17" s="2"/>
      <c r="VRR17" s="2"/>
      <c r="VRS17" s="2"/>
      <c r="VRT17" s="2"/>
      <c r="VRU17" s="2"/>
      <c r="VRV17" s="2"/>
      <c r="VRW17" s="2"/>
      <c r="VRX17" s="2"/>
      <c r="VRY17" s="2"/>
      <c r="VRZ17" s="2"/>
      <c r="VSA17" s="2"/>
      <c r="VSB17" s="2"/>
      <c r="VSC17" s="2"/>
      <c r="VSD17" s="2"/>
      <c r="VSE17" s="2"/>
      <c r="VSF17" s="2"/>
      <c r="VSG17" s="2"/>
      <c r="VSH17" s="2"/>
      <c r="VSI17" s="2"/>
      <c r="VSJ17" s="2"/>
      <c r="VSK17" s="2"/>
      <c r="VSL17" s="2"/>
      <c r="VSM17" s="2"/>
      <c r="VSN17" s="2"/>
      <c r="VSO17" s="2"/>
      <c r="VSP17" s="2"/>
      <c r="VSQ17" s="2"/>
      <c r="VSR17" s="2"/>
      <c r="VSS17" s="2"/>
      <c r="VST17" s="2"/>
      <c r="VSU17" s="2"/>
      <c r="VSV17" s="2"/>
      <c r="VSW17" s="2"/>
      <c r="VSX17" s="2"/>
      <c r="VSY17" s="2"/>
      <c r="VSZ17" s="2"/>
      <c r="VTA17" s="2"/>
      <c r="VTB17" s="2"/>
      <c r="VTC17" s="2"/>
      <c r="VTD17" s="2"/>
      <c r="VTE17" s="2"/>
      <c r="VTF17" s="2"/>
      <c r="VTG17" s="2"/>
      <c r="VTH17" s="2"/>
      <c r="VTI17" s="2"/>
      <c r="VTJ17" s="2"/>
      <c r="VTK17" s="2"/>
      <c r="VTL17" s="2"/>
      <c r="VTM17" s="2"/>
      <c r="VTN17" s="2"/>
      <c r="VTO17" s="2"/>
      <c r="VTP17" s="2"/>
      <c r="VTQ17" s="2"/>
      <c r="VTR17" s="2"/>
      <c r="VTS17" s="2"/>
      <c r="VTT17" s="2"/>
      <c r="VTU17" s="2"/>
      <c r="VTV17" s="2"/>
      <c r="VTW17" s="2"/>
      <c r="VTX17" s="2"/>
      <c r="VTY17" s="2"/>
      <c r="VTZ17" s="2"/>
      <c r="VUA17" s="2"/>
      <c r="VUB17" s="2"/>
      <c r="VUC17" s="2"/>
      <c r="VUD17" s="2"/>
      <c r="VUE17" s="2"/>
      <c r="VUF17" s="2"/>
      <c r="VUG17" s="2"/>
      <c r="VUH17" s="2"/>
      <c r="VUI17" s="2"/>
      <c r="VUJ17" s="2"/>
      <c r="VUK17" s="2"/>
      <c r="VUL17" s="2"/>
      <c r="VUM17" s="2"/>
      <c r="VUN17" s="2"/>
      <c r="VUO17" s="2"/>
      <c r="VUP17" s="2"/>
      <c r="VUQ17" s="2"/>
      <c r="VUR17" s="2"/>
      <c r="VUS17" s="2"/>
      <c r="VUT17" s="2"/>
      <c r="VUU17" s="2"/>
      <c r="VUV17" s="2"/>
      <c r="VUW17" s="2"/>
      <c r="VUX17" s="2"/>
      <c r="VUY17" s="2"/>
      <c r="VUZ17" s="2"/>
      <c r="VVA17" s="2"/>
      <c r="VVB17" s="2"/>
      <c r="VVC17" s="2"/>
      <c r="VVD17" s="2"/>
      <c r="VVE17" s="2"/>
      <c r="VVF17" s="2"/>
      <c r="VVG17" s="2"/>
      <c r="VVH17" s="2"/>
      <c r="VVI17" s="2"/>
      <c r="VVJ17" s="2"/>
      <c r="VVK17" s="2"/>
      <c r="VVL17" s="2"/>
      <c r="VVM17" s="2"/>
      <c r="VVN17" s="2"/>
      <c r="VVO17" s="2"/>
      <c r="VVP17" s="2"/>
      <c r="VVQ17" s="2"/>
      <c r="VVR17" s="2"/>
      <c r="VVS17" s="2"/>
      <c r="VVT17" s="2"/>
      <c r="VVU17" s="2"/>
      <c r="VVV17" s="2"/>
      <c r="VVW17" s="2"/>
      <c r="VVX17" s="2"/>
      <c r="VVY17" s="2"/>
      <c r="VVZ17" s="2"/>
      <c r="VWA17" s="2"/>
      <c r="VWB17" s="2"/>
      <c r="VWC17" s="2"/>
      <c r="VWD17" s="2"/>
      <c r="VWE17" s="2"/>
      <c r="VWF17" s="2"/>
      <c r="VWG17" s="2"/>
      <c r="VWH17" s="2"/>
      <c r="VWI17" s="2"/>
      <c r="VWJ17" s="2"/>
      <c r="VWK17" s="2"/>
      <c r="VWL17" s="2"/>
      <c r="VWM17" s="2"/>
      <c r="VWN17" s="2"/>
      <c r="VWO17" s="2"/>
      <c r="VWP17" s="2"/>
      <c r="VWQ17" s="2"/>
      <c r="VWR17" s="2"/>
      <c r="VWS17" s="2"/>
      <c r="VWT17" s="2"/>
      <c r="VWU17" s="2"/>
      <c r="VWV17" s="2"/>
      <c r="VWW17" s="2"/>
      <c r="VWX17" s="2"/>
      <c r="VWY17" s="2"/>
      <c r="VWZ17" s="2"/>
      <c r="VXA17" s="2"/>
      <c r="VXB17" s="2"/>
      <c r="VXC17" s="2"/>
      <c r="VXD17" s="2"/>
      <c r="VXE17" s="2"/>
      <c r="VXF17" s="2"/>
      <c r="VXG17" s="2"/>
      <c r="VXH17" s="2"/>
      <c r="VXI17" s="2"/>
      <c r="VXJ17" s="2"/>
      <c r="VXK17" s="2"/>
      <c r="VXL17" s="2"/>
      <c r="VXM17" s="2"/>
      <c r="VXN17" s="2"/>
      <c r="VXO17" s="2"/>
      <c r="VXP17" s="2"/>
      <c r="VXQ17" s="2"/>
      <c r="VXR17" s="2"/>
      <c r="VXS17" s="2"/>
      <c r="VXT17" s="2"/>
      <c r="VXU17" s="2"/>
      <c r="VXV17" s="2"/>
      <c r="VXW17" s="2"/>
      <c r="VXX17" s="2"/>
      <c r="VXY17" s="2"/>
      <c r="VXZ17" s="2"/>
      <c r="VYA17" s="2"/>
      <c r="VYB17" s="2"/>
      <c r="VYC17" s="2"/>
      <c r="VYD17" s="2"/>
      <c r="VYE17" s="2"/>
      <c r="VYF17" s="2"/>
      <c r="VYG17" s="2"/>
      <c r="VYH17" s="2"/>
      <c r="VYI17" s="2"/>
      <c r="VYJ17" s="2"/>
      <c r="VYK17" s="2"/>
      <c r="VYL17" s="2"/>
      <c r="VYM17" s="2"/>
      <c r="VYN17" s="2"/>
      <c r="VYO17" s="2"/>
      <c r="VYP17" s="2"/>
      <c r="VYQ17" s="2"/>
      <c r="VYR17" s="2"/>
      <c r="VYS17" s="2"/>
      <c r="VYT17" s="2"/>
      <c r="VYU17" s="2"/>
      <c r="VYV17" s="2"/>
      <c r="VYW17" s="2"/>
      <c r="VYX17" s="2"/>
      <c r="VYY17" s="2"/>
      <c r="VYZ17" s="2"/>
      <c r="VZA17" s="2"/>
      <c r="VZB17" s="2"/>
      <c r="VZC17" s="2"/>
      <c r="VZD17" s="2"/>
      <c r="VZE17" s="2"/>
      <c r="VZF17" s="2"/>
      <c r="VZG17" s="2"/>
      <c r="VZH17" s="2"/>
      <c r="VZI17" s="2"/>
      <c r="VZJ17" s="2"/>
      <c r="VZK17" s="2"/>
      <c r="VZL17" s="2"/>
      <c r="VZM17" s="2"/>
      <c r="VZN17" s="2"/>
      <c r="VZO17" s="2"/>
      <c r="VZP17" s="2"/>
      <c r="VZQ17" s="2"/>
      <c r="VZR17" s="2"/>
      <c r="VZS17" s="2"/>
      <c r="VZT17" s="2"/>
      <c r="VZU17" s="2"/>
      <c r="VZV17" s="2"/>
      <c r="VZW17" s="2"/>
      <c r="VZX17" s="2"/>
      <c r="VZY17" s="2"/>
      <c r="VZZ17" s="2"/>
      <c r="WAA17" s="2"/>
      <c r="WAB17" s="2"/>
      <c r="WAC17" s="2"/>
      <c r="WAD17" s="2"/>
      <c r="WAE17" s="2"/>
      <c r="WAF17" s="2"/>
      <c r="WAG17" s="2"/>
      <c r="WAH17" s="2"/>
      <c r="WAI17" s="2"/>
      <c r="WAJ17" s="2"/>
      <c r="WAK17" s="2"/>
      <c r="WAL17" s="2"/>
      <c r="WAM17" s="2"/>
      <c r="WAN17" s="2"/>
      <c r="WAO17" s="2"/>
      <c r="WAP17" s="2"/>
      <c r="WAQ17" s="2"/>
      <c r="WAR17" s="2"/>
      <c r="WAS17" s="2"/>
      <c r="WAT17" s="2"/>
      <c r="WAU17" s="2"/>
      <c r="WAV17" s="2"/>
      <c r="WAW17" s="2"/>
      <c r="WAX17" s="2"/>
      <c r="WAY17" s="2"/>
      <c r="WAZ17" s="2"/>
      <c r="WBA17" s="2"/>
      <c r="WBB17" s="2"/>
      <c r="WBC17" s="2"/>
      <c r="WBD17" s="2"/>
      <c r="WBE17" s="2"/>
      <c r="WBF17" s="2"/>
      <c r="WBG17" s="2"/>
      <c r="WBH17" s="2"/>
      <c r="WBI17" s="2"/>
      <c r="WBJ17" s="2"/>
      <c r="WBK17" s="2"/>
      <c r="WBL17" s="2"/>
      <c r="WBM17" s="2"/>
      <c r="WBN17" s="2"/>
      <c r="WBO17" s="2"/>
      <c r="WBP17" s="2"/>
      <c r="WBQ17" s="2"/>
      <c r="WBR17" s="2"/>
      <c r="WBS17" s="2"/>
      <c r="WBT17" s="2"/>
      <c r="WBU17" s="2"/>
      <c r="WBV17" s="2"/>
      <c r="WBW17" s="2"/>
      <c r="WBX17" s="2"/>
      <c r="WBY17" s="2"/>
      <c r="WBZ17" s="2"/>
      <c r="WCA17" s="2"/>
      <c r="WCB17" s="2"/>
      <c r="WCC17" s="2"/>
      <c r="WCD17" s="2"/>
      <c r="WCE17" s="2"/>
      <c r="WCF17" s="2"/>
      <c r="WCG17" s="2"/>
      <c r="WCH17" s="2"/>
      <c r="WCI17" s="2"/>
      <c r="WCJ17" s="2"/>
      <c r="WCK17" s="2"/>
      <c r="WCL17" s="2"/>
      <c r="WCM17" s="2"/>
      <c r="WCN17" s="2"/>
      <c r="WCO17" s="2"/>
      <c r="WCP17" s="2"/>
      <c r="WCQ17" s="2"/>
      <c r="WCR17" s="2"/>
      <c r="WCS17" s="2"/>
      <c r="WCT17" s="2"/>
      <c r="WCU17" s="2"/>
      <c r="WCV17" s="2"/>
      <c r="WCW17" s="2"/>
      <c r="WCX17" s="2"/>
      <c r="WCY17" s="2"/>
      <c r="WCZ17" s="2"/>
      <c r="WDA17" s="2"/>
      <c r="WDB17" s="2"/>
      <c r="WDC17" s="2"/>
      <c r="WDD17" s="2"/>
      <c r="WDE17" s="2"/>
      <c r="WDF17" s="2"/>
      <c r="WDG17" s="2"/>
      <c r="WDH17" s="2"/>
      <c r="WDI17" s="2"/>
      <c r="WDJ17" s="2"/>
      <c r="WDK17" s="2"/>
      <c r="WDL17" s="2"/>
      <c r="WDM17" s="2"/>
      <c r="WDN17" s="2"/>
      <c r="WDO17" s="2"/>
      <c r="WDP17" s="2"/>
      <c r="WDQ17" s="2"/>
      <c r="WDR17" s="2"/>
      <c r="WDS17" s="2"/>
      <c r="WDT17" s="2"/>
      <c r="WDU17" s="2"/>
      <c r="WDV17" s="2"/>
      <c r="WDW17" s="2"/>
      <c r="WDX17" s="2"/>
      <c r="WDY17" s="2"/>
      <c r="WDZ17" s="2"/>
      <c r="WEA17" s="2"/>
      <c r="WEB17" s="2"/>
      <c r="WEC17" s="2"/>
      <c r="WED17" s="2"/>
      <c r="WEE17" s="2"/>
      <c r="WEF17" s="2"/>
      <c r="WEG17" s="2"/>
      <c r="WEH17" s="2"/>
      <c r="WEI17" s="2"/>
      <c r="WEJ17" s="2"/>
      <c r="WEK17" s="2"/>
      <c r="WEL17" s="2"/>
      <c r="WEM17" s="2"/>
      <c r="WEN17" s="2"/>
      <c r="WEO17" s="2"/>
      <c r="WEP17" s="2"/>
      <c r="WEQ17" s="2"/>
      <c r="WER17" s="2"/>
      <c r="WES17" s="2"/>
      <c r="WET17" s="2"/>
      <c r="WEU17" s="2"/>
      <c r="WEV17" s="2"/>
      <c r="WEW17" s="2"/>
      <c r="WEX17" s="2"/>
      <c r="WEY17" s="2"/>
      <c r="WEZ17" s="2"/>
      <c r="WFA17" s="2"/>
      <c r="WFB17" s="2"/>
      <c r="WFC17" s="2"/>
      <c r="WFD17" s="2"/>
      <c r="WFE17" s="2"/>
      <c r="WFF17" s="2"/>
      <c r="WFG17" s="2"/>
      <c r="WFH17" s="2"/>
      <c r="WFI17" s="2"/>
      <c r="WFJ17" s="2"/>
      <c r="WFK17" s="2"/>
      <c r="WFL17" s="2"/>
      <c r="WFM17" s="2"/>
      <c r="WFN17" s="2"/>
      <c r="WFO17" s="2"/>
      <c r="WFP17" s="2"/>
      <c r="WFQ17" s="2"/>
      <c r="WFR17" s="2"/>
      <c r="WFS17" s="2"/>
      <c r="WFT17" s="2"/>
      <c r="WFU17" s="2"/>
      <c r="WFV17" s="2"/>
      <c r="WFW17" s="2"/>
      <c r="WFX17" s="2"/>
      <c r="WFY17" s="2"/>
      <c r="WFZ17" s="2"/>
      <c r="WGA17" s="2"/>
      <c r="WGB17" s="2"/>
      <c r="WGC17" s="2"/>
      <c r="WGD17" s="2"/>
      <c r="WGE17" s="2"/>
      <c r="WGF17" s="2"/>
      <c r="WGG17" s="2"/>
      <c r="WGH17" s="2"/>
      <c r="WGI17" s="2"/>
      <c r="WGJ17" s="2"/>
      <c r="WGK17" s="2"/>
      <c r="WGL17" s="2"/>
      <c r="WGM17" s="2"/>
      <c r="WGN17" s="2"/>
      <c r="WGO17" s="2"/>
      <c r="WGP17" s="2"/>
      <c r="WGQ17" s="2"/>
      <c r="WGR17" s="2"/>
      <c r="WGS17" s="2"/>
      <c r="WGT17" s="2"/>
      <c r="WGU17" s="2"/>
      <c r="WGV17" s="2"/>
      <c r="WGW17" s="2"/>
      <c r="WGX17" s="2"/>
      <c r="WGY17" s="2"/>
      <c r="WGZ17" s="2"/>
      <c r="WHA17" s="2"/>
      <c r="WHB17" s="2"/>
      <c r="WHC17" s="2"/>
      <c r="WHD17" s="2"/>
      <c r="WHE17" s="2"/>
      <c r="WHF17" s="2"/>
      <c r="WHG17" s="2"/>
      <c r="WHH17" s="2"/>
      <c r="WHI17" s="2"/>
      <c r="WHJ17" s="2"/>
      <c r="WHK17" s="2"/>
      <c r="WHL17" s="2"/>
      <c r="WHM17" s="2"/>
      <c r="WHN17" s="2"/>
      <c r="WHO17" s="2"/>
      <c r="WHP17" s="2"/>
      <c r="WHQ17" s="2"/>
      <c r="WHR17" s="2"/>
      <c r="WHS17" s="2"/>
      <c r="WHT17" s="2"/>
      <c r="WHU17" s="2"/>
      <c r="WHV17" s="2"/>
      <c r="WHW17" s="2"/>
      <c r="WHX17" s="2"/>
      <c r="WHY17" s="2"/>
      <c r="WHZ17" s="2"/>
      <c r="WIA17" s="2"/>
      <c r="WIB17" s="2"/>
      <c r="WIC17" s="2"/>
      <c r="WID17" s="2"/>
      <c r="WIE17" s="2"/>
      <c r="WIF17" s="2"/>
      <c r="WIG17" s="2"/>
      <c r="WIH17" s="2"/>
      <c r="WII17" s="2"/>
      <c r="WIJ17" s="2"/>
      <c r="WIK17" s="2"/>
      <c r="WIL17" s="2"/>
      <c r="WIM17" s="2"/>
      <c r="WIN17" s="2"/>
      <c r="WIO17" s="2"/>
      <c r="WIP17" s="2"/>
      <c r="WIQ17" s="2"/>
      <c r="WIR17" s="2"/>
      <c r="WIS17" s="2"/>
      <c r="WIT17" s="2"/>
      <c r="WIU17" s="2"/>
      <c r="WIV17" s="2"/>
      <c r="WIW17" s="2"/>
      <c r="WIX17" s="2"/>
      <c r="WIY17" s="2"/>
      <c r="WIZ17" s="2"/>
      <c r="WJA17" s="2"/>
      <c r="WJB17" s="2"/>
      <c r="WJC17" s="2"/>
      <c r="WJD17" s="2"/>
      <c r="WJE17" s="2"/>
      <c r="WJF17" s="2"/>
      <c r="WJG17" s="2"/>
      <c r="WJH17" s="2"/>
      <c r="WJI17" s="2"/>
      <c r="WJJ17" s="2"/>
      <c r="WJK17" s="2"/>
      <c r="WJL17" s="2"/>
      <c r="WJM17" s="2"/>
      <c r="WJN17" s="2"/>
      <c r="WJO17" s="2"/>
      <c r="WJP17" s="2"/>
      <c r="WJQ17" s="2"/>
      <c r="WJR17" s="2"/>
      <c r="WJS17" s="2"/>
      <c r="WJT17" s="2"/>
      <c r="WJU17" s="2"/>
      <c r="WJV17" s="2"/>
      <c r="WJW17" s="2"/>
      <c r="WJX17" s="2"/>
      <c r="WJY17" s="2"/>
      <c r="WJZ17" s="2"/>
      <c r="WKA17" s="2"/>
      <c r="WKB17" s="2"/>
      <c r="WKC17" s="2"/>
      <c r="WKD17" s="2"/>
      <c r="WKE17" s="2"/>
      <c r="WKF17" s="2"/>
      <c r="WKG17" s="2"/>
      <c r="WKH17" s="2"/>
      <c r="WKI17" s="2"/>
      <c r="WKJ17" s="2"/>
      <c r="WKK17" s="2"/>
      <c r="WKL17" s="2"/>
      <c r="WKM17" s="2"/>
      <c r="WKN17" s="2"/>
      <c r="WKO17" s="2"/>
      <c r="WKP17" s="2"/>
      <c r="WKQ17" s="2"/>
      <c r="WKR17" s="2"/>
      <c r="WKS17" s="2"/>
      <c r="WKT17" s="2"/>
      <c r="WKU17" s="2"/>
      <c r="WKV17" s="2"/>
      <c r="WKW17" s="2"/>
      <c r="WKX17" s="2"/>
      <c r="WKY17" s="2"/>
      <c r="WKZ17" s="2"/>
      <c r="WLA17" s="2"/>
      <c r="WLB17" s="2"/>
      <c r="WLC17" s="2"/>
      <c r="WLD17" s="2"/>
      <c r="WLE17" s="2"/>
      <c r="WLF17" s="2"/>
      <c r="WLG17" s="2"/>
      <c r="WLH17" s="2"/>
      <c r="WLI17" s="2"/>
      <c r="WLJ17" s="2"/>
      <c r="WLK17" s="2"/>
      <c r="WLL17" s="2"/>
      <c r="WLM17" s="2"/>
      <c r="WLN17" s="2"/>
      <c r="WLO17" s="2"/>
      <c r="WLP17" s="2"/>
      <c r="WLQ17" s="2"/>
      <c r="WLR17" s="2"/>
      <c r="WLS17" s="2"/>
      <c r="WLT17" s="2"/>
      <c r="WLU17" s="2"/>
      <c r="WLV17" s="2"/>
      <c r="WLW17" s="2"/>
      <c r="WLX17" s="2"/>
      <c r="WLY17" s="2"/>
      <c r="WLZ17" s="2"/>
      <c r="WMA17" s="2"/>
      <c r="WMB17" s="2"/>
      <c r="WMC17" s="2"/>
      <c r="WMD17" s="2"/>
      <c r="WME17" s="2"/>
      <c r="WMF17" s="2"/>
      <c r="WMG17" s="2"/>
      <c r="WMH17" s="2"/>
      <c r="WMI17" s="2"/>
      <c r="WMJ17" s="2"/>
      <c r="WMK17" s="2"/>
      <c r="WML17" s="2"/>
      <c r="WMM17" s="2"/>
      <c r="WMN17" s="2"/>
      <c r="WMO17" s="2"/>
      <c r="WMP17" s="2"/>
      <c r="WMQ17" s="2"/>
      <c r="WMR17" s="2"/>
      <c r="WMS17" s="2"/>
      <c r="WMT17" s="2"/>
      <c r="WMU17" s="2"/>
      <c r="WMV17" s="2"/>
      <c r="WMW17" s="2"/>
      <c r="WMX17" s="2"/>
      <c r="WMY17" s="2"/>
      <c r="WMZ17" s="2"/>
      <c r="WNA17" s="2"/>
      <c r="WNB17" s="2"/>
      <c r="WNC17" s="2"/>
      <c r="WND17" s="2"/>
      <c r="WNE17" s="2"/>
      <c r="WNF17" s="2"/>
      <c r="WNG17" s="2"/>
      <c r="WNH17" s="2"/>
      <c r="WNI17" s="2"/>
      <c r="WNJ17" s="2"/>
      <c r="WNK17" s="2"/>
      <c r="WNL17" s="2"/>
      <c r="WNM17" s="2"/>
      <c r="WNN17" s="2"/>
      <c r="WNO17" s="2"/>
      <c r="WNP17" s="2"/>
      <c r="WNQ17" s="2"/>
      <c r="WNR17" s="2"/>
      <c r="WNS17" s="2"/>
      <c r="WNT17" s="2"/>
      <c r="WNU17" s="2"/>
      <c r="WNV17" s="2"/>
      <c r="WNW17" s="2"/>
      <c r="WNX17" s="2"/>
      <c r="WNY17" s="2"/>
      <c r="WNZ17" s="2"/>
      <c r="WOA17" s="2"/>
      <c r="WOB17" s="2"/>
      <c r="WOC17" s="2"/>
      <c r="WOD17" s="2"/>
      <c r="WOE17" s="2"/>
      <c r="WOF17" s="2"/>
      <c r="WOG17" s="2"/>
      <c r="WOH17" s="2"/>
      <c r="WOI17" s="2"/>
      <c r="WOJ17" s="2"/>
      <c r="WOK17" s="2"/>
      <c r="WOL17" s="2"/>
      <c r="WOM17" s="2"/>
      <c r="WON17" s="2"/>
      <c r="WOO17" s="2"/>
      <c r="WOP17" s="2"/>
      <c r="WOQ17" s="2"/>
      <c r="WOR17" s="2"/>
      <c r="WOS17" s="2"/>
      <c r="WOT17" s="2"/>
      <c r="WOU17" s="2"/>
      <c r="WOV17" s="2"/>
      <c r="WOW17" s="2"/>
      <c r="WOX17" s="2"/>
      <c r="WOY17" s="2"/>
      <c r="WOZ17" s="2"/>
      <c r="WPA17" s="2"/>
      <c r="WPB17" s="2"/>
      <c r="WPC17" s="2"/>
      <c r="WPD17" s="2"/>
      <c r="WPE17" s="2"/>
      <c r="WPF17" s="2"/>
      <c r="WPG17" s="2"/>
      <c r="WPH17" s="2"/>
      <c r="WPI17" s="2"/>
      <c r="WPJ17" s="2"/>
      <c r="WPK17" s="2"/>
      <c r="WPL17" s="2"/>
      <c r="WPM17" s="2"/>
      <c r="WPN17" s="2"/>
      <c r="WPO17" s="2"/>
      <c r="WPP17" s="2"/>
      <c r="WPQ17" s="2"/>
      <c r="WPR17" s="2"/>
      <c r="WPS17" s="2"/>
      <c r="WPT17" s="2"/>
      <c r="WPU17" s="2"/>
      <c r="WPV17" s="2"/>
      <c r="WPW17" s="2"/>
      <c r="WPX17" s="2"/>
      <c r="WPY17" s="2"/>
      <c r="WPZ17" s="2"/>
      <c r="WQA17" s="2"/>
      <c r="WQB17" s="2"/>
      <c r="WQC17" s="2"/>
      <c r="WQD17" s="2"/>
      <c r="WQE17" s="2"/>
      <c r="WQF17" s="2"/>
      <c r="WQG17" s="2"/>
      <c r="WQH17" s="2"/>
      <c r="WQI17" s="2"/>
      <c r="WQJ17" s="2"/>
      <c r="WQK17" s="2"/>
      <c r="WQL17" s="2"/>
      <c r="WQM17" s="2"/>
      <c r="WQN17" s="2"/>
      <c r="WQO17" s="2"/>
      <c r="WQP17" s="2"/>
      <c r="WQQ17" s="2"/>
      <c r="WQR17" s="2"/>
      <c r="WQS17" s="2"/>
      <c r="WQT17" s="2"/>
      <c r="WQU17" s="2"/>
      <c r="WQV17" s="2"/>
      <c r="WQW17" s="2"/>
      <c r="WQX17" s="2"/>
      <c r="WQY17" s="2"/>
      <c r="WQZ17" s="2"/>
      <c r="WRA17" s="2"/>
      <c r="WRB17" s="2"/>
      <c r="WRC17" s="2"/>
      <c r="WRD17" s="2"/>
      <c r="WRE17" s="2"/>
      <c r="WRF17" s="2"/>
      <c r="WRG17" s="2"/>
      <c r="WRH17" s="2"/>
      <c r="WRI17" s="2"/>
      <c r="WRJ17" s="2"/>
      <c r="WRK17" s="2"/>
      <c r="WRL17" s="2"/>
      <c r="WRM17" s="2"/>
      <c r="WRN17" s="2"/>
      <c r="WRO17" s="2"/>
      <c r="WRP17" s="2"/>
      <c r="WRQ17" s="2"/>
      <c r="WRR17" s="2"/>
      <c r="WRS17" s="2"/>
      <c r="WRT17" s="2"/>
      <c r="WRU17" s="2"/>
      <c r="WRV17" s="2"/>
      <c r="WRW17" s="2"/>
      <c r="WRX17" s="2"/>
      <c r="WRY17" s="2"/>
      <c r="WRZ17" s="2"/>
      <c r="WSA17" s="2"/>
      <c r="WSB17" s="2"/>
      <c r="WSC17" s="2"/>
      <c r="WSD17" s="2"/>
      <c r="WSE17" s="2"/>
      <c r="WSF17" s="2"/>
      <c r="WSG17" s="2"/>
      <c r="WSH17" s="2"/>
      <c r="WSI17" s="2"/>
      <c r="WSJ17" s="2"/>
      <c r="WSK17" s="2"/>
      <c r="WSL17" s="2"/>
      <c r="WSM17" s="2"/>
      <c r="WSN17" s="2"/>
      <c r="WSO17" s="2"/>
      <c r="WSP17" s="2"/>
      <c r="WSQ17" s="2"/>
      <c r="WSR17" s="2"/>
      <c r="WSS17" s="2"/>
      <c r="WST17" s="2"/>
      <c r="WSU17" s="2"/>
      <c r="WSV17" s="2"/>
      <c r="WSW17" s="2"/>
      <c r="WSX17" s="2"/>
      <c r="WSY17" s="2"/>
      <c r="WSZ17" s="2"/>
      <c r="WTA17" s="2"/>
      <c r="WTB17" s="2"/>
      <c r="WTC17" s="2"/>
      <c r="WTD17" s="2"/>
      <c r="WTE17" s="2"/>
      <c r="WTF17" s="2"/>
      <c r="WTG17" s="2"/>
      <c r="WTH17" s="2"/>
      <c r="WTI17" s="2"/>
      <c r="WTJ17" s="2"/>
      <c r="WTK17" s="2"/>
      <c r="WTL17" s="2"/>
      <c r="WTM17" s="2"/>
      <c r="WTN17" s="2"/>
      <c r="WTO17" s="2"/>
      <c r="WTP17" s="2"/>
      <c r="WTQ17" s="2"/>
      <c r="WTR17" s="2"/>
      <c r="WTS17" s="2"/>
      <c r="WTT17" s="2"/>
      <c r="WTU17" s="2"/>
      <c r="WTV17" s="2"/>
      <c r="WTW17" s="2"/>
      <c r="WTX17" s="2"/>
      <c r="WTY17" s="2"/>
      <c r="WTZ17" s="2"/>
      <c r="WUA17" s="2"/>
      <c r="WUB17" s="2"/>
      <c r="WUC17" s="2"/>
      <c r="WUD17" s="2"/>
      <c r="WUE17" s="2"/>
      <c r="WUF17" s="2"/>
      <c r="WUG17" s="2"/>
      <c r="WUH17" s="2"/>
      <c r="WUI17" s="2"/>
      <c r="WUJ17" s="2"/>
      <c r="WUK17" s="2"/>
      <c r="WUL17" s="2"/>
      <c r="WUM17" s="2"/>
      <c r="WUN17" s="2"/>
      <c r="WUO17" s="2"/>
      <c r="WUP17" s="2"/>
      <c r="WUQ17" s="2"/>
      <c r="WUR17" s="2"/>
      <c r="WUS17" s="2"/>
      <c r="WUT17" s="2"/>
      <c r="WUU17" s="2"/>
      <c r="WUV17" s="2"/>
      <c r="WUW17" s="2"/>
      <c r="WUX17" s="2"/>
      <c r="WUY17" s="2"/>
      <c r="WUZ17" s="2"/>
      <c r="WVA17" s="2"/>
      <c r="WVB17" s="2"/>
      <c r="WVC17" s="2"/>
      <c r="WVD17" s="2"/>
      <c r="WVE17" s="2"/>
      <c r="WVF17" s="2"/>
      <c r="WVG17" s="2"/>
      <c r="WVH17" s="2"/>
      <c r="WVI17" s="2"/>
      <c r="WVJ17" s="2"/>
      <c r="WVK17" s="2"/>
      <c r="WVL17" s="2"/>
      <c r="WVM17" s="2"/>
      <c r="WVN17" s="2"/>
      <c r="WVO17" s="2"/>
      <c r="WVP17" s="2"/>
      <c r="WVQ17" s="2"/>
      <c r="WVR17" s="2"/>
      <c r="WVS17" s="2"/>
      <c r="WVT17" s="2"/>
      <c r="WVU17" s="2"/>
      <c r="WVV17" s="2"/>
      <c r="WVW17" s="2"/>
      <c r="WVX17" s="2"/>
      <c r="WVY17" s="2"/>
      <c r="WVZ17" s="2"/>
      <c r="WWA17" s="2"/>
      <c r="WWB17" s="2"/>
      <c r="WWC17" s="2"/>
      <c r="WWD17" s="2"/>
      <c r="WWE17" s="2"/>
      <c r="WWF17" s="2"/>
      <c r="WWG17" s="2"/>
      <c r="WWH17" s="2"/>
      <c r="WWI17" s="2"/>
      <c r="WWJ17" s="2"/>
      <c r="WWK17" s="2"/>
      <c r="WWL17" s="2"/>
      <c r="WWM17" s="2"/>
      <c r="WWN17" s="2"/>
      <c r="WWO17" s="2"/>
      <c r="WWP17" s="2"/>
      <c r="WWQ17" s="2"/>
      <c r="WWR17" s="2"/>
      <c r="WWS17" s="2"/>
      <c r="WWT17" s="2"/>
      <c r="WWU17" s="2"/>
      <c r="WWV17" s="2"/>
      <c r="WWW17" s="2"/>
      <c r="WWX17" s="2"/>
      <c r="WWY17" s="2"/>
      <c r="WWZ17" s="2"/>
      <c r="WXA17" s="2"/>
      <c r="WXB17" s="2"/>
      <c r="WXC17" s="2"/>
      <c r="WXD17" s="2"/>
      <c r="WXE17" s="2"/>
      <c r="WXF17" s="2"/>
      <c r="WXG17" s="2"/>
      <c r="WXH17" s="2"/>
      <c r="WXI17" s="2"/>
      <c r="WXJ17" s="2"/>
      <c r="WXK17" s="2"/>
      <c r="WXL17" s="2"/>
      <c r="WXM17" s="2"/>
      <c r="WXN17" s="2"/>
      <c r="WXO17" s="2"/>
      <c r="WXP17" s="2"/>
      <c r="WXQ17" s="2"/>
      <c r="WXR17" s="2"/>
      <c r="WXS17" s="2"/>
      <c r="WXT17" s="2"/>
      <c r="WXU17" s="2"/>
      <c r="WXV17" s="2"/>
      <c r="WXW17" s="2"/>
      <c r="WXX17" s="2"/>
      <c r="WXY17" s="2"/>
      <c r="WXZ17" s="2"/>
      <c r="WYA17" s="2"/>
      <c r="WYB17" s="2"/>
      <c r="WYC17" s="2"/>
      <c r="WYD17" s="2"/>
      <c r="WYE17" s="2"/>
      <c r="WYF17" s="2"/>
      <c r="WYG17" s="2"/>
      <c r="WYH17" s="2"/>
      <c r="WYI17" s="2"/>
      <c r="WYJ17" s="2"/>
      <c r="WYK17" s="2"/>
      <c r="WYL17" s="2"/>
      <c r="WYM17" s="2"/>
      <c r="WYN17" s="2"/>
      <c r="WYO17" s="2"/>
      <c r="WYP17" s="2"/>
      <c r="WYQ17" s="2"/>
      <c r="WYR17" s="2"/>
      <c r="WYS17" s="2"/>
      <c r="WYT17" s="2"/>
      <c r="WYU17" s="2"/>
      <c r="WYV17" s="2"/>
      <c r="WYW17" s="2"/>
      <c r="WYX17" s="2"/>
      <c r="WYY17" s="2"/>
      <c r="WYZ17" s="2"/>
      <c r="WZA17" s="2"/>
      <c r="WZB17" s="2"/>
      <c r="WZC17" s="2"/>
      <c r="WZD17" s="2"/>
      <c r="WZE17" s="2"/>
      <c r="WZF17" s="2"/>
      <c r="WZG17" s="2"/>
      <c r="WZH17" s="2"/>
      <c r="WZI17" s="2"/>
      <c r="WZJ17" s="2"/>
      <c r="WZK17" s="2"/>
      <c r="WZL17" s="2"/>
      <c r="WZM17" s="2"/>
      <c r="WZN17" s="2"/>
      <c r="WZO17" s="2"/>
      <c r="WZP17" s="2"/>
      <c r="WZQ17" s="2"/>
      <c r="WZR17" s="2"/>
      <c r="WZS17" s="2"/>
      <c r="WZT17" s="2"/>
      <c r="WZU17" s="2"/>
      <c r="WZV17" s="2"/>
      <c r="WZW17" s="2"/>
      <c r="WZX17" s="2"/>
      <c r="WZY17" s="2"/>
      <c r="WZZ17" s="2"/>
      <c r="XAA17" s="2"/>
      <c r="XAB17" s="2"/>
      <c r="XAC17" s="2"/>
      <c r="XAD17" s="2"/>
      <c r="XAE17" s="2"/>
      <c r="XAF17" s="2"/>
      <c r="XAG17" s="2"/>
      <c r="XAH17" s="2"/>
      <c r="XAI17" s="2"/>
      <c r="XAJ17" s="2"/>
      <c r="XAK17" s="2"/>
      <c r="XAL17" s="2"/>
      <c r="XAM17" s="2"/>
      <c r="XAN17" s="2"/>
      <c r="XAO17" s="2"/>
      <c r="XAP17" s="2"/>
      <c r="XAQ17" s="2"/>
      <c r="XAR17" s="2"/>
      <c r="XAS17" s="2"/>
      <c r="XAT17" s="2"/>
      <c r="XAU17" s="2"/>
      <c r="XAV17" s="2"/>
      <c r="XAW17" s="2"/>
      <c r="XAX17" s="2"/>
      <c r="XAY17" s="2"/>
      <c r="XAZ17" s="2"/>
      <c r="XBA17" s="2"/>
      <c r="XBB17" s="2"/>
      <c r="XBC17" s="2"/>
      <c r="XBD17" s="2"/>
      <c r="XBE17" s="2"/>
      <c r="XBF17" s="2"/>
      <c r="XBG17" s="2"/>
      <c r="XBH17" s="2"/>
      <c r="XBI17" s="2"/>
      <c r="XBJ17" s="2"/>
      <c r="XBK17" s="2"/>
      <c r="XBL17" s="2"/>
      <c r="XBM17" s="2"/>
      <c r="XBN17" s="2"/>
      <c r="XBO17" s="2"/>
      <c r="XBP17" s="2"/>
      <c r="XBQ17" s="2"/>
      <c r="XBR17" s="2"/>
      <c r="XBS17" s="2"/>
      <c r="XBT17" s="2"/>
      <c r="XBU17" s="2"/>
      <c r="XBV17" s="2"/>
      <c r="XBW17" s="2"/>
      <c r="XBX17" s="2"/>
      <c r="XBY17" s="2"/>
      <c r="XBZ17" s="2"/>
      <c r="XCA17" s="2"/>
      <c r="XCB17" s="2"/>
      <c r="XCC17" s="2"/>
      <c r="XCD17" s="2"/>
      <c r="XCE17" s="2"/>
      <c r="XCF17" s="2"/>
      <c r="XCG17" s="2"/>
      <c r="XCH17" s="2"/>
      <c r="XCI17" s="2"/>
      <c r="XCJ17" s="2"/>
      <c r="XCK17" s="2"/>
      <c r="XCL17" s="2"/>
      <c r="XCM17" s="2"/>
      <c r="XCN17" s="2"/>
      <c r="XCO17" s="2"/>
      <c r="XCP17" s="2"/>
      <c r="XCQ17" s="2"/>
      <c r="XCR17" s="2"/>
      <c r="XCS17" s="2"/>
      <c r="XCT17" s="2"/>
      <c r="XCU17" s="2"/>
      <c r="XCV17" s="2"/>
      <c r="XCW17" s="2"/>
      <c r="XCX17" s="2"/>
      <c r="XCY17" s="2"/>
      <c r="XCZ17" s="2"/>
      <c r="XDA17" s="2"/>
      <c r="XDB17" s="2"/>
      <c r="XDC17" s="2"/>
      <c r="XDD17" s="2"/>
      <c r="XDE17" s="2"/>
      <c r="XDF17" s="2"/>
      <c r="XDG17" s="2"/>
      <c r="XDH17" s="2"/>
      <c r="XDI17" s="2"/>
      <c r="XDJ17" s="2"/>
      <c r="XDK17" s="2"/>
      <c r="XDL17" s="2"/>
      <c r="XDM17" s="2"/>
      <c r="XDN17" s="2"/>
      <c r="XDO17" s="2"/>
      <c r="XDP17" s="2"/>
      <c r="XDQ17" s="2"/>
      <c r="XDR17" s="2"/>
      <c r="XDS17" s="2"/>
      <c r="XDT17" s="2"/>
      <c r="XDU17" s="2"/>
      <c r="XDV17" s="2"/>
      <c r="XDW17" s="2"/>
      <c r="XDX17" s="2"/>
      <c r="XDY17" s="2"/>
      <c r="XDZ17" s="2"/>
      <c r="XEA17" s="2"/>
      <c r="XEB17" s="2"/>
      <c r="XEC17" s="2"/>
      <c r="XED17" s="2"/>
      <c r="XEE17" s="2"/>
      <c r="XEF17" s="2"/>
      <c r="XEG17" s="2"/>
      <c r="XEH17" s="2"/>
      <c r="XEI17" s="2"/>
      <c r="XEJ17" s="2"/>
      <c r="XEK17" s="2"/>
      <c r="XEL17" s="2"/>
      <c r="XEM17" s="2"/>
      <c r="XEN17" s="2"/>
      <c r="XEO17" s="2"/>
      <c r="XEP17" s="2"/>
      <c r="XEQ17" s="2"/>
      <c r="XER17" s="2"/>
      <c r="XES17" s="2"/>
      <c r="XET17" s="2"/>
      <c r="XEU17" s="2"/>
      <c r="XEV17" s="2"/>
      <c r="XEW17" s="2"/>
      <c r="XEX17" s="2"/>
      <c r="XEY17" s="2"/>
      <c r="XEZ17" s="2"/>
      <c r="XFA17" s="2"/>
    </row>
    <row r="18" spans="1:16381" x14ac:dyDescent="0.25">
      <c r="A18" s="473" t="s">
        <v>2324</v>
      </c>
      <c r="B18" s="473"/>
      <c r="C18" s="473"/>
      <c r="D18" s="473"/>
      <c r="E18" s="473"/>
      <c r="F18" s="473"/>
      <c r="G18" s="473"/>
      <c r="H18" s="473"/>
      <c r="I18" s="473"/>
      <c r="J18" s="473"/>
      <c r="K18" s="473"/>
      <c r="L18"/>
    </row>
    <row r="19" spans="1:16381" ht="24.95" customHeight="1" x14ac:dyDescent="0.25">
      <c r="A19" s="470" t="s">
        <v>2323</v>
      </c>
      <c r="B19" s="471"/>
      <c r="C19" s="471"/>
      <c r="D19" s="471"/>
      <c r="E19" s="472"/>
      <c r="F19" s="76">
        <v>3</v>
      </c>
      <c r="G19" s="76">
        <v>2</v>
      </c>
      <c r="H19" s="76">
        <v>0</v>
      </c>
      <c r="I19" s="76">
        <v>0</v>
      </c>
      <c r="J19" s="76">
        <v>0</v>
      </c>
      <c r="K19" s="48">
        <f t="shared" ref="K19:K26" si="1">SUM(F19:J19)</f>
        <v>5</v>
      </c>
    </row>
    <row r="20" spans="1:16381" ht="24.95" customHeight="1" x14ac:dyDescent="0.25">
      <c r="A20" s="470" t="s">
        <v>2337</v>
      </c>
      <c r="B20" s="471"/>
      <c r="C20" s="471"/>
      <c r="D20" s="471"/>
      <c r="E20" s="472"/>
      <c r="F20" s="76">
        <v>3</v>
      </c>
      <c r="G20" s="76">
        <v>2</v>
      </c>
      <c r="H20" s="76">
        <v>0</v>
      </c>
      <c r="I20" s="76">
        <v>0</v>
      </c>
      <c r="J20" s="76">
        <v>0</v>
      </c>
      <c r="K20" s="48">
        <f t="shared" si="1"/>
        <v>5</v>
      </c>
    </row>
    <row r="21" spans="1:16381" ht="24.95" customHeight="1" x14ac:dyDescent="0.25">
      <c r="A21" s="470" t="s">
        <v>2338</v>
      </c>
      <c r="B21" s="471"/>
      <c r="C21" s="471"/>
      <c r="D21" s="471"/>
      <c r="E21" s="472"/>
      <c r="F21" s="76">
        <v>3</v>
      </c>
      <c r="G21" s="76">
        <v>2</v>
      </c>
      <c r="H21" s="76">
        <v>0</v>
      </c>
      <c r="I21" s="76">
        <v>0</v>
      </c>
      <c r="J21" s="76">
        <v>0</v>
      </c>
      <c r="K21" s="48">
        <f t="shared" si="1"/>
        <v>5</v>
      </c>
    </row>
    <row r="22" spans="1:16381" ht="24.95" customHeight="1" x14ac:dyDescent="0.25">
      <c r="A22" s="470" t="s">
        <v>2339</v>
      </c>
      <c r="B22" s="471"/>
      <c r="C22" s="471"/>
      <c r="D22" s="471"/>
      <c r="E22" s="472"/>
      <c r="F22" s="76">
        <v>3</v>
      </c>
      <c r="G22" s="76">
        <v>2</v>
      </c>
      <c r="H22" s="76">
        <v>0</v>
      </c>
      <c r="I22" s="76">
        <v>0</v>
      </c>
      <c r="J22" s="76">
        <v>0</v>
      </c>
      <c r="K22" s="48">
        <f t="shared" si="1"/>
        <v>5</v>
      </c>
    </row>
    <row r="23" spans="1:16381" ht="24.95" customHeight="1" x14ac:dyDescent="0.25">
      <c r="A23" s="470" t="s">
        <v>2340</v>
      </c>
      <c r="B23" s="471"/>
      <c r="C23" s="471"/>
      <c r="D23" s="471"/>
      <c r="E23" s="472"/>
      <c r="F23" s="76">
        <v>3</v>
      </c>
      <c r="G23" s="76">
        <v>2</v>
      </c>
      <c r="H23" s="76">
        <v>0</v>
      </c>
      <c r="I23" s="76">
        <v>0</v>
      </c>
      <c r="J23" s="76">
        <v>0</v>
      </c>
      <c r="K23" s="48">
        <f t="shared" si="1"/>
        <v>5</v>
      </c>
    </row>
    <row r="24" spans="1:16381" ht="24.95" customHeight="1" x14ac:dyDescent="0.25">
      <c r="A24" s="467" t="s">
        <v>2341</v>
      </c>
      <c r="B24" s="468"/>
      <c r="C24" s="468"/>
      <c r="D24" s="468"/>
      <c r="E24" s="469"/>
      <c r="F24" s="76">
        <v>1</v>
      </c>
      <c r="G24" s="76">
        <v>0</v>
      </c>
      <c r="H24" s="76">
        <v>0</v>
      </c>
      <c r="I24" s="76">
        <v>0</v>
      </c>
      <c r="J24" s="76">
        <v>0</v>
      </c>
      <c r="K24" s="48">
        <f t="shared" si="1"/>
        <v>1</v>
      </c>
    </row>
    <row r="25" spans="1:16381" ht="24.95" customHeight="1" x14ac:dyDescent="0.25">
      <c r="A25" s="467" t="s">
        <v>2359</v>
      </c>
      <c r="B25" s="468"/>
      <c r="C25" s="468"/>
      <c r="D25" s="468"/>
      <c r="E25" s="469"/>
      <c r="F25" s="76">
        <v>1</v>
      </c>
      <c r="G25" s="76">
        <v>0</v>
      </c>
      <c r="H25" s="76">
        <v>0</v>
      </c>
      <c r="I25" s="76">
        <v>0</v>
      </c>
      <c r="J25" s="76">
        <v>0</v>
      </c>
      <c r="K25" s="48">
        <f t="shared" si="1"/>
        <v>1</v>
      </c>
    </row>
    <row r="26" spans="1:16381" ht="24.95" customHeight="1" x14ac:dyDescent="0.25">
      <c r="A26" s="467" t="s">
        <v>2358</v>
      </c>
      <c r="B26" s="468"/>
      <c r="C26" s="468"/>
      <c r="D26" s="468"/>
      <c r="E26" s="469"/>
      <c r="F26" s="76">
        <v>1</v>
      </c>
      <c r="G26" s="76">
        <v>0</v>
      </c>
      <c r="H26" s="76">
        <v>0</v>
      </c>
      <c r="I26" s="76">
        <v>0</v>
      </c>
      <c r="J26" s="76">
        <v>0</v>
      </c>
      <c r="K26" s="48">
        <f t="shared" si="1"/>
        <v>1</v>
      </c>
    </row>
    <row r="27" spans="1:16381" ht="22.5" customHeight="1" x14ac:dyDescent="0.25">
      <c r="A27" s="425"/>
      <c r="B27" s="425"/>
      <c r="C27" s="425"/>
      <c r="D27" s="425"/>
      <c r="E27" s="425"/>
      <c r="F27" s="425"/>
      <c r="G27" s="425"/>
      <c r="H27" s="425"/>
      <c r="I27" s="425"/>
      <c r="J27" s="425"/>
      <c r="K27" s="425"/>
      <c r="L27" s="6"/>
    </row>
  </sheetData>
  <sheetProtection algorithmName="SHA-512" hashValue="+wz3j/aoKNoAyufR7+cG5kCy4xRj46FFydsgifUXOGU+ref8Sup+fLTHmsonlg2Odwl2izxate3YoWm79n1/AA==" saltValue="AMaro1tA4cxLT0EGDmdFOQ==" spinCount="100000" sheet="1" objects="1" scenarios="1"/>
  <mergeCells count="29">
    <mergeCell ref="A1:J1"/>
    <mergeCell ref="A2:C2"/>
    <mergeCell ref="D2:K2"/>
    <mergeCell ref="A16:E16"/>
    <mergeCell ref="A14:E14"/>
    <mergeCell ref="A9:E9"/>
    <mergeCell ref="A15:E15"/>
    <mergeCell ref="A4:K4"/>
    <mergeCell ref="I5:J5"/>
    <mergeCell ref="F5:H5"/>
    <mergeCell ref="A3:K3"/>
    <mergeCell ref="A5:E6"/>
    <mergeCell ref="A11:E11"/>
    <mergeCell ref="A12:E12"/>
    <mergeCell ref="A18:K18"/>
    <mergeCell ref="A7:E7"/>
    <mergeCell ref="A8:E8"/>
    <mergeCell ref="A10:E10"/>
    <mergeCell ref="A17:E17"/>
    <mergeCell ref="A13:E13"/>
    <mergeCell ref="A26:E26"/>
    <mergeCell ref="A24:E24"/>
    <mergeCell ref="A27:K27"/>
    <mergeCell ref="A19:E19"/>
    <mergeCell ref="A20:E20"/>
    <mergeCell ref="A21:E21"/>
    <mergeCell ref="A22:E22"/>
    <mergeCell ref="A23:E23"/>
    <mergeCell ref="A25:E25"/>
  </mergeCells>
  <conditionalFormatting sqref="F11:J11">
    <cfRule type="cellIs" dxfId="75" priority="7" operator="lessThan">
      <formula>0</formula>
    </cfRule>
  </conditionalFormatting>
  <conditionalFormatting sqref="F17:K17">
    <cfRule type="cellIs" dxfId="74" priority="6" operator="lessThan">
      <formula>0</formula>
    </cfRule>
  </conditionalFormatting>
  <dataValidations count="12">
    <dataValidation allowBlank="1" sqref="A2:D2 IT2:IW2 SP2:SS2 ACL2:ACO2 AMH2:AMK2 AWD2:AWG2 BFZ2:BGC2 BPV2:BPY2 BZR2:BZU2 CJN2:CJQ2 CTJ2:CTM2 DDF2:DDI2 DNB2:DNE2 DWX2:DXA2 EGT2:EGW2 EQP2:EQS2 FAL2:FAO2 FKH2:FKK2 FUD2:FUG2 GDZ2:GEC2 GNV2:GNY2 GXR2:GXU2 HHN2:HHQ2 HRJ2:HRM2 IBF2:IBI2 ILB2:ILE2 IUX2:IVA2 JET2:JEW2 JOP2:JOS2 JYL2:JYO2 KIH2:KIK2 KSD2:KSG2 LBZ2:LCC2 LLV2:LLY2 LVR2:LVU2 MFN2:MFQ2 MPJ2:MPM2 MZF2:MZI2 NJB2:NJE2 NSX2:NTA2 OCT2:OCW2 OMP2:OMS2 OWL2:OWO2 PGH2:PGK2 PQD2:PQG2 PZZ2:QAC2 QJV2:QJY2 QTR2:QTU2 RDN2:RDQ2 RNJ2:RNM2 RXF2:RXI2 SHB2:SHE2 SQX2:SRA2 TAT2:TAW2 TKP2:TKS2 TUL2:TUO2 UEH2:UEK2 UOD2:UOG2 UXZ2:UYC2 VHV2:VHY2 VRR2:VRU2 WBN2:WBQ2 WLJ2:WLM2 WVF2:WVI2"/>
    <dataValidation type="whole" operator="greaterThanOrEqual" allowBlank="1" showInputMessage="1" showErrorMessage="1" error="Please enter a valid positive numerical value" sqref="F9:J9">
      <formula1>0</formula1>
    </dataValidation>
    <dataValidation type="whole" showInputMessage="1" showErrorMessage="1" error="The value should be less than or equal to 10.a.1. Please ensure that value of 10.a.1 has been filled first" sqref="F20:J20">
      <formula1>0</formula1>
      <formula2>F19</formula2>
    </dataValidation>
    <dataValidation type="whole" showInputMessage="1" showErrorMessage="1" error="The value should be less than or equal to 10.a.2. Please ensure that value of 10.a.2 has been filled first" sqref="F21:J21">
      <formula1>0</formula1>
      <formula2>F20</formula2>
    </dataValidation>
    <dataValidation type="whole" showInputMessage="1" showErrorMessage="1" error="The value should be less than or equal to 10.a.3. Please ensure that value of 10.a.3 has been filled first" sqref="F22:J22">
      <formula1>0</formula1>
      <formula2>F21</formula2>
    </dataValidation>
    <dataValidation type="whole" showInputMessage="1" showErrorMessage="1" error="The value should be less than or equal to 10.a.4. Please ensure that value of 10.a.4 has been filled first" sqref="F23:J23">
      <formula1>0</formula1>
      <formula2>F22</formula2>
    </dataValidation>
    <dataValidation type="whole" showInputMessage="1" showErrorMessage="1" error="The value should be less than or equal to 10.a.5. Please ensure that value of 10.a.5 has been filled first" sqref="F24:J24">
      <formula1>0</formula1>
      <formula2>F23</formula2>
    </dataValidation>
    <dataValidation type="whole" showInputMessage="1" showErrorMessage="1" error="The value should be less than or equal to 10.a.6. Please ensure that value of 10.a.6 has been filled first" sqref="F25:J25">
      <formula1>0</formula1>
      <formula2>F24</formula2>
    </dataValidation>
    <dataValidation type="whole" showInputMessage="1" showErrorMessage="1" error="The value should be less than or equal to 10.a.7. Please ensure that value of 10.a.7 has been filled first" sqref="F26:J26">
      <formula1>0</formula1>
      <formula2>F25</formula2>
    </dataValidation>
    <dataValidation type="whole" allowBlank="1" showInputMessage="1" showErrorMessage="1" error="The value should be less than or equal to 10.1 + 10.2. Please ensure that 10.1 and 10.2 have been filled first." sqref="F10:J10">
      <formula1>0</formula1>
      <formula2>F7+F8</formula2>
    </dataValidation>
    <dataValidation type="whole" showInputMessage="1" showErrorMessage="1" error="The value should be less than or equal to 10.5. Please ensure that value of 10.5 has been calculated first." sqref="F12:J16">
      <formula1>0</formula1>
      <formula2>F$11</formula2>
    </dataValidation>
    <dataValidation type="whole" operator="greaterThanOrEqual" showInputMessage="1" showErrorMessage="1" error="Please enter a valid positive number." sqref="F19:J19">
      <formula1>0</formula1>
    </dataValidation>
  </dataValidations>
  <pageMargins left="0.7" right="0.7" top="0.75" bottom="0.75" header="0.3" footer="0.3"/>
  <pageSetup scale="65" orientation="landscape" r:id="rId1"/>
  <drawing r:id="rId2"/>
  <extLst>
    <ext xmlns:x14="http://schemas.microsoft.com/office/spreadsheetml/2009/9/main" uri="{CCE6A557-97BC-4b89-ADB6-D9C93CAAB3DF}">
      <x14:dataValidations xmlns:xm="http://schemas.microsoft.com/office/excel/2006/main" count="2">
        <x14:dataValidation type="whole" showInputMessage="1" showErrorMessage="1" error="The value should be less than 3.10. Please ensure that 3.10 has been calculated first">
          <x14:formula1>
            <xm:f>0</xm:f>
          </x14:formula1>
          <x14:formula2>
            <xm:f>ART_2!F45</xm:f>
          </x14:formula2>
          <xm:sqref>F7:J7</xm:sqref>
        </x14:dataValidation>
        <x14:dataValidation type="whole" showInputMessage="1" showErrorMessage="1" error="The value should be less than 3.10. Please ensure that 3.10 has been calculated first">
          <x14:formula1>
            <xm:f>0</xm:f>
          </x14:formula1>
          <x14:formula2>
            <xm:f>ART_2!F45</xm:f>
          </x14:formula2>
          <xm:sqref>F8:J8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EADBC8"/>
  </sheetPr>
  <dimension ref="A1:XFC20"/>
  <sheetViews>
    <sheetView zoomScale="130" zoomScaleNormal="130" workbookViewId="0">
      <selection activeCell="D17" sqref="D17"/>
    </sheetView>
  </sheetViews>
  <sheetFormatPr defaultColWidth="0" defaultRowHeight="15" zeroHeight="1" x14ac:dyDescent="0.25"/>
  <cols>
    <col min="1" max="1" width="6.5703125" style="159" customWidth="1"/>
    <col min="2" max="2" width="34.7109375" style="160" customWidth="1"/>
    <col min="3" max="5" width="14.85546875" style="4" customWidth="1"/>
    <col min="6" max="6" width="33.28515625" style="161" customWidth="1"/>
    <col min="7" max="7" width="28.85546875" style="161" customWidth="1"/>
    <col min="8" max="9" width="0" style="157" hidden="1" customWidth="1"/>
    <col min="10" max="16383" width="8.28515625" style="157" hidden="1"/>
    <col min="16384" max="16384" width="1.42578125" style="157" hidden="1" customWidth="1"/>
  </cols>
  <sheetData>
    <row r="1" spans="1:7" ht="27" customHeight="1" x14ac:dyDescent="0.25">
      <c r="A1" s="477" t="s">
        <v>3363</v>
      </c>
      <c r="B1" s="478"/>
      <c r="C1" s="478"/>
      <c r="D1" s="478"/>
      <c r="E1" s="478"/>
      <c r="F1" s="478"/>
      <c r="G1" s="479"/>
    </row>
    <row r="2" spans="1:7" ht="22.15" customHeight="1" x14ac:dyDescent="0.25">
      <c r="A2" s="475" t="s">
        <v>3364</v>
      </c>
      <c r="B2" s="475"/>
      <c r="C2" s="163" t="str">
        <f>unique_ID</f>
        <v>ART-DL-SOU-02</v>
      </c>
      <c r="D2" s="162" t="s">
        <v>3365</v>
      </c>
      <c r="E2" s="167" t="s">
        <v>3769</v>
      </c>
      <c r="F2" s="162" t="s">
        <v>3366</v>
      </c>
      <c r="G2" s="167">
        <v>2025</v>
      </c>
    </row>
    <row r="3" spans="1:7" s="158" customFormat="1" ht="24.6" customHeight="1" thickBot="1" x14ac:dyDescent="0.3">
      <c r="A3" s="164" t="s">
        <v>3367</v>
      </c>
      <c r="B3" s="165" t="s">
        <v>3368</v>
      </c>
      <c r="C3" s="164" t="s">
        <v>3369</v>
      </c>
      <c r="D3" s="164" t="s">
        <v>3370</v>
      </c>
      <c r="E3" s="164" t="s">
        <v>3412</v>
      </c>
      <c r="F3" s="169" t="s">
        <v>3369</v>
      </c>
      <c r="G3" s="169" t="s">
        <v>3370</v>
      </c>
    </row>
    <row r="4" spans="1:7" ht="29.45" customHeight="1" x14ac:dyDescent="0.25">
      <c r="A4" s="170">
        <v>1</v>
      </c>
      <c r="B4" s="166" t="s">
        <v>3371</v>
      </c>
      <c r="C4" s="188">
        <v>312</v>
      </c>
      <c r="D4" s="188">
        <v>304</v>
      </c>
      <c r="E4" s="189">
        <f t="shared" ref="E4:E17" si="0">IFERROR(D4/C4,"FALSE")</f>
        <v>0.97435897435897434</v>
      </c>
      <c r="F4" s="186" t="s">
        <v>3387</v>
      </c>
      <c r="G4" s="168" t="s">
        <v>3386</v>
      </c>
    </row>
    <row r="5" spans="1:7" ht="23.45" customHeight="1" x14ac:dyDescent="0.25">
      <c r="A5" s="170">
        <v>2</v>
      </c>
      <c r="B5" s="166" t="s">
        <v>3372</v>
      </c>
      <c r="C5" s="188">
        <v>312</v>
      </c>
      <c r="D5" s="188">
        <v>46</v>
      </c>
      <c r="E5" s="187">
        <f t="shared" si="0"/>
        <v>0.14743589743589744</v>
      </c>
      <c r="F5" s="186" t="s">
        <v>3388</v>
      </c>
      <c r="G5" s="168" t="s">
        <v>3389</v>
      </c>
    </row>
    <row r="6" spans="1:7" ht="33.75" x14ac:dyDescent="0.25">
      <c r="A6" s="170">
        <v>3</v>
      </c>
      <c r="B6" s="166" t="s">
        <v>3373</v>
      </c>
      <c r="C6" s="188">
        <v>312</v>
      </c>
      <c r="D6" s="188">
        <v>7</v>
      </c>
      <c r="E6" s="187">
        <f t="shared" si="0"/>
        <v>2.2435897435897436E-2</v>
      </c>
      <c r="F6" s="186" t="s">
        <v>3390</v>
      </c>
      <c r="G6" s="168" t="s">
        <v>3391</v>
      </c>
    </row>
    <row r="7" spans="1:7" ht="21.6" customHeight="1" x14ac:dyDescent="0.25">
      <c r="A7" s="170">
        <v>4</v>
      </c>
      <c r="B7" s="166" t="s">
        <v>3374</v>
      </c>
      <c r="C7" s="188">
        <v>2025</v>
      </c>
      <c r="D7" s="188"/>
      <c r="E7" s="187">
        <f t="shared" si="0"/>
        <v>0</v>
      </c>
      <c r="F7" s="186" t="s">
        <v>3392</v>
      </c>
      <c r="G7" s="168" t="s">
        <v>3393</v>
      </c>
    </row>
    <row r="8" spans="1:7" ht="46.15" customHeight="1" x14ac:dyDescent="0.25">
      <c r="A8" s="170">
        <v>5</v>
      </c>
      <c r="B8" s="166" t="s">
        <v>3375</v>
      </c>
      <c r="C8" s="188">
        <v>2025</v>
      </c>
      <c r="D8" s="188">
        <v>1913</v>
      </c>
      <c r="E8" s="187">
        <f t="shared" si="0"/>
        <v>0.9446913580246914</v>
      </c>
      <c r="F8" s="186" t="s">
        <v>3394</v>
      </c>
      <c r="G8" s="168" t="s">
        <v>3395</v>
      </c>
    </row>
    <row r="9" spans="1:7" ht="45.6" customHeight="1" x14ac:dyDescent="0.25">
      <c r="A9" s="170">
        <v>6</v>
      </c>
      <c r="B9" s="166" t="s">
        <v>3376</v>
      </c>
      <c r="C9" s="188">
        <v>2025</v>
      </c>
      <c r="D9" s="188">
        <v>160</v>
      </c>
      <c r="E9" s="187">
        <f t="shared" si="0"/>
        <v>7.9012345679012344E-2</v>
      </c>
      <c r="F9" s="186" t="s">
        <v>3396</v>
      </c>
      <c r="G9" s="168" t="s">
        <v>3398</v>
      </c>
    </row>
    <row r="10" spans="1:7" ht="36" customHeight="1" x14ac:dyDescent="0.25">
      <c r="A10" s="170">
        <v>7</v>
      </c>
      <c r="B10" s="166" t="s">
        <v>3377</v>
      </c>
      <c r="C10" s="188">
        <v>1968</v>
      </c>
      <c r="D10" s="188">
        <v>1867</v>
      </c>
      <c r="E10" s="187">
        <f t="shared" si="0"/>
        <v>0.94867886178861793</v>
      </c>
      <c r="F10" s="186" t="s">
        <v>3618</v>
      </c>
      <c r="G10" s="186" t="s">
        <v>3397</v>
      </c>
    </row>
    <row r="11" spans="1:7" ht="26.45" customHeight="1" x14ac:dyDescent="0.25">
      <c r="A11" s="170">
        <v>8</v>
      </c>
      <c r="B11" s="166" t="s">
        <v>3378</v>
      </c>
      <c r="C11" s="188">
        <v>1867</v>
      </c>
      <c r="D11" s="188">
        <v>1760</v>
      </c>
      <c r="E11" s="187">
        <f t="shared" si="0"/>
        <v>0.94268880557043389</v>
      </c>
      <c r="F11" s="186" t="s">
        <v>3619</v>
      </c>
      <c r="G11" s="168" t="s">
        <v>3617</v>
      </c>
    </row>
    <row r="12" spans="1:7" ht="22.15" customHeight="1" x14ac:dyDescent="0.25">
      <c r="A12" s="170">
        <v>9</v>
      </c>
      <c r="B12" s="166" t="s">
        <v>3379</v>
      </c>
      <c r="C12" s="188">
        <v>121</v>
      </c>
      <c r="D12" s="188">
        <v>120</v>
      </c>
      <c r="E12" s="187">
        <f t="shared" si="0"/>
        <v>0.99173553719008267</v>
      </c>
      <c r="F12" s="186" t="s">
        <v>3399</v>
      </c>
      <c r="G12" s="168" t="s">
        <v>3400</v>
      </c>
    </row>
    <row r="13" spans="1:7" ht="27" customHeight="1" x14ac:dyDescent="0.25">
      <c r="A13" s="170">
        <v>10</v>
      </c>
      <c r="B13" s="166" t="s">
        <v>3380</v>
      </c>
      <c r="C13" s="188">
        <v>116</v>
      </c>
      <c r="D13" s="188">
        <v>114</v>
      </c>
      <c r="E13" s="187">
        <f t="shared" si="0"/>
        <v>0.98275862068965514</v>
      </c>
      <c r="F13" s="186" t="s">
        <v>3401</v>
      </c>
      <c r="G13" s="168" t="s">
        <v>3386</v>
      </c>
    </row>
    <row r="14" spans="1:7" ht="22.15" customHeight="1" x14ac:dyDescent="0.25">
      <c r="A14" s="170">
        <v>11</v>
      </c>
      <c r="B14" s="166" t="s">
        <v>3381</v>
      </c>
      <c r="C14" s="188">
        <v>40</v>
      </c>
      <c r="D14" s="188">
        <v>28</v>
      </c>
      <c r="E14" s="187">
        <f t="shared" si="0"/>
        <v>0.7</v>
      </c>
      <c r="F14" s="186" t="s">
        <v>3402</v>
      </c>
      <c r="G14" s="168" t="s">
        <v>3403</v>
      </c>
    </row>
    <row r="15" spans="1:7" ht="21.6" customHeight="1" x14ac:dyDescent="0.25">
      <c r="A15" s="170">
        <v>12</v>
      </c>
      <c r="B15" s="166" t="s">
        <v>3382</v>
      </c>
      <c r="C15" s="188">
        <v>63</v>
      </c>
      <c r="D15" s="188">
        <v>61</v>
      </c>
      <c r="E15" s="187">
        <f t="shared" si="0"/>
        <v>0.96825396825396826</v>
      </c>
      <c r="F15" s="186" t="s">
        <v>3404</v>
      </c>
      <c r="G15" s="168" t="s">
        <v>3405</v>
      </c>
    </row>
    <row r="16" spans="1:7" ht="37.5" customHeight="1" x14ac:dyDescent="0.25">
      <c r="A16" s="170">
        <v>13</v>
      </c>
      <c r="B16" s="166" t="s">
        <v>3383</v>
      </c>
      <c r="C16" s="188">
        <v>71</v>
      </c>
      <c r="D16" s="188">
        <v>24</v>
      </c>
      <c r="E16" s="187">
        <f t="shared" si="0"/>
        <v>0.3380281690140845</v>
      </c>
      <c r="F16" s="186" t="s">
        <v>3406</v>
      </c>
      <c r="G16" s="168" t="s">
        <v>3407</v>
      </c>
    </row>
    <row r="17" spans="1:7" ht="36" customHeight="1" x14ac:dyDescent="0.25">
      <c r="A17" s="170">
        <v>14</v>
      </c>
      <c r="B17" s="166" t="s">
        <v>3384</v>
      </c>
      <c r="C17" s="188">
        <v>8</v>
      </c>
      <c r="D17" s="188">
        <v>4</v>
      </c>
      <c r="E17" s="187">
        <f t="shared" si="0"/>
        <v>0.5</v>
      </c>
      <c r="F17" s="186" t="s">
        <v>3408</v>
      </c>
      <c r="G17" s="168" t="s">
        <v>3409</v>
      </c>
    </row>
    <row r="18" spans="1:7" ht="36" customHeight="1" thickBot="1" x14ac:dyDescent="0.3">
      <c r="A18" s="170">
        <v>15</v>
      </c>
      <c r="B18" s="166" t="s">
        <v>3385</v>
      </c>
      <c r="C18" s="188">
        <v>4</v>
      </c>
      <c r="D18" s="188">
        <v>2</v>
      </c>
      <c r="E18" s="190">
        <f t="shared" ref="E18:E19" si="1">IFERROR(D18/C18,"FALSE")</f>
        <v>0.5</v>
      </c>
      <c r="F18" s="186" t="s">
        <v>3410</v>
      </c>
      <c r="G18" s="168" t="s">
        <v>3411</v>
      </c>
    </row>
    <row r="19" spans="1:7" ht="27" customHeight="1" thickBot="1" x14ac:dyDescent="0.3">
      <c r="A19" s="170">
        <v>16</v>
      </c>
      <c r="B19" s="166" t="s">
        <v>3436</v>
      </c>
      <c r="C19" s="188">
        <v>2036</v>
      </c>
      <c r="D19" s="188">
        <v>2025</v>
      </c>
      <c r="E19" s="190">
        <f t="shared" si="1"/>
        <v>0.99459724950884087</v>
      </c>
      <c r="F19" s="186" t="s">
        <v>3437</v>
      </c>
      <c r="G19" s="168" t="s">
        <v>3438</v>
      </c>
    </row>
    <row r="20" spans="1:7" customFormat="1" ht="30" customHeight="1" x14ac:dyDescent="0.25">
      <c r="A20" s="425"/>
      <c r="B20" s="425"/>
      <c r="C20" s="425"/>
      <c r="D20" s="425"/>
      <c r="E20" s="476"/>
      <c r="F20" s="476"/>
      <c r="G20" s="476"/>
    </row>
  </sheetData>
  <sheetProtection password="E966" sheet="1" objects="1" scenarios="1"/>
  <mergeCells count="3">
    <mergeCell ref="A2:B2"/>
    <mergeCell ref="A20:G20"/>
    <mergeCell ref="A1:G1"/>
  </mergeCells>
  <conditionalFormatting sqref="E4">
    <cfRule type="cellIs" dxfId="73" priority="68" operator="greaterThan">
      <formula>1</formula>
    </cfRule>
    <cfRule type="cellIs" dxfId="72" priority="69" operator="greaterThanOrEqual">
      <formula>0.98</formula>
    </cfRule>
    <cfRule type="cellIs" dxfId="71" priority="70" operator="between">
      <formula>0.95</formula>
      <formula>0.979999</formula>
    </cfRule>
    <cfRule type="cellIs" dxfId="70" priority="71" operator="between">
      <formula>0</formula>
      <formula>0.94999</formula>
    </cfRule>
  </conditionalFormatting>
  <conditionalFormatting sqref="E5">
    <cfRule type="cellIs" dxfId="69" priority="64" operator="greaterThan">
      <formula>1.0001</formula>
    </cfRule>
    <cfRule type="cellIs" dxfId="68" priority="65" operator="greaterThanOrEqual">
      <formula>0.061</formula>
    </cfRule>
    <cfRule type="cellIs" dxfId="67" priority="66" operator="between">
      <formula>0.031</formula>
      <formula>0.06</formula>
    </cfRule>
    <cfRule type="cellIs" dxfId="66" priority="67" operator="between">
      <formula>0</formula>
      <formula>0.03</formula>
    </cfRule>
  </conditionalFormatting>
  <conditionalFormatting sqref="E6">
    <cfRule type="cellIs" dxfId="65" priority="60" operator="greaterThan">
      <formula>1.0001</formula>
    </cfRule>
    <cfRule type="cellIs" dxfId="64" priority="61" operator="greaterThan">
      <formula>5.01%</formula>
    </cfRule>
    <cfRule type="cellIs" dxfId="63" priority="62" operator="between">
      <formula>0.0201</formula>
      <formula>0.05</formula>
    </cfRule>
    <cfRule type="cellIs" dxfId="62" priority="63" operator="between">
      <formula>0</formula>
      <formula>0.02</formula>
    </cfRule>
  </conditionalFormatting>
  <conditionalFormatting sqref="E13">
    <cfRule type="cellIs" dxfId="61" priority="18" operator="greaterThan">
      <formula>1.0001</formula>
    </cfRule>
    <cfRule type="cellIs" dxfId="60" priority="57" operator="greaterThanOrEqual">
      <formula>0.97</formula>
    </cfRule>
    <cfRule type="cellIs" dxfId="59" priority="58" operator="between">
      <formula>0.85</formula>
      <formula>0.9699</formula>
    </cfRule>
    <cfRule type="cellIs" dxfId="58" priority="59" operator="between">
      <formula>0</formula>
      <formula>0.8499</formula>
    </cfRule>
  </conditionalFormatting>
  <conditionalFormatting sqref="E16">
    <cfRule type="cellIs" dxfId="57" priority="15" operator="greaterThan">
      <formula>1.0001</formula>
    </cfRule>
    <cfRule type="cellIs" dxfId="56" priority="54" operator="greaterThanOrEqual">
      <formula>0.95</formula>
    </cfRule>
    <cfRule type="cellIs" dxfId="55" priority="55" operator="between">
      <formula>0.9</formula>
      <formula>0.9499</formula>
    </cfRule>
    <cfRule type="cellIs" dxfId="54" priority="56" operator="between">
      <formula>0</formula>
      <formula>0.8999</formula>
    </cfRule>
  </conditionalFormatting>
  <conditionalFormatting sqref="E17">
    <cfRule type="cellIs" dxfId="53" priority="14" operator="greaterThan">
      <formula>1.0001</formula>
    </cfRule>
    <cfRule type="cellIs" dxfId="52" priority="51" operator="greaterThanOrEqual">
      <formula>0.95</formula>
    </cfRule>
    <cfRule type="cellIs" dxfId="51" priority="52" operator="between">
      <formula>0.9</formula>
      <formula>94.99</formula>
    </cfRule>
    <cfRule type="cellIs" dxfId="50" priority="53" operator="between">
      <formula>0</formula>
      <formula>0.8999</formula>
    </cfRule>
  </conditionalFormatting>
  <conditionalFormatting sqref="E7">
    <cfRule type="cellIs" dxfId="49" priority="23" operator="greaterThan">
      <formula>1.0001</formula>
    </cfRule>
    <cfRule type="cellIs" dxfId="48" priority="48" operator="greaterThanOrEqual">
      <formula>0.6</formula>
    </cfRule>
    <cfRule type="cellIs" dxfId="47" priority="49" operator="between">
      <formula>0.45</formula>
      <formula>0.5999</formula>
    </cfRule>
    <cfRule type="cellIs" dxfId="46" priority="50" operator="between">
      <formula>0</formula>
      <formula>0.4499</formula>
    </cfRule>
  </conditionalFormatting>
  <conditionalFormatting sqref="E8">
    <cfRule type="containsText" dxfId="45" priority="12" operator="containsText" text="FALSE">
      <formula>NOT(ISERROR(SEARCH("FALSE",E8)))</formula>
    </cfRule>
    <cfRule type="cellIs" dxfId="44" priority="45" operator="greaterThanOrEqual">
      <formula>0.985</formula>
    </cfRule>
    <cfRule type="cellIs" dxfId="43" priority="46" operator="between">
      <formula>0.97</formula>
      <formula>0.9849</formula>
    </cfRule>
    <cfRule type="cellIs" dxfId="42" priority="47" operator="between">
      <formula>0</formula>
      <formula>0.9699</formula>
    </cfRule>
  </conditionalFormatting>
  <conditionalFormatting sqref="E9">
    <cfRule type="cellIs" dxfId="41" priority="22" operator="greaterThan">
      <formula>1.0001</formula>
    </cfRule>
    <cfRule type="cellIs" dxfId="40" priority="42" operator="greaterThanOrEqual">
      <formula>0.021</formula>
    </cfRule>
    <cfRule type="cellIs" dxfId="39" priority="43" operator="between">
      <formula>0.011</formula>
      <formula>0.02</formula>
    </cfRule>
    <cfRule type="cellIs" dxfId="38" priority="44" operator="between">
      <formula>0</formula>
      <formula>0.01</formula>
    </cfRule>
  </conditionalFormatting>
  <conditionalFormatting sqref="E10">
    <cfRule type="cellIs" dxfId="37" priority="21" operator="greaterThan">
      <formula>1.0001</formula>
    </cfRule>
    <cfRule type="cellIs" dxfId="36" priority="39" operator="greaterThanOrEqual">
      <formula>0.8</formula>
    </cfRule>
    <cfRule type="cellIs" dxfId="35" priority="40" operator="between">
      <formula>0.6</formula>
      <formula>79.99</formula>
    </cfRule>
    <cfRule type="cellIs" dxfId="34" priority="41" operator="between">
      <formula>0</formula>
      <formula>0.5999</formula>
    </cfRule>
  </conditionalFormatting>
  <conditionalFormatting sqref="E11">
    <cfRule type="cellIs" dxfId="33" priority="20" operator="greaterThan">
      <formula>1.0001</formula>
    </cfRule>
    <cfRule type="cellIs" dxfId="32" priority="36" operator="greaterThanOrEqual">
      <formula>0.95</formula>
    </cfRule>
    <cfRule type="cellIs" dxfId="31" priority="37" operator="between">
      <formula>0.9</formula>
      <formula>0.9499</formula>
    </cfRule>
    <cfRule type="cellIs" dxfId="30" priority="38" operator="between">
      <formula>0</formula>
      <formula>0.8999</formula>
    </cfRule>
  </conditionalFormatting>
  <conditionalFormatting sqref="E12">
    <cfRule type="cellIs" dxfId="29" priority="19" operator="greaterThan">
      <formula>1.0001</formula>
    </cfRule>
    <cfRule type="cellIs" dxfId="28" priority="33" operator="greaterThanOrEqual">
      <formula>1</formula>
    </cfRule>
    <cfRule type="cellIs" dxfId="27" priority="34" operator="between">
      <formula>0.95</formula>
      <formula>0.9999</formula>
    </cfRule>
    <cfRule type="cellIs" dxfId="26" priority="35" operator="between">
      <formula>0</formula>
      <formula>0.9499</formula>
    </cfRule>
  </conditionalFormatting>
  <conditionalFormatting sqref="E14">
    <cfRule type="cellIs" dxfId="25" priority="17" operator="greaterThan">
      <formula>1.0001</formula>
    </cfRule>
    <cfRule type="cellIs" dxfId="24" priority="30" operator="greaterThanOrEqual">
      <formula>0.85</formula>
    </cfRule>
    <cfRule type="cellIs" dxfId="23" priority="31" operator="between">
      <formula>0.7</formula>
      <formula>0.8499</formula>
    </cfRule>
    <cfRule type="cellIs" dxfId="22" priority="32" operator="between">
      <formula>0</formula>
      <formula>0.6999</formula>
    </cfRule>
  </conditionalFormatting>
  <conditionalFormatting sqref="E15">
    <cfRule type="cellIs" dxfId="21" priority="16" operator="greaterThan">
      <formula>1.0001</formula>
    </cfRule>
    <cfRule type="cellIs" dxfId="20" priority="27" operator="greaterThanOrEqual">
      <formula>0.85</formula>
    </cfRule>
    <cfRule type="cellIs" dxfId="19" priority="28" operator="between">
      <formula>0.7</formula>
      <formula>0.8499</formula>
    </cfRule>
    <cfRule type="cellIs" dxfId="18" priority="29" operator="between">
      <formula>0</formula>
      <formula>0.6999</formula>
    </cfRule>
  </conditionalFormatting>
  <conditionalFormatting sqref="E18">
    <cfRule type="cellIs" dxfId="17" priority="8" operator="greaterThan">
      <formula>1.0001</formula>
    </cfRule>
    <cfRule type="cellIs" dxfId="16" priority="9" operator="greaterThanOrEqual">
      <formula>0.95</formula>
    </cfRule>
    <cfRule type="cellIs" dxfId="15" priority="10" operator="between">
      <formula>0.8</formula>
      <formula>0.9499</formula>
    </cfRule>
    <cfRule type="cellIs" dxfId="14" priority="11" operator="between">
      <formula>0</formula>
      <formula>0.7999</formula>
    </cfRule>
  </conditionalFormatting>
  <conditionalFormatting sqref="E19">
    <cfRule type="cellIs" dxfId="13" priority="1" operator="greaterThan">
      <formula>1.0001</formula>
    </cfRule>
    <cfRule type="cellIs" dxfId="12" priority="2" operator="equal">
      <formula>0%</formula>
    </cfRule>
    <cfRule type="cellIs" dxfId="11" priority="3" operator="between">
      <formula>0.001</formula>
      <formula>0.05</formula>
    </cfRule>
    <cfRule type="cellIs" dxfId="10" priority="4" operator="greaterThanOrEqual">
      <formula>0.051</formula>
    </cfRule>
  </conditionalFormatting>
  <dataValidations count="6">
    <dataValidation type="list" allowBlank="1" showInputMessage="1" showErrorMessage="1" sqref="G2">
      <formula1>"2023,2024,2025,2026"</formula1>
    </dataValidation>
    <dataValidation allowBlank="1" sqref="C2"/>
    <dataValidation type="list" allowBlank="1" showInputMessage="1" showErrorMessage="1" sqref="E2">
      <formula1>"Q- 1(April to June), Q - 2 (July to Sep.), Q - 3 (Oct. to Dec.), Q -4 (Jan. to March)"</formula1>
    </dataValidation>
    <dataValidation type="whole" operator="greaterThanOrEqual" allowBlank="1" showInputMessage="1" showErrorMessage="1" error="The valuse should be less than or equal to Numerator. " sqref="C4:C19">
      <formula1>D4</formula1>
    </dataValidation>
    <dataValidation type="whole" operator="lessThanOrEqual" allowBlank="1" showInputMessage="1" showErrorMessage="1" error="The Value should be less than or equal to Denominator" sqref="D4">
      <formula1>C4</formula1>
    </dataValidation>
    <dataValidation type="whole" operator="lessThanOrEqual" allowBlank="1" showInputMessage="1" showErrorMessage="1" error="The value should be less than or equal to Denominator" sqref="D5:D19">
      <formula1>C5</formula1>
    </dataValidation>
  </dataValidations>
  <pageMargins left="0.7" right="0.7" top="0.75" bottom="0.75" header="0.3" footer="0.3"/>
  <pageSetup scale="8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FC1508"/>
  <sheetViews>
    <sheetView topLeftCell="A652" zoomScale="115" zoomScaleNormal="115" workbookViewId="0">
      <selection activeCell="B643" sqref="B643"/>
    </sheetView>
  </sheetViews>
  <sheetFormatPr defaultColWidth="0" defaultRowHeight="14.25" zeroHeight="1" x14ac:dyDescent="0.2"/>
  <cols>
    <col min="1" max="1" width="18.85546875" style="18" customWidth="1"/>
    <col min="2" max="2" width="21.140625" style="146" customWidth="1"/>
    <col min="3" max="3" width="17.42578125" style="146" customWidth="1"/>
    <col min="4" max="4" width="60.5703125" style="147" customWidth="1"/>
    <col min="5" max="5" width="8.28515625" style="18" customWidth="1"/>
    <col min="6" max="6" width="10.140625" style="148" customWidth="1"/>
    <col min="7" max="7" width="77.42578125" style="18" customWidth="1"/>
    <col min="8" max="8" width="9.140625" style="18" hidden="1" customWidth="1"/>
    <col min="9" max="9" width="12.28515625" style="51" hidden="1" customWidth="1"/>
    <col min="10" max="10" width="13.85546875" style="51" hidden="1" customWidth="1"/>
    <col min="11" max="12" width="0" style="18" hidden="1" customWidth="1"/>
    <col min="13" max="16383" width="9.140625" style="18" hidden="1"/>
    <col min="16384" max="16384" width="0" style="18" hidden="1"/>
  </cols>
  <sheetData>
    <row r="1" spans="1:11 16383:16383" x14ac:dyDescent="0.2">
      <c r="A1" s="480" t="s">
        <v>2246</v>
      </c>
      <c r="B1" s="481"/>
      <c r="C1" s="481"/>
      <c r="D1" s="481"/>
      <c r="E1" s="481"/>
      <c r="F1" s="481"/>
      <c r="G1" s="482"/>
    </row>
    <row r="2" spans="1:11 16383:16383" x14ac:dyDescent="0.2">
      <c r="B2" s="132"/>
      <c r="C2" s="133"/>
      <c r="D2" s="134"/>
      <c r="E2" s="132"/>
      <c r="F2" s="135"/>
      <c r="G2" s="132"/>
    </row>
    <row r="3" spans="1:11 16383:16383" s="151" customFormat="1" ht="21" x14ac:dyDescent="0.25">
      <c r="A3" s="24" t="s">
        <v>89</v>
      </c>
      <c r="B3" s="24" t="s">
        <v>88</v>
      </c>
      <c r="C3" s="130" t="s">
        <v>90</v>
      </c>
      <c r="D3" s="24" t="s">
        <v>178</v>
      </c>
      <c r="E3" s="24" t="s">
        <v>882</v>
      </c>
      <c r="F3" s="24" t="s">
        <v>877</v>
      </c>
      <c r="G3" s="24" t="s">
        <v>179</v>
      </c>
      <c r="H3" s="243"/>
    </row>
    <row r="4" spans="1:11 16383:16383" x14ac:dyDescent="0.2">
      <c r="A4" s="139" t="s">
        <v>1895</v>
      </c>
      <c r="B4" s="136" t="s">
        <v>93</v>
      </c>
      <c r="C4" s="136" t="s">
        <v>1902</v>
      </c>
      <c r="D4" s="207" t="s">
        <v>1890</v>
      </c>
      <c r="E4" s="207" t="s">
        <v>3187</v>
      </c>
      <c r="F4" s="207" t="s">
        <v>1233</v>
      </c>
      <c r="G4" s="208" t="s">
        <v>1988</v>
      </c>
      <c r="H4" s="244"/>
      <c r="K4" s="17"/>
    </row>
    <row r="5" spans="1:11 16383:16383" x14ac:dyDescent="0.2">
      <c r="A5" s="139" t="s">
        <v>1261</v>
      </c>
      <c r="B5" s="136" t="s">
        <v>94</v>
      </c>
      <c r="C5" s="136" t="s">
        <v>181</v>
      </c>
      <c r="D5" s="207" t="s">
        <v>181</v>
      </c>
      <c r="E5" s="207" t="s">
        <v>983</v>
      </c>
      <c r="F5" s="207" t="s">
        <v>1234</v>
      </c>
      <c r="G5" s="208" t="s">
        <v>182</v>
      </c>
      <c r="H5" s="244"/>
      <c r="K5" s="17"/>
      <c r="XFC5" s="20"/>
    </row>
    <row r="6" spans="1:11 16383:16383" x14ac:dyDescent="0.2">
      <c r="A6" s="139" t="s">
        <v>1607</v>
      </c>
      <c r="B6" s="136" t="s">
        <v>94</v>
      </c>
      <c r="C6" s="136" t="s">
        <v>181</v>
      </c>
      <c r="D6" s="207" t="s">
        <v>213</v>
      </c>
      <c r="E6" s="207" t="s">
        <v>983</v>
      </c>
      <c r="F6" s="207" t="s">
        <v>1234</v>
      </c>
      <c r="G6" s="208" t="s">
        <v>214</v>
      </c>
      <c r="H6" s="244"/>
      <c r="K6" s="17"/>
      <c r="XFC6" s="20"/>
    </row>
    <row r="7" spans="1:11 16383:16383" x14ac:dyDescent="0.2">
      <c r="A7" s="139" t="s">
        <v>1608</v>
      </c>
      <c r="B7" s="136" t="s">
        <v>94</v>
      </c>
      <c r="C7" s="136" t="s">
        <v>181</v>
      </c>
      <c r="D7" s="207" t="s">
        <v>218</v>
      </c>
      <c r="E7" s="207" t="s">
        <v>983</v>
      </c>
      <c r="F7" s="207" t="s">
        <v>1234</v>
      </c>
      <c r="G7" s="208" t="s">
        <v>219</v>
      </c>
      <c r="H7" s="244"/>
      <c r="K7" s="17"/>
      <c r="XFC7" s="20"/>
    </row>
    <row r="8" spans="1:11 16383:16383" x14ac:dyDescent="0.2">
      <c r="A8" s="139" t="s">
        <v>1262</v>
      </c>
      <c r="B8" s="136" t="s">
        <v>94</v>
      </c>
      <c r="C8" s="136" t="s">
        <v>185</v>
      </c>
      <c r="D8" s="207" t="s">
        <v>185</v>
      </c>
      <c r="E8" s="207" t="s">
        <v>985</v>
      </c>
      <c r="F8" s="207" t="s">
        <v>1234</v>
      </c>
      <c r="G8" s="208" t="s">
        <v>1989</v>
      </c>
      <c r="H8" s="244"/>
      <c r="K8" s="17"/>
      <c r="XFC8" s="20"/>
    </row>
    <row r="9" spans="1:11 16383:16383" x14ac:dyDescent="0.2">
      <c r="A9" s="139" t="s">
        <v>1609</v>
      </c>
      <c r="B9" s="136" t="s">
        <v>94</v>
      </c>
      <c r="C9" s="136" t="s">
        <v>185</v>
      </c>
      <c r="D9" s="207" t="s">
        <v>205</v>
      </c>
      <c r="E9" s="207" t="s">
        <v>985</v>
      </c>
      <c r="F9" s="207" t="s">
        <v>1234</v>
      </c>
      <c r="G9" s="208" t="s">
        <v>1990</v>
      </c>
      <c r="H9" s="244"/>
      <c r="K9" s="17"/>
      <c r="XFC9" s="20"/>
    </row>
    <row r="10" spans="1:11 16383:16383" x14ac:dyDescent="0.2">
      <c r="A10" s="139" t="s">
        <v>1610</v>
      </c>
      <c r="B10" s="136" t="s">
        <v>94</v>
      </c>
      <c r="C10" s="136" t="s">
        <v>185</v>
      </c>
      <c r="D10" s="207" t="s">
        <v>222</v>
      </c>
      <c r="E10" s="207" t="s">
        <v>985</v>
      </c>
      <c r="F10" s="207" t="s">
        <v>1234</v>
      </c>
      <c r="G10" s="208" t="s">
        <v>1991</v>
      </c>
      <c r="H10" s="244"/>
      <c r="K10" s="17"/>
      <c r="XFC10" s="20"/>
    </row>
    <row r="11" spans="1:11 16383:16383" x14ac:dyDescent="0.2">
      <c r="A11" s="139" t="s">
        <v>2966</v>
      </c>
      <c r="B11" s="136" t="s">
        <v>94</v>
      </c>
      <c r="C11" s="136" t="s">
        <v>185</v>
      </c>
      <c r="D11" s="207" t="s">
        <v>2967</v>
      </c>
      <c r="E11" s="207" t="s">
        <v>985</v>
      </c>
      <c r="F11" s="207" t="s">
        <v>1234</v>
      </c>
      <c r="G11" s="208" t="s">
        <v>2968</v>
      </c>
      <c r="H11" s="244"/>
      <c r="K11" s="17"/>
      <c r="XFC11" s="20"/>
    </row>
    <row r="12" spans="1:11 16383:16383" x14ac:dyDescent="0.2">
      <c r="A12" s="139" t="s">
        <v>1263</v>
      </c>
      <c r="B12" s="136" t="s">
        <v>94</v>
      </c>
      <c r="C12" s="136" t="s">
        <v>191</v>
      </c>
      <c r="D12" s="207" t="s">
        <v>190</v>
      </c>
      <c r="E12" s="207" t="s">
        <v>988</v>
      </c>
      <c r="F12" s="207" t="s">
        <v>1234</v>
      </c>
      <c r="G12" s="208" t="s">
        <v>1992</v>
      </c>
      <c r="H12" s="244"/>
      <c r="K12" s="17"/>
      <c r="XFC12" s="20"/>
    </row>
    <row r="13" spans="1:11 16383:16383" x14ac:dyDescent="0.2">
      <c r="A13" s="139" t="s">
        <v>1611</v>
      </c>
      <c r="B13" s="136" t="s">
        <v>94</v>
      </c>
      <c r="C13" s="136" t="s">
        <v>191</v>
      </c>
      <c r="D13" s="207" t="s">
        <v>200</v>
      </c>
      <c r="E13" s="207" t="s">
        <v>988</v>
      </c>
      <c r="F13" s="207" t="s">
        <v>1234</v>
      </c>
      <c r="G13" s="208" t="s">
        <v>201</v>
      </c>
      <c r="H13" s="244"/>
      <c r="K13" s="17"/>
      <c r="XFC13" s="20"/>
    </row>
    <row r="14" spans="1:11 16383:16383" x14ac:dyDescent="0.2">
      <c r="A14" s="139" t="s">
        <v>1612</v>
      </c>
      <c r="B14" s="136" t="s">
        <v>94</v>
      </c>
      <c r="C14" s="136" t="s">
        <v>191</v>
      </c>
      <c r="D14" s="207" t="s">
        <v>1614</v>
      </c>
      <c r="E14" s="207" t="s">
        <v>988</v>
      </c>
      <c r="F14" s="207" t="s">
        <v>1234</v>
      </c>
      <c r="G14" s="208" t="s">
        <v>1993</v>
      </c>
      <c r="H14" s="244"/>
      <c r="K14" s="17"/>
      <c r="XFC14" s="20"/>
    </row>
    <row r="15" spans="1:11 16383:16383" x14ac:dyDescent="0.2">
      <c r="A15" s="139" t="s">
        <v>1613</v>
      </c>
      <c r="B15" s="136" t="s">
        <v>94</v>
      </c>
      <c r="C15" s="136" t="s">
        <v>191</v>
      </c>
      <c r="D15" s="207" t="s">
        <v>224</v>
      </c>
      <c r="E15" s="207" t="s">
        <v>988</v>
      </c>
      <c r="F15" s="207" t="s">
        <v>1234</v>
      </c>
      <c r="G15" s="208" t="s">
        <v>225</v>
      </c>
      <c r="H15" s="244"/>
      <c r="K15" s="17"/>
      <c r="XFC15" s="20"/>
    </row>
    <row r="16" spans="1:11 16383:16383" x14ac:dyDescent="0.2">
      <c r="A16" s="139" t="s">
        <v>2889</v>
      </c>
      <c r="B16" s="136" t="s">
        <v>94</v>
      </c>
      <c r="C16" s="136" t="s">
        <v>191</v>
      </c>
      <c r="D16" s="207" t="s">
        <v>2891</v>
      </c>
      <c r="E16" s="207" t="s">
        <v>988</v>
      </c>
      <c r="F16" s="207" t="s">
        <v>1234</v>
      </c>
      <c r="G16" s="208" t="s">
        <v>2893</v>
      </c>
      <c r="H16" s="244"/>
      <c r="K16" s="17"/>
      <c r="XFC16" s="20"/>
    </row>
    <row r="17" spans="1:11 16383:16383" x14ac:dyDescent="0.2">
      <c r="A17" s="139" t="s">
        <v>2890</v>
      </c>
      <c r="B17" s="136" t="s">
        <v>94</v>
      </c>
      <c r="C17" s="136" t="s">
        <v>191</v>
      </c>
      <c r="D17" s="207" t="s">
        <v>2892</v>
      </c>
      <c r="E17" s="207" t="s">
        <v>988</v>
      </c>
      <c r="F17" s="207" t="s">
        <v>1234</v>
      </c>
      <c r="G17" s="208" t="s">
        <v>2894</v>
      </c>
      <c r="H17" s="244"/>
      <c r="K17" s="17"/>
      <c r="XFC17" s="20"/>
    </row>
    <row r="18" spans="1:11 16383:16383" x14ac:dyDescent="0.2">
      <c r="A18" s="139" t="s">
        <v>2974</v>
      </c>
      <c r="B18" s="136" t="s">
        <v>94</v>
      </c>
      <c r="C18" s="136" t="s">
        <v>191</v>
      </c>
      <c r="D18" s="207" t="s">
        <v>2975</v>
      </c>
      <c r="E18" s="207" t="s">
        <v>988</v>
      </c>
      <c r="F18" s="207" t="s">
        <v>1234</v>
      </c>
      <c r="G18" s="208" t="s">
        <v>2976</v>
      </c>
      <c r="H18" s="244"/>
      <c r="K18" s="17"/>
      <c r="XFC18" s="20"/>
    </row>
    <row r="19" spans="1:11 16383:16383" x14ac:dyDescent="0.2">
      <c r="A19" s="139" t="s">
        <v>3439</v>
      </c>
      <c r="B19" s="136" t="s">
        <v>94</v>
      </c>
      <c r="C19" s="136" t="s">
        <v>191</v>
      </c>
      <c r="D19" s="207" t="s">
        <v>3502</v>
      </c>
      <c r="E19" s="207" t="s">
        <v>988</v>
      </c>
      <c r="F19" s="207" t="s">
        <v>1234</v>
      </c>
      <c r="G19" s="208" t="s">
        <v>3503</v>
      </c>
      <c r="H19" s="244"/>
      <c r="K19" s="17"/>
      <c r="XFC19" s="20"/>
    </row>
    <row r="20" spans="1:11 16383:16383" x14ac:dyDescent="0.2">
      <c r="A20" s="139" t="s">
        <v>1264</v>
      </c>
      <c r="B20" s="136" t="s">
        <v>94</v>
      </c>
      <c r="C20" s="136" t="s">
        <v>188</v>
      </c>
      <c r="D20" s="207" t="s">
        <v>188</v>
      </c>
      <c r="E20" s="207" t="s">
        <v>987</v>
      </c>
      <c r="F20" s="207" t="s">
        <v>1234</v>
      </c>
      <c r="G20" s="208" t="s">
        <v>1994</v>
      </c>
      <c r="H20" s="244"/>
      <c r="K20" s="17"/>
      <c r="XFC20" s="20"/>
    </row>
    <row r="21" spans="1:11 16383:16383" x14ac:dyDescent="0.2">
      <c r="A21" s="139" t="s">
        <v>1615</v>
      </c>
      <c r="B21" s="136" t="s">
        <v>94</v>
      </c>
      <c r="C21" s="136" t="s">
        <v>188</v>
      </c>
      <c r="D21" s="207" t="s">
        <v>203</v>
      </c>
      <c r="E21" s="207" t="s">
        <v>987</v>
      </c>
      <c r="F21" s="207" t="s">
        <v>1234</v>
      </c>
      <c r="G21" s="208" t="s">
        <v>204</v>
      </c>
      <c r="H21" s="244"/>
      <c r="K21" s="17"/>
      <c r="XFC21" s="20"/>
    </row>
    <row r="22" spans="1:11 16383:16383" x14ac:dyDescent="0.2">
      <c r="A22" s="139" t="s">
        <v>1616</v>
      </c>
      <c r="B22" s="136" t="s">
        <v>94</v>
      </c>
      <c r="C22" s="136" t="s">
        <v>188</v>
      </c>
      <c r="D22" s="207" t="s">
        <v>210</v>
      </c>
      <c r="E22" s="207" t="s">
        <v>987</v>
      </c>
      <c r="F22" s="207" t="s">
        <v>1234</v>
      </c>
      <c r="G22" s="208" t="s">
        <v>1995</v>
      </c>
      <c r="H22" s="244"/>
      <c r="K22" s="17"/>
      <c r="XFC22" s="20"/>
    </row>
    <row r="23" spans="1:11 16383:16383" x14ac:dyDescent="0.2">
      <c r="A23" s="139" t="s">
        <v>1617</v>
      </c>
      <c r="B23" s="136" t="s">
        <v>94</v>
      </c>
      <c r="C23" s="136" t="s">
        <v>188</v>
      </c>
      <c r="D23" s="207" t="s">
        <v>212</v>
      </c>
      <c r="E23" s="207" t="s">
        <v>987</v>
      </c>
      <c r="F23" s="207" t="s">
        <v>1234</v>
      </c>
      <c r="G23" s="208" t="s">
        <v>1996</v>
      </c>
      <c r="H23" s="244"/>
      <c r="K23" s="17"/>
      <c r="XFC23" s="20"/>
    </row>
    <row r="24" spans="1:11 16383:16383" x14ac:dyDescent="0.2">
      <c r="A24" s="139" t="s">
        <v>1618</v>
      </c>
      <c r="B24" s="136" t="s">
        <v>94</v>
      </c>
      <c r="C24" s="136" t="s">
        <v>188</v>
      </c>
      <c r="D24" s="207" t="s">
        <v>216</v>
      </c>
      <c r="E24" s="207" t="s">
        <v>987</v>
      </c>
      <c r="F24" s="207" t="s">
        <v>1234</v>
      </c>
      <c r="G24" s="208" t="s">
        <v>217</v>
      </c>
      <c r="H24" s="244"/>
      <c r="K24" s="17"/>
      <c r="XFC24" s="20"/>
    </row>
    <row r="25" spans="1:11 16383:16383" x14ac:dyDescent="0.2">
      <c r="A25" s="139" t="s">
        <v>1619</v>
      </c>
      <c r="B25" s="136" t="s">
        <v>94</v>
      </c>
      <c r="C25" s="136" t="s">
        <v>188</v>
      </c>
      <c r="D25" s="207" t="s">
        <v>227</v>
      </c>
      <c r="E25" s="207" t="s">
        <v>987</v>
      </c>
      <c r="F25" s="207" t="s">
        <v>1234</v>
      </c>
      <c r="G25" s="208" t="s">
        <v>228</v>
      </c>
      <c r="H25" s="244"/>
      <c r="K25" s="17"/>
      <c r="XFC25" s="20"/>
    </row>
    <row r="26" spans="1:11 16383:16383" x14ac:dyDescent="0.2">
      <c r="A26" s="139" t="s">
        <v>3440</v>
      </c>
      <c r="B26" s="136" t="s">
        <v>94</v>
      </c>
      <c r="C26" s="136" t="s">
        <v>188</v>
      </c>
      <c r="D26" s="207" t="s">
        <v>3504</v>
      </c>
      <c r="E26" s="207" t="s">
        <v>987</v>
      </c>
      <c r="F26" s="207" t="s">
        <v>1234</v>
      </c>
      <c r="G26" s="208" t="s">
        <v>3505</v>
      </c>
      <c r="H26" s="244"/>
      <c r="K26" s="17"/>
      <c r="XFC26" s="20"/>
    </row>
    <row r="27" spans="1:11 16383:16383" x14ac:dyDescent="0.2">
      <c r="A27" s="139" t="s">
        <v>1265</v>
      </c>
      <c r="B27" s="136" t="s">
        <v>94</v>
      </c>
      <c r="C27" s="136" t="s">
        <v>189</v>
      </c>
      <c r="D27" s="207" t="s">
        <v>189</v>
      </c>
      <c r="E27" s="207" t="s">
        <v>883</v>
      </c>
      <c r="F27" s="207" t="s">
        <v>1234</v>
      </c>
      <c r="G27" s="208" t="s">
        <v>1997</v>
      </c>
      <c r="H27" s="244"/>
      <c r="K27" s="17"/>
      <c r="XFC27" s="20"/>
    </row>
    <row r="28" spans="1:11 16383:16383" x14ac:dyDescent="0.2">
      <c r="A28" s="139" t="s">
        <v>1620</v>
      </c>
      <c r="B28" s="136" t="s">
        <v>94</v>
      </c>
      <c r="C28" s="136" t="s">
        <v>189</v>
      </c>
      <c r="D28" s="207" t="s">
        <v>211</v>
      </c>
      <c r="E28" s="207" t="s">
        <v>883</v>
      </c>
      <c r="F28" s="207" t="s">
        <v>1234</v>
      </c>
      <c r="G28" s="208" t="s">
        <v>1998</v>
      </c>
      <c r="H28" s="244"/>
      <c r="K28" s="17"/>
      <c r="XFC28" s="20"/>
    </row>
    <row r="29" spans="1:11 16383:16383" x14ac:dyDescent="0.2">
      <c r="A29" s="139" t="s">
        <v>1266</v>
      </c>
      <c r="B29" s="136" t="s">
        <v>94</v>
      </c>
      <c r="C29" s="136" t="s">
        <v>192</v>
      </c>
      <c r="D29" s="207" t="s">
        <v>192</v>
      </c>
      <c r="E29" s="207" t="s">
        <v>989</v>
      </c>
      <c r="F29" s="207" t="s">
        <v>1234</v>
      </c>
      <c r="G29" s="208" t="s">
        <v>1999</v>
      </c>
      <c r="H29" s="244"/>
      <c r="K29" s="17"/>
      <c r="XFC29" s="20"/>
    </row>
    <row r="30" spans="1:11 16383:16383" x14ac:dyDescent="0.2">
      <c r="A30" s="139" t="s">
        <v>1621</v>
      </c>
      <c r="B30" s="136" t="s">
        <v>94</v>
      </c>
      <c r="C30" s="136" t="s">
        <v>192</v>
      </c>
      <c r="D30" s="207" t="s">
        <v>1770</v>
      </c>
      <c r="E30" s="207" t="s">
        <v>989</v>
      </c>
      <c r="F30" s="207" t="s">
        <v>1234</v>
      </c>
      <c r="G30" s="208" t="s">
        <v>2000</v>
      </c>
      <c r="H30" s="244"/>
      <c r="K30" s="17"/>
      <c r="XFC30" s="20"/>
    </row>
    <row r="31" spans="1:11 16383:16383" x14ac:dyDescent="0.2">
      <c r="A31" s="139" t="s">
        <v>2888</v>
      </c>
      <c r="B31" s="136" t="s">
        <v>94</v>
      </c>
      <c r="C31" s="136" t="s">
        <v>192</v>
      </c>
      <c r="D31" s="207" t="s">
        <v>2886</v>
      </c>
      <c r="E31" s="207" t="s">
        <v>989</v>
      </c>
      <c r="F31" s="207" t="s">
        <v>1234</v>
      </c>
      <c r="G31" s="208" t="s">
        <v>2887</v>
      </c>
      <c r="H31" s="244"/>
      <c r="K31" s="17"/>
      <c r="XFC31" s="20"/>
    </row>
    <row r="32" spans="1:11 16383:16383" x14ac:dyDescent="0.2">
      <c r="A32" s="139" t="s">
        <v>2969</v>
      </c>
      <c r="B32" s="136" t="s">
        <v>94</v>
      </c>
      <c r="C32" s="136" t="s">
        <v>192</v>
      </c>
      <c r="D32" s="207" t="s">
        <v>2970</v>
      </c>
      <c r="E32" s="207" t="s">
        <v>989</v>
      </c>
      <c r="F32" s="207" t="s">
        <v>1234</v>
      </c>
      <c r="G32" s="208" t="s">
        <v>3506</v>
      </c>
      <c r="H32" s="244"/>
      <c r="K32" s="17"/>
      <c r="XFC32" s="20"/>
    </row>
    <row r="33" spans="1:11 16383:16383" x14ac:dyDescent="0.2">
      <c r="A33" s="139" t="s">
        <v>2971</v>
      </c>
      <c r="B33" s="136" t="s">
        <v>94</v>
      </c>
      <c r="C33" s="136" t="s">
        <v>192</v>
      </c>
      <c r="D33" s="207" t="s">
        <v>2972</v>
      </c>
      <c r="E33" s="207" t="s">
        <v>989</v>
      </c>
      <c r="F33" s="207" t="s">
        <v>1234</v>
      </c>
      <c r="G33" s="208" t="s">
        <v>2973</v>
      </c>
      <c r="H33" s="244"/>
      <c r="K33" s="17"/>
      <c r="XFC33" s="20"/>
    </row>
    <row r="34" spans="1:11 16383:16383" x14ac:dyDescent="0.2">
      <c r="A34" s="139" t="s">
        <v>1267</v>
      </c>
      <c r="B34" s="136" t="s">
        <v>94</v>
      </c>
      <c r="C34" s="136" t="s">
        <v>194</v>
      </c>
      <c r="D34" s="207" t="s">
        <v>193</v>
      </c>
      <c r="E34" s="207" t="s">
        <v>990</v>
      </c>
      <c r="F34" s="207" t="s">
        <v>1234</v>
      </c>
      <c r="G34" s="208" t="s">
        <v>2001</v>
      </c>
      <c r="H34" s="244"/>
      <c r="K34" s="17"/>
      <c r="XFC34" s="20"/>
    </row>
    <row r="35" spans="1:11 16383:16383" x14ac:dyDescent="0.2">
      <c r="A35" s="139" t="s">
        <v>1622</v>
      </c>
      <c r="B35" s="136" t="s">
        <v>94</v>
      </c>
      <c r="C35" s="136" t="s">
        <v>194</v>
      </c>
      <c r="D35" s="207" t="s">
        <v>206</v>
      </c>
      <c r="E35" s="207" t="s">
        <v>990</v>
      </c>
      <c r="F35" s="207" t="s">
        <v>1234</v>
      </c>
      <c r="G35" s="208" t="s">
        <v>2002</v>
      </c>
      <c r="H35" s="244"/>
      <c r="K35" s="17"/>
      <c r="XFC35" s="20"/>
    </row>
    <row r="36" spans="1:11 16383:16383" x14ac:dyDescent="0.2">
      <c r="A36" s="139" t="s">
        <v>1623</v>
      </c>
      <c r="B36" s="136" t="s">
        <v>94</v>
      </c>
      <c r="C36" s="136" t="s">
        <v>194</v>
      </c>
      <c r="D36" s="207" t="s">
        <v>220</v>
      </c>
      <c r="E36" s="207" t="s">
        <v>990</v>
      </c>
      <c r="F36" s="207" t="s">
        <v>1234</v>
      </c>
      <c r="G36" s="208" t="s">
        <v>2003</v>
      </c>
      <c r="H36" s="244"/>
      <c r="K36" s="17"/>
      <c r="XFC36" s="20"/>
    </row>
    <row r="37" spans="1:11 16383:16383" x14ac:dyDescent="0.2">
      <c r="A37" s="139" t="s">
        <v>1624</v>
      </c>
      <c r="B37" s="136" t="s">
        <v>94</v>
      </c>
      <c r="C37" s="136" t="s">
        <v>194</v>
      </c>
      <c r="D37" s="207" t="s">
        <v>226</v>
      </c>
      <c r="E37" s="207" t="s">
        <v>990</v>
      </c>
      <c r="F37" s="207" t="s">
        <v>1234</v>
      </c>
      <c r="G37" s="208" t="s">
        <v>2004</v>
      </c>
      <c r="H37" s="244"/>
      <c r="K37" s="17"/>
      <c r="XFC37" s="20"/>
    </row>
    <row r="38" spans="1:11 16383:16383" x14ac:dyDescent="0.2">
      <c r="A38" s="139" t="s">
        <v>2977</v>
      </c>
      <c r="B38" s="136" t="s">
        <v>94</v>
      </c>
      <c r="C38" s="136" t="s">
        <v>194</v>
      </c>
      <c r="D38" s="207" t="s">
        <v>2978</v>
      </c>
      <c r="E38" s="207" t="s">
        <v>990</v>
      </c>
      <c r="F38" s="207" t="s">
        <v>1234</v>
      </c>
      <c r="G38" s="208" t="s">
        <v>2979</v>
      </c>
      <c r="H38" s="244"/>
      <c r="K38" s="17"/>
      <c r="XFC38" s="20"/>
    </row>
    <row r="39" spans="1:11 16383:16383" x14ac:dyDescent="0.2">
      <c r="A39" s="139" t="s">
        <v>3441</v>
      </c>
      <c r="B39" s="136" t="s">
        <v>94</v>
      </c>
      <c r="C39" s="136" t="s">
        <v>194</v>
      </c>
      <c r="D39" s="207" t="s">
        <v>3507</v>
      </c>
      <c r="E39" s="207" t="s">
        <v>990</v>
      </c>
      <c r="F39" s="207" t="s">
        <v>1234</v>
      </c>
      <c r="G39" s="208" t="s">
        <v>3508</v>
      </c>
      <c r="H39" s="244"/>
      <c r="K39" s="17"/>
      <c r="XFC39" s="20"/>
    </row>
    <row r="40" spans="1:11 16383:16383" x14ac:dyDescent="0.2">
      <c r="A40" s="139" t="s">
        <v>1268</v>
      </c>
      <c r="B40" s="136" t="s">
        <v>94</v>
      </c>
      <c r="C40" s="136" t="s">
        <v>195</v>
      </c>
      <c r="D40" s="207" t="s">
        <v>195</v>
      </c>
      <c r="E40" s="207" t="s">
        <v>991</v>
      </c>
      <c r="F40" s="207" t="s">
        <v>1234</v>
      </c>
      <c r="G40" s="208" t="s">
        <v>196</v>
      </c>
      <c r="H40" s="244"/>
      <c r="K40" s="17"/>
      <c r="XFC40" s="20"/>
    </row>
    <row r="41" spans="1:11 16383:16383" x14ac:dyDescent="0.2">
      <c r="A41" s="139" t="s">
        <v>1625</v>
      </c>
      <c r="B41" s="136" t="s">
        <v>94</v>
      </c>
      <c r="C41" s="136" t="s">
        <v>195</v>
      </c>
      <c r="D41" s="207" t="s">
        <v>1772</v>
      </c>
      <c r="E41" s="207" t="s">
        <v>991</v>
      </c>
      <c r="F41" s="207" t="s">
        <v>1234</v>
      </c>
      <c r="G41" s="208" t="s">
        <v>2005</v>
      </c>
      <c r="H41" s="244"/>
      <c r="K41" s="17"/>
      <c r="XFC41" s="20"/>
    </row>
    <row r="42" spans="1:11 16383:16383" x14ac:dyDescent="0.2">
      <c r="A42" s="139" t="s">
        <v>3442</v>
      </c>
      <c r="B42" s="136" t="s">
        <v>94</v>
      </c>
      <c r="C42" s="136" t="s">
        <v>195</v>
      </c>
      <c r="D42" s="207" t="s">
        <v>3509</v>
      </c>
      <c r="E42" s="207" t="s">
        <v>991</v>
      </c>
      <c r="F42" s="207" t="s">
        <v>1234</v>
      </c>
      <c r="G42" s="208" t="s">
        <v>3510</v>
      </c>
      <c r="H42" s="244"/>
      <c r="K42" s="17"/>
      <c r="XFC42" s="20"/>
    </row>
    <row r="43" spans="1:11 16383:16383" x14ac:dyDescent="0.2">
      <c r="A43" s="139" t="s">
        <v>1269</v>
      </c>
      <c r="B43" s="136" t="s">
        <v>94</v>
      </c>
      <c r="C43" s="136" t="s">
        <v>198</v>
      </c>
      <c r="D43" s="207" t="s">
        <v>197</v>
      </c>
      <c r="E43" s="207" t="s">
        <v>992</v>
      </c>
      <c r="F43" s="207" t="s">
        <v>1234</v>
      </c>
      <c r="G43" s="208" t="s">
        <v>199</v>
      </c>
      <c r="H43" s="244"/>
      <c r="K43" s="17"/>
      <c r="XFC43" s="20"/>
    </row>
    <row r="44" spans="1:11 16383:16383" x14ac:dyDescent="0.2">
      <c r="A44" s="139" t="s">
        <v>1626</v>
      </c>
      <c r="B44" s="136" t="s">
        <v>94</v>
      </c>
      <c r="C44" s="136" t="s">
        <v>198</v>
      </c>
      <c r="D44" s="207" t="s">
        <v>208</v>
      </c>
      <c r="E44" s="207" t="s">
        <v>992</v>
      </c>
      <c r="F44" s="207" t="s">
        <v>1234</v>
      </c>
      <c r="G44" s="208" t="s">
        <v>2006</v>
      </c>
      <c r="H44" s="244"/>
      <c r="K44" s="17"/>
      <c r="XFC44" s="20"/>
    </row>
    <row r="45" spans="1:11 16383:16383" x14ac:dyDescent="0.2">
      <c r="A45" s="139" t="s">
        <v>1627</v>
      </c>
      <c r="B45" s="136" t="s">
        <v>94</v>
      </c>
      <c r="C45" s="136" t="s">
        <v>198</v>
      </c>
      <c r="D45" s="207" t="s">
        <v>221</v>
      </c>
      <c r="E45" s="207" t="s">
        <v>992</v>
      </c>
      <c r="F45" s="207" t="s">
        <v>1234</v>
      </c>
      <c r="G45" s="208" t="s">
        <v>2007</v>
      </c>
      <c r="H45" s="244"/>
      <c r="K45" s="17"/>
      <c r="XFC45" s="20"/>
    </row>
    <row r="46" spans="1:11 16383:16383" x14ac:dyDescent="0.2">
      <c r="A46" s="139" t="s">
        <v>1270</v>
      </c>
      <c r="B46" s="136" t="s">
        <v>94</v>
      </c>
      <c r="C46" s="136" t="s">
        <v>202</v>
      </c>
      <c r="D46" s="207" t="s">
        <v>202</v>
      </c>
      <c r="E46" s="207" t="s">
        <v>993</v>
      </c>
      <c r="F46" s="207" t="s">
        <v>1234</v>
      </c>
      <c r="G46" s="208" t="s">
        <v>2008</v>
      </c>
      <c r="H46" s="244"/>
      <c r="K46" s="17"/>
      <c r="XFC46" s="20"/>
    </row>
    <row r="47" spans="1:11 16383:16383" x14ac:dyDescent="0.2">
      <c r="A47" s="139" t="s">
        <v>2885</v>
      </c>
      <c r="B47" s="136" t="s">
        <v>94</v>
      </c>
      <c r="C47" s="136" t="s">
        <v>202</v>
      </c>
      <c r="D47" s="207" t="s">
        <v>2883</v>
      </c>
      <c r="E47" s="207" t="s">
        <v>993</v>
      </c>
      <c r="F47" s="207" t="s">
        <v>1234</v>
      </c>
      <c r="G47" s="208" t="s">
        <v>2884</v>
      </c>
      <c r="H47" s="244"/>
      <c r="K47" s="17"/>
      <c r="XFC47" s="20"/>
    </row>
    <row r="48" spans="1:11 16383:16383" x14ac:dyDescent="0.2">
      <c r="A48" s="139" t="s">
        <v>3443</v>
      </c>
      <c r="B48" s="136" t="s">
        <v>94</v>
      </c>
      <c r="C48" s="136" t="s">
        <v>202</v>
      </c>
      <c r="D48" s="207" t="s">
        <v>3511</v>
      </c>
      <c r="E48" s="207" t="s">
        <v>993</v>
      </c>
      <c r="F48" s="207" t="s">
        <v>1234</v>
      </c>
      <c r="G48" s="207" t="s">
        <v>3512</v>
      </c>
      <c r="H48" s="244"/>
      <c r="K48" s="17"/>
      <c r="XFC48" s="20"/>
    </row>
    <row r="49" spans="1:11 16383:16383" x14ac:dyDescent="0.2">
      <c r="A49" s="139" t="s">
        <v>1271</v>
      </c>
      <c r="B49" s="136" t="s">
        <v>94</v>
      </c>
      <c r="C49" s="136" t="s">
        <v>184</v>
      </c>
      <c r="D49" s="207" t="s">
        <v>183</v>
      </c>
      <c r="E49" s="207" t="s">
        <v>984</v>
      </c>
      <c r="F49" s="207" t="s">
        <v>1234</v>
      </c>
      <c r="G49" s="208" t="s">
        <v>2009</v>
      </c>
      <c r="H49" s="244"/>
      <c r="K49" s="17"/>
      <c r="XFC49" s="20"/>
    </row>
    <row r="50" spans="1:11 16383:16383" x14ac:dyDescent="0.2">
      <c r="A50" s="139" t="s">
        <v>1628</v>
      </c>
      <c r="B50" s="136" t="s">
        <v>94</v>
      </c>
      <c r="C50" s="136" t="s">
        <v>184</v>
      </c>
      <c r="D50" s="207" t="s">
        <v>184</v>
      </c>
      <c r="E50" s="207" t="s">
        <v>984</v>
      </c>
      <c r="F50" s="207" t="s">
        <v>1234</v>
      </c>
      <c r="G50" s="208" t="s">
        <v>2010</v>
      </c>
      <c r="H50" s="244"/>
      <c r="K50" s="17"/>
      <c r="XFC50" s="20"/>
    </row>
    <row r="51" spans="1:11 16383:16383" x14ac:dyDescent="0.2">
      <c r="A51" s="139" t="s">
        <v>1629</v>
      </c>
      <c r="B51" s="136" t="s">
        <v>94</v>
      </c>
      <c r="C51" s="136" t="s">
        <v>184</v>
      </c>
      <c r="D51" s="207" t="s">
        <v>215</v>
      </c>
      <c r="E51" s="207" t="s">
        <v>984</v>
      </c>
      <c r="F51" s="207" t="s">
        <v>1234</v>
      </c>
      <c r="G51" s="208" t="s">
        <v>2011</v>
      </c>
      <c r="H51" s="244"/>
      <c r="K51" s="17"/>
      <c r="XFC51" s="20"/>
    </row>
    <row r="52" spans="1:11 16383:16383" x14ac:dyDescent="0.2">
      <c r="A52" s="139" t="s">
        <v>1630</v>
      </c>
      <c r="B52" s="136" t="s">
        <v>94</v>
      </c>
      <c r="C52" s="136" t="s">
        <v>184</v>
      </c>
      <c r="D52" s="207" t="s">
        <v>223</v>
      </c>
      <c r="E52" s="207" t="s">
        <v>984</v>
      </c>
      <c r="F52" s="207" t="s">
        <v>1234</v>
      </c>
      <c r="G52" s="208" t="s">
        <v>2012</v>
      </c>
      <c r="H52" s="244"/>
      <c r="K52" s="17"/>
      <c r="XFC52" s="20"/>
    </row>
    <row r="53" spans="1:11 16383:16383" x14ac:dyDescent="0.2">
      <c r="A53" s="139" t="s">
        <v>2980</v>
      </c>
      <c r="B53" s="136" t="s">
        <v>94</v>
      </c>
      <c r="C53" s="136" t="s">
        <v>184</v>
      </c>
      <c r="D53" s="207" t="s">
        <v>2985</v>
      </c>
      <c r="E53" s="207" t="s">
        <v>984</v>
      </c>
      <c r="F53" s="207" t="s">
        <v>1234</v>
      </c>
      <c r="G53" s="208" t="s">
        <v>2981</v>
      </c>
      <c r="H53" s="244"/>
      <c r="K53" s="17"/>
      <c r="XFC53" s="20"/>
    </row>
    <row r="54" spans="1:11 16383:16383" x14ac:dyDescent="0.2">
      <c r="A54" s="139" t="s">
        <v>2982</v>
      </c>
      <c r="B54" s="136" t="s">
        <v>94</v>
      </c>
      <c r="C54" s="136" t="s">
        <v>2983</v>
      </c>
      <c r="D54" s="207" t="s">
        <v>2986</v>
      </c>
      <c r="E54" s="207" t="s">
        <v>984</v>
      </c>
      <c r="F54" s="207" t="s">
        <v>1234</v>
      </c>
      <c r="G54" s="208" t="s">
        <v>2984</v>
      </c>
      <c r="H54" s="244"/>
      <c r="K54" s="17"/>
      <c r="XFC54" s="20"/>
    </row>
    <row r="55" spans="1:11 16383:16383" x14ac:dyDescent="0.2">
      <c r="A55" s="139" t="s">
        <v>3444</v>
      </c>
      <c r="B55" s="136" t="s">
        <v>94</v>
      </c>
      <c r="C55" s="136" t="s">
        <v>2983</v>
      </c>
      <c r="D55" s="207" t="s">
        <v>3513</v>
      </c>
      <c r="E55" s="207" t="s">
        <v>984</v>
      </c>
      <c r="F55" s="207" t="s">
        <v>1234</v>
      </c>
      <c r="G55" s="208" t="s">
        <v>3514</v>
      </c>
      <c r="H55" s="244"/>
      <c r="K55" s="17"/>
      <c r="XFC55" s="20"/>
    </row>
    <row r="56" spans="1:11 16383:16383" x14ac:dyDescent="0.2">
      <c r="A56" s="139" t="s">
        <v>1272</v>
      </c>
      <c r="B56" s="136" t="s">
        <v>94</v>
      </c>
      <c r="C56" s="136" t="s">
        <v>207</v>
      </c>
      <c r="D56" s="207" t="s">
        <v>207</v>
      </c>
      <c r="E56" s="207" t="s">
        <v>994</v>
      </c>
      <c r="F56" s="207" t="s">
        <v>1234</v>
      </c>
      <c r="G56" s="208" t="s">
        <v>2013</v>
      </c>
      <c r="H56" s="244"/>
      <c r="K56" s="17"/>
      <c r="XFC56" s="20"/>
    </row>
    <row r="57" spans="1:11 16383:16383" x14ac:dyDescent="0.2">
      <c r="A57" s="139" t="s">
        <v>1631</v>
      </c>
      <c r="B57" s="136" t="s">
        <v>94</v>
      </c>
      <c r="C57" s="136" t="s">
        <v>207</v>
      </c>
      <c r="D57" s="207" t="s">
        <v>229</v>
      </c>
      <c r="E57" s="207" t="s">
        <v>994</v>
      </c>
      <c r="F57" s="207" t="s">
        <v>1234</v>
      </c>
      <c r="G57" s="127" t="s">
        <v>2014</v>
      </c>
      <c r="H57" s="244"/>
      <c r="K57" s="17"/>
      <c r="XFC57" s="20"/>
    </row>
    <row r="58" spans="1:11 16383:16383" x14ac:dyDescent="0.2">
      <c r="A58" s="139" t="s">
        <v>3171</v>
      </c>
      <c r="B58" s="136" t="s">
        <v>94</v>
      </c>
      <c r="C58" s="136" t="s">
        <v>207</v>
      </c>
      <c r="D58" s="207" t="s">
        <v>3172</v>
      </c>
      <c r="E58" s="207" t="s">
        <v>994</v>
      </c>
      <c r="F58" s="207" t="s">
        <v>1234</v>
      </c>
      <c r="G58" s="208" t="s">
        <v>3173</v>
      </c>
      <c r="H58" s="244"/>
      <c r="K58" s="17"/>
      <c r="XFC58" s="20"/>
    </row>
    <row r="59" spans="1:11 16383:16383" x14ac:dyDescent="0.2">
      <c r="A59" s="139" t="s">
        <v>1273</v>
      </c>
      <c r="B59" s="136" t="s">
        <v>94</v>
      </c>
      <c r="C59" s="136" t="s">
        <v>187</v>
      </c>
      <c r="D59" s="207" t="s">
        <v>186</v>
      </c>
      <c r="E59" s="207" t="s">
        <v>986</v>
      </c>
      <c r="F59" s="207" t="s">
        <v>1234</v>
      </c>
      <c r="G59" s="208" t="s">
        <v>2015</v>
      </c>
      <c r="H59" s="244"/>
      <c r="K59" s="17"/>
      <c r="XFC59" s="20"/>
    </row>
    <row r="60" spans="1:11 16383:16383" x14ac:dyDescent="0.2">
      <c r="A60" s="139" t="s">
        <v>1632</v>
      </c>
      <c r="B60" s="136" t="s">
        <v>94</v>
      </c>
      <c r="C60" s="136" t="s">
        <v>187</v>
      </c>
      <c r="D60" s="207" t="s">
        <v>209</v>
      </c>
      <c r="E60" s="207" t="s">
        <v>986</v>
      </c>
      <c r="F60" s="207" t="s">
        <v>1234</v>
      </c>
      <c r="G60" s="208" t="s">
        <v>2016</v>
      </c>
      <c r="H60" s="244"/>
      <c r="K60" s="17"/>
      <c r="XFC60" s="20"/>
    </row>
    <row r="61" spans="1:11 16383:16383" x14ac:dyDescent="0.2">
      <c r="A61" s="139" t="s">
        <v>1633</v>
      </c>
      <c r="B61" s="136" t="s">
        <v>94</v>
      </c>
      <c r="C61" s="136" t="s">
        <v>187</v>
      </c>
      <c r="D61" s="207" t="s">
        <v>1771</v>
      </c>
      <c r="E61" s="207" t="s">
        <v>986</v>
      </c>
      <c r="F61" s="207" t="s">
        <v>1234</v>
      </c>
      <c r="G61" s="208" t="s">
        <v>2017</v>
      </c>
      <c r="H61" s="244"/>
      <c r="K61" s="17"/>
      <c r="XFC61" s="20"/>
    </row>
    <row r="62" spans="1:11 16383:16383" x14ac:dyDescent="0.2">
      <c r="A62" s="139" t="s">
        <v>1634</v>
      </c>
      <c r="B62" s="136" t="s">
        <v>94</v>
      </c>
      <c r="C62" s="136" t="s">
        <v>187</v>
      </c>
      <c r="D62" s="207" t="s">
        <v>230</v>
      </c>
      <c r="E62" s="207" t="s">
        <v>986</v>
      </c>
      <c r="F62" s="207" t="s">
        <v>1234</v>
      </c>
      <c r="G62" s="208" t="s">
        <v>231</v>
      </c>
      <c r="H62" s="244"/>
      <c r="K62" s="17"/>
      <c r="XFC62" s="20"/>
    </row>
    <row r="63" spans="1:11 16383:16383" ht="16.5" customHeight="1" x14ac:dyDescent="0.2">
      <c r="A63" s="139" t="s">
        <v>2896</v>
      </c>
      <c r="B63" s="136" t="s">
        <v>94</v>
      </c>
      <c r="C63" s="136" t="s">
        <v>187</v>
      </c>
      <c r="D63" s="129" t="s">
        <v>2895</v>
      </c>
      <c r="E63" s="129" t="s">
        <v>986</v>
      </c>
      <c r="F63" s="129" t="s">
        <v>1234</v>
      </c>
      <c r="G63" s="128" t="s">
        <v>3190</v>
      </c>
      <c r="H63" s="245"/>
      <c r="XFC63" s="20"/>
    </row>
    <row r="64" spans="1:11 16383:16383" ht="16.5" customHeight="1" x14ac:dyDescent="0.2">
      <c r="A64" s="139" t="s">
        <v>2987</v>
      </c>
      <c r="B64" s="136" t="s">
        <v>94</v>
      </c>
      <c r="C64" s="136" t="s">
        <v>187</v>
      </c>
      <c r="D64" s="129" t="s">
        <v>2989</v>
      </c>
      <c r="E64" s="129" t="s">
        <v>986</v>
      </c>
      <c r="F64" s="129" t="s">
        <v>1234</v>
      </c>
      <c r="G64" s="128" t="s">
        <v>2988</v>
      </c>
      <c r="H64" s="245"/>
      <c r="XFC64" s="20"/>
    </row>
    <row r="65" spans="1:11 16383:16383" x14ac:dyDescent="0.2">
      <c r="A65" s="139" t="s">
        <v>3074</v>
      </c>
      <c r="B65" s="136" t="s">
        <v>96</v>
      </c>
      <c r="C65" s="136" t="s">
        <v>3028</v>
      </c>
      <c r="D65" s="207" t="s">
        <v>3030</v>
      </c>
      <c r="E65" s="207" t="s">
        <v>1091</v>
      </c>
      <c r="F65" s="207" t="s">
        <v>1236</v>
      </c>
      <c r="G65" s="208" t="s">
        <v>3031</v>
      </c>
      <c r="H65" s="244"/>
      <c r="K65" s="17"/>
      <c r="XFC65" s="20"/>
    </row>
    <row r="66" spans="1:11 16383:16383" x14ac:dyDescent="0.2">
      <c r="A66" s="139" t="s">
        <v>1274</v>
      </c>
      <c r="B66" s="136" t="s">
        <v>96</v>
      </c>
      <c r="C66" s="136" t="s">
        <v>243</v>
      </c>
      <c r="D66" s="207" t="s">
        <v>242</v>
      </c>
      <c r="E66" s="207" t="s">
        <v>999</v>
      </c>
      <c r="F66" s="207" t="s">
        <v>1236</v>
      </c>
      <c r="G66" s="208" t="s">
        <v>244</v>
      </c>
      <c r="H66" s="244"/>
      <c r="K66" s="17"/>
      <c r="XFC66" s="20"/>
    </row>
    <row r="67" spans="1:11 16383:16383" x14ac:dyDescent="0.2">
      <c r="A67" s="139" t="s">
        <v>1275</v>
      </c>
      <c r="B67" s="136" t="s">
        <v>96</v>
      </c>
      <c r="C67" s="136" t="s">
        <v>240</v>
      </c>
      <c r="D67" s="207" t="s">
        <v>239</v>
      </c>
      <c r="E67" s="207" t="s">
        <v>998</v>
      </c>
      <c r="F67" s="207" t="s">
        <v>1236</v>
      </c>
      <c r="G67" s="208" t="s">
        <v>241</v>
      </c>
      <c r="H67" s="244"/>
      <c r="K67" s="17"/>
      <c r="XFC67" s="20"/>
    </row>
    <row r="68" spans="1:11 16383:16383" x14ac:dyDescent="0.2">
      <c r="A68" s="139" t="s">
        <v>1276</v>
      </c>
      <c r="B68" s="136" t="s">
        <v>96</v>
      </c>
      <c r="C68" s="136" t="s">
        <v>237</v>
      </c>
      <c r="D68" s="207" t="s">
        <v>236</v>
      </c>
      <c r="E68" s="207" t="s">
        <v>997</v>
      </c>
      <c r="F68" s="207" t="s">
        <v>1236</v>
      </c>
      <c r="G68" s="208" t="s">
        <v>238</v>
      </c>
      <c r="H68" s="244"/>
      <c r="K68" s="17"/>
      <c r="XFC68" s="20"/>
    </row>
    <row r="69" spans="1:11 16383:16383" x14ac:dyDescent="0.2">
      <c r="A69" s="139" t="s">
        <v>3445</v>
      </c>
      <c r="B69" s="136" t="s">
        <v>96</v>
      </c>
      <c r="C69" s="136" t="s">
        <v>3496</v>
      </c>
      <c r="D69" s="207" t="s">
        <v>3515</v>
      </c>
      <c r="E69" s="207" t="s">
        <v>3516</v>
      </c>
      <c r="F69" s="207" t="s">
        <v>1236</v>
      </c>
      <c r="G69" s="208" t="s">
        <v>3517</v>
      </c>
      <c r="H69" s="244"/>
      <c r="K69" s="17"/>
      <c r="XFC69" s="20"/>
    </row>
    <row r="70" spans="1:11 16383:16383" x14ac:dyDescent="0.2">
      <c r="A70" s="139" t="s">
        <v>3075</v>
      </c>
      <c r="B70" s="136" t="s">
        <v>96</v>
      </c>
      <c r="C70" s="136" t="s">
        <v>3029</v>
      </c>
      <c r="D70" s="207" t="s">
        <v>3033</v>
      </c>
      <c r="E70" s="207" t="s">
        <v>3191</v>
      </c>
      <c r="F70" s="207" t="s">
        <v>1236</v>
      </c>
      <c r="G70" s="208" t="s">
        <v>3032</v>
      </c>
      <c r="H70" s="244"/>
      <c r="K70" s="17"/>
      <c r="XFC70" s="20"/>
    </row>
    <row r="71" spans="1:11 16383:16383" x14ac:dyDescent="0.2">
      <c r="A71" s="209" t="s">
        <v>3649</v>
      </c>
      <c r="B71" s="210" t="s">
        <v>96</v>
      </c>
      <c r="C71" s="210" t="s">
        <v>3650</v>
      </c>
      <c r="D71" s="211" t="s">
        <v>3651</v>
      </c>
      <c r="E71" s="211" t="s">
        <v>3652</v>
      </c>
      <c r="F71" s="211" t="s">
        <v>1236</v>
      </c>
      <c r="G71" s="212" t="s">
        <v>3653</v>
      </c>
      <c r="H71" s="244"/>
      <c r="K71" s="17"/>
      <c r="XFC71" s="20"/>
    </row>
    <row r="72" spans="1:11 16383:16383" x14ac:dyDescent="0.2">
      <c r="A72" s="139" t="s">
        <v>1277</v>
      </c>
      <c r="B72" s="136" t="s">
        <v>96</v>
      </c>
      <c r="C72" s="136" t="s">
        <v>246</v>
      </c>
      <c r="D72" s="207" t="s">
        <v>245</v>
      </c>
      <c r="E72" s="207" t="s">
        <v>1000</v>
      </c>
      <c r="F72" s="207" t="s">
        <v>1236</v>
      </c>
      <c r="G72" s="208" t="s">
        <v>2018</v>
      </c>
      <c r="H72" s="244"/>
      <c r="K72" s="17"/>
      <c r="XFC72" s="20"/>
    </row>
    <row r="73" spans="1:11 16383:16383" x14ac:dyDescent="0.2">
      <c r="A73" s="139" t="s">
        <v>3446</v>
      </c>
      <c r="B73" s="136" t="s">
        <v>96</v>
      </c>
      <c r="C73" s="136" t="s">
        <v>234</v>
      </c>
      <c r="D73" s="207" t="s">
        <v>3518</v>
      </c>
      <c r="E73" s="207" t="s">
        <v>3519</v>
      </c>
      <c r="F73" s="207" t="s">
        <v>1236</v>
      </c>
      <c r="G73" s="208" t="s">
        <v>3518</v>
      </c>
      <c r="H73" s="244"/>
      <c r="K73" s="17"/>
      <c r="XFC73" s="20"/>
    </row>
    <row r="74" spans="1:11 16383:16383" x14ac:dyDescent="0.2">
      <c r="A74" s="139" t="s">
        <v>1278</v>
      </c>
      <c r="B74" s="136" t="s">
        <v>96</v>
      </c>
      <c r="C74" s="136" t="s">
        <v>234</v>
      </c>
      <c r="D74" s="207" t="s">
        <v>233</v>
      </c>
      <c r="E74" s="207" t="s">
        <v>996</v>
      </c>
      <c r="F74" s="207" t="s">
        <v>1236</v>
      </c>
      <c r="G74" s="208" t="s">
        <v>235</v>
      </c>
      <c r="H74" s="244"/>
      <c r="K74" s="17"/>
      <c r="XFC74" s="20"/>
    </row>
    <row r="75" spans="1:11 16383:16383" x14ac:dyDescent="0.2">
      <c r="A75" s="139" t="s">
        <v>1279</v>
      </c>
      <c r="B75" s="136" t="s">
        <v>96</v>
      </c>
      <c r="C75" s="136" t="s">
        <v>248</v>
      </c>
      <c r="D75" s="207" t="s">
        <v>247</v>
      </c>
      <c r="E75" s="207" t="s">
        <v>1001</v>
      </c>
      <c r="F75" s="207" t="s">
        <v>1236</v>
      </c>
      <c r="G75" s="208" t="s">
        <v>249</v>
      </c>
      <c r="H75" s="244"/>
      <c r="K75" s="17"/>
      <c r="XFC75" s="20"/>
    </row>
    <row r="76" spans="1:11 16383:16383" x14ac:dyDescent="0.2">
      <c r="A76" s="139" t="s">
        <v>2489</v>
      </c>
      <c r="B76" s="136" t="s">
        <v>96</v>
      </c>
      <c r="C76" s="136" t="s">
        <v>2488</v>
      </c>
      <c r="D76" s="207" t="s">
        <v>2486</v>
      </c>
      <c r="E76" s="207" t="s">
        <v>3192</v>
      </c>
      <c r="F76" s="207" t="s">
        <v>1236</v>
      </c>
      <c r="G76" s="208" t="s">
        <v>2487</v>
      </c>
      <c r="H76" s="244"/>
      <c r="K76" s="17"/>
      <c r="XFC76" s="20"/>
    </row>
    <row r="77" spans="1:11 16383:16383" x14ac:dyDescent="0.2">
      <c r="A77" s="139" t="s">
        <v>1280</v>
      </c>
      <c r="B77" s="136" t="s">
        <v>95</v>
      </c>
      <c r="C77" s="136" t="s">
        <v>2019</v>
      </c>
      <c r="D77" s="207" t="s">
        <v>1903</v>
      </c>
      <c r="E77" s="207" t="s">
        <v>995</v>
      </c>
      <c r="F77" s="207" t="s">
        <v>1235</v>
      </c>
      <c r="G77" s="208" t="s">
        <v>232</v>
      </c>
      <c r="H77" s="244"/>
      <c r="K77" s="17"/>
      <c r="XFC77" s="20"/>
    </row>
    <row r="78" spans="1:11 16383:16383" x14ac:dyDescent="0.2">
      <c r="A78" s="139" t="s">
        <v>2458</v>
      </c>
      <c r="B78" s="136" t="s">
        <v>97</v>
      </c>
      <c r="C78" s="136" t="s">
        <v>2149</v>
      </c>
      <c r="D78" s="207" t="s">
        <v>2459</v>
      </c>
      <c r="E78" s="207" t="s">
        <v>3193</v>
      </c>
      <c r="F78" s="207" t="s">
        <v>1237</v>
      </c>
      <c r="G78" s="208" t="s">
        <v>2460</v>
      </c>
      <c r="H78" s="244"/>
      <c r="K78" s="17"/>
      <c r="XFC78" s="20"/>
    </row>
    <row r="79" spans="1:11 16383:16383" x14ac:dyDescent="0.2">
      <c r="A79" s="139" t="s">
        <v>2604</v>
      </c>
      <c r="B79" s="136" t="s">
        <v>97</v>
      </c>
      <c r="C79" s="136" t="s">
        <v>2605</v>
      </c>
      <c r="D79" s="207" t="s">
        <v>2606</v>
      </c>
      <c r="E79" s="207" t="s">
        <v>1030</v>
      </c>
      <c r="F79" s="207" t="s">
        <v>1237</v>
      </c>
      <c r="G79" s="208" t="s">
        <v>2607</v>
      </c>
      <c r="H79" s="244"/>
      <c r="K79" s="17"/>
      <c r="XFC79" s="20"/>
    </row>
    <row r="80" spans="1:11 16383:16383" x14ac:dyDescent="0.2">
      <c r="A80" s="139" t="s">
        <v>1281</v>
      </c>
      <c r="B80" s="136" t="s">
        <v>97</v>
      </c>
      <c r="C80" s="136" t="s">
        <v>253</v>
      </c>
      <c r="D80" s="207" t="s">
        <v>252</v>
      </c>
      <c r="E80" s="207" t="s">
        <v>1003</v>
      </c>
      <c r="F80" s="207" t="s">
        <v>1237</v>
      </c>
      <c r="G80" s="208" t="s">
        <v>2020</v>
      </c>
      <c r="H80" s="244"/>
      <c r="K80" s="17"/>
      <c r="XFC80" s="20"/>
    </row>
    <row r="81" spans="1:11 16383:16383" x14ac:dyDescent="0.2">
      <c r="A81" s="139" t="s">
        <v>1282</v>
      </c>
      <c r="B81" s="136" t="s">
        <v>97</v>
      </c>
      <c r="C81" s="136" t="s">
        <v>251</v>
      </c>
      <c r="D81" s="207" t="s">
        <v>250</v>
      </c>
      <c r="E81" s="207" t="s">
        <v>1002</v>
      </c>
      <c r="F81" s="207" t="s">
        <v>1237</v>
      </c>
      <c r="G81" s="208" t="s">
        <v>2021</v>
      </c>
      <c r="H81" s="244"/>
      <c r="K81" s="17"/>
      <c r="XFC81" s="20"/>
    </row>
    <row r="82" spans="1:11 16383:16383" x14ac:dyDescent="0.2">
      <c r="A82" s="139" t="s">
        <v>2461</v>
      </c>
      <c r="B82" s="136" t="s">
        <v>97</v>
      </c>
      <c r="C82" s="136" t="s">
        <v>2462</v>
      </c>
      <c r="D82" s="207" t="s">
        <v>2464</v>
      </c>
      <c r="E82" s="207" t="s">
        <v>3194</v>
      </c>
      <c r="F82" s="207" t="s">
        <v>1237</v>
      </c>
      <c r="G82" s="208" t="s">
        <v>2463</v>
      </c>
      <c r="H82" s="244"/>
      <c r="K82" s="17"/>
      <c r="XFC82" s="20"/>
    </row>
    <row r="83" spans="1:11 16383:16383" x14ac:dyDescent="0.2">
      <c r="A83" s="139" t="s">
        <v>1283</v>
      </c>
      <c r="B83" s="136" t="s">
        <v>97</v>
      </c>
      <c r="C83" s="136" t="s">
        <v>258</v>
      </c>
      <c r="D83" s="207" t="s">
        <v>257</v>
      </c>
      <c r="E83" s="207" t="s">
        <v>1005</v>
      </c>
      <c r="F83" s="207" t="s">
        <v>1237</v>
      </c>
      <c r="G83" s="208" t="s">
        <v>2022</v>
      </c>
      <c r="H83" s="244"/>
      <c r="K83" s="17"/>
      <c r="XFC83" s="20"/>
    </row>
    <row r="84" spans="1:11 16383:16383" x14ac:dyDescent="0.2">
      <c r="A84" s="139" t="s">
        <v>1284</v>
      </c>
      <c r="B84" s="136" t="s">
        <v>97</v>
      </c>
      <c r="C84" s="136" t="s">
        <v>273</v>
      </c>
      <c r="D84" s="207" t="s">
        <v>272</v>
      </c>
      <c r="E84" s="207" t="s">
        <v>885</v>
      </c>
      <c r="F84" s="207" t="s">
        <v>1237</v>
      </c>
      <c r="G84" s="208" t="s">
        <v>2023</v>
      </c>
      <c r="H84" s="244"/>
      <c r="K84" s="17"/>
      <c r="XFC84" s="20"/>
    </row>
    <row r="85" spans="1:11 16383:16383" x14ac:dyDescent="0.2">
      <c r="A85" s="139" t="s">
        <v>2479</v>
      </c>
      <c r="B85" s="136" t="s">
        <v>97</v>
      </c>
      <c r="C85" s="136" t="s">
        <v>273</v>
      </c>
      <c r="D85" s="207" t="s">
        <v>2480</v>
      </c>
      <c r="E85" s="207" t="s">
        <v>885</v>
      </c>
      <c r="F85" s="207" t="s">
        <v>1237</v>
      </c>
      <c r="G85" s="208" t="s">
        <v>2481</v>
      </c>
      <c r="H85" s="244"/>
      <c r="K85" s="17"/>
      <c r="XFC85" s="20"/>
    </row>
    <row r="86" spans="1:11 16383:16383" x14ac:dyDescent="0.2">
      <c r="A86" s="139" t="s">
        <v>1285</v>
      </c>
      <c r="B86" s="136" t="s">
        <v>97</v>
      </c>
      <c r="C86" s="136" t="s">
        <v>262</v>
      </c>
      <c r="D86" s="207" t="s">
        <v>261</v>
      </c>
      <c r="E86" s="207" t="s">
        <v>1007</v>
      </c>
      <c r="F86" s="207" t="s">
        <v>1237</v>
      </c>
      <c r="G86" s="208" t="s">
        <v>263</v>
      </c>
      <c r="H86" s="244"/>
      <c r="K86" s="17"/>
      <c r="XFC86" s="20"/>
    </row>
    <row r="87" spans="1:11 16383:16383" x14ac:dyDescent="0.2">
      <c r="A87" s="139" t="s">
        <v>1286</v>
      </c>
      <c r="B87" s="136" t="s">
        <v>97</v>
      </c>
      <c r="C87" s="136" t="s">
        <v>260</v>
      </c>
      <c r="D87" s="207" t="s">
        <v>259</v>
      </c>
      <c r="E87" s="207" t="s">
        <v>1006</v>
      </c>
      <c r="F87" s="207" t="s">
        <v>1237</v>
      </c>
      <c r="G87" s="208" t="s">
        <v>2024</v>
      </c>
      <c r="H87" s="244"/>
      <c r="K87" s="17"/>
      <c r="XFC87" s="20"/>
    </row>
    <row r="88" spans="1:11 16383:16383" x14ac:dyDescent="0.2">
      <c r="A88" s="139" t="s">
        <v>1287</v>
      </c>
      <c r="B88" s="136" t="s">
        <v>97</v>
      </c>
      <c r="C88" s="136" t="s">
        <v>265</v>
      </c>
      <c r="D88" s="207" t="s">
        <v>264</v>
      </c>
      <c r="E88" s="207" t="s">
        <v>884</v>
      </c>
      <c r="F88" s="207" t="s">
        <v>1237</v>
      </c>
      <c r="G88" s="208" t="s">
        <v>2025</v>
      </c>
      <c r="H88" s="244"/>
      <c r="K88" s="17"/>
      <c r="XFC88" s="20"/>
    </row>
    <row r="89" spans="1:11 16383:16383" x14ac:dyDescent="0.2">
      <c r="A89" s="139" t="s">
        <v>2612</v>
      </c>
      <c r="B89" s="136" t="s">
        <v>97</v>
      </c>
      <c r="C89" s="136" t="s">
        <v>2613</v>
      </c>
      <c r="D89" s="207" t="s">
        <v>2614</v>
      </c>
      <c r="E89" s="207" t="s">
        <v>3195</v>
      </c>
      <c r="F89" s="207" t="s">
        <v>1237</v>
      </c>
      <c r="G89" s="208" t="s">
        <v>2615</v>
      </c>
      <c r="H89" s="244"/>
      <c r="K89" s="17"/>
      <c r="XFC89" s="20"/>
    </row>
    <row r="90" spans="1:11 16383:16383" x14ac:dyDescent="0.2">
      <c r="A90" s="139" t="s">
        <v>2608</v>
      </c>
      <c r="B90" s="136" t="s">
        <v>97</v>
      </c>
      <c r="C90" s="136" t="s">
        <v>2609</v>
      </c>
      <c r="D90" s="207" t="s">
        <v>2610</v>
      </c>
      <c r="E90" s="207" t="s">
        <v>3197</v>
      </c>
      <c r="F90" s="207" t="s">
        <v>1237</v>
      </c>
      <c r="G90" s="208" t="s">
        <v>2611</v>
      </c>
      <c r="H90" s="244"/>
      <c r="K90" s="17"/>
      <c r="XFC90" s="20"/>
    </row>
    <row r="91" spans="1:11 16383:16383" x14ac:dyDescent="0.2">
      <c r="A91" s="139" t="s">
        <v>1288</v>
      </c>
      <c r="B91" s="136" t="s">
        <v>97</v>
      </c>
      <c r="C91" s="136" t="s">
        <v>269</v>
      </c>
      <c r="D91" s="207" t="s">
        <v>268</v>
      </c>
      <c r="E91" s="207" t="s">
        <v>1009</v>
      </c>
      <c r="F91" s="207" t="s">
        <v>1237</v>
      </c>
      <c r="G91" s="208" t="s">
        <v>2026</v>
      </c>
      <c r="H91" s="244"/>
      <c r="K91" s="17"/>
      <c r="XFC91" s="20"/>
    </row>
    <row r="92" spans="1:11 16383:16383" x14ac:dyDescent="0.2">
      <c r="A92" s="139" t="s">
        <v>2465</v>
      </c>
      <c r="B92" s="136" t="s">
        <v>97</v>
      </c>
      <c r="C92" s="136" t="s">
        <v>2466</v>
      </c>
      <c r="D92" s="207" t="s">
        <v>2467</v>
      </c>
      <c r="E92" s="207" t="s">
        <v>3196</v>
      </c>
      <c r="F92" s="207" t="s">
        <v>1237</v>
      </c>
      <c r="G92" s="208" t="s">
        <v>2468</v>
      </c>
      <c r="H92" s="244"/>
      <c r="K92" s="17"/>
      <c r="XFC92" s="20"/>
    </row>
    <row r="93" spans="1:11 16383:16383" x14ac:dyDescent="0.2">
      <c r="A93" s="139" t="s">
        <v>1289</v>
      </c>
      <c r="B93" s="136" t="s">
        <v>97</v>
      </c>
      <c r="C93" s="136" t="s">
        <v>267</v>
      </c>
      <c r="D93" s="207" t="s">
        <v>266</v>
      </c>
      <c r="E93" s="207" t="s">
        <v>1008</v>
      </c>
      <c r="F93" s="207" t="s">
        <v>1237</v>
      </c>
      <c r="G93" s="208" t="s">
        <v>2027</v>
      </c>
      <c r="H93" s="244"/>
      <c r="K93" s="17"/>
      <c r="XFC93" s="20"/>
    </row>
    <row r="94" spans="1:11 16383:16383" x14ac:dyDescent="0.2">
      <c r="A94" s="139" t="s">
        <v>1290</v>
      </c>
      <c r="B94" s="136" t="s">
        <v>97</v>
      </c>
      <c r="C94" s="136" t="s">
        <v>271</v>
      </c>
      <c r="D94" s="207" t="s">
        <v>270</v>
      </c>
      <c r="E94" s="207" t="s">
        <v>1010</v>
      </c>
      <c r="F94" s="207" t="s">
        <v>1237</v>
      </c>
      <c r="G94" s="208" t="s">
        <v>2028</v>
      </c>
      <c r="H94" s="244"/>
      <c r="K94" s="17"/>
      <c r="XFC94" s="20"/>
    </row>
    <row r="95" spans="1:11 16383:16383" x14ac:dyDescent="0.2">
      <c r="A95" s="139" t="s">
        <v>3333</v>
      </c>
      <c r="B95" s="136" t="s">
        <v>97</v>
      </c>
      <c r="C95" s="136" t="s">
        <v>271</v>
      </c>
      <c r="D95" s="207" t="s">
        <v>3334</v>
      </c>
      <c r="E95" s="207" t="s">
        <v>1010</v>
      </c>
      <c r="F95" s="207" t="s">
        <v>1237</v>
      </c>
      <c r="G95" s="208" t="s">
        <v>3335</v>
      </c>
      <c r="H95" s="244"/>
      <c r="K95" s="17"/>
      <c r="XFC95" s="20"/>
    </row>
    <row r="96" spans="1:11 16383:16383" x14ac:dyDescent="0.2">
      <c r="A96" s="139" t="s">
        <v>2616</v>
      </c>
      <c r="B96" s="136" t="s">
        <v>97</v>
      </c>
      <c r="C96" s="136" t="s">
        <v>2617</v>
      </c>
      <c r="D96" s="207" t="s">
        <v>2618</v>
      </c>
      <c r="E96" s="207" t="s">
        <v>3198</v>
      </c>
      <c r="F96" s="207" t="s">
        <v>1237</v>
      </c>
      <c r="G96" s="208" t="s">
        <v>2619</v>
      </c>
      <c r="H96" s="244"/>
      <c r="K96" s="17"/>
      <c r="XFC96" s="20"/>
    </row>
    <row r="97" spans="1:11 16383:16383" x14ac:dyDescent="0.2">
      <c r="A97" s="139" t="s">
        <v>1291</v>
      </c>
      <c r="B97" s="136" t="s">
        <v>97</v>
      </c>
      <c r="C97" s="136" t="s">
        <v>275</v>
      </c>
      <c r="D97" s="207" t="s">
        <v>274</v>
      </c>
      <c r="E97" s="207" t="s">
        <v>886</v>
      </c>
      <c r="F97" s="207" t="s">
        <v>1237</v>
      </c>
      <c r="G97" s="208" t="s">
        <v>2029</v>
      </c>
      <c r="H97" s="244"/>
      <c r="K97" s="17"/>
      <c r="XFC97" s="20"/>
    </row>
    <row r="98" spans="1:11 16383:16383" x14ac:dyDescent="0.2">
      <c r="A98" s="139" t="s">
        <v>2620</v>
      </c>
      <c r="B98" s="136" t="s">
        <v>97</v>
      </c>
      <c r="C98" s="136" t="s">
        <v>2621</v>
      </c>
      <c r="D98" s="207" t="s">
        <v>2622</v>
      </c>
      <c r="E98" s="207" t="s">
        <v>3199</v>
      </c>
      <c r="F98" s="207" t="s">
        <v>1237</v>
      </c>
      <c r="G98" s="208" t="s">
        <v>2623</v>
      </c>
      <c r="H98" s="244"/>
      <c r="K98" s="17"/>
      <c r="XFC98" s="20"/>
    </row>
    <row r="99" spans="1:11 16383:16383" x14ac:dyDescent="0.2">
      <c r="A99" s="139" t="s">
        <v>3336</v>
      </c>
      <c r="B99" s="136" t="s">
        <v>97</v>
      </c>
      <c r="C99" s="136" t="s">
        <v>2621</v>
      </c>
      <c r="D99" s="207" t="s">
        <v>3360</v>
      </c>
      <c r="E99" s="207" t="s">
        <v>3199</v>
      </c>
      <c r="F99" s="207" t="s">
        <v>1237</v>
      </c>
      <c r="G99" s="208" t="s">
        <v>3337</v>
      </c>
      <c r="H99" s="244"/>
      <c r="K99" s="17"/>
      <c r="XFC99" s="20"/>
    </row>
    <row r="100" spans="1:11 16383:16383" x14ac:dyDescent="0.2">
      <c r="A100" s="139" t="s">
        <v>1292</v>
      </c>
      <c r="B100" s="136" t="s">
        <v>97</v>
      </c>
      <c r="C100" s="136" t="s">
        <v>277</v>
      </c>
      <c r="D100" s="207" t="s">
        <v>276</v>
      </c>
      <c r="E100" s="207" t="s">
        <v>1011</v>
      </c>
      <c r="F100" s="207" t="s">
        <v>1237</v>
      </c>
      <c r="G100" s="208" t="s">
        <v>278</v>
      </c>
      <c r="H100" s="244"/>
      <c r="K100" s="17"/>
      <c r="XFC100" s="20"/>
    </row>
    <row r="101" spans="1:11 16383:16383" x14ac:dyDescent="0.2">
      <c r="A101" s="139" t="s">
        <v>1635</v>
      </c>
      <c r="B101" s="136" t="s">
        <v>97</v>
      </c>
      <c r="C101" s="136" t="s">
        <v>277</v>
      </c>
      <c r="D101" s="207" t="s">
        <v>279</v>
      </c>
      <c r="E101" s="207" t="s">
        <v>1011</v>
      </c>
      <c r="F101" s="207" t="s">
        <v>1237</v>
      </c>
      <c r="G101" s="208" t="s">
        <v>2030</v>
      </c>
      <c r="H101" s="244"/>
      <c r="K101" s="17"/>
      <c r="XFC101" s="20"/>
    </row>
    <row r="102" spans="1:11 16383:16383" x14ac:dyDescent="0.2">
      <c r="A102" s="139" t="s">
        <v>2963</v>
      </c>
      <c r="B102" s="136" t="s">
        <v>97</v>
      </c>
      <c r="C102" s="136" t="s">
        <v>277</v>
      </c>
      <c r="D102" s="207" t="s">
        <v>2964</v>
      </c>
      <c r="E102" s="207" t="s">
        <v>1011</v>
      </c>
      <c r="F102" s="207" t="s">
        <v>1237</v>
      </c>
      <c r="G102" s="208" t="s">
        <v>2965</v>
      </c>
      <c r="H102" s="244"/>
      <c r="K102" s="17"/>
      <c r="XFC102" s="20"/>
    </row>
    <row r="103" spans="1:11 16383:16383" x14ac:dyDescent="0.2">
      <c r="A103" s="139" t="s">
        <v>3447</v>
      </c>
      <c r="B103" s="136" t="s">
        <v>97</v>
      </c>
      <c r="C103" s="136" t="s">
        <v>277</v>
      </c>
      <c r="D103" s="207" t="s">
        <v>3520</v>
      </c>
      <c r="E103" s="207" t="s">
        <v>1011</v>
      </c>
      <c r="F103" s="207" t="s">
        <v>1237</v>
      </c>
      <c r="G103" s="208" t="s">
        <v>3521</v>
      </c>
      <c r="H103" s="244"/>
      <c r="K103" s="17"/>
      <c r="XFC103" s="20"/>
    </row>
    <row r="104" spans="1:11 16383:16383" x14ac:dyDescent="0.2">
      <c r="A104" s="139" t="s">
        <v>2624</v>
      </c>
      <c r="B104" s="136" t="s">
        <v>97</v>
      </c>
      <c r="C104" s="136" t="s">
        <v>2625</v>
      </c>
      <c r="D104" s="207" t="s">
        <v>2626</v>
      </c>
      <c r="E104" s="207" t="s">
        <v>1142</v>
      </c>
      <c r="F104" s="207" t="s">
        <v>1237</v>
      </c>
      <c r="G104" s="208" t="s">
        <v>2627</v>
      </c>
      <c r="H104" s="244"/>
      <c r="K104" s="17"/>
      <c r="XFC104" s="20"/>
    </row>
    <row r="105" spans="1:11 16383:16383" x14ac:dyDescent="0.2">
      <c r="A105" s="139" t="s">
        <v>2636</v>
      </c>
      <c r="B105" s="136" t="s">
        <v>97</v>
      </c>
      <c r="C105" s="136" t="s">
        <v>2637</v>
      </c>
      <c r="D105" s="207" t="s">
        <v>2638</v>
      </c>
      <c r="E105" s="207" t="s">
        <v>3200</v>
      </c>
      <c r="F105" s="207" t="s">
        <v>1237</v>
      </c>
      <c r="G105" s="208" t="s">
        <v>2639</v>
      </c>
      <c r="H105" s="244"/>
      <c r="K105" s="17"/>
      <c r="XFC105" s="20"/>
    </row>
    <row r="106" spans="1:11 16383:16383" x14ac:dyDescent="0.2">
      <c r="A106" s="139" t="s">
        <v>1293</v>
      </c>
      <c r="B106" s="136" t="s">
        <v>97</v>
      </c>
      <c r="C106" s="136" t="s">
        <v>255</v>
      </c>
      <c r="D106" s="207" t="s">
        <v>254</v>
      </c>
      <c r="E106" s="207" t="s">
        <v>1004</v>
      </c>
      <c r="F106" s="207" t="s">
        <v>1237</v>
      </c>
      <c r="G106" s="208" t="s">
        <v>256</v>
      </c>
      <c r="H106" s="244"/>
      <c r="K106" s="17"/>
      <c r="XFC106" s="20"/>
    </row>
    <row r="107" spans="1:11 16383:16383" x14ac:dyDescent="0.2">
      <c r="A107" s="139" t="s">
        <v>1294</v>
      </c>
      <c r="B107" s="136" t="s">
        <v>97</v>
      </c>
      <c r="C107" s="136" t="s">
        <v>284</v>
      </c>
      <c r="D107" s="207" t="s">
        <v>283</v>
      </c>
      <c r="E107" s="207" t="s">
        <v>1013</v>
      </c>
      <c r="F107" s="207" t="s">
        <v>1237</v>
      </c>
      <c r="G107" s="208" t="s">
        <v>285</v>
      </c>
      <c r="H107" s="244"/>
      <c r="K107" s="17"/>
      <c r="XFC107" s="20"/>
    </row>
    <row r="108" spans="1:11 16383:16383" x14ac:dyDescent="0.2">
      <c r="A108" s="139" t="s">
        <v>2628</v>
      </c>
      <c r="B108" s="136" t="s">
        <v>97</v>
      </c>
      <c r="C108" s="136" t="s">
        <v>2629</v>
      </c>
      <c r="D108" s="207" t="s">
        <v>2630</v>
      </c>
      <c r="E108" s="207" t="s">
        <v>3201</v>
      </c>
      <c r="F108" s="207" t="s">
        <v>1237</v>
      </c>
      <c r="G108" s="208" t="s">
        <v>2631</v>
      </c>
      <c r="H108" s="244"/>
      <c r="K108" s="17"/>
      <c r="XFC108" s="20"/>
    </row>
    <row r="109" spans="1:11 16383:16383" x14ac:dyDescent="0.2">
      <c r="A109" s="139" t="s">
        <v>1295</v>
      </c>
      <c r="B109" s="136" t="s">
        <v>97</v>
      </c>
      <c r="C109" s="136" t="s">
        <v>281</v>
      </c>
      <c r="D109" s="207" t="s">
        <v>280</v>
      </c>
      <c r="E109" s="207" t="s">
        <v>1012</v>
      </c>
      <c r="F109" s="207" t="s">
        <v>1237</v>
      </c>
      <c r="G109" s="208" t="s">
        <v>282</v>
      </c>
      <c r="H109" s="244"/>
      <c r="K109" s="17"/>
      <c r="XFC109" s="20"/>
    </row>
    <row r="110" spans="1:11 16383:16383" x14ac:dyDescent="0.2">
      <c r="A110" s="139" t="s">
        <v>2632</v>
      </c>
      <c r="B110" s="136" t="s">
        <v>97</v>
      </c>
      <c r="C110" s="136" t="s">
        <v>2633</v>
      </c>
      <c r="D110" s="207" t="s">
        <v>2634</v>
      </c>
      <c r="E110" s="207" t="s">
        <v>3202</v>
      </c>
      <c r="F110" s="207" t="s">
        <v>1237</v>
      </c>
      <c r="G110" s="208" t="s">
        <v>2635</v>
      </c>
      <c r="H110" s="244"/>
      <c r="K110" s="17"/>
      <c r="XFC110" s="20"/>
    </row>
    <row r="111" spans="1:11 16383:16383" x14ac:dyDescent="0.2">
      <c r="A111" s="139" t="s">
        <v>2469</v>
      </c>
      <c r="B111" s="136" t="s">
        <v>97</v>
      </c>
      <c r="C111" s="136" t="s">
        <v>2470</v>
      </c>
      <c r="D111" s="207" t="s">
        <v>2472</v>
      </c>
      <c r="E111" s="207" t="s">
        <v>3203</v>
      </c>
      <c r="F111" s="207" t="s">
        <v>1237</v>
      </c>
      <c r="G111" s="207" t="s">
        <v>2471</v>
      </c>
      <c r="H111" s="244"/>
      <c r="K111" s="17"/>
      <c r="XFC111" s="20"/>
    </row>
    <row r="112" spans="1:11 16383:16383" ht="21" customHeight="1" x14ac:dyDescent="0.2">
      <c r="A112" s="139" t="s">
        <v>1296</v>
      </c>
      <c r="B112" s="136" t="s">
        <v>99</v>
      </c>
      <c r="C112" s="136" t="s">
        <v>389</v>
      </c>
      <c r="D112" s="207" t="s">
        <v>389</v>
      </c>
      <c r="E112" s="207" t="s">
        <v>1016</v>
      </c>
      <c r="F112" s="207" t="s">
        <v>1239</v>
      </c>
      <c r="G112" s="207" t="s">
        <v>287</v>
      </c>
      <c r="H112" s="244"/>
      <c r="K112" s="17"/>
      <c r="XFC112" s="20"/>
    </row>
    <row r="113" spans="1:11 16383:16383" ht="21" customHeight="1" x14ac:dyDescent="0.2">
      <c r="A113" s="139" t="s">
        <v>1297</v>
      </c>
      <c r="B113" s="136" t="s">
        <v>99</v>
      </c>
      <c r="C113" s="136" t="s">
        <v>2031</v>
      </c>
      <c r="D113" s="207" t="s">
        <v>2031</v>
      </c>
      <c r="E113" s="207" t="s">
        <v>1015</v>
      </c>
      <c r="F113" s="207" t="s">
        <v>1239</v>
      </c>
      <c r="G113" s="207" t="s">
        <v>2032</v>
      </c>
      <c r="H113" s="244"/>
      <c r="K113" s="17"/>
      <c r="XFC113" s="20"/>
    </row>
    <row r="114" spans="1:11 16383:16383" ht="21" customHeight="1" x14ac:dyDescent="0.2">
      <c r="A114" s="139" t="s">
        <v>1298</v>
      </c>
      <c r="B114" s="136" t="s">
        <v>99</v>
      </c>
      <c r="C114" s="136" t="s">
        <v>2033</v>
      </c>
      <c r="D114" s="207" t="s">
        <v>2033</v>
      </c>
      <c r="E114" s="207" t="s">
        <v>888</v>
      </c>
      <c r="F114" s="207" t="s">
        <v>1239</v>
      </c>
      <c r="G114" s="207" t="s">
        <v>2034</v>
      </c>
      <c r="H114" s="244"/>
      <c r="K114" s="17"/>
      <c r="XFC114" s="20"/>
    </row>
    <row r="115" spans="1:11 16383:16383" x14ac:dyDescent="0.2">
      <c r="A115" s="139" t="s">
        <v>2644</v>
      </c>
      <c r="B115" s="136" t="s">
        <v>99</v>
      </c>
      <c r="C115" s="136" t="s">
        <v>2645</v>
      </c>
      <c r="D115" s="207" t="s">
        <v>2646</v>
      </c>
      <c r="E115" s="207" t="s">
        <v>3204</v>
      </c>
      <c r="F115" s="207" t="s">
        <v>1239</v>
      </c>
      <c r="G115" s="208" t="s">
        <v>2647</v>
      </c>
      <c r="H115" s="244"/>
      <c r="K115" s="17"/>
      <c r="XFC115" s="20"/>
    </row>
    <row r="116" spans="1:11 16383:16383" x14ac:dyDescent="0.2">
      <c r="A116" s="139" t="s">
        <v>2648</v>
      </c>
      <c r="B116" s="136" t="s">
        <v>99</v>
      </c>
      <c r="C116" s="136" t="s">
        <v>2649</v>
      </c>
      <c r="D116" s="207" t="s">
        <v>2650</v>
      </c>
      <c r="E116" s="207" t="s">
        <v>3188</v>
      </c>
      <c r="F116" s="207" t="s">
        <v>1239</v>
      </c>
      <c r="G116" s="208" t="s">
        <v>3292</v>
      </c>
      <c r="H116" s="244"/>
      <c r="K116" s="17"/>
      <c r="XFC116" s="20"/>
    </row>
    <row r="117" spans="1:11 16383:16383" x14ac:dyDescent="0.2">
      <c r="A117" s="139" t="s">
        <v>2640</v>
      </c>
      <c r="B117" s="136" t="s">
        <v>99</v>
      </c>
      <c r="C117" s="136" t="s">
        <v>2641</v>
      </c>
      <c r="D117" s="207" t="s">
        <v>2642</v>
      </c>
      <c r="E117" s="207" t="s">
        <v>3205</v>
      </c>
      <c r="F117" s="207" t="s">
        <v>1239</v>
      </c>
      <c r="G117" s="208" t="s">
        <v>2643</v>
      </c>
      <c r="H117" s="244"/>
      <c r="K117" s="17"/>
      <c r="XFC117" s="20"/>
    </row>
    <row r="118" spans="1:11 16383:16383" x14ac:dyDescent="0.2">
      <c r="A118" s="139" t="s">
        <v>1299</v>
      </c>
      <c r="B118" s="136" t="s">
        <v>99</v>
      </c>
      <c r="C118" s="136" t="s">
        <v>2035</v>
      </c>
      <c r="D118" s="207" t="s">
        <v>2035</v>
      </c>
      <c r="E118" s="207" t="s">
        <v>1014</v>
      </c>
      <c r="F118" s="207" t="s">
        <v>1239</v>
      </c>
      <c r="G118" s="208" t="s">
        <v>2036</v>
      </c>
      <c r="H118" s="244"/>
      <c r="K118" s="17"/>
      <c r="XFC118" s="20"/>
    </row>
    <row r="119" spans="1:11 16383:16383" x14ac:dyDescent="0.2">
      <c r="A119" s="139" t="s">
        <v>2566</v>
      </c>
      <c r="B119" s="136" t="s">
        <v>99</v>
      </c>
      <c r="C119" s="136" t="s">
        <v>2035</v>
      </c>
      <c r="D119" s="207" t="s">
        <v>2567</v>
      </c>
      <c r="E119" s="207" t="s">
        <v>1014</v>
      </c>
      <c r="F119" s="207" t="s">
        <v>1239</v>
      </c>
      <c r="G119" s="208" t="s">
        <v>2568</v>
      </c>
      <c r="H119" s="244"/>
      <c r="K119" s="17"/>
      <c r="XFC119" s="20"/>
    </row>
    <row r="120" spans="1:11 16383:16383" x14ac:dyDescent="0.2">
      <c r="A120" s="139" t="s">
        <v>2569</v>
      </c>
      <c r="B120" s="136" t="s">
        <v>99</v>
      </c>
      <c r="C120" s="136" t="s">
        <v>2035</v>
      </c>
      <c r="D120" s="207" t="s">
        <v>2571</v>
      </c>
      <c r="E120" s="207" t="s">
        <v>1014</v>
      </c>
      <c r="F120" s="207" t="s">
        <v>1239</v>
      </c>
      <c r="G120" s="208" t="s">
        <v>2570</v>
      </c>
      <c r="H120" s="244"/>
      <c r="K120" s="17"/>
      <c r="XFC120" s="20"/>
    </row>
    <row r="121" spans="1:11 16383:16383" x14ac:dyDescent="0.2">
      <c r="A121" s="139" t="s">
        <v>2847</v>
      </c>
      <c r="B121" s="136" t="s">
        <v>99</v>
      </c>
      <c r="C121" s="136" t="s">
        <v>2035</v>
      </c>
      <c r="D121" s="213" t="s">
        <v>2845</v>
      </c>
      <c r="E121" s="213" t="s">
        <v>1014</v>
      </c>
      <c r="F121" s="213" t="s">
        <v>1239</v>
      </c>
      <c r="G121" s="208" t="s">
        <v>2846</v>
      </c>
      <c r="H121" s="244"/>
      <c r="K121" s="17"/>
      <c r="XFC121" s="20"/>
    </row>
    <row r="122" spans="1:11 16383:16383" x14ac:dyDescent="0.2">
      <c r="A122" s="139" t="s">
        <v>1300</v>
      </c>
      <c r="B122" s="136" t="s">
        <v>99</v>
      </c>
      <c r="C122" s="136" t="s">
        <v>2037</v>
      </c>
      <c r="D122" s="207" t="s">
        <v>2037</v>
      </c>
      <c r="E122" s="207" t="s">
        <v>889</v>
      </c>
      <c r="F122" s="207" t="s">
        <v>1239</v>
      </c>
      <c r="G122" s="208" t="s">
        <v>288</v>
      </c>
      <c r="H122" s="244"/>
      <c r="K122" s="17"/>
      <c r="XFC122" s="20"/>
    </row>
    <row r="123" spans="1:11 16383:16383" x14ac:dyDescent="0.2">
      <c r="A123" s="139" t="s">
        <v>1301</v>
      </c>
      <c r="B123" s="136" t="s">
        <v>98</v>
      </c>
      <c r="C123" s="136" t="s">
        <v>98</v>
      </c>
      <c r="D123" s="207" t="s">
        <v>286</v>
      </c>
      <c r="E123" s="207" t="s">
        <v>887</v>
      </c>
      <c r="F123" s="207" t="s">
        <v>1238</v>
      </c>
      <c r="G123" s="208" t="s">
        <v>2038</v>
      </c>
      <c r="H123" s="244"/>
      <c r="K123" s="17"/>
      <c r="XFC123" s="20"/>
    </row>
    <row r="124" spans="1:11 16383:16383" x14ac:dyDescent="0.2">
      <c r="A124" s="139" t="s">
        <v>2449</v>
      </c>
      <c r="B124" s="136" t="s">
        <v>98</v>
      </c>
      <c r="C124" s="136" t="s">
        <v>98</v>
      </c>
      <c r="D124" s="207" t="s">
        <v>2450</v>
      </c>
      <c r="E124" s="207" t="s">
        <v>887</v>
      </c>
      <c r="F124" s="207" t="s">
        <v>1238</v>
      </c>
      <c r="G124" s="208" t="s">
        <v>2451</v>
      </c>
      <c r="H124" s="244"/>
      <c r="K124" s="17"/>
      <c r="XFC124" s="20"/>
    </row>
    <row r="125" spans="1:11 16383:16383" x14ac:dyDescent="0.2">
      <c r="A125" s="139" t="s">
        <v>1302</v>
      </c>
      <c r="B125" s="136" t="s">
        <v>100</v>
      </c>
      <c r="C125" s="136" t="s">
        <v>294</v>
      </c>
      <c r="D125" s="207" t="s">
        <v>2039</v>
      </c>
      <c r="E125" s="207" t="s">
        <v>1019</v>
      </c>
      <c r="F125" s="207" t="s">
        <v>1240</v>
      </c>
      <c r="G125" s="208" t="s">
        <v>2040</v>
      </c>
      <c r="H125" s="244"/>
      <c r="K125" s="17"/>
      <c r="XFC125" s="20"/>
    </row>
    <row r="126" spans="1:11 16383:16383" x14ac:dyDescent="0.2">
      <c r="A126" s="139" t="s">
        <v>1303</v>
      </c>
      <c r="B126" s="136" t="s">
        <v>100</v>
      </c>
      <c r="C126" s="136" t="s">
        <v>296</v>
      </c>
      <c r="D126" s="207" t="s">
        <v>295</v>
      </c>
      <c r="E126" s="207" t="s">
        <v>891</v>
      </c>
      <c r="F126" s="207" t="s">
        <v>1240</v>
      </c>
      <c r="G126" s="208" t="s">
        <v>2041</v>
      </c>
      <c r="H126" s="244"/>
      <c r="K126" s="17"/>
      <c r="XFC126" s="20"/>
    </row>
    <row r="127" spans="1:11 16383:16383" x14ac:dyDescent="0.2">
      <c r="A127" s="139" t="s">
        <v>1304</v>
      </c>
      <c r="B127" s="136" t="s">
        <v>100</v>
      </c>
      <c r="C127" s="136" t="s">
        <v>290</v>
      </c>
      <c r="D127" s="207" t="s">
        <v>289</v>
      </c>
      <c r="E127" s="207" t="s">
        <v>1017</v>
      </c>
      <c r="F127" s="207" t="s">
        <v>1240</v>
      </c>
      <c r="G127" s="208" t="s">
        <v>2042</v>
      </c>
      <c r="H127" s="244"/>
      <c r="K127" s="17"/>
      <c r="XFC127" s="20"/>
    </row>
    <row r="128" spans="1:11 16383:16383" x14ac:dyDescent="0.2">
      <c r="A128" s="139" t="s">
        <v>1636</v>
      </c>
      <c r="B128" s="136" t="s">
        <v>100</v>
      </c>
      <c r="C128" s="136" t="s">
        <v>290</v>
      </c>
      <c r="D128" s="207" t="s">
        <v>301</v>
      </c>
      <c r="E128" s="207" t="s">
        <v>1017</v>
      </c>
      <c r="F128" s="207" t="s">
        <v>1240</v>
      </c>
      <c r="G128" s="208" t="s">
        <v>2043</v>
      </c>
      <c r="H128" s="244"/>
      <c r="K128" s="17"/>
      <c r="XFC128" s="20"/>
    </row>
    <row r="129" spans="1:11 16383:16383" x14ac:dyDescent="0.2">
      <c r="A129" s="139" t="s">
        <v>1637</v>
      </c>
      <c r="B129" s="136" t="s">
        <v>100</v>
      </c>
      <c r="C129" s="136" t="s">
        <v>290</v>
      </c>
      <c r="D129" s="207" t="s">
        <v>303</v>
      </c>
      <c r="E129" s="207" t="s">
        <v>1017</v>
      </c>
      <c r="F129" s="207" t="s">
        <v>1240</v>
      </c>
      <c r="G129" s="208" t="s">
        <v>2044</v>
      </c>
      <c r="H129" s="244"/>
      <c r="K129" s="17"/>
      <c r="XFC129" s="20"/>
    </row>
    <row r="130" spans="1:11 16383:16383" x14ac:dyDescent="0.2">
      <c r="A130" s="139" t="s">
        <v>1305</v>
      </c>
      <c r="B130" s="136" t="s">
        <v>100</v>
      </c>
      <c r="C130" s="136" t="s">
        <v>293</v>
      </c>
      <c r="D130" s="207" t="s">
        <v>2045</v>
      </c>
      <c r="E130" s="207" t="s">
        <v>890</v>
      </c>
      <c r="F130" s="207" t="s">
        <v>1240</v>
      </c>
      <c r="G130" s="208" t="s">
        <v>2046</v>
      </c>
      <c r="H130" s="244"/>
      <c r="K130" s="17"/>
      <c r="XFC130" s="20"/>
    </row>
    <row r="131" spans="1:11 16383:16383" x14ac:dyDescent="0.2">
      <c r="A131" s="139" t="s">
        <v>1638</v>
      </c>
      <c r="B131" s="136" t="s">
        <v>100</v>
      </c>
      <c r="C131" s="136" t="s">
        <v>293</v>
      </c>
      <c r="D131" s="207" t="s">
        <v>302</v>
      </c>
      <c r="E131" s="207" t="s">
        <v>890</v>
      </c>
      <c r="F131" s="207" t="s">
        <v>1240</v>
      </c>
      <c r="G131" s="208" t="s">
        <v>2047</v>
      </c>
      <c r="H131" s="244"/>
      <c r="K131" s="17"/>
      <c r="XFC131" s="20"/>
    </row>
    <row r="132" spans="1:11 16383:16383" x14ac:dyDescent="0.2">
      <c r="A132" s="139" t="s">
        <v>1306</v>
      </c>
      <c r="B132" s="136" t="s">
        <v>100</v>
      </c>
      <c r="C132" s="136" t="s">
        <v>292</v>
      </c>
      <c r="D132" s="207" t="s">
        <v>291</v>
      </c>
      <c r="E132" s="207" t="s">
        <v>1018</v>
      </c>
      <c r="F132" s="207" t="s">
        <v>1240</v>
      </c>
      <c r="G132" s="208" t="s">
        <v>2048</v>
      </c>
      <c r="H132" s="244"/>
      <c r="K132" s="17"/>
      <c r="XFC132" s="20"/>
    </row>
    <row r="133" spans="1:11 16383:16383" x14ac:dyDescent="0.2">
      <c r="A133" s="139" t="s">
        <v>1639</v>
      </c>
      <c r="B133" s="136" t="s">
        <v>100</v>
      </c>
      <c r="C133" s="136" t="s">
        <v>292</v>
      </c>
      <c r="D133" s="207" t="s">
        <v>300</v>
      </c>
      <c r="E133" s="207" t="s">
        <v>1018</v>
      </c>
      <c r="F133" s="207" t="s">
        <v>1240</v>
      </c>
      <c r="G133" s="208" t="s">
        <v>2049</v>
      </c>
      <c r="H133" s="244"/>
      <c r="K133" s="17"/>
      <c r="XFC133" s="20"/>
    </row>
    <row r="134" spans="1:11 16383:16383" x14ac:dyDescent="0.2">
      <c r="A134" s="139" t="s">
        <v>3448</v>
      </c>
      <c r="B134" s="136" t="s">
        <v>100</v>
      </c>
      <c r="C134" s="136" t="s">
        <v>292</v>
      </c>
      <c r="D134" s="207" t="s">
        <v>3522</v>
      </c>
      <c r="E134" s="207" t="s">
        <v>1018</v>
      </c>
      <c r="F134" s="207" t="s">
        <v>1240</v>
      </c>
      <c r="G134" s="208" t="s">
        <v>3523</v>
      </c>
      <c r="H134" s="244"/>
      <c r="K134" s="17"/>
      <c r="XFC134" s="20"/>
    </row>
    <row r="135" spans="1:11 16383:16383" x14ac:dyDescent="0.2">
      <c r="A135" s="139" t="s">
        <v>1307</v>
      </c>
      <c r="B135" s="136" t="s">
        <v>100</v>
      </c>
      <c r="C135" s="136" t="s">
        <v>299</v>
      </c>
      <c r="D135" s="207" t="s">
        <v>1911</v>
      </c>
      <c r="E135" s="207" t="s">
        <v>892</v>
      </c>
      <c r="F135" s="207" t="s">
        <v>1240</v>
      </c>
      <c r="G135" s="208" t="s">
        <v>2050</v>
      </c>
      <c r="H135" s="244"/>
      <c r="K135" s="17"/>
      <c r="XFC135" s="20"/>
    </row>
    <row r="136" spans="1:11 16383:16383" x14ac:dyDescent="0.2">
      <c r="A136" s="139" t="s">
        <v>1308</v>
      </c>
      <c r="B136" s="136" t="s">
        <v>100</v>
      </c>
      <c r="C136" s="136" t="s">
        <v>298</v>
      </c>
      <c r="D136" s="207" t="s">
        <v>297</v>
      </c>
      <c r="E136" s="207" t="s">
        <v>1020</v>
      </c>
      <c r="F136" s="207" t="s">
        <v>1240</v>
      </c>
      <c r="G136" s="208" t="s">
        <v>2051</v>
      </c>
      <c r="H136" s="244"/>
      <c r="K136" s="17"/>
      <c r="XFC136" s="20"/>
    </row>
    <row r="137" spans="1:11 16383:16383" x14ac:dyDescent="0.2">
      <c r="A137" s="139" t="s">
        <v>2490</v>
      </c>
      <c r="B137" s="136" t="s">
        <v>100</v>
      </c>
      <c r="C137" s="136" t="s">
        <v>298</v>
      </c>
      <c r="D137" s="207" t="s">
        <v>2491</v>
      </c>
      <c r="E137" s="207" t="s">
        <v>1020</v>
      </c>
      <c r="F137" s="207" t="s">
        <v>1240</v>
      </c>
      <c r="G137" s="208" t="s">
        <v>2492</v>
      </c>
      <c r="H137" s="244"/>
      <c r="K137" s="17"/>
      <c r="XFC137" s="20"/>
    </row>
    <row r="138" spans="1:11 16383:16383" x14ac:dyDescent="0.2">
      <c r="A138" s="139" t="s">
        <v>2777</v>
      </c>
      <c r="B138" s="136" t="s">
        <v>2775</v>
      </c>
      <c r="C138" s="136" t="s">
        <v>2776</v>
      </c>
      <c r="D138" s="207" t="s">
        <v>2778</v>
      </c>
      <c r="E138" s="207" t="s">
        <v>3207</v>
      </c>
      <c r="F138" s="207" t="s">
        <v>3206</v>
      </c>
      <c r="G138" s="208" t="s">
        <v>2779</v>
      </c>
      <c r="H138" s="244"/>
      <c r="K138" s="17"/>
      <c r="XFC138" s="20"/>
    </row>
    <row r="139" spans="1:11 16383:16383" x14ac:dyDescent="0.2">
      <c r="A139" s="139" t="s">
        <v>1309</v>
      </c>
      <c r="B139" s="136" t="s">
        <v>102</v>
      </c>
      <c r="C139" s="136" t="s">
        <v>896</v>
      </c>
      <c r="D139" s="207" t="s">
        <v>3109</v>
      </c>
      <c r="E139" s="207" t="s">
        <v>894</v>
      </c>
      <c r="F139" s="207" t="s">
        <v>1242</v>
      </c>
      <c r="G139" s="208" t="s">
        <v>307</v>
      </c>
      <c r="H139" s="244"/>
      <c r="K139" s="17"/>
      <c r="XFC139" s="20"/>
    </row>
    <row r="140" spans="1:11 16383:16383" x14ac:dyDescent="0.2">
      <c r="A140" s="139" t="s">
        <v>1640</v>
      </c>
      <c r="B140" s="136" t="s">
        <v>102</v>
      </c>
      <c r="C140" s="136" t="s">
        <v>896</v>
      </c>
      <c r="D140" s="207" t="s">
        <v>335</v>
      </c>
      <c r="E140" s="207" t="s">
        <v>894</v>
      </c>
      <c r="F140" s="207" t="s">
        <v>1242</v>
      </c>
      <c r="G140" s="208" t="s">
        <v>2052</v>
      </c>
      <c r="H140" s="244"/>
      <c r="K140" s="17"/>
      <c r="XFC140" s="20"/>
    </row>
    <row r="141" spans="1:11 16383:16383" x14ac:dyDescent="0.2">
      <c r="A141" s="139" t="s">
        <v>1641</v>
      </c>
      <c r="B141" s="136" t="s">
        <v>102</v>
      </c>
      <c r="C141" s="136" t="s">
        <v>896</v>
      </c>
      <c r="D141" s="207" t="s">
        <v>370</v>
      </c>
      <c r="E141" s="207" t="s">
        <v>894</v>
      </c>
      <c r="F141" s="207" t="s">
        <v>1242</v>
      </c>
      <c r="G141" s="208" t="s">
        <v>371</v>
      </c>
      <c r="H141" s="244"/>
      <c r="K141" s="17"/>
      <c r="XFC141" s="20"/>
    </row>
    <row r="142" spans="1:11 16383:16383" x14ac:dyDescent="0.2">
      <c r="A142" s="139" t="s">
        <v>2766</v>
      </c>
      <c r="B142" s="136" t="s">
        <v>102</v>
      </c>
      <c r="C142" s="136" t="s">
        <v>896</v>
      </c>
      <c r="D142" s="207" t="s">
        <v>2767</v>
      </c>
      <c r="E142" s="207" t="s">
        <v>894</v>
      </c>
      <c r="F142" s="207" t="s">
        <v>1242</v>
      </c>
      <c r="G142" s="208" t="s">
        <v>2768</v>
      </c>
      <c r="H142" s="244"/>
      <c r="K142" s="17"/>
      <c r="XFC142" s="20"/>
    </row>
    <row r="143" spans="1:11 16383:16383" x14ac:dyDescent="0.2">
      <c r="A143" s="139" t="s">
        <v>2880</v>
      </c>
      <c r="B143" s="136" t="s">
        <v>102</v>
      </c>
      <c r="C143" s="136" t="s">
        <v>896</v>
      </c>
      <c r="D143" s="207" t="s">
        <v>2881</v>
      </c>
      <c r="E143" s="207" t="s">
        <v>894</v>
      </c>
      <c r="F143" s="207" t="s">
        <v>1242</v>
      </c>
      <c r="G143" s="208" t="s">
        <v>2882</v>
      </c>
      <c r="H143" s="244"/>
      <c r="K143" s="17"/>
      <c r="XFC143" s="20"/>
    </row>
    <row r="144" spans="1:11 16383:16383" x14ac:dyDescent="0.2">
      <c r="A144" s="139" t="s">
        <v>3111</v>
      </c>
      <c r="B144" s="136" t="s">
        <v>102</v>
      </c>
      <c r="C144" s="136" t="s">
        <v>896</v>
      </c>
      <c r="D144" s="207" t="s">
        <v>3110</v>
      </c>
      <c r="E144" s="207" t="s">
        <v>894</v>
      </c>
      <c r="F144" s="207" t="s">
        <v>1242</v>
      </c>
      <c r="G144" s="208" t="s">
        <v>3108</v>
      </c>
      <c r="H144" s="244"/>
      <c r="K144" s="17"/>
      <c r="XFC144" s="20"/>
    </row>
    <row r="145" spans="1:11 16383:16383" s="137" customFormat="1" ht="22.5" customHeight="1" x14ac:dyDescent="0.2">
      <c r="A145" s="139" t="s">
        <v>3118</v>
      </c>
      <c r="B145" s="136" t="s">
        <v>102</v>
      </c>
      <c r="C145" s="214" t="s">
        <v>896</v>
      </c>
      <c r="D145" s="129" t="s">
        <v>3120</v>
      </c>
      <c r="E145" s="129" t="s">
        <v>894</v>
      </c>
      <c r="F145" s="129" t="s">
        <v>1242</v>
      </c>
      <c r="G145" s="128" t="s">
        <v>3119</v>
      </c>
      <c r="H145" s="126"/>
      <c r="I145" s="126"/>
      <c r="J145" s="126"/>
      <c r="XFC145" s="154"/>
    </row>
    <row r="146" spans="1:11 16383:16383" x14ac:dyDescent="0.2">
      <c r="A146" s="139" t="s">
        <v>1310</v>
      </c>
      <c r="B146" s="136" t="s">
        <v>102</v>
      </c>
      <c r="C146" s="136" t="s">
        <v>339</v>
      </c>
      <c r="D146" s="207" t="s">
        <v>338</v>
      </c>
      <c r="E146" s="207" t="s">
        <v>1031</v>
      </c>
      <c r="F146" s="207" t="s">
        <v>1242</v>
      </c>
      <c r="G146" s="208" t="s">
        <v>340</v>
      </c>
      <c r="H146" s="244"/>
      <c r="K146" s="17"/>
      <c r="XFC146" s="20"/>
    </row>
    <row r="147" spans="1:11 16383:16383" x14ac:dyDescent="0.2">
      <c r="A147" s="139" t="s">
        <v>2860</v>
      </c>
      <c r="B147" s="136" t="s">
        <v>102</v>
      </c>
      <c r="C147" s="136" t="s">
        <v>2857</v>
      </c>
      <c r="D147" s="207" t="s">
        <v>2858</v>
      </c>
      <c r="E147" s="207" t="s">
        <v>3209</v>
      </c>
      <c r="F147" s="207" t="s">
        <v>1242</v>
      </c>
      <c r="G147" s="208" t="s">
        <v>2859</v>
      </c>
      <c r="H147" s="244"/>
      <c r="K147" s="17"/>
      <c r="XFC147" s="20"/>
    </row>
    <row r="148" spans="1:11 16383:16383" x14ac:dyDescent="0.2">
      <c r="A148" s="139" t="s">
        <v>2871</v>
      </c>
      <c r="B148" s="136" t="s">
        <v>102</v>
      </c>
      <c r="C148" s="136" t="s">
        <v>2868</v>
      </c>
      <c r="D148" s="207" t="s">
        <v>2869</v>
      </c>
      <c r="E148" s="207" t="s">
        <v>3210</v>
      </c>
      <c r="F148" s="207" t="s">
        <v>1242</v>
      </c>
      <c r="G148" s="208" t="s">
        <v>2870</v>
      </c>
      <c r="H148" s="244"/>
      <c r="K148" s="17"/>
      <c r="XFC148" s="20"/>
    </row>
    <row r="149" spans="1:11 16383:16383" x14ac:dyDescent="0.2">
      <c r="A149" s="139" t="s">
        <v>1311</v>
      </c>
      <c r="B149" s="136" t="s">
        <v>102</v>
      </c>
      <c r="C149" s="136" t="s">
        <v>333</v>
      </c>
      <c r="D149" s="207" t="s">
        <v>332</v>
      </c>
      <c r="E149" s="207" t="s">
        <v>1030</v>
      </c>
      <c r="F149" s="207" t="s">
        <v>1242</v>
      </c>
      <c r="G149" s="208" t="s">
        <v>334</v>
      </c>
      <c r="H149" s="244"/>
      <c r="K149" s="17"/>
      <c r="XFC149" s="20"/>
    </row>
    <row r="150" spans="1:11 16383:16383" x14ac:dyDescent="0.2">
      <c r="A150" s="139" t="s">
        <v>3006</v>
      </c>
      <c r="B150" s="136" t="s">
        <v>102</v>
      </c>
      <c r="C150" s="136" t="s">
        <v>333</v>
      </c>
      <c r="D150" s="207" t="s">
        <v>3004</v>
      </c>
      <c r="E150" s="207" t="s">
        <v>1030</v>
      </c>
      <c r="F150" s="207" t="s">
        <v>1242</v>
      </c>
      <c r="G150" s="208" t="s">
        <v>3005</v>
      </c>
      <c r="H150" s="244"/>
      <c r="K150" s="17"/>
      <c r="XFC150" s="20"/>
    </row>
    <row r="151" spans="1:11 16383:16383" x14ac:dyDescent="0.2">
      <c r="A151" s="139" t="s">
        <v>1312</v>
      </c>
      <c r="B151" s="136" t="s">
        <v>102</v>
      </c>
      <c r="C151" s="136" t="s">
        <v>354</v>
      </c>
      <c r="D151" s="207" t="s">
        <v>353</v>
      </c>
      <c r="E151" s="207" t="s">
        <v>1035</v>
      </c>
      <c r="F151" s="207" t="s">
        <v>1242</v>
      </c>
      <c r="G151" s="208" t="s">
        <v>355</v>
      </c>
      <c r="H151" s="244"/>
      <c r="K151" s="17"/>
      <c r="XFC151" s="20"/>
    </row>
    <row r="152" spans="1:11 16383:16383" x14ac:dyDescent="0.2">
      <c r="A152" s="139" t="s">
        <v>1313</v>
      </c>
      <c r="B152" s="136" t="s">
        <v>102</v>
      </c>
      <c r="C152" s="136" t="s">
        <v>315</v>
      </c>
      <c r="D152" s="207" t="s">
        <v>314</v>
      </c>
      <c r="E152" s="207" t="s">
        <v>1023</v>
      </c>
      <c r="F152" s="207" t="s">
        <v>1242</v>
      </c>
      <c r="G152" s="208" t="s">
        <v>316</v>
      </c>
      <c r="H152" s="244"/>
      <c r="K152" s="17"/>
      <c r="XFC152" s="20"/>
    </row>
    <row r="153" spans="1:11 16383:16383" x14ac:dyDescent="0.2">
      <c r="A153" s="139" t="s">
        <v>3036</v>
      </c>
      <c r="B153" s="136" t="s">
        <v>102</v>
      </c>
      <c r="C153" s="136" t="s">
        <v>315</v>
      </c>
      <c r="D153" s="207" t="s">
        <v>3034</v>
      </c>
      <c r="E153" s="207" t="s">
        <v>1023</v>
      </c>
      <c r="F153" s="207" t="s">
        <v>1242</v>
      </c>
      <c r="G153" s="208" t="s">
        <v>3035</v>
      </c>
      <c r="H153" s="244"/>
      <c r="K153" s="17"/>
      <c r="XFC153" s="20"/>
    </row>
    <row r="154" spans="1:11 16383:16383" x14ac:dyDescent="0.2">
      <c r="A154" s="139" t="s">
        <v>2877</v>
      </c>
      <c r="B154" s="136" t="s">
        <v>102</v>
      </c>
      <c r="C154" s="136" t="s">
        <v>2876</v>
      </c>
      <c r="D154" s="207" t="s">
        <v>2878</v>
      </c>
      <c r="E154" s="207" t="s">
        <v>1175</v>
      </c>
      <c r="F154" s="207" t="s">
        <v>1242</v>
      </c>
      <c r="G154" s="208" t="s">
        <v>2879</v>
      </c>
      <c r="H154" s="244"/>
      <c r="K154" s="17"/>
      <c r="XFC154" s="20"/>
    </row>
    <row r="155" spans="1:11 16383:16383" x14ac:dyDescent="0.2">
      <c r="A155" s="139" t="s">
        <v>2875</v>
      </c>
      <c r="B155" s="136" t="s">
        <v>102</v>
      </c>
      <c r="C155" s="136" t="s">
        <v>2872</v>
      </c>
      <c r="D155" s="207" t="s">
        <v>2873</v>
      </c>
      <c r="E155" s="207" t="s">
        <v>3211</v>
      </c>
      <c r="F155" s="207" t="s">
        <v>1242</v>
      </c>
      <c r="G155" s="207" t="s">
        <v>2874</v>
      </c>
      <c r="H155" s="244"/>
      <c r="K155" s="17"/>
      <c r="XFC155" s="20"/>
    </row>
    <row r="156" spans="1:11 16383:16383" x14ac:dyDescent="0.2">
      <c r="A156" s="139" t="s">
        <v>1314</v>
      </c>
      <c r="B156" s="136" t="s">
        <v>102</v>
      </c>
      <c r="C156" s="139" t="s">
        <v>365</v>
      </c>
      <c r="D156" s="207" t="s">
        <v>364</v>
      </c>
      <c r="E156" s="207" t="s">
        <v>1038</v>
      </c>
      <c r="F156" s="207" t="s">
        <v>1242</v>
      </c>
      <c r="G156" s="207" t="s">
        <v>366</v>
      </c>
      <c r="H156" s="244"/>
      <c r="K156" s="17"/>
      <c r="XFC156" s="20"/>
    </row>
    <row r="157" spans="1:11 16383:16383" x14ac:dyDescent="0.2">
      <c r="A157" s="139" t="s">
        <v>1315</v>
      </c>
      <c r="B157" s="136" t="s">
        <v>102</v>
      </c>
      <c r="C157" s="136" t="s">
        <v>368</v>
      </c>
      <c r="D157" s="207" t="s">
        <v>367</v>
      </c>
      <c r="E157" s="207" t="s">
        <v>1039</v>
      </c>
      <c r="F157" s="207" t="s">
        <v>1242</v>
      </c>
      <c r="G157" s="208" t="s">
        <v>369</v>
      </c>
      <c r="H157" s="244"/>
      <c r="K157" s="17"/>
      <c r="XFC157" s="20"/>
    </row>
    <row r="158" spans="1:11 16383:16383" x14ac:dyDescent="0.2">
      <c r="A158" s="139" t="s">
        <v>1316</v>
      </c>
      <c r="B158" s="136" t="s">
        <v>102</v>
      </c>
      <c r="C158" s="136" t="s">
        <v>357</v>
      </c>
      <c r="D158" s="207" t="s">
        <v>356</v>
      </c>
      <c r="E158" s="207" t="s">
        <v>897</v>
      </c>
      <c r="F158" s="207" t="s">
        <v>1242</v>
      </c>
      <c r="G158" s="208" t="s">
        <v>358</v>
      </c>
      <c r="H158" s="244"/>
      <c r="K158" s="17"/>
      <c r="XFC158" s="20"/>
    </row>
    <row r="159" spans="1:11 16383:16383" x14ac:dyDescent="0.2">
      <c r="A159" s="139" t="s">
        <v>3176</v>
      </c>
      <c r="B159" s="136" t="s">
        <v>102</v>
      </c>
      <c r="C159" s="136" t="s">
        <v>3178</v>
      </c>
      <c r="D159" s="207" t="s">
        <v>3177</v>
      </c>
      <c r="E159" s="207" t="s">
        <v>3179</v>
      </c>
      <c r="F159" s="207" t="s">
        <v>1242</v>
      </c>
      <c r="G159" s="208" t="s">
        <v>3177</v>
      </c>
      <c r="H159" s="244"/>
      <c r="K159" s="17"/>
      <c r="XFC159" s="20"/>
    </row>
    <row r="160" spans="1:11 16383:16383" x14ac:dyDescent="0.2">
      <c r="A160" s="139" t="s">
        <v>1317</v>
      </c>
      <c r="B160" s="136" t="s">
        <v>102</v>
      </c>
      <c r="C160" s="136" t="s">
        <v>322</v>
      </c>
      <c r="D160" s="207" t="s">
        <v>321</v>
      </c>
      <c r="E160" s="207" t="s">
        <v>1026</v>
      </c>
      <c r="F160" s="207" t="s">
        <v>1242</v>
      </c>
      <c r="G160" s="208" t="s">
        <v>323</v>
      </c>
      <c r="H160" s="244"/>
      <c r="K160" s="17"/>
      <c r="XFC160" s="20"/>
    </row>
    <row r="161" spans="1:11 16383:16383" x14ac:dyDescent="0.2">
      <c r="A161" s="139" t="s">
        <v>1318</v>
      </c>
      <c r="B161" s="136" t="s">
        <v>102</v>
      </c>
      <c r="C161" s="136" t="s">
        <v>328</v>
      </c>
      <c r="D161" s="207" t="s">
        <v>327</v>
      </c>
      <c r="E161" s="207" t="s">
        <v>1028</v>
      </c>
      <c r="F161" s="207" t="s">
        <v>1242</v>
      </c>
      <c r="G161" s="208" t="s">
        <v>329</v>
      </c>
      <c r="H161" s="244"/>
      <c r="K161" s="17"/>
      <c r="XFC161" s="20"/>
    </row>
    <row r="162" spans="1:11 16383:16383" x14ac:dyDescent="0.2">
      <c r="A162" s="139" t="s">
        <v>1319</v>
      </c>
      <c r="B162" s="136" t="s">
        <v>102</v>
      </c>
      <c r="C162" s="136" t="s">
        <v>363</v>
      </c>
      <c r="D162" s="207" t="s">
        <v>362</v>
      </c>
      <c r="E162" s="207" t="s">
        <v>1037</v>
      </c>
      <c r="F162" s="207" t="s">
        <v>1242</v>
      </c>
      <c r="G162" s="208" t="s">
        <v>2053</v>
      </c>
      <c r="H162" s="244"/>
      <c r="K162" s="17"/>
      <c r="XFC162" s="20"/>
    </row>
    <row r="163" spans="1:11 16383:16383" x14ac:dyDescent="0.2">
      <c r="A163" s="139" t="s">
        <v>3449</v>
      </c>
      <c r="B163" s="136" t="s">
        <v>102</v>
      </c>
      <c r="C163" s="136" t="s">
        <v>363</v>
      </c>
      <c r="D163" s="207" t="s">
        <v>3524</v>
      </c>
      <c r="E163" s="207" t="s">
        <v>1037</v>
      </c>
      <c r="F163" s="207" t="s">
        <v>1242</v>
      </c>
      <c r="G163" s="208" t="s">
        <v>3525</v>
      </c>
      <c r="H163" s="244"/>
      <c r="K163" s="17"/>
      <c r="XFC163" s="20"/>
    </row>
    <row r="164" spans="1:11 16383:16383" x14ac:dyDescent="0.2">
      <c r="A164" s="139" t="s">
        <v>1320</v>
      </c>
      <c r="B164" s="136" t="s">
        <v>102</v>
      </c>
      <c r="C164" s="136" t="s">
        <v>895</v>
      </c>
      <c r="D164" s="207" t="s">
        <v>330</v>
      </c>
      <c r="E164" s="207" t="s">
        <v>1029</v>
      </c>
      <c r="F164" s="207" t="s">
        <v>1242</v>
      </c>
      <c r="G164" s="208" t="s">
        <v>331</v>
      </c>
      <c r="H164" s="244"/>
      <c r="K164" s="17"/>
      <c r="XFC164" s="20"/>
    </row>
    <row r="165" spans="1:11 16383:16383" x14ac:dyDescent="0.2">
      <c r="A165" s="139" t="s">
        <v>3174</v>
      </c>
      <c r="B165" s="136" t="s">
        <v>102</v>
      </c>
      <c r="C165" s="136" t="s">
        <v>895</v>
      </c>
      <c r="D165" s="207" t="s">
        <v>3175</v>
      </c>
      <c r="E165" s="207" t="s">
        <v>1029</v>
      </c>
      <c r="F165" s="207" t="s">
        <v>1242</v>
      </c>
      <c r="G165" s="208" t="s">
        <v>3175</v>
      </c>
      <c r="H165" s="244"/>
      <c r="K165" s="17"/>
      <c r="XFC165" s="20"/>
    </row>
    <row r="166" spans="1:11 16383:16383" x14ac:dyDescent="0.2">
      <c r="A166" s="139" t="s">
        <v>1321</v>
      </c>
      <c r="B166" s="136" t="s">
        <v>102</v>
      </c>
      <c r="C166" s="136" t="s">
        <v>379</v>
      </c>
      <c r="D166" s="207" t="s">
        <v>2054</v>
      </c>
      <c r="E166" s="207" t="s">
        <v>898</v>
      </c>
      <c r="F166" s="207" t="s">
        <v>1242</v>
      </c>
      <c r="G166" s="208" t="s">
        <v>2054</v>
      </c>
      <c r="H166" s="244"/>
      <c r="K166" s="17"/>
      <c r="XFC166" s="20"/>
    </row>
    <row r="167" spans="1:11 16383:16383" x14ac:dyDescent="0.2">
      <c r="A167" s="139" t="s">
        <v>1322</v>
      </c>
      <c r="B167" s="136" t="s">
        <v>102</v>
      </c>
      <c r="C167" s="136" t="s">
        <v>317</v>
      </c>
      <c r="D167" s="207" t="s">
        <v>1912</v>
      </c>
      <c r="E167" s="207" t="s">
        <v>1024</v>
      </c>
      <c r="F167" s="207" t="s">
        <v>1242</v>
      </c>
      <c r="G167" s="208" t="s">
        <v>2055</v>
      </c>
      <c r="H167" s="244"/>
      <c r="K167" s="17"/>
      <c r="XFC167" s="20"/>
    </row>
    <row r="168" spans="1:11 16383:16383" x14ac:dyDescent="0.2">
      <c r="A168" s="139" t="s">
        <v>2763</v>
      </c>
      <c r="B168" s="136" t="s">
        <v>102</v>
      </c>
      <c r="C168" s="136" t="s">
        <v>317</v>
      </c>
      <c r="D168" s="207" t="s">
        <v>2764</v>
      </c>
      <c r="E168" s="207" t="s">
        <v>1024</v>
      </c>
      <c r="F168" s="207" t="s">
        <v>1242</v>
      </c>
      <c r="G168" s="208" t="s">
        <v>2765</v>
      </c>
      <c r="H168" s="244"/>
      <c r="K168" s="17"/>
      <c r="XFC168" s="20"/>
    </row>
    <row r="169" spans="1:11 16383:16383" x14ac:dyDescent="0.2">
      <c r="A169" s="139" t="s">
        <v>2863</v>
      </c>
      <c r="B169" s="136" t="s">
        <v>102</v>
      </c>
      <c r="C169" s="136" t="s">
        <v>317</v>
      </c>
      <c r="D169" s="207" t="s">
        <v>2861</v>
      </c>
      <c r="E169" s="207" t="s">
        <v>1024</v>
      </c>
      <c r="F169" s="207" t="s">
        <v>1242</v>
      </c>
      <c r="G169" s="208" t="s">
        <v>2862</v>
      </c>
      <c r="H169" s="244"/>
      <c r="K169" s="17"/>
      <c r="XFC169" s="20"/>
    </row>
    <row r="170" spans="1:11 16383:16383" x14ac:dyDescent="0.2">
      <c r="A170" s="139" t="s">
        <v>2867</v>
      </c>
      <c r="B170" s="136" t="s">
        <v>102</v>
      </c>
      <c r="C170" s="136" t="s">
        <v>2864</v>
      </c>
      <c r="D170" s="207" t="s">
        <v>2865</v>
      </c>
      <c r="E170" s="207" t="s">
        <v>3180</v>
      </c>
      <c r="F170" s="207" t="s">
        <v>1242</v>
      </c>
      <c r="G170" s="208" t="s">
        <v>2866</v>
      </c>
      <c r="H170" s="244"/>
      <c r="K170" s="17"/>
      <c r="XFC170" s="20"/>
    </row>
    <row r="171" spans="1:11 16383:16383" x14ac:dyDescent="0.2">
      <c r="A171" s="139" t="s">
        <v>1323</v>
      </c>
      <c r="B171" s="136" t="s">
        <v>102</v>
      </c>
      <c r="C171" s="136" t="s">
        <v>342</v>
      </c>
      <c r="D171" s="207" t="s">
        <v>341</v>
      </c>
      <c r="E171" s="207" t="s">
        <v>1032</v>
      </c>
      <c r="F171" s="207" t="s">
        <v>1242</v>
      </c>
      <c r="G171" s="208" t="s">
        <v>343</v>
      </c>
      <c r="H171" s="244"/>
      <c r="K171" s="17"/>
      <c r="XFC171" s="20"/>
    </row>
    <row r="172" spans="1:11 16383:16383" x14ac:dyDescent="0.2">
      <c r="A172" s="139" t="s">
        <v>1324</v>
      </c>
      <c r="B172" s="136" t="s">
        <v>102</v>
      </c>
      <c r="C172" s="136" t="s">
        <v>348</v>
      </c>
      <c r="D172" s="207" t="s">
        <v>347</v>
      </c>
      <c r="E172" s="207" t="s">
        <v>934</v>
      </c>
      <c r="F172" s="207" t="s">
        <v>1242</v>
      </c>
      <c r="G172" s="208" t="s">
        <v>349</v>
      </c>
      <c r="H172" s="244"/>
      <c r="K172" s="17"/>
      <c r="XFC172" s="20"/>
    </row>
    <row r="173" spans="1:11 16383:16383" x14ac:dyDescent="0.2">
      <c r="A173" s="139" t="s">
        <v>1325</v>
      </c>
      <c r="B173" s="136" t="s">
        <v>102</v>
      </c>
      <c r="C173" s="136" t="s">
        <v>351</v>
      </c>
      <c r="D173" s="207" t="s">
        <v>350</v>
      </c>
      <c r="E173" s="207" t="s">
        <v>1034</v>
      </c>
      <c r="F173" s="207" t="s">
        <v>1242</v>
      </c>
      <c r="G173" s="208" t="s">
        <v>352</v>
      </c>
      <c r="H173" s="244"/>
      <c r="K173" s="17"/>
      <c r="XFC173" s="20"/>
    </row>
    <row r="174" spans="1:11 16383:16383" x14ac:dyDescent="0.2">
      <c r="A174" s="139" t="s">
        <v>1326</v>
      </c>
      <c r="B174" s="136" t="s">
        <v>102</v>
      </c>
      <c r="C174" s="136" t="s">
        <v>312</v>
      </c>
      <c r="D174" s="207" t="s">
        <v>311</v>
      </c>
      <c r="E174" s="207" t="s">
        <v>1022</v>
      </c>
      <c r="F174" s="207" t="s">
        <v>1242</v>
      </c>
      <c r="G174" s="208" t="s">
        <v>313</v>
      </c>
      <c r="H174" s="244"/>
      <c r="K174" s="17"/>
      <c r="XFC174" s="20"/>
    </row>
    <row r="175" spans="1:11 16383:16383" x14ac:dyDescent="0.2">
      <c r="A175" s="139" t="s">
        <v>1642</v>
      </c>
      <c r="B175" s="136" t="s">
        <v>102</v>
      </c>
      <c r="C175" s="136" t="s">
        <v>312</v>
      </c>
      <c r="D175" s="207" t="s">
        <v>2056</v>
      </c>
      <c r="E175" s="207" t="s">
        <v>1022</v>
      </c>
      <c r="F175" s="207" t="s">
        <v>1242</v>
      </c>
      <c r="G175" s="208" t="s">
        <v>2056</v>
      </c>
      <c r="H175" s="244"/>
      <c r="K175" s="17"/>
      <c r="XFC175" s="20"/>
    </row>
    <row r="176" spans="1:11 16383:16383" ht="21.75" customHeight="1" x14ac:dyDescent="0.2">
      <c r="A176" s="139" t="s">
        <v>1327</v>
      </c>
      <c r="B176" s="136" t="s">
        <v>102</v>
      </c>
      <c r="C176" s="136" t="s">
        <v>345</v>
      </c>
      <c r="D176" s="207" t="s">
        <v>344</v>
      </c>
      <c r="E176" s="207" t="s">
        <v>1033</v>
      </c>
      <c r="F176" s="207" t="s">
        <v>1242</v>
      </c>
      <c r="G176" s="208" t="s">
        <v>346</v>
      </c>
      <c r="H176" s="244"/>
      <c r="K176" s="17"/>
      <c r="XFC176" s="20"/>
    </row>
    <row r="177" spans="1:11 16383:16383" x14ac:dyDescent="0.2">
      <c r="A177" s="139" t="s">
        <v>1328</v>
      </c>
      <c r="B177" s="136" t="s">
        <v>102</v>
      </c>
      <c r="C177" s="136" t="s">
        <v>325</v>
      </c>
      <c r="D177" s="207" t="s">
        <v>324</v>
      </c>
      <c r="E177" s="207" t="s">
        <v>1027</v>
      </c>
      <c r="F177" s="207" t="s">
        <v>1242</v>
      </c>
      <c r="G177" s="208" t="s">
        <v>326</v>
      </c>
      <c r="H177" s="244"/>
      <c r="K177" s="17"/>
      <c r="XFC177" s="20"/>
    </row>
    <row r="178" spans="1:11 16383:16383" x14ac:dyDescent="0.2">
      <c r="A178" s="209" t="s">
        <v>3678</v>
      </c>
      <c r="B178" s="210" t="s">
        <v>102</v>
      </c>
      <c r="C178" s="210" t="s">
        <v>325</v>
      </c>
      <c r="D178" s="211" t="s">
        <v>3679</v>
      </c>
      <c r="E178" s="211" t="s">
        <v>1027</v>
      </c>
      <c r="F178" s="211" t="s">
        <v>1242</v>
      </c>
      <c r="G178" s="212" t="s">
        <v>3680</v>
      </c>
      <c r="H178" s="244"/>
      <c r="K178" s="17"/>
      <c r="XFC178" s="20"/>
    </row>
    <row r="179" spans="1:11 16383:16383" x14ac:dyDescent="0.2">
      <c r="A179" s="139" t="s">
        <v>1329</v>
      </c>
      <c r="B179" s="136" t="s">
        <v>102</v>
      </c>
      <c r="C179" s="136" t="s">
        <v>309</v>
      </c>
      <c r="D179" s="207" t="s">
        <v>308</v>
      </c>
      <c r="E179" s="207" t="s">
        <v>1021</v>
      </c>
      <c r="F179" s="207" t="s">
        <v>1242</v>
      </c>
      <c r="G179" s="207" t="s">
        <v>310</v>
      </c>
      <c r="H179" s="244"/>
      <c r="K179" s="17"/>
      <c r="XFC179" s="20"/>
    </row>
    <row r="180" spans="1:11 16383:16383" ht="24" customHeight="1" x14ac:dyDescent="0.2">
      <c r="A180" s="139" t="s">
        <v>1643</v>
      </c>
      <c r="B180" s="136" t="s">
        <v>102</v>
      </c>
      <c r="C180" s="136" t="s">
        <v>309</v>
      </c>
      <c r="D180" s="207" t="s">
        <v>336</v>
      </c>
      <c r="E180" s="207" t="s">
        <v>1021</v>
      </c>
      <c r="F180" s="207" t="s">
        <v>1242</v>
      </c>
      <c r="G180" s="207" t="s">
        <v>337</v>
      </c>
      <c r="H180" s="244"/>
      <c r="K180" s="17"/>
      <c r="XFC180" s="20"/>
    </row>
    <row r="181" spans="1:11 16383:16383" x14ac:dyDescent="0.2">
      <c r="A181" s="139" t="s">
        <v>1644</v>
      </c>
      <c r="B181" s="136" t="s">
        <v>102</v>
      </c>
      <c r="C181" s="136" t="s">
        <v>373</v>
      </c>
      <c r="D181" s="207" t="s">
        <v>372</v>
      </c>
      <c r="E181" s="207" t="s">
        <v>1021</v>
      </c>
      <c r="F181" s="207" t="s">
        <v>1242</v>
      </c>
      <c r="G181" s="207" t="s">
        <v>374</v>
      </c>
      <c r="H181" s="244"/>
      <c r="K181" s="17"/>
      <c r="XFC181" s="20"/>
    </row>
    <row r="182" spans="1:11 16383:16383" s="137" customFormat="1" x14ac:dyDescent="0.2">
      <c r="A182" s="215" t="s">
        <v>1645</v>
      </c>
      <c r="B182" s="136" t="s">
        <v>102</v>
      </c>
      <c r="C182" s="215" t="s">
        <v>309</v>
      </c>
      <c r="D182" s="215" t="s">
        <v>375</v>
      </c>
      <c r="E182" s="215" t="s">
        <v>1021</v>
      </c>
      <c r="F182" s="215" t="s">
        <v>1242</v>
      </c>
      <c r="G182" s="215" t="s">
        <v>376</v>
      </c>
      <c r="H182" s="126"/>
      <c r="I182" s="126"/>
      <c r="J182" s="126"/>
      <c r="XFC182" s="154"/>
    </row>
    <row r="183" spans="1:11 16383:16383" s="152" customFormat="1" x14ac:dyDescent="0.2">
      <c r="A183" s="215" t="s">
        <v>1330</v>
      </c>
      <c r="B183" s="136" t="s">
        <v>102</v>
      </c>
      <c r="C183" s="215" t="s">
        <v>319</v>
      </c>
      <c r="D183" s="215" t="s">
        <v>318</v>
      </c>
      <c r="E183" s="215" t="s">
        <v>1025</v>
      </c>
      <c r="F183" s="215" t="s">
        <v>1242</v>
      </c>
      <c r="G183" s="215" t="s">
        <v>320</v>
      </c>
      <c r="H183" s="153"/>
      <c r="I183" s="153"/>
      <c r="J183" s="153"/>
    </row>
    <row r="184" spans="1:11 16383:16383" s="152" customFormat="1" x14ac:dyDescent="0.2">
      <c r="A184" s="215" t="s">
        <v>1646</v>
      </c>
      <c r="B184" s="136" t="s">
        <v>102</v>
      </c>
      <c r="C184" s="215" t="s">
        <v>319</v>
      </c>
      <c r="D184" s="215" t="s">
        <v>377</v>
      </c>
      <c r="E184" s="215" t="s">
        <v>1025</v>
      </c>
      <c r="F184" s="215" t="s">
        <v>1242</v>
      </c>
      <c r="G184" s="215" t="s">
        <v>378</v>
      </c>
      <c r="H184" s="153"/>
      <c r="I184" s="153"/>
      <c r="J184" s="153"/>
    </row>
    <row r="185" spans="1:11 16383:16383" x14ac:dyDescent="0.2">
      <c r="A185" s="139" t="s">
        <v>2572</v>
      </c>
      <c r="B185" s="136" t="s">
        <v>102</v>
      </c>
      <c r="C185" s="136" t="s">
        <v>319</v>
      </c>
      <c r="D185" s="207" t="s">
        <v>2575</v>
      </c>
      <c r="E185" s="207" t="s">
        <v>1025</v>
      </c>
      <c r="F185" s="207" t="s">
        <v>1242</v>
      </c>
      <c r="G185" s="207" t="s">
        <v>2574</v>
      </c>
      <c r="H185" s="244"/>
      <c r="K185" s="17"/>
      <c r="XFC185" s="20"/>
    </row>
    <row r="186" spans="1:11 16383:16383" x14ac:dyDescent="0.2">
      <c r="A186" s="139" t="s">
        <v>2573</v>
      </c>
      <c r="B186" s="136" t="s">
        <v>102</v>
      </c>
      <c r="C186" s="136" t="s">
        <v>319</v>
      </c>
      <c r="D186" s="207" t="s">
        <v>2576</v>
      </c>
      <c r="E186" s="207" t="s">
        <v>1025</v>
      </c>
      <c r="F186" s="207" t="s">
        <v>1242</v>
      </c>
      <c r="G186" s="207" t="s">
        <v>2577</v>
      </c>
      <c r="H186" s="244"/>
      <c r="K186" s="17"/>
      <c r="XFC186" s="20"/>
    </row>
    <row r="187" spans="1:11 16383:16383" x14ac:dyDescent="0.2">
      <c r="A187" s="139" t="s">
        <v>1331</v>
      </c>
      <c r="B187" s="136" t="s">
        <v>102</v>
      </c>
      <c r="C187" s="136" t="s">
        <v>360</v>
      </c>
      <c r="D187" s="207" t="s">
        <v>359</v>
      </c>
      <c r="E187" s="207" t="s">
        <v>1036</v>
      </c>
      <c r="F187" s="207" t="s">
        <v>1242</v>
      </c>
      <c r="G187" s="207" t="s">
        <v>361</v>
      </c>
      <c r="H187" s="244"/>
      <c r="K187" s="17"/>
      <c r="XFC187" s="20"/>
    </row>
    <row r="188" spans="1:11 16383:16383" x14ac:dyDescent="0.2">
      <c r="A188" s="139" t="s">
        <v>1332</v>
      </c>
      <c r="B188" s="136" t="s">
        <v>101</v>
      </c>
      <c r="C188" s="136" t="s">
        <v>305</v>
      </c>
      <c r="D188" s="207" t="s">
        <v>304</v>
      </c>
      <c r="E188" s="207" t="s">
        <v>893</v>
      </c>
      <c r="F188" s="207" t="s">
        <v>1241</v>
      </c>
      <c r="G188" s="207" t="s">
        <v>306</v>
      </c>
      <c r="H188" s="246"/>
      <c r="K188" s="17"/>
      <c r="XFC188" s="20"/>
    </row>
    <row r="189" spans="1:11 16383:16383" x14ac:dyDescent="0.2">
      <c r="A189" s="139" t="s">
        <v>1898</v>
      </c>
      <c r="B189" s="136" t="s">
        <v>101</v>
      </c>
      <c r="C189" s="136" t="s">
        <v>1897</v>
      </c>
      <c r="D189" s="215" t="s">
        <v>1896</v>
      </c>
      <c r="E189" s="215" t="s">
        <v>3208</v>
      </c>
      <c r="F189" s="215" t="s">
        <v>1241</v>
      </c>
      <c r="G189" s="215" t="s">
        <v>2057</v>
      </c>
      <c r="H189" s="246"/>
      <c r="K189" s="17"/>
      <c r="XFC189" s="20"/>
    </row>
    <row r="190" spans="1:11 16383:16383" x14ac:dyDescent="0.2">
      <c r="A190" s="139" t="s">
        <v>1333</v>
      </c>
      <c r="B190" s="136" t="s">
        <v>104</v>
      </c>
      <c r="C190" s="136" t="s">
        <v>389</v>
      </c>
      <c r="D190" s="215" t="s">
        <v>388</v>
      </c>
      <c r="E190" s="215" t="s">
        <v>1016</v>
      </c>
      <c r="F190" s="215" t="s">
        <v>1244</v>
      </c>
      <c r="G190" s="215" t="s">
        <v>390</v>
      </c>
      <c r="H190" s="246"/>
      <c r="K190" s="17"/>
      <c r="XFC190" s="20"/>
    </row>
    <row r="191" spans="1:11 16383:16383" x14ac:dyDescent="0.2">
      <c r="A191" s="139" t="s">
        <v>3730</v>
      </c>
      <c r="B191" s="136" t="s">
        <v>104</v>
      </c>
      <c r="C191" s="136" t="s">
        <v>389</v>
      </c>
      <c r="D191" s="215" t="s">
        <v>3731</v>
      </c>
      <c r="E191" s="215" t="s">
        <v>1016</v>
      </c>
      <c r="F191" s="215" t="s">
        <v>1244</v>
      </c>
      <c r="G191" s="215" t="s">
        <v>3731</v>
      </c>
      <c r="H191" s="246"/>
      <c r="K191" s="17"/>
      <c r="XFC191" s="20"/>
    </row>
    <row r="192" spans="1:11 16383:16383" x14ac:dyDescent="0.2">
      <c r="A192" s="139" t="s">
        <v>2913</v>
      </c>
      <c r="B192" s="136" t="s">
        <v>104</v>
      </c>
      <c r="C192" s="136" t="s">
        <v>2910</v>
      </c>
      <c r="D192" s="207" t="s">
        <v>2911</v>
      </c>
      <c r="E192" s="207" t="s">
        <v>3224</v>
      </c>
      <c r="F192" s="207" t="s">
        <v>1244</v>
      </c>
      <c r="G192" s="207" t="s">
        <v>2912</v>
      </c>
      <c r="H192" s="244"/>
      <c r="K192" s="17"/>
      <c r="XFC192" s="20"/>
    </row>
    <row r="193" spans="1:11 16383:16383" x14ac:dyDescent="0.2">
      <c r="A193" s="139" t="s">
        <v>1334</v>
      </c>
      <c r="B193" s="136" t="s">
        <v>104</v>
      </c>
      <c r="C193" s="136" t="s">
        <v>385</v>
      </c>
      <c r="D193" s="207" t="s">
        <v>1913</v>
      </c>
      <c r="E193" s="207" t="s">
        <v>1042</v>
      </c>
      <c r="F193" s="207" t="s">
        <v>1244</v>
      </c>
      <c r="G193" s="207" t="s">
        <v>2058</v>
      </c>
      <c r="H193" s="244"/>
      <c r="K193" s="17"/>
      <c r="XFC193" s="20"/>
    </row>
    <row r="194" spans="1:11 16383:16383" x14ac:dyDescent="0.2">
      <c r="A194" s="139" t="s">
        <v>1335</v>
      </c>
      <c r="B194" s="136" t="s">
        <v>104</v>
      </c>
      <c r="C194" s="136" t="s">
        <v>383</v>
      </c>
      <c r="D194" s="207" t="s">
        <v>2059</v>
      </c>
      <c r="E194" s="207" t="s">
        <v>1009</v>
      </c>
      <c r="F194" s="207" t="s">
        <v>1244</v>
      </c>
      <c r="G194" s="207" t="s">
        <v>384</v>
      </c>
      <c r="H194" s="244"/>
      <c r="K194" s="17"/>
      <c r="XFC194" s="20"/>
    </row>
    <row r="195" spans="1:11 16383:16383" x14ac:dyDescent="0.2">
      <c r="A195" s="139" t="s">
        <v>1336</v>
      </c>
      <c r="B195" s="136" t="s">
        <v>104</v>
      </c>
      <c r="C195" s="136" t="s">
        <v>387</v>
      </c>
      <c r="D195" s="207" t="s">
        <v>386</v>
      </c>
      <c r="E195" s="207" t="s">
        <v>1043</v>
      </c>
      <c r="F195" s="207" t="s">
        <v>1244</v>
      </c>
      <c r="G195" s="207" t="s">
        <v>2060</v>
      </c>
      <c r="H195" s="244"/>
      <c r="K195" s="17"/>
      <c r="XFC195" s="20"/>
    </row>
    <row r="196" spans="1:11 16383:16383" x14ac:dyDescent="0.2">
      <c r="A196" s="139" t="s">
        <v>2909</v>
      </c>
      <c r="B196" s="136" t="s">
        <v>104</v>
      </c>
      <c r="C196" s="136" t="s">
        <v>387</v>
      </c>
      <c r="D196" s="207" t="s">
        <v>2907</v>
      </c>
      <c r="E196" s="207" t="s">
        <v>1043</v>
      </c>
      <c r="F196" s="207" t="s">
        <v>1244</v>
      </c>
      <c r="G196" s="207" t="s">
        <v>2908</v>
      </c>
      <c r="H196" s="244"/>
      <c r="K196" s="17"/>
      <c r="XFC196" s="20"/>
    </row>
    <row r="197" spans="1:11 16383:16383" x14ac:dyDescent="0.2">
      <c r="A197" s="139" t="s">
        <v>2904</v>
      </c>
      <c r="B197" s="136" t="s">
        <v>104</v>
      </c>
      <c r="C197" s="136" t="s">
        <v>2903</v>
      </c>
      <c r="D197" s="207" t="s">
        <v>2905</v>
      </c>
      <c r="E197" s="207" t="s">
        <v>3225</v>
      </c>
      <c r="F197" s="207" t="s">
        <v>1244</v>
      </c>
      <c r="G197" s="207" t="s">
        <v>2906</v>
      </c>
      <c r="H197" s="244"/>
      <c r="K197" s="17"/>
      <c r="XFC197" s="20"/>
    </row>
    <row r="198" spans="1:11 16383:16383" x14ac:dyDescent="0.2">
      <c r="A198" s="139" t="s">
        <v>1337</v>
      </c>
      <c r="B198" s="136" t="s">
        <v>104</v>
      </c>
      <c r="C198" s="136" t="s">
        <v>382</v>
      </c>
      <c r="D198" s="207" t="s">
        <v>381</v>
      </c>
      <c r="E198" s="207" t="s">
        <v>1041</v>
      </c>
      <c r="F198" s="207" t="s">
        <v>1244</v>
      </c>
      <c r="G198" s="207" t="s">
        <v>2061</v>
      </c>
      <c r="H198" s="244"/>
      <c r="K198" s="17"/>
      <c r="XFC198" s="20"/>
    </row>
    <row r="199" spans="1:11 16383:16383" x14ac:dyDescent="0.2">
      <c r="A199" s="139" t="s">
        <v>3735</v>
      </c>
      <c r="B199" s="136" t="s">
        <v>104</v>
      </c>
      <c r="C199" s="136" t="s">
        <v>3732</v>
      </c>
      <c r="D199" s="207" t="s">
        <v>3733</v>
      </c>
      <c r="E199" s="207" t="s">
        <v>3736</v>
      </c>
      <c r="F199" s="207" t="s">
        <v>1244</v>
      </c>
      <c r="G199" s="207" t="s">
        <v>3734</v>
      </c>
      <c r="H199" s="244"/>
      <c r="K199" s="17"/>
      <c r="XFC199" s="20"/>
    </row>
    <row r="200" spans="1:11 16383:16383" x14ac:dyDescent="0.2">
      <c r="A200" s="139" t="s">
        <v>1338</v>
      </c>
      <c r="B200" s="136" t="s">
        <v>104</v>
      </c>
      <c r="C200" s="136" t="s">
        <v>392</v>
      </c>
      <c r="D200" s="207" t="s">
        <v>391</v>
      </c>
      <c r="E200" s="207" t="s">
        <v>1044</v>
      </c>
      <c r="F200" s="207" t="s">
        <v>1244</v>
      </c>
      <c r="G200" s="207" t="s">
        <v>2062</v>
      </c>
      <c r="H200" s="244"/>
      <c r="K200" s="17"/>
      <c r="XFC200" s="20"/>
    </row>
    <row r="201" spans="1:11 16383:16383" x14ac:dyDescent="0.2">
      <c r="A201" s="139" t="s">
        <v>2506</v>
      </c>
      <c r="B201" s="136" t="s">
        <v>103</v>
      </c>
      <c r="C201" s="136" t="s">
        <v>2495</v>
      </c>
      <c r="D201" s="207" t="s">
        <v>3696</v>
      </c>
      <c r="E201" s="207" t="s">
        <v>3212</v>
      </c>
      <c r="F201" s="207" t="s">
        <v>1243</v>
      </c>
      <c r="G201" s="207" t="s">
        <v>3697</v>
      </c>
      <c r="H201" s="246"/>
      <c r="K201" s="17"/>
      <c r="XFC201" s="20"/>
    </row>
    <row r="202" spans="1:11 16383:16383" x14ac:dyDescent="0.2">
      <c r="A202" s="126" t="s">
        <v>2578</v>
      </c>
      <c r="B202" s="127" t="s">
        <v>103</v>
      </c>
      <c r="C202" s="127" t="s">
        <v>2495</v>
      </c>
      <c r="D202" s="247" t="s">
        <v>3698</v>
      </c>
      <c r="E202" s="126" t="s">
        <v>3212</v>
      </c>
      <c r="F202" s="248" t="s">
        <v>1243</v>
      </c>
      <c r="G202" s="126" t="s">
        <v>2579</v>
      </c>
      <c r="H202" s="246"/>
      <c r="K202" s="17"/>
      <c r="XFC202" s="20"/>
    </row>
    <row r="203" spans="1:11 16383:16383" x14ac:dyDescent="0.2">
      <c r="A203" s="209" t="s">
        <v>3684</v>
      </c>
      <c r="B203" s="210" t="s">
        <v>103</v>
      </c>
      <c r="C203" s="210" t="s">
        <v>2495</v>
      </c>
      <c r="D203" s="211" t="s">
        <v>3728</v>
      </c>
      <c r="E203" s="211" t="s">
        <v>3212</v>
      </c>
      <c r="F203" s="211" t="s">
        <v>1243</v>
      </c>
      <c r="G203" s="211" t="s">
        <v>3685</v>
      </c>
      <c r="H203" s="246"/>
      <c r="K203" s="17"/>
      <c r="XFC203" s="20"/>
    </row>
    <row r="204" spans="1:11 16383:16383" x14ac:dyDescent="0.2">
      <c r="A204" s="139" t="s">
        <v>2505</v>
      </c>
      <c r="B204" s="136" t="s">
        <v>103</v>
      </c>
      <c r="C204" s="136" t="s">
        <v>2496</v>
      </c>
      <c r="D204" s="207" t="s">
        <v>3699</v>
      </c>
      <c r="E204" s="207" t="s">
        <v>3213</v>
      </c>
      <c r="F204" s="207" t="s">
        <v>1243</v>
      </c>
      <c r="G204" s="207" t="s">
        <v>2511</v>
      </c>
      <c r="H204" s="246"/>
      <c r="K204" s="17"/>
      <c r="XFC204" s="20"/>
    </row>
    <row r="205" spans="1:11 16383:16383" x14ac:dyDescent="0.2">
      <c r="A205" s="139" t="s">
        <v>3321</v>
      </c>
      <c r="B205" s="136" t="s">
        <v>103</v>
      </c>
      <c r="C205" s="136" t="s">
        <v>3072</v>
      </c>
      <c r="D205" s="207" t="s">
        <v>3700</v>
      </c>
      <c r="E205" s="207" t="s">
        <v>3214</v>
      </c>
      <c r="F205" s="207" t="s">
        <v>1243</v>
      </c>
      <c r="G205" s="208" t="s">
        <v>3322</v>
      </c>
      <c r="H205" s="246"/>
      <c r="K205" s="17"/>
      <c r="XFC205" s="20"/>
    </row>
    <row r="206" spans="1:11 16383:16383" x14ac:dyDescent="0.2">
      <c r="A206" s="139" t="s">
        <v>3305</v>
      </c>
      <c r="B206" s="136" t="s">
        <v>103</v>
      </c>
      <c r="C206" s="136" t="s">
        <v>3072</v>
      </c>
      <c r="D206" s="207" t="s">
        <v>3701</v>
      </c>
      <c r="E206" s="207" t="s">
        <v>3214</v>
      </c>
      <c r="F206" s="207" t="s">
        <v>1243</v>
      </c>
      <c r="G206" s="207" t="s">
        <v>3306</v>
      </c>
      <c r="H206" s="246"/>
      <c r="K206" s="17"/>
      <c r="XFC206" s="20"/>
    </row>
    <row r="207" spans="1:11 16383:16383" x14ac:dyDescent="0.2">
      <c r="A207" s="139" t="s">
        <v>3071</v>
      </c>
      <c r="B207" s="136" t="s">
        <v>103</v>
      </c>
      <c r="C207" s="136" t="s">
        <v>3072</v>
      </c>
      <c r="D207" s="207" t="s">
        <v>3702</v>
      </c>
      <c r="E207" s="207" t="s">
        <v>3214</v>
      </c>
      <c r="F207" s="207" t="s">
        <v>1243</v>
      </c>
      <c r="G207" s="207" t="s">
        <v>3073</v>
      </c>
      <c r="H207" s="246"/>
      <c r="K207" s="17"/>
      <c r="XFC207" s="20"/>
    </row>
    <row r="208" spans="1:11 16383:16383" x14ac:dyDescent="0.2">
      <c r="A208" s="139" t="s">
        <v>2655</v>
      </c>
      <c r="B208" s="136" t="s">
        <v>103</v>
      </c>
      <c r="C208" s="136" t="s">
        <v>2656</v>
      </c>
      <c r="D208" s="207" t="s">
        <v>3703</v>
      </c>
      <c r="E208" s="207" t="s">
        <v>3215</v>
      </c>
      <c r="F208" s="207" t="s">
        <v>1243</v>
      </c>
      <c r="G208" s="207" t="s">
        <v>2657</v>
      </c>
      <c r="H208" s="246"/>
      <c r="K208" s="17"/>
      <c r="XFC208" s="20"/>
    </row>
    <row r="209" spans="1:11 16383:16383" x14ac:dyDescent="0.2">
      <c r="A209" s="139" t="s">
        <v>2802</v>
      </c>
      <c r="B209" s="136" t="s">
        <v>103</v>
      </c>
      <c r="C209" s="136" t="s">
        <v>2656</v>
      </c>
      <c r="D209" s="207" t="s">
        <v>3704</v>
      </c>
      <c r="E209" s="207" t="s">
        <v>3215</v>
      </c>
      <c r="F209" s="207" t="s">
        <v>1243</v>
      </c>
      <c r="G209" s="208" t="s">
        <v>2803</v>
      </c>
      <c r="H209" s="246"/>
      <c r="K209" s="17"/>
      <c r="XFC209" s="20"/>
    </row>
    <row r="210" spans="1:11 16383:16383" x14ac:dyDescent="0.2">
      <c r="A210" s="139" t="s">
        <v>2660</v>
      </c>
      <c r="B210" s="136" t="s">
        <v>103</v>
      </c>
      <c r="C210" s="136" t="s">
        <v>2658</v>
      </c>
      <c r="D210" s="207" t="s">
        <v>3706</v>
      </c>
      <c r="E210" s="207" t="s">
        <v>3216</v>
      </c>
      <c r="F210" s="207" t="s">
        <v>1243</v>
      </c>
      <c r="G210" s="208" t="s">
        <v>2659</v>
      </c>
      <c r="H210" s="246"/>
      <c r="K210" s="17"/>
      <c r="XFC210" s="20"/>
    </row>
    <row r="211" spans="1:11 16383:16383" x14ac:dyDescent="0.2">
      <c r="A211" s="139" t="s">
        <v>3104</v>
      </c>
      <c r="B211" s="136" t="s">
        <v>103</v>
      </c>
      <c r="C211" s="136" t="s">
        <v>2658</v>
      </c>
      <c r="D211" s="207" t="s">
        <v>3705</v>
      </c>
      <c r="E211" s="207" t="s">
        <v>3216</v>
      </c>
      <c r="F211" s="207" t="s">
        <v>1243</v>
      </c>
      <c r="G211" s="208" t="s">
        <v>3105</v>
      </c>
      <c r="H211" s="246"/>
      <c r="K211" s="17"/>
      <c r="XFC211" s="20"/>
    </row>
    <row r="212" spans="1:11 16383:16383" x14ac:dyDescent="0.2">
      <c r="A212" s="139" t="s">
        <v>3018</v>
      </c>
      <c r="B212" s="136" t="s">
        <v>103</v>
      </c>
      <c r="C212" s="136" t="s">
        <v>3017</v>
      </c>
      <c r="D212" s="207" t="s">
        <v>3707</v>
      </c>
      <c r="E212" s="207" t="s">
        <v>3217</v>
      </c>
      <c r="F212" s="207" t="s">
        <v>1243</v>
      </c>
      <c r="G212" s="208" t="s">
        <v>3070</v>
      </c>
      <c r="H212" s="246"/>
      <c r="K212" s="17"/>
      <c r="XFC212" s="20"/>
    </row>
    <row r="213" spans="1:11 16383:16383" x14ac:dyDescent="0.2">
      <c r="A213" s="139" t="s">
        <v>3099</v>
      </c>
      <c r="B213" s="136" t="s">
        <v>103</v>
      </c>
      <c r="C213" s="136" t="s">
        <v>3017</v>
      </c>
      <c r="D213" s="207" t="s">
        <v>3708</v>
      </c>
      <c r="E213" s="207" t="s">
        <v>3217</v>
      </c>
      <c r="F213" s="207" t="s">
        <v>1243</v>
      </c>
      <c r="G213" s="208" t="s">
        <v>3098</v>
      </c>
      <c r="H213" s="246"/>
      <c r="K213" s="17"/>
      <c r="XFC213" s="20"/>
    </row>
    <row r="214" spans="1:11 16383:16383" x14ac:dyDescent="0.2">
      <c r="A214" s="139" t="s">
        <v>2501</v>
      </c>
      <c r="B214" s="136" t="s">
        <v>103</v>
      </c>
      <c r="C214" s="136" t="s">
        <v>2497</v>
      </c>
      <c r="D214" s="207" t="s">
        <v>3709</v>
      </c>
      <c r="E214" s="207" t="s">
        <v>3218</v>
      </c>
      <c r="F214" s="207" t="s">
        <v>1243</v>
      </c>
      <c r="G214" s="208" t="s">
        <v>2510</v>
      </c>
      <c r="H214" s="246"/>
      <c r="K214" s="17"/>
      <c r="XFC214" s="20"/>
    </row>
    <row r="215" spans="1:11 16383:16383" x14ac:dyDescent="0.2">
      <c r="A215" s="139" t="s">
        <v>2652</v>
      </c>
      <c r="B215" s="136" t="s">
        <v>103</v>
      </c>
      <c r="C215" s="136" t="s">
        <v>2653</v>
      </c>
      <c r="D215" s="207" t="s">
        <v>3712</v>
      </c>
      <c r="E215" s="207" t="s">
        <v>907</v>
      </c>
      <c r="F215" s="207" t="s">
        <v>1243</v>
      </c>
      <c r="G215" s="208" t="s">
        <v>2654</v>
      </c>
      <c r="H215" s="246"/>
      <c r="K215" s="17"/>
      <c r="XFC215" s="20"/>
    </row>
    <row r="216" spans="1:11 16383:16383" x14ac:dyDescent="0.2">
      <c r="A216" s="139" t="s">
        <v>2780</v>
      </c>
      <c r="B216" s="136" t="s">
        <v>103</v>
      </c>
      <c r="C216" s="136" t="s">
        <v>2653</v>
      </c>
      <c r="D216" s="207" t="s">
        <v>3711</v>
      </c>
      <c r="E216" s="207" t="s">
        <v>907</v>
      </c>
      <c r="F216" s="207" t="s">
        <v>1243</v>
      </c>
      <c r="G216" s="208" t="s">
        <v>2654</v>
      </c>
      <c r="H216" s="246"/>
      <c r="K216" s="17"/>
      <c r="XFC216" s="20"/>
    </row>
    <row r="217" spans="1:11 16383:16383" x14ac:dyDescent="0.2">
      <c r="A217" s="139" t="s">
        <v>2504</v>
      </c>
      <c r="B217" s="136" t="s">
        <v>103</v>
      </c>
      <c r="C217" s="136" t="s">
        <v>2498</v>
      </c>
      <c r="D217" s="207" t="s">
        <v>3710</v>
      </c>
      <c r="E217" s="207" t="s">
        <v>3219</v>
      </c>
      <c r="F217" s="207" t="s">
        <v>1243</v>
      </c>
      <c r="G217" s="208" t="s">
        <v>2509</v>
      </c>
      <c r="H217" s="246"/>
      <c r="K217" s="17"/>
      <c r="XFC217" s="20"/>
    </row>
    <row r="218" spans="1:11 16383:16383" x14ac:dyDescent="0.2">
      <c r="A218" s="139" t="s">
        <v>3325</v>
      </c>
      <c r="B218" s="136" t="s">
        <v>103</v>
      </c>
      <c r="C218" s="136" t="s">
        <v>2661</v>
      </c>
      <c r="D218" s="207" t="s">
        <v>3713</v>
      </c>
      <c r="E218" s="207" t="s">
        <v>3220</v>
      </c>
      <c r="F218" s="207" t="s">
        <v>1243</v>
      </c>
      <c r="G218" s="208" t="s">
        <v>3727</v>
      </c>
      <c r="H218" s="246"/>
      <c r="K218" s="17"/>
      <c r="XFC218" s="20"/>
    </row>
    <row r="219" spans="1:11 16383:16383" x14ac:dyDescent="0.2">
      <c r="A219" s="139" t="s">
        <v>2662</v>
      </c>
      <c r="B219" s="136" t="s">
        <v>103</v>
      </c>
      <c r="C219" s="136" t="s">
        <v>2661</v>
      </c>
      <c r="D219" s="207" t="s">
        <v>3714</v>
      </c>
      <c r="E219" s="207" t="s">
        <v>3220</v>
      </c>
      <c r="F219" s="207" t="s">
        <v>1243</v>
      </c>
      <c r="G219" s="208" t="s">
        <v>3326</v>
      </c>
      <c r="H219" s="246"/>
      <c r="K219" s="17"/>
      <c r="XFC219" s="20"/>
    </row>
    <row r="220" spans="1:11 16383:16383" x14ac:dyDescent="0.2">
      <c r="A220" s="139" t="s">
        <v>3327</v>
      </c>
      <c r="B220" s="136" t="s">
        <v>103</v>
      </c>
      <c r="C220" s="136" t="s">
        <v>3328</v>
      </c>
      <c r="D220" s="207" t="s">
        <v>3715</v>
      </c>
      <c r="E220" s="207" t="s">
        <v>3329</v>
      </c>
      <c r="F220" s="207" t="s">
        <v>1243</v>
      </c>
      <c r="G220" s="208" t="s">
        <v>3330</v>
      </c>
      <c r="H220" s="246"/>
      <c r="K220" s="17"/>
      <c r="XFC220" s="20"/>
    </row>
    <row r="221" spans="1:11 16383:16383" x14ac:dyDescent="0.2">
      <c r="A221" s="139" t="s">
        <v>2665</v>
      </c>
      <c r="B221" s="136" t="s">
        <v>103</v>
      </c>
      <c r="C221" s="136" t="s">
        <v>3716</v>
      </c>
      <c r="D221" s="207" t="s">
        <v>3717</v>
      </c>
      <c r="E221" s="207" t="s">
        <v>3221</v>
      </c>
      <c r="F221" s="207" t="s">
        <v>1243</v>
      </c>
      <c r="G221" s="208" t="s">
        <v>3718</v>
      </c>
      <c r="H221" s="246"/>
      <c r="K221" s="17"/>
      <c r="XFC221" s="20"/>
    </row>
    <row r="222" spans="1:11 16383:16383" x14ac:dyDescent="0.2">
      <c r="A222" s="139" t="s">
        <v>3323</v>
      </c>
      <c r="B222" s="136" t="s">
        <v>103</v>
      </c>
      <c r="C222" s="136" t="s">
        <v>2666</v>
      </c>
      <c r="D222" s="207" t="s">
        <v>3719</v>
      </c>
      <c r="E222" s="207" t="s">
        <v>3222</v>
      </c>
      <c r="F222" s="207" t="s">
        <v>1243</v>
      </c>
      <c r="G222" s="208" t="s">
        <v>2667</v>
      </c>
      <c r="H222" s="246"/>
      <c r="K222" s="17"/>
      <c r="XFC222" s="20"/>
    </row>
    <row r="223" spans="1:11 16383:16383" x14ac:dyDescent="0.2">
      <c r="A223" s="139" t="s">
        <v>2651</v>
      </c>
      <c r="B223" s="136" t="s">
        <v>103</v>
      </c>
      <c r="C223" s="136" t="s">
        <v>2666</v>
      </c>
      <c r="D223" s="207" t="s">
        <v>3720</v>
      </c>
      <c r="E223" s="207" t="s">
        <v>3222</v>
      </c>
      <c r="F223" s="207" t="s">
        <v>1243</v>
      </c>
      <c r="G223" s="208" t="s">
        <v>3324</v>
      </c>
      <c r="H223" s="246"/>
      <c r="K223" s="17"/>
      <c r="XFC223" s="20"/>
    </row>
    <row r="224" spans="1:11 16383:16383" x14ac:dyDescent="0.2">
      <c r="A224" s="139" t="s">
        <v>2663</v>
      </c>
      <c r="B224" s="136" t="s">
        <v>103</v>
      </c>
      <c r="C224" s="136" t="s">
        <v>2664</v>
      </c>
      <c r="D224" s="207" t="s">
        <v>3721</v>
      </c>
      <c r="E224" s="207" t="s">
        <v>1648</v>
      </c>
      <c r="F224" s="207" t="s">
        <v>1243</v>
      </c>
      <c r="G224" s="208" t="s">
        <v>3722</v>
      </c>
      <c r="H224" s="246"/>
      <c r="K224" s="17"/>
      <c r="XFC224" s="20"/>
    </row>
    <row r="225" spans="1:11 16383:16383" x14ac:dyDescent="0.2">
      <c r="A225" s="139" t="s">
        <v>1339</v>
      </c>
      <c r="B225" s="136" t="s">
        <v>103</v>
      </c>
      <c r="C225" s="136" t="s">
        <v>2063</v>
      </c>
      <c r="D225" s="207" t="s">
        <v>3723</v>
      </c>
      <c r="E225" s="207" t="s">
        <v>1040</v>
      </c>
      <c r="F225" s="207" t="s">
        <v>1243</v>
      </c>
      <c r="G225" s="208" t="s">
        <v>380</v>
      </c>
      <c r="H225" s="246"/>
      <c r="K225" s="17"/>
      <c r="XFC225" s="20"/>
    </row>
    <row r="226" spans="1:11 16383:16383" x14ac:dyDescent="0.2">
      <c r="A226" s="139" t="s">
        <v>2502</v>
      </c>
      <c r="B226" s="136" t="s">
        <v>103</v>
      </c>
      <c r="C226" s="136" t="s">
        <v>2499</v>
      </c>
      <c r="D226" s="207" t="s">
        <v>3724</v>
      </c>
      <c r="E226" s="207" t="s">
        <v>3223</v>
      </c>
      <c r="F226" s="207" t="s">
        <v>1243</v>
      </c>
      <c r="G226" s="208" t="s">
        <v>2508</v>
      </c>
      <c r="H226" s="246"/>
      <c r="K226" s="17"/>
      <c r="XFC226" s="20"/>
    </row>
    <row r="227" spans="1:11 16383:16383" x14ac:dyDescent="0.2">
      <c r="A227" s="139" t="s">
        <v>3331</v>
      </c>
      <c r="B227" s="136" t="s">
        <v>103</v>
      </c>
      <c r="C227" s="136" t="s">
        <v>2500</v>
      </c>
      <c r="D227" s="207" t="s">
        <v>3725</v>
      </c>
      <c r="E227" s="207" t="s">
        <v>3192</v>
      </c>
      <c r="F227" s="207" t="s">
        <v>1243</v>
      </c>
      <c r="G227" s="208" t="s">
        <v>3332</v>
      </c>
      <c r="H227" s="246"/>
      <c r="K227" s="17"/>
      <c r="XFC227" s="20"/>
    </row>
    <row r="228" spans="1:11 16383:16383" s="137" customFormat="1" x14ac:dyDescent="0.2">
      <c r="A228" s="139" t="s">
        <v>2503</v>
      </c>
      <c r="B228" s="136" t="s">
        <v>103</v>
      </c>
      <c r="C228" s="138" t="s">
        <v>2500</v>
      </c>
      <c r="D228" s="136" t="s">
        <v>3726</v>
      </c>
      <c r="E228" s="136" t="s">
        <v>3192</v>
      </c>
      <c r="F228" s="136" t="s">
        <v>1243</v>
      </c>
      <c r="G228" s="139" t="s">
        <v>2507</v>
      </c>
      <c r="H228" s="249"/>
      <c r="I228" s="126"/>
      <c r="J228" s="126"/>
      <c r="XFC228" s="154"/>
    </row>
    <row r="229" spans="1:11 16383:16383" x14ac:dyDescent="0.2">
      <c r="A229" s="139" t="s">
        <v>2672</v>
      </c>
      <c r="B229" s="136" t="s">
        <v>105</v>
      </c>
      <c r="C229" s="136" t="s">
        <v>2673</v>
      </c>
      <c r="D229" s="207" t="s">
        <v>2674</v>
      </c>
      <c r="E229" s="207" t="s">
        <v>3227</v>
      </c>
      <c r="F229" s="207" t="s">
        <v>1245</v>
      </c>
      <c r="G229" s="208" t="s">
        <v>2675</v>
      </c>
      <c r="H229" s="244"/>
      <c r="K229" s="17"/>
      <c r="XFC229" s="20"/>
    </row>
    <row r="230" spans="1:11 16383:16383" x14ac:dyDescent="0.2">
      <c r="A230" s="139" t="s">
        <v>1340</v>
      </c>
      <c r="B230" s="136" t="s">
        <v>105</v>
      </c>
      <c r="C230" s="136" t="s">
        <v>402</v>
      </c>
      <c r="D230" s="207" t="s">
        <v>2064</v>
      </c>
      <c r="E230" s="207" t="s">
        <v>1049</v>
      </c>
      <c r="F230" s="207" t="s">
        <v>1245</v>
      </c>
      <c r="G230" s="208" t="s">
        <v>2065</v>
      </c>
      <c r="H230" s="244"/>
      <c r="K230" s="17"/>
      <c r="XFC230" s="20"/>
    </row>
    <row r="231" spans="1:11 16383:16383" x14ac:dyDescent="0.2">
      <c r="A231" s="139" t="s">
        <v>1341</v>
      </c>
      <c r="B231" s="136" t="s">
        <v>105</v>
      </c>
      <c r="C231" s="136" t="s">
        <v>398</v>
      </c>
      <c r="D231" s="207" t="s">
        <v>2066</v>
      </c>
      <c r="E231" s="207" t="s">
        <v>1047</v>
      </c>
      <c r="F231" s="207" t="s">
        <v>1245</v>
      </c>
      <c r="G231" s="208" t="s">
        <v>2067</v>
      </c>
      <c r="H231" s="244"/>
      <c r="K231" s="17"/>
      <c r="XFC231" s="20"/>
    </row>
    <row r="232" spans="1:11 16383:16383" x14ac:dyDescent="0.2">
      <c r="A232" s="139" t="s">
        <v>1342</v>
      </c>
      <c r="B232" s="136" t="s">
        <v>105</v>
      </c>
      <c r="C232" s="136" t="s">
        <v>401</v>
      </c>
      <c r="D232" s="207" t="s">
        <v>2068</v>
      </c>
      <c r="E232" s="207" t="s">
        <v>899</v>
      </c>
      <c r="F232" s="207" t="s">
        <v>1245</v>
      </c>
      <c r="G232" s="208" t="s">
        <v>2069</v>
      </c>
      <c r="H232" s="244"/>
      <c r="K232" s="17"/>
      <c r="XFC232" s="20"/>
    </row>
    <row r="233" spans="1:11 16383:16383" x14ac:dyDescent="0.2">
      <c r="A233" s="139" t="s">
        <v>2676</v>
      </c>
      <c r="B233" s="136" t="s">
        <v>105</v>
      </c>
      <c r="C233" s="136" t="s">
        <v>2677</v>
      </c>
      <c r="D233" s="207" t="s">
        <v>2678</v>
      </c>
      <c r="E233" s="207" t="s">
        <v>3228</v>
      </c>
      <c r="F233" s="207" t="s">
        <v>1245</v>
      </c>
      <c r="G233" s="208" t="s">
        <v>2679</v>
      </c>
      <c r="H233" s="244"/>
      <c r="K233" s="17"/>
      <c r="XFC233" s="20"/>
    </row>
    <row r="234" spans="1:11 16383:16383" x14ac:dyDescent="0.2">
      <c r="A234" s="139" t="s">
        <v>1343</v>
      </c>
      <c r="B234" s="136" t="s">
        <v>105</v>
      </c>
      <c r="C234" s="136" t="s">
        <v>403</v>
      </c>
      <c r="D234" s="207" t="s">
        <v>403</v>
      </c>
      <c r="E234" s="207" t="s">
        <v>1050</v>
      </c>
      <c r="F234" s="207" t="s">
        <v>1245</v>
      </c>
      <c r="G234" s="208" t="s">
        <v>2070</v>
      </c>
      <c r="H234" s="244"/>
      <c r="K234" s="17"/>
      <c r="XFC234" s="20"/>
    </row>
    <row r="235" spans="1:11 16383:16383" x14ac:dyDescent="0.2">
      <c r="A235" s="139" t="s">
        <v>3000</v>
      </c>
      <c r="B235" s="136" t="s">
        <v>105</v>
      </c>
      <c r="C235" s="136" t="s">
        <v>3001</v>
      </c>
      <c r="D235" s="207" t="s">
        <v>3003</v>
      </c>
      <c r="E235" s="207" t="s">
        <v>3229</v>
      </c>
      <c r="F235" s="207" t="s">
        <v>1245</v>
      </c>
      <c r="G235" s="208" t="s">
        <v>3002</v>
      </c>
      <c r="H235" s="244"/>
      <c r="K235" s="17"/>
      <c r="XFC235" s="20"/>
    </row>
    <row r="236" spans="1:11 16383:16383" x14ac:dyDescent="0.2">
      <c r="A236" s="139" t="s">
        <v>3039</v>
      </c>
      <c r="B236" s="136" t="s">
        <v>105</v>
      </c>
      <c r="C236" s="136" t="s">
        <v>3001</v>
      </c>
      <c r="D236" s="207" t="s">
        <v>3038</v>
      </c>
      <c r="E236" s="207" t="s">
        <v>3229</v>
      </c>
      <c r="F236" s="207" t="s">
        <v>1245</v>
      </c>
      <c r="G236" s="208" t="s">
        <v>3037</v>
      </c>
      <c r="H236" s="244"/>
      <c r="K236" s="17"/>
      <c r="XFC236" s="20"/>
    </row>
    <row r="237" spans="1:11 16383:16383" x14ac:dyDescent="0.2">
      <c r="A237" s="139" t="s">
        <v>1344</v>
      </c>
      <c r="B237" s="136" t="s">
        <v>105</v>
      </c>
      <c r="C237" s="136" t="s">
        <v>400</v>
      </c>
      <c r="D237" s="207" t="s">
        <v>399</v>
      </c>
      <c r="E237" s="207" t="s">
        <v>1048</v>
      </c>
      <c r="F237" s="207" t="s">
        <v>1245</v>
      </c>
      <c r="G237" s="208" t="s">
        <v>2071</v>
      </c>
      <c r="H237" s="244"/>
      <c r="K237" s="17"/>
      <c r="XFC237" s="20"/>
    </row>
    <row r="238" spans="1:11 16383:16383" x14ac:dyDescent="0.2">
      <c r="A238" s="139" t="s">
        <v>1345</v>
      </c>
      <c r="B238" s="136" t="s">
        <v>105</v>
      </c>
      <c r="C238" s="136" t="s">
        <v>406</v>
      </c>
      <c r="D238" s="207" t="s">
        <v>405</v>
      </c>
      <c r="E238" s="207" t="s">
        <v>900</v>
      </c>
      <c r="F238" s="207" t="s">
        <v>1245</v>
      </c>
      <c r="G238" s="208" t="s">
        <v>407</v>
      </c>
      <c r="H238" s="244"/>
      <c r="K238" s="17"/>
      <c r="XFC238" s="20"/>
    </row>
    <row r="239" spans="1:11 16383:16383" x14ac:dyDescent="0.2">
      <c r="A239" s="139" t="s">
        <v>2456</v>
      </c>
      <c r="B239" s="136" t="s">
        <v>105</v>
      </c>
      <c r="C239" s="136" t="s">
        <v>2454</v>
      </c>
      <c r="D239" s="207" t="s">
        <v>2455</v>
      </c>
      <c r="E239" s="207" t="s">
        <v>1066</v>
      </c>
      <c r="F239" s="207" t="s">
        <v>1245</v>
      </c>
      <c r="G239" s="208" t="s">
        <v>2457</v>
      </c>
      <c r="H239" s="244"/>
      <c r="K239" s="17"/>
      <c r="XFC239" s="20"/>
    </row>
    <row r="240" spans="1:11 16383:16383" x14ac:dyDescent="0.2">
      <c r="A240" s="209" t="s">
        <v>3689</v>
      </c>
      <c r="B240" s="210" t="s">
        <v>105</v>
      </c>
      <c r="C240" s="210" t="s">
        <v>3690</v>
      </c>
      <c r="D240" s="211" t="s">
        <v>3692</v>
      </c>
      <c r="E240" s="211" t="s">
        <v>1066</v>
      </c>
      <c r="F240" s="211" t="s">
        <v>1245</v>
      </c>
      <c r="G240" s="212" t="s">
        <v>3691</v>
      </c>
      <c r="H240" s="244"/>
      <c r="K240" s="17"/>
      <c r="XFC240" s="20"/>
    </row>
    <row r="241" spans="1:11 16383:16383" x14ac:dyDescent="0.2">
      <c r="A241" s="139" t="s">
        <v>1346</v>
      </c>
      <c r="B241" s="136" t="s">
        <v>105</v>
      </c>
      <c r="C241" s="136" t="s">
        <v>404</v>
      </c>
      <c r="D241" s="207" t="s">
        <v>2072</v>
      </c>
      <c r="E241" s="207" t="s">
        <v>1051</v>
      </c>
      <c r="F241" s="207" t="s">
        <v>1245</v>
      </c>
      <c r="G241" s="208" t="s">
        <v>2073</v>
      </c>
      <c r="H241" s="244"/>
      <c r="K241" s="17"/>
      <c r="XFC241" s="20"/>
    </row>
    <row r="242" spans="1:11 16383:16383" x14ac:dyDescent="0.2">
      <c r="A242" s="139" t="s">
        <v>2680</v>
      </c>
      <c r="B242" s="136" t="s">
        <v>105</v>
      </c>
      <c r="C242" s="136" t="s">
        <v>2681</v>
      </c>
      <c r="D242" s="207" t="s">
        <v>2682</v>
      </c>
      <c r="E242" s="207" t="s">
        <v>3230</v>
      </c>
      <c r="F242" s="207" t="s">
        <v>1245</v>
      </c>
      <c r="G242" s="208" t="s">
        <v>2683</v>
      </c>
      <c r="H242" s="244"/>
      <c r="K242" s="17"/>
      <c r="XFC242" s="20"/>
    </row>
    <row r="243" spans="1:11 16383:16383" x14ac:dyDescent="0.2">
      <c r="A243" s="139" t="s">
        <v>2800</v>
      </c>
      <c r="B243" s="136" t="s">
        <v>105</v>
      </c>
      <c r="C243" s="136" t="s">
        <v>2685</v>
      </c>
      <c r="D243" s="207" t="s">
        <v>2686</v>
      </c>
      <c r="E243" s="207" t="s">
        <v>1121</v>
      </c>
      <c r="F243" s="207" t="s">
        <v>1245</v>
      </c>
      <c r="G243" s="208" t="s">
        <v>2687</v>
      </c>
      <c r="H243" s="244"/>
      <c r="K243" s="17"/>
      <c r="XFC243" s="20"/>
    </row>
    <row r="244" spans="1:11 16383:16383" x14ac:dyDescent="0.2">
      <c r="A244" s="139" t="s">
        <v>1347</v>
      </c>
      <c r="B244" s="136" t="s">
        <v>393</v>
      </c>
      <c r="C244" s="136" t="s">
        <v>394</v>
      </c>
      <c r="D244" s="207" t="s">
        <v>2074</v>
      </c>
      <c r="E244" s="207" t="s">
        <v>1045</v>
      </c>
      <c r="F244" s="207" t="s">
        <v>881</v>
      </c>
      <c r="G244" s="208" t="s">
        <v>395</v>
      </c>
      <c r="H244" s="244"/>
      <c r="K244" s="17"/>
      <c r="XFC244" s="20"/>
    </row>
    <row r="245" spans="1:11 16383:16383" x14ac:dyDescent="0.2">
      <c r="A245" s="139" t="s">
        <v>2668</v>
      </c>
      <c r="B245" s="136" t="s">
        <v>393</v>
      </c>
      <c r="C245" s="136" t="s">
        <v>2669</v>
      </c>
      <c r="D245" s="207" t="s">
        <v>2670</v>
      </c>
      <c r="E245" s="207" t="s">
        <v>3226</v>
      </c>
      <c r="F245" s="207" t="s">
        <v>881</v>
      </c>
      <c r="G245" s="208" t="s">
        <v>2671</v>
      </c>
      <c r="H245" s="244"/>
      <c r="K245" s="17"/>
      <c r="XFC245" s="20"/>
    </row>
    <row r="246" spans="1:11 16383:16383" x14ac:dyDescent="0.2">
      <c r="A246" s="139" t="s">
        <v>1348</v>
      </c>
      <c r="B246" s="136" t="s">
        <v>393</v>
      </c>
      <c r="C246" s="136" t="s">
        <v>397</v>
      </c>
      <c r="D246" s="207" t="s">
        <v>396</v>
      </c>
      <c r="E246" s="207" t="s">
        <v>1046</v>
      </c>
      <c r="F246" s="207" t="s">
        <v>881</v>
      </c>
      <c r="G246" s="208" t="s">
        <v>2075</v>
      </c>
      <c r="H246" s="244"/>
      <c r="K246" s="17"/>
      <c r="XFC246" s="20"/>
    </row>
    <row r="247" spans="1:11 16383:16383" x14ac:dyDescent="0.2">
      <c r="A247" s="139" t="s">
        <v>1349</v>
      </c>
      <c r="B247" s="136" t="s">
        <v>106</v>
      </c>
      <c r="C247" s="136" t="s">
        <v>415</v>
      </c>
      <c r="D247" s="207" t="s">
        <v>415</v>
      </c>
      <c r="E247" s="207" t="s">
        <v>1056</v>
      </c>
      <c r="F247" s="207" t="s">
        <v>1246</v>
      </c>
      <c r="G247" s="208" t="s">
        <v>2076</v>
      </c>
      <c r="H247" s="244"/>
      <c r="K247" s="17"/>
      <c r="XFC247" s="20"/>
    </row>
    <row r="248" spans="1:11 16383:16383" x14ac:dyDescent="0.2">
      <c r="A248" s="139" t="s">
        <v>1350</v>
      </c>
      <c r="B248" s="136" t="s">
        <v>106</v>
      </c>
      <c r="C248" s="136" t="s">
        <v>412</v>
      </c>
      <c r="D248" s="207" t="s">
        <v>411</v>
      </c>
      <c r="E248" s="207" t="s">
        <v>1053</v>
      </c>
      <c r="F248" s="207" t="s">
        <v>1246</v>
      </c>
      <c r="G248" s="208" t="s">
        <v>1973</v>
      </c>
      <c r="H248" s="244"/>
      <c r="K248" s="17"/>
      <c r="XFC248" s="20"/>
    </row>
    <row r="249" spans="1:11 16383:16383" x14ac:dyDescent="0.2">
      <c r="A249" s="139" t="s">
        <v>1651</v>
      </c>
      <c r="B249" s="136" t="s">
        <v>106</v>
      </c>
      <c r="C249" s="136" t="s">
        <v>412</v>
      </c>
      <c r="D249" s="207" t="s">
        <v>412</v>
      </c>
      <c r="E249" s="207" t="s">
        <v>1053</v>
      </c>
      <c r="F249" s="207" t="s">
        <v>1246</v>
      </c>
      <c r="G249" s="208" t="s">
        <v>2077</v>
      </c>
      <c r="H249" s="244"/>
      <c r="K249" s="17"/>
      <c r="XFC249" s="20"/>
    </row>
    <row r="250" spans="1:11 16383:16383" x14ac:dyDescent="0.2">
      <c r="A250" s="139" t="s">
        <v>1652</v>
      </c>
      <c r="B250" s="136" t="s">
        <v>106</v>
      </c>
      <c r="C250" s="136" t="s">
        <v>412</v>
      </c>
      <c r="D250" s="207" t="s">
        <v>423</v>
      </c>
      <c r="E250" s="207" t="s">
        <v>1053</v>
      </c>
      <c r="F250" s="207" t="s">
        <v>1246</v>
      </c>
      <c r="G250" s="208" t="s">
        <v>2078</v>
      </c>
      <c r="H250" s="244"/>
      <c r="K250" s="17"/>
      <c r="XFC250" s="20"/>
    </row>
    <row r="251" spans="1:11 16383:16383" x14ac:dyDescent="0.2">
      <c r="A251" s="139" t="s">
        <v>1653</v>
      </c>
      <c r="B251" s="136" t="s">
        <v>106</v>
      </c>
      <c r="C251" s="136" t="s">
        <v>412</v>
      </c>
      <c r="D251" s="207" t="s">
        <v>431</v>
      </c>
      <c r="E251" s="207" t="s">
        <v>1053</v>
      </c>
      <c r="F251" s="207" t="s">
        <v>1246</v>
      </c>
      <c r="G251" s="208" t="s">
        <v>2079</v>
      </c>
      <c r="H251" s="244"/>
      <c r="K251" s="17"/>
      <c r="XFC251" s="20"/>
    </row>
    <row r="252" spans="1:11 16383:16383" x14ac:dyDescent="0.2">
      <c r="A252" s="139" t="s">
        <v>1654</v>
      </c>
      <c r="B252" s="136" t="s">
        <v>106</v>
      </c>
      <c r="C252" s="136" t="s">
        <v>412</v>
      </c>
      <c r="D252" s="207" t="s">
        <v>459</v>
      </c>
      <c r="E252" s="207" t="s">
        <v>1053</v>
      </c>
      <c r="F252" s="207" t="s">
        <v>1246</v>
      </c>
      <c r="G252" s="208" t="s">
        <v>2080</v>
      </c>
      <c r="H252" s="244"/>
      <c r="K252" s="17"/>
      <c r="XFC252" s="20"/>
    </row>
    <row r="253" spans="1:11 16383:16383" x14ac:dyDescent="0.2">
      <c r="A253" s="139" t="s">
        <v>1655</v>
      </c>
      <c r="B253" s="136" t="s">
        <v>106</v>
      </c>
      <c r="C253" s="136" t="s">
        <v>412</v>
      </c>
      <c r="D253" s="207" t="s">
        <v>461</v>
      </c>
      <c r="E253" s="207" t="s">
        <v>1053</v>
      </c>
      <c r="F253" s="207" t="s">
        <v>1246</v>
      </c>
      <c r="G253" s="208" t="s">
        <v>2081</v>
      </c>
      <c r="H253" s="244"/>
      <c r="K253" s="17"/>
      <c r="XFC253" s="20"/>
    </row>
    <row r="254" spans="1:11 16383:16383" x14ac:dyDescent="0.2">
      <c r="A254" s="139" t="s">
        <v>2772</v>
      </c>
      <c r="B254" s="136" t="s">
        <v>106</v>
      </c>
      <c r="C254" s="136" t="s">
        <v>412</v>
      </c>
      <c r="D254" s="207" t="s">
        <v>2773</v>
      </c>
      <c r="E254" s="207" t="s">
        <v>1053</v>
      </c>
      <c r="F254" s="207" t="s">
        <v>1246</v>
      </c>
      <c r="G254" s="208" t="s">
        <v>2774</v>
      </c>
      <c r="H254" s="244"/>
      <c r="K254" s="17"/>
      <c r="XFC254" s="20"/>
    </row>
    <row r="255" spans="1:11 16383:16383" x14ac:dyDescent="0.2">
      <c r="A255" s="139" t="s">
        <v>1351</v>
      </c>
      <c r="B255" s="136" t="s">
        <v>106</v>
      </c>
      <c r="C255" s="136" t="s">
        <v>416</v>
      </c>
      <c r="D255" s="207" t="s">
        <v>416</v>
      </c>
      <c r="E255" s="207" t="s">
        <v>1057</v>
      </c>
      <c r="F255" s="207" t="s">
        <v>1246</v>
      </c>
      <c r="G255" s="208" t="s">
        <v>2082</v>
      </c>
      <c r="H255" s="244"/>
      <c r="K255" s="17"/>
      <c r="XFC255" s="20"/>
    </row>
    <row r="256" spans="1:11 16383:16383" x14ac:dyDescent="0.2">
      <c r="A256" s="139" t="s">
        <v>1656</v>
      </c>
      <c r="B256" s="136" t="s">
        <v>106</v>
      </c>
      <c r="C256" s="136" t="s">
        <v>416</v>
      </c>
      <c r="D256" s="207" t="s">
        <v>438</v>
      </c>
      <c r="E256" s="207" t="s">
        <v>1057</v>
      </c>
      <c r="F256" s="207" t="s">
        <v>1246</v>
      </c>
      <c r="G256" s="208" t="s">
        <v>2083</v>
      </c>
      <c r="H256" s="244"/>
      <c r="K256" s="17"/>
      <c r="XFC256" s="20"/>
    </row>
    <row r="257" spans="1:11 16383:16383" x14ac:dyDescent="0.2">
      <c r="A257" s="139" t="s">
        <v>1657</v>
      </c>
      <c r="B257" s="136" t="s">
        <v>106</v>
      </c>
      <c r="C257" s="136" t="s">
        <v>416</v>
      </c>
      <c r="D257" s="207" t="s">
        <v>457</v>
      </c>
      <c r="E257" s="207" t="s">
        <v>1057</v>
      </c>
      <c r="F257" s="207" t="s">
        <v>1246</v>
      </c>
      <c r="G257" s="208" t="s">
        <v>2084</v>
      </c>
      <c r="H257" s="244"/>
      <c r="K257" s="17"/>
      <c r="XFC257" s="20"/>
    </row>
    <row r="258" spans="1:11 16383:16383" x14ac:dyDescent="0.2">
      <c r="A258" s="139" t="s">
        <v>1658</v>
      </c>
      <c r="B258" s="136" t="s">
        <v>106</v>
      </c>
      <c r="C258" s="136" t="s">
        <v>416</v>
      </c>
      <c r="D258" s="207" t="s">
        <v>463</v>
      </c>
      <c r="E258" s="207" t="s">
        <v>1057</v>
      </c>
      <c r="F258" s="207" t="s">
        <v>1246</v>
      </c>
      <c r="G258" s="208" t="s">
        <v>2085</v>
      </c>
      <c r="H258" s="244"/>
      <c r="K258" s="17"/>
      <c r="XFC258" s="20"/>
    </row>
    <row r="259" spans="1:11 16383:16383" x14ac:dyDescent="0.2">
      <c r="A259" s="139" t="s">
        <v>3450</v>
      </c>
      <c r="B259" s="136" t="s">
        <v>106</v>
      </c>
      <c r="C259" s="136" t="s">
        <v>416</v>
      </c>
      <c r="D259" s="207" t="s">
        <v>3526</v>
      </c>
      <c r="E259" s="207" t="s">
        <v>1057</v>
      </c>
      <c r="F259" s="207" t="s">
        <v>1246</v>
      </c>
      <c r="G259" s="208" t="s">
        <v>3527</v>
      </c>
      <c r="H259" s="244"/>
      <c r="K259" s="17"/>
      <c r="XFC259" s="20"/>
    </row>
    <row r="260" spans="1:11 16383:16383" x14ac:dyDescent="0.2">
      <c r="A260" s="139" t="s">
        <v>1352</v>
      </c>
      <c r="B260" s="136" t="s">
        <v>106</v>
      </c>
      <c r="C260" s="136" t="s">
        <v>413</v>
      </c>
      <c r="D260" s="207" t="s">
        <v>413</v>
      </c>
      <c r="E260" s="207" t="s">
        <v>1054</v>
      </c>
      <c r="F260" s="207" t="s">
        <v>1246</v>
      </c>
      <c r="G260" s="208" t="s">
        <v>2086</v>
      </c>
      <c r="H260" s="244"/>
      <c r="K260" s="17"/>
      <c r="XFC260" s="20"/>
    </row>
    <row r="261" spans="1:11 16383:16383" x14ac:dyDescent="0.2">
      <c r="A261" s="139" t="s">
        <v>1659</v>
      </c>
      <c r="B261" s="136" t="s">
        <v>106</v>
      </c>
      <c r="C261" s="136" t="s">
        <v>413</v>
      </c>
      <c r="D261" s="250" t="s">
        <v>436</v>
      </c>
      <c r="E261" s="207" t="s">
        <v>1054</v>
      </c>
      <c r="F261" s="207" t="s">
        <v>1246</v>
      </c>
      <c r="G261" s="216" t="s">
        <v>1971</v>
      </c>
      <c r="H261" s="244"/>
      <c r="K261" s="17"/>
      <c r="XFC261" s="20"/>
    </row>
    <row r="262" spans="1:11 16383:16383" x14ac:dyDescent="0.2">
      <c r="A262" s="139" t="s">
        <v>1660</v>
      </c>
      <c r="B262" s="136" t="s">
        <v>106</v>
      </c>
      <c r="C262" s="136" t="s">
        <v>413</v>
      </c>
      <c r="D262" s="207" t="s">
        <v>440</v>
      </c>
      <c r="E262" s="207" t="s">
        <v>1054</v>
      </c>
      <c r="F262" s="207" t="s">
        <v>1246</v>
      </c>
      <c r="G262" s="208" t="s">
        <v>2087</v>
      </c>
      <c r="H262" s="244"/>
      <c r="K262" s="17"/>
      <c r="XFC262" s="20"/>
    </row>
    <row r="263" spans="1:11 16383:16383" x14ac:dyDescent="0.2">
      <c r="A263" s="139" t="s">
        <v>1661</v>
      </c>
      <c r="B263" s="136" t="s">
        <v>106</v>
      </c>
      <c r="C263" s="136" t="s">
        <v>413</v>
      </c>
      <c r="D263" s="207" t="s">
        <v>458</v>
      </c>
      <c r="E263" s="207" t="s">
        <v>1054</v>
      </c>
      <c r="F263" s="207" t="s">
        <v>1246</v>
      </c>
      <c r="G263" s="208" t="s">
        <v>2088</v>
      </c>
      <c r="H263" s="244"/>
      <c r="K263" s="17"/>
      <c r="XFC263" s="20"/>
    </row>
    <row r="264" spans="1:11 16383:16383" x14ac:dyDescent="0.2">
      <c r="A264" s="139" t="s">
        <v>3451</v>
      </c>
      <c r="B264" s="136" t="s">
        <v>106</v>
      </c>
      <c r="C264" s="136" t="s">
        <v>413</v>
      </c>
      <c r="D264" s="207" t="s">
        <v>3528</v>
      </c>
      <c r="E264" s="207" t="s">
        <v>1054</v>
      </c>
      <c r="F264" s="207" t="s">
        <v>1246</v>
      </c>
      <c r="G264" s="208" t="s">
        <v>3529</v>
      </c>
      <c r="H264" s="244"/>
      <c r="K264" s="17"/>
      <c r="XFC264" s="20"/>
    </row>
    <row r="265" spans="1:11 16383:16383" x14ac:dyDescent="0.2">
      <c r="A265" s="139" t="s">
        <v>1353</v>
      </c>
      <c r="B265" s="136" t="s">
        <v>106</v>
      </c>
      <c r="C265" s="136" t="s">
        <v>418</v>
      </c>
      <c r="D265" s="207" t="s">
        <v>417</v>
      </c>
      <c r="E265" s="207" t="s">
        <v>902</v>
      </c>
      <c r="F265" s="207" t="s">
        <v>1246</v>
      </c>
      <c r="G265" s="208" t="s">
        <v>2089</v>
      </c>
      <c r="H265" s="244"/>
      <c r="K265" s="17"/>
      <c r="XFC265" s="20"/>
    </row>
    <row r="266" spans="1:11 16383:16383" x14ac:dyDescent="0.2">
      <c r="A266" s="139" t="s">
        <v>1662</v>
      </c>
      <c r="B266" s="136" t="s">
        <v>106</v>
      </c>
      <c r="C266" s="136" t="s">
        <v>418</v>
      </c>
      <c r="D266" s="207" t="s">
        <v>437</v>
      </c>
      <c r="E266" s="207" t="s">
        <v>902</v>
      </c>
      <c r="F266" s="207" t="s">
        <v>1246</v>
      </c>
      <c r="G266" s="208" t="s">
        <v>2090</v>
      </c>
      <c r="H266" s="244"/>
      <c r="K266" s="17"/>
      <c r="XFC266" s="20"/>
    </row>
    <row r="267" spans="1:11 16383:16383" x14ac:dyDescent="0.2">
      <c r="A267" s="139" t="s">
        <v>1663</v>
      </c>
      <c r="B267" s="136" t="s">
        <v>106</v>
      </c>
      <c r="C267" s="136" t="s">
        <v>418</v>
      </c>
      <c r="D267" s="207" t="s">
        <v>439</v>
      </c>
      <c r="E267" s="207" t="s">
        <v>902</v>
      </c>
      <c r="F267" s="207" t="s">
        <v>1246</v>
      </c>
      <c r="G267" s="208" t="s">
        <v>2091</v>
      </c>
      <c r="H267" s="244"/>
      <c r="K267" s="17"/>
      <c r="XFC267" s="20"/>
    </row>
    <row r="268" spans="1:11 16383:16383" x14ac:dyDescent="0.2">
      <c r="A268" s="139" t="s">
        <v>1664</v>
      </c>
      <c r="B268" s="136" t="s">
        <v>106</v>
      </c>
      <c r="C268" s="136" t="s">
        <v>418</v>
      </c>
      <c r="D268" s="207" t="s">
        <v>443</v>
      </c>
      <c r="E268" s="207" t="s">
        <v>902</v>
      </c>
      <c r="F268" s="207" t="s">
        <v>1246</v>
      </c>
      <c r="G268" s="208" t="s">
        <v>1972</v>
      </c>
      <c r="H268" s="244"/>
      <c r="K268" s="17"/>
      <c r="XFC268" s="20"/>
    </row>
    <row r="269" spans="1:11 16383:16383" x14ac:dyDescent="0.2">
      <c r="A269" s="139" t="s">
        <v>1665</v>
      </c>
      <c r="B269" s="136" t="s">
        <v>106</v>
      </c>
      <c r="C269" s="136" t="s">
        <v>418</v>
      </c>
      <c r="D269" s="207" t="s">
        <v>446</v>
      </c>
      <c r="E269" s="207" t="s">
        <v>902</v>
      </c>
      <c r="F269" s="207" t="s">
        <v>1246</v>
      </c>
      <c r="G269" s="208" t="s">
        <v>2092</v>
      </c>
      <c r="H269" s="244"/>
      <c r="K269" s="17"/>
      <c r="XFC269" s="20"/>
    </row>
    <row r="270" spans="1:11 16383:16383" x14ac:dyDescent="0.2">
      <c r="A270" s="139" t="s">
        <v>1666</v>
      </c>
      <c r="B270" s="136" t="s">
        <v>106</v>
      </c>
      <c r="C270" s="136" t="s">
        <v>418</v>
      </c>
      <c r="D270" s="207" t="s">
        <v>2093</v>
      </c>
      <c r="E270" s="207" t="s">
        <v>902</v>
      </c>
      <c r="F270" s="207" t="s">
        <v>1246</v>
      </c>
      <c r="G270" s="208" t="s">
        <v>2094</v>
      </c>
      <c r="H270" s="244"/>
      <c r="K270" s="17"/>
      <c r="XFC270" s="20"/>
    </row>
    <row r="271" spans="1:11 16383:16383" x14ac:dyDescent="0.2">
      <c r="A271" s="139" t="s">
        <v>1667</v>
      </c>
      <c r="B271" s="136" t="s">
        <v>106</v>
      </c>
      <c r="C271" s="136" t="s">
        <v>418</v>
      </c>
      <c r="D271" s="207" t="s">
        <v>2095</v>
      </c>
      <c r="E271" s="207" t="s">
        <v>902</v>
      </c>
      <c r="F271" s="207" t="s">
        <v>1246</v>
      </c>
      <c r="G271" s="208" t="s">
        <v>2096</v>
      </c>
      <c r="H271" s="244"/>
      <c r="K271" s="17"/>
      <c r="XFC271" s="20"/>
    </row>
    <row r="272" spans="1:11 16383:16383" x14ac:dyDescent="0.2">
      <c r="A272" s="139" t="s">
        <v>2582</v>
      </c>
      <c r="B272" s="136" t="s">
        <v>106</v>
      </c>
      <c r="C272" s="136" t="s">
        <v>418</v>
      </c>
      <c r="D272" s="207" t="s">
        <v>2804</v>
      </c>
      <c r="E272" s="207" t="s">
        <v>902</v>
      </c>
      <c r="F272" s="207" t="s">
        <v>1246</v>
      </c>
      <c r="G272" s="208" t="s">
        <v>2805</v>
      </c>
      <c r="H272" s="244"/>
      <c r="K272" s="17"/>
      <c r="XFC272" s="20"/>
    </row>
    <row r="273" spans="1:11 16383:16383" x14ac:dyDescent="0.2">
      <c r="A273" s="139" t="s">
        <v>2806</v>
      </c>
      <c r="B273" s="136" t="s">
        <v>106</v>
      </c>
      <c r="C273" s="136" t="s">
        <v>418</v>
      </c>
      <c r="D273" s="207" t="s">
        <v>2808</v>
      </c>
      <c r="E273" s="207" t="s">
        <v>902</v>
      </c>
      <c r="F273" s="207" t="s">
        <v>1246</v>
      </c>
      <c r="G273" s="208" t="s">
        <v>2807</v>
      </c>
      <c r="H273" s="244"/>
      <c r="K273" s="17"/>
      <c r="XFC273" s="20"/>
    </row>
    <row r="274" spans="1:11 16383:16383" x14ac:dyDescent="0.2">
      <c r="A274" s="139" t="s">
        <v>3308</v>
      </c>
      <c r="B274" s="136" t="s">
        <v>106</v>
      </c>
      <c r="C274" s="136" t="s">
        <v>418</v>
      </c>
      <c r="D274" s="207" t="s">
        <v>3309</v>
      </c>
      <c r="E274" s="207" t="s">
        <v>902</v>
      </c>
      <c r="F274" s="207" t="s">
        <v>1246</v>
      </c>
      <c r="G274" s="208" t="s">
        <v>3313</v>
      </c>
      <c r="H274" s="244"/>
      <c r="K274" s="17"/>
      <c r="XFC274" s="20"/>
    </row>
    <row r="275" spans="1:11 16383:16383" x14ac:dyDescent="0.2">
      <c r="A275" s="139" t="s">
        <v>3452</v>
      </c>
      <c r="B275" s="136" t="s">
        <v>106</v>
      </c>
      <c r="C275" s="136" t="s">
        <v>418</v>
      </c>
      <c r="D275" s="207" t="s">
        <v>3530</v>
      </c>
      <c r="E275" s="207" t="s">
        <v>902</v>
      </c>
      <c r="F275" s="207" t="s">
        <v>1246</v>
      </c>
      <c r="G275" s="208" t="s">
        <v>3531</v>
      </c>
      <c r="H275" s="244"/>
      <c r="K275" s="17"/>
      <c r="XFC275" s="20"/>
    </row>
    <row r="276" spans="1:11 16383:16383" x14ac:dyDescent="0.2">
      <c r="A276" s="139" t="s">
        <v>3453</v>
      </c>
      <c r="B276" s="136" t="s">
        <v>106</v>
      </c>
      <c r="C276" s="136" t="s">
        <v>418</v>
      </c>
      <c r="D276" s="207" t="s">
        <v>3532</v>
      </c>
      <c r="E276" s="207" t="s">
        <v>902</v>
      </c>
      <c r="F276" s="207" t="s">
        <v>1246</v>
      </c>
      <c r="G276" s="208" t="s">
        <v>3533</v>
      </c>
      <c r="H276" s="244"/>
      <c r="K276" s="17"/>
      <c r="XFC276" s="20"/>
    </row>
    <row r="277" spans="1:11 16383:16383" x14ac:dyDescent="0.2">
      <c r="A277" s="139" t="s">
        <v>3454</v>
      </c>
      <c r="B277" s="136" t="s">
        <v>106</v>
      </c>
      <c r="C277" s="136" t="s">
        <v>418</v>
      </c>
      <c r="D277" s="207" t="s">
        <v>3534</v>
      </c>
      <c r="E277" s="207" t="s">
        <v>902</v>
      </c>
      <c r="F277" s="207" t="s">
        <v>1246</v>
      </c>
      <c r="G277" s="208" t="s">
        <v>3535</v>
      </c>
      <c r="H277" s="244"/>
      <c r="K277" s="17"/>
      <c r="XFC277" s="20"/>
    </row>
    <row r="278" spans="1:11 16383:16383" x14ac:dyDescent="0.2">
      <c r="A278" s="139" t="s">
        <v>1354</v>
      </c>
      <c r="B278" s="136" t="s">
        <v>106</v>
      </c>
      <c r="C278" s="136" t="s">
        <v>414</v>
      </c>
      <c r="D278" s="207" t="s">
        <v>414</v>
      </c>
      <c r="E278" s="207" t="s">
        <v>1055</v>
      </c>
      <c r="F278" s="207" t="s">
        <v>1246</v>
      </c>
      <c r="G278" s="208" t="s">
        <v>2097</v>
      </c>
      <c r="H278" s="244"/>
      <c r="K278" s="17"/>
      <c r="XFC278" s="20"/>
    </row>
    <row r="279" spans="1:11 16383:16383" x14ac:dyDescent="0.2">
      <c r="A279" s="139" t="s">
        <v>1668</v>
      </c>
      <c r="B279" s="136" t="s">
        <v>106</v>
      </c>
      <c r="C279" s="136" t="s">
        <v>414</v>
      </c>
      <c r="D279" s="207" t="s">
        <v>434</v>
      </c>
      <c r="E279" s="207" t="s">
        <v>1055</v>
      </c>
      <c r="F279" s="207" t="s">
        <v>1246</v>
      </c>
      <c r="G279" s="208" t="s">
        <v>2098</v>
      </c>
      <c r="H279" s="244"/>
      <c r="K279" s="17"/>
      <c r="XFC279" s="20"/>
    </row>
    <row r="280" spans="1:11 16383:16383" x14ac:dyDescent="0.2">
      <c r="A280" s="139" t="s">
        <v>1669</v>
      </c>
      <c r="B280" s="136" t="s">
        <v>106</v>
      </c>
      <c r="C280" s="136" t="s">
        <v>414</v>
      </c>
      <c r="D280" s="207" t="s">
        <v>467</v>
      </c>
      <c r="E280" s="207" t="s">
        <v>1055</v>
      </c>
      <c r="F280" s="207" t="s">
        <v>1246</v>
      </c>
      <c r="G280" s="208" t="s">
        <v>2099</v>
      </c>
      <c r="H280" s="244"/>
      <c r="K280" s="17"/>
      <c r="XFC280" s="20"/>
    </row>
    <row r="281" spans="1:11 16383:16383" x14ac:dyDescent="0.2">
      <c r="A281" s="139" t="s">
        <v>2990</v>
      </c>
      <c r="B281" s="136" t="s">
        <v>106</v>
      </c>
      <c r="C281" s="136" t="s">
        <v>2991</v>
      </c>
      <c r="D281" s="207" t="s">
        <v>2992</v>
      </c>
      <c r="E281" s="207" t="s">
        <v>3231</v>
      </c>
      <c r="F281" s="207" t="s">
        <v>1246</v>
      </c>
      <c r="G281" s="208" t="s">
        <v>2993</v>
      </c>
      <c r="H281" s="244"/>
      <c r="K281" s="17"/>
      <c r="XFC281" s="20"/>
    </row>
    <row r="282" spans="1:11 16383:16383" x14ac:dyDescent="0.2">
      <c r="A282" s="139" t="s">
        <v>3314</v>
      </c>
      <c r="B282" s="136" t="s">
        <v>106</v>
      </c>
      <c r="C282" s="136" t="s">
        <v>2991</v>
      </c>
      <c r="D282" s="207" t="s">
        <v>3315</v>
      </c>
      <c r="E282" s="207" t="s">
        <v>3231</v>
      </c>
      <c r="F282" s="207" t="s">
        <v>1246</v>
      </c>
      <c r="G282" s="208" t="s">
        <v>3316</v>
      </c>
      <c r="H282" s="244"/>
      <c r="K282" s="17"/>
      <c r="XFC282" s="20"/>
    </row>
    <row r="283" spans="1:11 16383:16383" x14ac:dyDescent="0.2">
      <c r="A283" s="139" t="s">
        <v>1355</v>
      </c>
      <c r="B283" s="136" t="s">
        <v>106</v>
      </c>
      <c r="C283" s="136" t="s">
        <v>425</v>
      </c>
      <c r="D283" s="207" t="s">
        <v>425</v>
      </c>
      <c r="E283" s="207" t="s">
        <v>1060</v>
      </c>
      <c r="F283" s="207" t="s">
        <v>1246</v>
      </c>
      <c r="G283" s="208" t="s">
        <v>2100</v>
      </c>
      <c r="H283" s="244"/>
      <c r="K283" s="17"/>
      <c r="XFC283" s="20"/>
    </row>
    <row r="284" spans="1:11 16383:16383" x14ac:dyDescent="0.2">
      <c r="A284" s="139" t="s">
        <v>1356</v>
      </c>
      <c r="B284" s="136" t="s">
        <v>106</v>
      </c>
      <c r="C284" s="136" t="s">
        <v>424</v>
      </c>
      <c r="D284" s="207" t="s">
        <v>424</v>
      </c>
      <c r="E284" s="207" t="s">
        <v>904</v>
      </c>
      <c r="F284" s="207" t="s">
        <v>1246</v>
      </c>
      <c r="G284" s="208" t="s">
        <v>2101</v>
      </c>
      <c r="H284" s="244"/>
      <c r="K284" s="17"/>
      <c r="XFC284" s="20"/>
    </row>
    <row r="285" spans="1:11 16383:16383" x14ac:dyDescent="0.2">
      <c r="A285" s="139" t="s">
        <v>1357</v>
      </c>
      <c r="B285" s="136" t="s">
        <v>106</v>
      </c>
      <c r="C285" s="136" t="s">
        <v>422</v>
      </c>
      <c r="D285" s="207" t="s">
        <v>422</v>
      </c>
      <c r="E285" s="207" t="s">
        <v>1059</v>
      </c>
      <c r="F285" s="207" t="s">
        <v>1246</v>
      </c>
      <c r="G285" s="208" t="s">
        <v>2102</v>
      </c>
      <c r="H285" s="244"/>
      <c r="K285" s="17"/>
      <c r="XFC285" s="20"/>
    </row>
    <row r="286" spans="1:11 16383:16383" x14ac:dyDescent="0.2">
      <c r="A286" s="139" t="s">
        <v>1358</v>
      </c>
      <c r="B286" s="136" t="s">
        <v>106</v>
      </c>
      <c r="C286" s="136" t="s">
        <v>419</v>
      </c>
      <c r="D286" s="207" t="s">
        <v>419</v>
      </c>
      <c r="E286" s="207" t="s">
        <v>903</v>
      </c>
      <c r="F286" s="207" t="s">
        <v>1246</v>
      </c>
      <c r="G286" s="208" t="s">
        <v>2103</v>
      </c>
      <c r="H286" s="244"/>
      <c r="K286" s="17"/>
      <c r="XFC286" s="20"/>
    </row>
    <row r="287" spans="1:11 16383:16383" x14ac:dyDescent="0.2">
      <c r="A287" s="139" t="s">
        <v>1670</v>
      </c>
      <c r="B287" s="136" t="s">
        <v>106</v>
      </c>
      <c r="C287" s="136" t="s">
        <v>419</v>
      </c>
      <c r="D287" s="207" t="s">
        <v>451</v>
      </c>
      <c r="E287" s="207" t="s">
        <v>903</v>
      </c>
      <c r="F287" s="207" t="s">
        <v>1246</v>
      </c>
      <c r="G287" s="208" t="s">
        <v>2104</v>
      </c>
      <c r="H287" s="244"/>
      <c r="K287" s="17"/>
      <c r="XFC287" s="20"/>
    </row>
    <row r="288" spans="1:11 16383:16383" x14ac:dyDescent="0.2">
      <c r="A288" s="139" t="s">
        <v>1359</v>
      </c>
      <c r="B288" s="136" t="s">
        <v>106</v>
      </c>
      <c r="C288" s="136" t="s">
        <v>426</v>
      </c>
      <c r="D288" s="207" t="s">
        <v>426</v>
      </c>
      <c r="E288" s="207" t="s">
        <v>1061</v>
      </c>
      <c r="F288" s="207" t="s">
        <v>1246</v>
      </c>
      <c r="G288" s="208" t="s">
        <v>2105</v>
      </c>
      <c r="H288" s="244"/>
      <c r="K288" s="17"/>
      <c r="XFC288" s="20"/>
    </row>
    <row r="289" spans="1:11 16383:16383" x14ac:dyDescent="0.2">
      <c r="A289" s="139" t="s">
        <v>1761</v>
      </c>
      <c r="B289" s="136" t="s">
        <v>106</v>
      </c>
      <c r="C289" s="136" t="s">
        <v>426</v>
      </c>
      <c r="D289" s="207" t="s">
        <v>435</v>
      </c>
      <c r="E289" s="207" t="s">
        <v>1061</v>
      </c>
      <c r="F289" s="207" t="s">
        <v>1246</v>
      </c>
      <c r="G289" s="208" t="s">
        <v>2106</v>
      </c>
      <c r="H289" s="244"/>
      <c r="K289" s="17"/>
      <c r="XFC289" s="20"/>
    </row>
    <row r="290" spans="1:11 16383:16383" x14ac:dyDescent="0.2">
      <c r="A290" s="139" t="s">
        <v>3455</v>
      </c>
      <c r="B290" s="136" t="s">
        <v>106</v>
      </c>
      <c r="C290" s="136" t="s">
        <v>426</v>
      </c>
      <c r="D290" s="207" t="s">
        <v>3536</v>
      </c>
      <c r="E290" s="207" t="s">
        <v>1061</v>
      </c>
      <c r="F290" s="207" t="s">
        <v>1246</v>
      </c>
      <c r="G290" s="208" t="s">
        <v>3537</v>
      </c>
      <c r="H290" s="244"/>
      <c r="K290" s="17"/>
      <c r="XFC290" s="20"/>
    </row>
    <row r="291" spans="1:11 16383:16383" x14ac:dyDescent="0.2">
      <c r="A291" s="139" t="s">
        <v>1360</v>
      </c>
      <c r="B291" s="136" t="s">
        <v>106</v>
      </c>
      <c r="C291" s="136" t="s">
        <v>427</v>
      </c>
      <c r="D291" s="207" t="s">
        <v>427</v>
      </c>
      <c r="E291" s="207" t="s">
        <v>905</v>
      </c>
      <c r="F291" s="207" t="s">
        <v>1246</v>
      </c>
      <c r="G291" s="208" t="s">
        <v>2107</v>
      </c>
      <c r="H291" s="244"/>
      <c r="K291" s="17"/>
      <c r="XFC291" s="20"/>
    </row>
    <row r="292" spans="1:11 16383:16383" x14ac:dyDescent="0.2">
      <c r="A292" s="139" t="s">
        <v>1361</v>
      </c>
      <c r="B292" s="136" t="s">
        <v>106</v>
      </c>
      <c r="C292" s="136" t="s">
        <v>421</v>
      </c>
      <c r="D292" s="207" t="s">
        <v>420</v>
      </c>
      <c r="E292" s="207" t="s">
        <v>1058</v>
      </c>
      <c r="F292" s="207" t="s">
        <v>1246</v>
      </c>
      <c r="G292" s="208" t="s">
        <v>2108</v>
      </c>
      <c r="H292" s="244"/>
      <c r="K292" s="17"/>
      <c r="XFC292" s="20"/>
    </row>
    <row r="293" spans="1:11 16383:16383" x14ac:dyDescent="0.2">
      <c r="A293" s="139" t="s">
        <v>1762</v>
      </c>
      <c r="B293" s="136" t="s">
        <v>106</v>
      </c>
      <c r="C293" s="136" t="s">
        <v>421</v>
      </c>
      <c r="D293" s="207" t="s">
        <v>421</v>
      </c>
      <c r="E293" s="207" t="s">
        <v>1058</v>
      </c>
      <c r="F293" s="207" t="s">
        <v>1246</v>
      </c>
      <c r="G293" s="208" t="s">
        <v>2109</v>
      </c>
      <c r="H293" s="244"/>
      <c r="K293" s="17"/>
      <c r="XFC293" s="20"/>
    </row>
    <row r="294" spans="1:11 16383:16383" x14ac:dyDescent="0.2">
      <c r="A294" s="139" t="s">
        <v>3456</v>
      </c>
      <c r="B294" s="136" t="s">
        <v>106</v>
      </c>
      <c r="C294" s="136" t="s">
        <v>421</v>
      </c>
      <c r="D294" s="207" t="s">
        <v>3538</v>
      </c>
      <c r="E294" s="207" t="s">
        <v>1058</v>
      </c>
      <c r="F294" s="207" t="s">
        <v>1246</v>
      </c>
      <c r="G294" s="208" t="s">
        <v>3539</v>
      </c>
      <c r="H294" s="244"/>
      <c r="K294" s="17"/>
      <c r="XFC294" s="20"/>
    </row>
    <row r="295" spans="1:11 16383:16383" x14ac:dyDescent="0.2">
      <c r="A295" s="139" t="s">
        <v>3457</v>
      </c>
      <c r="B295" s="136" t="s">
        <v>106</v>
      </c>
      <c r="C295" s="136" t="s">
        <v>421</v>
      </c>
      <c r="D295" s="207" t="s">
        <v>3540</v>
      </c>
      <c r="E295" s="207" t="s">
        <v>1058</v>
      </c>
      <c r="F295" s="207" t="s">
        <v>1246</v>
      </c>
      <c r="G295" s="208" t="s">
        <v>3541</v>
      </c>
      <c r="H295" s="244"/>
      <c r="K295" s="17"/>
      <c r="XFC295" s="20"/>
    </row>
    <row r="296" spans="1:11 16383:16383" x14ac:dyDescent="0.2">
      <c r="A296" s="139" t="s">
        <v>1763</v>
      </c>
      <c r="B296" s="136" t="s">
        <v>106</v>
      </c>
      <c r="C296" s="136" t="s">
        <v>470</v>
      </c>
      <c r="D296" s="208" t="s">
        <v>470</v>
      </c>
      <c r="E296" s="208" t="s">
        <v>901</v>
      </c>
      <c r="F296" s="208" t="s">
        <v>1246</v>
      </c>
      <c r="G296" s="208" t="s">
        <v>2110</v>
      </c>
      <c r="H296" s="244"/>
      <c r="K296" s="17"/>
      <c r="XFC296" s="20"/>
    </row>
    <row r="297" spans="1:11 16383:16383" x14ac:dyDescent="0.2">
      <c r="A297" s="139" t="s">
        <v>1363</v>
      </c>
      <c r="B297" s="136" t="s">
        <v>106</v>
      </c>
      <c r="C297" s="136" t="s">
        <v>428</v>
      </c>
      <c r="D297" s="250" t="s">
        <v>428</v>
      </c>
      <c r="E297" s="208" t="s">
        <v>1062</v>
      </c>
      <c r="F297" s="208" t="s">
        <v>1246</v>
      </c>
      <c r="G297" s="208" t="s">
        <v>2111</v>
      </c>
      <c r="H297" s="244"/>
      <c r="K297" s="17"/>
      <c r="XFC297" s="20"/>
    </row>
    <row r="298" spans="1:11 16383:16383" x14ac:dyDescent="0.2">
      <c r="A298" s="139" t="s">
        <v>1364</v>
      </c>
      <c r="B298" s="136" t="s">
        <v>106</v>
      </c>
      <c r="C298" s="136" t="s">
        <v>408</v>
      </c>
      <c r="D298" s="207" t="s">
        <v>408</v>
      </c>
      <c r="E298" s="207" t="s">
        <v>906</v>
      </c>
      <c r="F298" s="207" t="s">
        <v>1246</v>
      </c>
      <c r="G298" s="208" t="s">
        <v>2112</v>
      </c>
      <c r="H298" s="244"/>
      <c r="K298" s="17"/>
      <c r="XFC298" s="20"/>
    </row>
    <row r="299" spans="1:11 16383:16383" x14ac:dyDescent="0.2">
      <c r="A299" s="139" t="s">
        <v>1764</v>
      </c>
      <c r="B299" s="136" t="s">
        <v>106</v>
      </c>
      <c r="C299" s="136" t="s">
        <v>408</v>
      </c>
      <c r="D299" s="207" t="s">
        <v>441</v>
      </c>
      <c r="E299" s="207" t="s">
        <v>906</v>
      </c>
      <c r="F299" s="207" t="s">
        <v>1246</v>
      </c>
      <c r="G299" s="208" t="s">
        <v>2113</v>
      </c>
      <c r="H299" s="244"/>
      <c r="K299" s="17"/>
      <c r="XFC299" s="20"/>
    </row>
    <row r="300" spans="1:11 16383:16383" x14ac:dyDescent="0.2">
      <c r="A300" s="139" t="s">
        <v>3458</v>
      </c>
      <c r="B300" s="136" t="s">
        <v>106</v>
      </c>
      <c r="C300" s="136" t="s">
        <v>3351</v>
      </c>
      <c r="D300" s="207" t="s">
        <v>3355</v>
      </c>
      <c r="E300" s="207" t="s">
        <v>3353</v>
      </c>
      <c r="F300" s="207" t="s">
        <v>1246</v>
      </c>
      <c r="G300" s="208" t="s">
        <v>3356</v>
      </c>
      <c r="H300" s="244"/>
      <c r="K300" s="17"/>
      <c r="XFC300" s="20"/>
    </row>
    <row r="301" spans="1:11 16383:16383" x14ac:dyDescent="0.2">
      <c r="A301" s="139" t="s">
        <v>3459</v>
      </c>
      <c r="B301" s="136" t="s">
        <v>106</v>
      </c>
      <c r="C301" s="136" t="s">
        <v>3351</v>
      </c>
      <c r="D301" s="207" t="s">
        <v>3352</v>
      </c>
      <c r="E301" s="207" t="s">
        <v>3353</v>
      </c>
      <c r="F301" s="207" t="s">
        <v>1246</v>
      </c>
      <c r="G301" s="208" t="s">
        <v>3354</v>
      </c>
      <c r="H301" s="244"/>
      <c r="K301" s="17"/>
      <c r="XFC301" s="20"/>
    </row>
    <row r="302" spans="1:11 16383:16383" x14ac:dyDescent="0.2">
      <c r="A302" s="139" t="s">
        <v>1365</v>
      </c>
      <c r="B302" s="136" t="s">
        <v>106</v>
      </c>
      <c r="C302" s="136" t="s">
        <v>432</v>
      </c>
      <c r="D302" s="207" t="s">
        <v>432</v>
      </c>
      <c r="E302" s="207" t="s">
        <v>1064</v>
      </c>
      <c r="F302" s="207" t="s">
        <v>1246</v>
      </c>
      <c r="G302" s="208" t="s">
        <v>2114</v>
      </c>
      <c r="H302" s="244"/>
      <c r="K302" s="17"/>
      <c r="XFC302" s="20"/>
    </row>
    <row r="303" spans="1:11 16383:16383" x14ac:dyDescent="0.2">
      <c r="A303" s="139" t="s">
        <v>1366</v>
      </c>
      <c r="B303" s="136" t="s">
        <v>106</v>
      </c>
      <c r="C303" s="136" t="s">
        <v>433</v>
      </c>
      <c r="D303" s="207" t="s">
        <v>433</v>
      </c>
      <c r="E303" s="207" t="s">
        <v>1065</v>
      </c>
      <c r="F303" s="207" t="s">
        <v>1246</v>
      </c>
      <c r="G303" s="208" t="s">
        <v>2115</v>
      </c>
      <c r="H303" s="244"/>
      <c r="K303" s="17"/>
      <c r="XFC303" s="20"/>
    </row>
    <row r="304" spans="1:11 16383:16383" x14ac:dyDescent="0.2">
      <c r="A304" s="139" t="s">
        <v>1367</v>
      </c>
      <c r="B304" s="136" t="s">
        <v>106</v>
      </c>
      <c r="C304" s="136" t="s">
        <v>445</v>
      </c>
      <c r="D304" s="207" t="s">
        <v>445</v>
      </c>
      <c r="E304" s="207" t="s">
        <v>907</v>
      </c>
      <c r="F304" s="207" t="s">
        <v>1246</v>
      </c>
      <c r="G304" s="208" t="s">
        <v>2116</v>
      </c>
      <c r="H304" s="244"/>
      <c r="K304" s="17"/>
      <c r="XFC304" s="20"/>
    </row>
    <row r="305" spans="1:11 16383:16383" x14ac:dyDescent="0.2">
      <c r="A305" s="139" t="s">
        <v>1765</v>
      </c>
      <c r="B305" s="136" t="s">
        <v>106</v>
      </c>
      <c r="C305" s="136" t="s">
        <v>445</v>
      </c>
      <c r="D305" s="207" t="s">
        <v>468</v>
      </c>
      <c r="E305" s="207" t="s">
        <v>907</v>
      </c>
      <c r="F305" s="207" t="s">
        <v>1246</v>
      </c>
      <c r="G305" s="208" t="s">
        <v>2117</v>
      </c>
      <c r="H305" s="244"/>
      <c r="K305" s="17"/>
      <c r="XFC305" s="20"/>
    </row>
    <row r="306" spans="1:11 16383:16383" x14ac:dyDescent="0.2">
      <c r="A306" s="139" t="s">
        <v>1368</v>
      </c>
      <c r="B306" s="136" t="s">
        <v>106</v>
      </c>
      <c r="C306" s="136" t="s">
        <v>449</v>
      </c>
      <c r="D306" s="207" t="s">
        <v>449</v>
      </c>
      <c r="E306" s="207" t="s">
        <v>1066</v>
      </c>
      <c r="F306" s="207" t="s">
        <v>1246</v>
      </c>
      <c r="G306" s="208" t="s">
        <v>2118</v>
      </c>
      <c r="H306" s="244"/>
      <c r="K306" s="17"/>
      <c r="XFC306" s="20"/>
    </row>
    <row r="307" spans="1:11 16383:16383" x14ac:dyDescent="0.2">
      <c r="A307" s="139" t="s">
        <v>1369</v>
      </c>
      <c r="B307" s="136" t="s">
        <v>106</v>
      </c>
      <c r="C307" s="136" t="s">
        <v>450</v>
      </c>
      <c r="D307" s="207" t="s">
        <v>450</v>
      </c>
      <c r="E307" s="207" t="s">
        <v>1067</v>
      </c>
      <c r="F307" s="207" t="s">
        <v>1246</v>
      </c>
      <c r="G307" s="208" t="s">
        <v>2119</v>
      </c>
      <c r="H307" s="244"/>
      <c r="K307" s="17"/>
      <c r="XFC307" s="20"/>
    </row>
    <row r="308" spans="1:11 16383:16383" x14ac:dyDescent="0.2">
      <c r="A308" s="139" t="s">
        <v>3460</v>
      </c>
      <c r="B308" s="136" t="s">
        <v>106</v>
      </c>
      <c r="C308" s="136" t="s">
        <v>450</v>
      </c>
      <c r="D308" s="207" t="s">
        <v>3542</v>
      </c>
      <c r="E308" s="207" t="s">
        <v>1067</v>
      </c>
      <c r="F308" s="207" t="s">
        <v>1246</v>
      </c>
      <c r="G308" s="208" t="s">
        <v>3543</v>
      </c>
      <c r="H308" s="244"/>
      <c r="K308" s="17"/>
      <c r="XFC308" s="20"/>
    </row>
    <row r="309" spans="1:11 16383:16383" x14ac:dyDescent="0.2">
      <c r="A309" s="139" t="s">
        <v>1370</v>
      </c>
      <c r="B309" s="136" t="s">
        <v>106</v>
      </c>
      <c r="C309" s="136" t="s">
        <v>430</v>
      </c>
      <c r="D309" s="207" t="s">
        <v>429</v>
      </c>
      <c r="E309" s="207" t="s">
        <v>1063</v>
      </c>
      <c r="F309" s="207" t="s">
        <v>1246</v>
      </c>
      <c r="G309" s="208" t="s">
        <v>2120</v>
      </c>
      <c r="H309" s="244"/>
      <c r="K309" s="17"/>
      <c r="XFC309" s="20"/>
    </row>
    <row r="310" spans="1:11 16383:16383" x14ac:dyDescent="0.2">
      <c r="A310" s="139" t="s">
        <v>1766</v>
      </c>
      <c r="B310" s="136" t="s">
        <v>106</v>
      </c>
      <c r="C310" s="136" t="s">
        <v>430</v>
      </c>
      <c r="D310" s="207" t="s">
        <v>430</v>
      </c>
      <c r="E310" s="207" t="s">
        <v>1063</v>
      </c>
      <c r="F310" s="207" t="s">
        <v>1246</v>
      </c>
      <c r="G310" s="208" t="s">
        <v>2121</v>
      </c>
      <c r="H310" s="244"/>
      <c r="K310" s="17"/>
      <c r="XFC310" s="20"/>
    </row>
    <row r="311" spans="1:11 16383:16383" x14ac:dyDescent="0.2">
      <c r="A311" s="139" t="s">
        <v>1371</v>
      </c>
      <c r="B311" s="136" t="s">
        <v>106</v>
      </c>
      <c r="C311" s="136" t="s">
        <v>456</v>
      </c>
      <c r="D311" s="207" t="s">
        <v>456</v>
      </c>
      <c r="E311" s="207" t="s">
        <v>909</v>
      </c>
      <c r="F311" s="207" t="s">
        <v>1246</v>
      </c>
      <c r="G311" s="208" t="s">
        <v>2122</v>
      </c>
      <c r="H311" s="244"/>
      <c r="K311" s="17"/>
      <c r="XFC311" s="20"/>
    </row>
    <row r="312" spans="1:11 16383:16383" x14ac:dyDescent="0.2">
      <c r="A312" s="139" t="s">
        <v>2762</v>
      </c>
      <c r="B312" s="136" t="s">
        <v>106</v>
      </c>
      <c r="C312" s="136" t="s">
        <v>456</v>
      </c>
      <c r="D312" s="207" t="s">
        <v>2581</v>
      </c>
      <c r="E312" s="207" t="s">
        <v>909</v>
      </c>
      <c r="F312" s="207" t="s">
        <v>1246</v>
      </c>
      <c r="G312" s="208" t="s">
        <v>2580</v>
      </c>
      <c r="H312" s="244"/>
      <c r="K312" s="17"/>
      <c r="XFC312" s="20"/>
    </row>
    <row r="313" spans="1:11 16383:16383" x14ac:dyDescent="0.2">
      <c r="A313" s="139" t="s">
        <v>1372</v>
      </c>
      <c r="B313" s="136" t="s">
        <v>106</v>
      </c>
      <c r="C313" s="136" t="s">
        <v>448</v>
      </c>
      <c r="D313" s="207" t="s">
        <v>447</v>
      </c>
      <c r="E313" s="207" t="s">
        <v>908</v>
      </c>
      <c r="F313" s="207" t="s">
        <v>1246</v>
      </c>
      <c r="G313" s="208" t="s">
        <v>2123</v>
      </c>
      <c r="H313" s="244"/>
      <c r="K313" s="17"/>
      <c r="XFC313" s="20"/>
    </row>
    <row r="314" spans="1:11 16383:16383" x14ac:dyDescent="0.2">
      <c r="A314" s="139" t="s">
        <v>1767</v>
      </c>
      <c r="B314" s="136" t="s">
        <v>106</v>
      </c>
      <c r="C314" s="136" t="s">
        <v>448</v>
      </c>
      <c r="D314" s="207" t="s">
        <v>448</v>
      </c>
      <c r="E314" s="207" t="s">
        <v>908</v>
      </c>
      <c r="F314" s="207" t="s">
        <v>1246</v>
      </c>
      <c r="G314" s="208" t="s">
        <v>2124</v>
      </c>
      <c r="H314" s="244"/>
      <c r="K314" s="17"/>
      <c r="XFC314" s="20"/>
    </row>
    <row r="315" spans="1:11 16383:16383" x14ac:dyDescent="0.2">
      <c r="A315" s="139" t="s">
        <v>2522</v>
      </c>
      <c r="B315" s="136" t="s">
        <v>106</v>
      </c>
      <c r="C315" s="136" t="s">
        <v>448</v>
      </c>
      <c r="D315" s="207" t="s">
        <v>2523</v>
      </c>
      <c r="E315" s="207" t="s">
        <v>908</v>
      </c>
      <c r="F315" s="207" t="s">
        <v>1246</v>
      </c>
      <c r="G315" s="208" t="s">
        <v>2524</v>
      </c>
      <c r="H315" s="244"/>
      <c r="K315" s="17"/>
      <c r="XFC315" s="20"/>
    </row>
    <row r="316" spans="1:11 16383:16383" x14ac:dyDescent="0.2">
      <c r="A316" s="139" t="s">
        <v>3310</v>
      </c>
      <c r="B316" s="136" t="s">
        <v>106</v>
      </c>
      <c r="C316" s="139" t="s">
        <v>448</v>
      </c>
      <c r="D316" s="217" t="s">
        <v>3311</v>
      </c>
      <c r="E316" s="218" t="s">
        <v>908</v>
      </c>
      <c r="F316" s="218" t="s">
        <v>1246</v>
      </c>
      <c r="G316" s="208" t="s">
        <v>3312</v>
      </c>
      <c r="H316" s="245"/>
      <c r="XFC316" s="20"/>
    </row>
    <row r="317" spans="1:11 16383:16383" x14ac:dyDescent="0.2">
      <c r="A317" s="139" t="s">
        <v>3461</v>
      </c>
      <c r="B317" s="136" t="s">
        <v>106</v>
      </c>
      <c r="C317" s="139" t="s">
        <v>448</v>
      </c>
      <c r="D317" s="217" t="s">
        <v>3544</v>
      </c>
      <c r="E317" s="218" t="s">
        <v>908</v>
      </c>
      <c r="F317" s="218" t="s">
        <v>1246</v>
      </c>
      <c r="G317" s="208" t="s">
        <v>3545</v>
      </c>
      <c r="H317" s="245"/>
      <c r="XFC317" s="20"/>
    </row>
    <row r="318" spans="1:11 16383:16383" x14ac:dyDescent="0.2">
      <c r="A318" s="126" t="s">
        <v>3462</v>
      </c>
      <c r="B318" s="136" t="s">
        <v>106</v>
      </c>
      <c r="C318" s="139" t="s">
        <v>448</v>
      </c>
      <c r="D318" s="217" t="s">
        <v>3546</v>
      </c>
      <c r="E318" s="218" t="s">
        <v>908</v>
      </c>
      <c r="F318" s="218" t="s">
        <v>1246</v>
      </c>
      <c r="G318" s="208" t="s">
        <v>3547</v>
      </c>
      <c r="H318" s="245"/>
      <c r="XFC318" s="20"/>
    </row>
    <row r="319" spans="1:11 16383:16383" x14ac:dyDescent="0.2">
      <c r="A319" s="139" t="s">
        <v>3463</v>
      </c>
      <c r="B319" s="136" t="s">
        <v>106</v>
      </c>
      <c r="C319" s="136" t="s">
        <v>448</v>
      </c>
      <c r="D319" s="207" t="s">
        <v>3548</v>
      </c>
      <c r="E319" s="207" t="s">
        <v>908</v>
      </c>
      <c r="F319" s="207" t="s">
        <v>1246</v>
      </c>
      <c r="G319" s="208" t="s">
        <v>3549</v>
      </c>
      <c r="H319" s="244"/>
      <c r="K319" s="17"/>
      <c r="XFC319" s="20"/>
    </row>
    <row r="320" spans="1:11 16383:16383" x14ac:dyDescent="0.2">
      <c r="A320" s="139" t="s">
        <v>3464</v>
      </c>
      <c r="B320" s="136" t="s">
        <v>106</v>
      </c>
      <c r="C320" s="136" t="s">
        <v>448</v>
      </c>
      <c r="D320" s="207" t="s">
        <v>3550</v>
      </c>
      <c r="E320" s="207" t="s">
        <v>908</v>
      </c>
      <c r="F320" s="207" t="s">
        <v>1246</v>
      </c>
      <c r="G320" s="208" t="s">
        <v>3551</v>
      </c>
      <c r="H320" s="244"/>
      <c r="K320" s="17"/>
      <c r="XFC320" s="20"/>
    </row>
    <row r="321" spans="1:11 16383:16383" x14ac:dyDescent="0.2">
      <c r="A321" s="139" t="s">
        <v>1373</v>
      </c>
      <c r="B321" s="136" t="s">
        <v>106</v>
      </c>
      <c r="C321" s="136" t="s">
        <v>410</v>
      </c>
      <c r="D321" s="207" t="s">
        <v>409</v>
      </c>
      <c r="E321" s="207" t="s">
        <v>1052</v>
      </c>
      <c r="F321" s="207" t="s">
        <v>1246</v>
      </c>
      <c r="G321" s="208" t="s">
        <v>2125</v>
      </c>
      <c r="H321" s="244"/>
      <c r="K321" s="17"/>
      <c r="XFC321" s="20"/>
    </row>
    <row r="322" spans="1:11 16383:16383" x14ac:dyDescent="0.2">
      <c r="A322" s="139" t="s">
        <v>1768</v>
      </c>
      <c r="B322" s="136" t="s">
        <v>106</v>
      </c>
      <c r="C322" s="136" t="s">
        <v>410</v>
      </c>
      <c r="D322" s="207" t="s">
        <v>442</v>
      </c>
      <c r="E322" s="207" t="s">
        <v>1052</v>
      </c>
      <c r="F322" s="207" t="s">
        <v>1246</v>
      </c>
      <c r="G322" s="208" t="s">
        <v>2126</v>
      </c>
      <c r="H322" s="244"/>
      <c r="K322" s="17"/>
      <c r="XFC322" s="20"/>
    </row>
    <row r="323" spans="1:11 16383:16383" x14ac:dyDescent="0.2">
      <c r="A323" s="139" t="s">
        <v>1769</v>
      </c>
      <c r="B323" s="136" t="s">
        <v>106</v>
      </c>
      <c r="C323" s="136" t="s">
        <v>410</v>
      </c>
      <c r="D323" s="207" t="s">
        <v>444</v>
      </c>
      <c r="E323" s="207" t="s">
        <v>1052</v>
      </c>
      <c r="F323" s="207" t="s">
        <v>1246</v>
      </c>
      <c r="G323" s="208" t="s">
        <v>2127</v>
      </c>
      <c r="H323" s="244"/>
      <c r="K323" s="17"/>
      <c r="XFC323" s="20"/>
    </row>
    <row r="324" spans="1:11 16383:16383" x14ac:dyDescent="0.2">
      <c r="A324" s="139" t="s">
        <v>1374</v>
      </c>
      <c r="B324" s="136" t="s">
        <v>106</v>
      </c>
      <c r="C324" s="136" t="s">
        <v>460</v>
      </c>
      <c r="D324" s="207" t="s">
        <v>460</v>
      </c>
      <c r="E324" s="207" t="s">
        <v>910</v>
      </c>
      <c r="F324" s="207" t="s">
        <v>1246</v>
      </c>
      <c r="G324" s="208" t="s">
        <v>2128</v>
      </c>
      <c r="H324" s="244"/>
      <c r="K324" s="17"/>
      <c r="XFC324" s="20"/>
    </row>
    <row r="325" spans="1:11 16383:16383" x14ac:dyDescent="0.2">
      <c r="A325" s="209" t="s">
        <v>3654</v>
      </c>
      <c r="B325" s="210" t="s">
        <v>106</v>
      </c>
      <c r="C325" s="210" t="s">
        <v>460</v>
      </c>
      <c r="D325" s="211" t="s">
        <v>3655</v>
      </c>
      <c r="E325" s="211" t="s">
        <v>910</v>
      </c>
      <c r="F325" s="211" t="s">
        <v>1246</v>
      </c>
      <c r="G325" s="212" t="s">
        <v>3656</v>
      </c>
      <c r="H325" s="244"/>
      <c r="K325" s="17"/>
      <c r="XFC325" s="20"/>
    </row>
    <row r="326" spans="1:11 16383:16383" x14ac:dyDescent="0.2">
      <c r="A326" s="139" t="s">
        <v>1375</v>
      </c>
      <c r="B326" s="136" t="s">
        <v>106</v>
      </c>
      <c r="C326" s="136" t="s">
        <v>455</v>
      </c>
      <c r="D326" s="207" t="s">
        <v>454</v>
      </c>
      <c r="E326" s="207" t="s">
        <v>1069</v>
      </c>
      <c r="F326" s="207" t="s">
        <v>1246</v>
      </c>
      <c r="G326" s="208" t="s">
        <v>2129</v>
      </c>
      <c r="H326" s="244"/>
      <c r="K326" s="17"/>
      <c r="XFC326" s="20"/>
    </row>
    <row r="327" spans="1:11 16383:16383" x14ac:dyDescent="0.2">
      <c r="A327" s="139" t="s">
        <v>1759</v>
      </c>
      <c r="B327" s="136" t="s">
        <v>106</v>
      </c>
      <c r="C327" s="136" t="s">
        <v>455</v>
      </c>
      <c r="D327" s="207" t="s">
        <v>455</v>
      </c>
      <c r="E327" s="207" t="s">
        <v>1069</v>
      </c>
      <c r="F327" s="207" t="s">
        <v>1246</v>
      </c>
      <c r="G327" s="208" t="s">
        <v>2130</v>
      </c>
      <c r="H327" s="244"/>
      <c r="K327" s="17"/>
      <c r="XFC327" s="20"/>
    </row>
    <row r="328" spans="1:11 16383:16383" x14ac:dyDescent="0.2">
      <c r="A328" s="139" t="s">
        <v>1760</v>
      </c>
      <c r="B328" s="136" t="s">
        <v>106</v>
      </c>
      <c r="C328" s="136" t="s">
        <v>455</v>
      </c>
      <c r="D328" s="207" t="s">
        <v>464</v>
      </c>
      <c r="E328" s="207" t="s">
        <v>1069</v>
      </c>
      <c r="F328" s="207" t="s">
        <v>1246</v>
      </c>
      <c r="G328" s="207" t="s">
        <v>2131</v>
      </c>
      <c r="H328" s="244"/>
      <c r="K328" s="17"/>
      <c r="XFC328" s="20"/>
    </row>
    <row r="329" spans="1:11 16383:16383" x14ac:dyDescent="0.2">
      <c r="A329" s="139" t="s">
        <v>1376</v>
      </c>
      <c r="B329" s="136" t="s">
        <v>106</v>
      </c>
      <c r="C329" s="139" t="s">
        <v>462</v>
      </c>
      <c r="D329" s="217" t="s">
        <v>462</v>
      </c>
      <c r="E329" s="218" t="s">
        <v>926</v>
      </c>
      <c r="F329" s="218" t="s">
        <v>1246</v>
      </c>
      <c r="G329" s="208" t="s">
        <v>2132</v>
      </c>
      <c r="H329" s="245"/>
      <c r="XFC329" s="20"/>
    </row>
    <row r="330" spans="1:11 16383:16383" x14ac:dyDescent="0.2">
      <c r="A330" s="126" t="s">
        <v>3348</v>
      </c>
      <c r="B330" s="136" t="s">
        <v>106</v>
      </c>
      <c r="C330" s="139" t="s">
        <v>462</v>
      </c>
      <c r="D330" s="217" t="s">
        <v>3349</v>
      </c>
      <c r="E330" s="218" t="s">
        <v>926</v>
      </c>
      <c r="F330" s="218" t="s">
        <v>1246</v>
      </c>
      <c r="G330" s="208" t="s">
        <v>3350</v>
      </c>
      <c r="H330" s="245"/>
      <c r="XFC330" s="20"/>
    </row>
    <row r="331" spans="1:11 16383:16383" x14ac:dyDescent="0.2">
      <c r="A331" s="139" t="s">
        <v>1377</v>
      </c>
      <c r="B331" s="136" t="s">
        <v>106</v>
      </c>
      <c r="C331" s="136" t="s">
        <v>466</v>
      </c>
      <c r="D331" s="207" t="s">
        <v>465</v>
      </c>
      <c r="E331" s="207" t="s">
        <v>1070</v>
      </c>
      <c r="F331" s="207" t="s">
        <v>1246</v>
      </c>
      <c r="G331" s="208" t="s">
        <v>2133</v>
      </c>
      <c r="H331" s="244"/>
      <c r="K331" s="17"/>
      <c r="XFC331" s="20"/>
    </row>
    <row r="332" spans="1:11 16383:16383" x14ac:dyDescent="0.2">
      <c r="A332" s="139" t="s">
        <v>1756</v>
      </c>
      <c r="B332" s="136" t="s">
        <v>106</v>
      </c>
      <c r="C332" s="136" t="s">
        <v>466</v>
      </c>
      <c r="D332" s="136" t="s">
        <v>469</v>
      </c>
      <c r="E332" s="219" t="s">
        <v>1070</v>
      </c>
      <c r="F332" s="219" t="s">
        <v>1246</v>
      </c>
      <c r="G332" s="208" t="s">
        <v>2134</v>
      </c>
      <c r="H332" s="246"/>
      <c r="K332" s="17"/>
      <c r="XFC332" s="20"/>
    </row>
    <row r="333" spans="1:11 16383:16383" x14ac:dyDescent="0.2">
      <c r="A333" s="220" t="s">
        <v>1757</v>
      </c>
      <c r="B333" s="221" t="s">
        <v>106</v>
      </c>
      <c r="C333" s="221" t="s">
        <v>466</v>
      </c>
      <c r="D333" s="222" t="s">
        <v>466</v>
      </c>
      <c r="E333" s="222" t="s">
        <v>1070</v>
      </c>
      <c r="F333" s="222" t="s">
        <v>1246</v>
      </c>
      <c r="G333" s="223" t="s">
        <v>2135</v>
      </c>
      <c r="H333" s="244"/>
      <c r="K333" s="17"/>
      <c r="XFC333" s="20"/>
    </row>
    <row r="334" spans="1:11 16383:16383" x14ac:dyDescent="0.2">
      <c r="A334" s="139" t="s">
        <v>2769</v>
      </c>
      <c r="B334" s="136" t="s">
        <v>106</v>
      </c>
      <c r="C334" s="136" t="s">
        <v>466</v>
      </c>
      <c r="D334" s="207" t="s">
        <v>2770</v>
      </c>
      <c r="E334" s="207" t="s">
        <v>1070</v>
      </c>
      <c r="F334" s="207" t="s">
        <v>1246</v>
      </c>
      <c r="G334" s="208" t="s">
        <v>2771</v>
      </c>
      <c r="H334" s="244"/>
      <c r="K334" s="17"/>
      <c r="XFC334" s="20"/>
    </row>
    <row r="335" spans="1:11 16383:16383" x14ac:dyDescent="0.2">
      <c r="A335" s="139" t="s">
        <v>1378</v>
      </c>
      <c r="B335" s="136" t="s">
        <v>106</v>
      </c>
      <c r="C335" s="136" t="s">
        <v>453</v>
      </c>
      <c r="D335" s="207" t="s">
        <v>452</v>
      </c>
      <c r="E335" s="207" t="s">
        <v>1068</v>
      </c>
      <c r="F335" s="207" t="s">
        <v>1246</v>
      </c>
      <c r="G335" s="208" t="s">
        <v>2136</v>
      </c>
      <c r="H335" s="244"/>
      <c r="K335" s="17"/>
      <c r="XFC335" s="20"/>
    </row>
    <row r="336" spans="1:11 16383:16383" x14ac:dyDescent="0.2">
      <c r="A336" s="139" t="s">
        <v>1758</v>
      </c>
      <c r="B336" s="136" t="s">
        <v>106</v>
      </c>
      <c r="C336" s="136" t="s">
        <v>453</v>
      </c>
      <c r="D336" s="136" t="s">
        <v>453</v>
      </c>
      <c r="E336" s="136" t="s">
        <v>1068</v>
      </c>
      <c r="F336" s="136" t="s">
        <v>1246</v>
      </c>
      <c r="G336" s="139" t="s">
        <v>2137</v>
      </c>
      <c r="H336" s="244"/>
      <c r="K336" s="17"/>
      <c r="XFC336" s="20"/>
    </row>
    <row r="337" spans="1:11 16383:16383" x14ac:dyDescent="0.2">
      <c r="A337" s="139" t="s">
        <v>2809</v>
      </c>
      <c r="B337" s="136" t="s">
        <v>106</v>
      </c>
      <c r="C337" s="136" t="s">
        <v>453</v>
      </c>
      <c r="D337" s="207" t="s">
        <v>2810</v>
      </c>
      <c r="E337" s="207" t="s">
        <v>1068</v>
      </c>
      <c r="F337" s="207" t="s">
        <v>1246</v>
      </c>
      <c r="G337" s="208" t="s">
        <v>2811</v>
      </c>
      <c r="H337" s="244"/>
      <c r="K337" s="17"/>
      <c r="XFC337" s="20"/>
    </row>
    <row r="338" spans="1:11 16383:16383" x14ac:dyDescent="0.2">
      <c r="A338" s="139" t="s">
        <v>1379</v>
      </c>
      <c r="B338" s="136" t="s">
        <v>107</v>
      </c>
      <c r="C338" s="136" t="s">
        <v>472</v>
      </c>
      <c r="D338" s="207" t="s">
        <v>472</v>
      </c>
      <c r="E338" s="207" t="s">
        <v>1071</v>
      </c>
      <c r="F338" s="207" t="s">
        <v>880</v>
      </c>
      <c r="G338" s="208" t="s">
        <v>2138</v>
      </c>
      <c r="H338" s="244"/>
      <c r="K338" s="17"/>
      <c r="XFC338" s="20"/>
    </row>
    <row r="339" spans="1:11 16383:16383" x14ac:dyDescent="0.2">
      <c r="A339" s="139" t="s">
        <v>1380</v>
      </c>
      <c r="B339" s="136" t="s">
        <v>107</v>
      </c>
      <c r="C339" s="136" t="s">
        <v>476</v>
      </c>
      <c r="D339" s="207" t="s">
        <v>476</v>
      </c>
      <c r="E339" s="207" t="s">
        <v>1075</v>
      </c>
      <c r="F339" s="207" t="s">
        <v>880</v>
      </c>
      <c r="G339" s="208" t="s">
        <v>2139</v>
      </c>
      <c r="H339" s="244"/>
      <c r="K339" s="17"/>
      <c r="XFC339" s="20"/>
    </row>
    <row r="340" spans="1:11 16383:16383" x14ac:dyDescent="0.2">
      <c r="A340" s="139" t="s">
        <v>3051</v>
      </c>
      <c r="B340" s="136" t="s">
        <v>107</v>
      </c>
      <c r="C340" s="136" t="s">
        <v>476</v>
      </c>
      <c r="D340" s="224" t="s">
        <v>3043</v>
      </c>
      <c r="E340" s="224" t="s">
        <v>1075</v>
      </c>
      <c r="F340" s="224" t="s">
        <v>880</v>
      </c>
      <c r="G340" s="208" t="s">
        <v>3049</v>
      </c>
      <c r="H340" s="244"/>
      <c r="K340" s="17"/>
      <c r="XFC340" s="20"/>
    </row>
    <row r="341" spans="1:11 16383:16383" x14ac:dyDescent="0.2">
      <c r="A341" s="139" t="s">
        <v>3357</v>
      </c>
      <c r="B341" s="136" t="s">
        <v>107</v>
      </c>
      <c r="C341" s="136" t="s">
        <v>476</v>
      </c>
      <c r="D341" s="224" t="s">
        <v>3358</v>
      </c>
      <c r="E341" s="224" t="s">
        <v>1075</v>
      </c>
      <c r="F341" s="224" t="s">
        <v>880</v>
      </c>
      <c r="G341" s="208" t="s">
        <v>3359</v>
      </c>
      <c r="H341" s="244"/>
      <c r="K341" s="17"/>
      <c r="XFC341" s="20"/>
    </row>
    <row r="342" spans="1:11 16383:16383" x14ac:dyDescent="0.2">
      <c r="A342" s="139" t="s">
        <v>3066</v>
      </c>
      <c r="B342" s="136" t="s">
        <v>107</v>
      </c>
      <c r="C342" s="136" t="s">
        <v>3045</v>
      </c>
      <c r="D342" s="224" t="s">
        <v>3042</v>
      </c>
      <c r="E342" s="224" t="s">
        <v>3232</v>
      </c>
      <c r="F342" s="224" t="s">
        <v>880</v>
      </c>
      <c r="G342" s="208" t="s">
        <v>3048</v>
      </c>
      <c r="H342" s="244"/>
      <c r="K342" s="17"/>
      <c r="XFC342" s="20"/>
    </row>
    <row r="343" spans="1:11 16383:16383" x14ac:dyDescent="0.2">
      <c r="A343" s="139" t="s">
        <v>1381</v>
      </c>
      <c r="B343" s="136" t="s">
        <v>107</v>
      </c>
      <c r="C343" s="136" t="s">
        <v>479</v>
      </c>
      <c r="D343" s="207" t="s">
        <v>479</v>
      </c>
      <c r="E343" s="207" t="s">
        <v>1078</v>
      </c>
      <c r="F343" s="207" t="s">
        <v>880</v>
      </c>
      <c r="G343" s="208" t="s">
        <v>2140</v>
      </c>
      <c r="H343" s="244"/>
      <c r="K343" s="17"/>
      <c r="XFC343" s="20"/>
    </row>
    <row r="344" spans="1:11 16383:16383" x14ac:dyDescent="0.2">
      <c r="A344" s="209" t="s">
        <v>3681</v>
      </c>
      <c r="B344" s="210" t="s">
        <v>107</v>
      </c>
      <c r="C344" s="210" t="s">
        <v>479</v>
      </c>
      <c r="D344" s="211" t="s">
        <v>3683</v>
      </c>
      <c r="E344" s="211" t="s">
        <v>1078</v>
      </c>
      <c r="F344" s="211" t="s">
        <v>880</v>
      </c>
      <c r="G344" s="212" t="s">
        <v>3682</v>
      </c>
      <c r="H344" s="244"/>
      <c r="K344" s="17"/>
      <c r="XFC344" s="20"/>
    </row>
    <row r="345" spans="1:11 16383:16383" x14ac:dyDescent="0.2">
      <c r="A345" s="139" t="s">
        <v>1382</v>
      </c>
      <c r="B345" s="136" t="s">
        <v>107</v>
      </c>
      <c r="C345" s="136" t="s">
        <v>480</v>
      </c>
      <c r="D345" s="207" t="s">
        <v>480</v>
      </c>
      <c r="E345" s="207" t="s">
        <v>1079</v>
      </c>
      <c r="F345" s="207" t="s">
        <v>880</v>
      </c>
      <c r="G345" s="208" t="s">
        <v>2141</v>
      </c>
      <c r="H345" s="244"/>
      <c r="K345" s="17"/>
      <c r="XFC345" s="20"/>
    </row>
    <row r="346" spans="1:11 16383:16383" x14ac:dyDescent="0.2">
      <c r="A346" s="139" t="s">
        <v>3050</v>
      </c>
      <c r="B346" s="136" t="s">
        <v>107</v>
      </c>
      <c r="C346" s="136" t="s">
        <v>480</v>
      </c>
      <c r="D346" s="207" t="s">
        <v>3040</v>
      </c>
      <c r="E346" s="207" t="s">
        <v>1079</v>
      </c>
      <c r="F346" s="207" t="s">
        <v>880</v>
      </c>
      <c r="G346" s="208" t="s">
        <v>3046</v>
      </c>
      <c r="H346" s="244"/>
      <c r="K346" s="17"/>
      <c r="XFC346" s="20"/>
    </row>
    <row r="347" spans="1:11 16383:16383" x14ac:dyDescent="0.2">
      <c r="A347" s="139" t="s">
        <v>1383</v>
      </c>
      <c r="B347" s="136" t="s">
        <v>107</v>
      </c>
      <c r="C347" s="136" t="s">
        <v>473</v>
      </c>
      <c r="D347" s="207" t="s">
        <v>473</v>
      </c>
      <c r="E347" s="207" t="s">
        <v>1072</v>
      </c>
      <c r="F347" s="207" t="s">
        <v>880</v>
      </c>
      <c r="G347" s="208" t="s">
        <v>2142</v>
      </c>
      <c r="H347" s="244"/>
      <c r="K347" s="17"/>
      <c r="XFC347" s="20"/>
    </row>
    <row r="348" spans="1:11 16383:16383" x14ac:dyDescent="0.2">
      <c r="A348" s="139" t="s">
        <v>1384</v>
      </c>
      <c r="B348" s="136" t="s">
        <v>107</v>
      </c>
      <c r="C348" s="136" t="s">
        <v>478</v>
      </c>
      <c r="D348" s="207" t="s">
        <v>478</v>
      </c>
      <c r="E348" s="207" t="s">
        <v>1077</v>
      </c>
      <c r="F348" s="207" t="s">
        <v>880</v>
      </c>
      <c r="G348" s="208" t="s">
        <v>2143</v>
      </c>
      <c r="H348" s="244"/>
      <c r="K348" s="17"/>
      <c r="XFC348" s="20"/>
    </row>
    <row r="349" spans="1:11 16383:16383" x14ac:dyDescent="0.2">
      <c r="A349" s="139" t="s">
        <v>1385</v>
      </c>
      <c r="B349" s="136" t="s">
        <v>107</v>
      </c>
      <c r="C349" s="136" t="s">
        <v>475</v>
      </c>
      <c r="D349" s="207" t="s">
        <v>475</v>
      </c>
      <c r="E349" s="207" t="s">
        <v>1074</v>
      </c>
      <c r="F349" s="207" t="s">
        <v>880</v>
      </c>
      <c r="G349" s="208" t="s">
        <v>2144</v>
      </c>
      <c r="H349" s="244"/>
      <c r="K349" s="17"/>
      <c r="XFC349" s="20"/>
    </row>
    <row r="350" spans="1:11 16383:16383" x14ac:dyDescent="0.2">
      <c r="A350" s="139" t="s">
        <v>3065</v>
      </c>
      <c r="B350" s="136" t="s">
        <v>107</v>
      </c>
      <c r="C350" s="136" t="s">
        <v>3044</v>
      </c>
      <c r="D350" s="207" t="s">
        <v>3041</v>
      </c>
      <c r="E350" s="207" t="s">
        <v>3233</v>
      </c>
      <c r="F350" s="207" t="s">
        <v>880</v>
      </c>
      <c r="G350" s="208" t="s">
        <v>3047</v>
      </c>
      <c r="H350" s="244"/>
      <c r="K350" s="17"/>
      <c r="XFC350" s="20"/>
    </row>
    <row r="351" spans="1:11 16383:16383" x14ac:dyDescent="0.2">
      <c r="A351" s="139" t="s">
        <v>2933</v>
      </c>
      <c r="B351" s="136" t="s">
        <v>107</v>
      </c>
      <c r="C351" s="136" t="s">
        <v>2935</v>
      </c>
      <c r="D351" s="207" t="s">
        <v>2934</v>
      </c>
      <c r="E351" s="207" t="s">
        <v>934</v>
      </c>
      <c r="F351" s="207" t="s">
        <v>880</v>
      </c>
      <c r="G351" s="208" t="s">
        <v>2936</v>
      </c>
      <c r="H351" s="244"/>
      <c r="K351" s="17"/>
      <c r="XFC351" s="20"/>
    </row>
    <row r="352" spans="1:11 16383:16383" x14ac:dyDescent="0.2">
      <c r="A352" s="139" t="s">
        <v>1386</v>
      </c>
      <c r="B352" s="136" t="s">
        <v>107</v>
      </c>
      <c r="C352" s="136" t="s">
        <v>477</v>
      </c>
      <c r="D352" s="136" t="s">
        <v>477</v>
      </c>
      <c r="E352" s="136" t="s">
        <v>1076</v>
      </c>
      <c r="F352" s="136" t="s">
        <v>880</v>
      </c>
      <c r="G352" s="139" t="s">
        <v>2145</v>
      </c>
      <c r="H352" s="244"/>
      <c r="K352" s="17"/>
      <c r="XFC352" s="20"/>
    </row>
    <row r="353" spans="1:11 16383:16383" x14ac:dyDescent="0.2">
      <c r="A353" s="139" t="s">
        <v>1387</v>
      </c>
      <c r="B353" s="136" t="s">
        <v>107</v>
      </c>
      <c r="C353" s="136" t="s">
        <v>474</v>
      </c>
      <c r="D353" s="207" t="s">
        <v>474</v>
      </c>
      <c r="E353" s="207" t="s">
        <v>1073</v>
      </c>
      <c r="F353" s="207" t="s">
        <v>880</v>
      </c>
      <c r="G353" s="208" t="s">
        <v>2146</v>
      </c>
      <c r="H353" s="244"/>
      <c r="K353" s="17"/>
      <c r="XFC353" s="20"/>
    </row>
    <row r="354" spans="1:11 16383:16383" x14ac:dyDescent="0.2">
      <c r="A354" s="139" t="s">
        <v>2930</v>
      </c>
      <c r="B354" s="136" t="s">
        <v>107</v>
      </c>
      <c r="C354" s="136" t="s">
        <v>474</v>
      </c>
      <c r="D354" s="207" t="s">
        <v>2931</v>
      </c>
      <c r="E354" s="207" t="s">
        <v>1073</v>
      </c>
      <c r="F354" s="207" t="s">
        <v>880</v>
      </c>
      <c r="G354" s="208" t="s">
        <v>2932</v>
      </c>
      <c r="H354" s="244"/>
      <c r="K354" s="17"/>
      <c r="XFC354" s="20"/>
    </row>
    <row r="355" spans="1:11 16383:16383" x14ac:dyDescent="0.2">
      <c r="A355" s="139" t="s">
        <v>1388</v>
      </c>
      <c r="B355" s="136" t="s">
        <v>107</v>
      </c>
      <c r="C355" s="213" t="s">
        <v>471</v>
      </c>
      <c r="D355" s="213" t="s">
        <v>471</v>
      </c>
      <c r="E355" s="213" t="s">
        <v>911</v>
      </c>
      <c r="F355" s="213" t="s">
        <v>880</v>
      </c>
      <c r="G355" s="208" t="s">
        <v>2147</v>
      </c>
      <c r="H355" s="244"/>
      <c r="K355" s="17"/>
      <c r="XFC355" s="20"/>
    </row>
    <row r="356" spans="1:11 16383:16383" x14ac:dyDescent="0.2">
      <c r="A356" s="139" t="s">
        <v>3465</v>
      </c>
      <c r="B356" s="136" t="s">
        <v>107</v>
      </c>
      <c r="C356" s="213" t="s">
        <v>471</v>
      </c>
      <c r="D356" s="213" t="s">
        <v>3552</v>
      </c>
      <c r="E356" s="213" t="s">
        <v>911</v>
      </c>
      <c r="F356" s="213" t="s">
        <v>880</v>
      </c>
      <c r="G356" s="208" t="s">
        <v>3553</v>
      </c>
      <c r="H356" s="244"/>
      <c r="K356" s="17"/>
      <c r="XFC356" s="20"/>
    </row>
    <row r="357" spans="1:11 16383:16383" x14ac:dyDescent="0.2">
      <c r="A357" s="209" t="s">
        <v>3693</v>
      </c>
      <c r="B357" s="210" t="s">
        <v>107</v>
      </c>
      <c r="C357" s="225" t="s">
        <v>471</v>
      </c>
      <c r="D357" s="225" t="s">
        <v>3694</v>
      </c>
      <c r="E357" s="225" t="s">
        <v>911</v>
      </c>
      <c r="F357" s="225" t="s">
        <v>880</v>
      </c>
      <c r="G357" s="212" t="s">
        <v>3695</v>
      </c>
      <c r="H357" s="244"/>
      <c r="K357" s="17"/>
      <c r="XFC357" s="20"/>
    </row>
    <row r="358" spans="1:11 16383:16383" x14ac:dyDescent="0.2">
      <c r="A358" s="139" t="s">
        <v>2998</v>
      </c>
      <c r="B358" s="136" t="s">
        <v>107</v>
      </c>
      <c r="C358" s="136" t="s">
        <v>2995</v>
      </c>
      <c r="D358" s="207" t="s">
        <v>2996</v>
      </c>
      <c r="E358" s="207" t="s">
        <v>3234</v>
      </c>
      <c r="F358" s="207" t="s">
        <v>880</v>
      </c>
      <c r="G358" s="208" t="s">
        <v>2997</v>
      </c>
      <c r="H358" s="244"/>
      <c r="K358" s="17"/>
      <c r="XFC358" s="20"/>
    </row>
    <row r="359" spans="1:11 16383:16383" x14ac:dyDescent="0.2">
      <c r="A359" s="139" t="s">
        <v>2526</v>
      </c>
      <c r="B359" s="136" t="s">
        <v>111</v>
      </c>
      <c r="C359" s="136" t="s">
        <v>2711</v>
      </c>
      <c r="D359" s="207" t="s">
        <v>2529</v>
      </c>
      <c r="E359" s="207" t="s">
        <v>3241</v>
      </c>
      <c r="F359" s="207" t="s">
        <v>1249</v>
      </c>
      <c r="G359" s="208" t="s">
        <v>2529</v>
      </c>
      <c r="H359" s="244"/>
      <c r="K359" s="17"/>
      <c r="XFC359" s="20"/>
    </row>
    <row r="360" spans="1:11 16383:16383" x14ac:dyDescent="0.2">
      <c r="A360" s="139" t="s">
        <v>1389</v>
      </c>
      <c r="B360" s="136" t="s">
        <v>111</v>
      </c>
      <c r="C360" s="136" t="s">
        <v>587</v>
      </c>
      <c r="D360" s="207" t="s">
        <v>2148</v>
      </c>
      <c r="E360" s="207" t="s">
        <v>926</v>
      </c>
      <c r="F360" s="207" t="s">
        <v>1249</v>
      </c>
      <c r="G360" s="208" t="s">
        <v>2148</v>
      </c>
      <c r="H360" s="244"/>
      <c r="K360" s="17"/>
      <c r="XFC360" s="20"/>
    </row>
    <row r="361" spans="1:11 16383:16383" x14ac:dyDescent="0.2">
      <c r="A361" s="209" t="s">
        <v>3645</v>
      </c>
      <c r="B361" s="210" t="s">
        <v>111</v>
      </c>
      <c r="C361" s="210" t="s">
        <v>3642</v>
      </c>
      <c r="D361" s="211" t="s">
        <v>3643</v>
      </c>
      <c r="E361" s="211" t="s">
        <v>3189</v>
      </c>
      <c r="F361" s="211" t="s">
        <v>1249</v>
      </c>
      <c r="G361" s="212" t="s">
        <v>3644</v>
      </c>
      <c r="H361" s="244"/>
      <c r="K361" s="17"/>
      <c r="XFC361" s="20"/>
    </row>
    <row r="362" spans="1:11 16383:16383" x14ac:dyDescent="0.2">
      <c r="A362" s="139" t="s">
        <v>2482</v>
      </c>
      <c r="B362" s="136" t="s">
        <v>111</v>
      </c>
      <c r="C362" s="136" t="s">
        <v>587</v>
      </c>
      <c r="D362" s="207" t="s">
        <v>2483</v>
      </c>
      <c r="E362" s="207" t="s">
        <v>926</v>
      </c>
      <c r="F362" s="207" t="s">
        <v>1249</v>
      </c>
      <c r="G362" s="208" t="s">
        <v>2483</v>
      </c>
      <c r="H362" s="244"/>
      <c r="K362" s="17"/>
      <c r="XFC362" s="20"/>
    </row>
    <row r="363" spans="1:11 16383:16383" x14ac:dyDescent="0.2">
      <c r="A363" s="139" t="s">
        <v>2527</v>
      </c>
      <c r="B363" s="136" t="s">
        <v>111</v>
      </c>
      <c r="C363" s="136" t="s">
        <v>2710</v>
      </c>
      <c r="D363" s="207" t="s">
        <v>2528</v>
      </c>
      <c r="E363" s="207" t="s">
        <v>3242</v>
      </c>
      <c r="F363" s="207" t="s">
        <v>1249</v>
      </c>
      <c r="G363" s="208" t="s">
        <v>2528</v>
      </c>
      <c r="H363" s="244"/>
      <c r="K363" s="17"/>
      <c r="XFC363" s="20"/>
    </row>
    <row r="364" spans="1:11 16383:16383" x14ac:dyDescent="0.2">
      <c r="A364" s="139" t="s">
        <v>1390</v>
      </c>
      <c r="B364" s="136" t="s">
        <v>109</v>
      </c>
      <c r="C364" s="136" t="s">
        <v>507</v>
      </c>
      <c r="D364" s="207" t="s">
        <v>505</v>
      </c>
      <c r="E364" s="207" t="s">
        <v>1092</v>
      </c>
      <c r="F364" s="207" t="s">
        <v>1247</v>
      </c>
      <c r="G364" s="208" t="s">
        <v>505</v>
      </c>
      <c r="H364" s="244"/>
      <c r="K364" s="17"/>
      <c r="XFC364" s="20"/>
    </row>
    <row r="365" spans="1:11 16383:16383" x14ac:dyDescent="0.2">
      <c r="A365" s="139" t="s">
        <v>1755</v>
      </c>
      <c r="B365" s="136" t="s">
        <v>109</v>
      </c>
      <c r="C365" s="136" t="s">
        <v>507</v>
      </c>
      <c r="D365" s="136" t="s">
        <v>506</v>
      </c>
      <c r="E365" s="136" t="s">
        <v>1092</v>
      </c>
      <c r="F365" s="136" t="s">
        <v>1247</v>
      </c>
      <c r="G365" s="208" t="s">
        <v>506</v>
      </c>
      <c r="H365" s="244"/>
      <c r="K365" s="17"/>
      <c r="XFC365" s="20"/>
    </row>
    <row r="366" spans="1:11 16383:16383" x14ac:dyDescent="0.2">
      <c r="A366" s="139" t="s">
        <v>1391</v>
      </c>
      <c r="B366" s="136" t="s">
        <v>109</v>
      </c>
      <c r="C366" s="136" t="s">
        <v>2929</v>
      </c>
      <c r="D366" s="207" t="s">
        <v>508</v>
      </c>
      <c r="E366" s="207" t="s">
        <v>1093</v>
      </c>
      <c r="F366" s="207" t="s">
        <v>1247</v>
      </c>
      <c r="G366" s="208" t="s">
        <v>508</v>
      </c>
      <c r="H366" s="244"/>
      <c r="K366" s="17"/>
      <c r="XFC366" s="20"/>
    </row>
    <row r="367" spans="1:11 16383:16383" x14ac:dyDescent="0.2">
      <c r="A367" s="139" t="s">
        <v>2946</v>
      </c>
      <c r="B367" s="136" t="s">
        <v>109</v>
      </c>
      <c r="C367" s="136" t="s">
        <v>2947</v>
      </c>
      <c r="D367" s="207" t="s">
        <v>2948</v>
      </c>
      <c r="E367" s="207" t="s">
        <v>1093</v>
      </c>
      <c r="F367" s="207" t="s">
        <v>1247</v>
      </c>
      <c r="G367" s="208" t="s">
        <v>2948</v>
      </c>
      <c r="H367" s="244"/>
      <c r="K367" s="17"/>
      <c r="XFC367" s="20"/>
    </row>
    <row r="368" spans="1:11 16383:16383" x14ac:dyDescent="0.2">
      <c r="A368" s="139" t="s">
        <v>1392</v>
      </c>
      <c r="B368" s="136" t="s">
        <v>109</v>
      </c>
      <c r="C368" s="136" t="s">
        <v>917</v>
      </c>
      <c r="D368" s="207" t="s">
        <v>503</v>
      </c>
      <c r="E368" s="207" t="s">
        <v>1091</v>
      </c>
      <c r="F368" s="207" t="s">
        <v>1247</v>
      </c>
      <c r="G368" s="208" t="s">
        <v>503</v>
      </c>
      <c r="H368" s="244"/>
      <c r="K368" s="17"/>
      <c r="XFC368" s="20"/>
    </row>
    <row r="369" spans="1:11 16383:16383" x14ac:dyDescent="0.2">
      <c r="A369" s="139" t="s">
        <v>1751</v>
      </c>
      <c r="B369" s="136" t="s">
        <v>109</v>
      </c>
      <c r="C369" s="136" t="s">
        <v>917</v>
      </c>
      <c r="D369" s="136" t="s">
        <v>504</v>
      </c>
      <c r="E369" s="136" t="s">
        <v>1091</v>
      </c>
      <c r="F369" s="136" t="s">
        <v>1247</v>
      </c>
      <c r="G369" s="208" t="s">
        <v>504</v>
      </c>
      <c r="H369" s="244"/>
      <c r="K369" s="17"/>
      <c r="XFC369" s="20"/>
    </row>
    <row r="370" spans="1:11 16383:16383" x14ac:dyDescent="0.2">
      <c r="A370" s="139" t="s">
        <v>3466</v>
      </c>
      <c r="B370" s="136" t="s">
        <v>109</v>
      </c>
      <c r="C370" s="136" t="s">
        <v>917</v>
      </c>
      <c r="D370" s="207" t="s">
        <v>3554</v>
      </c>
      <c r="E370" s="207" t="s">
        <v>1091</v>
      </c>
      <c r="F370" s="207" t="s">
        <v>1247</v>
      </c>
      <c r="G370" s="208" t="s">
        <v>3555</v>
      </c>
      <c r="H370" s="244"/>
      <c r="K370" s="17"/>
      <c r="XFC370" s="20"/>
    </row>
    <row r="371" spans="1:11 16383:16383" x14ac:dyDescent="0.2">
      <c r="A371" s="139" t="s">
        <v>1393</v>
      </c>
      <c r="B371" s="136" t="s">
        <v>109</v>
      </c>
      <c r="C371" s="136" t="s">
        <v>2149</v>
      </c>
      <c r="D371" s="207" t="s">
        <v>509</v>
      </c>
      <c r="E371" s="207" t="s">
        <v>1094</v>
      </c>
      <c r="F371" s="207" t="s">
        <v>1247</v>
      </c>
      <c r="G371" s="208" t="s">
        <v>509</v>
      </c>
      <c r="H371" s="244"/>
      <c r="K371" s="17"/>
      <c r="XFC371" s="20"/>
    </row>
    <row r="372" spans="1:11 16383:16383" x14ac:dyDescent="0.2">
      <c r="A372" s="139" t="s">
        <v>1752</v>
      </c>
      <c r="B372" s="136" t="s">
        <v>109</v>
      </c>
      <c r="C372" s="136" t="s">
        <v>2149</v>
      </c>
      <c r="D372" s="207" t="s">
        <v>510</v>
      </c>
      <c r="E372" s="207" t="s">
        <v>1094</v>
      </c>
      <c r="F372" s="207" t="s">
        <v>1247</v>
      </c>
      <c r="G372" s="208" t="s">
        <v>510</v>
      </c>
      <c r="H372" s="244"/>
      <c r="K372" s="17"/>
      <c r="XFC372" s="20"/>
    </row>
    <row r="373" spans="1:11 16383:16383" x14ac:dyDescent="0.2">
      <c r="A373" s="139" t="s">
        <v>1753</v>
      </c>
      <c r="B373" s="136" t="s">
        <v>109</v>
      </c>
      <c r="C373" s="136" t="s">
        <v>2149</v>
      </c>
      <c r="D373" s="207" t="s">
        <v>511</v>
      </c>
      <c r="E373" s="207" t="s">
        <v>1094</v>
      </c>
      <c r="F373" s="207" t="s">
        <v>1247</v>
      </c>
      <c r="G373" s="208" t="s">
        <v>511</v>
      </c>
      <c r="H373" s="244"/>
      <c r="K373" s="17"/>
      <c r="XFC373" s="20"/>
    </row>
    <row r="374" spans="1:11 16383:16383" x14ac:dyDescent="0.2">
      <c r="A374" s="139" t="s">
        <v>3467</v>
      </c>
      <c r="B374" s="136" t="s">
        <v>109</v>
      </c>
      <c r="C374" s="136" t="s">
        <v>2149</v>
      </c>
      <c r="D374" s="207" t="s">
        <v>3556</v>
      </c>
      <c r="E374" s="207" t="s">
        <v>1094</v>
      </c>
      <c r="F374" s="207" t="s">
        <v>1247</v>
      </c>
      <c r="G374" s="208" t="s">
        <v>3557</v>
      </c>
      <c r="H374" s="244"/>
      <c r="K374" s="17"/>
      <c r="XFC374" s="20"/>
    </row>
    <row r="375" spans="1:11 16383:16383" x14ac:dyDescent="0.2">
      <c r="A375" s="139" t="s">
        <v>1394</v>
      </c>
      <c r="B375" s="136" t="s">
        <v>109</v>
      </c>
      <c r="C375" s="136" t="s">
        <v>2150</v>
      </c>
      <c r="D375" s="207" t="s">
        <v>512</v>
      </c>
      <c r="E375" s="207" t="s">
        <v>1095</v>
      </c>
      <c r="F375" s="207" t="s">
        <v>1247</v>
      </c>
      <c r="G375" s="208" t="s">
        <v>512</v>
      </c>
      <c r="H375" s="244"/>
      <c r="K375" s="17"/>
      <c r="XFC375" s="20"/>
    </row>
    <row r="376" spans="1:11 16383:16383" x14ac:dyDescent="0.2">
      <c r="A376" s="139" t="s">
        <v>1754</v>
      </c>
      <c r="B376" s="136" t="s">
        <v>109</v>
      </c>
      <c r="C376" s="136" t="s">
        <v>2150</v>
      </c>
      <c r="D376" s="207" t="s">
        <v>513</v>
      </c>
      <c r="E376" s="207" t="s">
        <v>1095</v>
      </c>
      <c r="F376" s="207" t="s">
        <v>1247</v>
      </c>
      <c r="G376" s="208" t="s">
        <v>513</v>
      </c>
      <c r="H376" s="244"/>
      <c r="K376" s="17"/>
      <c r="XFC376" s="20"/>
    </row>
    <row r="377" spans="1:11 16383:16383" x14ac:dyDescent="0.2">
      <c r="A377" s="139" t="s">
        <v>1395</v>
      </c>
      <c r="B377" s="136" t="s">
        <v>109</v>
      </c>
      <c r="C377" s="136" t="s">
        <v>2151</v>
      </c>
      <c r="D377" s="207" t="s">
        <v>515</v>
      </c>
      <c r="E377" s="207" t="s">
        <v>1097</v>
      </c>
      <c r="F377" s="207" t="s">
        <v>1247</v>
      </c>
      <c r="G377" s="208" t="s">
        <v>515</v>
      </c>
      <c r="H377" s="244"/>
      <c r="K377" s="17"/>
      <c r="XFC377" s="20"/>
    </row>
    <row r="378" spans="1:11 16383:16383" x14ac:dyDescent="0.2">
      <c r="A378" s="139" t="s">
        <v>1396</v>
      </c>
      <c r="B378" s="136" t="s">
        <v>109</v>
      </c>
      <c r="C378" s="136" t="s">
        <v>2152</v>
      </c>
      <c r="D378" s="207" t="s">
        <v>514</v>
      </c>
      <c r="E378" s="207" t="s">
        <v>1096</v>
      </c>
      <c r="F378" s="207" t="s">
        <v>1247</v>
      </c>
      <c r="G378" s="208" t="s">
        <v>514</v>
      </c>
      <c r="H378" s="244"/>
      <c r="K378" s="17"/>
      <c r="XFC378" s="20"/>
    </row>
    <row r="379" spans="1:11 16383:16383" x14ac:dyDescent="0.2">
      <c r="A379" s="139" t="s">
        <v>1397</v>
      </c>
      <c r="B379" s="136" t="s">
        <v>109</v>
      </c>
      <c r="C379" s="136" t="s">
        <v>2153</v>
      </c>
      <c r="D379" s="207" t="s">
        <v>516</v>
      </c>
      <c r="E379" s="207" t="s">
        <v>1098</v>
      </c>
      <c r="F379" s="207" t="s">
        <v>1247</v>
      </c>
      <c r="G379" s="208" t="s">
        <v>516</v>
      </c>
      <c r="H379" s="244"/>
      <c r="K379" s="17"/>
      <c r="XFC379" s="20"/>
    </row>
    <row r="380" spans="1:11 16383:16383" x14ac:dyDescent="0.2">
      <c r="A380" s="139" t="s">
        <v>1748</v>
      </c>
      <c r="B380" s="136" t="s">
        <v>109</v>
      </c>
      <c r="C380" s="136" t="s">
        <v>2153</v>
      </c>
      <c r="D380" s="207" t="s">
        <v>517</v>
      </c>
      <c r="E380" s="207" t="s">
        <v>1098</v>
      </c>
      <c r="F380" s="207" t="s">
        <v>1247</v>
      </c>
      <c r="G380" s="208" t="e">
        <v>#N/A</v>
      </c>
      <c r="H380" s="244"/>
      <c r="K380" s="17"/>
      <c r="XFC380" s="20"/>
    </row>
    <row r="381" spans="1:11 16383:16383" x14ac:dyDescent="0.2">
      <c r="A381" s="139" t="s">
        <v>1749</v>
      </c>
      <c r="B381" s="136" t="s">
        <v>109</v>
      </c>
      <c r="C381" s="136" t="s">
        <v>2153</v>
      </c>
      <c r="D381" s="207" t="s">
        <v>1905</v>
      </c>
      <c r="E381" s="207" t="s">
        <v>1098</v>
      </c>
      <c r="F381" s="207" t="s">
        <v>1247</v>
      </c>
      <c r="G381" s="208" t="s">
        <v>1905</v>
      </c>
      <c r="H381" s="244"/>
      <c r="K381" s="17"/>
      <c r="XFC381" s="20"/>
    </row>
    <row r="382" spans="1:11 16383:16383" x14ac:dyDescent="0.2">
      <c r="A382" s="139" t="s">
        <v>1398</v>
      </c>
      <c r="B382" s="136" t="s">
        <v>109</v>
      </c>
      <c r="C382" s="136" t="s">
        <v>2154</v>
      </c>
      <c r="D382" s="207" t="s">
        <v>518</v>
      </c>
      <c r="E382" s="207" t="s">
        <v>1099</v>
      </c>
      <c r="F382" s="207" t="s">
        <v>1247</v>
      </c>
      <c r="G382" s="208" t="s">
        <v>518</v>
      </c>
      <c r="H382" s="244"/>
      <c r="K382" s="17"/>
      <c r="XFC382" s="20"/>
    </row>
    <row r="383" spans="1:11 16383:16383" x14ac:dyDescent="0.2">
      <c r="A383" s="139" t="s">
        <v>1750</v>
      </c>
      <c r="B383" s="136" t="s">
        <v>109</v>
      </c>
      <c r="C383" s="136" t="s">
        <v>2154</v>
      </c>
      <c r="D383" s="207" t="s">
        <v>519</v>
      </c>
      <c r="E383" s="207" t="s">
        <v>1099</v>
      </c>
      <c r="F383" s="207" t="s">
        <v>1247</v>
      </c>
      <c r="G383" s="208" t="s">
        <v>519</v>
      </c>
      <c r="H383" s="244"/>
      <c r="K383" s="17"/>
      <c r="XFC383" s="20"/>
    </row>
    <row r="384" spans="1:11 16383:16383" x14ac:dyDescent="0.2">
      <c r="A384" s="139" t="s">
        <v>3468</v>
      </c>
      <c r="B384" s="136" t="s">
        <v>109</v>
      </c>
      <c r="C384" s="136" t="s">
        <v>2154</v>
      </c>
      <c r="D384" s="207" t="s">
        <v>3558</v>
      </c>
      <c r="E384" s="207" t="s">
        <v>1099</v>
      </c>
      <c r="F384" s="207" t="s">
        <v>1247</v>
      </c>
      <c r="G384" s="208" t="s">
        <v>3559</v>
      </c>
      <c r="H384" s="244"/>
      <c r="K384" s="17"/>
      <c r="XFC384" s="20"/>
    </row>
    <row r="385" spans="1:11 16383:16383" x14ac:dyDescent="0.2">
      <c r="A385" s="139" t="s">
        <v>1399</v>
      </c>
      <c r="B385" s="136" t="s">
        <v>109</v>
      </c>
      <c r="C385" s="136" t="s">
        <v>2155</v>
      </c>
      <c r="D385" s="207" t="s">
        <v>520</v>
      </c>
      <c r="E385" s="207" t="s">
        <v>1100</v>
      </c>
      <c r="F385" s="207" t="s">
        <v>1247</v>
      </c>
      <c r="G385" s="208" t="s">
        <v>520</v>
      </c>
      <c r="H385" s="244"/>
      <c r="K385" s="17"/>
      <c r="XFC385" s="20"/>
    </row>
    <row r="386" spans="1:11 16383:16383" x14ac:dyDescent="0.2">
      <c r="A386" s="139" t="s">
        <v>1400</v>
      </c>
      <c r="B386" s="136" t="s">
        <v>109</v>
      </c>
      <c r="C386" s="136" t="s">
        <v>2156</v>
      </c>
      <c r="D386" s="207" t="s">
        <v>521</v>
      </c>
      <c r="E386" s="207" t="s">
        <v>1101</v>
      </c>
      <c r="F386" s="207" t="s">
        <v>1247</v>
      </c>
      <c r="G386" s="208" t="s">
        <v>521</v>
      </c>
      <c r="H386" s="244"/>
      <c r="K386" s="17"/>
      <c r="XFC386" s="20"/>
    </row>
    <row r="387" spans="1:11 16383:16383" x14ac:dyDescent="0.2">
      <c r="A387" s="139" t="s">
        <v>1401</v>
      </c>
      <c r="B387" s="136" t="s">
        <v>109</v>
      </c>
      <c r="C387" s="136" t="s">
        <v>2157</v>
      </c>
      <c r="D387" s="207" t="s">
        <v>522</v>
      </c>
      <c r="E387" s="207" t="s">
        <v>1102</v>
      </c>
      <c r="F387" s="207" t="s">
        <v>1247</v>
      </c>
      <c r="G387" s="208" t="s">
        <v>522</v>
      </c>
      <c r="H387" s="244"/>
      <c r="K387" s="17"/>
      <c r="XFC387" s="20"/>
    </row>
    <row r="388" spans="1:11 16383:16383" x14ac:dyDescent="0.2">
      <c r="A388" s="139" t="s">
        <v>1402</v>
      </c>
      <c r="B388" s="136" t="s">
        <v>109</v>
      </c>
      <c r="C388" s="136" t="s">
        <v>2158</v>
      </c>
      <c r="D388" s="207" t="s">
        <v>523</v>
      </c>
      <c r="E388" s="207" t="s">
        <v>1103</v>
      </c>
      <c r="F388" s="207" t="s">
        <v>1247</v>
      </c>
      <c r="G388" s="208" t="s">
        <v>523</v>
      </c>
      <c r="H388" s="244"/>
      <c r="K388" s="17"/>
      <c r="XFC388" s="20"/>
    </row>
    <row r="389" spans="1:11 16383:16383" x14ac:dyDescent="0.2">
      <c r="A389" s="139" t="s">
        <v>1747</v>
      </c>
      <c r="B389" s="136" t="s">
        <v>109</v>
      </c>
      <c r="C389" s="136" t="s">
        <v>2158</v>
      </c>
      <c r="D389" s="207" t="s">
        <v>524</v>
      </c>
      <c r="E389" s="207" t="s">
        <v>1103</v>
      </c>
      <c r="F389" s="207" t="s">
        <v>1247</v>
      </c>
      <c r="G389" s="208" t="s">
        <v>524</v>
      </c>
      <c r="H389" s="244"/>
      <c r="K389" s="17"/>
      <c r="XFC389" s="20"/>
    </row>
    <row r="390" spans="1:11 16383:16383" x14ac:dyDescent="0.2">
      <c r="A390" s="139" t="s">
        <v>2943</v>
      </c>
      <c r="B390" s="136" t="s">
        <v>109</v>
      </c>
      <c r="C390" s="136" t="s">
        <v>2944</v>
      </c>
      <c r="D390" s="207" t="s">
        <v>2945</v>
      </c>
      <c r="E390" s="207" t="s">
        <v>1103</v>
      </c>
      <c r="F390" s="207" t="s">
        <v>1247</v>
      </c>
      <c r="G390" s="208" t="e">
        <v>#N/A</v>
      </c>
      <c r="H390" s="244"/>
      <c r="K390" s="17"/>
      <c r="XFC390" s="20"/>
    </row>
    <row r="391" spans="1:11 16383:16383" x14ac:dyDescent="0.2">
      <c r="A391" s="139" t="s">
        <v>1403</v>
      </c>
      <c r="B391" s="136" t="s">
        <v>109</v>
      </c>
      <c r="C391" s="136" t="s">
        <v>2159</v>
      </c>
      <c r="D391" s="207" t="s">
        <v>525</v>
      </c>
      <c r="E391" s="207" t="s">
        <v>1104</v>
      </c>
      <c r="F391" s="207" t="s">
        <v>1247</v>
      </c>
      <c r="G391" s="208" t="s">
        <v>525</v>
      </c>
      <c r="H391" s="244"/>
      <c r="K391" s="17"/>
      <c r="XFC391" s="20"/>
    </row>
    <row r="392" spans="1:11 16383:16383" x14ac:dyDescent="0.2">
      <c r="A392" s="139" t="s">
        <v>1404</v>
      </c>
      <c r="B392" s="136" t="s">
        <v>109</v>
      </c>
      <c r="C392" s="136" t="s">
        <v>2160</v>
      </c>
      <c r="D392" s="207" t="s">
        <v>526</v>
      </c>
      <c r="E392" s="207" t="s">
        <v>1105</v>
      </c>
      <c r="F392" s="207" t="s">
        <v>1247</v>
      </c>
      <c r="G392" s="208" t="s">
        <v>526</v>
      </c>
      <c r="H392" s="244"/>
      <c r="K392" s="17"/>
      <c r="XFC392" s="20"/>
    </row>
    <row r="393" spans="1:11 16383:16383" x14ac:dyDescent="0.2">
      <c r="A393" s="139" t="s">
        <v>1744</v>
      </c>
      <c r="B393" s="136" t="s">
        <v>109</v>
      </c>
      <c r="C393" s="136" t="s">
        <v>2160</v>
      </c>
      <c r="D393" s="207" t="s">
        <v>527</v>
      </c>
      <c r="E393" s="207" t="s">
        <v>1105</v>
      </c>
      <c r="F393" s="207" t="s">
        <v>1247</v>
      </c>
      <c r="G393" s="208" t="s">
        <v>527</v>
      </c>
      <c r="H393" s="244"/>
      <c r="K393" s="17"/>
      <c r="XFC393" s="20"/>
    </row>
    <row r="394" spans="1:11 16383:16383" x14ac:dyDescent="0.2">
      <c r="A394" s="139" t="s">
        <v>1745</v>
      </c>
      <c r="B394" s="136" t="s">
        <v>109</v>
      </c>
      <c r="C394" s="136" t="s">
        <v>2160</v>
      </c>
      <c r="D394" s="207" t="s">
        <v>528</v>
      </c>
      <c r="E394" s="207" t="s">
        <v>1105</v>
      </c>
      <c r="F394" s="207" t="s">
        <v>1247</v>
      </c>
      <c r="G394" s="208" t="s">
        <v>528</v>
      </c>
      <c r="H394" s="244"/>
      <c r="K394" s="17"/>
      <c r="XFC394" s="20"/>
    </row>
    <row r="395" spans="1:11 16383:16383" x14ac:dyDescent="0.2">
      <c r="A395" s="139" t="s">
        <v>1746</v>
      </c>
      <c r="B395" s="136" t="s">
        <v>109</v>
      </c>
      <c r="C395" s="136" t="s">
        <v>2160</v>
      </c>
      <c r="D395" s="207" t="s">
        <v>1914</v>
      </c>
      <c r="E395" s="207" t="s">
        <v>1105</v>
      </c>
      <c r="F395" s="207" t="s">
        <v>1247</v>
      </c>
      <c r="G395" s="208" t="s">
        <v>1914</v>
      </c>
      <c r="H395" s="244"/>
      <c r="K395" s="17"/>
      <c r="XFC395" s="20"/>
    </row>
    <row r="396" spans="1:11 16383:16383" x14ac:dyDescent="0.2">
      <c r="A396" s="139" t="s">
        <v>2452</v>
      </c>
      <c r="B396" s="136" t="s">
        <v>109</v>
      </c>
      <c r="C396" s="136" t="s">
        <v>2160</v>
      </c>
      <c r="D396" s="207" t="s">
        <v>2453</v>
      </c>
      <c r="E396" s="207" t="s">
        <v>1105</v>
      </c>
      <c r="F396" s="207" t="s">
        <v>1247</v>
      </c>
      <c r="G396" s="208" t="s">
        <v>2453</v>
      </c>
      <c r="H396" s="244"/>
      <c r="K396" s="17"/>
      <c r="XFC396" s="20"/>
    </row>
    <row r="397" spans="1:11 16383:16383" x14ac:dyDescent="0.2">
      <c r="A397" s="139" t="s">
        <v>3469</v>
      </c>
      <c r="B397" s="136" t="s">
        <v>109</v>
      </c>
      <c r="C397" s="136" t="s">
        <v>2160</v>
      </c>
      <c r="D397" s="207" t="s">
        <v>3560</v>
      </c>
      <c r="E397" s="207" t="s">
        <v>1105</v>
      </c>
      <c r="F397" s="207" t="s">
        <v>1247</v>
      </c>
      <c r="G397" s="208" t="s">
        <v>3561</v>
      </c>
      <c r="H397" s="244"/>
      <c r="K397" s="17"/>
      <c r="XFC397" s="20"/>
    </row>
    <row r="398" spans="1:11 16383:16383" x14ac:dyDescent="0.2">
      <c r="A398" s="139" t="s">
        <v>1405</v>
      </c>
      <c r="B398" s="136" t="s">
        <v>109</v>
      </c>
      <c r="C398" s="136" t="s">
        <v>2161</v>
      </c>
      <c r="D398" s="207" t="s">
        <v>529</v>
      </c>
      <c r="E398" s="207" t="s">
        <v>1106</v>
      </c>
      <c r="F398" s="207" t="s">
        <v>1247</v>
      </c>
      <c r="G398" s="208" t="s">
        <v>529</v>
      </c>
      <c r="H398" s="244"/>
      <c r="K398" s="17"/>
      <c r="XFC398" s="20"/>
    </row>
    <row r="399" spans="1:11 16383:16383" x14ac:dyDescent="0.2">
      <c r="A399" s="139" t="s">
        <v>1743</v>
      </c>
      <c r="B399" s="136" t="s">
        <v>109</v>
      </c>
      <c r="C399" s="136" t="s">
        <v>2161</v>
      </c>
      <c r="D399" s="207" t="s">
        <v>530</v>
      </c>
      <c r="E399" s="207" t="s">
        <v>1106</v>
      </c>
      <c r="F399" s="207" t="s">
        <v>1247</v>
      </c>
      <c r="G399" s="208" t="s">
        <v>530</v>
      </c>
      <c r="H399" s="244"/>
      <c r="K399" s="17"/>
      <c r="XFC399" s="20"/>
    </row>
    <row r="400" spans="1:11 16383:16383" x14ac:dyDescent="0.2">
      <c r="A400" s="139" t="s">
        <v>3470</v>
      </c>
      <c r="B400" s="136" t="s">
        <v>109</v>
      </c>
      <c r="C400" s="136" t="s">
        <v>2161</v>
      </c>
      <c r="D400" s="207" t="s">
        <v>3562</v>
      </c>
      <c r="E400" s="207" t="s">
        <v>1106</v>
      </c>
      <c r="F400" s="207" t="s">
        <v>1247</v>
      </c>
      <c r="G400" s="208" t="s">
        <v>3563</v>
      </c>
      <c r="H400" s="244"/>
      <c r="K400" s="17"/>
      <c r="XFC400" s="20"/>
    </row>
    <row r="401" spans="1:11 16383:16383" x14ac:dyDescent="0.2">
      <c r="A401" s="139" t="s">
        <v>1406</v>
      </c>
      <c r="B401" s="136" t="s">
        <v>109</v>
      </c>
      <c r="C401" s="136" t="s">
        <v>2162</v>
      </c>
      <c r="D401" s="207" t="s">
        <v>535</v>
      </c>
      <c r="E401" s="207" t="s">
        <v>1109</v>
      </c>
      <c r="F401" s="207" t="s">
        <v>1247</v>
      </c>
      <c r="G401" s="208" t="s">
        <v>535</v>
      </c>
      <c r="H401" s="244"/>
      <c r="K401" s="17"/>
      <c r="XFC401" s="20"/>
    </row>
    <row r="402" spans="1:11 16383:16383" x14ac:dyDescent="0.2">
      <c r="A402" s="139" t="s">
        <v>1407</v>
      </c>
      <c r="B402" s="136" t="s">
        <v>109</v>
      </c>
      <c r="C402" s="136" t="s">
        <v>2163</v>
      </c>
      <c r="D402" s="207" t="s">
        <v>534</v>
      </c>
      <c r="E402" s="207" t="s">
        <v>1108</v>
      </c>
      <c r="F402" s="207" t="s">
        <v>1247</v>
      </c>
      <c r="G402" s="208" t="s">
        <v>534</v>
      </c>
      <c r="H402" s="244"/>
      <c r="K402" s="17"/>
      <c r="XFC402" s="20"/>
    </row>
    <row r="403" spans="1:11 16383:16383" x14ac:dyDescent="0.2">
      <c r="A403" s="139" t="s">
        <v>1408</v>
      </c>
      <c r="B403" s="136" t="s">
        <v>109</v>
      </c>
      <c r="C403" s="136" t="s">
        <v>2164</v>
      </c>
      <c r="D403" s="207" t="s">
        <v>531</v>
      </c>
      <c r="E403" s="207" t="s">
        <v>1107</v>
      </c>
      <c r="F403" s="207" t="s">
        <v>1247</v>
      </c>
      <c r="G403" s="208" t="s">
        <v>531</v>
      </c>
      <c r="H403" s="244"/>
      <c r="K403" s="17"/>
      <c r="XFC403" s="20"/>
    </row>
    <row r="404" spans="1:11 16383:16383" x14ac:dyDescent="0.2">
      <c r="A404" s="139" t="s">
        <v>1741</v>
      </c>
      <c r="B404" s="136" t="s">
        <v>109</v>
      </c>
      <c r="C404" s="136" t="s">
        <v>2164</v>
      </c>
      <c r="D404" s="207" t="s">
        <v>532</v>
      </c>
      <c r="E404" s="207" t="s">
        <v>1107</v>
      </c>
      <c r="F404" s="207" t="s">
        <v>1247</v>
      </c>
      <c r="G404" s="208" t="s">
        <v>532</v>
      </c>
      <c r="H404" s="244"/>
      <c r="K404" s="17"/>
      <c r="XFC404" s="20"/>
    </row>
    <row r="405" spans="1:11 16383:16383" x14ac:dyDescent="0.2">
      <c r="A405" s="139" t="s">
        <v>1742</v>
      </c>
      <c r="B405" s="136" t="s">
        <v>109</v>
      </c>
      <c r="C405" s="136" t="s">
        <v>2164</v>
      </c>
      <c r="D405" s="207" t="s">
        <v>533</v>
      </c>
      <c r="E405" s="207" t="s">
        <v>1107</v>
      </c>
      <c r="F405" s="207" t="s">
        <v>1247</v>
      </c>
      <c r="G405" s="208" t="s">
        <v>533</v>
      </c>
      <c r="H405" s="244"/>
      <c r="K405" s="17"/>
      <c r="XFC405" s="20"/>
    </row>
    <row r="406" spans="1:11 16383:16383" x14ac:dyDescent="0.2">
      <c r="A406" s="139" t="s">
        <v>2937</v>
      </c>
      <c r="B406" s="136" t="s">
        <v>109</v>
      </c>
      <c r="C406" s="136" t="s">
        <v>2938</v>
      </c>
      <c r="D406" s="207" t="s">
        <v>2939</v>
      </c>
      <c r="E406" s="207" t="s">
        <v>1107</v>
      </c>
      <c r="F406" s="207" t="s">
        <v>1247</v>
      </c>
      <c r="G406" s="208" t="e">
        <v>#N/A</v>
      </c>
      <c r="H406" s="244"/>
      <c r="K406" s="17"/>
      <c r="XFC406" s="20"/>
    </row>
    <row r="407" spans="1:11 16383:16383" x14ac:dyDescent="0.2">
      <c r="A407" s="139" t="s">
        <v>3471</v>
      </c>
      <c r="B407" s="136" t="s">
        <v>109</v>
      </c>
      <c r="C407" s="136" t="s">
        <v>2938</v>
      </c>
      <c r="D407" s="207" t="s">
        <v>3564</v>
      </c>
      <c r="E407" s="207" t="s">
        <v>1107</v>
      </c>
      <c r="F407" s="207" t="s">
        <v>1247</v>
      </c>
      <c r="G407" s="208" t="s">
        <v>3565</v>
      </c>
      <c r="H407" s="244"/>
      <c r="K407" s="17"/>
      <c r="XFC407" s="20"/>
    </row>
    <row r="408" spans="1:11 16383:16383" ht="29.25" customHeight="1" x14ac:dyDescent="0.2">
      <c r="A408" s="139" t="s">
        <v>1409</v>
      </c>
      <c r="B408" s="136" t="s">
        <v>109</v>
      </c>
      <c r="C408" s="136" t="s">
        <v>2941</v>
      </c>
      <c r="D408" s="207" t="s">
        <v>536</v>
      </c>
      <c r="E408" s="207" t="s">
        <v>1110</v>
      </c>
      <c r="F408" s="207" t="s">
        <v>1247</v>
      </c>
      <c r="G408" s="208" t="s">
        <v>536</v>
      </c>
      <c r="H408" s="244"/>
      <c r="K408" s="17"/>
      <c r="XFC408" s="20"/>
    </row>
    <row r="409" spans="1:11 16383:16383" x14ac:dyDescent="0.2">
      <c r="A409" s="139" t="s">
        <v>1740</v>
      </c>
      <c r="B409" s="136" t="s">
        <v>109</v>
      </c>
      <c r="C409" s="136" t="s">
        <v>2941</v>
      </c>
      <c r="D409" s="207" t="s">
        <v>537</v>
      </c>
      <c r="E409" s="207" t="s">
        <v>1110</v>
      </c>
      <c r="F409" s="207" t="s">
        <v>1247</v>
      </c>
      <c r="G409" s="208" t="s">
        <v>537</v>
      </c>
      <c r="H409" s="244"/>
      <c r="K409" s="17"/>
      <c r="XFC409" s="20"/>
    </row>
    <row r="410" spans="1:11 16383:16383" x14ac:dyDescent="0.2">
      <c r="A410" s="139" t="s">
        <v>2940</v>
      </c>
      <c r="B410" s="136" t="s">
        <v>109</v>
      </c>
      <c r="C410" s="136" t="s">
        <v>2941</v>
      </c>
      <c r="D410" s="207" t="s">
        <v>2942</v>
      </c>
      <c r="E410" s="207" t="s">
        <v>1110</v>
      </c>
      <c r="F410" s="207" t="s">
        <v>1247</v>
      </c>
      <c r="G410" s="208" t="e">
        <v>#N/A</v>
      </c>
      <c r="H410" s="244"/>
      <c r="K410" s="17"/>
      <c r="XFC410" s="20"/>
    </row>
    <row r="411" spans="1:11 16383:16383" ht="24.75" customHeight="1" x14ac:dyDescent="0.2">
      <c r="A411" s="139" t="s">
        <v>3472</v>
      </c>
      <c r="B411" s="136" t="s">
        <v>109</v>
      </c>
      <c r="C411" s="136" t="s">
        <v>2941</v>
      </c>
      <c r="D411" s="207" t="s">
        <v>3566</v>
      </c>
      <c r="E411" s="207" t="s">
        <v>1110</v>
      </c>
      <c r="F411" s="207" t="s">
        <v>1247</v>
      </c>
      <c r="G411" s="208" t="s">
        <v>3567</v>
      </c>
      <c r="H411" s="244"/>
      <c r="K411" s="17"/>
      <c r="XFC411" s="20"/>
    </row>
    <row r="412" spans="1:11 16383:16383" x14ac:dyDescent="0.2">
      <c r="A412" s="139" t="s">
        <v>1410</v>
      </c>
      <c r="B412" s="136" t="s">
        <v>109</v>
      </c>
      <c r="C412" s="136" t="s">
        <v>2165</v>
      </c>
      <c r="D412" s="207" t="s">
        <v>538</v>
      </c>
      <c r="E412" s="207" t="s">
        <v>1111</v>
      </c>
      <c r="F412" s="207" t="s">
        <v>1247</v>
      </c>
      <c r="G412" s="208" t="s">
        <v>538</v>
      </c>
      <c r="H412" s="244"/>
      <c r="K412" s="17"/>
      <c r="XFC412" s="20"/>
    </row>
    <row r="413" spans="1:11 16383:16383" x14ac:dyDescent="0.2">
      <c r="A413" s="139" t="s">
        <v>1739</v>
      </c>
      <c r="B413" s="136" t="s">
        <v>109</v>
      </c>
      <c r="C413" s="136" t="s">
        <v>2165</v>
      </c>
      <c r="D413" s="207" t="s">
        <v>539</v>
      </c>
      <c r="E413" s="207" t="s">
        <v>1111</v>
      </c>
      <c r="F413" s="207" t="s">
        <v>1247</v>
      </c>
      <c r="G413" s="208" t="s">
        <v>539</v>
      </c>
      <c r="H413" s="244"/>
      <c r="K413" s="17"/>
      <c r="XFC413" s="20"/>
    </row>
    <row r="414" spans="1:11 16383:16383" x14ac:dyDescent="0.2">
      <c r="A414" s="139" t="s">
        <v>2814</v>
      </c>
      <c r="B414" s="136" t="s">
        <v>109</v>
      </c>
      <c r="C414" s="136" t="s">
        <v>2812</v>
      </c>
      <c r="D414" s="207" t="s">
        <v>2813</v>
      </c>
      <c r="E414" s="207" t="s">
        <v>3240</v>
      </c>
      <c r="F414" s="207" t="s">
        <v>1247</v>
      </c>
      <c r="G414" s="208" t="s">
        <v>2813</v>
      </c>
      <c r="H414" s="244"/>
      <c r="K414" s="17"/>
      <c r="XFC414" s="20"/>
    </row>
    <row r="415" spans="1:11 16383:16383" x14ac:dyDescent="0.2">
      <c r="A415" s="139" t="s">
        <v>3102</v>
      </c>
      <c r="B415" s="136" t="s">
        <v>109</v>
      </c>
      <c r="C415" s="136" t="s">
        <v>2812</v>
      </c>
      <c r="D415" s="207" t="s">
        <v>3103</v>
      </c>
      <c r="E415" s="207" t="s">
        <v>3240</v>
      </c>
      <c r="F415" s="207" t="s">
        <v>1247</v>
      </c>
      <c r="G415" s="208" t="s">
        <v>3103</v>
      </c>
      <c r="H415" s="244"/>
      <c r="K415" s="17"/>
      <c r="XFC415" s="20"/>
    </row>
    <row r="416" spans="1:11 16383:16383" x14ac:dyDescent="0.2">
      <c r="A416" s="139" t="s">
        <v>1411</v>
      </c>
      <c r="B416" s="136" t="s">
        <v>109</v>
      </c>
      <c r="C416" s="136" t="s">
        <v>2166</v>
      </c>
      <c r="D416" s="207" t="s">
        <v>540</v>
      </c>
      <c r="E416" s="207" t="s">
        <v>1112</v>
      </c>
      <c r="F416" s="207" t="s">
        <v>1247</v>
      </c>
      <c r="G416" s="208" t="s">
        <v>540</v>
      </c>
      <c r="H416" s="244"/>
      <c r="K416" s="17"/>
      <c r="XFC416" s="20"/>
    </row>
    <row r="417" spans="1:11 16383:16383" x14ac:dyDescent="0.2">
      <c r="A417" s="139" t="s">
        <v>1412</v>
      </c>
      <c r="B417" s="136" t="s">
        <v>109</v>
      </c>
      <c r="C417" s="136" t="s">
        <v>2167</v>
      </c>
      <c r="D417" s="207" t="s">
        <v>541</v>
      </c>
      <c r="E417" s="207" t="s">
        <v>1113</v>
      </c>
      <c r="F417" s="207" t="s">
        <v>1247</v>
      </c>
      <c r="G417" s="208" t="s">
        <v>541</v>
      </c>
      <c r="H417" s="244"/>
      <c r="K417" s="17"/>
      <c r="XFC417" s="20"/>
    </row>
    <row r="418" spans="1:11 16383:16383" x14ac:dyDescent="0.2">
      <c r="A418" s="139" t="s">
        <v>1732</v>
      </c>
      <c r="B418" s="136" t="s">
        <v>109</v>
      </c>
      <c r="C418" s="136" t="s">
        <v>2167</v>
      </c>
      <c r="D418" s="207" t="s">
        <v>542</v>
      </c>
      <c r="E418" s="207" t="s">
        <v>1113</v>
      </c>
      <c r="F418" s="207" t="s">
        <v>1247</v>
      </c>
      <c r="G418" s="208" t="s">
        <v>542</v>
      </c>
      <c r="H418" s="244"/>
      <c r="K418" s="17"/>
      <c r="XFC418" s="20"/>
    </row>
    <row r="419" spans="1:11 16383:16383" x14ac:dyDescent="0.2">
      <c r="A419" s="139" t="s">
        <v>1733</v>
      </c>
      <c r="B419" s="136" t="s">
        <v>109</v>
      </c>
      <c r="C419" s="136" t="s">
        <v>2167</v>
      </c>
      <c r="D419" s="207" t="s">
        <v>543</v>
      </c>
      <c r="E419" s="207" t="s">
        <v>1113</v>
      </c>
      <c r="F419" s="207" t="s">
        <v>1247</v>
      </c>
      <c r="G419" s="208" t="s">
        <v>543</v>
      </c>
      <c r="H419" s="244"/>
      <c r="K419" s="17"/>
      <c r="XFC419" s="20"/>
    </row>
    <row r="420" spans="1:11 16383:16383" x14ac:dyDescent="0.2">
      <c r="A420" s="139" t="s">
        <v>1734</v>
      </c>
      <c r="B420" s="136" t="s">
        <v>109</v>
      </c>
      <c r="C420" s="136" t="s">
        <v>2167</v>
      </c>
      <c r="D420" s="207" t="s">
        <v>544</v>
      </c>
      <c r="E420" s="207" t="s">
        <v>1113</v>
      </c>
      <c r="F420" s="207" t="s">
        <v>1247</v>
      </c>
      <c r="G420" s="208" t="s">
        <v>544</v>
      </c>
      <c r="H420" s="244"/>
      <c r="K420" s="17"/>
      <c r="XFC420" s="20"/>
    </row>
    <row r="421" spans="1:11 16383:16383" x14ac:dyDescent="0.2">
      <c r="A421" s="139" t="s">
        <v>1735</v>
      </c>
      <c r="B421" s="136" t="s">
        <v>109</v>
      </c>
      <c r="C421" s="136" t="s">
        <v>2167</v>
      </c>
      <c r="D421" s="207" t="s">
        <v>545</v>
      </c>
      <c r="E421" s="207" t="s">
        <v>1113</v>
      </c>
      <c r="F421" s="207" t="s">
        <v>1247</v>
      </c>
      <c r="G421" s="208" t="s">
        <v>545</v>
      </c>
      <c r="H421" s="244"/>
      <c r="K421" s="17"/>
      <c r="XFC421" s="20"/>
    </row>
    <row r="422" spans="1:11 16383:16383" x14ac:dyDescent="0.2">
      <c r="A422" s="139" t="s">
        <v>1736</v>
      </c>
      <c r="B422" s="136" t="s">
        <v>109</v>
      </c>
      <c r="C422" s="136" t="s">
        <v>2167</v>
      </c>
      <c r="D422" s="207" t="s">
        <v>546</v>
      </c>
      <c r="E422" s="207" t="s">
        <v>1113</v>
      </c>
      <c r="F422" s="207" t="s">
        <v>1247</v>
      </c>
      <c r="G422" s="208" t="s">
        <v>546</v>
      </c>
      <c r="H422" s="244"/>
      <c r="K422" s="17"/>
      <c r="XFC422" s="20"/>
    </row>
    <row r="423" spans="1:11 16383:16383" x14ac:dyDescent="0.2">
      <c r="A423" s="139" t="s">
        <v>1737</v>
      </c>
      <c r="B423" s="136" t="s">
        <v>109</v>
      </c>
      <c r="C423" s="136" t="s">
        <v>2167</v>
      </c>
      <c r="D423" s="207" t="s">
        <v>547</v>
      </c>
      <c r="E423" s="207" t="s">
        <v>1113</v>
      </c>
      <c r="F423" s="207" t="s">
        <v>1247</v>
      </c>
      <c r="G423" s="208" t="s">
        <v>547</v>
      </c>
      <c r="H423" s="244"/>
      <c r="K423" s="17"/>
      <c r="XFC423" s="20"/>
    </row>
    <row r="424" spans="1:11 16383:16383" x14ac:dyDescent="0.2">
      <c r="A424" s="139" t="s">
        <v>2815</v>
      </c>
      <c r="B424" s="136" t="s">
        <v>109</v>
      </c>
      <c r="C424" s="136" t="s">
        <v>2167</v>
      </c>
      <c r="D424" s="207" t="s">
        <v>2816</v>
      </c>
      <c r="E424" s="207" t="s">
        <v>1113</v>
      </c>
      <c r="F424" s="207" t="s">
        <v>1247</v>
      </c>
      <c r="G424" s="208" t="s">
        <v>2816</v>
      </c>
      <c r="H424" s="244"/>
      <c r="K424" s="17"/>
      <c r="XFC424" s="20"/>
    </row>
    <row r="425" spans="1:11 16383:16383" x14ac:dyDescent="0.2">
      <c r="A425" s="139" t="s">
        <v>3015</v>
      </c>
      <c r="B425" s="136" t="s">
        <v>109</v>
      </c>
      <c r="C425" s="136" t="s">
        <v>2167</v>
      </c>
      <c r="D425" s="136" t="s">
        <v>3014</v>
      </c>
      <c r="E425" s="136" t="s">
        <v>1113</v>
      </c>
      <c r="F425" s="136" t="s">
        <v>1247</v>
      </c>
      <c r="G425" s="139" t="e">
        <v>#N/A</v>
      </c>
      <c r="H425" s="244"/>
      <c r="K425" s="17"/>
      <c r="XFC425" s="20"/>
    </row>
    <row r="426" spans="1:11 16383:16383" x14ac:dyDescent="0.2">
      <c r="A426" s="139" t="s">
        <v>3016</v>
      </c>
      <c r="B426" s="136" t="s">
        <v>109</v>
      </c>
      <c r="C426" s="136" t="s">
        <v>2167</v>
      </c>
      <c r="D426" s="136" t="s">
        <v>3568</v>
      </c>
      <c r="E426" s="136" t="s">
        <v>1113</v>
      </c>
      <c r="F426" s="136" t="s">
        <v>1247</v>
      </c>
      <c r="G426" s="139" t="e">
        <v>#N/A</v>
      </c>
      <c r="H426" s="244"/>
      <c r="K426" s="17"/>
      <c r="XFC426" s="20"/>
    </row>
    <row r="427" spans="1:11 16383:16383" x14ac:dyDescent="0.2">
      <c r="A427" s="139" t="s">
        <v>3473</v>
      </c>
      <c r="B427" s="136" t="s">
        <v>109</v>
      </c>
      <c r="C427" s="136" t="s">
        <v>2167</v>
      </c>
      <c r="D427" s="207" t="s">
        <v>3569</v>
      </c>
      <c r="E427" s="207" t="s">
        <v>1113</v>
      </c>
      <c r="F427" s="207" t="s">
        <v>1247</v>
      </c>
      <c r="G427" s="208" t="s">
        <v>3570</v>
      </c>
      <c r="H427" s="244"/>
      <c r="K427" s="17"/>
      <c r="XFC427" s="20"/>
    </row>
    <row r="428" spans="1:11 16383:16383" x14ac:dyDescent="0.2">
      <c r="A428" s="139" t="s">
        <v>1413</v>
      </c>
      <c r="B428" s="136" t="s">
        <v>109</v>
      </c>
      <c r="C428" s="136" t="s">
        <v>2168</v>
      </c>
      <c r="D428" s="207" t="s">
        <v>548</v>
      </c>
      <c r="E428" s="207" t="s">
        <v>1114</v>
      </c>
      <c r="F428" s="207" t="s">
        <v>1247</v>
      </c>
      <c r="G428" s="208" t="s">
        <v>548</v>
      </c>
      <c r="H428" s="244"/>
      <c r="K428" s="17"/>
      <c r="XFC428" s="20"/>
    </row>
    <row r="429" spans="1:11 16383:16383" x14ac:dyDescent="0.2">
      <c r="A429" s="139" t="s">
        <v>1738</v>
      </c>
      <c r="B429" s="136" t="s">
        <v>109</v>
      </c>
      <c r="C429" s="136" t="s">
        <v>2168</v>
      </c>
      <c r="D429" s="207" t="s">
        <v>549</v>
      </c>
      <c r="E429" s="207" t="s">
        <v>1114</v>
      </c>
      <c r="F429" s="207" t="s">
        <v>1247</v>
      </c>
      <c r="G429" s="207" t="s">
        <v>549</v>
      </c>
      <c r="H429" s="244"/>
      <c r="K429" s="17"/>
      <c r="XFC429" s="20"/>
    </row>
    <row r="430" spans="1:11 16383:16383" x14ac:dyDescent="0.2">
      <c r="A430" s="139" t="s">
        <v>2518</v>
      </c>
      <c r="B430" s="136" t="s">
        <v>109</v>
      </c>
      <c r="C430" s="136" t="s">
        <v>2168</v>
      </c>
      <c r="D430" s="207" t="s">
        <v>2519</v>
      </c>
      <c r="E430" s="207" t="s">
        <v>1114</v>
      </c>
      <c r="F430" s="207" t="s">
        <v>1247</v>
      </c>
      <c r="G430" s="208" t="s">
        <v>2519</v>
      </c>
      <c r="H430" s="244"/>
      <c r="K430" s="17"/>
      <c r="XFC430" s="20"/>
    </row>
    <row r="431" spans="1:11 16383:16383" x14ac:dyDescent="0.2">
      <c r="A431" s="139" t="s">
        <v>1414</v>
      </c>
      <c r="B431" s="136" t="s">
        <v>109</v>
      </c>
      <c r="C431" s="136" t="s">
        <v>2169</v>
      </c>
      <c r="D431" s="207" t="s">
        <v>550</v>
      </c>
      <c r="E431" s="207" t="s">
        <v>1115</v>
      </c>
      <c r="F431" s="207" t="s">
        <v>1247</v>
      </c>
      <c r="G431" s="208" t="s">
        <v>550</v>
      </c>
      <c r="H431" s="244"/>
      <c r="K431" s="17"/>
      <c r="XFC431" s="20"/>
    </row>
    <row r="432" spans="1:11 16383:16383" x14ac:dyDescent="0.2">
      <c r="A432" s="139" t="s">
        <v>2583</v>
      </c>
      <c r="B432" s="136" t="s">
        <v>109</v>
      </c>
      <c r="C432" s="136" t="s">
        <v>2169</v>
      </c>
      <c r="D432" s="207" t="s">
        <v>2584</v>
      </c>
      <c r="E432" s="207" t="s">
        <v>1115</v>
      </c>
      <c r="F432" s="207" t="s">
        <v>1247</v>
      </c>
      <c r="G432" s="208" t="s">
        <v>2584</v>
      </c>
      <c r="H432" s="244"/>
      <c r="K432" s="17"/>
      <c r="XFC432" s="20"/>
    </row>
    <row r="433" spans="1:11 16383:16383" x14ac:dyDescent="0.2">
      <c r="A433" s="139" t="s">
        <v>1415</v>
      </c>
      <c r="B433" s="136" t="s">
        <v>109</v>
      </c>
      <c r="C433" s="136" t="s">
        <v>918</v>
      </c>
      <c r="D433" s="207" t="s">
        <v>558</v>
      </c>
      <c r="E433" s="207" t="s">
        <v>932</v>
      </c>
      <c r="F433" s="207" t="s">
        <v>1247</v>
      </c>
      <c r="G433" s="208" t="s">
        <v>558</v>
      </c>
      <c r="H433" s="244"/>
      <c r="K433" s="17"/>
      <c r="XFC433" s="20"/>
    </row>
    <row r="434" spans="1:11 16383:16383" x14ac:dyDescent="0.2">
      <c r="A434" s="139" t="s">
        <v>1416</v>
      </c>
      <c r="B434" s="136" t="s">
        <v>109</v>
      </c>
      <c r="C434" s="136" t="s">
        <v>2170</v>
      </c>
      <c r="D434" s="207" t="s">
        <v>559</v>
      </c>
      <c r="E434" s="207" t="s">
        <v>1118</v>
      </c>
      <c r="F434" s="207" t="s">
        <v>1247</v>
      </c>
      <c r="G434" s="208" t="s">
        <v>559</v>
      </c>
      <c r="H434" s="244"/>
      <c r="K434" s="17"/>
      <c r="XFC434" s="20"/>
    </row>
    <row r="435" spans="1:11 16383:16383" x14ac:dyDescent="0.2">
      <c r="A435" s="139" t="s">
        <v>1718</v>
      </c>
      <c r="B435" s="136" t="s">
        <v>109</v>
      </c>
      <c r="C435" s="136" t="s">
        <v>2170</v>
      </c>
      <c r="D435" s="207" t="s">
        <v>560</v>
      </c>
      <c r="E435" s="207" t="s">
        <v>1118</v>
      </c>
      <c r="F435" s="207" t="s">
        <v>1247</v>
      </c>
      <c r="G435" s="208" t="s">
        <v>560</v>
      </c>
      <c r="H435" s="244"/>
      <c r="K435" s="17"/>
      <c r="XFC435" s="20"/>
    </row>
    <row r="436" spans="1:11 16383:16383" x14ac:dyDescent="0.2">
      <c r="A436" s="139" t="s">
        <v>1719</v>
      </c>
      <c r="B436" s="136" t="s">
        <v>109</v>
      </c>
      <c r="C436" s="136" t="s">
        <v>2170</v>
      </c>
      <c r="D436" s="207" t="s">
        <v>561</v>
      </c>
      <c r="E436" s="207" t="s">
        <v>1118</v>
      </c>
      <c r="F436" s="207" t="s">
        <v>1247</v>
      </c>
      <c r="G436" s="208" t="s">
        <v>561</v>
      </c>
      <c r="H436" s="244"/>
      <c r="K436" s="17"/>
      <c r="XFC436" s="20"/>
    </row>
    <row r="437" spans="1:11 16383:16383" x14ac:dyDescent="0.2">
      <c r="A437" s="139" t="s">
        <v>3474</v>
      </c>
      <c r="B437" s="136" t="s">
        <v>109</v>
      </c>
      <c r="C437" s="136" t="s">
        <v>2170</v>
      </c>
      <c r="D437" s="207" t="s">
        <v>3571</v>
      </c>
      <c r="E437" s="207" t="s">
        <v>1118</v>
      </c>
      <c r="F437" s="207" t="s">
        <v>1247</v>
      </c>
      <c r="G437" s="208" t="s">
        <v>3572</v>
      </c>
      <c r="H437" s="244"/>
      <c r="K437" s="17"/>
      <c r="XFC437" s="20"/>
    </row>
    <row r="438" spans="1:11 16383:16383" x14ac:dyDescent="0.2">
      <c r="A438" s="139" t="s">
        <v>1417</v>
      </c>
      <c r="B438" s="136" t="s">
        <v>109</v>
      </c>
      <c r="C438" s="136" t="s">
        <v>2171</v>
      </c>
      <c r="D438" s="207" t="s">
        <v>551</v>
      </c>
      <c r="E438" s="207" t="s">
        <v>1116</v>
      </c>
      <c r="F438" s="207" t="s">
        <v>1247</v>
      </c>
      <c r="G438" s="208" t="s">
        <v>551</v>
      </c>
      <c r="H438" s="244"/>
      <c r="K438" s="17"/>
      <c r="XFC438" s="20"/>
    </row>
    <row r="439" spans="1:11 16383:16383" x14ac:dyDescent="0.2">
      <c r="A439" s="139" t="s">
        <v>1720</v>
      </c>
      <c r="B439" s="136" t="s">
        <v>109</v>
      </c>
      <c r="C439" s="136" t="s">
        <v>2171</v>
      </c>
      <c r="D439" s="207" t="s">
        <v>552</v>
      </c>
      <c r="E439" s="207" t="s">
        <v>1116</v>
      </c>
      <c r="F439" s="207" t="s">
        <v>1247</v>
      </c>
      <c r="G439" s="208" t="s">
        <v>552</v>
      </c>
      <c r="H439" s="244"/>
      <c r="K439" s="17"/>
      <c r="XFC439" s="20"/>
    </row>
    <row r="440" spans="1:11 16383:16383" x14ac:dyDescent="0.2">
      <c r="A440" s="139" t="s">
        <v>1722</v>
      </c>
      <c r="B440" s="136" t="s">
        <v>109</v>
      </c>
      <c r="C440" s="136" t="s">
        <v>2171</v>
      </c>
      <c r="D440" s="207" t="s">
        <v>553</v>
      </c>
      <c r="E440" s="207" t="s">
        <v>1116</v>
      </c>
      <c r="F440" s="207" t="s">
        <v>1247</v>
      </c>
      <c r="G440" s="207" t="s">
        <v>553</v>
      </c>
      <c r="H440" s="244"/>
      <c r="K440" s="17"/>
      <c r="XFC440" s="20"/>
    </row>
    <row r="441" spans="1:11 16383:16383" x14ac:dyDescent="0.2">
      <c r="A441" s="139" t="s">
        <v>1721</v>
      </c>
      <c r="B441" s="136" t="s">
        <v>109</v>
      </c>
      <c r="C441" s="136" t="s">
        <v>2171</v>
      </c>
      <c r="D441" s="207" t="s">
        <v>554</v>
      </c>
      <c r="E441" s="207" t="s">
        <v>1116</v>
      </c>
      <c r="F441" s="207" t="s">
        <v>1247</v>
      </c>
      <c r="G441" s="207" t="s">
        <v>554</v>
      </c>
      <c r="H441" s="244"/>
      <c r="K441" s="17"/>
      <c r="XFC441" s="20"/>
    </row>
    <row r="442" spans="1:11 16383:16383" x14ac:dyDescent="0.2">
      <c r="A442" s="139" t="s">
        <v>2520</v>
      </c>
      <c r="B442" s="136" t="s">
        <v>109</v>
      </c>
      <c r="C442" s="136" t="s">
        <v>2171</v>
      </c>
      <c r="D442" s="207" t="s">
        <v>2521</v>
      </c>
      <c r="E442" s="207" t="s">
        <v>1116</v>
      </c>
      <c r="F442" s="207" t="s">
        <v>1247</v>
      </c>
      <c r="G442" s="208" t="e">
        <v>#N/A</v>
      </c>
      <c r="H442" s="244"/>
      <c r="K442" s="17"/>
      <c r="XFC442" s="20"/>
    </row>
    <row r="443" spans="1:11 16383:16383" x14ac:dyDescent="0.2">
      <c r="A443" s="139" t="s">
        <v>2585</v>
      </c>
      <c r="B443" s="136" t="s">
        <v>109</v>
      </c>
      <c r="C443" s="136" t="s">
        <v>2171</v>
      </c>
      <c r="D443" s="207" t="s">
        <v>2586</v>
      </c>
      <c r="E443" s="207" t="s">
        <v>1116</v>
      </c>
      <c r="F443" s="207" t="s">
        <v>1247</v>
      </c>
      <c r="G443" s="208" t="e">
        <v>#N/A</v>
      </c>
      <c r="H443" s="244"/>
      <c r="K443" s="17"/>
      <c r="XFC443" s="20"/>
    </row>
    <row r="444" spans="1:11 16383:16383" x14ac:dyDescent="0.2">
      <c r="A444" s="139" t="s">
        <v>1418</v>
      </c>
      <c r="B444" s="136" t="s">
        <v>109</v>
      </c>
      <c r="C444" s="136" t="s">
        <v>2172</v>
      </c>
      <c r="D444" s="207" t="s">
        <v>555</v>
      </c>
      <c r="E444" s="207" t="s">
        <v>1117</v>
      </c>
      <c r="F444" s="207" t="s">
        <v>1247</v>
      </c>
      <c r="G444" s="208" t="s">
        <v>555</v>
      </c>
      <c r="H444" s="244"/>
      <c r="K444" s="17"/>
      <c r="XFC444" s="20"/>
    </row>
    <row r="445" spans="1:11 16383:16383" x14ac:dyDescent="0.2">
      <c r="A445" s="139" t="s">
        <v>1723</v>
      </c>
      <c r="B445" s="136" t="s">
        <v>109</v>
      </c>
      <c r="C445" s="136" t="s">
        <v>2172</v>
      </c>
      <c r="D445" s="207" t="s">
        <v>556</v>
      </c>
      <c r="E445" s="207" t="s">
        <v>1117</v>
      </c>
      <c r="F445" s="207" t="s">
        <v>1247</v>
      </c>
      <c r="G445" s="208" t="s">
        <v>556</v>
      </c>
      <c r="H445" s="244"/>
      <c r="K445" s="17"/>
      <c r="XFC445" s="20"/>
    </row>
    <row r="446" spans="1:11 16383:16383" x14ac:dyDescent="0.2">
      <c r="A446" s="139" t="s">
        <v>1724</v>
      </c>
      <c r="B446" s="136" t="s">
        <v>109</v>
      </c>
      <c r="C446" s="136" t="s">
        <v>2172</v>
      </c>
      <c r="D446" s="207" t="s">
        <v>557</v>
      </c>
      <c r="E446" s="207" t="s">
        <v>1117</v>
      </c>
      <c r="F446" s="207" t="s">
        <v>1247</v>
      </c>
      <c r="G446" s="208" t="s">
        <v>557</v>
      </c>
      <c r="H446" s="244"/>
      <c r="K446" s="17"/>
      <c r="XFC446" s="20"/>
    </row>
    <row r="447" spans="1:11 16383:16383" x14ac:dyDescent="0.2">
      <c r="A447" s="139" t="s">
        <v>1419</v>
      </c>
      <c r="B447" s="136" t="s">
        <v>109</v>
      </c>
      <c r="C447" s="136" t="s">
        <v>2173</v>
      </c>
      <c r="D447" s="207" t="s">
        <v>562</v>
      </c>
      <c r="E447" s="207" t="s">
        <v>1119</v>
      </c>
      <c r="F447" s="207" t="s">
        <v>1247</v>
      </c>
      <c r="G447" s="208" t="s">
        <v>562</v>
      </c>
      <c r="H447" s="244"/>
      <c r="K447" s="17"/>
      <c r="XFC447" s="20"/>
    </row>
    <row r="448" spans="1:11 16383:16383" x14ac:dyDescent="0.2">
      <c r="A448" s="139" t="s">
        <v>1725</v>
      </c>
      <c r="B448" s="136" t="s">
        <v>109</v>
      </c>
      <c r="C448" s="136" t="s">
        <v>2173</v>
      </c>
      <c r="D448" s="207" t="s">
        <v>563</v>
      </c>
      <c r="E448" s="207" t="s">
        <v>1119</v>
      </c>
      <c r="F448" s="207" t="s">
        <v>1247</v>
      </c>
      <c r="G448" s="208" t="s">
        <v>563</v>
      </c>
      <c r="H448" s="244"/>
      <c r="K448" s="17"/>
      <c r="XFC448" s="20"/>
    </row>
    <row r="449" spans="1:11 16383:16383" x14ac:dyDescent="0.2">
      <c r="A449" s="139" t="s">
        <v>1726</v>
      </c>
      <c r="B449" s="136" t="s">
        <v>109</v>
      </c>
      <c r="C449" s="136" t="s">
        <v>2173</v>
      </c>
      <c r="D449" s="207" t="s">
        <v>564</v>
      </c>
      <c r="E449" s="207" t="s">
        <v>1119</v>
      </c>
      <c r="F449" s="207" t="s">
        <v>1247</v>
      </c>
      <c r="G449" s="208" t="s">
        <v>564</v>
      </c>
      <c r="H449" s="244"/>
      <c r="K449" s="17"/>
      <c r="XFC449" s="20"/>
    </row>
    <row r="450" spans="1:11 16383:16383" x14ac:dyDescent="0.2">
      <c r="A450" s="139" t="s">
        <v>1727</v>
      </c>
      <c r="B450" s="136" t="s">
        <v>109</v>
      </c>
      <c r="C450" s="136" t="s">
        <v>2173</v>
      </c>
      <c r="D450" s="207" t="s">
        <v>565</v>
      </c>
      <c r="E450" s="207" t="s">
        <v>1119</v>
      </c>
      <c r="F450" s="207" t="s">
        <v>1247</v>
      </c>
      <c r="G450" s="208" t="s">
        <v>565</v>
      </c>
      <c r="H450" s="244"/>
      <c r="K450" s="17"/>
      <c r="XFC450" s="20"/>
    </row>
    <row r="451" spans="1:11 16383:16383" x14ac:dyDescent="0.2">
      <c r="A451" s="139" t="s">
        <v>1728</v>
      </c>
      <c r="B451" s="136" t="s">
        <v>109</v>
      </c>
      <c r="C451" s="136" t="s">
        <v>2173</v>
      </c>
      <c r="D451" s="207" t="s">
        <v>566</v>
      </c>
      <c r="E451" s="207" t="s">
        <v>1119</v>
      </c>
      <c r="F451" s="207" t="s">
        <v>1247</v>
      </c>
      <c r="G451" s="208" t="s">
        <v>566</v>
      </c>
      <c r="H451" s="244"/>
      <c r="K451" s="17"/>
      <c r="XFC451" s="20"/>
    </row>
    <row r="452" spans="1:11 16383:16383" x14ac:dyDescent="0.2">
      <c r="A452" s="139" t="s">
        <v>1729</v>
      </c>
      <c r="B452" s="136" t="s">
        <v>109</v>
      </c>
      <c r="C452" s="136" t="s">
        <v>2173</v>
      </c>
      <c r="D452" s="207" t="s">
        <v>567</v>
      </c>
      <c r="E452" s="207" t="s">
        <v>1119</v>
      </c>
      <c r="F452" s="207" t="s">
        <v>1247</v>
      </c>
      <c r="G452" s="208" t="s">
        <v>567</v>
      </c>
      <c r="H452" s="244"/>
      <c r="K452" s="17"/>
      <c r="XFC452" s="20"/>
    </row>
    <row r="453" spans="1:11 16383:16383" x14ac:dyDescent="0.2">
      <c r="A453" s="139" t="s">
        <v>1730</v>
      </c>
      <c r="B453" s="136" t="s">
        <v>109</v>
      </c>
      <c r="C453" s="136" t="s">
        <v>2173</v>
      </c>
      <c r="D453" s="207" t="s">
        <v>568</v>
      </c>
      <c r="E453" s="207" t="s">
        <v>1119</v>
      </c>
      <c r="F453" s="207" t="s">
        <v>1247</v>
      </c>
      <c r="G453" s="208" t="s">
        <v>568</v>
      </c>
      <c r="H453" s="244"/>
      <c r="K453" s="17"/>
      <c r="XFC453" s="20"/>
    </row>
    <row r="454" spans="1:11 16383:16383" x14ac:dyDescent="0.2">
      <c r="A454" s="139" t="s">
        <v>1731</v>
      </c>
      <c r="B454" s="136" t="s">
        <v>109</v>
      </c>
      <c r="C454" s="136" t="s">
        <v>2173</v>
      </c>
      <c r="D454" s="207" t="s">
        <v>569</v>
      </c>
      <c r="E454" s="207" t="s">
        <v>1119</v>
      </c>
      <c r="F454" s="207" t="s">
        <v>1247</v>
      </c>
      <c r="G454" s="208" t="e">
        <v>#N/A</v>
      </c>
      <c r="H454" s="244"/>
      <c r="K454" s="17"/>
      <c r="XFC454" s="20"/>
    </row>
    <row r="455" spans="1:11 16383:16383" x14ac:dyDescent="0.2">
      <c r="A455" s="139" t="s">
        <v>1420</v>
      </c>
      <c r="B455" s="136" t="s">
        <v>109</v>
      </c>
      <c r="C455" s="136" t="s">
        <v>2174</v>
      </c>
      <c r="D455" s="207" t="s">
        <v>570</v>
      </c>
      <c r="E455" s="207" t="s">
        <v>1120</v>
      </c>
      <c r="F455" s="207" t="s">
        <v>1247</v>
      </c>
      <c r="G455" s="208" t="s">
        <v>570</v>
      </c>
      <c r="H455" s="244"/>
      <c r="K455" s="17"/>
      <c r="XFC455" s="20"/>
    </row>
    <row r="456" spans="1:11 16383:16383" x14ac:dyDescent="0.2">
      <c r="A456" s="139" t="s">
        <v>2949</v>
      </c>
      <c r="B456" s="136" t="s">
        <v>109</v>
      </c>
      <c r="C456" s="136" t="s">
        <v>2174</v>
      </c>
      <c r="D456" s="207" t="s">
        <v>2950</v>
      </c>
      <c r="E456" s="207" t="s">
        <v>1120</v>
      </c>
      <c r="F456" s="207" t="s">
        <v>1247</v>
      </c>
      <c r="G456" s="208" t="e">
        <v>#N/A</v>
      </c>
      <c r="H456" s="244"/>
      <c r="K456" s="17"/>
      <c r="XFC456" s="20"/>
    </row>
    <row r="457" spans="1:11 16383:16383" x14ac:dyDescent="0.2">
      <c r="A457" s="139" t="s">
        <v>1421</v>
      </c>
      <c r="B457" s="136" t="s">
        <v>109</v>
      </c>
      <c r="C457" s="136" t="s">
        <v>2175</v>
      </c>
      <c r="D457" s="207" t="s">
        <v>571</v>
      </c>
      <c r="E457" s="207" t="s">
        <v>1121</v>
      </c>
      <c r="F457" s="207" t="s">
        <v>1247</v>
      </c>
      <c r="G457" s="208" t="s">
        <v>571</v>
      </c>
      <c r="H457" s="244"/>
      <c r="K457" s="17"/>
      <c r="XFC457" s="20"/>
    </row>
    <row r="458" spans="1:11 16383:16383" x14ac:dyDescent="0.2">
      <c r="A458" s="139" t="s">
        <v>1422</v>
      </c>
      <c r="B458" s="136" t="s">
        <v>109</v>
      </c>
      <c r="C458" s="136" t="s">
        <v>2176</v>
      </c>
      <c r="D458" s="207" t="s">
        <v>572</v>
      </c>
      <c r="E458" s="207" t="s">
        <v>1122</v>
      </c>
      <c r="F458" s="207" t="s">
        <v>1247</v>
      </c>
      <c r="G458" s="208" t="s">
        <v>572</v>
      </c>
      <c r="H458" s="244"/>
      <c r="K458" s="17"/>
      <c r="XFC458" s="20"/>
    </row>
    <row r="459" spans="1:11 16383:16383" x14ac:dyDescent="0.2">
      <c r="A459" s="139" t="s">
        <v>1717</v>
      </c>
      <c r="B459" s="136" t="s">
        <v>109</v>
      </c>
      <c r="C459" s="136" t="s">
        <v>2176</v>
      </c>
      <c r="D459" s="207" t="s">
        <v>1916</v>
      </c>
      <c r="E459" s="207" t="s">
        <v>1122</v>
      </c>
      <c r="F459" s="207" t="s">
        <v>1247</v>
      </c>
      <c r="G459" s="208" t="s">
        <v>1916</v>
      </c>
      <c r="H459" s="244"/>
      <c r="K459" s="17"/>
      <c r="XFC459" s="20"/>
    </row>
    <row r="460" spans="1:11 16383:16383" x14ac:dyDescent="0.2">
      <c r="A460" s="139" t="s">
        <v>1423</v>
      </c>
      <c r="B460" s="136" t="s">
        <v>110</v>
      </c>
      <c r="C460" s="136" t="s">
        <v>1906</v>
      </c>
      <c r="D460" s="207" t="s">
        <v>580</v>
      </c>
      <c r="E460" s="207" t="s">
        <v>922</v>
      </c>
      <c r="F460" s="207" t="s">
        <v>1248</v>
      </c>
      <c r="G460" s="208" t="s">
        <v>580</v>
      </c>
      <c r="H460" s="244"/>
      <c r="K460" s="17"/>
      <c r="XFC460" s="20"/>
    </row>
    <row r="461" spans="1:11 16383:16383" x14ac:dyDescent="0.2">
      <c r="A461" s="139" t="s">
        <v>1424</v>
      </c>
      <c r="B461" s="136" t="s">
        <v>110</v>
      </c>
      <c r="C461" s="136" t="s">
        <v>576</v>
      </c>
      <c r="D461" s="207" t="s">
        <v>575</v>
      </c>
      <c r="E461" s="207" t="s">
        <v>919</v>
      </c>
      <c r="F461" s="207" t="s">
        <v>1248</v>
      </c>
      <c r="G461" s="208" t="s">
        <v>575</v>
      </c>
      <c r="H461" s="244"/>
      <c r="K461" s="17"/>
      <c r="XFC461" s="20"/>
    </row>
    <row r="462" spans="1:11 16383:16383" x14ac:dyDescent="0.2">
      <c r="A462" s="139" t="s">
        <v>1713</v>
      </c>
      <c r="B462" s="136" t="s">
        <v>110</v>
      </c>
      <c r="C462" s="136" t="s">
        <v>576</v>
      </c>
      <c r="D462" s="207" t="s">
        <v>584</v>
      </c>
      <c r="E462" s="207" t="s">
        <v>919</v>
      </c>
      <c r="F462" s="207" t="s">
        <v>1248</v>
      </c>
      <c r="G462" s="208" t="s">
        <v>584</v>
      </c>
      <c r="H462" s="244"/>
      <c r="K462" s="17"/>
      <c r="XFC462" s="20"/>
    </row>
    <row r="463" spans="1:11 16383:16383" x14ac:dyDescent="0.2">
      <c r="A463" s="139" t="s">
        <v>1425</v>
      </c>
      <c r="B463" s="213" t="s">
        <v>110</v>
      </c>
      <c r="C463" s="136" t="s">
        <v>579</v>
      </c>
      <c r="D463" s="213" t="s">
        <v>578</v>
      </c>
      <c r="E463" s="213" t="s">
        <v>921</v>
      </c>
      <c r="F463" s="213" t="s">
        <v>1248</v>
      </c>
      <c r="G463" s="208" t="s">
        <v>578</v>
      </c>
      <c r="H463" s="244"/>
      <c r="K463" s="17"/>
      <c r="XFC463" s="20"/>
    </row>
    <row r="464" spans="1:11 16383:16383" x14ac:dyDescent="0.2">
      <c r="A464" s="139" t="s">
        <v>1714</v>
      </c>
      <c r="B464" s="136" t="s">
        <v>110</v>
      </c>
      <c r="C464" s="136" t="s">
        <v>579</v>
      </c>
      <c r="D464" s="207" t="s">
        <v>585</v>
      </c>
      <c r="E464" s="207" t="s">
        <v>921</v>
      </c>
      <c r="F464" s="207" t="s">
        <v>1248</v>
      </c>
      <c r="G464" s="208" t="s">
        <v>585</v>
      </c>
      <c r="H464" s="244"/>
      <c r="K464" s="17"/>
      <c r="XFC464" s="20"/>
    </row>
    <row r="465" spans="1:11 16383:16383" x14ac:dyDescent="0.2">
      <c r="A465" s="139" t="s">
        <v>1715</v>
      </c>
      <c r="B465" s="136" t="s">
        <v>110</v>
      </c>
      <c r="C465" s="136" t="s">
        <v>579</v>
      </c>
      <c r="D465" s="207" t="s">
        <v>586</v>
      </c>
      <c r="E465" s="207" t="s">
        <v>921</v>
      </c>
      <c r="F465" s="207" t="s">
        <v>1248</v>
      </c>
      <c r="G465" s="208" t="s">
        <v>586</v>
      </c>
      <c r="H465" s="244"/>
      <c r="K465" s="17"/>
      <c r="XFC465" s="20"/>
    </row>
    <row r="466" spans="1:11 16383:16383" x14ac:dyDescent="0.2">
      <c r="A466" s="139" t="s">
        <v>1426</v>
      </c>
      <c r="B466" s="136" t="s">
        <v>110</v>
      </c>
      <c r="C466" s="136" t="s">
        <v>2177</v>
      </c>
      <c r="D466" s="207" t="s">
        <v>574</v>
      </c>
      <c r="E466" s="207" t="s">
        <v>1124</v>
      </c>
      <c r="F466" s="207" t="s">
        <v>1248</v>
      </c>
      <c r="G466" s="208" t="s">
        <v>574</v>
      </c>
      <c r="H466" s="244"/>
      <c r="K466" s="17"/>
      <c r="XFC466" s="20"/>
    </row>
    <row r="467" spans="1:11 16383:16383" x14ac:dyDescent="0.2">
      <c r="A467" s="139" t="s">
        <v>1716</v>
      </c>
      <c r="B467" s="136" t="s">
        <v>110</v>
      </c>
      <c r="C467" s="136" t="s">
        <v>2177</v>
      </c>
      <c r="D467" s="207" t="s">
        <v>574</v>
      </c>
      <c r="E467" s="207" t="s">
        <v>1124</v>
      </c>
      <c r="F467" s="207" t="s">
        <v>1248</v>
      </c>
      <c r="G467" s="208" t="s">
        <v>574</v>
      </c>
      <c r="H467" s="244"/>
      <c r="K467" s="17"/>
      <c r="XFC467" s="20"/>
    </row>
    <row r="468" spans="1:11 16383:16383" x14ac:dyDescent="0.2">
      <c r="A468" s="139" t="s">
        <v>1427</v>
      </c>
      <c r="B468" s="136" t="s">
        <v>110</v>
      </c>
      <c r="C468" s="136" t="s">
        <v>1907</v>
      </c>
      <c r="D468" s="207" t="s">
        <v>582</v>
      </c>
      <c r="E468" s="207" t="s">
        <v>924</v>
      </c>
      <c r="F468" s="207" t="s">
        <v>1248</v>
      </c>
      <c r="G468" s="208" t="s">
        <v>582</v>
      </c>
      <c r="H468" s="244"/>
      <c r="K468" s="17"/>
      <c r="XFC468" s="20"/>
    </row>
    <row r="469" spans="1:11 16383:16383" x14ac:dyDescent="0.2">
      <c r="A469" s="139" t="s">
        <v>1428</v>
      </c>
      <c r="B469" s="136" t="s">
        <v>110</v>
      </c>
      <c r="C469" s="136" t="s">
        <v>1908</v>
      </c>
      <c r="D469" s="207" t="s">
        <v>583</v>
      </c>
      <c r="E469" s="207" t="s">
        <v>925</v>
      </c>
      <c r="F469" s="207" t="s">
        <v>1248</v>
      </c>
      <c r="G469" s="208" t="s">
        <v>583</v>
      </c>
      <c r="H469" s="244"/>
      <c r="K469" s="17"/>
      <c r="XFC469" s="20"/>
    </row>
    <row r="470" spans="1:11 16383:16383" x14ac:dyDescent="0.2">
      <c r="A470" s="139" t="s">
        <v>1429</v>
      </c>
      <c r="B470" s="136" t="s">
        <v>110</v>
      </c>
      <c r="C470" s="136" t="s">
        <v>581</v>
      </c>
      <c r="D470" s="207" t="s">
        <v>581</v>
      </c>
      <c r="E470" s="207" t="s">
        <v>923</v>
      </c>
      <c r="F470" s="207" t="s">
        <v>1248</v>
      </c>
      <c r="G470" s="208" t="s">
        <v>581</v>
      </c>
      <c r="H470" s="244"/>
      <c r="K470" s="17"/>
      <c r="XFC470" s="20"/>
    </row>
    <row r="471" spans="1:11 16383:16383" x14ac:dyDescent="0.2">
      <c r="A471" s="139" t="s">
        <v>1430</v>
      </c>
      <c r="B471" s="136" t="s">
        <v>110</v>
      </c>
      <c r="C471" s="136" t="s">
        <v>1909</v>
      </c>
      <c r="D471" s="207" t="s">
        <v>577</v>
      </c>
      <c r="E471" s="207" t="s">
        <v>920</v>
      </c>
      <c r="F471" s="207" t="s">
        <v>1248</v>
      </c>
      <c r="G471" s="208" t="s">
        <v>577</v>
      </c>
      <c r="H471" s="244"/>
      <c r="K471" s="17"/>
      <c r="XFC471" s="20"/>
    </row>
    <row r="472" spans="1:11 16383:16383" x14ac:dyDescent="0.2">
      <c r="A472" s="139" t="s">
        <v>1431</v>
      </c>
      <c r="B472" s="136" t="s">
        <v>110</v>
      </c>
      <c r="C472" s="136" t="s">
        <v>2178</v>
      </c>
      <c r="D472" s="207" t="s">
        <v>573</v>
      </c>
      <c r="E472" s="207" t="s">
        <v>1123</v>
      </c>
      <c r="F472" s="207" t="s">
        <v>1248</v>
      </c>
      <c r="G472" s="208" t="s">
        <v>573</v>
      </c>
      <c r="H472" s="244"/>
      <c r="K472" s="17"/>
      <c r="XFC472" s="20"/>
    </row>
    <row r="473" spans="1:11 16383:16383" x14ac:dyDescent="0.2">
      <c r="A473" s="139" t="s">
        <v>3741</v>
      </c>
      <c r="B473" s="136" t="s">
        <v>110</v>
      </c>
      <c r="C473" s="136" t="s">
        <v>2178</v>
      </c>
      <c r="D473" s="207" t="s">
        <v>3740</v>
      </c>
      <c r="E473" s="207" t="s">
        <v>1123</v>
      </c>
      <c r="F473" s="207" t="s">
        <v>1248</v>
      </c>
      <c r="G473" s="208" t="s">
        <v>3742</v>
      </c>
      <c r="H473" s="244"/>
      <c r="K473" s="17"/>
      <c r="XFC473" s="20"/>
    </row>
    <row r="474" spans="1:11 16383:16383" x14ac:dyDescent="0.2">
      <c r="A474" s="139" t="s">
        <v>1432</v>
      </c>
      <c r="B474" s="136" t="s">
        <v>108</v>
      </c>
      <c r="C474" s="136" t="s">
        <v>501</v>
      </c>
      <c r="D474" s="207" t="s">
        <v>501</v>
      </c>
      <c r="E474" s="207" t="s">
        <v>957</v>
      </c>
      <c r="F474" s="207" t="s">
        <v>481</v>
      </c>
      <c r="G474" s="208" t="s">
        <v>2179</v>
      </c>
      <c r="H474" s="244"/>
      <c r="K474" s="17"/>
      <c r="XFC474" s="20"/>
    </row>
    <row r="475" spans="1:11 16383:16383" x14ac:dyDescent="0.2">
      <c r="A475" s="139" t="s">
        <v>1433</v>
      </c>
      <c r="B475" s="136" t="s">
        <v>108</v>
      </c>
      <c r="C475" s="136" t="s">
        <v>496</v>
      </c>
      <c r="D475" s="207" t="s">
        <v>496</v>
      </c>
      <c r="E475" s="207" t="s">
        <v>915</v>
      </c>
      <c r="F475" s="207" t="s">
        <v>481</v>
      </c>
      <c r="G475" s="208" t="s">
        <v>2180</v>
      </c>
      <c r="H475" s="244"/>
      <c r="K475" s="17"/>
      <c r="XFC475" s="20"/>
    </row>
    <row r="476" spans="1:11 16383:16383" x14ac:dyDescent="0.2">
      <c r="A476" s="139" t="s">
        <v>2702</v>
      </c>
      <c r="B476" s="136" t="s">
        <v>108</v>
      </c>
      <c r="C476" s="136" t="s">
        <v>2703</v>
      </c>
      <c r="D476" s="207" t="s">
        <v>2700</v>
      </c>
      <c r="E476" s="207" t="s">
        <v>3235</v>
      </c>
      <c r="F476" s="207" t="s">
        <v>481</v>
      </c>
      <c r="G476" s="208" t="s">
        <v>2701</v>
      </c>
      <c r="H476" s="244"/>
      <c r="K476" s="17"/>
      <c r="XFC476" s="20"/>
    </row>
    <row r="477" spans="1:11 16383:16383" x14ac:dyDescent="0.2">
      <c r="A477" s="139" t="s">
        <v>2706</v>
      </c>
      <c r="B477" s="136" t="s">
        <v>108</v>
      </c>
      <c r="C477" s="136" t="s">
        <v>2704</v>
      </c>
      <c r="D477" s="207" t="s">
        <v>2705</v>
      </c>
      <c r="E477" s="207" t="s">
        <v>3189</v>
      </c>
      <c r="F477" s="207" t="s">
        <v>481</v>
      </c>
      <c r="G477" s="208" t="e">
        <v>#N/A</v>
      </c>
      <c r="H477" s="244"/>
      <c r="K477" s="17"/>
      <c r="XFC477" s="20"/>
    </row>
    <row r="478" spans="1:11 16383:16383" x14ac:dyDescent="0.2">
      <c r="A478" s="139" t="s">
        <v>1434</v>
      </c>
      <c r="B478" s="136" t="s">
        <v>108</v>
      </c>
      <c r="C478" s="127" t="s">
        <v>499</v>
      </c>
      <c r="D478" s="126" t="s">
        <v>499</v>
      </c>
      <c r="E478" s="153" t="s">
        <v>1089</v>
      </c>
      <c r="F478" s="153" t="s">
        <v>481</v>
      </c>
      <c r="G478" s="126" t="s">
        <v>500</v>
      </c>
      <c r="H478" s="245"/>
      <c r="XFC478" s="20"/>
    </row>
    <row r="479" spans="1:11 16383:16383" ht="16.5" customHeight="1" x14ac:dyDescent="0.2">
      <c r="A479" s="139" t="s">
        <v>1435</v>
      </c>
      <c r="B479" s="129" t="s">
        <v>108</v>
      </c>
      <c r="C479" s="129" t="s">
        <v>912</v>
      </c>
      <c r="D479" s="129" t="s">
        <v>912</v>
      </c>
      <c r="E479" s="226" t="s">
        <v>1080</v>
      </c>
      <c r="F479" s="226" t="s">
        <v>481</v>
      </c>
      <c r="G479" s="128" t="s">
        <v>482</v>
      </c>
      <c r="H479" s="245"/>
      <c r="XFC479" s="20"/>
    </row>
    <row r="480" spans="1:11 16383:16383" x14ac:dyDescent="0.2">
      <c r="A480" s="139" t="s">
        <v>2902</v>
      </c>
      <c r="B480" s="136" t="s">
        <v>108</v>
      </c>
      <c r="C480" s="136" t="s">
        <v>912</v>
      </c>
      <c r="D480" s="207" t="s">
        <v>2900</v>
      </c>
      <c r="E480" s="207" t="s">
        <v>1080</v>
      </c>
      <c r="F480" s="207" t="s">
        <v>481</v>
      </c>
      <c r="G480" s="208" t="s">
        <v>2901</v>
      </c>
      <c r="H480" s="244"/>
      <c r="K480" s="17"/>
      <c r="XFC480" s="20"/>
    </row>
    <row r="481" spans="1:11 16383:16383" x14ac:dyDescent="0.2">
      <c r="A481" s="139" t="s">
        <v>3078</v>
      </c>
      <c r="B481" s="136" t="s">
        <v>108</v>
      </c>
      <c r="C481" s="136" t="s">
        <v>912</v>
      </c>
      <c r="D481" s="136" t="s">
        <v>3076</v>
      </c>
      <c r="E481" s="136" t="s">
        <v>1080</v>
      </c>
      <c r="F481" s="136" t="s">
        <v>481</v>
      </c>
      <c r="G481" s="136" t="s">
        <v>3077</v>
      </c>
      <c r="H481" s="244"/>
      <c r="K481" s="17"/>
      <c r="XFC481" s="20"/>
    </row>
    <row r="482" spans="1:11 16383:16383" x14ac:dyDescent="0.2">
      <c r="A482" s="139" t="s">
        <v>3131</v>
      </c>
      <c r="B482" s="136" t="s">
        <v>108</v>
      </c>
      <c r="C482" s="136" t="s">
        <v>912</v>
      </c>
      <c r="D482" s="136" t="s">
        <v>3132</v>
      </c>
      <c r="E482" s="136" t="s">
        <v>1080</v>
      </c>
      <c r="F482" s="136" t="s">
        <v>481</v>
      </c>
      <c r="G482" s="136" t="s">
        <v>3133</v>
      </c>
      <c r="H482" s="244"/>
      <c r="K482" s="17"/>
      <c r="XFC482" s="20"/>
    </row>
    <row r="483" spans="1:11 16383:16383" x14ac:dyDescent="0.2">
      <c r="A483" s="139" t="s">
        <v>3287</v>
      </c>
      <c r="B483" s="136" t="s">
        <v>108</v>
      </c>
      <c r="C483" s="136" t="s">
        <v>912</v>
      </c>
      <c r="D483" s="207" t="s">
        <v>3288</v>
      </c>
      <c r="E483" s="207" t="s">
        <v>1080</v>
      </c>
      <c r="F483" s="207" t="s">
        <v>481</v>
      </c>
      <c r="G483" s="208" t="s">
        <v>3288</v>
      </c>
      <c r="H483" s="244"/>
      <c r="K483" s="17"/>
      <c r="XFC483" s="20"/>
    </row>
    <row r="484" spans="1:11 16383:16383" x14ac:dyDescent="0.2">
      <c r="A484" s="139" t="s">
        <v>3475</v>
      </c>
      <c r="B484" s="136" t="s">
        <v>108</v>
      </c>
      <c r="C484" s="136" t="s">
        <v>912</v>
      </c>
      <c r="D484" s="136" t="s">
        <v>3573</v>
      </c>
      <c r="E484" s="136" t="s">
        <v>1080</v>
      </c>
      <c r="F484" s="136" t="s">
        <v>481</v>
      </c>
      <c r="G484" s="136" t="s">
        <v>3574</v>
      </c>
      <c r="H484" s="244"/>
      <c r="K484" s="17"/>
      <c r="XFC484" s="20"/>
    </row>
    <row r="485" spans="1:11 16383:16383" x14ac:dyDescent="0.2">
      <c r="A485" s="139" t="s">
        <v>2690</v>
      </c>
      <c r="B485" s="136" t="s">
        <v>108</v>
      </c>
      <c r="C485" s="136" t="s">
        <v>2688</v>
      </c>
      <c r="D485" s="207" t="s">
        <v>2689</v>
      </c>
      <c r="E485" s="207" t="s">
        <v>3237</v>
      </c>
      <c r="F485" s="207" t="s">
        <v>481</v>
      </c>
      <c r="G485" s="208" t="s">
        <v>2691</v>
      </c>
      <c r="H485" s="244"/>
      <c r="K485" s="17"/>
      <c r="XFC485" s="20"/>
    </row>
    <row r="486" spans="1:11 16383:16383" x14ac:dyDescent="0.2">
      <c r="A486" s="139" t="s">
        <v>2694</v>
      </c>
      <c r="B486" s="136" t="s">
        <v>108</v>
      </c>
      <c r="C486" s="136" t="s">
        <v>2699</v>
      </c>
      <c r="D486" s="207" t="s">
        <v>2692</v>
      </c>
      <c r="E486" s="207" t="s">
        <v>3236</v>
      </c>
      <c r="F486" s="207" t="s">
        <v>481</v>
      </c>
      <c r="G486" s="208" t="s">
        <v>2693</v>
      </c>
      <c r="H486" s="244"/>
      <c r="K486" s="17"/>
      <c r="XFC486" s="20"/>
    </row>
    <row r="487" spans="1:11 16383:16383" x14ac:dyDescent="0.2">
      <c r="A487" s="139" t="s">
        <v>2898</v>
      </c>
      <c r="B487" s="136" t="s">
        <v>108</v>
      </c>
      <c r="C487" s="136" t="s">
        <v>2699</v>
      </c>
      <c r="D487" s="136" t="s">
        <v>2897</v>
      </c>
      <c r="E487" s="136" t="s">
        <v>3236</v>
      </c>
      <c r="F487" s="136" t="s">
        <v>481</v>
      </c>
      <c r="G487" s="136" t="s">
        <v>2899</v>
      </c>
      <c r="H487" s="244"/>
      <c r="K487" s="17"/>
      <c r="XFC487" s="20"/>
    </row>
    <row r="488" spans="1:11 16383:16383" x14ac:dyDescent="0.2">
      <c r="A488" s="139" t="s">
        <v>1436</v>
      </c>
      <c r="B488" s="136" t="s">
        <v>108</v>
      </c>
      <c r="C488" s="136" t="s">
        <v>494</v>
      </c>
      <c r="D488" s="207" t="s">
        <v>494</v>
      </c>
      <c r="E488" s="207" t="s">
        <v>914</v>
      </c>
      <c r="F488" s="207" t="s">
        <v>481</v>
      </c>
      <c r="G488" s="208" t="s">
        <v>495</v>
      </c>
      <c r="H488" s="244"/>
      <c r="K488" s="17"/>
      <c r="XFC488" s="20"/>
    </row>
    <row r="489" spans="1:11 16383:16383" ht="18" customHeight="1" x14ac:dyDescent="0.2">
      <c r="A489" s="139" t="s">
        <v>1437</v>
      </c>
      <c r="B489" s="136" t="s">
        <v>108</v>
      </c>
      <c r="C489" s="136" t="s">
        <v>488</v>
      </c>
      <c r="D489" s="207" t="s">
        <v>488</v>
      </c>
      <c r="E489" s="207" t="s">
        <v>913</v>
      </c>
      <c r="F489" s="207" t="s">
        <v>481</v>
      </c>
      <c r="G489" s="208" t="s">
        <v>489</v>
      </c>
      <c r="H489" s="244"/>
      <c r="K489" s="17"/>
      <c r="XFC489" s="20"/>
    </row>
    <row r="490" spans="1:11 16383:16383" x14ac:dyDescent="0.2">
      <c r="A490" s="139" t="s">
        <v>3086</v>
      </c>
      <c r="B490" s="136" t="s">
        <v>108</v>
      </c>
      <c r="C490" s="136" t="s">
        <v>3085</v>
      </c>
      <c r="D490" s="207" t="s">
        <v>3085</v>
      </c>
      <c r="E490" s="207" t="s">
        <v>1101</v>
      </c>
      <c r="F490" s="207" t="s">
        <v>481</v>
      </c>
      <c r="G490" s="208" t="s">
        <v>3087</v>
      </c>
      <c r="H490" s="244"/>
      <c r="K490" s="17"/>
      <c r="XFC490" s="20"/>
    </row>
    <row r="491" spans="1:11 16383:16383" x14ac:dyDescent="0.2">
      <c r="A491" s="139" t="s">
        <v>2698</v>
      </c>
      <c r="B491" s="136" t="s">
        <v>108</v>
      </c>
      <c r="C491" s="136" t="s">
        <v>2695</v>
      </c>
      <c r="D491" s="207" t="s">
        <v>2696</v>
      </c>
      <c r="E491" s="207" t="s">
        <v>3238</v>
      </c>
      <c r="F491" s="207" t="s">
        <v>481</v>
      </c>
      <c r="G491" s="208" t="s">
        <v>2697</v>
      </c>
      <c r="H491" s="244"/>
      <c r="K491" s="17"/>
      <c r="XFC491" s="20"/>
    </row>
    <row r="492" spans="1:11 16383:16383" x14ac:dyDescent="0.2">
      <c r="A492" s="139" t="s">
        <v>1438</v>
      </c>
      <c r="B492" s="136" t="s">
        <v>108</v>
      </c>
      <c r="C492" s="136" t="s">
        <v>483</v>
      </c>
      <c r="D492" s="207" t="s">
        <v>3019</v>
      </c>
      <c r="E492" s="207" t="s">
        <v>1081</v>
      </c>
      <c r="F492" s="207" t="s">
        <v>481</v>
      </c>
      <c r="G492" s="208" t="s">
        <v>484</v>
      </c>
      <c r="H492" s="244"/>
      <c r="K492" s="17"/>
      <c r="XFC492" s="20"/>
    </row>
    <row r="493" spans="1:11 16383:16383" x14ac:dyDescent="0.2">
      <c r="A493" s="139" t="s">
        <v>3021</v>
      </c>
      <c r="B493" s="136" t="s">
        <v>108</v>
      </c>
      <c r="C493" s="136" t="s">
        <v>483</v>
      </c>
      <c r="D493" s="207" t="s">
        <v>3020</v>
      </c>
      <c r="E493" s="207" t="s">
        <v>1081</v>
      </c>
      <c r="F493" s="207" t="s">
        <v>481</v>
      </c>
      <c r="G493" s="208" t="e">
        <v>#N/A</v>
      </c>
      <c r="H493" s="244"/>
      <c r="K493" s="17"/>
      <c r="XFC493" s="20"/>
    </row>
    <row r="494" spans="1:11 16383:16383" x14ac:dyDescent="0.2">
      <c r="A494" s="139" t="s">
        <v>3476</v>
      </c>
      <c r="B494" s="136" t="s">
        <v>108</v>
      </c>
      <c r="C494" s="136" t="s">
        <v>483</v>
      </c>
      <c r="D494" s="207" t="s">
        <v>3575</v>
      </c>
      <c r="E494" s="207" t="s">
        <v>1081</v>
      </c>
      <c r="F494" s="207" t="s">
        <v>481</v>
      </c>
      <c r="G494" s="208" t="s">
        <v>3576</v>
      </c>
      <c r="H494" s="244"/>
      <c r="K494" s="17"/>
      <c r="XFC494" s="20"/>
    </row>
    <row r="495" spans="1:11 16383:16383" x14ac:dyDescent="0.2">
      <c r="A495" s="139" t="s">
        <v>1439</v>
      </c>
      <c r="B495" s="136" t="s">
        <v>108</v>
      </c>
      <c r="C495" s="136" t="s">
        <v>486</v>
      </c>
      <c r="D495" s="207" t="s">
        <v>486</v>
      </c>
      <c r="E495" s="207" t="s">
        <v>1083</v>
      </c>
      <c r="F495" s="207" t="s">
        <v>481</v>
      </c>
      <c r="G495" s="208" t="s">
        <v>486</v>
      </c>
      <c r="H495" s="244"/>
      <c r="K495" s="17"/>
      <c r="XFC495" s="20"/>
    </row>
    <row r="496" spans="1:11 16383:16383" x14ac:dyDescent="0.2">
      <c r="A496" s="139" t="s">
        <v>1440</v>
      </c>
      <c r="B496" s="136" t="s">
        <v>108</v>
      </c>
      <c r="C496" s="136" t="s">
        <v>490</v>
      </c>
      <c r="D496" s="207" t="s">
        <v>490</v>
      </c>
      <c r="E496" s="207" t="s">
        <v>1085</v>
      </c>
      <c r="F496" s="207" t="s">
        <v>481</v>
      </c>
      <c r="G496" s="208" t="s">
        <v>490</v>
      </c>
      <c r="H496" s="244"/>
      <c r="K496" s="17"/>
      <c r="XFC496" s="20"/>
    </row>
    <row r="497" spans="1:11 16383:16383" x14ac:dyDescent="0.2">
      <c r="A497" s="139" t="s">
        <v>1441</v>
      </c>
      <c r="B497" s="136" t="s">
        <v>108</v>
      </c>
      <c r="C497" s="136" t="s">
        <v>502</v>
      </c>
      <c r="D497" s="207" t="s">
        <v>502</v>
      </c>
      <c r="E497" s="207" t="s">
        <v>1090</v>
      </c>
      <c r="F497" s="207" t="s">
        <v>481</v>
      </c>
      <c r="G497" s="208" t="s">
        <v>502</v>
      </c>
      <c r="H497" s="244"/>
      <c r="K497" s="17"/>
      <c r="XFC497" s="20"/>
    </row>
    <row r="498" spans="1:11 16383:16383" x14ac:dyDescent="0.2">
      <c r="A498" s="139" t="s">
        <v>3090</v>
      </c>
      <c r="B498" s="136" t="s">
        <v>108</v>
      </c>
      <c r="C498" s="136" t="s">
        <v>3088</v>
      </c>
      <c r="D498" s="207" t="s">
        <v>3088</v>
      </c>
      <c r="E498" s="207" t="s">
        <v>3089</v>
      </c>
      <c r="F498" s="207" t="s">
        <v>481</v>
      </c>
      <c r="G498" s="208" t="e">
        <v>#N/A</v>
      </c>
      <c r="H498" s="244"/>
      <c r="K498" s="17"/>
      <c r="XFC498" s="20"/>
    </row>
    <row r="499" spans="1:11 16383:16383" x14ac:dyDescent="0.2">
      <c r="A499" s="139" t="s">
        <v>1442</v>
      </c>
      <c r="B499" s="136" t="s">
        <v>108</v>
      </c>
      <c r="C499" s="136" t="s">
        <v>492</v>
      </c>
      <c r="D499" s="207" t="s">
        <v>492</v>
      </c>
      <c r="E499" s="207" t="s">
        <v>1086</v>
      </c>
      <c r="F499" s="207" t="s">
        <v>481</v>
      </c>
      <c r="G499" s="208" t="s">
        <v>492</v>
      </c>
      <c r="H499" s="244"/>
      <c r="K499" s="17"/>
      <c r="XFC499" s="20"/>
    </row>
    <row r="500" spans="1:11 16383:16383" x14ac:dyDescent="0.2">
      <c r="A500" s="139" t="s">
        <v>2709</v>
      </c>
      <c r="B500" s="136" t="s">
        <v>108</v>
      </c>
      <c r="C500" s="136" t="s">
        <v>2707</v>
      </c>
      <c r="D500" s="207" t="s">
        <v>2708</v>
      </c>
      <c r="E500" s="207" t="s">
        <v>898</v>
      </c>
      <c r="F500" s="207" t="s">
        <v>481</v>
      </c>
      <c r="G500" s="208" t="s">
        <v>2708</v>
      </c>
      <c r="H500" s="244"/>
      <c r="K500" s="17"/>
      <c r="XFC500" s="20"/>
    </row>
    <row r="501" spans="1:11 16383:16383" x14ac:dyDescent="0.2">
      <c r="A501" s="139" t="s">
        <v>1443</v>
      </c>
      <c r="B501" s="136" t="s">
        <v>108</v>
      </c>
      <c r="C501" s="136" t="s">
        <v>497</v>
      </c>
      <c r="D501" s="207" t="s">
        <v>497</v>
      </c>
      <c r="E501" s="207" t="s">
        <v>1084</v>
      </c>
      <c r="F501" s="207" t="s">
        <v>481</v>
      </c>
      <c r="G501" s="208" t="s">
        <v>497</v>
      </c>
      <c r="H501" s="244"/>
      <c r="K501" s="17"/>
      <c r="XFC501" s="20"/>
    </row>
    <row r="502" spans="1:11 16383:16383" x14ac:dyDescent="0.2">
      <c r="A502" s="139" t="s">
        <v>1649</v>
      </c>
      <c r="B502" s="136" t="s">
        <v>108</v>
      </c>
      <c r="C502" s="136" t="s">
        <v>487</v>
      </c>
      <c r="D502" s="207" t="s">
        <v>487</v>
      </c>
      <c r="E502" s="207" t="s">
        <v>1648</v>
      </c>
      <c r="F502" s="207" t="s">
        <v>481</v>
      </c>
      <c r="G502" s="208" t="s">
        <v>487</v>
      </c>
      <c r="H502" s="244"/>
      <c r="K502" s="17"/>
      <c r="XFC502" s="20"/>
    </row>
    <row r="503" spans="1:11 16383:16383" x14ac:dyDescent="0.2">
      <c r="A503" s="139" t="s">
        <v>1444</v>
      </c>
      <c r="B503" s="136" t="s">
        <v>108</v>
      </c>
      <c r="C503" s="136" t="s">
        <v>498</v>
      </c>
      <c r="D503" s="207" t="s">
        <v>498</v>
      </c>
      <c r="E503" s="207" t="s">
        <v>1088</v>
      </c>
      <c r="F503" s="207" t="s">
        <v>481</v>
      </c>
      <c r="G503" s="208" t="s">
        <v>498</v>
      </c>
      <c r="H503" s="244"/>
      <c r="K503" s="17"/>
      <c r="XFC503" s="20"/>
    </row>
    <row r="504" spans="1:11 16383:16383" x14ac:dyDescent="0.2">
      <c r="A504" s="139" t="s">
        <v>3084</v>
      </c>
      <c r="B504" s="136" t="s">
        <v>108</v>
      </c>
      <c r="C504" s="136" t="s">
        <v>3082</v>
      </c>
      <c r="D504" s="207" t="s">
        <v>3082</v>
      </c>
      <c r="E504" s="207" t="s">
        <v>3239</v>
      </c>
      <c r="F504" s="207" t="s">
        <v>481</v>
      </c>
      <c r="G504" s="208" t="s">
        <v>3082</v>
      </c>
      <c r="H504" s="244"/>
      <c r="K504" s="17"/>
      <c r="XFC504" s="20"/>
    </row>
    <row r="505" spans="1:11 16383:16383" x14ac:dyDescent="0.2">
      <c r="A505" s="139" t="s">
        <v>3093</v>
      </c>
      <c r="B505" s="136" t="s">
        <v>108</v>
      </c>
      <c r="C505" s="136" t="s">
        <v>3092</v>
      </c>
      <c r="D505" s="207" t="s">
        <v>3092</v>
      </c>
      <c r="E505" s="207" t="s">
        <v>3091</v>
      </c>
      <c r="F505" s="207" t="s">
        <v>481</v>
      </c>
      <c r="G505" s="208" t="s">
        <v>3291</v>
      </c>
      <c r="H505" s="244"/>
      <c r="K505" s="17"/>
      <c r="XFC505" s="20"/>
    </row>
    <row r="506" spans="1:11 16383:16383" x14ac:dyDescent="0.2">
      <c r="A506" s="139" t="s">
        <v>1445</v>
      </c>
      <c r="B506" s="136" t="s">
        <v>108</v>
      </c>
      <c r="C506" s="136" t="s">
        <v>491</v>
      </c>
      <c r="D506" s="207" t="s">
        <v>491</v>
      </c>
      <c r="E506" s="207" t="s">
        <v>1046</v>
      </c>
      <c r="F506" s="207" t="s">
        <v>481</v>
      </c>
      <c r="G506" s="208" t="s">
        <v>491</v>
      </c>
      <c r="H506" s="244"/>
      <c r="K506" s="17"/>
      <c r="XFC506" s="20"/>
    </row>
    <row r="507" spans="1:11 16383:16383" x14ac:dyDescent="0.2">
      <c r="A507" s="139" t="s">
        <v>1446</v>
      </c>
      <c r="B507" s="136" t="s">
        <v>108</v>
      </c>
      <c r="C507" s="136" t="s">
        <v>493</v>
      </c>
      <c r="D507" s="207" t="s">
        <v>493</v>
      </c>
      <c r="E507" s="207" t="s">
        <v>1087</v>
      </c>
      <c r="F507" s="207" t="s">
        <v>481</v>
      </c>
      <c r="G507" s="208" t="s">
        <v>493</v>
      </c>
      <c r="H507" s="244"/>
      <c r="K507" s="17"/>
      <c r="XFC507" s="20"/>
    </row>
    <row r="508" spans="1:11 16383:16383" x14ac:dyDescent="0.2">
      <c r="A508" s="139" t="s">
        <v>3081</v>
      </c>
      <c r="B508" s="136" t="s">
        <v>108</v>
      </c>
      <c r="C508" s="136" t="s">
        <v>3079</v>
      </c>
      <c r="D508" s="207" t="s">
        <v>3079</v>
      </c>
      <c r="E508" s="207" t="s">
        <v>3080</v>
      </c>
      <c r="F508" s="207" t="s">
        <v>481</v>
      </c>
      <c r="G508" s="207" t="s">
        <v>3293</v>
      </c>
      <c r="H508" s="244"/>
      <c r="K508" s="17"/>
      <c r="XFC508" s="20"/>
    </row>
    <row r="509" spans="1:11 16383:16383" x14ac:dyDescent="0.2">
      <c r="A509" s="139" t="s">
        <v>1447</v>
      </c>
      <c r="B509" s="136" t="s">
        <v>108</v>
      </c>
      <c r="C509" s="136" t="s">
        <v>1904</v>
      </c>
      <c r="D509" s="207" t="s">
        <v>1904</v>
      </c>
      <c r="E509" s="207" t="s">
        <v>916</v>
      </c>
      <c r="F509" s="207" t="s">
        <v>481</v>
      </c>
      <c r="G509" s="207" t="s">
        <v>1904</v>
      </c>
      <c r="H509" s="244"/>
      <c r="K509" s="17"/>
      <c r="XFC509" s="20"/>
    </row>
    <row r="510" spans="1:11 16383:16383" x14ac:dyDescent="0.2">
      <c r="A510" s="139" t="s">
        <v>1448</v>
      </c>
      <c r="B510" s="136" t="s">
        <v>108</v>
      </c>
      <c r="C510" s="136" t="s">
        <v>485</v>
      </c>
      <c r="D510" s="207" t="s">
        <v>485</v>
      </c>
      <c r="E510" s="207" t="s">
        <v>1082</v>
      </c>
      <c r="F510" s="207" t="s">
        <v>481</v>
      </c>
      <c r="G510" s="208" t="s">
        <v>485</v>
      </c>
      <c r="H510" s="244"/>
      <c r="K510" s="17"/>
      <c r="XFC510" s="20"/>
    </row>
    <row r="511" spans="1:11 16383:16383" ht="21" customHeight="1" x14ac:dyDescent="0.2">
      <c r="A511" s="139" t="s">
        <v>2343</v>
      </c>
      <c r="B511" s="136" t="s">
        <v>599</v>
      </c>
      <c r="C511" s="136" t="s">
        <v>599</v>
      </c>
      <c r="D511" s="207" t="s">
        <v>600</v>
      </c>
      <c r="E511" s="207" t="s">
        <v>929</v>
      </c>
      <c r="F511" s="207" t="s">
        <v>3249</v>
      </c>
      <c r="G511" s="216" t="s">
        <v>3620</v>
      </c>
      <c r="H511" s="244"/>
      <c r="K511" s="17"/>
      <c r="XFC511" s="20"/>
    </row>
    <row r="512" spans="1:11 16383:16383" x14ac:dyDescent="0.2">
      <c r="A512" s="139" t="s">
        <v>2344</v>
      </c>
      <c r="B512" s="136" t="s">
        <v>599</v>
      </c>
      <c r="C512" s="136" t="s">
        <v>599</v>
      </c>
      <c r="D512" s="207" t="s">
        <v>601</v>
      </c>
      <c r="E512" s="207" t="s">
        <v>929</v>
      </c>
      <c r="F512" s="207" t="s">
        <v>3249</v>
      </c>
      <c r="G512" s="216" t="s">
        <v>3621</v>
      </c>
      <c r="H512" s="244"/>
      <c r="K512" s="17"/>
      <c r="XFC512" s="20"/>
    </row>
    <row r="513" spans="1:11 16383:16383" x14ac:dyDescent="0.2">
      <c r="A513" s="139" t="s">
        <v>2345</v>
      </c>
      <c r="B513" s="136" t="s">
        <v>599</v>
      </c>
      <c r="C513" s="136" t="s">
        <v>599</v>
      </c>
      <c r="D513" s="207" t="s">
        <v>602</v>
      </c>
      <c r="E513" s="207" t="s">
        <v>929</v>
      </c>
      <c r="F513" s="207" t="s">
        <v>3249</v>
      </c>
      <c r="G513" s="216" t="s">
        <v>3622</v>
      </c>
      <c r="H513" s="244"/>
      <c r="K513" s="17"/>
      <c r="XFC513" s="20"/>
    </row>
    <row r="514" spans="1:11 16383:16383" x14ac:dyDescent="0.2">
      <c r="A514" s="139" t="s">
        <v>2346</v>
      </c>
      <c r="B514" s="136" t="s">
        <v>599</v>
      </c>
      <c r="C514" s="136" t="s">
        <v>599</v>
      </c>
      <c r="D514" s="207" t="s">
        <v>603</v>
      </c>
      <c r="E514" s="207" t="s">
        <v>929</v>
      </c>
      <c r="F514" s="207" t="s">
        <v>3249</v>
      </c>
      <c r="G514" s="216" t="s">
        <v>3623</v>
      </c>
      <c r="H514" s="244"/>
      <c r="K514" s="17"/>
      <c r="XFC514" s="20"/>
    </row>
    <row r="515" spans="1:11 16383:16383" x14ac:dyDescent="0.2">
      <c r="A515" s="139" t="s">
        <v>2347</v>
      </c>
      <c r="B515" s="136" t="s">
        <v>599</v>
      </c>
      <c r="C515" s="136" t="s">
        <v>599</v>
      </c>
      <c r="D515" s="207" t="s">
        <v>604</v>
      </c>
      <c r="E515" s="207" t="s">
        <v>929</v>
      </c>
      <c r="F515" s="207" t="s">
        <v>3249</v>
      </c>
      <c r="G515" s="216" t="s">
        <v>3624</v>
      </c>
      <c r="H515" s="244"/>
      <c r="K515" s="17"/>
      <c r="XFC515" s="20"/>
    </row>
    <row r="516" spans="1:11 16383:16383" x14ac:dyDescent="0.2">
      <c r="A516" s="139" t="s">
        <v>2348</v>
      </c>
      <c r="B516" s="136" t="s">
        <v>599</v>
      </c>
      <c r="C516" s="136" t="s">
        <v>599</v>
      </c>
      <c r="D516" s="207" t="s">
        <v>1915</v>
      </c>
      <c r="E516" s="207" t="s">
        <v>929</v>
      </c>
      <c r="F516" s="207" t="s">
        <v>3249</v>
      </c>
      <c r="G516" s="216" t="s">
        <v>3625</v>
      </c>
      <c r="H516" s="244"/>
      <c r="K516" s="17"/>
      <c r="XFC516" s="20"/>
    </row>
    <row r="517" spans="1:11 16383:16383" x14ac:dyDescent="0.2">
      <c r="A517" s="139" t="s">
        <v>2349</v>
      </c>
      <c r="B517" s="136" t="s">
        <v>599</v>
      </c>
      <c r="C517" s="136" t="s">
        <v>599</v>
      </c>
      <c r="D517" s="207" t="s">
        <v>605</v>
      </c>
      <c r="E517" s="207" t="s">
        <v>929</v>
      </c>
      <c r="F517" s="207" t="s">
        <v>3249</v>
      </c>
      <c r="G517" s="216" t="s">
        <v>3626</v>
      </c>
      <c r="H517" s="244"/>
      <c r="K517" s="17"/>
      <c r="XFC517" s="20"/>
    </row>
    <row r="518" spans="1:11 16383:16383" x14ac:dyDescent="0.2">
      <c r="A518" s="139" t="s">
        <v>2350</v>
      </c>
      <c r="B518" s="136" t="s">
        <v>599</v>
      </c>
      <c r="C518" s="136" t="s">
        <v>599</v>
      </c>
      <c r="D518" s="207" t="s">
        <v>606</v>
      </c>
      <c r="E518" s="207" t="s">
        <v>929</v>
      </c>
      <c r="F518" s="207" t="s">
        <v>3249</v>
      </c>
      <c r="G518" s="216" t="s">
        <v>3627</v>
      </c>
      <c r="H518" s="244"/>
      <c r="K518" s="17"/>
      <c r="XFC518" s="20"/>
    </row>
    <row r="519" spans="1:11 16383:16383" x14ac:dyDescent="0.2">
      <c r="A519" s="139" t="s">
        <v>2351</v>
      </c>
      <c r="B519" s="136" t="s">
        <v>599</v>
      </c>
      <c r="C519" s="136" t="s">
        <v>599</v>
      </c>
      <c r="D519" s="207" t="s">
        <v>607</v>
      </c>
      <c r="E519" s="207" t="s">
        <v>929</v>
      </c>
      <c r="F519" s="207" t="s">
        <v>3249</v>
      </c>
      <c r="G519" s="216" t="s">
        <v>3628</v>
      </c>
      <c r="H519" s="244"/>
      <c r="K519" s="17"/>
      <c r="XFC519" s="20"/>
    </row>
    <row r="520" spans="1:11 16383:16383" x14ac:dyDescent="0.2">
      <c r="A520" s="139" t="s">
        <v>2352</v>
      </c>
      <c r="B520" s="136" t="s">
        <v>599</v>
      </c>
      <c r="C520" s="136" t="s">
        <v>599</v>
      </c>
      <c r="D520" s="207" t="s">
        <v>608</v>
      </c>
      <c r="E520" s="207" t="s">
        <v>929</v>
      </c>
      <c r="F520" s="207" t="s">
        <v>3249</v>
      </c>
      <c r="G520" s="216" t="s">
        <v>3629</v>
      </c>
      <c r="H520" s="244"/>
      <c r="K520" s="17"/>
      <c r="XFC520" s="20"/>
    </row>
    <row r="521" spans="1:11 16383:16383" x14ac:dyDescent="0.2">
      <c r="A521" s="139" t="s">
        <v>2353</v>
      </c>
      <c r="B521" s="136" t="s">
        <v>599</v>
      </c>
      <c r="C521" s="136" t="s">
        <v>599</v>
      </c>
      <c r="D521" s="207" t="s">
        <v>609</v>
      </c>
      <c r="E521" s="207" t="s">
        <v>929</v>
      </c>
      <c r="F521" s="207" t="s">
        <v>3249</v>
      </c>
      <c r="G521" s="216" t="s">
        <v>3630</v>
      </c>
      <c r="H521" s="244"/>
      <c r="K521" s="17"/>
      <c r="XFC521" s="20"/>
    </row>
    <row r="522" spans="1:11 16383:16383" x14ac:dyDescent="0.2">
      <c r="A522" s="139" t="s">
        <v>2354</v>
      </c>
      <c r="B522" s="136" t="s">
        <v>599</v>
      </c>
      <c r="C522" s="136" t="s">
        <v>599</v>
      </c>
      <c r="D522" s="207" t="s">
        <v>610</v>
      </c>
      <c r="E522" s="207" t="s">
        <v>929</v>
      </c>
      <c r="F522" s="207" t="s">
        <v>3249</v>
      </c>
      <c r="G522" s="216" t="s">
        <v>3631</v>
      </c>
      <c r="H522" s="244"/>
      <c r="K522" s="17"/>
      <c r="XFC522" s="20"/>
    </row>
    <row r="523" spans="1:11 16383:16383" x14ac:dyDescent="0.2">
      <c r="A523" s="139" t="s">
        <v>2355</v>
      </c>
      <c r="B523" s="136" t="s">
        <v>599</v>
      </c>
      <c r="C523" s="136" t="s">
        <v>599</v>
      </c>
      <c r="D523" s="207" t="s">
        <v>611</v>
      </c>
      <c r="E523" s="207" t="s">
        <v>929</v>
      </c>
      <c r="F523" s="207" t="s">
        <v>3249</v>
      </c>
      <c r="G523" s="216" t="s">
        <v>3632</v>
      </c>
      <c r="H523" s="244"/>
      <c r="K523" s="17"/>
      <c r="XFC523" s="20"/>
    </row>
    <row r="524" spans="1:11 16383:16383" x14ac:dyDescent="0.2">
      <c r="A524" s="139" t="s">
        <v>2356</v>
      </c>
      <c r="B524" s="136" t="s">
        <v>599</v>
      </c>
      <c r="C524" s="136" t="s">
        <v>599</v>
      </c>
      <c r="D524" s="207" t="s">
        <v>612</v>
      </c>
      <c r="E524" s="207" t="s">
        <v>929</v>
      </c>
      <c r="F524" s="207" t="s">
        <v>3249</v>
      </c>
      <c r="G524" s="216" t="s">
        <v>3633</v>
      </c>
      <c r="H524" s="244"/>
      <c r="K524" s="17"/>
      <c r="XFC524" s="20"/>
    </row>
    <row r="525" spans="1:11 16383:16383" x14ac:dyDescent="0.2">
      <c r="A525" s="139" t="s">
        <v>2357</v>
      </c>
      <c r="B525" s="136" t="s">
        <v>599</v>
      </c>
      <c r="C525" s="136" t="s">
        <v>599</v>
      </c>
      <c r="D525" s="207" t="s">
        <v>613</v>
      </c>
      <c r="E525" s="207" t="s">
        <v>929</v>
      </c>
      <c r="F525" s="207" t="s">
        <v>3249</v>
      </c>
      <c r="G525" s="216" t="s">
        <v>3634</v>
      </c>
      <c r="H525" s="244"/>
      <c r="K525" s="17"/>
      <c r="XFC525" s="20"/>
    </row>
    <row r="526" spans="1:11 16383:16383" x14ac:dyDescent="0.2">
      <c r="A526" s="139" t="s">
        <v>2476</v>
      </c>
      <c r="B526" s="136" t="s">
        <v>599</v>
      </c>
      <c r="C526" s="136" t="s">
        <v>599</v>
      </c>
      <c r="D526" s="207" t="s">
        <v>2477</v>
      </c>
      <c r="E526" s="207" t="s">
        <v>929</v>
      </c>
      <c r="F526" s="207" t="s">
        <v>3249</v>
      </c>
      <c r="G526" s="216" t="s">
        <v>3635</v>
      </c>
      <c r="H526" s="244"/>
      <c r="K526" s="17"/>
      <c r="XFC526" s="20"/>
    </row>
    <row r="527" spans="1:11 16383:16383" x14ac:dyDescent="0.2">
      <c r="A527" s="139" t="s">
        <v>2478</v>
      </c>
      <c r="B527" s="136" t="s">
        <v>599</v>
      </c>
      <c r="C527" s="136" t="s">
        <v>599</v>
      </c>
      <c r="D527" s="207" t="s">
        <v>3320</v>
      </c>
      <c r="E527" s="207" t="s">
        <v>929</v>
      </c>
      <c r="F527" s="207" t="s">
        <v>3249</v>
      </c>
      <c r="G527" s="216" t="s">
        <v>3636</v>
      </c>
      <c r="H527" s="244"/>
      <c r="K527" s="17"/>
      <c r="XFC527" s="20"/>
    </row>
    <row r="528" spans="1:11 16383:16383" x14ac:dyDescent="0.2">
      <c r="A528" s="139" t="s">
        <v>2514</v>
      </c>
      <c r="B528" s="136" t="s">
        <v>599</v>
      </c>
      <c r="C528" s="136" t="s">
        <v>599</v>
      </c>
      <c r="D528" s="207" t="s">
        <v>2515</v>
      </c>
      <c r="E528" s="207" t="s">
        <v>929</v>
      </c>
      <c r="F528" s="207" t="s">
        <v>3249</v>
      </c>
      <c r="G528" s="216" t="s">
        <v>3637</v>
      </c>
      <c r="H528" s="244"/>
      <c r="K528" s="17"/>
      <c r="XFC528" s="20"/>
    </row>
    <row r="529" spans="1:11 16383:16383" x14ac:dyDescent="0.2">
      <c r="A529" s="227" t="s">
        <v>2516</v>
      </c>
      <c r="B529" s="228" t="s">
        <v>599</v>
      </c>
      <c r="C529" s="229" t="s">
        <v>599</v>
      </c>
      <c r="D529" s="230" t="s">
        <v>2517</v>
      </c>
      <c r="E529" s="231" t="s">
        <v>929</v>
      </c>
      <c r="F529" s="231" t="s">
        <v>3249</v>
      </c>
      <c r="G529" s="216" t="s">
        <v>3638</v>
      </c>
      <c r="H529" s="245"/>
      <c r="XFC529" s="20"/>
    </row>
    <row r="530" spans="1:11 16383:16383" x14ac:dyDescent="0.2">
      <c r="A530" s="139" t="s">
        <v>2928</v>
      </c>
      <c r="B530" s="136" t="s">
        <v>599</v>
      </c>
      <c r="C530" s="136" t="s">
        <v>599</v>
      </c>
      <c r="D530" s="207" t="s">
        <v>2927</v>
      </c>
      <c r="E530" s="207" t="s">
        <v>929</v>
      </c>
      <c r="F530" s="207" t="s">
        <v>3249</v>
      </c>
      <c r="G530" s="216" t="s">
        <v>3639</v>
      </c>
      <c r="H530" s="244"/>
      <c r="K530" s="17"/>
      <c r="XFC530" s="20"/>
    </row>
    <row r="531" spans="1:11 16383:16383" x14ac:dyDescent="0.2">
      <c r="A531" s="139" t="s">
        <v>1449</v>
      </c>
      <c r="B531" s="136" t="s">
        <v>112</v>
      </c>
      <c r="C531" s="136" t="s">
        <v>588</v>
      </c>
      <c r="D531" s="207" t="s">
        <v>2181</v>
      </c>
      <c r="E531" s="207" t="s">
        <v>927</v>
      </c>
      <c r="F531" s="207" t="s">
        <v>1250</v>
      </c>
      <c r="G531" s="208" t="s">
        <v>2181</v>
      </c>
      <c r="H531" s="244"/>
      <c r="K531" s="17"/>
      <c r="XFC531" s="20"/>
    </row>
    <row r="532" spans="1:11 16383:16383" x14ac:dyDescent="0.2">
      <c r="A532" s="227" t="s">
        <v>1650</v>
      </c>
      <c r="B532" s="136" t="s">
        <v>112</v>
      </c>
      <c r="C532" s="232" t="s">
        <v>596</v>
      </c>
      <c r="D532" s="233" t="s">
        <v>595</v>
      </c>
      <c r="E532" s="233" t="s">
        <v>927</v>
      </c>
      <c r="F532" s="233" t="s">
        <v>1250</v>
      </c>
      <c r="G532" s="233" t="s">
        <v>595</v>
      </c>
      <c r="H532" s="245"/>
      <c r="XFC532" s="20"/>
    </row>
    <row r="533" spans="1:11 16383:16383" x14ac:dyDescent="0.2">
      <c r="A533" s="227" t="s">
        <v>3096</v>
      </c>
      <c r="B533" s="136" t="s">
        <v>112</v>
      </c>
      <c r="C533" s="232" t="s">
        <v>3024</v>
      </c>
      <c r="D533" s="233" t="s">
        <v>3026</v>
      </c>
      <c r="E533" s="233" t="s">
        <v>927</v>
      </c>
      <c r="F533" s="233" t="s">
        <v>1250</v>
      </c>
      <c r="G533" s="233" t="s">
        <v>3026</v>
      </c>
      <c r="H533" s="245"/>
      <c r="XFC533" s="20"/>
    </row>
    <row r="534" spans="1:11 16383:16383" x14ac:dyDescent="0.2">
      <c r="A534" s="227" t="s">
        <v>3097</v>
      </c>
      <c r="B534" s="136" t="s">
        <v>112</v>
      </c>
      <c r="C534" s="232" t="s">
        <v>3025</v>
      </c>
      <c r="D534" s="233" t="s">
        <v>3027</v>
      </c>
      <c r="E534" s="233" t="s">
        <v>927</v>
      </c>
      <c r="F534" s="233" t="s">
        <v>1250</v>
      </c>
      <c r="G534" s="233" t="s">
        <v>3027</v>
      </c>
      <c r="H534" s="245"/>
      <c r="XFC534" s="20"/>
    </row>
    <row r="535" spans="1:11 16383:16383" x14ac:dyDescent="0.2">
      <c r="A535" s="227" t="s">
        <v>1450</v>
      </c>
      <c r="B535" s="136" t="s">
        <v>112</v>
      </c>
      <c r="C535" s="232" t="s">
        <v>590</v>
      </c>
      <c r="D535" s="233" t="s">
        <v>589</v>
      </c>
      <c r="E535" s="233" t="s">
        <v>945</v>
      </c>
      <c r="F535" s="233" t="s">
        <v>1250</v>
      </c>
      <c r="G535" s="233" t="s">
        <v>589</v>
      </c>
      <c r="H535" s="245"/>
      <c r="XFC535" s="20"/>
    </row>
    <row r="536" spans="1:11 16383:16383" x14ac:dyDescent="0.2">
      <c r="A536" s="139" t="s">
        <v>3168</v>
      </c>
      <c r="B536" s="136" t="s">
        <v>112</v>
      </c>
      <c r="C536" s="136" t="s">
        <v>3167</v>
      </c>
      <c r="D536" s="207" t="s">
        <v>3166</v>
      </c>
      <c r="E536" s="207" t="s">
        <v>3243</v>
      </c>
      <c r="F536" s="207" t="s">
        <v>1250</v>
      </c>
      <c r="G536" s="208" t="s">
        <v>3166</v>
      </c>
      <c r="H536" s="244"/>
      <c r="K536" s="17"/>
      <c r="XFC536" s="20"/>
    </row>
    <row r="537" spans="1:11 16383:16383" x14ac:dyDescent="0.2">
      <c r="A537" s="139" t="s">
        <v>3161</v>
      </c>
      <c r="B537" s="136" t="s">
        <v>112</v>
      </c>
      <c r="C537" s="136" t="s">
        <v>3160</v>
      </c>
      <c r="D537" s="207" t="s">
        <v>3162</v>
      </c>
      <c r="E537" s="207" t="s">
        <v>3244</v>
      </c>
      <c r="F537" s="207" t="s">
        <v>1250</v>
      </c>
      <c r="G537" s="208" t="s">
        <v>3162</v>
      </c>
      <c r="H537" s="244"/>
      <c r="K537" s="17"/>
      <c r="XFC537" s="20"/>
    </row>
    <row r="538" spans="1:11 16383:16383" x14ac:dyDescent="0.2">
      <c r="A538" s="139" t="s">
        <v>1451</v>
      </c>
      <c r="B538" s="136" t="s">
        <v>112</v>
      </c>
      <c r="C538" s="136" t="s">
        <v>594</v>
      </c>
      <c r="D538" s="207" t="s">
        <v>593</v>
      </c>
      <c r="E538" s="207" t="s">
        <v>1125</v>
      </c>
      <c r="F538" s="207" t="s">
        <v>1250</v>
      </c>
      <c r="G538" s="208" t="s">
        <v>593</v>
      </c>
      <c r="H538" s="244"/>
      <c r="K538" s="17"/>
      <c r="XFC538" s="20"/>
    </row>
    <row r="539" spans="1:11 16383:16383" x14ac:dyDescent="0.2">
      <c r="A539" s="139" t="s">
        <v>3170</v>
      </c>
      <c r="B539" s="136" t="s">
        <v>112</v>
      </c>
      <c r="C539" s="136" t="s">
        <v>3169</v>
      </c>
      <c r="D539" s="207" t="s">
        <v>3169</v>
      </c>
      <c r="E539" s="207" t="s">
        <v>3245</v>
      </c>
      <c r="F539" s="207" t="s">
        <v>1250</v>
      </c>
      <c r="G539" s="208" t="s">
        <v>3169</v>
      </c>
      <c r="H539" s="244"/>
      <c r="K539" s="17"/>
      <c r="XFC539" s="20"/>
    </row>
    <row r="540" spans="1:11 16383:16383" x14ac:dyDescent="0.2">
      <c r="A540" s="139" t="s">
        <v>1452</v>
      </c>
      <c r="B540" s="136" t="s">
        <v>112</v>
      </c>
      <c r="C540" s="136" t="s">
        <v>592</v>
      </c>
      <c r="D540" s="207" t="s">
        <v>591</v>
      </c>
      <c r="E540" s="207" t="s">
        <v>928</v>
      </c>
      <c r="F540" s="207" t="s">
        <v>1250</v>
      </c>
      <c r="G540" s="208" t="s">
        <v>591</v>
      </c>
      <c r="H540" s="244"/>
      <c r="K540" s="17"/>
      <c r="XFC540" s="20"/>
    </row>
    <row r="541" spans="1:11 16383:16383" x14ac:dyDescent="0.2">
      <c r="A541" s="139" t="s">
        <v>1453</v>
      </c>
      <c r="B541" s="136" t="s">
        <v>112</v>
      </c>
      <c r="C541" s="136" t="s">
        <v>598</v>
      </c>
      <c r="D541" s="207" t="s">
        <v>597</v>
      </c>
      <c r="E541" s="207" t="s">
        <v>1126</v>
      </c>
      <c r="F541" s="207" t="s">
        <v>1250</v>
      </c>
      <c r="G541" s="208" t="s">
        <v>597</v>
      </c>
      <c r="H541" s="244"/>
      <c r="K541" s="17"/>
      <c r="XFC541" s="20"/>
    </row>
    <row r="542" spans="1:11 16383:16383" x14ac:dyDescent="0.2">
      <c r="A542" s="139" t="s">
        <v>2716</v>
      </c>
      <c r="B542" s="136" t="s">
        <v>112</v>
      </c>
      <c r="C542" s="136" t="s">
        <v>2712</v>
      </c>
      <c r="D542" s="207" t="s">
        <v>2713</v>
      </c>
      <c r="E542" s="207" t="s">
        <v>3247</v>
      </c>
      <c r="F542" s="207" t="s">
        <v>1250</v>
      </c>
      <c r="G542" s="208" t="s">
        <v>2713</v>
      </c>
      <c r="H542" s="244"/>
      <c r="K542" s="17"/>
      <c r="XFC542" s="20"/>
    </row>
    <row r="543" spans="1:11 16383:16383" x14ac:dyDescent="0.2">
      <c r="A543" s="139" t="s">
        <v>2717</v>
      </c>
      <c r="B543" s="136" t="s">
        <v>112</v>
      </c>
      <c r="C543" s="136" t="s">
        <v>2714</v>
      </c>
      <c r="D543" s="213" t="s">
        <v>2715</v>
      </c>
      <c r="E543" s="213" t="s">
        <v>3248</v>
      </c>
      <c r="F543" s="213" t="s">
        <v>1250</v>
      </c>
      <c r="G543" s="208" t="s">
        <v>2715</v>
      </c>
      <c r="H543" s="244"/>
      <c r="K543" s="17"/>
      <c r="XFC543" s="20"/>
    </row>
    <row r="544" spans="1:11 16383:16383" x14ac:dyDescent="0.2">
      <c r="A544" s="139" t="s">
        <v>3164</v>
      </c>
      <c r="B544" s="136" t="s">
        <v>112</v>
      </c>
      <c r="C544" s="136" t="s">
        <v>3163</v>
      </c>
      <c r="D544" s="207" t="s">
        <v>3165</v>
      </c>
      <c r="E544" s="207" t="s">
        <v>3246</v>
      </c>
      <c r="F544" s="207" t="s">
        <v>1250</v>
      </c>
      <c r="G544" s="208" t="s">
        <v>3165</v>
      </c>
      <c r="H544" s="244"/>
      <c r="K544" s="17"/>
      <c r="XFC544" s="20"/>
    </row>
    <row r="545" spans="1:11 16383:16383" x14ac:dyDescent="0.2">
      <c r="A545" s="139" t="s">
        <v>1454</v>
      </c>
      <c r="B545" s="136" t="s">
        <v>113</v>
      </c>
      <c r="C545" s="136" t="s">
        <v>615</v>
      </c>
      <c r="D545" s="207" t="s">
        <v>614</v>
      </c>
      <c r="E545" s="207" t="s">
        <v>1127</v>
      </c>
      <c r="F545" s="207" t="s">
        <v>1251</v>
      </c>
      <c r="G545" s="208" t="s">
        <v>614</v>
      </c>
      <c r="H545" s="244"/>
      <c r="K545" s="17"/>
      <c r="XFC545" s="20"/>
    </row>
    <row r="546" spans="1:11 16383:16383" x14ac:dyDescent="0.2">
      <c r="A546" s="139" t="s">
        <v>2513</v>
      </c>
      <c r="B546" s="136" t="s">
        <v>113</v>
      </c>
      <c r="C546" s="136" t="s">
        <v>615</v>
      </c>
      <c r="D546" s="207" t="s">
        <v>2512</v>
      </c>
      <c r="E546" s="207" t="s">
        <v>1127</v>
      </c>
      <c r="F546" s="207" t="s">
        <v>1251</v>
      </c>
      <c r="G546" s="208" t="s">
        <v>2512</v>
      </c>
      <c r="H546" s="244"/>
      <c r="K546" s="17"/>
      <c r="XFC546" s="20"/>
    </row>
    <row r="547" spans="1:11 16383:16383" x14ac:dyDescent="0.2">
      <c r="A547" s="139" t="s">
        <v>1455</v>
      </c>
      <c r="B547" s="136" t="s">
        <v>113</v>
      </c>
      <c r="C547" s="136" t="s">
        <v>617</v>
      </c>
      <c r="D547" s="207" t="s">
        <v>616</v>
      </c>
      <c r="E547" s="207" t="s">
        <v>1128</v>
      </c>
      <c r="F547" s="207" t="s">
        <v>1251</v>
      </c>
      <c r="G547" s="208" t="s">
        <v>616</v>
      </c>
      <c r="H547" s="244"/>
      <c r="K547" s="17"/>
      <c r="XFC547" s="20"/>
    </row>
    <row r="548" spans="1:11 16383:16383" x14ac:dyDescent="0.2">
      <c r="A548" s="139" t="s">
        <v>1456</v>
      </c>
      <c r="B548" s="136" t="s">
        <v>113</v>
      </c>
      <c r="C548" s="136" t="s">
        <v>619</v>
      </c>
      <c r="D548" s="207" t="s">
        <v>618</v>
      </c>
      <c r="E548" s="207" t="s">
        <v>1129</v>
      </c>
      <c r="F548" s="207" t="s">
        <v>1251</v>
      </c>
      <c r="G548" s="208" t="s">
        <v>618</v>
      </c>
      <c r="H548" s="244"/>
      <c r="K548" s="17"/>
      <c r="XFC548" s="20"/>
    </row>
    <row r="549" spans="1:11 16383:16383" x14ac:dyDescent="0.2">
      <c r="A549" s="139" t="s">
        <v>1457</v>
      </c>
      <c r="B549" s="136" t="s">
        <v>113</v>
      </c>
      <c r="C549" s="136" t="s">
        <v>621</v>
      </c>
      <c r="D549" s="207" t="s">
        <v>620</v>
      </c>
      <c r="E549" s="207" t="s">
        <v>1130</v>
      </c>
      <c r="F549" s="207" t="s">
        <v>1251</v>
      </c>
      <c r="G549" s="208" t="s">
        <v>620</v>
      </c>
      <c r="H549" s="244"/>
      <c r="K549" s="17"/>
      <c r="XFC549" s="20"/>
    </row>
    <row r="550" spans="1:11 16383:16383" x14ac:dyDescent="0.2">
      <c r="A550" s="139" t="s">
        <v>2856</v>
      </c>
      <c r="B550" s="136" t="s">
        <v>113</v>
      </c>
      <c r="C550" s="136" t="s">
        <v>2854</v>
      </c>
      <c r="D550" s="207" t="s">
        <v>2855</v>
      </c>
      <c r="E550" s="207" t="s">
        <v>3250</v>
      </c>
      <c r="F550" s="207" t="s">
        <v>1251</v>
      </c>
      <c r="G550" s="208" t="s">
        <v>2855</v>
      </c>
      <c r="H550" s="244"/>
      <c r="K550" s="17"/>
      <c r="XFC550" s="20"/>
    </row>
    <row r="551" spans="1:11 16383:16383" x14ac:dyDescent="0.2">
      <c r="A551" s="139" t="s">
        <v>2850</v>
      </c>
      <c r="B551" s="136" t="s">
        <v>113</v>
      </c>
      <c r="C551" s="136" t="s">
        <v>2848</v>
      </c>
      <c r="D551" s="207" t="s">
        <v>2849</v>
      </c>
      <c r="E551" s="207" t="s">
        <v>3251</v>
      </c>
      <c r="F551" s="207" t="s">
        <v>1251</v>
      </c>
      <c r="G551" s="208" t="s">
        <v>2849</v>
      </c>
      <c r="H551" s="244"/>
      <c r="K551" s="17"/>
      <c r="XFC551" s="20"/>
    </row>
    <row r="552" spans="1:11 16383:16383" x14ac:dyDescent="0.2">
      <c r="A552" s="139" t="s">
        <v>1458</v>
      </c>
      <c r="B552" s="136" t="s">
        <v>113</v>
      </c>
      <c r="C552" s="136" t="s">
        <v>626</v>
      </c>
      <c r="D552" s="207" t="s">
        <v>625</v>
      </c>
      <c r="E552" s="207" t="s">
        <v>1133</v>
      </c>
      <c r="F552" s="207" t="s">
        <v>1251</v>
      </c>
      <c r="G552" s="208" t="s">
        <v>625</v>
      </c>
      <c r="H552" s="244"/>
      <c r="K552" s="17"/>
      <c r="XFC552" s="20"/>
    </row>
    <row r="553" spans="1:11 16383:16383" x14ac:dyDescent="0.2">
      <c r="A553" s="139" t="s">
        <v>1459</v>
      </c>
      <c r="B553" s="136" t="s">
        <v>113</v>
      </c>
      <c r="C553" s="136" t="s">
        <v>628</v>
      </c>
      <c r="D553" s="207" t="s">
        <v>627</v>
      </c>
      <c r="E553" s="207" t="s">
        <v>1134</v>
      </c>
      <c r="F553" s="207" t="s">
        <v>1251</v>
      </c>
      <c r="G553" s="208" t="s">
        <v>627</v>
      </c>
      <c r="H553" s="244"/>
      <c r="K553" s="17"/>
      <c r="XFC553" s="20"/>
    </row>
    <row r="554" spans="1:11 16383:16383" x14ac:dyDescent="0.2">
      <c r="A554" s="139" t="s">
        <v>1460</v>
      </c>
      <c r="B554" s="136" t="s">
        <v>113</v>
      </c>
      <c r="C554" s="136" t="s">
        <v>623</v>
      </c>
      <c r="D554" s="207" t="s">
        <v>622</v>
      </c>
      <c r="E554" s="207" t="s">
        <v>1131</v>
      </c>
      <c r="F554" s="207" t="s">
        <v>1251</v>
      </c>
      <c r="G554" s="208" t="s">
        <v>622</v>
      </c>
      <c r="H554" s="244"/>
      <c r="K554" s="17"/>
      <c r="XFC554" s="20"/>
    </row>
    <row r="555" spans="1:11 16383:16383" x14ac:dyDescent="0.2">
      <c r="A555" s="139" t="s">
        <v>2853</v>
      </c>
      <c r="B555" s="136" t="s">
        <v>113</v>
      </c>
      <c r="C555" s="136" t="s">
        <v>2851</v>
      </c>
      <c r="D555" s="207" t="s">
        <v>2852</v>
      </c>
      <c r="E555" s="207" t="s">
        <v>3252</v>
      </c>
      <c r="F555" s="207" t="s">
        <v>1251</v>
      </c>
      <c r="G555" s="208" t="s">
        <v>2852</v>
      </c>
      <c r="H555" s="244"/>
      <c r="K555" s="17"/>
      <c r="XFC555" s="20"/>
    </row>
    <row r="556" spans="1:11 16383:16383" x14ac:dyDescent="0.2">
      <c r="A556" s="139" t="s">
        <v>1461</v>
      </c>
      <c r="B556" s="136" t="s">
        <v>113</v>
      </c>
      <c r="C556" s="136" t="s">
        <v>624</v>
      </c>
      <c r="D556" s="207" t="s">
        <v>2182</v>
      </c>
      <c r="E556" s="207" t="s">
        <v>1132</v>
      </c>
      <c r="F556" s="207" t="s">
        <v>1251</v>
      </c>
      <c r="G556" s="208" t="s">
        <v>2182</v>
      </c>
      <c r="H556" s="244"/>
      <c r="K556" s="17"/>
      <c r="XFC556" s="20"/>
    </row>
    <row r="557" spans="1:11 16383:16383" x14ac:dyDescent="0.2">
      <c r="A557" s="139" t="s">
        <v>1462</v>
      </c>
      <c r="B557" s="136" t="s">
        <v>114</v>
      </c>
      <c r="C557" s="136" t="s">
        <v>638</v>
      </c>
      <c r="D557" s="207" t="s">
        <v>637</v>
      </c>
      <c r="E557" s="207" t="s">
        <v>1139</v>
      </c>
      <c r="F557" s="207" t="s">
        <v>1252</v>
      </c>
      <c r="G557" s="208" t="s">
        <v>637</v>
      </c>
      <c r="H557" s="244"/>
      <c r="K557" s="17"/>
      <c r="XFC557" s="20"/>
    </row>
    <row r="558" spans="1:11 16383:16383" x14ac:dyDescent="0.2">
      <c r="A558" s="139" t="s">
        <v>1463</v>
      </c>
      <c r="B558" s="136" t="s">
        <v>114</v>
      </c>
      <c r="C558" s="136" t="s">
        <v>649</v>
      </c>
      <c r="D558" s="207" t="s">
        <v>648</v>
      </c>
      <c r="E558" s="207" t="s">
        <v>1141</v>
      </c>
      <c r="F558" s="207" t="s">
        <v>1252</v>
      </c>
      <c r="G558" s="208" t="s">
        <v>648</v>
      </c>
      <c r="H558" s="244"/>
      <c r="K558" s="17"/>
      <c r="XFC558" s="20"/>
    </row>
    <row r="559" spans="1:11 16383:16383" x14ac:dyDescent="0.2">
      <c r="A559" s="139" t="s">
        <v>1464</v>
      </c>
      <c r="B559" s="136" t="s">
        <v>114</v>
      </c>
      <c r="C559" s="136" t="s">
        <v>642</v>
      </c>
      <c r="D559" s="207" t="s">
        <v>641</v>
      </c>
      <c r="E559" s="207" t="s">
        <v>930</v>
      </c>
      <c r="F559" s="207" t="s">
        <v>1252</v>
      </c>
      <c r="G559" s="208" t="s">
        <v>641</v>
      </c>
      <c r="H559" s="244"/>
      <c r="K559" s="17"/>
      <c r="XFC559" s="20"/>
    </row>
    <row r="560" spans="1:11 16383:16383" x14ac:dyDescent="0.2">
      <c r="A560" s="139" t="s">
        <v>1465</v>
      </c>
      <c r="B560" s="136" t="s">
        <v>114</v>
      </c>
      <c r="C560" s="136" t="s">
        <v>640</v>
      </c>
      <c r="D560" s="207" t="s">
        <v>639</v>
      </c>
      <c r="E560" s="207" t="s">
        <v>1140</v>
      </c>
      <c r="F560" s="207" t="s">
        <v>1252</v>
      </c>
      <c r="G560" s="208" t="s">
        <v>639</v>
      </c>
      <c r="H560" s="244"/>
      <c r="K560" s="17"/>
      <c r="XFC560" s="20"/>
    </row>
    <row r="561" spans="1:11 16383:16383" x14ac:dyDescent="0.2">
      <c r="A561" s="139" t="s">
        <v>1466</v>
      </c>
      <c r="B561" s="136" t="s">
        <v>114</v>
      </c>
      <c r="C561" s="136" t="s">
        <v>632</v>
      </c>
      <c r="D561" s="207" t="s">
        <v>631</v>
      </c>
      <c r="E561" s="207" t="s">
        <v>1136</v>
      </c>
      <c r="F561" s="207" t="s">
        <v>1252</v>
      </c>
      <c r="G561" s="208" t="s">
        <v>631</v>
      </c>
      <c r="H561" s="244"/>
      <c r="K561" s="17"/>
      <c r="XFC561" s="20"/>
    </row>
    <row r="562" spans="1:11 16383:16383" x14ac:dyDescent="0.2">
      <c r="A562" s="139" t="s">
        <v>1467</v>
      </c>
      <c r="B562" s="136" t="s">
        <v>114</v>
      </c>
      <c r="C562" s="136" t="s">
        <v>630</v>
      </c>
      <c r="D562" s="207" t="s">
        <v>629</v>
      </c>
      <c r="E562" s="207" t="s">
        <v>1135</v>
      </c>
      <c r="F562" s="207" t="s">
        <v>1252</v>
      </c>
      <c r="G562" s="208" t="s">
        <v>629</v>
      </c>
      <c r="H562" s="244"/>
      <c r="K562" s="17"/>
      <c r="XFC562" s="20"/>
    </row>
    <row r="563" spans="1:11 16383:16383" x14ac:dyDescent="0.2">
      <c r="A563" s="139" t="s">
        <v>1647</v>
      </c>
      <c r="B563" s="136" t="s">
        <v>114</v>
      </c>
      <c r="C563" s="136" t="s">
        <v>630</v>
      </c>
      <c r="D563" s="207" t="s">
        <v>647</v>
      </c>
      <c r="E563" s="207" t="s">
        <v>1135</v>
      </c>
      <c r="F563" s="207" t="s">
        <v>1252</v>
      </c>
      <c r="G563" s="208" t="s">
        <v>647</v>
      </c>
      <c r="H563" s="244"/>
      <c r="K563" s="17"/>
      <c r="XFC563" s="20"/>
    </row>
    <row r="564" spans="1:11 16383:16383" x14ac:dyDescent="0.2">
      <c r="A564" s="139" t="s">
        <v>3064</v>
      </c>
      <c r="B564" s="136" t="s">
        <v>114</v>
      </c>
      <c r="C564" s="136" t="s">
        <v>3055</v>
      </c>
      <c r="D564" s="207" t="s">
        <v>3060</v>
      </c>
      <c r="E564" s="207" t="s">
        <v>3253</v>
      </c>
      <c r="F564" s="207" t="s">
        <v>1252</v>
      </c>
      <c r="G564" s="208" t="s">
        <v>3060</v>
      </c>
      <c r="H564" s="244"/>
      <c r="K564" s="17"/>
      <c r="XFC564" s="20"/>
    </row>
    <row r="565" spans="1:11 16383:16383" x14ac:dyDescent="0.2">
      <c r="A565" s="139" t="s">
        <v>3062</v>
      </c>
      <c r="B565" s="136" t="s">
        <v>114</v>
      </c>
      <c r="C565" s="136" t="s">
        <v>3053</v>
      </c>
      <c r="D565" s="207" t="s">
        <v>3058</v>
      </c>
      <c r="E565" s="207" t="s">
        <v>3255</v>
      </c>
      <c r="F565" s="207" t="s">
        <v>1252</v>
      </c>
      <c r="G565" s="208" t="s">
        <v>3058</v>
      </c>
      <c r="H565" s="244"/>
      <c r="K565" s="17"/>
      <c r="XFC565" s="20"/>
    </row>
    <row r="566" spans="1:11 16383:16383" s="137" customFormat="1" x14ac:dyDescent="0.2">
      <c r="A566" s="139" t="s">
        <v>3061</v>
      </c>
      <c r="B566" s="136" t="s">
        <v>114</v>
      </c>
      <c r="C566" s="139" t="s">
        <v>3052</v>
      </c>
      <c r="D566" s="217" t="s">
        <v>3057</v>
      </c>
      <c r="E566" s="217" t="s">
        <v>3254</v>
      </c>
      <c r="F566" s="217" t="s">
        <v>1252</v>
      </c>
      <c r="G566" s="208" t="s">
        <v>3057</v>
      </c>
      <c r="H566" s="126"/>
      <c r="I566" s="126"/>
      <c r="J566" s="126"/>
      <c r="XFC566" s="154"/>
    </row>
    <row r="567" spans="1:11 16383:16383" x14ac:dyDescent="0.2">
      <c r="A567" s="139" t="s">
        <v>3063</v>
      </c>
      <c r="B567" s="136" t="s">
        <v>114</v>
      </c>
      <c r="C567" s="136" t="s">
        <v>3054</v>
      </c>
      <c r="D567" s="207" t="s">
        <v>3059</v>
      </c>
      <c r="E567" s="207" t="s">
        <v>1129</v>
      </c>
      <c r="F567" s="207" t="s">
        <v>1252</v>
      </c>
      <c r="G567" s="208" t="e">
        <v>#N/A</v>
      </c>
      <c r="H567" s="244"/>
      <c r="K567" s="17"/>
      <c r="XFC567" s="20"/>
    </row>
    <row r="568" spans="1:11 16383:16383" x14ac:dyDescent="0.2">
      <c r="A568" s="139" t="s">
        <v>1468</v>
      </c>
      <c r="B568" s="136" t="s">
        <v>114</v>
      </c>
      <c r="C568" s="136" t="s">
        <v>644</v>
      </c>
      <c r="D568" s="207" t="s">
        <v>643</v>
      </c>
      <c r="E568" s="207" t="s">
        <v>931</v>
      </c>
      <c r="F568" s="207" t="s">
        <v>1252</v>
      </c>
      <c r="G568" s="208" t="s">
        <v>643</v>
      </c>
      <c r="H568" s="244"/>
      <c r="K568" s="17"/>
      <c r="XFC568" s="20"/>
    </row>
    <row r="569" spans="1:11 16383:16383" x14ac:dyDescent="0.2">
      <c r="A569" s="139" t="s">
        <v>1469</v>
      </c>
      <c r="B569" s="136" t="s">
        <v>114</v>
      </c>
      <c r="C569" s="136" t="s">
        <v>636</v>
      </c>
      <c r="D569" s="207" t="s">
        <v>635</v>
      </c>
      <c r="E569" s="207" t="s">
        <v>1138</v>
      </c>
      <c r="F569" s="207" t="s">
        <v>1252</v>
      </c>
      <c r="G569" s="208" t="e">
        <v>#N/A</v>
      </c>
      <c r="H569" s="244"/>
      <c r="K569" s="17"/>
      <c r="XFC569" s="20"/>
    </row>
    <row r="570" spans="1:11 16383:16383" x14ac:dyDescent="0.2">
      <c r="A570" s="139" t="s">
        <v>3095</v>
      </c>
      <c r="B570" s="136" t="s">
        <v>114</v>
      </c>
      <c r="C570" s="136" t="s">
        <v>636</v>
      </c>
      <c r="D570" s="207" t="s">
        <v>3056</v>
      </c>
      <c r="E570" s="207" t="s">
        <v>1138</v>
      </c>
      <c r="F570" s="207" t="s">
        <v>1252</v>
      </c>
      <c r="G570" s="208" t="s">
        <v>3056</v>
      </c>
      <c r="H570" s="244"/>
      <c r="K570" s="17"/>
      <c r="XFC570" s="20"/>
    </row>
    <row r="571" spans="1:11 16383:16383" x14ac:dyDescent="0.2">
      <c r="A571" s="139" t="s">
        <v>2720</v>
      </c>
      <c r="B571" s="136" t="s">
        <v>114</v>
      </c>
      <c r="C571" s="136" t="s">
        <v>2718</v>
      </c>
      <c r="D571" s="207" t="s">
        <v>2719</v>
      </c>
      <c r="E571" s="207" t="s">
        <v>3094</v>
      </c>
      <c r="F571" s="207" t="s">
        <v>1252</v>
      </c>
      <c r="G571" s="208" t="s">
        <v>2719</v>
      </c>
      <c r="H571" s="244"/>
      <c r="K571" s="17"/>
      <c r="XFC571" s="20"/>
    </row>
    <row r="572" spans="1:11 16383:16383" x14ac:dyDescent="0.2">
      <c r="A572" s="139" t="s">
        <v>1470</v>
      </c>
      <c r="B572" s="136" t="s">
        <v>114</v>
      </c>
      <c r="C572" s="136" t="s">
        <v>653</v>
      </c>
      <c r="D572" s="207" t="s">
        <v>652</v>
      </c>
      <c r="E572" s="207" t="s">
        <v>933</v>
      </c>
      <c r="F572" s="207" t="s">
        <v>1252</v>
      </c>
      <c r="G572" s="208" t="s">
        <v>652</v>
      </c>
      <c r="H572" s="244"/>
      <c r="K572" s="17"/>
      <c r="XFC572" s="20"/>
    </row>
    <row r="573" spans="1:11 16383:16383" x14ac:dyDescent="0.2">
      <c r="A573" s="139" t="s">
        <v>1471</v>
      </c>
      <c r="B573" s="136" t="s">
        <v>114</v>
      </c>
      <c r="C573" s="136" t="s">
        <v>655</v>
      </c>
      <c r="D573" s="207" t="s">
        <v>654</v>
      </c>
      <c r="E573" s="207" t="s">
        <v>1143</v>
      </c>
      <c r="F573" s="207" t="s">
        <v>1252</v>
      </c>
      <c r="G573" s="208" t="s">
        <v>654</v>
      </c>
      <c r="H573" s="244"/>
      <c r="K573" s="17"/>
      <c r="XFC573" s="20"/>
    </row>
    <row r="574" spans="1:11 16383:16383" x14ac:dyDescent="0.2">
      <c r="A574" s="139" t="s">
        <v>1472</v>
      </c>
      <c r="B574" s="136" t="s">
        <v>114</v>
      </c>
      <c r="C574" s="136" t="s">
        <v>651</v>
      </c>
      <c r="D574" s="207" t="s">
        <v>650</v>
      </c>
      <c r="E574" s="207" t="s">
        <v>1142</v>
      </c>
      <c r="F574" s="207" t="s">
        <v>1252</v>
      </c>
      <c r="G574" s="208" t="s">
        <v>650</v>
      </c>
      <c r="H574" s="244"/>
      <c r="K574" s="17"/>
      <c r="XFC574" s="20"/>
    </row>
    <row r="575" spans="1:11 16383:16383" x14ac:dyDescent="0.2">
      <c r="A575" s="139" t="s">
        <v>1473</v>
      </c>
      <c r="B575" s="136" t="s">
        <v>114</v>
      </c>
      <c r="C575" s="136" t="s">
        <v>657</v>
      </c>
      <c r="D575" s="207" t="s">
        <v>656</v>
      </c>
      <c r="E575" s="207" t="s">
        <v>1144</v>
      </c>
      <c r="F575" s="207" t="s">
        <v>1252</v>
      </c>
      <c r="G575" s="208" t="s">
        <v>656</v>
      </c>
      <c r="H575" s="244"/>
      <c r="K575" s="17"/>
      <c r="XFC575" s="20"/>
    </row>
    <row r="576" spans="1:11 16383:16383" x14ac:dyDescent="0.2">
      <c r="A576" s="139" t="s">
        <v>1474</v>
      </c>
      <c r="B576" s="136" t="s">
        <v>114</v>
      </c>
      <c r="C576" s="136" t="s">
        <v>634</v>
      </c>
      <c r="D576" s="207" t="s">
        <v>633</v>
      </c>
      <c r="E576" s="207" t="s">
        <v>1137</v>
      </c>
      <c r="F576" s="207" t="s">
        <v>1252</v>
      </c>
      <c r="G576" s="208" t="s">
        <v>633</v>
      </c>
      <c r="H576" s="244"/>
      <c r="K576" s="17"/>
      <c r="XFC576" s="20"/>
    </row>
    <row r="577" spans="1:11 16383:16383" x14ac:dyDescent="0.2">
      <c r="A577" s="139" t="s">
        <v>1475</v>
      </c>
      <c r="B577" s="136" t="s">
        <v>114</v>
      </c>
      <c r="C577" s="136" t="s">
        <v>646</v>
      </c>
      <c r="D577" s="207" t="s">
        <v>645</v>
      </c>
      <c r="E577" s="207" t="s">
        <v>932</v>
      </c>
      <c r="F577" s="207" t="s">
        <v>1252</v>
      </c>
      <c r="G577" s="208" t="s">
        <v>645</v>
      </c>
      <c r="H577" s="244"/>
      <c r="K577" s="17"/>
      <c r="XFC577" s="20"/>
    </row>
    <row r="578" spans="1:11 16383:16383" x14ac:dyDescent="0.2">
      <c r="A578" s="139" t="s">
        <v>1476</v>
      </c>
      <c r="B578" s="136" t="s">
        <v>116</v>
      </c>
      <c r="C578" s="136" t="s">
        <v>658</v>
      </c>
      <c r="D578" s="207" t="s">
        <v>658</v>
      </c>
      <c r="E578" s="207" t="s">
        <v>1146</v>
      </c>
      <c r="F578" s="207" t="s">
        <v>1254</v>
      </c>
      <c r="G578" s="208" t="s">
        <v>658</v>
      </c>
      <c r="H578" s="244"/>
      <c r="K578" s="17"/>
      <c r="XFC578" s="20"/>
    </row>
    <row r="579" spans="1:11 16383:16383" ht="22.5" customHeight="1" x14ac:dyDescent="0.2">
      <c r="A579" s="139" t="s">
        <v>3107</v>
      </c>
      <c r="B579" s="136" t="s">
        <v>116</v>
      </c>
      <c r="C579" s="136" t="s">
        <v>658</v>
      </c>
      <c r="D579" s="207" t="s">
        <v>3106</v>
      </c>
      <c r="E579" s="207" t="s">
        <v>1146</v>
      </c>
      <c r="F579" s="207" t="s">
        <v>1254</v>
      </c>
      <c r="G579" s="208" t="s">
        <v>3106</v>
      </c>
      <c r="H579" s="244"/>
      <c r="K579" s="17"/>
      <c r="XFC579" s="20"/>
    </row>
    <row r="580" spans="1:11 16383:16383" x14ac:dyDescent="0.2">
      <c r="A580" s="139" t="s">
        <v>3067</v>
      </c>
      <c r="B580" s="136" t="s">
        <v>116</v>
      </c>
      <c r="C580" s="136" t="s">
        <v>3022</v>
      </c>
      <c r="D580" s="207" t="s">
        <v>3023</v>
      </c>
      <c r="E580" s="207" t="s">
        <v>3256</v>
      </c>
      <c r="F580" s="207" t="s">
        <v>1254</v>
      </c>
      <c r="G580" s="208" t="s">
        <v>3023</v>
      </c>
      <c r="H580" s="244"/>
      <c r="K580" s="17"/>
      <c r="XFC580" s="20"/>
    </row>
    <row r="581" spans="1:11 16383:16383" x14ac:dyDescent="0.2">
      <c r="A581" s="139" t="s">
        <v>1477</v>
      </c>
      <c r="B581" s="136" t="s">
        <v>116</v>
      </c>
      <c r="C581" s="136" t="s">
        <v>663</v>
      </c>
      <c r="D581" s="207" t="s">
        <v>663</v>
      </c>
      <c r="E581" s="207" t="s">
        <v>1150</v>
      </c>
      <c r="F581" s="207" t="s">
        <v>1254</v>
      </c>
      <c r="G581" s="208" t="s">
        <v>663</v>
      </c>
      <c r="H581" s="244"/>
      <c r="K581" s="17"/>
      <c r="XFC581" s="20"/>
    </row>
    <row r="582" spans="1:11 16383:16383" x14ac:dyDescent="0.2">
      <c r="A582" s="139" t="s">
        <v>2587</v>
      </c>
      <c r="B582" s="136" t="s">
        <v>116</v>
      </c>
      <c r="C582" s="136" t="s">
        <v>663</v>
      </c>
      <c r="D582" s="136" t="s">
        <v>2588</v>
      </c>
      <c r="E582" s="136" t="s">
        <v>1150</v>
      </c>
      <c r="F582" s="136" t="s">
        <v>1254</v>
      </c>
      <c r="G582" s="208" t="s">
        <v>2588</v>
      </c>
      <c r="H582" s="244"/>
      <c r="K582" s="17"/>
      <c r="XFC582" s="20"/>
    </row>
    <row r="583" spans="1:11 16383:16383" x14ac:dyDescent="0.2">
      <c r="A583" s="139" t="s">
        <v>2473</v>
      </c>
      <c r="B583" s="136" t="s">
        <v>116</v>
      </c>
      <c r="C583" s="136" t="s">
        <v>2475</v>
      </c>
      <c r="D583" s="207" t="s">
        <v>2474</v>
      </c>
      <c r="E583" s="207" t="s">
        <v>3257</v>
      </c>
      <c r="F583" s="207" t="s">
        <v>1254</v>
      </c>
      <c r="G583" s="208" t="s">
        <v>2474</v>
      </c>
      <c r="H583" s="244"/>
      <c r="K583" s="17"/>
      <c r="XFC583" s="20"/>
    </row>
    <row r="584" spans="1:11 16383:16383" x14ac:dyDescent="0.2">
      <c r="A584" s="139" t="s">
        <v>1478</v>
      </c>
      <c r="B584" s="136" t="s">
        <v>116</v>
      </c>
      <c r="C584" s="136" t="s">
        <v>664</v>
      </c>
      <c r="D584" s="207" t="s">
        <v>664</v>
      </c>
      <c r="E584" s="207" t="s">
        <v>935</v>
      </c>
      <c r="F584" s="207" t="s">
        <v>1254</v>
      </c>
      <c r="G584" s="208" t="s">
        <v>664</v>
      </c>
      <c r="H584" s="244"/>
      <c r="K584" s="17"/>
      <c r="XFC584" s="20"/>
    </row>
    <row r="585" spans="1:11 16383:16383" x14ac:dyDescent="0.2">
      <c r="A585" s="139" t="s">
        <v>1479</v>
      </c>
      <c r="B585" s="136" t="s">
        <v>116</v>
      </c>
      <c r="C585" s="136" t="s">
        <v>670</v>
      </c>
      <c r="D585" s="207" t="s">
        <v>669</v>
      </c>
      <c r="E585" s="207" t="s">
        <v>1153</v>
      </c>
      <c r="F585" s="207" t="s">
        <v>1254</v>
      </c>
      <c r="G585" s="208" t="s">
        <v>3294</v>
      </c>
      <c r="H585" s="244"/>
      <c r="K585" s="17"/>
      <c r="XFC585" s="20"/>
    </row>
    <row r="586" spans="1:11 16383:16383" x14ac:dyDescent="0.2">
      <c r="A586" s="139" t="s">
        <v>1480</v>
      </c>
      <c r="B586" s="136" t="s">
        <v>116</v>
      </c>
      <c r="C586" s="136" t="s">
        <v>665</v>
      </c>
      <c r="D586" s="207" t="s">
        <v>665</v>
      </c>
      <c r="E586" s="207" t="s">
        <v>1151</v>
      </c>
      <c r="F586" s="207" t="s">
        <v>1254</v>
      </c>
      <c r="G586" s="208" t="s">
        <v>665</v>
      </c>
      <c r="H586" s="244"/>
      <c r="K586" s="17"/>
      <c r="XFC586" s="20"/>
    </row>
    <row r="587" spans="1:11 16383:16383" x14ac:dyDescent="0.2">
      <c r="A587" s="139" t="s">
        <v>1481</v>
      </c>
      <c r="B587" s="136" t="s">
        <v>116</v>
      </c>
      <c r="C587" s="136" t="s">
        <v>659</v>
      </c>
      <c r="D587" s="207" t="s">
        <v>659</v>
      </c>
      <c r="E587" s="207" t="s">
        <v>1147</v>
      </c>
      <c r="F587" s="207" t="s">
        <v>1254</v>
      </c>
      <c r="G587" s="208" t="s">
        <v>659</v>
      </c>
      <c r="H587" s="244"/>
      <c r="K587" s="17"/>
      <c r="XFC587" s="20"/>
    </row>
    <row r="588" spans="1:11 16383:16383" x14ac:dyDescent="0.2">
      <c r="A588" s="139" t="s">
        <v>2793</v>
      </c>
      <c r="B588" s="136" t="s">
        <v>116</v>
      </c>
      <c r="C588" s="136" t="s">
        <v>659</v>
      </c>
      <c r="D588" s="207" t="s">
        <v>2794</v>
      </c>
      <c r="E588" s="207" t="s">
        <v>1147</v>
      </c>
      <c r="F588" s="207" t="s">
        <v>1254</v>
      </c>
      <c r="G588" s="208" t="s">
        <v>2794</v>
      </c>
      <c r="H588" s="244"/>
      <c r="K588" s="17"/>
      <c r="XFC588" s="20"/>
    </row>
    <row r="589" spans="1:11 16383:16383" x14ac:dyDescent="0.2">
      <c r="A589" s="139" t="s">
        <v>2790</v>
      </c>
      <c r="B589" s="136" t="s">
        <v>116</v>
      </c>
      <c r="C589" s="136" t="s">
        <v>2791</v>
      </c>
      <c r="D589" s="207" t="s">
        <v>2792</v>
      </c>
      <c r="E589" s="207" t="s">
        <v>3260</v>
      </c>
      <c r="F589" s="207" t="s">
        <v>1254</v>
      </c>
      <c r="G589" s="208" t="s">
        <v>2792</v>
      </c>
      <c r="H589" s="244"/>
      <c r="K589" s="17"/>
      <c r="XFC589" s="20"/>
    </row>
    <row r="590" spans="1:11 16383:16383" x14ac:dyDescent="0.2">
      <c r="A590" s="139" t="s">
        <v>1482</v>
      </c>
      <c r="B590" s="136" t="s">
        <v>116</v>
      </c>
      <c r="C590" s="136" t="s">
        <v>661</v>
      </c>
      <c r="D590" s="207" t="s">
        <v>661</v>
      </c>
      <c r="E590" s="207" t="s">
        <v>1149</v>
      </c>
      <c r="F590" s="207" t="s">
        <v>1254</v>
      </c>
      <c r="G590" s="208" t="s">
        <v>661</v>
      </c>
      <c r="H590" s="244"/>
      <c r="K590" s="17"/>
      <c r="XFC590" s="20"/>
    </row>
    <row r="591" spans="1:11 16383:16383" x14ac:dyDescent="0.2">
      <c r="A591" s="139" t="s">
        <v>2839</v>
      </c>
      <c r="B591" s="136" t="s">
        <v>116</v>
      </c>
      <c r="C591" s="136" t="s">
        <v>661</v>
      </c>
      <c r="D591" s="207" t="s">
        <v>2837</v>
      </c>
      <c r="E591" s="207" t="s">
        <v>1149</v>
      </c>
      <c r="F591" s="207" t="s">
        <v>1254</v>
      </c>
      <c r="G591" s="208" t="s">
        <v>2837</v>
      </c>
      <c r="H591" s="244"/>
      <c r="K591" s="17"/>
      <c r="XFC591" s="20"/>
    </row>
    <row r="592" spans="1:11 16383:16383" x14ac:dyDescent="0.2">
      <c r="A592" s="139" t="s">
        <v>2840</v>
      </c>
      <c r="B592" s="136" t="s">
        <v>116</v>
      </c>
      <c r="C592" s="136" t="s">
        <v>661</v>
      </c>
      <c r="D592" s="207" t="s">
        <v>2838</v>
      </c>
      <c r="E592" s="207" t="s">
        <v>1149</v>
      </c>
      <c r="F592" s="207" t="s">
        <v>1254</v>
      </c>
      <c r="G592" s="208" t="s">
        <v>2838</v>
      </c>
      <c r="H592" s="244"/>
      <c r="K592" s="17"/>
      <c r="XFC592" s="20"/>
    </row>
    <row r="593" spans="1:11 16383:16383" x14ac:dyDescent="0.2">
      <c r="A593" s="139" t="s">
        <v>2797</v>
      </c>
      <c r="B593" s="136" t="s">
        <v>116</v>
      </c>
      <c r="C593" s="136" t="s">
        <v>2798</v>
      </c>
      <c r="D593" s="207" t="s">
        <v>2799</v>
      </c>
      <c r="E593" s="207" t="s">
        <v>909</v>
      </c>
      <c r="F593" s="207" t="s">
        <v>1254</v>
      </c>
      <c r="G593" s="208" t="s">
        <v>2799</v>
      </c>
      <c r="H593" s="244"/>
      <c r="K593" s="17"/>
      <c r="XFC593" s="20"/>
    </row>
    <row r="594" spans="1:11 16383:16383" x14ac:dyDescent="0.2">
      <c r="A594" s="139" t="s">
        <v>1483</v>
      </c>
      <c r="B594" s="136" t="s">
        <v>116</v>
      </c>
      <c r="C594" s="136" t="s">
        <v>668</v>
      </c>
      <c r="D594" s="208" t="s">
        <v>2183</v>
      </c>
      <c r="E594" s="208" t="s">
        <v>1152</v>
      </c>
      <c r="F594" s="208" t="s">
        <v>1254</v>
      </c>
      <c r="G594" s="208" t="s">
        <v>3295</v>
      </c>
      <c r="H594" s="244"/>
      <c r="K594" s="17"/>
      <c r="XFC594" s="20"/>
    </row>
    <row r="595" spans="1:11 16383:16383" x14ac:dyDescent="0.2">
      <c r="A595" s="139" t="s">
        <v>2801</v>
      </c>
      <c r="B595" s="136" t="s">
        <v>116</v>
      </c>
      <c r="C595" s="136" t="s">
        <v>2795</v>
      </c>
      <c r="D595" s="207" t="s">
        <v>2796</v>
      </c>
      <c r="E595" s="207" t="s">
        <v>3258</v>
      </c>
      <c r="F595" s="207" t="s">
        <v>1254</v>
      </c>
      <c r="G595" s="208" t="s">
        <v>2796</v>
      </c>
      <c r="H595" s="244"/>
      <c r="K595" s="17"/>
      <c r="XFC595" s="20"/>
    </row>
    <row r="596" spans="1:11 16383:16383" x14ac:dyDescent="0.2">
      <c r="A596" s="139" t="s">
        <v>2724</v>
      </c>
      <c r="B596" s="136" t="s">
        <v>116</v>
      </c>
      <c r="C596" s="136" t="s">
        <v>2722</v>
      </c>
      <c r="D596" s="207" t="s">
        <v>2723</v>
      </c>
      <c r="E596" s="207" t="s">
        <v>3259</v>
      </c>
      <c r="F596" s="207" t="s">
        <v>1254</v>
      </c>
      <c r="G596" s="208" t="s">
        <v>2723</v>
      </c>
      <c r="H596" s="244"/>
      <c r="K596" s="17"/>
      <c r="XFC596" s="20"/>
    </row>
    <row r="597" spans="1:11 16383:16383" x14ac:dyDescent="0.2">
      <c r="A597" s="139" t="s">
        <v>1484</v>
      </c>
      <c r="B597" s="136" t="s">
        <v>116</v>
      </c>
      <c r="C597" s="136" t="s">
        <v>662</v>
      </c>
      <c r="D597" s="207" t="s">
        <v>662</v>
      </c>
      <c r="E597" s="207" t="s">
        <v>934</v>
      </c>
      <c r="F597" s="207" t="s">
        <v>1254</v>
      </c>
      <c r="G597" s="208" t="s">
        <v>662</v>
      </c>
      <c r="H597" s="244"/>
      <c r="K597" s="17"/>
      <c r="XFC597" s="20"/>
    </row>
    <row r="598" spans="1:11 16383:16383" x14ac:dyDescent="0.2">
      <c r="A598" s="139" t="s">
        <v>1485</v>
      </c>
      <c r="B598" s="136" t="s">
        <v>116</v>
      </c>
      <c r="C598" s="136" t="s">
        <v>660</v>
      </c>
      <c r="D598" s="207" t="s">
        <v>660</v>
      </c>
      <c r="E598" s="207" t="s">
        <v>1148</v>
      </c>
      <c r="F598" s="207" t="s">
        <v>1254</v>
      </c>
      <c r="G598" s="208" t="s">
        <v>660</v>
      </c>
      <c r="H598" s="244"/>
      <c r="K598" s="17"/>
      <c r="XFC598" s="20"/>
    </row>
    <row r="599" spans="1:11 16383:16383" x14ac:dyDescent="0.2">
      <c r="A599" s="209" t="s">
        <v>3657</v>
      </c>
      <c r="B599" s="210" t="s">
        <v>116</v>
      </c>
      <c r="C599" s="210" t="s">
        <v>660</v>
      </c>
      <c r="D599" s="211" t="s">
        <v>3658</v>
      </c>
      <c r="E599" s="211" t="s">
        <v>1148</v>
      </c>
      <c r="F599" s="211" t="s">
        <v>1254</v>
      </c>
      <c r="G599" s="212" t="s">
        <v>3659</v>
      </c>
      <c r="H599" s="244"/>
      <c r="K599" s="17"/>
      <c r="XFC599" s="20"/>
    </row>
    <row r="600" spans="1:11 16383:16383" x14ac:dyDescent="0.2">
      <c r="A600" s="139" t="s">
        <v>1486</v>
      </c>
      <c r="B600" s="136" t="s">
        <v>116</v>
      </c>
      <c r="C600" s="136" t="s">
        <v>672</v>
      </c>
      <c r="D600" s="207" t="s">
        <v>671</v>
      </c>
      <c r="E600" s="207" t="s">
        <v>937</v>
      </c>
      <c r="F600" s="207" t="s">
        <v>1254</v>
      </c>
      <c r="G600" s="208" t="s">
        <v>671</v>
      </c>
      <c r="H600" s="244"/>
      <c r="K600" s="17"/>
      <c r="XFC600" s="20"/>
    </row>
    <row r="601" spans="1:11 16383:16383" x14ac:dyDescent="0.2">
      <c r="A601" s="139" t="s">
        <v>3069</v>
      </c>
      <c r="B601" s="136" t="s">
        <v>116</v>
      </c>
      <c r="C601" s="136" t="s">
        <v>3068</v>
      </c>
      <c r="D601" s="207" t="s">
        <v>3068</v>
      </c>
      <c r="E601" s="207" t="s">
        <v>1046</v>
      </c>
      <c r="F601" s="207" t="s">
        <v>1254</v>
      </c>
      <c r="G601" s="208" t="s">
        <v>3068</v>
      </c>
      <c r="H601" s="244"/>
      <c r="K601" s="17"/>
      <c r="XFC601" s="20"/>
    </row>
    <row r="602" spans="1:11 16383:16383" x14ac:dyDescent="0.2">
      <c r="A602" s="139" t="s">
        <v>1487</v>
      </c>
      <c r="B602" s="136" t="s">
        <v>116</v>
      </c>
      <c r="C602" s="136" t="s">
        <v>667</v>
      </c>
      <c r="D602" s="207" t="s">
        <v>666</v>
      </c>
      <c r="E602" s="207" t="s">
        <v>936</v>
      </c>
      <c r="F602" s="207" t="s">
        <v>1254</v>
      </c>
      <c r="G602" s="208" t="s">
        <v>666</v>
      </c>
      <c r="H602" s="244"/>
      <c r="K602" s="17"/>
      <c r="XFC602" s="20"/>
    </row>
    <row r="603" spans="1:11 16383:16383" x14ac:dyDescent="0.2">
      <c r="A603" s="139" t="s">
        <v>1488</v>
      </c>
      <c r="B603" s="136" t="s">
        <v>115</v>
      </c>
      <c r="C603" s="136" t="s">
        <v>115</v>
      </c>
      <c r="D603" s="207" t="s">
        <v>2184</v>
      </c>
      <c r="E603" s="207" t="s">
        <v>1145</v>
      </c>
      <c r="F603" s="207" t="s">
        <v>1253</v>
      </c>
      <c r="G603" s="208" t="s">
        <v>2184</v>
      </c>
      <c r="H603" s="244"/>
      <c r="K603" s="17"/>
      <c r="XFC603" s="20"/>
    </row>
    <row r="604" spans="1:11 16383:16383" x14ac:dyDescent="0.2">
      <c r="A604" s="139" t="s">
        <v>1489</v>
      </c>
      <c r="B604" s="136" t="s">
        <v>117</v>
      </c>
      <c r="C604" s="136" t="s">
        <v>673</v>
      </c>
      <c r="D604" s="207" t="s">
        <v>673</v>
      </c>
      <c r="E604" s="207" t="s">
        <v>1154</v>
      </c>
      <c r="F604" s="207" t="s">
        <v>1255</v>
      </c>
      <c r="G604" s="208" t="s">
        <v>673</v>
      </c>
      <c r="H604" s="244"/>
      <c r="K604" s="17"/>
      <c r="XFC604" s="20"/>
    </row>
    <row r="605" spans="1:11 16383:16383" x14ac:dyDescent="0.2">
      <c r="A605" s="139" t="s">
        <v>1490</v>
      </c>
      <c r="B605" s="136" t="s">
        <v>117</v>
      </c>
      <c r="C605" s="234" t="s">
        <v>674</v>
      </c>
      <c r="D605" s="234" t="s">
        <v>674</v>
      </c>
      <c r="E605" s="234" t="s">
        <v>1155</v>
      </c>
      <c r="F605" s="234" t="s">
        <v>1255</v>
      </c>
      <c r="G605" s="208" t="s">
        <v>674</v>
      </c>
      <c r="H605" s="244"/>
      <c r="K605" s="17"/>
      <c r="XFC605" s="20"/>
    </row>
    <row r="606" spans="1:11 16383:16383" x14ac:dyDescent="0.2">
      <c r="A606" s="139" t="s">
        <v>1491</v>
      </c>
      <c r="B606" s="136" t="s">
        <v>117</v>
      </c>
      <c r="C606" s="136" t="s">
        <v>679</v>
      </c>
      <c r="D606" s="207" t="s">
        <v>679</v>
      </c>
      <c r="E606" s="207" t="s">
        <v>1160</v>
      </c>
      <c r="F606" s="207" t="s">
        <v>1255</v>
      </c>
      <c r="G606" s="208" t="s">
        <v>679</v>
      </c>
      <c r="H606" s="244"/>
      <c r="K606" s="17"/>
      <c r="XFC606" s="20"/>
    </row>
    <row r="607" spans="1:11 16383:16383" x14ac:dyDescent="0.2">
      <c r="A607" s="139" t="s">
        <v>1492</v>
      </c>
      <c r="B607" s="136" t="s">
        <v>117</v>
      </c>
      <c r="C607" s="136" t="s">
        <v>678</v>
      </c>
      <c r="D607" s="207" t="s">
        <v>678</v>
      </c>
      <c r="E607" s="207" t="s">
        <v>1159</v>
      </c>
      <c r="F607" s="207" t="s">
        <v>1255</v>
      </c>
      <c r="G607" s="208" t="s">
        <v>678</v>
      </c>
      <c r="H607" s="244"/>
      <c r="K607" s="17"/>
      <c r="XFC607" s="20"/>
    </row>
    <row r="608" spans="1:11 16383:16383" x14ac:dyDescent="0.2">
      <c r="A608" s="139" t="s">
        <v>1493</v>
      </c>
      <c r="B608" s="136" t="s">
        <v>117</v>
      </c>
      <c r="C608" s="136" t="s">
        <v>676</v>
      </c>
      <c r="D608" s="207" t="s">
        <v>676</v>
      </c>
      <c r="E608" s="207" t="s">
        <v>1157</v>
      </c>
      <c r="F608" s="207" t="s">
        <v>1255</v>
      </c>
      <c r="G608" s="208" t="s">
        <v>676</v>
      </c>
      <c r="H608" s="244"/>
      <c r="K608" s="17"/>
      <c r="XFC608" s="20"/>
    </row>
    <row r="609" spans="1:11 16383:16383" x14ac:dyDescent="0.2">
      <c r="A609" s="139" t="s">
        <v>1494</v>
      </c>
      <c r="B609" s="136" t="s">
        <v>117</v>
      </c>
      <c r="C609" s="136" t="s">
        <v>675</v>
      </c>
      <c r="D609" s="207" t="s">
        <v>675</v>
      </c>
      <c r="E609" s="207" t="s">
        <v>1156</v>
      </c>
      <c r="F609" s="207" t="s">
        <v>1255</v>
      </c>
      <c r="G609" s="208" t="s">
        <v>675</v>
      </c>
      <c r="H609" s="244"/>
      <c r="K609" s="17"/>
      <c r="XFC609" s="20"/>
    </row>
    <row r="610" spans="1:11 16383:16383" x14ac:dyDescent="0.2">
      <c r="A610" s="139" t="s">
        <v>1495</v>
      </c>
      <c r="B610" s="136" t="s">
        <v>117</v>
      </c>
      <c r="C610" s="136" t="s">
        <v>677</v>
      </c>
      <c r="D610" s="207" t="s">
        <v>677</v>
      </c>
      <c r="E610" s="207" t="s">
        <v>1158</v>
      </c>
      <c r="F610" s="207" t="s">
        <v>1255</v>
      </c>
      <c r="G610" s="208" t="s">
        <v>677</v>
      </c>
      <c r="H610" s="244"/>
      <c r="K610" s="17"/>
      <c r="XFC610" s="20"/>
    </row>
    <row r="611" spans="1:11 16383:16383" x14ac:dyDescent="0.2">
      <c r="A611" s="139" t="s">
        <v>1496</v>
      </c>
      <c r="B611" s="136" t="s">
        <v>117</v>
      </c>
      <c r="C611" s="136" t="s">
        <v>680</v>
      </c>
      <c r="D611" s="207" t="s">
        <v>680</v>
      </c>
      <c r="E611" s="207" t="s">
        <v>938</v>
      </c>
      <c r="F611" s="207" t="s">
        <v>1255</v>
      </c>
      <c r="G611" s="208" t="s">
        <v>680</v>
      </c>
      <c r="H611" s="244"/>
      <c r="K611" s="17"/>
      <c r="XFC611" s="20"/>
    </row>
    <row r="612" spans="1:11 16383:16383" x14ac:dyDescent="0.2">
      <c r="A612" s="139" t="s">
        <v>1497</v>
      </c>
      <c r="B612" s="136" t="s">
        <v>117</v>
      </c>
      <c r="C612" s="136" t="s">
        <v>681</v>
      </c>
      <c r="D612" s="207" t="s">
        <v>681</v>
      </c>
      <c r="E612" s="207" t="s">
        <v>998</v>
      </c>
      <c r="F612" s="207" t="s">
        <v>1255</v>
      </c>
      <c r="G612" s="208" t="s">
        <v>681</v>
      </c>
      <c r="H612" s="244"/>
      <c r="K612" s="17"/>
      <c r="XFC612" s="20"/>
    </row>
    <row r="613" spans="1:11 16383:16383" x14ac:dyDescent="0.2">
      <c r="A613" s="139" t="s">
        <v>1498</v>
      </c>
      <c r="B613" s="136" t="s">
        <v>117</v>
      </c>
      <c r="C613" s="136" t="s">
        <v>682</v>
      </c>
      <c r="D613" s="207" t="s">
        <v>682</v>
      </c>
      <c r="E613" s="207" t="s">
        <v>1161</v>
      </c>
      <c r="F613" s="207" t="s">
        <v>1255</v>
      </c>
      <c r="G613" s="208" t="s">
        <v>682</v>
      </c>
      <c r="H613" s="244"/>
      <c r="K613" s="17"/>
      <c r="XFC613" s="20"/>
    </row>
    <row r="614" spans="1:11 16383:16383" x14ac:dyDescent="0.2">
      <c r="A614" s="139" t="s">
        <v>3124</v>
      </c>
      <c r="B614" s="136" t="s">
        <v>117</v>
      </c>
      <c r="C614" s="136" t="s">
        <v>682</v>
      </c>
      <c r="D614" s="207" t="s">
        <v>3125</v>
      </c>
      <c r="E614" s="207" t="s">
        <v>1161</v>
      </c>
      <c r="F614" s="207" t="s">
        <v>1255</v>
      </c>
      <c r="G614" s="208" t="s">
        <v>3296</v>
      </c>
      <c r="H614" s="244"/>
      <c r="K614" s="17"/>
      <c r="XFC614" s="20"/>
    </row>
    <row r="615" spans="1:11 16383:16383" x14ac:dyDescent="0.2">
      <c r="A615" s="139" t="s">
        <v>2727</v>
      </c>
      <c r="B615" s="136" t="s">
        <v>117</v>
      </c>
      <c r="C615" s="136" t="s">
        <v>2725</v>
      </c>
      <c r="D615" s="207" t="s">
        <v>2726</v>
      </c>
      <c r="E615" s="207" t="s">
        <v>3261</v>
      </c>
      <c r="F615" s="207" t="s">
        <v>1255</v>
      </c>
      <c r="G615" s="208" t="s">
        <v>2726</v>
      </c>
      <c r="H615" s="244"/>
      <c r="K615" s="17"/>
      <c r="XFC615" s="20"/>
    </row>
    <row r="616" spans="1:11 16383:16383" x14ac:dyDescent="0.2">
      <c r="A616" s="139" t="s">
        <v>1499</v>
      </c>
      <c r="B616" s="136" t="s">
        <v>117</v>
      </c>
      <c r="C616" s="136" t="s">
        <v>683</v>
      </c>
      <c r="D616" s="207" t="s">
        <v>683</v>
      </c>
      <c r="E616" s="207" t="s">
        <v>1162</v>
      </c>
      <c r="F616" s="207" t="s">
        <v>1255</v>
      </c>
      <c r="G616" s="208" t="s">
        <v>683</v>
      </c>
      <c r="H616" s="244"/>
      <c r="K616" s="17"/>
      <c r="XFC616" s="20"/>
    </row>
    <row r="617" spans="1:11 16383:16383" x14ac:dyDescent="0.2">
      <c r="A617" s="139" t="s">
        <v>1500</v>
      </c>
      <c r="B617" s="136" t="s">
        <v>117</v>
      </c>
      <c r="C617" s="136" t="s">
        <v>687</v>
      </c>
      <c r="D617" s="207" t="s">
        <v>687</v>
      </c>
      <c r="E617" s="207" t="s">
        <v>1164</v>
      </c>
      <c r="F617" s="207" t="s">
        <v>1255</v>
      </c>
      <c r="G617" s="208" t="s">
        <v>687</v>
      </c>
      <c r="H617" s="244"/>
      <c r="K617" s="17"/>
      <c r="XFC617" s="20"/>
    </row>
    <row r="618" spans="1:11 16383:16383" x14ac:dyDescent="0.2">
      <c r="A618" s="139" t="s">
        <v>3013</v>
      </c>
      <c r="B618" s="136" t="s">
        <v>117</v>
      </c>
      <c r="C618" s="136" t="s">
        <v>687</v>
      </c>
      <c r="D618" s="207" t="s">
        <v>3297</v>
      </c>
      <c r="E618" s="207" t="s">
        <v>1164</v>
      </c>
      <c r="F618" s="207" t="s">
        <v>1255</v>
      </c>
      <c r="G618" s="208" t="s">
        <v>3297</v>
      </c>
      <c r="H618" s="244"/>
      <c r="K618" s="17"/>
      <c r="XFC618" s="20"/>
    </row>
    <row r="619" spans="1:11 16383:16383" x14ac:dyDescent="0.2">
      <c r="A619" s="139" t="s">
        <v>2730</v>
      </c>
      <c r="B619" s="136" t="s">
        <v>117</v>
      </c>
      <c r="C619" s="136" t="s">
        <v>2728</v>
      </c>
      <c r="D619" s="207" t="s">
        <v>2729</v>
      </c>
      <c r="E619" s="207" t="s">
        <v>3217</v>
      </c>
      <c r="F619" s="207" t="s">
        <v>1255</v>
      </c>
      <c r="G619" s="208" t="s">
        <v>2729</v>
      </c>
      <c r="H619" s="244"/>
      <c r="K619" s="17"/>
      <c r="XFC619" s="20"/>
    </row>
    <row r="620" spans="1:11 16383:16383" x14ac:dyDescent="0.2">
      <c r="A620" s="139" t="s">
        <v>1501</v>
      </c>
      <c r="B620" s="136" t="s">
        <v>117</v>
      </c>
      <c r="C620" s="136" t="s">
        <v>686</v>
      </c>
      <c r="D620" s="207" t="s">
        <v>686</v>
      </c>
      <c r="E620" s="207" t="s">
        <v>940</v>
      </c>
      <c r="F620" s="207" t="s">
        <v>1255</v>
      </c>
      <c r="G620" s="208" t="s">
        <v>686</v>
      </c>
      <c r="H620" s="244"/>
      <c r="K620" s="17"/>
      <c r="XFC620" s="20"/>
    </row>
    <row r="621" spans="1:11 16383:16383" x14ac:dyDescent="0.2">
      <c r="A621" s="139" t="s">
        <v>1502</v>
      </c>
      <c r="B621" s="136" t="s">
        <v>117</v>
      </c>
      <c r="C621" s="136" t="s">
        <v>685</v>
      </c>
      <c r="D621" s="207" t="s">
        <v>685</v>
      </c>
      <c r="E621" s="207" t="s">
        <v>939</v>
      </c>
      <c r="F621" s="207" t="s">
        <v>1255</v>
      </c>
      <c r="G621" s="208" t="s">
        <v>685</v>
      </c>
      <c r="H621" s="244"/>
      <c r="K621" s="17"/>
      <c r="XFC621" s="20"/>
    </row>
    <row r="622" spans="1:11 16383:16383" x14ac:dyDescent="0.2">
      <c r="A622" s="139" t="s">
        <v>1503</v>
      </c>
      <c r="B622" s="136" t="s">
        <v>117</v>
      </c>
      <c r="C622" s="136" t="s">
        <v>684</v>
      </c>
      <c r="D622" s="207" t="s">
        <v>2593</v>
      </c>
      <c r="E622" s="207" t="s">
        <v>1163</v>
      </c>
      <c r="F622" s="207" t="s">
        <v>1255</v>
      </c>
      <c r="G622" s="208" t="s">
        <v>2593</v>
      </c>
      <c r="H622" s="244"/>
      <c r="K622" s="17"/>
      <c r="XFC622" s="20"/>
    </row>
    <row r="623" spans="1:11 16383:16383" x14ac:dyDescent="0.2">
      <c r="A623" s="139" t="s">
        <v>2589</v>
      </c>
      <c r="B623" s="136" t="s">
        <v>117</v>
      </c>
      <c r="C623" s="136" t="s">
        <v>684</v>
      </c>
      <c r="D623" s="207" t="s">
        <v>2592</v>
      </c>
      <c r="E623" s="207" t="s">
        <v>1163</v>
      </c>
      <c r="F623" s="207" t="s">
        <v>1255</v>
      </c>
      <c r="G623" s="208" t="s">
        <v>2592</v>
      </c>
      <c r="H623" s="244"/>
      <c r="K623" s="17"/>
      <c r="XFC623" s="20"/>
    </row>
    <row r="624" spans="1:11 16383:16383" x14ac:dyDescent="0.2">
      <c r="A624" s="139" t="s">
        <v>2590</v>
      </c>
      <c r="B624" s="136" t="s">
        <v>117</v>
      </c>
      <c r="C624" s="136" t="s">
        <v>684</v>
      </c>
      <c r="D624" s="207" t="s">
        <v>2594</v>
      </c>
      <c r="E624" s="207" t="s">
        <v>1163</v>
      </c>
      <c r="F624" s="207" t="s">
        <v>1255</v>
      </c>
      <c r="G624" s="208" t="s">
        <v>2594</v>
      </c>
      <c r="H624" s="244"/>
      <c r="K624" s="17"/>
      <c r="XFC624" s="20"/>
    </row>
    <row r="625" spans="1:11 16383:16383" x14ac:dyDescent="0.2">
      <c r="A625" s="139" t="s">
        <v>2591</v>
      </c>
      <c r="B625" s="136" t="s">
        <v>117</v>
      </c>
      <c r="C625" s="136" t="s">
        <v>684</v>
      </c>
      <c r="D625" s="207" t="s">
        <v>2595</v>
      </c>
      <c r="E625" s="207" t="s">
        <v>1163</v>
      </c>
      <c r="F625" s="207" t="s">
        <v>1255</v>
      </c>
      <c r="G625" s="208" t="s">
        <v>2595</v>
      </c>
      <c r="H625" s="244"/>
      <c r="K625" s="17"/>
      <c r="XFC625" s="20"/>
    </row>
    <row r="626" spans="1:11 16383:16383" x14ac:dyDescent="0.2">
      <c r="A626" s="139" t="s">
        <v>3122</v>
      </c>
      <c r="B626" s="213" t="s">
        <v>117</v>
      </c>
      <c r="C626" s="136" t="s">
        <v>3121</v>
      </c>
      <c r="D626" s="213" t="s">
        <v>3123</v>
      </c>
      <c r="E626" s="213" t="s">
        <v>907</v>
      </c>
      <c r="F626" s="213" t="s">
        <v>1255</v>
      </c>
      <c r="G626" s="208" t="s">
        <v>3123</v>
      </c>
      <c r="H626" s="244"/>
      <c r="K626" s="17"/>
      <c r="XFC626" s="20"/>
    </row>
    <row r="627" spans="1:11 16383:16383" x14ac:dyDescent="0.2">
      <c r="A627" s="139" t="s">
        <v>1504</v>
      </c>
      <c r="B627" s="136" t="s">
        <v>117</v>
      </c>
      <c r="C627" s="136" t="s">
        <v>688</v>
      </c>
      <c r="D627" s="207" t="s">
        <v>688</v>
      </c>
      <c r="E627" s="207" t="s">
        <v>1165</v>
      </c>
      <c r="F627" s="207" t="s">
        <v>1255</v>
      </c>
      <c r="G627" s="208" t="s">
        <v>688</v>
      </c>
      <c r="H627" s="244"/>
      <c r="I627" s="18"/>
      <c r="J627" s="18"/>
      <c r="K627" s="17"/>
      <c r="XFC627" s="20"/>
    </row>
    <row r="628" spans="1:11 16383:16383" x14ac:dyDescent="0.2">
      <c r="A628" s="139" t="s">
        <v>1505</v>
      </c>
      <c r="B628" s="136" t="s">
        <v>117</v>
      </c>
      <c r="C628" s="136" t="s">
        <v>689</v>
      </c>
      <c r="D628" s="207" t="s">
        <v>689</v>
      </c>
      <c r="E628" s="207" t="s">
        <v>1166</v>
      </c>
      <c r="F628" s="207" t="s">
        <v>1255</v>
      </c>
      <c r="G628" s="208" t="s">
        <v>689</v>
      </c>
      <c r="H628" s="244"/>
      <c r="I628" s="18"/>
      <c r="J628" s="18"/>
      <c r="K628" s="17"/>
      <c r="XFC628" s="20"/>
    </row>
    <row r="629" spans="1:11 16383:16383" x14ac:dyDescent="0.2">
      <c r="A629" s="139" t="s">
        <v>1506</v>
      </c>
      <c r="B629" s="136" t="s">
        <v>117</v>
      </c>
      <c r="C629" s="136" t="s">
        <v>690</v>
      </c>
      <c r="D629" s="207" t="s">
        <v>690</v>
      </c>
      <c r="E629" s="207" t="s">
        <v>1167</v>
      </c>
      <c r="F629" s="207" t="s">
        <v>1255</v>
      </c>
      <c r="G629" s="208" t="s">
        <v>690</v>
      </c>
      <c r="H629" s="244"/>
      <c r="K629" s="17"/>
      <c r="XFC629" s="20"/>
    </row>
    <row r="630" spans="1:11 16383:16383" x14ac:dyDescent="0.2">
      <c r="A630" s="139" t="s">
        <v>1507</v>
      </c>
      <c r="B630" s="136" t="s">
        <v>117</v>
      </c>
      <c r="C630" s="136" t="s">
        <v>691</v>
      </c>
      <c r="D630" s="207" t="s">
        <v>692</v>
      </c>
      <c r="E630" s="207" t="s">
        <v>1168</v>
      </c>
      <c r="F630" s="207" t="s">
        <v>1255</v>
      </c>
      <c r="G630" s="208" t="s">
        <v>692</v>
      </c>
      <c r="H630" s="244"/>
      <c r="K630" s="17"/>
      <c r="XFC630" s="20"/>
    </row>
    <row r="631" spans="1:11 16383:16383" x14ac:dyDescent="0.2">
      <c r="A631" s="139" t="s">
        <v>2596</v>
      </c>
      <c r="B631" s="136" t="s">
        <v>117</v>
      </c>
      <c r="C631" s="136" t="s">
        <v>691</v>
      </c>
      <c r="D631" s="207" t="s">
        <v>2597</v>
      </c>
      <c r="E631" s="207" t="s">
        <v>1168</v>
      </c>
      <c r="F631" s="207" t="s">
        <v>1255</v>
      </c>
      <c r="G631" s="208" t="s">
        <v>2597</v>
      </c>
      <c r="H631" s="244"/>
      <c r="K631" s="17"/>
      <c r="XFC631" s="20"/>
    </row>
    <row r="632" spans="1:11 16383:16383" x14ac:dyDescent="0.2">
      <c r="A632" s="139" t="s">
        <v>1508</v>
      </c>
      <c r="B632" s="136" t="s">
        <v>117</v>
      </c>
      <c r="C632" s="136" t="s">
        <v>695</v>
      </c>
      <c r="D632" s="136" t="s">
        <v>695</v>
      </c>
      <c r="E632" s="136" t="s">
        <v>941</v>
      </c>
      <c r="F632" s="136" t="s">
        <v>1255</v>
      </c>
      <c r="G632" s="139" t="s">
        <v>695</v>
      </c>
      <c r="H632" s="244"/>
      <c r="K632" s="17"/>
      <c r="XFC632" s="20"/>
    </row>
    <row r="633" spans="1:11 16383:16383" x14ac:dyDescent="0.2">
      <c r="A633" s="139" t="s">
        <v>1509</v>
      </c>
      <c r="B633" s="136" t="s">
        <v>117</v>
      </c>
      <c r="C633" s="136" t="s">
        <v>693</v>
      </c>
      <c r="D633" s="207" t="s">
        <v>693</v>
      </c>
      <c r="E633" s="207" t="s">
        <v>1169</v>
      </c>
      <c r="F633" s="207" t="s">
        <v>1255</v>
      </c>
      <c r="G633" s="208" t="s">
        <v>693</v>
      </c>
      <c r="H633" s="244"/>
      <c r="K633" s="17"/>
      <c r="XFC633" s="20"/>
    </row>
    <row r="634" spans="1:11 16383:16383" x14ac:dyDescent="0.2">
      <c r="A634" s="139" t="s">
        <v>1510</v>
      </c>
      <c r="B634" s="136" t="s">
        <v>117</v>
      </c>
      <c r="C634" s="136" t="s">
        <v>694</v>
      </c>
      <c r="D634" s="207" t="s">
        <v>694</v>
      </c>
      <c r="E634" s="207" t="s">
        <v>1170</v>
      </c>
      <c r="F634" s="207" t="s">
        <v>1255</v>
      </c>
      <c r="G634" s="208" t="s">
        <v>694</v>
      </c>
      <c r="H634" s="244"/>
      <c r="K634" s="17"/>
      <c r="XFC634" s="20"/>
    </row>
    <row r="635" spans="1:11 16383:16383" x14ac:dyDescent="0.2">
      <c r="A635" s="139" t="s">
        <v>3126</v>
      </c>
      <c r="B635" s="136" t="s">
        <v>117</v>
      </c>
      <c r="C635" s="136" t="s">
        <v>3128</v>
      </c>
      <c r="D635" s="207" t="s">
        <v>3127</v>
      </c>
      <c r="E635" s="207" t="s">
        <v>3129</v>
      </c>
      <c r="F635" s="207" t="s">
        <v>1255</v>
      </c>
      <c r="G635" s="208" t="s">
        <v>3127</v>
      </c>
      <c r="H635" s="244"/>
      <c r="K635" s="17"/>
      <c r="XFC635" s="20"/>
    </row>
    <row r="636" spans="1:11 16383:16383" x14ac:dyDescent="0.2">
      <c r="A636" s="139" t="s">
        <v>1511</v>
      </c>
      <c r="B636" s="136" t="s">
        <v>117</v>
      </c>
      <c r="C636" s="136" t="s">
        <v>696</v>
      </c>
      <c r="D636" s="207" t="s">
        <v>2602</v>
      </c>
      <c r="E636" s="207" t="s">
        <v>1171</v>
      </c>
      <c r="F636" s="207" t="s">
        <v>1255</v>
      </c>
      <c r="G636" s="208" t="s">
        <v>2602</v>
      </c>
      <c r="H636" s="244"/>
      <c r="K636" s="17"/>
      <c r="XFC636" s="20"/>
    </row>
    <row r="637" spans="1:11 16383:16383" x14ac:dyDescent="0.2">
      <c r="A637" s="139" t="s">
        <v>2484</v>
      </c>
      <c r="B637" s="136" t="s">
        <v>117</v>
      </c>
      <c r="C637" s="136" t="s">
        <v>696</v>
      </c>
      <c r="D637" s="207" t="s">
        <v>2485</v>
      </c>
      <c r="E637" s="207" t="s">
        <v>1171</v>
      </c>
      <c r="F637" s="207" t="s">
        <v>1255</v>
      </c>
      <c r="G637" s="208" t="s">
        <v>2485</v>
      </c>
      <c r="H637" s="244"/>
      <c r="K637" s="17"/>
      <c r="XFC637" s="20"/>
    </row>
    <row r="638" spans="1:11 16383:16383" x14ac:dyDescent="0.2">
      <c r="A638" s="139" t="s">
        <v>2598</v>
      </c>
      <c r="B638" s="136" t="s">
        <v>117</v>
      </c>
      <c r="C638" s="136" t="s">
        <v>696</v>
      </c>
      <c r="D638" s="207" t="s">
        <v>2600</v>
      </c>
      <c r="E638" s="207" t="s">
        <v>1171</v>
      </c>
      <c r="F638" s="207" t="s">
        <v>1255</v>
      </c>
      <c r="G638" s="208" t="s">
        <v>2600</v>
      </c>
      <c r="H638" s="244"/>
      <c r="K638" s="17"/>
      <c r="XFC638" s="20"/>
    </row>
    <row r="639" spans="1:11 16383:16383" x14ac:dyDescent="0.2">
      <c r="A639" s="209" t="s">
        <v>3660</v>
      </c>
      <c r="B639" s="210" t="s">
        <v>117</v>
      </c>
      <c r="C639" s="210" t="s">
        <v>696</v>
      </c>
      <c r="D639" s="211" t="s">
        <v>3661</v>
      </c>
      <c r="E639" s="211" t="s">
        <v>1171</v>
      </c>
      <c r="F639" s="211" t="s">
        <v>1255</v>
      </c>
      <c r="G639" s="212" t="s">
        <v>3662</v>
      </c>
      <c r="H639" s="244"/>
      <c r="K639" s="17"/>
      <c r="XFC639" s="20"/>
    </row>
    <row r="640" spans="1:11 16383:16383" x14ac:dyDescent="0.2">
      <c r="A640" s="139" t="s">
        <v>2599</v>
      </c>
      <c r="B640" s="136" t="s">
        <v>117</v>
      </c>
      <c r="C640" s="136" t="s">
        <v>696</v>
      </c>
      <c r="D640" s="207" t="s">
        <v>2601</v>
      </c>
      <c r="E640" s="207" t="s">
        <v>1171</v>
      </c>
      <c r="F640" s="207" t="s">
        <v>1255</v>
      </c>
      <c r="G640" s="208" t="s">
        <v>2601</v>
      </c>
      <c r="H640" s="244"/>
      <c r="K640" s="17"/>
      <c r="XFC640" s="20"/>
    </row>
    <row r="641" spans="1:11 16383:16383" x14ac:dyDescent="0.2">
      <c r="A641" s="209" t="s">
        <v>3663</v>
      </c>
      <c r="B641" s="210" t="s">
        <v>118</v>
      </c>
      <c r="C641" s="210" t="s">
        <v>118</v>
      </c>
      <c r="D641" s="211" t="s">
        <v>3664</v>
      </c>
      <c r="E641" s="211" t="s">
        <v>3665</v>
      </c>
      <c r="F641" s="211" t="s">
        <v>879</v>
      </c>
      <c r="G641" s="212" t="s">
        <v>3666</v>
      </c>
      <c r="H641" s="244"/>
      <c r="K641" s="17"/>
      <c r="XFC641" s="20"/>
    </row>
    <row r="642" spans="1:11 16383:16383" x14ac:dyDescent="0.2">
      <c r="A642" s="139" t="s">
        <v>1512</v>
      </c>
      <c r="B642" s="136" t="s">
        <v>118</v>
      </c>
      <c r="C642" s="136" t="s">
        <v>698</v>
      </c>
      <c r="D642" s="207" t="s">
        <v>697</v>
      </c>
      <c r="E642" s="207" t="s">
        <v>942</v>
      </c>
      <c r="F642" s="207" t="s">
        <v>879</v>
      </c>
      <c r="G642" s="208" t="s">
        <v>697</v>
      </c>
      <c r="H642" s="244"/>
      <c r="K642" s="17"/>
      <c r="XFC642" s="20"/>
    </row>
    <row r="643" spans="1:11 16383:16383" x14ac:dyDescent="0.2">
      <c r="A643" s="139" t="s">
        <v>1513</v>
      </c>
      <c r="B643" s="136" t="s">
        <v>749</v>
      </c>
      <c r="C643" s="136" t="s">
        <v>750</v>
      </c>
      <c r="D643" s="207" t="s">
        <v>750</v>
      </c>
      <c r="E643" s="207" t="s">
        <v>1193</v>
      </c>
      <c r="F643" s="207" t="s">
        <v>878</v>
      </c>
      <c r="G643" s="208" t="s">
        <v>750</v>
      </c>
      <c r="H643" s="244"/>
      <c r="K643" s="17"/>
      <c r="XFC643" s="20"/>
    </row>
    <row r="644" spans="1:11 16383:16383" x14ac:dyDescent="0.2">
      <c r="A644" s="139" t="s">
        <v>1514</v>
      </c>
      <c r="B644" s="136" t="s">
        <v>749</v>
      </c>
      <c r="C644" s="136" t="s">
        <v>752</v>
      </c>
      <c r="D644" s="207" t="s">
        <v>751</v>
      </c>
      <c r="E644" s="207" t="s">
        <v>1194</v>
      </c>
      <c r="F644" s="207" t="s">
        <v>878</v>
      </c>
      <c r="G644" s="208" t="s">
        <v>751</v>
      </c>
      <c r="H644" s="244"/>
      <c r="K644" s="17"/>
      <c r="XFC644" s="20"/>
    </row>
    <row r="645" spans="1:11 16383:16383" x14ac:dyDescent="0.2">
      <c r="A645" s="139" t="s">
        <v>1706</v>
      </c>
      <c r="B645" s="136" t="s">
        <v>749</v>
      </c>
      <c r="C645" s="136" t="s">
        <v>752</v>
      </c>
      <c r="D645" s="207" t="s">
        <v>753</v>
      </c>
      <c r="E645" s="207" t="s">
        <v>1194</v>
      </c>
      <c r="F645" s="207" t="s">
        <v>878</v>
      </c>
      <c r="G645" s="208" t="s">
        <v>753</v>
      </c>
      <c r="H645" s="244"/>
      <c r="K645" s="17"/>
      <c r="XFC645" s="20"/>
    </row>
    <row r="646" spans="1:11 16383:16383" x14ac:dyDescent="0.2">
      <c r="A646" s="139" t="s">
        <v>1707</v>
      </c>
      <c r="B646" s="136" t="s">
        <v>749</v>
      </c>
      <c r="C646" s="136" t="s">
        <v>752</v>
      </c>
      <c r="D646" s="207" t="s">
        <v>756</v>
      </c>
      <c r="E646" s="207" t="s">
        <v>1194</v>
      </c>
      <c r="F646" s="207" t="s">
        <v>878</v>
      </c>
      <c r="G646" s="208" t="s">
        <v>756</v>
      </c>
      <c r="H646" s="244"/>
      <c r="K646" s="17"/>
      <c r="XFC646" s="20"/>
    </row>
    <row r="647" spans="1:11 16383:16383" x14ac:dyDescent="0.2">
      <c r="A647" s="139" t="s">
        <v>1708</v>
      </c>
      <c r="B647" s="213" t="s">
        <v>749</v>
      </c>
      <c r="C647" s="136" t="s">
        <v>752</v>
      </c>
      <c r="D647" s="213" t="s">
        <v>760</v>
      </c>
      <c r="E647" s="213" t="s">
        <v>1194</v>
      </c>
      <c r="F647" s="213" t="s">
        <v>878</v>
      </c>
      <c r="G647" s="208" t="s">
        <v>760</v>
      </c>
      <c r="H647" s="244"/>
      <c r="K647" s="17"/>
      <c r="XFC647" s="20"/>
    </row>
    <row r="648" spans="1:11 16383:16383" x14ac:dyDescent="0.2">
      <c r="A648" s="139" t="s">
        <v>1709</v>
      </c>
      <c r="B648" s="136" t="s">
        <v>749</v>
      </c>
      <c r="C648" s="136" t="s">
        <v>752</v>
      </c>
      <c r="D648" s="207" t="s">
        <v>762</v>
      </c>
      <c r="E648" s="207" t="s">
        <v>1194</v>
      </c>
      <c r="F648" s="207" t="s">
        <v>878</v>
      </c>
      <c r="G648" s="208" t="s">
        <v>762</v>
      </c>
      <c r="H648" s="244"/>
      <c r="K648" s="17"/>
      <c r="XFC648" s="20"/>
    </row>
    <row r="649" spans="1:11 16383:16383" x14ac:dyDescent="0.2">
      <c r="A649" s="139" t="s">
        <v>2493</v>
      </c>
      <c r="B649" s="136" t="s">
        <v>749</v>
      </c>
      <c r="C649" s="136" t="s">
        <v>752</v>
      </c>
      <c r="D649" s="207" t="s">
        <v>3743</v>
      </c>
      <c r="E649" s="207" t="s">
        <v>1194</v>
      </c>
      <c r="F649" s="207" t="s">
        <v>878</v>
      </c>
      <c r="G649" s="208" t="s">
        <v>2494</v>
      </c>
      <c r="H649" s="244"/>
      <c r="K649" s="17"/>
      <c r="XFC649" s="20"/>
    </row>
    <row r="650" spans="1:11 16383:16383" x14ac:dyDescent="0.2">
      <c r="A650" s="139" t="s">
        <v>3130</v>
      </c>
      <c r="B650" s="136" t="s">
        <v>749</v>
      </c>
      <c r="C650" s="136" t="s">
        <v>752</v>
      </c>
      <c r="D650" s="207" t="s">
        <v>3744</v>
      </c>
      <c r="E650" s="207" t="s">
        <v>1194</v>
      </c>
      <c r="F650" s="207" t="s">
        <v>878</v>
      </c>
      <c r="G650" s="208" t="s">
        <v>3745</v>
      </c>
      <c r="H650" s="244"/>
      <c r="K650" s="17"/>
      <c r="XFC650" s="20"/>
    </row>
    <row r="651" spans="1:11 16383:16383" x14ac:dyDescent="0.2">
      <c r="A651" s="139" t="s">
        <v>3477</v>
      </c>
      <c r="B651" s="136" t="s">
        <v>749</v>
      </c>
      <c r="C651" s="136" t="s">
        <v>752</v>
      </c>
      <c r="D651" s="207" t="s">
        <v>3746</v>
      </c>
      <c r="E651" s="207" t="s">
        <v>1194</v>
      </c>
      <c r="F651" s="207" t="s">
        <v>878</v>
      </c>
      <c r="G651" s="208" t="s">
        <v>3747</v>
      </c>
      <c r="H651" s="244"/>
      <c r="K651" s="17"/>
      <c r="XFC651" s="20"/>
    </row>
    <row r="652" spans="1:11 16383:16383" x14ac:dyDescent="0.2">
      <c r="A652" s="139" t="s">
        <v>1515</v>
      </c>
      <c r="B652" s="136" t="s">
        <v>749</v>
      </c>
      <c r="C652" s="136" t="s">
        <v>755</v>
      </c>
      <c r="D652" s="207" t="s">
        <v>755</v>
      </c>
      <c r="E652" s="207" t="s">
        <v>1195</v>
      </c>
      <c r="F652" s="207" t="s">
        <v>878</v>
      </c>
      <c r="G652" s="208" t="s">
        <v>755</v>
      </c>
      <c r="H652" s="244"/>
      <c r="K652" s="17"/>
      <c r="XFC652" s="20"/>
    </row>
    <row r="653" spans="1:11 16383:16383" x14ac:dyDescent="0.2">
      <c r="A653" s="139" t="s">
        <v>1710</v>
      </c>
      <c r="B653" s="136" t="s">
        <v>749</v>
      </c>
      <c r="C653" s="136" t="s">
        <v>755</v>
      </c>
      <c r="D653" s="207" t="s">
        <v>766</v>
      </c>
      <c r="E653" s="207" t="s">
        <v>1195</v>
      </c>
      <c r="F653" s="207" t="s">
        <v>878</v>
      </c>
      <c r="G653" s="208" t="s">
        <v>766</v>
      </c>
      <c r="H653" s="244"/>
      <c r="K653" s="17"/>
      <c r="XFC653" s="20"/>
    </row>
    <row r="654" spans="1:11 16383:16383" x14ac:dyDescent="0.2">
      <c r="A654" s="139" t="s">
        <v>1516</v>
      </c>
      <c r="B654" s="136" t="s">
        <v>749</v>
      </c>
      <c r="C654" s="136" t="s">
        <v>754</v>
      </c>
      <c r="D654" s="207" t="s">
        <v>754</v>
      </c>
      <c r="E654" s="207" t="s">
        <v>996</v>
      </c>
      <c r="F654" s="207" t="s">
        <v>878</v>
      </c>
      <c r="G654" s="208" t="s">
        <v>754</v>
      </c>
      <c r="H654" s="244"/>
      <c r="K654" s="17"/>
      <c r="XFC654" s="20"/>
    </row>
    <row r="655" spans="1:11 16383:16383" x14ac:dyDescent="0.2">
      <c r="A655" s="139" t="s">
        <v>1711</v>
      </c>
      <c r="B655" s="136" t="s">
        <v>749</v>
      </c>
      <c r="C655" s="136" t="s">
        <v>754</v>
      </c>
      <c r="D655" s="207" t="s">
        <v>769</v>
      </c>
      <c r="E655" s="207" t="s">
        <v>996</v>
      </c>
      <c r="F655" s="207" t="s">
        <v>878</v>
      </c>
      <c r="G655" s="208" t="s">
        <v>769</v>
      </c>
      <c r="H655" s="244"/>
      <c r="K655" s="17"/>
      <c r="XFC655" s="20"/>
    </row>
    <row r="656" spans="1:11 16383:16383" x14ac:dyDescent="0.2">
      <c r="A656" s="139" t="s">
        <v>1712</v>
      </c>
      <c r="B656" s="136" t="s">
        <v>749</v>
      </c>
      <c r="C656" s="136" t="s">
        <v>754</v>
      </c>
      <c r="D656" s="207" t="s">
        <v>1910</v>
      </c>
      <c r="E656" s="207" t="s">
        <v>996</v>
      </c>
      <c r="F656" s="207" t="s">
        <v>878</v>
      </c>
      <c r="G656" s="208" t="s">
        <v>1910</v>
      </c>
      <c r="H656" s="244"/>
      <c r="K656" s="17"/>
      <c r="XFC656" s="20"/>
    </row>
    <row r="657" spans="1:11 16383:16383" x14ac:dyDescent="0.2">
      <c r="A657" s="209" t="s">
        <v>3729</v>
      </c>
      <c r="B657" s="210" t="s">
        <v>749</v>
      </c>
      <c r="C657" s="210" t="s">
        <v>754</v>
      </c>
      <c r="D657" s="211" t="s">
        <v>3748</v>
      </c>
      <c r="E657" s="211" t="s">
        <v>996</v>
      </c>
      <c r="F657" s="211" t="s">
        <v>878</v>
      </c>
      <c r="G657" s="255" t="s">
        <v>3749</v>
      </c>
      <c r="H657" s="244"/>
      <c r="K657" s="17"/>
      <c r="XFC657" s="20"/>
    </row>
    <row r="658" spans="1:11 16383:16383" x14ac:dyDescent="0.2">
      <c r="A658" s="139" t="s">
        <v>1517</v>
      </c>
      <c r="B658" s="136" t="s">
        <v>749</v>
      </c>
      <c r="C658" s="136" t="s">
        <v>758</v>
      </c>
      <c r="D658" s="207" t="s">
        <v>757</v>
      </c>
      <c r="E658" s="207" t="s">
        <v>953</v>
      </c>
      <c r="F658" s="207" t="s">
        <v>878</v>
      </c>
      <c r="G658" s="208" t="s">
        <v>757</v>
      </c>
      <c r="H658" s="244"/>
      <c r="K658" s="17"/>
      <c r="XFC658" s="20"/>
    </row>
    <row r="659" spans="1:11 16383:16383" x14ac:dyDescent="0.2">
      <c r="A659" s="139" t="s">
        <v>3478</v>
      </c>
      <c r="B659" s="136" t="s">
        <v>749</v>
      </c>
      <c r="C659" s="136" t="s">
        <v>758</v>
      </c>
      <c r="D659" s="207" t="s">
        <v>3750</v>
      </c>
      <c r="E659" s="207" t="s">
        <v>953</v>
      </c>
      <c r="F659" s="207" t="s">
        <v>878</v>
      </c>
      <c r="G659" s="208" t="s">
        <v>3751</v>
      </c>
      <c r="H659" s="244"/>
      <c r="K659" s="17"/>
      <c r="XFC659" s="20"/>
    </row>
    <row r="660" spans="1:11 16383:16383" x14ac:dyDescent="0.2">
      <c r="A660" s="139" t="s">
        <v>1518</v>
      </c>
      <c r="B660" s="136" t="s">
        <v>749</v>
      </c>
      <c r="C660" s="136" t="s">
        <v>764</v>
      </c>
      <c r="D660" s="207" t="s">
        <v>763</v>
      </c>
      <c r="E660" s="207" t="s">
        <v>1198</v>
      </c>
      <c r="F660" s="207" t="s">
        <v>878</v>
      </c>
      <c r="G660" s="208" t="s">
        <v>763</v>
      </c>
      <c r="H660" s="244"/>
      <c r="K660" s="17"/>
      <c r="XFC660" s="20"/>
    </row>
    <row r="661" spans="1:11 16383:16383" x14ac:dyDescent="0.2">
      <c r="A661" s="139" t="s">
        <v>1702</v>
      </c>
      <c r="B661" s="136" t="s">
        <v>749</v>
      </c>
      <c r="C661" s="136" t="s">
        <v>764</v>
      </c>
      <c r="D661" s="207" t="s">
        <v>774</v>
      </c>
      <c r="E661" s="207" t="s">
        <v>1198</v>
      </c>
      <c r="F661" s="207" t="s">
        <v>878</v>
      </c>
      <c r="G661" s="208" t="s">
        <v>774</v>
      </c>
      <c r="H661" s="244"/>
      <c r="K661" s="17"/>
      <c r="XFC661" s="20"/>
    </row>
    <row r="662" spans="1:11 16383:16383" x14ac:dyDescent="0.2">
      <c r="A662" s="139" t="s">
        <v>1519</v>
      </c>
      <c r="B662" s="136" t="s">
        <v>749</v>
      </c>
      <c r="C662" s="136" t="s">
        <v>759</v>
      </c>
      <c r="D662" s="207" t="s">
        <v>759</v>
      </c>
      <c r="E662" s="207" t="s">
        <v>1196</v>
      </c>
      <c r="F662" s="207" t="s">
        <v>878</v>
      </c>
      <c r="G662" s="208" t="s">
        <v>759</v>
      </c>
      <c r="H662" s="244"/>
      <c r="K662" s="17"/>
      <c r="XFC662" s="20"/>
    </row>
    <row r="663" spans="1:11 16383:16383" x14ac:dyDescent="0.2">
      <c r="A663" s="139" t="s">
        <v>1703</v>
      </c>
      <c r="B663" s="136" t="s">
        <v>749</v>
      </c>
      <c r="C663" s="136" t="s">
        <v>759</v>
      </c>
      <c r="D663" s="207" t="s">
        <v>771</v>
      </c>
      <c r="E663" s="207" t="s">
        <v>1196</v>
      </c>
      <c r="F663" s="207" t="s">
        <v>878</v>
      </c>
      <c r="G663" s="208" t="s">
        <v>771</v>
      </c>
      <c r="H663" s="244"/>
      <c r="K663" s="17"/>
      <c r="XFC663" s="20"/>
    </row>
    <row r="664" spans="1:11 16383:16383" x14ac:dyDescent="0.2">
      <c r="A664" s="139" t="s">
        <v>1520</v>
      </c>
      <c r="B664" s="136" t="s">
        <v>749</v>
      </c>
      <c r="C664" s="136" t="s">
        <v>761</v>
      </c>
      <c r="D664" s="207" t="s">
        <v>761</v>
      </c>
      <c r="E664" s="207" t="s">
        <v>1197</v>
      </c>
      <c r="F664" s="207" t="s">
        <v>878</v>
      </c>
      <c r="G664" s="208" t="s">
        <v>761</v>
      </c>
      <c r="H664" s="244"/>
      <c r="K664" s="17"/>
      <c r="XFC664" s="20"/>
    </row>
    <row r="665" spans="1:11 16383:16383" x14ac:dyDescent="0.2">
      <c r="A665" s="139" t="s">
        <v>1704</v>
      </c>
      <c r="B665" s="136" t="s">
        <v>749</v>
      </c>
      <c r="C665" s="136" t="s">
        <v>761</v>
      </c>
      <c r="D665" s="207" t="s">
        <v>770</v>
      </c>
      <c r="E665" s="207" t="s">
        <v>1197</v>
      </c>
      <c r="F665" s="207" t="s">
        <v>878</v>
      </c>
      <c r="G665" s="208" t="s">
        <v>770</v>
      </c>
      <c r="H665" s="244"/>
      <c r="K665" s="17"/>
      <c r="XFC665" s="20"/>
    </row>
    <row r="666" spans="1:11 16383:16383" x14ac:dyDescent="0.2">
      <c r="A666" s="139" t="s">
        <v>1705</v>
      </c>
      <c r="B666" s="213" t="s">
        <v>749</v>
      </c>
      <c r="C666" s="136" t="s">
        <v>761</v>
      </c>
      <c r="D666" s="213" t="s">
        <v>773</v>
      </c>
      <c r="E666" s="213" t="s">
        <v>1197</v>
      </c>
      <c r="F666" s="213" t="s">
        <v>878</v>
      </c>
      <c r="G666" s="208" t="s">
        <v>773</v>
      </c>
      <c r="H666" s="244"/>
      <c r="K666" s="17"/>
      <c r="XFC666" s="20"/>
    </row>
    <row r="667" spans="1:11 16383:16383" x14ac:dyDescent="0.2">
      <c r="A667" s="139" t="s">
        <v>1521</v>
      </c>
      <c r="B667" s="136" t="s">
        <v>749</v>
      </c>
      <c r="C667" s="136" t="s">
        <v>768</v>
      </c>
      <c r="D667" s="207" t="s">
        <v>767</v>
      </c>
      <c r="E667" s="207" t="s">
        <v>954</v>
      </c>
      <c r="F667" s="207" t="s">
        <v>878</v>
      </c>
      <c r="G667" s="208" t="s">
        <v>767</v>
      </c>
      <c r="H667" s="244"/>
      <c r="K667" s="17"/>
      <c r="XFC667" s="20"/>
    </row>
    <row r="668" spans="1:11 16383:16383" x14ac:dyDescent="0.2">
      <c r="A668" s="139" t="s">
        <v>2994</v>
      </c>
      <c r="B668" s="136" t="s">
        <v>749</v>
      </c>
      <c r="C668" s="136" t="s">
        <v>774</v>
      </c>
      <c r="D668" s="207" t="s">
        <v>3752</v>
      </c>
      <c r="E668" s="207" t="s">
        <v>3083</v>
      </c>
      <c r="F668" s="207" t="s">
        <v>878</v>
      </c>
      <c r="G668" s="208" t="s">
        <v>3753</v>
      </c>
      <c r="H668" s="244"/>
      <c r="K668" s="17"/>
      <c r="XFC668" s="20"/>
    </row>
    <row r="669" spans="1:11 16383:16383" x14ac:dyDescent="0.2">
      <c r="A669" s="139" t="s">
        <v>1522</v>
      </c>
      <c r="B669" s="136" t="s">
        <v>749</v>
      </c>
      <c r="C669" s="136" t="s">
        <v>765</v>
      </c>
      <c r="D669" s="207" t="s">
        <v>765</v>
      </c>
      <c r="E669" s="207" t="s">
        <v>1199</v>
      </c>
      <c r="F669" s="207" t="s">
        <v>878</v>
      </c>
      <c r="G669" s="208" t="s">
        <v>765</v>
      </c>
      <c r="H669" s="244"/>
      <c r="K669" s="17"/>
      <c r="XFC669" s="20"/>
    </row>
    <row r="670" spans="1:11 16383:16383" x14ac:dyDescent="0.2">
      <c r="A670" s="139" t="s">
        <v>1699</v>
      </c>
      <c r="B670" s="136" t="s">
        <v>749</v>
      </c>
      <c r="C670" s="136" t="s">
        <v>765</v>
      </c>
      <c r="D670" s="207" t="s">
        <v>772</v>
      </c>
      <c r="E670" s="207" t="s">
        <v>1199</v>
      </c>
      <c r="F670" s="207" t="s">
        <v>878</v>
      </c>
      <c r="G670" s="208" t="s">
        <v>772</v>
      </c>
      <c r="H670" s="244"/>
      <c r="K670" s="17"/>
      <c r="XFC670" s="20"/>
    </row>
    <row r="671" spans="1:11 16383:16383" x14ac:dyDescent="0.2">
      <c r="A671" s="139" t="s">
        <v>3754</v>
      </c>
      <c r="B671" s="136" t="s">
        <v>749</v>
      </c>
      <c r="C671" s="136" t="s">
        <v>768</v>
      </c>
      <c r="D671" s="207" t="s">
        <v>3755</v>
      </c>
      <c r="E671" s="207" t="s">
        <v>954</v>
      </c>
      <c r="F671" s="207" t="s">
        <v>878</v>
      </c>
      <c r="G671" s="208" t="s">
        <v>3756</v>
      </c>
      <c r="H671" s="244"/>
      <c r="K671" s="17"/>
      <c r="XFC671" s="20"/>
    </row>
    <row r="672" spans="1:11 16383:16383" x14ac:dyDescent="0.2">
      <c r="A672" s="139" t="s">
        <v>3757</v>
      </c>
      <c r="B672" s="136" t="s">
        <v>749</v>
      </c>
      <c r="C672" s="136" t="s">
        <v>759</v>
      </c>
      <c r="D672" s="207" t="s">
        <v>3758</v>
      </c>
      <c r="E672" s="207" t="s">
        <v>1196</v>
      </c>
      <c r="F672" s="207" t="s">
        <v>878</v>
      </c>
      <c r="G672" s="208" t="s">
        <v>3759</v>
      </c>
      <c r="H672" s="244"/>
      <c r="K672" s="17"/>
      <c r="XFC672" s="20"/>
    </row>
    <row r="673" spans="1:11 16383:16383" x14ac:dyDescent="0.2">
      <c r="A673" s="139" t="s">
        <v>1523</v>
      </c>
      <c r="B673" s="136" t="s">
        <v>119</v>
      </c>
      <c r="C673" s="136" t="s">
        <v>700</v>
      </c>
      <c r="D673" s="207" t="s">
        <v>699</v>
      </c>
      <c r="E673" s="207" t="s">
        <v>1172</v>
      </c>
      <c r="F673" s="207" t="s">
        <v>1256</v>
      </c>
      <c r="G673" s="208" t="s">
        <v>699</v>
      </c>
      <c r="H673" s="244"/>
      <c r="K673" s="17"/>
      <c r="XFC673" s="20"/>
    </row>
    <row r="674" spans="1:11 16383:16383" x14ac:dyDescent="0.2">
      <c r="A674" s="139" t="s">
        <v>1524</v>
      </c>
      <c r="B674" s="136" t="s">
        <v>119</v>
      </c>
      <c r="C674" s="136" t="s">
        <v>702</v>
      </c>
      <c r="D674" s="207" t="s">
        <v>858</v>
      </c>
      <c r="E674" s="207" t="s">
        <v>1174</v>
      </c>
      <c r="F674" s="207" t="s">
        <v>1256</v>
      </c>
      <c r="G674" s="208" t="s">
        <v>858</v>
      </c>
      <c r="H674" s="244"/>
      <c r="K674" s="17"/>
      <c r="XFC674" s="20"/>
    </row>
    <row r="675" spans="1:11 16383:16383" x14ac:dyDescent="0.2">
      <c r="A675" s="139" t="s">
        <v>1698</v>
      </c>
      <c r="B675" s="136" t="s">
        <v>119</v>
      </c>
      <c r="C675" s="136" t="s">
        <v>702</v>
      </c>
      <c r="D675" s="207" t="s">
        <v>859</v>
      </c>
      <c r="E675" s="207" t="s">
        <v>1174</v>
      </c>
      <c r="F675" s="207" t="s">
        <v>1256</v>
      </c>
      <c r="G675" s="208" t="s">
        <v>859</v>
      </c>
      <c r="H675" s="244"/>
      <c r="K675" s="17"/>
      <c r="XFC675" s="20"/>
    </row>
    <row r="676" spans="1:11 16383:16383" x14ac:dyDescent="0.2">
      <c r="A676" s="209" t="s">
        <v>3646</v>
      </c>
      <c r="B676" s="210" t="s">
        <v>119</v>
      </c>
      <c r="C676" s="210" t="s">
        <v>702</v>
      </c>
      <c r="D676" s="211" t="s">
        <v>3647</v>
      </c>
      <c r="E676" s="211" t="s">
        <v>1174</v>
      </c>
      <c r="F676" s="211" t="s">
        <v>1256</v>
      </c>
      <c r="G676" s="212" t="s">
        <v>3648</v>
      </c>
      <c r="H676" s="244"/>
      <c r="K676" s="17"/>
      <c r="XFC676" s="20"/>
    </row>
    <row r="677" spans="1:11 16383:16383" x14ac:dyDescent="0.2">
      <c r="A677" s="139" t="s">
        <v>2924</v>
      </c>
      <c r="B677" s="136" t="s">
        <v>119</v>
      </c>
      <c r="C677" s="136" t="s">
        <v>2922</v>
      </c>
      <c r="D677" s="207" t="s">
        <v>2923</v>
      </c>
      <c r="E677" s="207" t="s">
        <v>3262</v>
      </c>
      <c r="F677" s="207" t="s">
        <v>1256</v>
      </c>
      <c r="G677" s="208" t="s">
        <v>2923</v>
      </c>
      <c r="H677" s="244"/>
      <c r="K677" s="17"/>
      <c r="XFC677" s="20"/>
    </row>
    <row r="678" spans="1:11 16383:16383" x14ac:dyDescent="0.2">
      <c r="A678" s="139" t="s">
        <v>2951</v>
      </c>
      <c r="B678" s="136" t="s">
        <v>119</v>
      </c>
      <c r="C678" s="136" t="s">
        <v>2922</v>
      </c>
      <c r="D678" s="207" t="s">
        <v>2952</v>
      </c>
      <c r="E678" s="207" t="s">
        <v>3262</v>
      </c>
      <c r="F678" s="207" t="s">
        <v>1256</v>
      </c>
      <c r="G678" s="208" t="s">
        <v>2952</v>
      </c>
      <c r="H678" s="244"/>
      <c r="K678" s="17"/>
      <c r="XFC678" s="20"/>
    </row>
    <row r="679" spans="1:11 16383:16383" x14ac:dyDescent="0.2">
      <c r="A679" s="139" t="s">
        <v>2953</v>
      </c>
      <c r="B679" s="136" t="s">
        <v>119</v>
      </c>
      <c r="C679" s="136" t="s">
        <v>2922</v>
      </c>
      <c r="D679" s="207" t="s">
        <v>2954</v>
      </c>
      <c r="E679" s="207" t="s">
        <v>3262</v>
      </c>
      <c r="F679" s="207" t="s">
        <v>1256</v>
      </c>
      <c r="G679" s="208" t="s">
        <v>2954</v>
      </c>
      <c r="H679" s="244"/>
      <c r="K679" s="17"/>
      <c r="XFC679" s="20"/>
    </row>
    <row r="680" spans="1:11 16383:16383" x14ac:dyDescent="0.2">
      <c r="A680" s="139" t="s">
        <v>1525</v>
      </c>
      <c r="B680" s="136" t="s">
        <v>119</v>
      </c>
      <c r="C680" s="136" t="s">
        <v>701</v>
      </c>
      <c r="D680" s="207" t="s">
        <v>2185</v>
      </c>
      <c r="E680" s="207" t="s">
        <v>1173</v>
      </c>
      <c r="F680" s="207" t="s">
        <v>1256</v>
      </c>
      <c r="G680" s="208" t="s">
        <v>2185</v>
      </c>
      <c r="H680" s="244"/>
      <c r="K680" s="17"/>
      <c r="XFC680" s="20"/>
    </row>
    <row r="681" spans="1:11 16383:16383" x14ac:dyDescent="0.2">
      <c r="A681" s="139" t="s">
        <v>1694</v>
      </c>
      <c r="B681" s="136" t="s">
        <v>119</v>
      </c>
      <c r="C681" s="136" t="s">
        <v>701</v>
      </c>
      <c r="D681" s="207" t="s">
        <v>855</v>
      </c>
      <c r="E681" s="207" t="s">
        <v>1173</v>
      </c>
      <c r="F681" s="207" t="s">
        <v>1256</v>
      </c>
      <c r="G681" s="208" t="s">
        <v>855</v>
      </c>
      <c r="H681" s="244"/>
      <c r="K681" s="17"/>
      <c r="XFC681" s="20"/>
    </row>
    <row r="682" spans="1:11 16383:16383" x14ac:dyDescent="0.2">
      <c r="A682" s="139" t="s">
        <v>1695</v>
      </c>
      <c r="B682" s="136" t="s">
        <v>119</v>
      </c>
      <c r="C682" s="136" t="s">
        <v>701</v>
      </c>
      <c r="D682" s="207" t="s">
        <v>862</v>
      </c>
      <c r="E682" s="207" t="s">
        <v>1173</v>
      </c>
      <c r="F682" s="207" t="s">
        <v>1256</v>
      </c>
      <c r="G682" s="208" t="s">
        <v>862</v>
      </c>
      <c r="H682" s="244"/>
      <c r="K682" s="17"/>
      <c r="XFC682" s="20"/>
    </row>
    <row r="683" spans="1:11 16383:16383" x14ac:dyDescent="0.2">
      <c r="A683" s="139" t="s">
        <v>1696</v>
      </c>
      <c r="B683" s="136" t="s">
        <v>119</v>
      </c>
      <c r="C683" s="136" t="s">
        <v>701</v>
      </c>
      <c r="D683" s="207" t="s">
        <v>856</v>
      </c>
      <c r="E683" s="207" t="s">
        <v>1173</v>
      </c>
      <c r="F683" s="207" t="s">
        <v>1256</v>
      </c>
      <c r="G683" s="208" t="s">
        <v>856</v>
      </c>
      <c r="H683" s="244"/>
      <c r="K683" s="17"/>
      <c r="XFC683" s="20"/>
    </row>
    <row r="684" spans="1:11 16383:16383" x14ac:dyDescent="0.2">
      <c r="A684" s="139" t="s">
        <v>1697</v>
      </c>
      <c r="B684" s="136" t="s">
        <v>119</v>
      </c>
      <c r="C684" s="136" t="s">
        <v>701</v>
      </c>
      <c r="D684" s="207" t="s">
        <v>857</v>
      </c>
      <c r="E684" s="207" t="s">
        <v>1173</v>
      </c>
      <c r="F684" s="207" t="s">
        <v>1256</v>
      </c>
      <c r="G684" s="208" t="s">
        <v>857</v>
      </c>
      <c r="H684" s="244"/>
      <c r="K684" s="17"/>
      <c r="XFC684" s="20"/>
    </row>
    <row r="685" spans="1:11 16383:16383" x14ac:dyDescent="0.2">
      <c r="A685" s="139" t="s">
        <v>2917</v>
      </c>
      <c r="B685" s="136" t="s">
        <v>119</v>
      </c>
      <c r="C685" s="136" t="s">
        <v>701</v>
      </c>
      <c r="D685" s="207" t="s">
        <v>2916</v>
      </c>
      <c r="E685" s="207" t="s">
        <v>1173</v>
      </c>
      <c r="F685" s="207" t="s">
        <v>1256</v>
      </c>
      <c r="G685" s="208" t="s">
        <v>2916</v>
      </c>
      <c r="H685" s="244"/>
      <c r="K685" s="17"/>
      <c r="XFC685" s="20"/>
    </row>
    <row r="686" spans="1:11 16383:16383" x14ac:dyDescent="0.2">
      <c r="A686" s="139" t="s">
        <v>3114</v>
      </c>
      <c r="B686" s="136" t="s">
        <v>119</v>
      </c>
      <c r="C686" s="136" t="s">
        <v>701</v>
      </c>
      <c r="D686" s="207" t="s">
        <v>3117</v>
      </c>
      <c r="E686" s="207" t="s">
        <v>1173</v>
      </c>
      <c r="F686" s="207" t="s">
        <v>1256</v>
      </c>
      <c r="G686" s="208" t="s">
        <v>3342</v>
      </c>
      <c r="H686" s="244"/>
      <c r="K686" s="17"/>
      <c r="XFC686" s="20"/>
    </row>
    <row r="687" spans="1:11 16383:16383" x14ac:dyDescent="0.2">
      <c r="A687" s="139" t="s">
        <v>3115</v>
      </c>
      <c r="B687" s="136" t="s">
        <v>119</v>
      </c>
      <c r="C687" s="136" t="s">
        <v>701</v>
      </c>
      <c r="D687" s="207" t="s">
        <v>3116</v>
      </c>
      <c r="E687" s="207" t="s">
        <v>1173</v>
      </c>
      <c r="F687" s="207" t="s">
        <v>1256</v>
      </c>
      <c r="G687" s="208" t="s">
        <v>3341</v>
      </c>
      <c r="H687" s="244"/>
      <c r="K687" s="17"/>
      <c r="XFC687" s="20"/>
    </row>
    <row r="688" spans="1:11 16383:16383" x14ac:dyDescent="0.2">
      <c r="A688" s="139" t="s">
        <v>3338</v>
      </c>
      <c r="B688" s="136" t="s">
        <v>119</v>
      </c>
      <c r="C688" s="136" t="s">
        <v>701</v>
      </c>
      <c r="D688" s="207" t="s">
        <v>3339</v>
      </c>
      <c r="E688" s="207" t="s">
        <v>1173</v>
      </c>
      <c r="F688" s="207" t="s">
        <v>1256</v>
      </c>
      <c r="G688" s="208" t="s">
        <v>3340</v>
      </c>
      <c r="H688" s="244"/>
      <c r="K688" s="17"/>
      <c r="XFC688" s="20"/>
    </row>
    <row r="689" spans="1:11 16383:16383" x14ac:dyDescent="0.2">
      <c r="A689" s="139" t="s">
        <v>3479</v>
      </c>
      <c r="B689" s="136" t="s">
        <v>119</v>
      </c>
      <c r="C689" s="136" t="s">
        <v>701</v>
      </c>
      <c r="D689" s="207" t="s">
        <v>3577</v>
      </c>
      <c r="E689" s="207" t="s">
        <v>1173</v>
      </c>
      <c r="F689" s="207" t="s">
        <v>1256</v>
      </c>
      <c r="G689" s="208" t="s">
        <v>3578</v>
      </c>
      <c r="H689" s="244"/>
      <c r="K689" s="17"/>
      <c r="XFC689" s="20"/>
    </row>
    <row r="690" spans="1:11 16383:16383" x14ac:dyDescent="0.2">
      <c r="A690" s="139" t="s">
        <v>3480</v>
      </c>
      <c r="B690" s="136" t="s">
        <v>119</v>
      </c>
      <c r="C690" s="136" t="s">
        <v>701</v>
      </c>
      <c r="D690" s="207" t="s">
        <v>3579</v>
      </c>
      <c r="E690" s="207" t="s">
        <v>1173</v>
      </c>
      <c r="F690" s="207" t="s">
        <v>1256</v>
      </c>
      <c r="G690" s="208" t="s">
        <v>3580</v>
      </c>
      <c r="H690" s="244"/>
      <c r="K690" s="17"/>
      <c r="XFC690" s="20"/>
    </row>
    <row r="691" spans="1:11 16383:16383" x14ac:dyDescent="0.2">
      <c r="A691" s="139" t="s">
        <v>1526</v>
      </c>
      <c r="B691" s="136" t="s">
        <v>119</v>
      </c>
      <c r="C691" s="136" t="s">
        <v>703</v>
      </c>
      <c r="D691" s="207" t="s">
        <v>860</v>
      </c>
      <c r="E691" s="207" t="s">
        <v>1175</v>
      </c>
      <c r="F691" s="207" t="s">
        <v>1256</v>
      </c>
      <c r="G691" s="208" t="s">
        <v>860</v>
      </c>
      <c r="H691" s="244"/>
      <c r="K691" s="17"/>
      <c r="XFC691" s="20"/>
    </row>
    <row r="692" spans="1:11 16383:16383" x14ac:dyDescent="0.2">
      <c r="A692" s="139" t="s">
        <v>1693</v>
      </c>
      <c r="B692" s="136" t="s">
        <v>119</v>
      </c>
      <c r="C692" s="136" t="s">
        <v>703</v>
      </c>
      <c r="D692" s="207" t="s">
        <v>861</v>
      </c>
      <c r="E692" s="207" t="s">
        <v>1175</v>
      </c>
      <c r="F692" s="207" t="s">
        <v>1256</v>
      </c>
      <c r="G692" s="208" t="s">
        <v>861</v>
      </c>
      <c r="H692" s="244"/>
      <c r="K692" s="17"/>
      <c r="XFC692" s="20"/>
    </row>
    <row r="693" spans="1:11 16383:16383" x14ac:dyDescent="0.2">
      <c r="A693" s="139" t="s">
        <v>3481</v>
      </c>
      <c r="B693" s="136" t="s">
        <v>119</v>
      </c>
      <c r="C693" s="136" t="s">
        <v>703</v>
      </c>
      <c r="D693" s="207" t="s">
        <v>3581</v>
      </c>
      <c r="E693" s="207" t="s">
        <v>1175</v>
      </c>
      <c r="F693" s="207" t="s">
        <v>1256</v>
      </c>
      <c r="G693" s="208" t="s">
        <v>3582</v>
      </c>
      <c r="H693" s="244"/>
      <c r="K693" s="17"/>
      <c r="XFC693" s="20"/>
    </row>
    <row r="694" spans="1:11 16383:16383" x14ac:dyDescent="0.2">
      <c r="A694" s="139" t="s">
        <v>1527</v>
      </c>
      <c r="B694" s="136" t="s">
        <v>119</v>
      </c>
      <c r="C694" s="136" t="s">
        <v>706</v>
      </c>
      <c r="D694" s="207" t="s">
        <v>863</v>
      </c>
      <c r="E694" s="207" t="s">
        <v>943</v>
      </c>
      <c r="F694" s="207" t="s">
        <v>1256</v>
      </c>
      <c r="G694" s="208" t="s">
        <v>863</v>
      </c>
      <c r="H694" s="244"/>
      <c r="K694" s="17"/>
      <c r="XFC694" s="20"/>
    </row>
    <row r="695" spans="1:11 16383:16383" x14ac:dyDescent="0.2">
      <c r="A695" s="139" t="s">
        <v>1692</v>
      </c>
      <c r="B695" s="136" t="s">
        <v>119</v>
      </c>
      <c r="C695" s="136" t="s">
        <v>706</v>
      </c>
      <c r="D695" s="207" t="s">
        <v>864</v>
      </c>
      <c r="E695" s="207" t="s">
        <v>943</v>
      </c>
      <c r="F695" s="207" t="s">
        <v>1256</v>
      </c>
      <c r="G695" s="208" t="s">
        <v>864</v>
      </c>
      <c r="H695" s="244"/>
      <c r="K695" s="17"/>
      <c r="XFC695" s="20"/>
    </row>
    <row r="696" spans="1:11 16383:16383" x14ac:dyDescent="0.2">
      <c r="A696" s="139" t="s">
        <v>1528</v>
      </c>
      <c r="B696" s="136" t="s">
        <v>119</v>
      </c>
      <c r="C696" s="136" t="s">
        <v>705</v>
      </c>
      <c r="D696" s="207" t="s">
        <v>704</v>
      </c>
      <c r="E696" s="207" t="s">
        <v>1176</v>
      </c>
      <c r="F696" s="207" t="s">
        <v>1256</v>
      </c>
      <c r="G696" s="208" t="s">
        <v>704</v>
      </c>
      <c r="H696" s="244"/>
      <c r="K696" s="17"/>
      <c r="XFC696" s="20"/>
    </row>
    <row r="697" spans="1:11 16383:16383" x14ac:dyDescent="0.2">
      <c r="A697" s="139" t="s">
        <v>1691</v>
      </c>
      <c r="B697" s="136" t="s">
        <v>119</v>
      </c>
      <c r="C697" s="136" t="s">
        <v>705</v>
      </c>
      <c r="D697" s="207" t="s">
        <v>748</v>
      </c>
      <c r="E697" s="207" t="s">
        <v>1176</v>
      </c>
      <c r="F697" s="207" t="s">
        <v>1256</v>
      </c>
      <c r="G697" s="208" t="s">
        <v>748</v>
      </c>
      <c r="H697" s="244"/>
      <c r="K697" s="17"/>
      <c r="XFC697" s="20"/>
    </row>
    <row r="698" spans="1:11 16383:16383" x14ac:dyDescent="0.2">
      <c r="A698" s="139" t="s">
        <v>1529</v>
      </c>
      <c r="B698" s="136" t="s">
        <v>119</v>
      </c>
      <c r="C698" s="136" t="s">
        <v>708</v>
      </c>
      <c r="D698" s="207" t="s">
        <v>707</v>
      </c>
      <c r="E698" s="207" t="s">
        <v>1177</v>
      </c>
      <c r="F698" s="207" t="s">
        <v>1256</v>
      </c>
      <c r="G698" s="208" t="s">
        <v>707</v>
      </c>
      <c r="H698" s="244"/>
      <c r="K698" s="17"/>
      <c r="XFC698" s="20"/>
    </row>
    <row r="699" spans="1:11 16383:16383" x14ac:dyDescent="0.2">
      <c r="A699" s="139" t="s">
        <v>3112</v>
      </c>
      <c r="B699" s="136" t="s">
        <v>119</v>
      </c>
      <c r="C699" s="136" t="s">
        <v>708</v>
      </c>
      <c r="D699" s="207" t="s">
        <v>3113</v>
      </c>
      <c r="E699" s="207" t="s">
        <v>1177</v>
      </c>
      <c r="F699" s="207" t="s">
        <v>1256</v>
      </c>
      <c r="G699" s="208" t="s">
        <v>3343</v>
      </c>
      <c r="H699" s="244"/>
      <c r="K699" s="17"/>
      <c r="XFC699" s="20"/>
    </row>
    <row r="700" spans="1:11 16383:16383" x14ac:dyDescent="0.2">
      <c r="A700" s="139" t="s">
        <v>1530</v>
      </c>
      <c r="B700" s="136" t="s">
        <v>119</v>
      </c>
      <c r="C700" s="136" t="s">
        <v>711</v>
      </c>
      <c r="D700" s="207" t="s">
        <v>710</v>
      </c>
      <c r="E700" s="207" t="s">
        <v>944</v>
      </c>
      <c r="F700" s="207" t="s">
        <v>1256</v>
      </c>
      <c r="G700" s="208" t="s">
        <v>710</v>
      </c>
      <c r="H700" s="244"/>
      <c r="K700" s="17"/>
      <c r="XFC700" s="20"/>
    </row>
    <row r="701" spans="1:11 16383:16383" x14ac:dyDescent="0.2">
      <c r="A701" s="139" t="s">
        <v>2915</v>
      </c>
      <c r="B701" s="136" t="s">
        <v>119</v>
      </c>
      <c r="C701" s="136" t="s">
        <v>711</v>
      </c>
      <c r="D701" s="207" t="s">
        <v>2914</v>
      </c>
      <c r="E701" s="207" t="s">
        <v>944</v>
      </c>
      <c r="F701" s="207" t="s">
        <v>1256</v>
      </c>
      <c r="G701" s="208" t="s">
        <v>3344</v>
      </c>
      <c r="H701" s="244"/>
      <c r="K701" s="17"/>
      <c r="XFC701" s="20"/>
    </row>
    <row r="702" spans="1:11 16383:16383" x14ac:dyDescent="0.2">
      <c r="A702" s="139" t="s">
        <v>1531</v>
      </c>
      <c r="B702" s="136" t="s">
        <v>119</v>
      </c>
      <c r="C702" s="136" t="s">
        <v>713</v>
      </c>
      <c r="D702" s="207" t="s">
        <v>712</v>
      </c>
      <c r="E702" s="207" t="s">
        <v>1179</v>
      </c>
      <c r="F702" s="207" t="s">
        <v>1256</v>
      </c>
      <c r="G702" s="208" t="s">
        <v>3298</v>
      </c>
      <c r="H702" s="244"/>
      <c r="K702" s="17"/>
      <c r="XFC702" s="20"/>
    </row>
    <row r="703" spans="1:11 16383:16383" x14ac:dyDescent="0.2">
      <c r="A703" s="139" t="s">
        <v>1532</v>
      </c>
      <c r="B703" s="136" t="s">
        <v>119</v>
      </c>
      <c r="C703" s="136" t="s">
        <v>709</v>
      </c>
      <c r="D703" s="207" t="s">
        <v>865</v>
      </c>
      <c r="E703" s="207" t="s">
        <v>1178</v>
      </c>
      <c r="F703" s="207" t="s">
        <v>1256</v>
      </c>
      <c r="G703" s="208" t="s">
        <v>865</v>
      </c>
      <c r="H703" s="244"/>
      <c r="K703" s="17"/>
      <c r="XFC703" s="20"/>
    </row>
    <row r="704" spans="1:11 16383:16383" x14ac:dyDescent="0.2">
      <c r="A704" s="139" t="s">
        <v>2439</v>
      </c>
      <c r="B704" s="136" t="s">
        <v>119</v>
      </c>
      <c r="C704" s="136" t="s">
        <v>709</v>
      </c>
      <c r="D704" s="207" t="s">
        <v>2186</v>
      </c>
      <c r="E704" s="207" t="s">
        <v>1178</v>
      </c>
      <c r="F704" s="207" t="s">
        <v>1256</v>
      </c>
      <c r="G704" s="208" t="s">
        <v>3299</v>
      </c>
      <c r="H704" s="244"/>
      <c r="K704" s="17"/>
      <c r="XFC704" s="20"/>
    </row>
    <row r="705" spans="1:11 16383:16383" x14ac:dyDescent="0.2">
      <c r="A705" s="139" t="s">
        <v>3100</v>
      </c>
      <c r="B705" s="136" t="s">
        <v>119</v>
      </c>
      <c r="C705" s="136" t="s">
        <v>709</v>
      </c>
      <c r="D705" s="207" t="s">
        <v>3101</v>
      </c>
      <c r="E705" s="207" t="s">
        <v>1178</v>
      </c>
      <c r="F705" s="207" t="s">
        <v>1256</v>
      </c>
      <c r="G705" s="208" t="s">
        <v>3345</v>
      </c>
      <c r="H705" s="244"/>
      <c r="K705" s="17"/>
      <c r="XFC705" s="20"/>
    </row>
    <row r="706" spans="1:11 16383:16383" x14ac:dyDescent="0.2">
      <c r="A706" s="139" t="s">
        <v>3285</v>
      </c>
      <c r="B706" s="136" t="s">
        <v>119</v>
      </c>
      <c r="C706" s="136" t="s">
        <v>709</v>
      </c>
      <c r="D706" s="207" t="s">
        <v>3286</v>
      </c>
      <c r="E706" s="207" t="s">
        <v>1178</v>
      </c>
      <c r="F706" s="207" t="s">
        <v>1256</v>
      </c>
      <c r="G706" s="208" t="s">
        <v>3286</v>
      </c>
      <c r="H706" s="244"/>
      <c r="K706" s="17"/>
      <c r="XFC706" s="20"/>
    </row>
    <row r="707" spans="1:11 16383:16383" x14ac:dyDescent="0.2">
      <c r="A707" s="139" t="s">
        <v>2438</v>
      </c>
      <c r="B707" s="213" t="s">
        <v>119</v>
      </c>
      <c r="C707" s="136" t="s">
        <v>714</v>
      </c>
      <c r="D707" s="213" t="s">
        <v>866</v>
      </c>
      <c r="E707" s="213" t="s">
        <v>3263</v>
      </c>
      <c r="F707" s="213" t="s">
        <v>1256</v>
      </c>
      <c r="G707" s="208" t="s">
        <v>866</v>
      </c>
      <c r="H707" s="244"/>
      <c r="K707" s="17"/>
      <c r="XFC707" s="20"/>
    </row>
    <row r="708" spans="1:11 16383:16383" x14ac:dyDescent="0.2">
      <c r="A708" s="139" t="s">
        <v>2437</v>
      </c>
      <c r="B708" s="213" t="s">
        <v>119</v>
      </c>
      <c r="C708" s="136" t="s">
        <v>714</v>
      </c>
      <c r="D708" s="213" t="s">
        <v>867</v>
      </c>
      <c r="E708" s="213" t="s">
        <v>3263</v>
      </c>
      <c r="F708" s="213" t="s">
        <v>1256</v>
      </c>
      <c r="G708" s="213" t="s">
        <v>867</v>
      </c>
      <c r="H708" s="244"/>
      <c r="K708" s="17"/>
      <c r="XFC708" s="20"/>
    </row>
    <row r="709" spans="1:11 16383:16383" x14ac:dyDescent="0.2">
      <c r="A709" s="139" t="s">
        <v>3482</v>
      </c>
      <c r="B709" s="136" t="s">
        <v>119</v>
      </c>
      <c r="C709" s="136" t="s">
        <v>714</v>
      </c>
      <c r="D709" s="207" t="s">
        <v>3583</v>
      </c>
      <c r="E709" s="207" t="s">
        <v>3263</v>
      </c>
      <c r="F709" s="207" t="s">
        <v>1256</v>
      </c>
      <c r="G709" s="208" t="s">
        <v>3584</v>
      </c>
      <c r="H709" s="244"/>
      <c r="K709" s="17"/>
      <c r="XFC709" s="20"/>
    </row>
    <row r="710" spans="1:11 16383:16383" x14ac:dyDescent="0.2">
      <c r="A710" s="139" t="s">
        <v>1533</v>
      </c>
      <c r="B710" s="136" t="s">
        <v>119</v>
      </c>
      <c r="C710" s="136" t="s">
        <v>715</v>
      </c>
      <c r="D710" s="207" t="s">
        <v>2187</v>
      </c>
      <c r="E710" s="207" t="s">
        <v>1180</v>
      </c>
      <c r="F710" s="207" t="s">
        <v>1256</v>
      </c>
      <c r="G710" s="208" t="s">
        <v>2187</v>
      </c>
      <c r="H710" s="244"/>
      <c r="K710" s="17"/>
      <c r="XFC710" s="20"/>
    </row>
    <row r="711" spans="1:11 16383:16383" x14ac:dyDescent="0.2">
      <c r="A711" s="139" t="s">
        <v>1689</v>
      </c>
      <c r="B711" s="136" t="s">
        <v>119</v>
      </c>
      <c r="C711" s="136" t="s">
        <v>715</v>
      </c>
      <c r="D711" s="207" t="s">
        <v>2188</v>
      </c>
      <c r="E711" s="207" t="s">
        <v>1180</v>
      </c>
      <c r="F711" s="207" t="s">
        <v>1256</v>
      </c>
      <c r="G711" s="208" t="s">
        <v>2188</v>
      </c>
      <c r="H711" s="244"/>
      <c r="K711" s="17"/>
      <c r="XFC711" s="20"/>
    </row>
    <row r="712" spans="1:11 16383:16383" x14ac:dyDescent="0.2">
      <c r="A712" s="139" t="s">
        <v>1690</v>
      </c>
      <c r="B712" s="136" t="s">
        <v>119</v>
      </c>
      <c r="C712" s="136" t="s">
        <v>715</v>
      </c>
      <c r="D712" s="207" t="s">
        <v>2189</v>
      </c>
      <c r="E712" s="207" t="s">
        <v>1180</v>
      </c>
      <c r="F712" s="207" t="s">
        <v>1256</v>
      </c>
      <c r="G712" s="208" t="s">
        <v>2189</v>
      </c>
      <c r="H712" s="244"/>
      <c r="K712" s="17"/>
      <c r="XFC712" s="20"/>
    </row>
    <row r="713" spans="1:11 16383:16383" x14ac:dyDescent="0.2">
      <c r="A713" s="139" t="s">
        <v>2921</v>
      </c>
      <c r="B713" s="136" t="s">
        <v>119</v>
      </c>
      <c r="C713" s="136" t="s">
        <v>715</v>
      </c>
      <c r="D713" s="207" t="s">
        <v>2920</v>
      </c>
      <c r="E713" s="207" t="s">
        <v>1180</v>
      </c>
      <c r="F713" s="207" t="s">
        <v>1256</v>
      </c>
      <c r="G713" s="208" t="s">
        <v>3346</v>
      </c>
      <c r="H713" s="244"/>
      <c r="K713" s="17"/>
      <c r="XFC713" s="20"/>
    </row>
    <row r="714" spans="1:11 16383:16383" x14ac:dyDescent="0.2">
      <c r="A714" s="139" t="s">
        <v>1534</v>
      </c>
      <c r="B714" s="136" t="s">
        <v>119</v>
      </c>
      <c r="C714" s="136" t="s">
        <v>717</v>
      </c>
      <c r="D714" s="207" t="s">
        <v>716</v>
      </c>
      <c r="E714" s="207" t="s">
        <v>1181</v>
      </c>
      <c r="F714" s="207" t="s">
        <v>1256</v>
      </c>
      <c r="G714" s="208" t="s">
        <v>716</v>
      </c>
      <c r="H714" s="244"/>
      <c r="K714" s="17"/>
      <c r="XFC714" s="20"/>
    </row>
    <row r="715" spans="1:11 16383:16383" x14ac:dyDescent="0.2">
      <c r="A715" s="139" t="s">
        <v>1535</v>
      </c>
      <c r="B715" s="136" t="s">
        <v>119</v>
      </c>
      <c r="C715" s="136" t="s">
        <v>718</v>
      </c>
      <c r="D715" s="207" t="s">
        <v>868</v>
      </c>
      <c r="E715" s="207" t="s">
        <v>946</v>
      </c>
      <c r="F715" s="207" t="s">
        <v>1256</v>
      </c>
      <c r="G715" s="208" t="s">
        <v>868</v>
      </c>
      <c r="H715" s="244"/>
      <c r="K715" s="17"/>
      <c r="XFC715" s="20"/>
    </row>
    <row r="716" spans="1:11 16383:16383" x14ac:dyDescent="0.2">
      <c r="A716" s="139" t="s">
        <v>1687</v>
      </c>
      <c r="B716" s="136" t="s">
        <v>119</v>
      </c>
      <c r="C716" s="136" t="s">
        <v>718</v>
      </c>
      <c r="D716" s="207" t="s">
        <v>869</v>
      </c>
      <c r="E716" s="207" t="s">
        <v>946</v>
      </c>
      <c r="F716" s="207" t="s">
        <v>1256</v>
      </c>
      <c r="G716" s="208" t="s">
        <v>3300</v>
      </c>
      <c r="H716" s="244"/>
      <c r="K716" s="17"/>
      <c r="XFC716" s="20"/>
    </row>
    <row r="717" spans="1:11 16383:16383" x14ac:dyDescent="0.2">
      <c r="A717" s="139" t="s">
        <v>1688</v>
      </c>
      <c r="B717" s="136" t="s">
        <v>119</v>
      </c>
      <c r="C717" s="136" t="s">
        <v>718</v>
      </c>
      <c r="D717" s="207" t="s">
        <v>746</v>
      </c>
      <c r="E717" s="207" t="s">
        <v>946</v>
      </c>
      <c r="F717" s="207" t="s">
        <v>1256</v>
      </c>
      <c r="G717" s="208" t="s">
        <v>746</v>
      </c>
      <c r="H717" s="244"/>
      <c r="K717" s="17"/>
      <c r="XFC717" s="20"/>
    </row>
    <row r="718" spans="1:11 16383:16383" x14ac:dyDescent="0.2">
      <c r="A718" s="209" t="s">
        <v>3667</v>
      </c>
      <c r="B718" s="210" t="s">
        <v>119</v>
      </c>
      <c r="C718" s="210" t="s">
        <v>718</v>
      </c>
      <c r="D718" s="211" t="s">
        <v>3668</v>
      </c>
      <c r="E718" s="211" t="s">
        <v>946</v>
      </c>
      <c r="F718" s="211" t="s">
        <v>1256</v>
      </c>
      <c r="G718" s="212" t="s">
        <v>3669</v>
      </c>
      <c r="H718" s="244"/>
      <c r="K718" s="17"/>
      <c r="XFC718" s="20"/>
    </row>
    <row r="719" spans="1:11 16383:16383" x14ac:dyDescent="0.2">
      <c r="A719" s="139" t="s">
        <v>1536</v>
      </c>
      <c r="B719" s="136" t="s">
        <v>119</v>
      </c>
      <c r="C719" s="136" t="s">
        <v>720</v>
      </c>
      <c r="D719" s="207" t="s">
        <v>719</v>
      </c>
      <c r="E719" s="207" t="s">
        <v>947</v>
      </c>
      <c r="F719" s="207" t="s">
        <v>1256</v>
      </c>
      <c r="G719" s="208" t="s">
        <v>719</v>
      </c>
      <c r="H719" s="244"/>
      <c r="K719" s="17"/>
      <c r="XFC719" s="20"/>
    </row>
    <row r="720" spans="1:11 16383:16383" x14ac:dyDescent="0.2">
      <c r="A720" s="139" t="s">
        <v>2919</v>
      </c>
      <c r="B720" s="136" t="s">
        <v>119</v>
      </c>
      <c r="C720" s="136" t="s">
        <v>720</v>
      </c>
      <c r="D720" s="207" t="s">
        <v>2918</v>
      </c>
      <c r="E720" s="207" t="s">
        <v>947</v>
      </c>
      <c r="F720" s="207" t="s">
        <v>1256</v>
      </c>
      <c r="G720" s="208" t="s">
        <v>3347</v>
      </c>
      <c r="H720" s="244"/>
      <c r="K720" s="17"/>
      <c r="XFC720" s="20"/>
    </row>
    <row r="721" spans="1:11 16383:16383" x14ac:dyDescent="0.2">
      <c r="A721" s="139" t="s">
        <v>1537</v>
      </c>
      <c r="B721" s="136" t="s">
        <v>119</v>
      </c>
      <c r="C721" s="136" t="s">
        <v>722</v>
      </c>
      <c r="D721" s="207" t="s">
        <v>721</v>
      </c>
      <c r="E721" s="207" t="s">
        <v>1182</v>
      </c>
      <c r="F721" s="207" t="s">
        <v>1256</v>
      </c>
      <c r="G721" s="208" t="s">
        <v>721</v>
      </c>
      <c r="H721" s="244"/>
      <c r="K721" s="17"/>
      <c r="XFC721" s="20"/>
    </row>
    <row r="722" spans="1:11 16383:16383" x14ac:dyDescent="0.2">
      <c r="A722" s="139" t="s">
        <v>1538</v>
      </c>
      <c r="B722" s="136" t="s">
        <v>119</v>
      </c>
      <c r="C722" s="136" t="s">
        <v>724</v>
      </c>
      <c r="D722" s="207" t="s">
        <v>723</v>
      </c>
      <c r="E722" s="207" t="s">
        <v>948</v>
      </c>
      <c r="F722" s="207" t="s">
        <v>1256</v>
      </c>
      <c r="G722" s="208" t="s">
        <v>723</v>
      </c>
      <c r="H722" s="244"/>
      <c r="K722" s="17"/>
      <c r="XFC722" s="20"/>
    </row>
    <row r="723" spans="1:11 16383:16383" x14ac:dyDescent="0.2">
      <c r="A723" s="139" t="s">
        <v>1539</v>
      </c>
      <c r="B723" s="136" t="s">
        <v>119</v>
      </c>
      <c r="C723" s="136" t="s">
        <v>725</v>
      </c>
      <c r="D723" s="207" t="s">
        <v>870</v>
      </c>
      <c r="E723" s="207" t="s">
        <v>1183</v>
      </c>
      <c r="F723" s="207" t="s">
        <v>1256</v>
      </c>
      <c r="G723" s="208" t="s">
        <v>870</v>
      </c>
      <c r="H723" s="244"/>
      <c r="K723" s="17"/>
      <c r="XFC723" s="20"/>
    </row>
    <row r="724" spans="1:11 16383:16383" x14ac:dyDescent="0.2">
      <c r="A724" s="139" t="s">
        <v>1685</v>
      </c>
      <c r="B724" s="136" t="s">
        <v>119</v>
      </c>
      <c r="C724" s="136" t="s">
        <v>725</v>
      </c>
      <c r="D724" s="207" t="s">
        <v>1917</v>
      </c>
      <c r="E724" s="207" t="s">
        <v>1183</v>
      </c>
      <c r="F724" s="207" t="s">
        <v>1256</v>
      </c>
      <c r="G724" s="208" t="s">
        <v>1917</v>
      </c>
      <c r="H724" s="244"/>
      <c r="K724" s="17"/>
      <c r="XFC724" s="20"/>
    </row>
    <row r="725" spans="1:11 16383:16383" x14ac:dyDescent="0.2">
      <c r="A725" s="139" t="s">
        <v>1686</v>
      </c>
      <c r="B725" s="136" t="s">
        <v>119</v>
      </c>
      <c r="C725" s="136" t="s">
        <v>725</v>
      </c>
      <c r="D725" s="207" t="s">
        <v>871</v>
      </c>
      <c r="E725" s="207" t="s">
        <v>1183</v>
      </c>
      <c r="F725" s="207" t="s">
        <v>1256</v>
      </c>
      <c r="G725" s="208" t="s">
        <v>871</v>
      </c>
      <c r="H725" s="244"/>
      <c r="K725" s="17"/>
      <c r="XFC725" s="20"/>
    </row>
    <row r="726" spans="1:11 16383:16383" x14ac:dyDescent="0.2">
      <c r="A726" s="235" t="s">
        <v>1540</v>
      </c>
      <c r="B726" s="136" t="s">
        <v>119</v>
      </c>
      <c r="C726" s="236" t="s">
        <v>726</v>
      </c>
      <c r="D726" s="237" t="s">
        <v>2190</v>
      </c>
      <c r="E726" s="238" t="s">
        <v>949</v>
      </c>
      <c r="F726" s="238" t="s">
        <v>1256</v>
      </c>
      <c r="G726" s="239" t="s">
        <v>2190</v>
      </c>
      <c r="H726" s="244"/>
      <c r="K726" s="17"/>
      <c r="XFC726" s="20"/>
    </row>
    <row r="727" spans="1:11 16383:16383" x14ac:dyDescent="0.2">
      <c r="A727" s="235" t="s">
        <v>1701</v>
      </c>
      <c r="B727" s="136" t="s">
        <v>119</v>
      </c>
      <c r="C727" s="236" t="s">
        <v>737</v>
      </c>
      <c r="D727" s="237" t="s">
        <v>736</v>
      </c>
      <c r="E727" s="238" t="s">
        <v>1700</v>
      </c>
      <c r="F727" s="238" t="s">
        <v>1256</v>
      </c>
      <c r="G727" s="239" t="s">
        <v>736</v>
      </c>
      <c r="H727" s="244"/>
      <c r="K727" s="17"/>
      <c r="XFC727" s="20"/>
    </row>
    <row r="728" spans="1:11 16383:16383" x14ac:dyDescent="0.2">
      <c r="A728" s="139" t="s">
        <v>1541</v>
      </c>
      <c r="B728" s="136" t="s">
        <v>119</v>
      </c>
      <c r="C728" s="136" t="s">
        <v>731</v>
      </c>
      <c r="D728" s="207" t="s">
        <v>730</v>
      </c>
      <c r="E728" s="207" t="s">
        <v>1186</v>
      </c>
      <c r="F728" s="207" t="s">
        <v>1256</v>
      </c>
      <c r="G728" s="208" t="s">
        <v>730</v>
      </c>
      <c r="H728" s="244"/>
      <c r="K728" s="17"/>
      <c r="XFC728" s="20"/>
    </row>
    <row r="729" spans="1:11 16383:16383" x14ac:dyDescent="0.2">
      <c r="A729" s="235" t="s">
        <v>3289</v>
      </c>
      <c r="B729" s="136" t="s">
        <v>119</v>
      </c>
      <c r="C729" s="236" t="s">
        <v>731</v>
      </c>
      <c r="D729" s="237" t="s">
        <v>3290</v>
      </c>
      <c r="E729" s="238" t="s">
        <v>1186</v>
      </c>
      <c r="F729" s="238" t="s">
        <v>1256</v>
      </c>
      <c r="G729" s="208" t="s">
        <v>3290</v>
      </c>
      <c r="H729" s="244"/>
      <c r="K729" s="17"/>
      <c r="XFC729" s="20"/>
    </row>
    <row r="730" spans="1:11 16383:16383" x14ac:dyDescent="0.2">
      <c r="A730" s="139" t="s">
        <v>1542</v>
      </c>
      <c r="B730" s="136" t="s">
        <v>119</v>
      </c>
      <c r="C730" s="136" t="s">
        <v>729</v>
      </c>
      <c r="D730" s="207" t="s">
        <v>2191</v>
      </c>
      <c r="E730" s="207" t="s">
        <v>1185</v>
      </c>
      <c r="F730" s="207" t="s">
        <v>1256</v>
      </c>
      <c r="G730" s="208" t="s">
        <v>2191</v>
      </c>
      <c r="H730" s="244"/>
      <c r="K730" s="17"/>
      <c r="XFC730" s="20"/>
    </row>
    <row r="731" spans="1:11 16383:16383" x14ac:dyDescent="0.2">
      <c r="A731" s="235" t="s">
        <v>1683</v>
      </c>
      <c r="B731" s="236" t="s">
        <v>119</v>
      </c>
      <c r="C731" s="236" t="s">
        <v>729</v>
      </c>
      <c r="D731" s="237" t="s">
        <v>2192</v>
      </c>
      <c r="E731" s="238" t="s">
        <v>1185</v>
      </c>
      <c r="F731" s="238" t="s">
        <v>1256</v>
      </c>
      <c r="G731" s="239" t="s">
        <v>2192</v>
      </c>
      <c r="H731" s="244"/>
      <c r="K731" s="17"/>
      <c r="XFC731" s="20"/>
    </row>
    <row r="732" spans="1:11 16383:16383" x14ac:dyDescent="0.2">
      <c r="A732" s="139" t="s">
        <v>1543</v>
      </c>
      <c r="B732" s="136" t="s">
        <v>119</v>
      </c>
      <c r="C732" s="136" t="s">
        <v>727</v>
      </c>
      <c r="D732" s="207" t="s">
        <v>872</v>
      </c>
      <c r="E732" s="207" t="s">
        <v>1184</v>
      </c>
      <c r="F732" s="207" t="s">
        <v>1256</v>
      </c>
      <c r="G732" s="208" t="s">
        <v>872</v>
      </c>
      <c r="H732" s="244"/>
      <c r="K732" s="17"/>
      <c r="XFC732" s="20"/>
    </row>
    <row r="733" spans="1:11 16383:16383" x14ac:dyDescent="0.2">
      <c r="A733" s="139" t="s">
        <v>1684</v>
      </c>
      <c r="B733" s="136" t="s">
        <v>119</v>
      </c>
      <c r="C733" s="136" t="s">
        <v>727</v>
      </c>
      <c r="D733" s="207" t="s">
        <v>2193</v>
      </c>
      <c r="E733" s="207" t="s">
        <v>1184</v>
      </c>
      <c r="F733" s="207" t="s">
        <v>1256</v>
      </c>
      <c r="G733" s="208" t="s">
        <v>2193</v>
      </c>
      <c r="H733" s="244"/>
      <c r="K733" s="17"/>
      <c r="XFC733" s="20"/>
    </row>
    <row r="734" spans="1:11 16383:16383" x14ac:dyDescent="0.2">
      <c r="A734" s="139" t="s">
        <v>1544</v>
      </c>
      <c r="B734" s="136" t="s">
        <v>119</v>
      </c>
      <c r="C734" s="136" t="s">
        <v>728</v>
      </c>
      <c r="D734" s="207" t="s">
        <v>2194</v>
      </c>
      <c r="E734" s="207" t="s">
        <v>950</v>
      </c>
      <c r="F734" s="207" t="s">
        <v>1256</v>
      </c>
      <c r="G734" s="208" t="s">
        <v>2194</v>
      </c>
      <c r="H734" s="244"/>
      <c r="K734" s="17"/>
      <c r="XFC734" s="20"/>
    </row>
    <row r="735" spans="1:11 16383:16383" x14ac:dyDescent="0.2">
      <c r="A735" s="139" t="s">
        <v>1545</v>
      </c>
      <c r="B735" s="136" t="s">
        <v>119</v>
      </c>
      <c r="C735" s="136" t="s">
        <v>735</v>
      </c>
      <c r="D735" s="207" t="s">
        <v>734</v>
      </c>
      <c r="E735" s="207" t="s">
        <v>1188</v>
      </c>
      <c r="F735" s="207" t="s">
        <v>1256</v>
      </c>
      <c r="G735" s="208" t="s">
        <v>734</v>
      </c>
      <c r="H735" s="244"/>
      <c r="K735" s="17"/>
      <c r="XFC735" s="20"/>
    </row>
    <row r="736" spans="1:11 16383:16383" x14ac:dyDescent="0.2">
      <c r="A736" s="139" t="s">
        <v>1681</v>
      </c>
      <c r="B736" s="136" t="s">
        <v>119</v>
      </c>
      <c r="C736" s="136" t="s">
        <v>735</v>
      </c>
      <c r="D736" s="207" t="s">
        <v>747</v>
      </c>
      <c r="E736" s="207" t="s">
        <v>1188</v>
      </c>
      <c r="F736" s="207" t="s">
        <v>1256</v>
      </c>
      <c r="G736" s="208" t="s">
        <v>747</v>
      </c>
      <c r="H736" s="244"/>
      <c r="K736" s="17"/>
      <c r="XFC736" s="20"/>
    </row>
    <row r="737" spans="1:11 16383:16383" x14ac:dyDescent="0.2">
      <c r="A737" s="139" t="s">
        <v>1546</v>
      </c>
      <c r="B737" s="136" t="s">
        <v>119</v>
      </c>
      <c r="C737" s="136" t="s">
        <v>742</v>
      </c>
      <c r="D737" s="207" t="s">
        <v>1918</v>
      </c>
      <c r="E737" s="207" t="s">
        <v>1189</v>
      </c>
      <c r="F737" s="207" t="s">
        <v>1256</v>
      </c>
      <c r="G737" s="208" t="s">
        <v>1918</v>
      </c>
      <c r="H737" s="244"/>
      <c r="K737" s="17"/>
      <c r="XFC737" s="20"/>
    </row>
    <row r="738" spans="1:11 16383:16383" x14ac:dyDescent="0.2">
      <c r="A738" s="139" t="s">
        <v>1682</v>
      </c>
      <c r="B738" s="136" t="s">
        <v>119</v>
      </c>
      <c r="C738" s="136" t="s">
        <v>742</v>
      </c>
      <c r="D738" s="207" t="s">
        <v>873</v>
      </c>
      <c r="E738" s="207" t="s">
        <v>1189</v>
      </c>
      <c r="F738" s="207" t="s">
        <v>1256</v>
      </c>
      <c r="G738" s="208" t="s">
        <v>873</v>
      </c>
      <c r="H738" s="244"/>
      <c r="K738" s="17"/>
      <c r="XFC738" s="20"/>
    </row>
    <row r="739" spans="1:11 16383:16383" x14ac:dyDescent="0.2">
      <c r="A739" s="139" t="s">
        <v>2926</v>
      </c>
      <c r="B739" s="136" t="s">
        <v>119</v>
      </c>
      <c r="C739" s="136" t="s">
        <v>742</v>
      </c>
      <c r="D739" s="207" t="s">
        <v>2925</v>
      </c>
      <c r="E739" s="207" t="s">
        <v>1189</v>
      </c>
      <c r="F739" s="207" t="s">
        <v>1256</v>
      </c>
      <c r="G739" s="208" t="s">
        <v>2925</v>
      </c>
      <c r="H739" s="244"/>
      <c r="K739" s="17"/>
      <c r="XFC739" s="20"/>
    </row>
    <row r="740" spans="1:11 16383:16383" x14ac:dyDescent="0.2">
      <c r="A740" s="139" t="s">
        <v>1547</v>
      </c>
      <c r="B740" s="136" t="s">
        <v>119</v>
      </c>
      <c r="C740" s="136" t="s">
        <v>741</v>
      </c>
      <c r="D740" s="207" t="s">
        <v>740</v>
      </c>
      <c r="E740" s="207" t="s">
        <v>952</v>
      </c>
      <c r="F740" s="207" t="s">
        <v>1256</v>
      </c>
      <c r="G740" s="208" t="s">
        <v>740</v>
      </c>
      <c r="H740" s="244"/>
      <c r="K740" s="17"/>
      <c r="XFC740" s="20"/>
    </row>
    <row r="741" spans="1:11 16383:16383" x14ac:dyDescent="0.2">
      <c r="A741" s="139" t="s">
        <v>1548</v>
      </c>
      <c r="B741" s="136" t="s">
        <v>119</v>
      </c>
      <c r="C741" s="136" t="s">
        <v>739</v>
      </c>
      <c r="D741" s="207" t="s">
        <v>738</v>
      </c>
      <c r="E741" s="207" t="s">
        <v>951</v>
      </c>
      <c r="F741" s="207" t="s">
        <v>1256</v>
      </c>
      <c r="G741" s="208" t="s">
        <v>738</v>
      </c>
      <c r="H741" s="244"/>
      <c r="K741" s="17"/>
      <c r="XFC741" s="20"/>
    </row>
    <row r="742" spans="1:11 16383:16383" x14ac:dyDescent="0.2">
      <c r="A742" s="139" t="s">
        <v>1549</v>
      </c>
      <c r="B742" s="136" t="s">
        <v>119</v>
      </c>
      <c r="C742" s="136" t="s">
        <v>733</v>
      </c>
      <c r="D742" s="207" t="s">
        <v>732</v>
      </c>
      <c r="E742" s="207" t="s">
        <v>1187</v>
      </c>
      <c r="F742" s="207" t="s">
        <v>1256</v>
      </c>
      <c r="G742" s="208" t="s">
        <v>732</v>
      </c>
      <c r="H742" s="244"/>
      <c r="K742" s="17"/>
      <c r="XFC742" s="20"/>
    </row>
    <row r="743" spans="1:11 16383:16383" x14ac:dyDescent="0.2">
      <c r="A743" s="139" t="s">
        <v>1550</v>
      </c>
      <c r="B743" s="136" t="s">
        <v>119</v>
      </c>
      <c r="C743" s="136" t="s">
        <v>743</v>
      </c>
      <c r="D743" s="207" t="s">
        <v>874</v>
      </c>
      <c r="E743" s="207" t="s">
        <v>1190</v>
      </c>
      <c r="F743" s="207" t="s">
        <v>1256</v>
      </c>
      <c r="G743" s="208" t="s">
        <v>874</v>
      </c>
      <c r="H743" s="244"/>
      <c r="K743" s="17"/>
      <c r="XFC743" s="20"/>
    </row>
    <row r="744" spans="1:11 16383:16383" x14ac:dyDescent="0.2">
      <c r="A744" s="235" t="s">
        <v>1678</v>
      </c>
      <c r="B744" s="236" t="s">
        <v>119</v>
      </c>
      <c r="C744" s="236" t="s">
        <v>743</v>
      </c>
      <c r="D744" s="237" t="s">
        <v>875</v>
      </c>
      <c r="E744" s="238" t="s">
        <v>1190</v>
      </c>
      <c r="F744" s="238" t="s">
        <v>1256</v>
      </c>
      <c r="G744" s="208" t="s">
        <v>875</v>
      </c>
      <c r="H744" s="244"/>
      <c r="K744" s="17"/>
      <c r="XFC744" s="20"/>
    </row>
    <row r="745" spans="1:11 16383:16383" x14ac:dyDescent="0.2">
      <c r="A745" s="139" t="s">
        <v>1679</v>
      </c>
      <c r="B745" s="136" t="s">
        <v>119</v>
      </c>
      <c r="C745" s="136" t="s">
        <v>743</v>
      </c>
      <c r="D745" s="207" t="s">
        <v>2195</v>
      </c>
      <c r="E745" s="207" t="s">
        <v>1190</v>
      </c>
      <c r="F745" s="207" t="s">
        <v>1256</v>
      </c>
      <c r="G745" s="208" t="s">
        <v>2195</v>
      </c>
      <c r="H745" s="244"/>
      <c r="K745" s="17"/>
      <c r="XFC745" s="20"/>
    </row>
    <row r="746" spans="1:11 16383:16383" x14ac:dyDescent="0.2">
      <c r="A746" s="139" t="s">
        <v>1551</v>
      </c>
      <c r="B746" s="136" t="s">
        <v>119</v>
      </c>
      <c r="C746" s="136" t="s">
        <v>744</v>
      </c>
      <c r="D746" s="207" t="s">
        <v>2196</v>
      </c>
      <c r="E746" s="207" t="s">
        <v>1191</v>
      </c>
      <c r="F746" s="207" t="s">
        <v>1256</v>
      </c>
      <c r="G746" s="208" t="s">
        <v>2196</v>
      </c>
      <c r="H746" s="244"/>
      <c r="K746" s="17"/>
      <c r="XFC746" s="20"/>
    </row>
    <row r="747" spans="1:11 16383:16383" x14ac:dyDescent="0.2">
      <c r="A747" s="139" t="s">
        <v>1680</v>
      </c>
      <c r="B747" s="136" t="s">
        <v>119</v>
      </c>
      <c r="C747" s="136" t="s">
        <v>744</v>
      </c>
      <c r="D747" s="207" t="s">
        <v>876</v>
      </c>
      <c r="E747" s="207" t="s">
        <v>1191</v>
      </c>
      <c r="F747" s="207" t="s">
        <v>1256</v>
      </c>
      <c r="G747" s="208" t="s">
        <v>876</v>
      </c>
      <c r="H747" s="244"/>
      <c r="K747" s="17"/>
      <c r="XFC747" s="20"/>
    </row>
    <row r="748" spans="1:11 16383:16383" x14ac:dyDescent="0.2">
      <c r="A748" s="139" t="s">
        <v>1552</v>
      </c>
      <c r="B748" s="136" t="s">
        <v>119</v>
      </c>
      <c r="C748" s="136" t="s">
        <v>745</v>
      </c>
      <c r="D748" s="207" t="s">
        <v>1919</v>
      </c>
      <c r="E748" s="207" t="s">
        <v>1192</v>
      </c>
      <c r="F748" s="207" t="s">
        <v>1256</v>
      </c>
      <c r="G748" s="208" t="s">
        <v>1919</v>
      </c>
      <c r="H748" s="244"/>
      <c r="K748" s="17"/>
      <c r="XFC748" s="20"/>
    </row>
    <row r="749" spans="1:11 16383:16383" x14ac:dyDescent="0.2">
      <c r="A749" s="139" t="s">
        <v>1894</v>
      </c>
      <c r="B749" s="136" t="s">
        <v>120</v>
      </c>
      <c r="C749" s="136" t="s">
        <v>1892</v>
      </c>
      <c r="D749" s="207" t="s">
        <v>776</v>
      </c>
      <c r="E749" s="207" t="s">
        <v>1099</v>
      </c>
      <c r="F749" s="207" t="s">
        <v>1257</v>
      </c>
      <c r="G749" s="208" t="s">
        <v>776</v>
      </c>
      <c r="H749" s="244"/>
      <c r="K749" s="17"/>
      <c r="XFC749" s="20"/>
    </row>
    <row r="750" spans="1:11 16383:16383" x14ac:dyDescent="0.2">
      <c r="A750" s="139" t="s">
        <v>1893</v>
      </c>
      <c r="B750" s="136" t="s">
        <v>120</v>
      </c>
      <c r="C750" s="136" t="s">
        <v>1891</v>
      </c>
      <c r="D750" s="207" t="s">
        <v>777</v>
      </c>
      <c r="E750" s="207" t="s">
        <v>914</v>
      </c>
      <c r="F750" s="207" t="s">
        <v>1257</v>
      </c>
      <c r="G750" s="208" t="s">
        <v>777</v>
      </c>
      <c r="H750" s="244"/>
      <c r="K750" s="17"/>
      <c r="XFC750" s="20"/>
    </row>
    <row r="751" spans="1:11 16383:16383" x14ac:dyDescent="0.2">
      <c r="A751" s="139" t="s">
        <v>1553</v>
      </c>
      <c r="B751" s="136" t="s">
        <v>120</v>
      </c>
      <c r="C751" s="136" t="s">
        <v>298</v>
      </c>
      <c r="D751" s="207" t="s">
        <v>775</v>
      </c>
      <c r="E751" s="207" t="s">
        <v>1020</v>
      </c>
      <c r="F751" s="207" t="s">
        <v>1257</v>
      </c>
      <c r="G751" s="208" t="s">
        <v>775</v>
      </c>
      <c r="H751" s="244"/>
      <c r="K751" s="17"/>
      <c r="XFC751" s="20"/>
    </row>
    <row r="752" spans="1:11 16383:16383" x14ac:dyDescent="0.2">
      <c r="A752" s="139" t="s">
        <v>2733</v>
      </c>
      <c r="B752" s="136" t="s">
        <v>121</v>
      </c>
      <c r="C752" s="136" t="s">
        <v>2731</v>
      </c>
      <c r="D752" s="207" t="s">
        <v>2732</v>
      </c>
      <c r="E752" s="207" t="s">
        <v>3264</v>
      </c>
      <c r="F752" s="207" t="s">
        <v>1258</v>
      </c>
      <c r="G752" s="208" t="s">
        <v>2732</v>
      </c>
      <c r="H752" s="244"/>
      <c r="K752" s="17"/>
      <c r="XFC752" s="20"/>
    </row>
    <row r="753" spans="1:11 16383:16383" x14ac:dyDescent="0.2">
      <c r="A753" s="139" t="s">
        <v>1554</v>
      </c>
      <c r="B753" s="136" t="s">
        <v>121</v>
      </c>
      <c r="C753" s="136" t="s">
        <v>778</v>
      </c>
      <c r="D753" s="207" t="s">
        <v>2197</v>
      </c>
      <c r="E753" s="207" t="s">
        <v>955</v>
      </c>
      <c r="F753" s="207" t="s">
        <v>1258</v>
      </c>
      <c r="G753" s="208" t="s">
        <v>2197</v>
      </c>
      <c r="H753" s="244"/>
      <c r="K753" s="17"/>
      <c r="XFC753" s="20"/>
    </row>
    <row r="754" spans="1:11 16383:16383" x14ac:dyDescent="0.2">
      <c r="A754" s="139" t="s">
        <v>3483</v>
      </c>
      <c r="B754" s="136" t="s">
        <v>121</v>
      </c>
      <c r="C754" s="136" t="s">
        <v>778</v>
      </c>
      <c r="D754" s="207" t="s">
        <v>3585</v>
      </c>
      <c r="E754" s="207" t="s">
        <v>955</v>
      </c>
      <c r="F754" s="207" t="s">
        <v>1258</v>
      </c>
      <c r="G754" s="208" t="s">
        <v>3586</v>
      </c>
      <c r="H754" s="244"/>
      <c r="K754" s="17"/>
      <c r="XFC754" s="20"/>
    </row>
    <row r="755" spans="1:11 16383:16383" x14ac:dyDescent="0.2">
      <c r="A755" s="139" t="s">
        <v>1555</v>
      </c>
      <c r="B755" s="136" t="s">
        <v>121</v>
      </c>
      <c r="C755" s="136" t="s">
        <v>3138</v>
      </c>
      <c r="D755" s="207" t="s">
        <v>3139</v>
      </c>
      <c r="E755" s="207" t="s">
        <v>1200</v>
      </c>
      <c r="F755" s="207" t="s">
        <v>1258</v>
      </c>
      <c r="G755" s="208" t="s">
        <v>3139</v>
      </c>
      <c r="H755" s="244"/>
      <c r="K755" s="17"/>
      <c r="XFC755" s="20"/>
    </row>
    <row r="756" spans="1:11 16383:16383" x14ac:dyDescent="0.2">
      <c r="A756" s="209" t="s">
        <v>3673</v>
      </c>
      <c r="B756" s="210" t="s">
        <v>121</v>
      </c>
      <c r="C756" s="210" t="s">
        <v>3674</v>
      </c>
      <c r="D756" s="211" t="s">
        <v>3675</v>
      </c>
      <c r="E756" s="211" t="s">
        <v>3676</v>
      </c>
      <c r="F756" s="211" t="s">
        <v>1258</v>
      </c>
      <c r="G756" s="212" t="s">
        <v>3677</v>
      </c>
      <c r="H756" s="244"/>
      <c r="K756" s="17"/>
      <c r="XFC756" s="20"/>
    </row>
    <row r="757" spans="1:11 16383:16383" x14ac:dyDescent="0.2">
      <c r="A757" s="139" t="s">
        <v>1556</v>
      </c>
      <c r="B757" s="136" t="s">
        <v>121</v>
      </c>
      <c r="C757" s="136" t="s">
        <v>779</v>
      </c>
      <c r="D757" s="207" t="s">
        <v>2198</v>
      </c>
      <c r="E757" s="207" t="s">
        <v>956</v>
      </c>
      <c r="F757" s="207" t="s">
        <v>1258</v>
      </c>
      <c r="G757" s="208" t="s">
        <v>2198</v>
      </c>
      <c r="H757" s="244"/>
      <c r="K757" s="17"/>
      <c r="XFC757" s="20"/>
    </row>
    <row r="758" spans="1:11 16383:16383" x14ac:dyDescent="0.2">
      <c r="A758" s="139" t="s">
        <v>1557</v>
      </c>
      <c r="B758" s="136" t="s">
        <v>121</v>
      </c>
      <c r="C758" s="136" t="s">
        <v>780</v>
      </c>
      <c r="D758" s="207" t="s">
        <v>2199</v>
      </c>
      <c r="E758" s="207" t="s">
        <v>1201</v>
      </c>
      <c r="F758" s="207" t="s">
        <v>1258</v>
      </c>
      <c r="G758" s="208" t="s">
        <v>2199</v>
      </c>
      <c r="H758" s="244"/>
      <c r="K758" s="17"/>
      <c r="XFC758" s="20"/>
    </row>
    <row r="759" spans="1:11 16383:16383" x14ac:dyDescent="0.2">
      <c r="A759" s="235" t="s">
        <v>1558</v>
      </c>
      <c r="B759" s="236" t="s">
        <v>121</v>
      </c>
      <c r="C759" s="236" t="s">
        <v>781</v>
      </c>
      <c r="D759" s="237" t="s">
        <v>2200</v>
      </c>
      <c r="E759" s="238" t="s">
        <v>957</v>
      </c>
      <c r="F759" s="238" t="s">
        <v>1258</v>
      </c>
      <c r="G759" s="208" t="s">
        <v>2200</v>
      </c>
      <c r="H759" s="244"/>
      <c r="K759" s="17"/>
      <c r="XFC759" s="20"/>
    </row>
    <row r="760" spans="1:11 16383:16383" x14ac:dyDescent="0.2">
      <c r="A760" s="139" t="s">
        <v>1559</v>
      </c>
      <c r="B760" s="136" t="s">
        <v>121</v>
      </c>
      <c r="C760" s="136" t="s">
        <v>803</v>
      </c>
      <c r="D760" s="207" t="s">
        <v>802</v>
      </c>
      <c r="E760" s="207" t="s">
        <v>1219</v>
      </c>
      <c r="F760" s="207" t="s">
        <v>1258</v>
      </c>
      <c r="G760" s="208" t="s">
        <v>802</v>
      </c>
      <c r="H760" s="244"/>
      <c r="K760" s="17"/>
      <c r="XFC760" s="20"/>
    </row>
    <row r="761" spans="1:11 16383:16383" x14ac:dyDescent="0.2">
      <c r="A761" s="139" t="s">
        <v>1560</v>
      </c>
      <c r="B761" s="136" t="s">
        <v>121</v>
      </c>
      <c r="C761" s="136" t="s">
        <v>974</v>
      </c>
      <c r="D761" s="207" t="s">
        <v>808</v>
      </c>
      <c r="E761" s="207" t="s">
        <v>1222</v>
      </c>
      <c r="F761" s="207" t="s">
        <v>1258</v>
      </c>
      <c r="G761" s="208" t="s">
        <v>808</v>
      </c>
      <c r="H761" s="244"/>
      <c r="K761" s="17"/>
      <c r="XFC761" s="20"/>
    </row>
    <row r="762" spans="1:11 16383:16383" x14ac:dyDescent="0.2">
      <c r="A762" s="139" t="s">
        <v>2961</v>
      </c>
      <c r="B762" s="136" t="s">
        <v>121</v>
      </c>
      <c r="C762" s="127" t="s">
        <v>974</v>
      </c>
      <c r="D762" s="127" t="s">
        <v>2962</v>
      </c>
      <c r="E762" s="127" t="s">
        <v>1222</v>
      </c>
      <c r="F762" s="127" t="s">
        <v>1258</v>
      </c>
      <c r="G762" s="208" t="e">
        <v>#N/A</v>
      </c>
      <c r="H762" s="244"/>
      <c r="K762" s="17"/>
      <c r="XFC762" s="20"/>
    </row>
    <row r="763" spans="1:11 16383:16383" x14ac:dyDescent="0.2">
      <c r="A763" s="139" t="s">
        <v>3484</v>
      </c>
      <c r="B763" s="136" t="s">
        <v>121</v>
      </c>
      <c r="C763" s="136" t="s">
        <v>3497</v>
      </c>
      <c r="D763" s="207" t="s">
        <v>3587</v>
      </c>
      <c r="E763" s="207" t="s">
        <v>3588</v>
      </c>
      <c r="F763" s="207" t="s">
        <v>1258</v>
      </c>
      <c r="G763" s="208" t="s">
        <v>3589</v>
      </c>
      <c r="H763" s="244"/>
      <c r="K763" s="17"/>
      <c r="XFC763" s="20"/>
    </row>
    <row r="764" spans="1:11 16383:16383" x14ac:dyDescent="0.2">
      <c r="A764" s="139" t="s">
        <v>1561</v>
      </c>
      <c r="B764" s="136" t="s">
        <v>121</v>
      </c>
      <c r="C764" s="136" t="s">
        <v>800</v>
      </c>
      <c r="D764" s="207" t="s">
        <v>3137</v>
      </c>
      <c r="E764" s="207" t="s">
        <v>1217</v>
      </c>
      <c r="F764" s="207" t="s">
        <v>1258</v>
      </c>
      <c r="G764" s="208" t="s">
        <v>3137</v>
      </c>
      <c r="H764" s="244"/>
      <c r="K764" s="17"/>
      <c r="XFC764" s="20"/>
    </row>
    <row r="765" spans="1:11 16383:16383" x14ac:dyDescent="0.2">
      <c r="A765" s="139" t="s">
        <v>1562</v>
      </c>
      <c r="B765" s="136" t="s">
        <v>121</v>
      </c>
      <c r="C765" s="136" t="s">
        <v>782</v>
      </c>
      <c r="D765" s="207" t="s">
        <v>2201</v>
      </c>
      <c r="E765" s="207" t="s">
        <v>958</v>
      </c>
      <c r="F765" s="207" t="s">
        <v>1258</v>
      </c>
      <c r="G765" s="208" t="s">
        <v>2201</v>
      </c>
      <c r="H765" s="244"/>
      <c r="K765" s="17"/>
      <c r="XFC765" s="20"/>
    </row>
    <row r="766" spans="1:11 16383:16383" x14ac:dyDescent="0.2">
      <c r="A766" s="139" t="s">
        <v>2959</v>
      </c>
      <c r="B766" s="136" t="s">
        <v>121</v>
      </c>
      <c r="C766" s="136" t="s">
        <v>782</v>
      </c>
      <c r="D766" s="207" t="s">
        <v>2960</v>
      </c>
      <c r="E766" s="207" t="s">
        <v>958</v>
      </c>
      <c r="F766" s="207" t="s">
        <v>1258</v>
      </c>
      <c r="G766" s="208" t="e">
        <v>#N/A</v>
      </c>
      <c r="H766" s="244"/>
      <c r="K766" s="17"/>
      <c r="XFC766" s="20"/>
    </row>
    <row r="767" spans="1:11 16383:16383" x14ac:dyDescent="0.2">
      <c r="A767" s="139" t="s">
        <v>3485</v>
      </c>
      <c r="B767" s="136" t="s">
        <v>121</v>
      </c>
      <c r="C767" s="136" t="s">
        <v>782</v>
      </c>
      <c r="D767" s="207" t="s">
        <v>3590</v>
      </c>
      <c r="E767" s="207" t="s">
        <v>958</v>
      </c>
      <c r="F767" s="207" t="s">
        <v>1258</v>
      </c>
      <c r="G767" s="208" t="s">
        <v>3591</v>
      </c>
      <c r="H767" s="244"/>
      <c r="K767" s="17"/>
      <c r="XFC767" s="20"/>
    </row>
    <row r="768" spans="1:11 16383:16383" x14ac:dyDescent="0.2">
      <c r="A768" s="139" t="s">
        <v>1563</v>
      </c>
      <c r="B768" s="136" t="s">
        <v>121</v>
      </c>
      <c r="C768" s="136" t="s">
        <v>972</v>
      </c>
      <c r="D768" s="207" t="s">
        <v>806</v>
      </c>
      <c r="E768" s="207" t="s">
        <v>1221</v>
      </c>
      <c r="F768" s="207" t="s">
        <v>1258</v>
      </c>
      <c r="G768" s="208" t="s">
        <v>806</v>
      </c>
      <c r="H768" s="244"/>
      <c r="K768" s="17"/>
      <c r="XFC768" s="20"/>
    </row>
    <row r="769" spans="1:11 16383:16383" x14ac:dyDescent="0.2">
      <c r="A769" s="139" t="s">
        <v>1564</v>
      </c>
      <c r="B769" s="136" t="s">
        <v>121</v>
      </c>
      <c r="C769" s="136" t="s">
        <v>783</v>
      </c>
      <c r="D769" s="207" t="s">
        <v>2202</v>
      </c>
      <c r="E769" s="207" t="s">
        <v>1202</v>
      </c>
      <c r="F769" s="207" t="s">
        <v>1258</v>
      </c>
      <c r="G769" s="208" t="s">
        <v>2202</v>
      </c>
      <c r="H769" s="244"/>
      <c r="K769" s="17"/>
      <c r="XFC769" s="20"/>
    </row>
    <row r="770" spans="1:11 16383:16383" x14ac:dyDescent="0.2">
      <c r="A770" s="139" t="s">
        <v>2736</v>
      </c>
      <c r="B770" s="136" t="s">
        <v>121</v>
      </c>
      <c r="C770" s="136" t="s">
        <v>2734</v>
      </c>
      <c r="D770" s="207" t="s">
        <v>2735</v>
      </c>
      <c r="E770" s="207" t="s">
        <v>3265</v>
      </c>
      <c r="F770" s="207" t="s">
        <v>1258</v>
      </c>
      <c r="G770" s="208" t="s">
        <v>2735</v>
      </c>
      <c r="H770" s="244"/>
      <c r="K770" s="17"/>
      <c r="XFC770" s="20"/>
    </row>
    <row r="771" spans="1:11 16383:16383" x14ac:dyDescent="0.2">
      <c r="A771" s="139" t="s">
        <v>3142</v>
      </c>
      <c r="B771" s="136" t="s">
        <v>121</v>
      </c>
      <c r="C771" s="136" t="s">
        <v>3144</v>
      </c>
      <c r="D771" s="207" t="s">
        <v>3146</v>
      </c>
      <c r="E771" s="207" t="s">
        <v>3237</v>
      </c>
      <c r="F771" s="207" t="s">
        <v>1258</v>
      </c>
      <c r="G771" s="208" t="s">
        <v>3146</v>
      </c>
      <c r="H771" s="244"/>
      <c r="K771" s="17"/>
      <c r="XFC771" s="20"/>
    </row>
    <row r="772" spans="1:11 16383:16383" ht="27.75" customHeight="1" x14ac:dyDescent="0.2">
      <c r="A772" s="139" t="s">
        <v>3141</v>
      </c>
      <c r="B772" s="136" t="s">
        <v>121</v>
      </c>
      <c r="C772" s="136" t="s">
        <v>3143</v>
      </c>
      <c r="D772" s="207" t="s">
        <v>3145</v>
      </c>
      <c r="E772" s="207" t="s">
        <v>3266</v>
      </c>
      <c r="F772" s="207" t="s">
        <v>1258</v>
      </c>
      <c r="G772" s="208" t="s">
        <v>3145</v>
      </c>
      <c r="H772" s="244"/>
      <c r="K772" s="17"/>
      <c r="XFC772" s="20"/>
    </row>
    <row r="773" spans="1:11 16383:16383" ht="27.75" customHeight="1" x14ac:dyDescent="0.2">
      <c r="A773" s="139" t="s">
        <v>1565</v>
      </c>
      <c r="B773" s="136" t="s">
        <v>121</v>
      </c>
      <c r="C773" s="136" t="s">
        <v>2203</v>
      </c>
      <c r="D773" s="207" t="s">
        <v>787</v>
      </c>
      <c r="E773" s="207" t="s">
        <v>1204</v>
      </c>
      <c r="F773" s="207" t="s">
        <v>1258</v>
      </c>
      <c r="G773" s="208" t="s">
        <v>787</v>
      </c>
      <c r="H773" s="244"/>
      <c r="K773" s="17"/>
      <c r="XFC773" s="20"/>
    </row>
    <row r="774" spans="1:11 16383:16383" x14ac:dyDescent="0.2">
      <c r="A774" s="139" t="s">
        <v>3147</v>
      </c>
      <c r="B774" s="136" t="s">
        <v>121</v>
      </c>
      <c r="C774" s="136" t="s">
        <v>3148</v>
      </c>
      <c r="D774" s="207" t="s">
        <v>3149</v>
      </c>
      <c r="E774" s="207" t="s">
        <v>3267</v>
      </c>
      <c r="F774" s="207" t="s">
        <v>1258</v>
      </c>
      <c r="G774" s="208" t="s">
        <v>3149</v>
      </c>
      <c r="H774" s="244"/>
      <c r="K774" s="17"/>
      <c r="XFC774" s="20"/>
    </row>
    <row r="775" spans="1:11 16383:16383" x14ac:dyDescent="0.2">
      <c r="A775" s="139" t="s">
        <v>1566</v>
      </c>
      <c r="B775" s="136" t="s">
        <v>121</v>
      </c>
      <c r="C775" s="136" t="s">
        <v>2204</v>
      </c>
      <c r="D775" s="207" t="s">
        <v>2205</v>
      </c>
      <c r="E775" s="207" t="s">
        <v>1205</v>
      </c>
      <c r="F775" s="207" t="s">
        <v>1258</v>
      </c>
      <c r="G775" s="208" t="s">
        <v>2205</v>
      </c>
      <c r="H775" s="244"/>
      <c r="K775" s="17"/>
      <c r="XFC775" s="20"/>
    </row>
    <row r="776" spans="1:11 16383:16383" x14ac:dyDescent="0.2">
      <c r="A776" s="139" t="s">
        <v>2739</v>
      </c>
      <c r="B776" s="136" t="s">
        <v>121</v>
      </c>
      <c r="C776" s="136" t="s">
        <v>2737</v>
      </c>
      <c r="D776" s="207" t="s">
        <v>2738</v>
      </c>
      <c r="E776" s="207" t="s">
        <v>3269</v>
      </c>
      <c r="F776" s="207" t="s">
        <v>1258</v>
      </c>
      <c r="G776" s="208" t="s">
        <v>2738</v>
      </c>
      <c r="H776" s="244"/>
      <c r="K776" s="17"/>
      <c r="XFC776" s="20"/>
    </row>
    <row r="777" spans="1:11 16383:16383" x14ac:dyDescent="0.2">
      <c r="A777" s="139" t="s">
        <v>2741</v>
      </c>
      <c r="B777" s="136" t="s">
        <v>121</v>
      </c>
      <c r="C777" s="136" t="s">
        <v>2958</v>
      </c>
      <c r="D777" s="207" t="s">
        <v>2740</v>
      </c>
      <c r="E777" s="207" t="s">
        <v>3270</v>
      </c>
      <c r="F777" s="207" t="s">
        <v>1258</v>
      </c>
      <c r="G777" s="208" t="s">
        <v>2740</v>
      </c>
      <c r="H777" s="244"/>
      <c r="K777" s="17"/>
      <c r="XFC777" s="20"/>
    </row>
    <row r="778" spans="1:11 16383:16383" x14ac:dyDescent="0.2">
      <c r="A778" s="139" t="s">
        <v>1567</v>
      </c>
      <c r="B778" s="136" t="s">
        <v>121</v>
      </c>
      <c r="C778" s="136" t="s">
        <v>2206</v>
      </c>
      <c r="D778" s="207" t="s">
        <v>2207</v>
      </c>
      <c r="E778" s="207" t="s">
        <v>1206</v>
      </c>
      <c r="F778" s="207" t="s">
        <v>1258</v>
      </c>
      <c r="G778" s="208" t="s">
        <v>2207</v>
      </c>
      <c r="H778" s="244"/>
      <c r="K778" s="17"/>
      <c r="XFC778" s="20"/>
    </row>
    <row r="779" spans="1:11 16383:16383" x14ac:dyDescent="0.2">
      <c r="A779" s="139" t="s">
        <v>3150</v>
      </c>
      <c r="B779" s="136" t="s">
        <v>121</v>
      </c>
      <c r="C779" s="136" t="s">
        <v>3151</v>
      </c>
      <c r="D779" s="207" t="s">
        <v>3152</v>
      </c>
      <c r="E779" s="207" t="s">
        <v>3268</v>
      </c>
      <c r="F779" s="207" t="s">
        <v>1258</v>
      </c>
      <c r="G779" s="208" t="s">
        <v>3152</v>
      </c>
      <c r="H779" s="244"/>
      <c r="K779" s="17"/>
      <c r="XFC779" s="20"/>
    </row>
    <row r="780" spans="1:11 16383:16383" x14ac:dyDescent="0.2">
      <c r="A780" s="139" t="s">
        <v>1568</v>
      </c>
      <c r="B780" s="136" t="s">
        <v>121</v>
      </c>
      <c r="C780" s="136" t="s">
        <v>960</v>
      </c>
      <c r="D780" s="207" t="s">
        <v>788</v>
      </c>
      <c r="E780" s="207" t="s">
        <v>1208</v>
      </c>
      <c r="F780" s="207" t="s">
        <v>1258</v>
      </c>
      <c r="G780" s="208" t="s">
        <v>788</v>
      </c>
      <c r="H780" s="244"/>
      <c r="K780" s="17"/>
      <c r="XFC780" s="20"/>
    </row>
    <row r="781" spans="1:11 16383:16383" x14ac:dyDescent="0.2">
      <c r="A781" s="139" t="s">
        <v>1569</v>
      </c>
      <c r="B781" s="136" t="s">
        <v>121</v>
      </c>
      <c r="C781" s="136" t="s">
        <v>786</v>
      </c>
      <c r="D781" s="207" t="s">
        <v>785</v>
      </c>
      <c r="E781" s="207" t="s">
        <v>1203</v>
      </c>
      <c r="F781" s="207" t="s">
        <v>1258</v>
      </c>
      <c r="G781" s="208" t="s">
        <v>785</v>
      </c>
      <c r="H781" s="244"/>
      <c r="K781" s="17"/>
      <c r="XFC781" s="20"/>
    </row>
    <row r="782" spans="1:11 16383:16383" x14ac:dyDescent="0.2">
      <c r="A782" s="139" t="s">
        <v>1570</v>
      </c>
      <c r="B782" s="136" t="s">
        <v>121</v>
      </c>
      <c r="C782" s="136" t="s">
        <v>2208</v>
      </c>
      <c r="D782" s="207" t="s">
        <v>2209</v>
      </c>
      <c r="E782" s="207" t="s">
        <v>1223</v>
      </c>
      <c r="F782" s="207" t="s">
        <v>1258</v>
      </c>
      <c r="G782" s="208" t="s">
        <v>2209</v>
      </c>
      <c r="H782" s="244"/>
      <c r="K782" s="17"/>
      <c r="XFC782" s="20"/>
    </row>
    <row r="783" spans="1:11 16383:16383" x14ac:dyDescent="0.2">
      <c r="A783" s="139" t="s">
        <v>1571</v>
      </c>
      <c r="B783" s="136" t="s">
        <v>121</v>
      </c>
      <c r="C783" s="136" t="s">
        <v>2210</v>
      </c>
      <c r="D783" s="207" t="s">
        <v>2211</v>
      </c>
      <c r="E783" s="207" t="s">
        <v>1207</v>
      </c>
      <c r="F783" s="207" t="s">
        <v>1258</v>
      </c>
      <c r="G783" s="208" t="s">
        <v>3301</v>
      </c>
      <c r="H783" s="244"/>
      <c r="K783" s="17"/>
      <c r="XFC783" s="20"/>
    </row>
    <row r="784" spans="1:11 16383:16383" x14ac:dyDescent="0.2">
      <c r="A784" s="139" t="s">
        <v>2955</v>
      </c>
      <c r="B784" s="136" t="s">
        <v>121</v>
      </c>
      <c r="C784" s="136" t="s">
        <v>2956</v>
      </c>
      <c r="D784" s="207" t="s">
        <v>2957</v>
      </c>
      <c r="E784" s="207" t="s">
        <v>3271</v>
      </c>
      <c r="F784" s="207" t="s">
        <v>1258</v>
      </c>
      <c r="G784" s="208" t="s">
        <v>2957</v>
      </c>
      <c r="H784" s="244"/>
      <c r="K784" s="17"/>
      <c r="XFC784" s="20"/>
    </row>
    <row r="785" spans="1:11 16383:16383" x14ac:dyDescent="0.2">
      <c r="A785" s="139" t="s">
        <v>3486</v>
      </c>
      <c r="B785" s="136" t="s">
        <v>121</v>
      </c>
      <c r="C785" s="136" t="s">
        <v>2956</v>
      </c>
      <c r="D785" s="207" t="s">
        <v>3592</v>
      </c>
      <c r="E785" s="207" t="s">
        <v>3271</v>
      </c>
      <c r="F785" s="207" t="s">
        <v>1258</v>
      </c>
      <c r="G785" s="208" t="s">
        <v>3593</v>
      </c>
      <c r="H785" s="244"/>
      <c r="K785" s="17"/>
      <c r="XFC785" s="20"/>
    </row>
    <row r="786" spans="1:11 16383:16383" x14ac:dyDescent="0.2">
      <c r="A786" s="139" t="s">
        <v>1572</v>
      </c>
      <c r="B786" s="136" t="s">
        <v>121</v>
      </c>
      <c r="C786" s="136" t="s">
        <v>973</v>
      </c>
      <c r="D786" s="207" t="s">
        <v>807</v>
      </c>
      <c r="E786" s="207" t="s">
        <v>1104</v>
      </c>
      <c r="F786" s="207" t="s">
        <v>1258</v>
      </c>
      <c r="G786" s="208" t="s">
        <v>3302</v>
      </c>
      <c r="H786" s="244"/>
      <c r="K786" s="17"/>
      <c r="XFC786" s="20"/>
    </row>
    <row r="787" spans="1:11 16383:16383" x14ac:dyDescent="0.2">
      <c r="A787" s="139" t="s">
        <v>1573</v>
      </c>
      <c r="B787" s="136" t="s">
        <v>121</v>
      </c>
      <c r="C787" s="136" t="s">
        <v>961</v>
      </c>
      <c r="D787" s="207" t="s">
        <v>789</v>
      </c>
      <c r="E787" s="207" t="s">
        <v>1209</v>
      </c>
      <c r="F787" s="207" t="s">
        <v>1258</v>
      </c>
      <c r="G787" s="208" t="s">
        <v>789</v>
      </c>
      <c r="H787" s="244"/>
      <c r="K787" s="17"/>
      <c r="XFC787" s="20"/>
    </row>
    <row r="788" spans="1:11 16383:16383" x14ac:dyDescent="0.2">
      <c r="A788" s="139" t="s">
        <v>1574</v>
      </c>
      <c r="B788" s="136" t="s">
        <v>121</v>
      </c>
      <c r="C788" s="136" t="s">
        <v>2212</v>
      </c>
      <c r="D788" s="207" t="s">
        <v>2213</v>
      </c>
      <c r="E788" s="207" t="s">
        <v>1210</v>
      </c>
      <c r="F788" s="207" t="s">
        <v>1258</v>
      </c>
      <c r="G788" s="208" t="s">
        <v>2213</v>
      </c>
      <c r="H788" s="244"/>
      <c r="K788" s="17"/>
      <c r="XFC788" s="20"/>
    </row>
    <row r="789" spans="1:11 16383:16383" x14ac:dyDescent="0.2">
      <c r="A789" s="139" t="s">
        <v>3153</v>
      </c>
      <c r="B789" s="136" t="s">
        <v>121</v>
      </c>
      <c r="C789" s="136" t="s">
        <v>3154</v>
      </c>
      <c r="D789" s="207" t="s">
        <v>3155</v>
      </c>
      <c r="E789" s="207" t="s">
        <v>3272</v>
      </c>
      <c r="F789" s="207" t="s">
        <v>1258</v>
      </c>
      <c r="G789" s="208" t="s">
        <v>3303</v>
      </c>
      <c r="H789" s="244"/>
      <c r="K789" s="17"/>
      <c r="XFC789" s="20"/>
    </row>
    <row r="790" spans="1:11 16383:16383" x14ac:dyDescent="0.2">
      <c r="A790" s="139" t="s">
        <v>1575</v>
      </c>
      <c r="B790" s="136" t="s">
        <v>121</v>
      </c>
      <c r="C790" s="136" t="s">
        <v>962</v>
      </c>
      <c r="D790" s="207" t="s">
        <v>2214</v>
      </c>
      <c r="E790" s="207" t="s">
        <v>963</v>
      </c>
      <c r="F790" s="207" t="s">
        <v>1258</v>
      </c>
      <c r="G790" s="208" t="s">
        <v>2214</v>
      </c>
      <c r="H790" s="244"/>
      <c r="K790" s="17"/>
      <c r="XFC790" s="20"/>
    </row>
    <row r="791" spans="1:11 16383:16383" x14ac:dyDescent="0.2">
      <c r="A791" s="209" t="s">
        <v>3686</v>
      </c>
      <c r="B791" s="210" t="s">
        <v>121</v>
      </c>
      <c r="C791" s="210" t="s">
        <v>962</v>
      </c>
      <c r="D791" s="211" t="s">
        <v>3687</v>
      </c>
      <c r="E791" s="211" t="s">
        <v>963</v>
      </c>
      <c r="F791" s="211" t="s">
        <v>1258</v>
      </c>
      <c r="G791" s="212" t="s">
        <v>3688</v>
      </c>
      <c r="H791" s="244"/>
      <c r="K791" s="17"/>
      <c r="XFC791" s="20"/>
    </row>
    <row r="792" spans="1:11 16383:16383" x14ac:dyDescent="0.2">
      <c r="A792" s="139" t="s">
        <v>1576</v>
      </c>
      <c r="B792" s="136" t="s">
        <v>121</v>
      </c>
      <c r="C792" s="136" t="s">
        <v>2215</v>
      </c>
      <c r="D792" s="207" t="s">
        <v>2216</v>
      </c>
      <c r="E792" s="207" t="s">
        <v>1212</v>
      </c>
      <c r="F792" s="207" t="s">
        <v>1258</v>
      </c>
      <c r="G792" s="208" t="s">
        <v>3304</v>
      </c>
      <c r="H792" s="244"/>
      <c r="K792" s="17"/>
      <c r="XFC792" s="20"/>
    </row>
    <row r="793" spans="1:11 16383:16383" x14ac:dyDescent="0.2">
      <c r="A793" s="139" t="s">
        <v>1577</v>
      </c>
      <c r="B793" s="136" t="s">
        <v>121</v>
      </c>
      <c r="C793" s="136" t="s">
        <v>790</v>
      </c>
      <c r="D793" s="207" t="s">
        <v>2217</v>
      </c>
      <c r="E793" s="207" t="s">
        <v>1211</v>
      </c>
      <c r="F793" s="207" t="s">
        <v>1258</v>
      </c>
      <c r="G793" s="208" t="s">
        <v>2217</v>
      </c>
      <c r="H793" s="244"/>
      <c r="K793" s="17"/>
      <c r="XFC793" s="20"/>
    </row>
    <row r="794" spans="1:11 16383:16383" x14ac:dyDescent="0.2">
      <c r="A794" s="139" t="s">
        <v>1677</v>
      </c>
      <c r="B794" s="136" t="s">
        <v>121</v>
      </c>
      <c r="C794" s="136" t="s">
        <v>790</v>
      </c>
      <c r="D794" s="207" t="s">
        <v>2218</v>
      </c>
      <c r="E794" s="207" t="s">
        <v>1211</v>
      </c>
      <c r="F794" s="207" t="s">
        <v>1258</v>
      </c>
      <c r="G794" s="208" t="s">
        <v>2218</v>
      </c>
      <c r="H794" s="244"/>
      <c r="K794" s="17"/>
      <c r="XFC794" s="20"/>
    </row>
    <row r="795" spans="1:11 16383:16383" x14ac:dyDescent="0.2">
      <c r="A795" s="139" t="s">
        <v>3487</v>
      </c>
      <c r="B795" s="136" t="s">
        <v>121</v>
      </c>
      <c r="C795" s="136" t="s">
        <v>790</v>
      </c>
      <c r="D795" s="207" t="s">
        <v>3594</v>
      </c>
      <c r="E795" s="207" t="s">
        <v>1211</v>
      </c>
      <c r="F795" s="207" t="s">
        <v>1258</v>
      </c>
      <c r="G795" s="208" t="s">
        <v>3595</v>
      </c>
      <c r="H795" s="244"/>
      <c r="K795" s="17"/>
      <c r="XFC795" s="20"/>
    </row>
    <row r="796" spans="1:11 16383:16383" x14ac:dyDescent="0.2">
      <c r="A796" s="139" t="s">
        <v>3488</v>
      </c>
      <c r="B796" s="136" t="s">
        <v>121</v>
      </c>
      <c r="C796" s="136" t="s">
        <v>790</v>
      </c>
      <c r="D796" s="207" t="s">
        <v>3596</v>
      </c>
      <c r="E796" s="207" t="s">
        <v>1211</v>
      </c>
      <c r="F796" s="207" t="s">
        <v>1258</v>
      </c>
      <c r="G796" s="208" t="s">
        <v>3597</v>
      </c>
      <c r="H796" s="244"/>
      <c r="K796" s="17"/>
      <c r="XFC796" s="20"/>
    </row>
    <row r="797" spans="1:11 16383:16383" x14ac:dyDescent="0.2">
      <c r="A797" s="209" t="s">
        <v>3670</v>
      </c>
      <c r="B797" s="210" t="s">
        <v>121</v>
      </c>
      <c r="C797" s="210" t="s">
        <v>790</v>
      </c>
      <c r="D797" s="211" t="s">
        <v>3671</v>
      </c>
      <c r="E797" s="211" t="s">
        <v>1211</v>
      </c>
      <c r="F797" s="211" t="s">
        <v>1258</v>
      </c>
      <c r="G797" s="212" t="s">
        <v>3672</v>
      </c>
      <c r="H797" s="244"/>
      <c r="K797" s="17"/>
      <c r="XFC797" s="20"/>
    </row>
    <row r="798" spans="1:11 16383:16383" ht="13.5" customHeight="1" x14ac:dyDescent="0.2">
      <c r="A798" s="139" t="s">
        <v>1578</v>
      </c>
      <c r="B798" s="136" t="s">
        <v>121</v>
      </c>
      <c r="C798" s="136" t="s">
        <v>793</v>
      </c>
      <c r="D798" s="207" t="s">
        <v>793</v>
      </c>
      <c r="E798" s="207" t="s">
        <v>1213</v>
      </c>
      <c r="F798" s="207" t="s">
        <v>1258</v>
      </c>
      <c r="G798" s="208" t="s">
        <v>793</v>
      </c>
      <c r="H798" s="244"/>
      <c r="K798" s="17"/>
      <c r="XFC798" s="20"/>
    </row>
    <row r="799" spans="1:11 16383:16383" x14ac:dyDescent="0.2">
      <c r="A799" s="139" t="s">
        <v>1579</v>
      </c>
      <c r="B799" s="136" t="s">
        <v>121</v>
      </c>
      <c r="C799" s="136" t="s">
        <v>794</v>
      </c>
      <c r="D799" s="207" t="s">
        <v>794</v>
      </c>
      <c r="E799" s="207" t="s">
        <v>1010</v>
      </c>
      <c r="F799" s="207" t="s">
        <v>1258</v>
      </c>
      <c r="G799" s="208" t="s">
        <v>794</v>
      </c>
      <c r="H799" s="244"/>
      <c r="K799" s="17"/>
      <c r="XFC799" s="20"/>
    </row>
    <row r="800" spans="1:11 16383:16383" x14ac:dyDescent="0.2">
      <c r="A800" s="139" t="s">
        <v>1580</v>
      </c>
      <c r="B800" s="136" t="s">
        <v>121</v>
      </c>
      <c r="C800" s="136" t="s">
        <v>792</v>
      </c>
      <c r="D800" s="207" t="s">
        <v>791</v>
      </c>
      <c r="E800" s="207" t="s">
        <v>964</v>
      </c>
      <c r="F800" s="207" t="s">
        <v>1258</v>
      </c>
      <c r="G800" s="208" t="s">
        <v>791</v>
      </c>
      <c r="H800" s="244"/>
      <c r="K800" s="17"/>
      <c r="XFC800" s="20"/>
    </row>
    <row r="801" spans="1:11 16383:16383" x14ac:dyDescent="0.2">
      <c r="A801" s="139" t="s">
        <v>3007</v>
      </c>
      <c r="B801" s="136" t="s">
        <v>121</v>
      </c>
      <c r="C801" s="136" t="s">
        <v>792</v>
      </c>
      <c r="D801" s="207" t="s">
        <v>3010</v>
      </c>
      <c r="E801" s="207" t="s">
        <v>964</v>
      </c>
      <c r="F801" s="207" t="s">
        <v>1258</v>
      </c>
      <c r="G801" s="208" t="e">
        <v>#N/A</v>
      </c>
      <c r="H801" s="244"/>
      <c r="K801" s="17"/>
      <c r="XFC801" s="20"/>
    </row>
    <row r="802" spans="1:11 16383:16383" x14ac:dyDescent="0.2">
      <c r="A802" s="139" t="s">
        <v>3008</v>
      </c>
      <c r="B802" s="136" t="s">
        <v>121</v>
      </c>
      <c r="C802" s="136" t="s">
        <v>792</v>
      </c>
      <c r="D802" s="207" t="s">
        <v>3009</v>
      </c>
      <c r="E802" s="207" t="s">
        <v>964</v>
      </c>
      <c r="F802" s="207" t="s">
        <v>1258</v>
      </c>
      <c r="G802" s="207" t="s">
        <v>3009</v>
      </c>
      <c r="H802" s="244"/>
      <c r="K802" s="17"/>
      <c r="XFC802" s="20"/>
    </row>
    <row r="803" spans="1:11 16383:16383" x14ac:dyDescent="0.2">
      <c r="A803" s="139" t="s">
        <v>1581</v>
      </c>
      <c r="B803" s="136" t="s">
        <v>121</v>
      </c>
      <c r="C803" s="136" t="s">
        <v>968</v>
      </c>
      <c r="D803" s="207" t="s">
        <v>797</v>
      </c>
      <c r="E803" s="207" t="s">
        <v>1215</v>
      </c>
      <c r="F803" s="207" t="s">
        <v>1258</v>
      </c>
      <c r="G803" s="208" t="s">
        <v>798</v>
      </c>
      <c r="H803" s="244"/>
      <c r="K803" s="17"/>
      <c r="XFC803" s="20"/>
    </row>
    <row r="804" spans="1:11 16383:16383" x14ac:dyDescent="0.2">
      <c r="A804" s="139" t="s">
        <v>1582</v>
      </c>
      <c r="B804" s="136" t="s">
        <v>121</v>
      </c>
      <c r="C804" s="136" t="s">
        <v>970</v>
      </c>
      <c r="D804" s="207" t="s">
        <v>801</v>
      </c>
      <c r="E804" s="207" t="s">
        <v>1218</v>
      </c>
      <c r="F804" s="207" t="s">
        <v>1258</v>
      </c>
      <c r="G804" s="208" t="s">
        <v>2219</v>
      </c>
      <c r="H804" s="244"/>
      <c r="K804" s="17"/>
      <c r="XFC804" s="20"/>
    </row>
    <row r="805" spans="1:11 16383:16383" s="19" customFormat="1" x14ac:dyDescent="0.2">
      <c r="A805" s="240" t="s">
        <v>1583</v>
      </c>
      <c r="B805" s="228" t="s">
        <v>121</v>
      </c>
      <c r="C805" s="228" t="s">
        <v>969</v>
      </c>
      <c r="D805" s="241" t="s">
        <v>1920</v>
      </c>
      <c r="E805" s="241" t="s">
        <v>1216</v>
      </c>
      <c r="F805" s="241" t="s">
        <v>1258</v>
      </c>
      <c r="G805" s="242" t="s">
        <v>799</v>
      </c>
      <c r="H805" s="251"/>
      <c r="I805" s="142"/>
      <c r="J805" s="142"/>
      <c r="K805" s="21"/>
      <c r="XFC805" s="141"/>
    </row>
    <row r="806" spans="1:11 16383:16383" s="152" customFormat="1" x14ac:dyDescent="0.2">
      <c r="A806" s="240" t="s">
        <v>1584</v>
      </c>
      <c r="B806" s="228" t="s">
        <v>121</v>
      </c>
      <c r="C806" s="228" t="s">
        <v>2220</v>
      </c>
      <c r="D806" s="241" t="s">
        <v>2221</v>
      </c>
      <c r="E806" s="241" t="s">
        <v>1214</v>
      </c>
      <c r="F806" s="241" t="s">
        <v>1258</v>
      </c>
      <c r="G806" s="228" t="s">
        <v>796</v>
      </c>
      <c r="H806" s="140" t="s">
        <v>3183</v>
      </c>
      <c r="I806" s="153"/>
      <c r="J806" s="153"/>
    </row>
    <row r="807" spans="1:11 16383:16383" s="152" customFormat="1" x14ac:dyDescent="0.2">
      <c r="A807" s="240" t="s">
        <v>1585</v>
      </c>
      <c r="B807" s="228" t="s">
        <v>121</v>
      </c>
      <c r="C807" s="228" t="s">
        <v>2222</v>
      </c>
      <c r="D807" s="241" t="s">
        <v>2222</v>
      </c>
      <c r="E807" s="241" t="s">
        <v>967</v>
      </c>
      <c r="F807" s="241" t="s">
        <v>1258</v>
      </c>
      <c r="G807" s="228" t="s">
        <v>3140</v>
      </c>
      <c r="H807" s="140"/>
      <c r="I807" s="153"/>
      <c r="J807" s="153"/>
    </row>
    <row r="808" spans="1:11 16383:16383" s="137" customFormat="1" x14ac:dyDescent="0.2">
      <c r="A808" s="139" t="s">
        <v>3156</v>
      </c>
      <c r="B808" s="136" t="s">
        <v>121</v>
      </c>
      <c r="C808" s="136" t="s">
        <v>3157</v>
      </c>
      <c r="D808" s="207" t="s">
        <v>3158</v>
      </c>
      <c r="E808" s="207" t="s">
        <v>910</v>
      </c>
      <c r="F808" s="207" t="s">
        <v>1258</v>
      </c>
      <c r="G808" s="208" t="s">
        <v>3159</v>
      </c>
      <c r="H808" s="126"/>
      <c r="I808" s="126"/>
      <c r="J808" s="126"/>
      <c r="XFC808" s="154"/>
    </row>
    <row r="809" spans="1:11 16383:16383" s="137" customFormat="1" x14ac:dyDescent="0.2">
      <c r="A809" s="139" t="s">
        <v>2745</v>
      </c>
      <c r="B809" s="136" t="s">
        <v>121</v>
      </c>
      <c r="C809" s="136" t="s">
        <v>2742</v>
      </c>
      <c r="D809" s="207" t="s">
        <v>2743</v>
      </c>
      <c r="E809" s="207" t="s">
        <v>3274</v>
      </c>
      <c r="F809" s="207" t="s">
        <v>1258</v>
      </c>
      <c r="G809" s="208" t="s">
        <v>2744</v>
      </c>
      <c r="H809" s="126"/>
      <c r="I809" s="126"/>
      <c r="J809" s="126"/>
      <c r="XFC809" s="154"/>
    </row>
    <row r="810" spans="1:11 16383:16383" s="137" customFormat="1" x14ac:dyDescent="0.2">
      <c r="A810" s="139" t="s">
        <v>1586</v>
      </c>
      <c r="B810" s="136" t="s">
        <v>121</v>
      </c>
      <c r="C810" s="136" t="s">
        <v>2223</v>
      </c>
      <c r="D810" s="207" t="s">
        <v>2224</v>
      </c>
      <c r="E810" s="207" t="s">
        <v>966</v>
      </c>
      <c r="F810" s="207" t="s">
        <v>1258</v>
      </c>
      <c r="G810" s="208" t="s">
        <v>2225</v>
      </c>
      <c r="H810" s="126"/>
      <c r="I810" s="126"/>
      <c r="J810" s="126"/>
      <c r="XFC810" s="154"/>
    </row>
    <row r="811" spans="1:11 16383:16383" s="137" customFormat="1" x14ac:dyDescent="0.2">
      <c r="A811" s="139" t="s">
        <v>1587</v>
      </c>
      <c r="B811" s="136" t="s">
        <v>121</v>
      </c>
      <c r="C811" s="136" t="s">
        <v>2226</v>
      </c>
      <c r="D811" s="207" t="s">
        <v>2227</v>
      </c>
      <c r="E811" s="207" t="s">
        <v>965</v>
      </c>
      <c r="F811" s="207" t="s">
        <v>1258</v>
      </c>
      <c r="G811" s="208" t="s">
        <v>2228</v>
      </c>
      <c r="H811" s="126"/>
      <c r="I811" s="126"/>
      <c r="J811" s="126"/>
      <c r="XFC811" s="154"/>
    </row>
    <row r="812" spans="1:11 16383:16383" s="137" customFormat="1" x14ac:dyDescent="0.2">
      <c r="A812" s="139" t="s">
        <v>3489</v>
      </c>
      <c r="B812" s="136" t="s">
        <v>121</v>
      </c>
      <c r="C812" s="136" t="s">
        <v>3498</v>
      </c>
      <c r="D812" s="207" t="s">
        <v>3598</v>
      </c>
      <c r="E812" s="207" t="s">
        <v>3599</v>
      </c>
      <c r="F812" s="207" t="s">
        <v>1258</v>
      </c>
      <c r="G812" s="208" t="s">
        <v>3600</v>
      </c>
      <c r="H812" s="126"/>
      <c r="I812" s="126"/>
      <c r="J812" s="126"/>
      <c r="XFC812" s="154"/>
    </row>
    <row r="813" spans="1:11 16383:16383" s="137" customFormat="1" x14ac:dyDescent="0.2">
      <c r="A813" s="139" t="s">
        <v>2750</v>
      </c>
      <c r="B813" s="136" t="s">
        <v>121</v>
      </c>
      <c r="C813" s="136" t="s">
        <v>2747</v>
      </c>
      <c r="D813" s="207" t="s">
        <v>2748</v>
      </c>
      <c r="E813" s="207" t="s">
        <v>3273</v>
      </c>
      <c r="F813" s="207" t="s">
        <v>1258</v>
      </c>
      <c r="G813" s="208" t="s">
        <v>2749</v>
      </c>
      <c r="H813" s="126"/>
      <c r="I813" s="126"/>
      <c r="J813" s="126"/>
      <c r="XFC813" s="154"/>
    </row>
    <row r="814" spans="1:11 16383:16383" s="137" customFormat="1" x14ac:dyDescent="0.2">
      <c r="A814" s="139" t="s">
        <v>1588</v>
      </c>
      <c r="B814" s="136" t="s">
        <v>121</v>
      </c>
      <c r="C814" s="136" t="s">
        <v>971</v>
      </c>
      <c r="D814" s="207" t="s">
        <v>804</v>
      </c>
      <c r="E814" s="207" t="s">
        <v>1220</v>
      </c>
      <c r="F814" s="207" t="s">
        <v>1258</v>
      </c>
      <c r="G814" s="208" t="s">
        <v>805</v>
      </c>
      <c r="H814" s="126"/>
      <c r="I814" s="126"/>
      <c r="J814" s="126"/>
      <c r="XFC814" s="154"/>
    </row>
    <row r="815" spans="1:11 16383:16383" s="137" customFormat="1" x14ac:dyDescent="0.2">
      <c r="A815" s="139" t="s">
        <v>2746</v>
      </c>
      <c r="B815" s="136" t="s">
        <v>121</v>
      </c>
      <c r="C815" s="136" t="s">
        <v>3134</v>
      </c>
      <c r="D815" s="207" t="s">
        <v>3135</v>
      </c>
      <c r="E815" s="207" t="s">
        <v>1027</v>
      </c>
      <c r="F815" s="207" t="s">
        <v>1258</v>
      </c>
      <c r="G815" s="208" t="s">
        <v>3136</v>
      </c>
      <c r="H815" s="126"/>
      <c r="I815" s="126"/>
      <c r="J815" s="126"/>
      <c r="XFC815" s="154"/>
    </row>
    <row r="816" spans="1:11 16383:16383" s="137" customFormat="1" x14ac:dyDescent="0.2">
      <c r="A816" s="139" t="s">
        <v>2754</v>
      </c>
      <c r="B816" s="136" t="s">
        <v>121</v>
      </c>
      <c r="C816" s="136" t="s">
        <v>2751</v>
      </c>
      <c r="D816" s="207" t="s">
        <v>2752</v>
      </c>
      <c r="E816" s="207" t="s">
        <v>3275</v>
      </c>
      <c r="F816" s="207" t="s">
        <v>1258</v>
      </c>
      <c r="G816" s="208" t="s">
        <v>2753</v>
      </c>
      <c r="H816" s="126"/>
      <c r="I816" s="126"/>
      <c r="J816" s="126"/>
      <c r="XFC816" s="154"/>
    </row>
    <row r="817" spans="1:10 16383:16383" s="137" customFormat="1" x14ac:dyDescent="0.2">
      <c r="A817" s="139" t="s">
        <v>1589</v>
      </c>
      <c r="B817" s="136" t="s">
        <v>121</v>
      </c>
      <c r="C817" s="136" t="s">
        <v>795</v>
      </c>
      <c r="D817" s="207" t="s">
        <v>2229</v>
      </c>
      <c r="E817" s="207" t="s">
        <v>959</v>
      </c>
      <c r="F817" s="207" t="s">
        <v>1258</v>
      </c>
      <c r="G817" s="208" t="s">
        <v>784</v>
      </c>
      <c r="H817" s="126"/>
      <c r="I817" s="126"/>
      <c r="J817" s="126"/>
      <c r="XFC817" s="154"/>
    </row>
    <row r="818" spans="1:10 16383:16383" s="137" customFormat="1" x14ac:dyDescent="0.2">
      <c r="A818" s="139" t="s">
        <v>1676</v>
      </c>
      <c r="B818" s="136" t="s">
        <v>121</v>
      </c>
      <c r="C818" s="136" t="s">
        <v>795</v>
      </c>
      <c r="D818" s="207" t="s">
        <v>2230</v>
      </c>
      <c r="E818" s="207" t="s">
        <v>959</v>
      </c>
      <c r="F818" s="207" t="s">
        <v>1258</v>
      </c>
      <c r="G818" s="208" t="s">
        <v>2231</v>
      </c>
      <c r="H818" s="126"/>
      <c r="I818" s="126"/>
      <c r="J818" s="126"/>
      <c r="XFC818" s="154"/>
    </row>
    <row r="819" spans="1:10 16383:16383" s="137" customFormat="1" x14ac:dyDescent="0.2">
      <c r="A819" s="139" t="s">
        <v>3490</v>
      </c>
      <c r="B819" s="136" t="s">
        <v>122</v>
      </c>
      <c r="C819" s="136" t="s">
        <v>3499</v>
      </c>
      <c r="D819" s="207" t="s">
        <v>3601</v>
      </c>
      <c r="E819" s="207" t="s">
        <v>3602</v>
      </c>
      <c r="F819" s="207" t="s">
        <v>1259</v>
      </c>
      <c r="G819" s="208" t="s">
        <v>3603</v>
      </c>
      <c r="H819" s="126"/>
      <c r="I819" s="126"/>
      <c r="J819" s="126"/>
      <c r="XFC819" s="154"/>
    </row>
    <row r="820" spans="1:10 16383:16383" s="137" customFormat="1" x14ac:dyDescent="0.2">
      <c r="A820" s="139" t="s">
        <v>1590</v>
      </c>
      <c r="B820" s="136" t="s">
        <v>122</v>
      </c>
      <c r="C820" s="136" t="s">
        <v>810</v>
      </c>
      <c r="D820" s="207" t="s">
        <v>809</v>
      </c>
      <c r="E820" s="207" t="s">
        <v>1224</v>
      </c>
      <c r="F820" s="207" t="s">
        <v>1259</v>
      </c>
      <c r="G820" s="208" t="s">
        <v>2232</v>
      </c>
      <c r="H820" s="126"/>
      <c r="I820" s="126"/>
      <c r="J820" s="126"/>
      <c r="XFC820" s="154"/>
    </row>
    <row r="821" spans="1:10 16383:16383" s="137" customFormat="1" x14ac:dyDescent="0.2">
      <c r="A821" s="139" t="s">
        <v>2784</v>
      </c>
      <c r="B821" s="136" t="s">
        <v>122</v>
      </c>
      <c r="C821" s="136" t="s">
        <v>810</v>
      </c>
      <c r="D821" s="207" t="s">
        <v>2781</v>
      </c>
      <c r="E821" s="207" t="s">
        <v>1224</v>
      </c>
      <c r="F821" s="207" t="s">
        <v>1259</v>
      </c>
      <c r="G821" s="208" t="s">
        <v>2787</v>
      </c>
      <c r="H821" s="126"/>
      <c r="I821" s="126"/>
      <c r="J821" s="126"/>
      <c r="XFC821" s="154"/>
    </row>
    <row r="822" spans="1:10 16383:16383" s="137" customFormat="1" x14ac:dyDescent="0.2">
      <c r="A822" s="139" t="s">
        <v>2785</v>
      </c>
      <c r="B822" s="136" t="s">
        <v>122</v>
      </c>
      <c r="C822" s="136" t="s">
        <v>810</v>
      </c>
      <c r="D822" s="207" t="s">
        <v>2782</v>
      </c>
      <c r="E822" s="207" t="s">
        <v>1224</v>
      </c>
      <c r="F822" s="207" t="s">
        <v>1259</v>
      </c>
      <c r="G822" s="208" t="s">
        <v>2788</v>
      </c>
      <c r="H822" s="126"/>
      <c r="I822" s="126"/>
      <c r="J822" s="126"/>
      <c r="XFC822" s="154"/>
    </row>
    <row r="823" spans="1:10 16383:16383" s="137" customFormat="1" x14ac:dyDescent="0.2">
      <c r="A823" s="139" t="s">
        <v>2786</v>
      </c>
      <c r="B823" s="136" t="s">
        <v>122</v>
      </c>
      <c r="C823" s="136" t="s">
        <v>810</v>
      </c>
      <c r="D823" s="207" t="s">
        <v>2783</v>
      </c>
      <c r="E823" s="207" t="s">
        <v>1224</v>
      </c>
      <c r="F823" s="207" t="s">
        <v>1259</v>
      </c>
      <c r="G823" s="208" t="s">
        <v>2789</v>
      </c>
      <c r="H823" s="126"/>
      <c r="I823" s="126"/>
      <c r="J823" s="126"/>
      <c r="XFC823" s="154"/>
    </row>
    <row r="824" spans="1:10 16383:16383" s="137" customFormat="1" x14ac:dyDescent="0.2">
      <c r="A824" s="139" t="s">
        <v>3317</v>
      </c>
      <c r="B824" s="136" t="s">
        <v>122</v>
      </c>
      <c r="C824" s="136" t="s">
        <v>810</v>
      </c>
      <c r="D824" s="207" t="s">
        <v>3318</v>
      </c>
      <c r="E824" s="207" t="s">
        <v>1224</v>
      </c>
      <c r="F824" s="207" t="s">
        <v>1259</v>
      </c>
      <c r="G824" s="208" t="s">
        <v>3319</v>
      </c>
      <c r="H824" s="126"/>
      <c r="I824" s="126"/>
      <c r="J824" s="126"/>
      <c r="XFC824" s="154"/>
    </row>
    <row r="825" spans="1:10 16383:16383" s="137" customFormat="1" x14ac:dyDescent="0.2">
      <c r="A825" s="139" t="s">
        <v>3491</v>
      </c>
      <c r="B825" s="136" t="s">
        <v>122</v>
      </c>
      <c r="C825" s="136" t="s">
        <v>810</v>
      </c>
      <c r="D825" s="207" t="s">
        <v>3604</v>
      </c>
      <c r="E825" s="207" t="s">
        <v>1224</v>
      </c>
      <c r="F825" s="207" t="s">
        <v>1259</v>
      </c>
      <c r="G825" s="208" t="s">
        <v>3605</v>
      </c>
      <c r="H825" s="126"/>
      <c r="I825" s="126"/>
      <c r="J825" s="126"/>
      <c r="XFC825" s="154"/>
    </row>
    <row r="826" spans="1:10 16383:16383" s="137" customFormat="1" x14ac:dyDescent="0.2">
      <c r="A826" s="139" t="s">
        <v>3737</v>
      </c>
      <c r="B826" s="136" t="s">
        <v>122</v>
      </c>
      <c r="C826" s="136" t="s">
        <v>810</v>
      </c>
      <c r="D826" s="207" t="s">
        <v>3738</v>
      </c>
      <c r="E826" s="207" t="s">
        <v>1224</v>
      </c>
      <c r="F826" s="207" t="s">
        <v>1259</v>
      </c>
      <c r="G826" s="208" t="s">
        <v>3739</v>
      </c>
      <c r="H826" s="126"/>
      <c r="I826" s="126"/>
      <c r="J826" s="126"/>
      <c r="XFC826" s="154"/>
    </row>
    <row r="827" spans="1:10 16383:16383" s="137" customFormat="1" x14ac:dyDescent="0.2">
      <c r="A827" s="139" t="s">
        <v>2757</v>
      </c>
      <c r="B827" s="136" t="s">
        <v>122</v>
      </c>
      <c r="C827" s="136" t="s">
        <v>2755</v>
      </c>
      <c r="D827" s="207" t="s">
        <v>2999</v>
      </c>
      <c r="E827" s="207" t="s">
        <v>3276</v>
      </c>
      <c r="F827" s="207" t="s">
        <v>1259</v>
      </c>
      <c r="G827" s="208" t="s">
        <v>2756</v>
      </c>
      <c r="H827" s="126"/>
      <c r="I827" s="126"/>
      <c r="J827" s="126"/>
      <c r="XFC827" s="154"/>
    </row>
    <row r="828" spans="1:10 16383:16383" s="137" customFormat="1" x14ac:dyDescent="0.2">
      <c r="A828" s="139" t="s">
        <v>1591</v>
      </c>
      <c r="B828" s="136" t="s">
        <v>122</v>
      </c>
      <c r="C828" s="136" t="s">
        <v>812</v>
      </c>
      <c r="D828" s="207" t="s">
        <v>811</v>
      </c>
      <c r="E828" s="207" t="s">
        <v>1225</v>
      </c>
      <c r="F828" s="207" t="s">
        <v>1259</v>
      </c>
      <c r="G828" s="208" t="s">
        <v>2233</v>
      </c>
      <c r="H828" s="126"/>
      <c r="I828" s="126"/>
      <c r="J828" s="126"/>
      <c r="XFC828" s="154"/>
    </row>
    <row r="829" spans="1:10 16383:16383" s="137" customFormat="1" x14ac:dyDescent="0.2">
      <c r="A829" s="139" t="s">
        <v>2844</v>
      </c>
      <c r="B829" s="136" t="s">
        <v>122</v>
      </c>
      <c r="C829" s="136" t="s">
        <v>2841</v>
      </c>
      <c r="D829" s="207" t="s">
        <v>2843</v>
      </c>
      <c r="E829" s="207" t="s">
        <v>3277</v>
      </c>
      <c r="F829" s="207" t="s">
        <v>1259</v>
      </c>
      <c r="G829" s="208" t="s">
        <v>2842</v>
      </c>
      <c r="H829" s="126"/>
      <c r="I829" s="126"/>
      <c r="J829" s="126"/>
      <c r="XFC829" s="154"/>
    </row>
    <row r="830" spans="1:10 16383:16383" s="137" customFormat="1" x14ac:dyDescent="0.2">
      <c r="A830" s="139" t="s">
        <v>1592</v>
      </c>
      <c r="B830" s="136" t="s">
        <v>122</v>
      </c>
      <c r="C830" s="136" t="s">
        <v>814</v>
      </c>
      <c r="D830" s="207" t="s">
        <v>813</v>
      </c>
      <c r="E830" s="207" t="s">
        <v>975</v>
      </c>
      <c r="F830" s="207" t="s">
        <v>1259</v>
      </c>
      <c r="G830" s="208" t="s">
        <v>2234</v>
      </c>
      <c r="H830" s="126"/>
      <c r="I830" s="126"/>
      <c r="J830" s="126"/>
      <c r="XFC830" s="154"/>
    </row>
    <row r="831" spans="1:10 16383:16383" s="137" customFormat="1" x14ac:dyDescent="0.2">
      <c r="A831" s="139" t="s">
        <v>3492</v>
      </c>
      <c r="B831" s="136" t="s">
        <v>122</v>
      </c>
      <c r="C831" s="136" t="s">
        <v>3500</v>
      </c>
      <c r="D831" s="207" t="s">
        <v>3606</v>
      </c>
      <c r="E831" s="207" t="s">
        <v>3607</v>
      </c>
      <c r="F831" s="207" t="s">
        <v>1259</v>
      </c>
      <c r="G831" s="208" t="s">
        <v>3608</v>
      </c>
      <c r="H831" s="126"/>
      <c r="I831" s="126"/>
      <c r="J831" s="126"/>
      <c r="XFC831" s="154"/>
    </row>
    <row r="832" spans="1:10 16383:16383" s="137" customFormat="1" x14ac:dyDescent="0.2">
      <c r="A832" s="139" t="s">
        <v>2820</v>
      </c>
      <c r="B832" s="136" t="s">
        <v>123</v>
      </c>
      <c r="C832" s="136" t="s">
        <v>2817</v>
      </c>
      <c r="D832" s="207" t="s">
        <v>2818</v>
      </c>
      <c r="E832" s="207" t="s">
        <v>3186</v>
      </c>
      <c r="F832" s="207" t="s">
        <v>1260</v>
      </c>
      <c r="G832" s="208" t="s">
        <v>2819</v>
      </c>
      <c r="H832" s="126"/>
      <c r="I832" s="126"/>
      <c r="J832" s="126"/>
      <c r="XFC832" s="154"/>
    </row>
    <row r="833" spans="1:10 16383:16383" s="137" customFormat="1" x14ac:dyDescent="0.2">
      <c r="A833" s="139" t="s">
        <v>1593</v>
      </c>
      <c r="B833" s="136" t="s">
        <v>123</v>
      </c>
      <c r="C833" s="136" t="s">
        <v>816</v>
      </c>
      <c r="D833" s="207" t="s">
        <v>815</v>
      </c>
      <c r="E833" s="207" t="s">
        <v>1226</v>
      </c>
      <c r="F833" s="207" t="s">
        <v>1260</v>
      </c>
      <c r="G833" s="208" t="s">
        <v>2235</v>
      </c>
      <c r="H833" s="126"/>
      <c r="I833" s="126"/>
      <c r="J833" s="126"/>
      <c r="XFC833" s="154"/>
    </row>
    <row r="834" spans="1:10 16383:16383" s="137" customFormat="1" x14ac:dyDescent="0.2">
      <c r="A834" s="139" t="s">
        <v>1594</v>
      </c>
      <c r="B834" s="136" t="s">
        <v>123</v>
      </c>
      <c r="C834" s="136" t="s">
        <v>854</v>
      </c>
      <c r="D834" s="207" t="s">
        <v>853</v>
      </c>
      <c r="E834" s="207" t="s">
        <v>1232</v>
      </c>
      <c r="F834" s="207" t="s">
        <v>1260</v>
      </c>
      <c r="G834" s="208" t="s">
        <v>2236</v>
      </c>
      <c r="H834" s="126"/>
      <c r="I834" s="126"/>
      <c r="J834" s="126"/>
      <c r="XFC834" s="154"/>
    </row>
    <row r="835" spans="1:10 16383:16383" s="137" customFormat="1" x14ac:dyDescent="0.2">
      <c r="A835" s="139" t="s">
        <v>1595</v>
      </c>
      <c r="B835" s="136" t="s">
        <v>123</v>
      </c>
      <c r="C835" s="136" t="s">
        <v>821</v>
      </c>
      <c r="D835" s="207" t="s">
        <v>820</v>
      </c>
      <c r="E835" s="207" t="s">
        <v>1227</v>
      </c>
      <c r="F835" s="207" t="s">
        <v>1260</v>
      </c>
      <c r="G835" s="208" t="s">
        <v>2237</v>
      </c>
      <c r="H835" s="126"/>
      <c r="I835" s="126"/>
      <c r="J835" s="126"/>
      <c r="XFC835" s="154"/>
    </row>
    <row r="836" spans="1:10 16383:16383" s="137" customFormat="1" x14ac:dyDescent="0.2">
      <c r="A836" s="139" t="s">
        <v>1673</v>
      </c>
      <c r="B836" s="136" t="s">
        <v>123</v>
      </c>
      <c r="C836" s="136" t="s">
        <v>821</v>
      </c>
      <c r="D836" s="207" t="s">
        <v>822</v>
      </c>
      <c r="E836" s="207" t="s">
        <v>1227</v>
      </c>
      <c r="F836" s="207" t="s">
        <v>1260</v>
      </c>
      <c r="G836" s="208" t="s">
        <v>1817</v>
      </c>
      <c r="H836" s="126"/>
      <c r="I836" s="126"/>
      <c r="J836" s="126"/>
      <c r="XFC836" s="154"/>
    </row>
    <row r="837" spans="1:10 16383:16383" s="137" customFormat="1" x14ac:dyDescent="0.2">
      <c r="A837" s="139" t="s">
        <v>1674</v>
      </c>
      <c r="B837" s="136" t="s">
        <v>123</v>
      </c>
      <c r="C837" s="136" t="s">
        <v>821</v>
      </c>
      <c r="D837" s="207" t="s">
        <v>823</v>
      </c>
      <c r="E837" s="207" t="s">
        <v>1227</v>
      </c>
      <c r="F837" s="207" t="s">
        <v>1260</v>
      </c>
      <c r="G837" s="208" t="s">
        <v>2238</v>
      </c>
      <c r="H837" s="126"/>
      <c r="I837" s="126"/>
      <c r="J837" s="126"/>
      <c r="XFC837" s="154"/>
    </row>
    <row r="838" spans="1:10 16383:16383" s="137" customFormat="1" x14ac:dyDescent="0.2">
      <c r="A838" s="139" t="s">
        <v>1675</v>
      </c>
      <c r="B838" s="136" t="s">
        <v>123</v>
      </c>
      <c r="C838" s="136" t="s">
        <v>821</v>
      </c>
      <c r="D838" s="207" t="s">
        <v>829</v>
      </c>
      <c r="E838" s="207" t="s">
        <v>1227</v>
      </c>
      <c r="F838" s="207" t="s">
        <v>1260</v>
      </c>
      <c r="G838" s="208" t="s">
        <v>830</v>
      </c>
      <c r="H838" s="126"/>
      <c r="I838" s="126"/>
      <c r="J838" s="126"/>
      <c r="XFC838" s="154"/>
    </row>
    <row r="839" spans="1:10 16383:16383" s="137" customFormat="1" x14ac:dyDescent="0.2">
      <c r="A839" s="139" t="s">
        <v>2826</v>
      </c>
      <c r="B839" s="136" t="s">
        <v>123</v>
      </c>
      <c r="C839" s="136" t="s">
        <v>821</v>
      </c>
      <c r="D839" s="207" t="s">
        <v>2824</v>
      </c>
      <c r="E839" s="207" t="s">
        <v>1227</v>
      </c>
      <c r="F839" s="207" t="s">
        <v>1260</v>
      </c>
      <c r="G839" s="208" t="s">
        <v>2825</v>
      </c>
      <c r="H839" s="126"/>
      <c r="I839" s="126"/>
      <c r="J839" s="126"/>
      <c r="XFC839" s="154"/>
    </row>
    <row r="840" spans="1:10 16383:16383" s="137" customFormat="1" x14ac:dyDescent="0.2">
      <c r="A840" s="139" t="s">
        <v>2835</v>
      </c>
      <c r="B840" s="136" t="s">
        <v>123</v>
      </c>
      <c r="C840" s="136" t="s">
        <v>821</v>
      </c>
      <c r="D840" s="207" t="s">
        <v>2831</v>
      </c>
      <c r="E840" s="207" t="s">
        <v>1227</v>
      </c>
      <c r="F840" s="207" t="s">
        <v>1260</v>
      </c>
      <c r="G840" s="208" t="s">
        <v>2833</v>
      </c>
      <c r="H840" s="126"/>
      <c r="I840" s="126"/>
      <c r="J840" s="126"/>
      <c r="XFC840" s="154"/>
    </row>
    <row r="841" spans="1:10 16383:16383" s="137" customFormat="1" x14ac:dyDescent="0.2">
      <c r="A841" s="139" t="s">
        <v>2836</v>
      </c>
      <c r="B841" s="136" t="s">
        <v>123</v>
      </c>
      <c r="C841" s="136" t="s">
        <v>821</v>
      </c>
      <c r="D841" s="207" t="s">
        <v>2832</v>
      </c>
      <c r="E841" s="207" t="s">
        <v>1227</v>
      </c>
      <c r="F841" s="207" t="s">
        <v>1260</v>
      </c>
      <c r="G841" s="208" t="s">
        <v>2834</v>
      </c>
      <c r="H841" s="126"/>
      <c r="I841" s="126"/>
      <c r="J841" s="126"/>
      <c r="XFC841" s="154"/>
    </row>
    <row r="842" spans="1:10 16383:16383" s="137" customFormat="1" x14ac:dyDescent="0.2">
      <c r="A842" s="139" t="s">
        <v>1596</v>
      </c>
      <c r="B842" s="136" t="s">
        <v>123</v>
      </c>
      <c r="C842" s="136" t="s">
        <v>841</v>
      </c>
      <c r="D842" s="207" t="s">
        <v>840</v>
      </c>
      <c r="E842" s="207" t="s">
        <v>980</v>
      </c>
      <c r="F842" s="207" t="s">
        <v>1260</v>
      </c>
      <c r="G842" s="208" t="s">
        <v>842</v>
      </c>
      <c r="H842" s="126"/>
      <c r="I842" s="126"/>
      <c r="J842" s="126"/>
      <c r="XFC842" s="154"/>
    </row>
    <row r="843" spans="1:10 16383:16383" s="137" customFormat="1" x14ac:dyDescent="0.2">
      <c r="A843" s="139" t="s">
        <v>1597</v>
      </c>
      <c r="B843" s="136" t="s">
        <v>123</v>
      </c>
      <c r="C843" s="136" t="s">
        <v>834</v>
      </c>
      <c r="D843" s="207" t="s">
        <v>833</v>
      </c>
      <c r="E843" s="207" t="s">
        <v>1229</v>
      </c>
      <c r="F843" s="207" t="s">
        <v>1260</v>
      </c>
      <c r="G843" s="208" t="s">
        <v>2239</v>
      </c>
      <c r="H843" s="126"/>
      <c r="I843" s="126"/>
      <c r="J843" s="126"/>
      <c r="XFC843" s="154"/>
    </row>
    <row r="844" spans="1:10 16383:16383" s="137" customFormat="1" x14ac:dyDescent="0.2">
      <c r="A844" s="139" t="s">
        <v>1672</v>
      </c>
      <c r="B844" s="136" t="s">
        <v>123</v>
      </c>
      <c r="C844" s="136" t="s">
        <v>834</v>
      </c>
      <c r="D844" s="207" t="s">
        <v>835</v>
      </c>
      <c r="E844" s="207" t="s">
        <v>1229</v>
      </c>
      <c r="F844" s="207" t="s">
        <v>1260</v>
      </c>
      <c r="G844" s="208" t="s">
        <v>836</v>
      </c>
      <c r="H844" s="126"/>
      <c r="I844" s="126"/>
      <c r="J844" s="126"/>
      <c r="XFC844" s="154"/>
    </row>
    <row r="845" spans="1:10 16383:16383" s="137" customFormat="1" x14ac:dyDescent="0.2">
      <c r="A845" s="139" t="s">
        <v>1598</v>
      </c>
      <c r="B845" s="136" t="s">
        <v>123</v>
      </c>
      <c r="C845" s="136" t="s">
        <v>838</v>
      </c>
      <c r="D845" s="207" t="s">
        <v>2240</v>
      </c>
      <c r="E845" s="207" t="s">
        <v>979</v>
      </c>
      <c r="F845" s="207" t="s">
        <v>1260</v>
      </c>
      <c r="G845" s="208" t="s">
        <v>839</v>
      </c>
      <c r="H845" s="126"/>
      <c r="I845" s="126"/>
      <c r="J845" s="126"/>
      <c r="XFC845" s="154"/>
    </row>
    <row r="846" spans="1:10 16383:16383" s="137" customFormat="1" x14ac:dyDescent="0.2">
      <c r="A846" s="139" t="s">
        <v>2761</v>
      </c>
      <c r="B846" s="136" t="s">
        <v>123</v>
      </c>
      <c r="C846" s="136" t="s">
        <v>2758</v>
      </c>
      <c r="D846" s="207" t="s">
        <v>2759</v>
      </c>
      <c r="E846" s="207" t="s">
        <v>3185</v>
      </c>
      <c r="F846" s="207" t="s">
        <v>1260</v>
      </c>
      <c r="G846" s="208" t="s">
        <v>2760</v>
      </c>
      <c r="H846" s="126"/>
      <c r="I846" s="126"/>
      <c r="J846" s="126"/>
      <c r="XFC846" s="154"/>
    </row>
    <row r="847" spans="1:10 16383:16383" s="137" customFormat="1" x14ac:dyDescent="0.2">
      <c r="A847" s="139" t="s">
        <v>1599</v>
      </c>
      <c r="B847" s="136" t="s">
        <v>123</v>
      </c>
      <c r="C847" s="136" t="s">
        <v>843</v>
      </c>
      <c r="D847" s="207" t="s">
        <v>2241</v>
      </c>
      <c r="E847" s="207" t="s">
        <v>981</v>
      </c>
      <c r="F847" s="207" t="s">
        <v>1260</v>
      </c>
      <c r="G847" s="208" t="s">
        <v>844</v>
      </c>
      <c r="H847" s="126"/>
      <c r="I847" s="126"/>
      <c r="J847" s="126"/>
      <c r="XFC847" s="154"/>
    </row>
    <row r="848" spans="1:10 16383:16383" s="137" customFormat="1" x14ac:dyDescent="0.2">
      <c r="A848" s="139" t="s">
        <v>1600</v>
      </c>
      <c r="B848" s="136" t="s">
        <v>123</v>
      </c>
      <c r="C848" s="136" t="s">
        <v>825</v>
      </c>
      <c r="D848" s="207" t="s">
        <v>824</v>
      </c>
      <c r="E848" s="207" t="s">
        <v>977</v>
      </c>
      <c r="F848" s="207" t="s">
        <v>1260</v>
      </c>
      <c r="G848" s="208" t="s">
        <v>2242</v>
      </c>
      <c r="H848" s="126"/>
      <c r="I848" s="126"/>
      <c r="J848" s="126"/>
      <c r="XFC848" s="154"/>
    </row>
    <row r="849" spans="1:10 16383:16383" s="137" customFormat="1" x14ac:dyDescent="0.2">
      <c r="A849" s="139" t="s">
        <v>1601</v>
      </c>
      <c r="B849" s="136" t="s">
        <v>123</v>
      </c>
      <c r="C849" s="136" t="s">
        <v>818</v>
      </c>
      <c r="D849" s="207" t="s">
        <v>817</v>
      </c>
      <c r="E849" s="207" t="s">
        <v>976</v>
      </c>
      <c r="F849" s="207" t="s">
        <v>1260</v>
      </c>
      <c r="G849" s="208" t="s">
        <v>819</v>
      </c>
      <c r="H849" s="126"/>
      <c r="I849" s="126"/>
      <c r="J849" s="126"/>
      <c r="XFC849" s="154"/>
    </row>
    <row r="850" spans="1:10 16383:16383" s="137" customFormat="1" x14ac:dyDescent="0.2">
      <c r="A850" s="139" t="s">
        <v>1671</v>
      </c>
      <c r="B850" s="136" t="s">
        <v>123</v>
      </c>
      <c r="C850" s="136" t="s">
        <v>818</v>
      </c>
      <c r="D850" s="207" t="s">
        <v>837</v>
      </c>
      <c r="E850" s="207" t="s">
        <v>976</v>
      </c>
      <c r="F850" s="207" t="s">
        <v>1260</v>
      </c>
      <c r="G850" s="208" t="s">
        <v>1818</v>
      </c>
      <c r="H850" s="126"/>
      <c r="I850" s="126"/>
      <c r="J850" s="126"/>
      <c r="XFC850" s="154"/>
    </row>
    <row r="851" spans="1:10 16383:16383" s="137" customFormat="1" x14ac:dyDescent="0.2">
      <c r="A851" s="139" t="s">
        <v>1602</v>
      </c>
      <c r="B851" s="136" t="s">
        <v>123</v>
      </c>
      <c r="C851" s="136" t="s">
        <v>851</v>
      </c>
      <c r="D851" s="207" t="s">
        <v>850</v>
      </c>
      <c r="E851" s="207" t="s">
        <v>1231</v>
      </c>
      <c r="F851" s="207" t="s">
        <v>1260</v>
      </c>
      <c r="G851" s="208" t="s">
        <v>852</v>
      </c>
      <c r="H851" s="126"/>
      <c r="I851" s="126"/>
      <c r="J851" s="126"/>
      <c r="XFC851" s="154"/>
    </row>
    <row r="852" spans="1:10 16383:16383" s="137" customFormat="1" x14ac:dyDescent="0.2">
      <c r="A852" s="139" t="s">
        <v>3280</v>
      </c>
      <c r="B852" s="136" t="s">
        <v>123</v>
      </c>
      <c r="C852" s="136" t="s">
        <v>851</v>
      </c>
      <c r="D852" s="207" t="s">
        <v>3281</v>
      </c>
      <c r="E852" s="207" t="s">
        <v>1231</v>
      </c>
      <c r="F852" s="207" t="s">
        <v>1260</v>
      </c>
      <c r="G852" s="208" t="s">
        <v>3281</v>
      </c>
      <c r="H852" s="126"/>
      <c r="I852" s="126"/>
      <c r="J852" s="126"/>
      <c r="XFC852" s="154"/>
    </row>
    <row r="853" spans="1:10 16383:16383" s="137" customFormat="1" x14ac:dyDescent="0.2">
      <c r="A853" s="139" t="s">
        <v>1603</v>
      </c>
      <c r="B853" s="136" t="s">
        <v>123</v>
      </c>
      <c r="C853" s="136" t="s">
        <v>845</v>
      </c>
      <c r="D853" s="207" t="s">
        <v>2243</v>
      </c>
      <c r="E853" s="207" t="s">
        <v>1230</v>
      </c>
      <c r="F853" s="207" t="s">
        <v>1260</v>
      </c>
      <c r="G853" s="208" t="s">
        <v>846</v>
      </c>
      <c r="H853" s="126"/>
      <c r="I853" s="126"/>
      <c r="J853" s="126"/>
      <c r="XFC853" s="154"/>
    </row>
    <row r="854" spans="1:10 16383:16383" s="137" customFormat="1" x14ac:dyDescent="0.2">
      <c r="A854" s="139" t="s">
        <v>3011</v>
      </c>
      <c r="B854" s="136" t="s">
        <v>123</v>
      </c>
      <c r="C854" s="136" t="s">
        <v>845</v>
      </c>
      <c r="D854" s="207" t="s">
        <v>3012</v>
      </c>
      <c r="E854" s="207" t="s">
        <v>1230</v>
      </c>
      <c r="F854" s="207" t="s">
        <v>1260</v>
      </c>
      <c r="G854" s="208" t="s">
        <v>3012</v>
      </c>
      <c r="H854" s="126"/>
      <c r="I854" s="126"/>
      <c r="J854" s="126"/>
      <c r="XFC854" s="154"/>
    </row>
    <row r="855" spans="1:10 16383:16383" s="137" customFormat="1" x14ac:dyDescent="0.2">
      <c r="A855" s="139" t="s">
        <v>2830</v>
      </c>
      <c r="B855" s="136" t="s">
        <v>123</v>
      </c>
      <c r="C855" s="136" t="s">
        <v>2827</v>
      </c>
      <c r="D855" s="207" t="s">
        <v>2828</v>
      </c>
      <c r="E855" s="207" t="s">
        <v>3184</v>
      </c>
      <c r="F855" s="207" t="s">
        <v>1260</v>
      </c>
      <c r="G855" s="208" t="s">
        <v>2829</v>
      </c>
      <c r="H855" s="126"/>
      <c r="I855" s="126"/>
      <c r="J855" s="126"/>
      <c r="XFC855" s="154"/>
    </row>
    <row r="856" spans="1:10 16383:16383" s="137" customFormat="1" x14ac:dyDescent="0.2">
      <c r="A856" s="139" t="s">
        <v>3493</v>
      </c>
      <c r="B856" s="136" t="s">
        <v>123</v>
      </c>
      <c r="C856" s="136" t="s">
        <v>2827</v>
      </c>
      <c r="D856" s="207" t="s">
        <v>3609</v>
      </c>
      <c r="E856" s="207" t="s">
        <v>3184</v>
      </c>
      <c r="F856" s="207" t="s">
        <v>1260</v>
      </c>
      <c r="G856" s="208" t="s">
        <v>3610</v>
      </c>
      <c r="H856" s="126"/>
      <c r="I856" s="126"/>
      <c r="J856" s="126"/>
      <c r="XFC856" s="154"/>
    </row>
    <row r="857" spans="1:10 16383:16383" s="137" customFormat="1" x14ac:dyDescent="0.2">
      <c r="A857" s="139" t="s">
        <v>3494</v>
      </c>
      <c r="B857" s="136" t="s">
        <v>123</v>
      </c>
      <c r="C857" s="136" t="s">
        <v>3501</v>
      </c>
      <c r="D857" s="207" t="s">
        <v>3611</v>
      </c>
      <c r="E857" s="207" t="s">
        <v>3612</v>
      </c>
      <c r="F857" s="207" t="s">
        <v>1260</v>
      </c>
      <c r="G857" s="208" t="s">
        <v>3613</v>
      </c>
      <c r="H857" s="126"/>
      <c r="I857" s="126"/>
      <c r="J857" s="126"/>
      <c r="XFC857" s="154"/>
    </row>
    <row r="858" spans="1:10 16383:16383" s="137" customFormat="1" x14ac:dyDescent="0.2">
      <c r="A858" s="139" t="s">
        <v>1604</v>
      </c>
      <c r="B858" s="136" t="s">
        <v>123</v>
      </c>
      <c r="C858" s="136" t="s">
        <v>827</v>
      </c>
      <c r="D858" s="207" t="s">
        <v>826</v>
      </c>
      <c r="E858" s="207" t="s">
        <v>978</v>
      </c>
      <c r="F858" s="207" t="s">
        <v>1260</v>
      </c>
      <c r="G858" s="208" t="s">
        <v>828</v>
      </c>
      <c r="H858" s="126"/>
      <c r="I858" s="126"/>
      <c r="J858" s="126"/>
      <c r="XFC858" s="154"/>
    </row>
    <row r="859" spans="1:10 16383:16383" s="137" customFormat="1" x14ac:dyDescent="0.2">
      <c r="A859" s="139" t="s">
        <v>2823</v>
      </c>
      <c r="B859" s="136" t="s">
        <v>123</v>
      </c>
      <c r="C859" s="136" t="s">
        <v>827</v>
      </c>
      <c r="D859" s="207" t="s">
        <v>2821</v>
      </c>
      <c r="E859" s="207" t="s">
        <v>978</v>
      </c>
      <c r="F859" s="207" t="s">
        <v>1260</v>
      </c>
      <c r="G859" s="208" t="s">
        <v>2822</v>
      </c>
      <c r="H859" s="126"/>
      <c r="I859" s="126"/>
      <c r="J859" s="126"/>
      <c r="XFC859" s="154"/>
    </row>
    <row r="860" spans="1:10 16383:16383" s="137" customFormat="1" x14ac:dyDescent="0.2">
      <c r="A860" s="139" t="s">
        <v>3181</v>
      </c>
      <c r="B860" s="136" t="s">
        <v>123</v>
      </c>
      <c r="C860" s="136" t="s">
        <v>827</v>
      </c>
      <c r="D860" s="207" t="s">
        <v>3284</v>
      </c>
      <c r="E860" s="207" t="s">
        <v>978</v>
      </c>
      <c r="F860" s="207" t="s">
        <v>1260</v>
      </c>
      <c r="G860" s="208" t="s">
        <v>3182</v>
      </c>
      <c r="H860" s="126"/>
      <c r="I860" s="126"/>
      <c r="J860" s="126"/>
      <c r="XFC860" s="154"/>
    </row>
    <row r="861" spans="1:10 16383:16383" s="137" customFormat="1" x14ac:dyDescent="0.2">
      <c r="A861" s="139" t="s">
        <v>3282</v>
      </c>
      <c r="B861" s="136" t="s">
        <v>123</v>
      </c>
      <c r="C861" s="136" t="s">
        <v>827</v>
      </c>
      <c r="D861" s="207" t="s">
        <v>3283</v>
      </c>
      <c r="E861" s="207" t="s">
        <v>978</v>
      </c>
      <c r="F861" s="207" t="s">
        <v>1260</v>
      </c>
      <c r="G861" s="208" t="s">
        <v>3283</v>
      </c>
      <c r="H861" s="126"/>
      <c r="I861" s="126"/>
      <c r="J861" s="126"/>
      <c r="XFC861" s="154"/>
    </row>
    <row r="862" spans="1:10 16383:16383" s="137" customFormat="1" x14ac:dyDescent="0.2">
      <c r="A862" s="139" t="s">
        <v>1605</v>
      </c>
      <c r="B862" s="136" t="s">
        <v>123</v>
      </c>
      <c r="C862" s="136" t="s">
        <v>848</v>
      </c>
      <c r="D862" s="207" t="s">
        <v>847</v>
      </c>
      <c r="E862" s="207" t="s">
        <v>982</v>
      </c>
      <c r="F862" s="207" t="s">
        <v>1260</v>
      </c>
      <c r="G862" s="208" t="s">
        <v>849</v>
      </c>
      <c r="H862" s="126"/>
      <c r="I862" s="126"/>
      <c r="J862" s="126"/>
      <c r="XFC862" s="154"/>
    </row>
    <row r="863" spans="1:10 16383:16383" s="137" customFormat="1" x14ac:dyDescent="0.2">
      <c r="A863" s="139" t="s">
        <v>1606</v>
      </c>
      <c r="B863" s="136" t="s">
        <v>123</v>
      </c>
      <c r="C863" s="136" t="s">
        <v>832</v>
      </c>
      <c r="D863" s="207" t="s">
        <v>831</v>
      </c>
      <c r="E863" s="207" t="s">
        <v>1228</v>
      </c>
      <c r="F863" s="207" t="s">
        <v>1260</v>
      </c>
      <c r="G863" s="208" t="s">
        <v>2525</v>
      </c>
      <c r="H863" s="126"/>
      <c r="I863" s="126"/>
      <c r="J863" s="126"/>
      <c r="XFC863" s="154"/>
    </row>
    <row r="864" spans="1:10 16383:16383" s="137" customFormat="1" x14ac:dyDescent="0.2">
      <c r="A864" s="139" t="s">
        <v>3495</v>
      </c>
      <c r="B864" s="136" t="s">
        <v>123</v>
      </c>
      <c r="C864" s="136" t="s">
        <v>832</v>
      </c>
      <c r="D864" s="207" t="s">
        <v>3614</v>
      </c>
      <c r="E864" s="207" t="s">
        <v>1228</v>
      </c>
      <c r="F864" s="207" t="s">
        <v>1260</v>
      </c>
      <c r="G864" s="208" t="s">
        <v>3615</v>
      </c>
      <c r="H864" s="126"/>
      <c r="I864" s="126"/>
      <c r="J864" s="126"/>
      <c r="XFC864" s="154"/>
    </row>
    <row r="865" spans="1:10" s="144" customFormat="1" x14ac:dyDescent="0.2">
      <c r="A865" s="143" t="s">
        <v>1821</v>
      </c>
      <c r="B865" s="143" t="s">
        <v>1921</v>
      </c>
      <c r="C865" s="252"/>
      <c r="D865" s="253"/>
      <c r="E865" s="145"/>
      <c r="F865" s="254"/>
      <c r="G865" s="145"/>
      <c r="H865" s="145"/>
      <c r="I865" s="145"/>
      <c r="J865" s="145"/>
    </row>
    <row r="866" spans="1:10" x14ac:dyDescent="0.2">
      <c r="A866" s="126"/>
      <c r="B866" s="126"/>
    </row>
    <row r="867" spans="1:10" x14ac:dyDescent="0.2">
      <c r="A867" s="126"/>
      <c r="B867" s="126"/>
    </row>
    <row r="868" spans="1:10" x14ac:dyDescent="0.2">
      <c r="A868" s="126"/>
      <c r="B868" s="126"/>
    </row>
    <row r="869" spans="1:10" x14ac:dyDescent="0.2">
      <c r="A869" s="126"/>
      <c r="B869" s="126"/>
    </row>
    <row r="870" spans="1:10" x14ac:dyDescent="0.2">
      <c r="A870" s="126"/>
      <c r="B870" s="126"/>
    </row>
    <row r="871" spans="1:10" x14ac:dyDescent="0.2">
      <c r="A871" s="126"/>
      <c r="B871" s="126"/>
    </row>
    <row r="872" spans="1:10" x14ac:dyDescent="0.2">
      <c r="A872" s="126"/>
      <c r="B872" s="126"/>
    </row>
    <row r="873" spans="1:10" x14ac:dyDescent="0.2">
      <c r="A873" s="126"/>
      <c r="B873" s="126"/>
    </row>
    <row r="874" spans="1:10" x14ac:dyDescent="0.2">
      <c r="A874" s="126"/>
      <c r="B874" s="126"/>
    </row>
    <row r="875" spans="1:10" x14ac:dyDescent="0.2">
      <c r="A875" s="126"/>
      <c r="B875" s="126"/>
    </row>
    <row r="876" spans="1:10" x14ac:dyDescent="0.2">
      <c r="A876" s="126"/>
      <c r="B876" s="126"/>
    </row>
    <row r="877" spans="1:10" x14ac:dyDescent="0.2">
      <c r="A877" s="126"/>
      <c r="B877" s="126"/>
    </row>
    <row r="878" spans="1:10" x14ac:dyDescent="0.2">
      <c r="A878" s="126"/>
      <c r="B878" s="126"/>
    </row>
    <row r="879" spans="1:10" x14ac:dyDescent="0.2">
      <c r="A879" s="126"/>
      <c r="B879" s="126"/>
    </row>
    <row r="880" spans="1:10" x14ac:dyDescent="0.2">
      <c r="A880" s="126"/>
      <c r="B880" s="126"/>
    </row>
    <row r="881" spans="1:2" x14ac:dyDescent="0.2">
      <c r="A881" s="126"/>
      <c r="B881" s="126"/>
    </row>
    <row r="882" spans="1:2" x14ac:dyDescent="0.2">
      <c r="A882" s="126"/>
      <c r="B882" s="126"/>
    </row>
    <row r="883" spans="1:2" x14ac:dyDescent="0.2">
      <c r="A883" s="126"/>
      <c r="B883" s="126"/>
    </row>
    <row r="884" spans="1:2" x14ac:dyDescent="0.2">
      <c r="A884" s="126"/>
      <c r="B884" s="126"/>
    </row>
    <row r="885" spans="1:2" x14ac:dyDescent="0.2">
      <c r="A885" s="126"/>
      <c r="B885" s="126"/>
    </row>
    <row r="886" spans="1:2" x14ac:dyDescent="0.2">
      <c r="A886" s="126"/>
      <c r="B886" s="126"/>
    </row>
    <row r="887" spans="1:2" x14ac:dyDescent="0.2">
      <c r="A887" s="126"/>
      <c r="B887" s="126"/>
    </row>
    <row r="888" spans="1:2" x14ac:dyDescent="0.2">
      <c r="A888" s="126"/>
      <c r="B888" s="126"/>
    </row>
    <row r="889" spans="1:2" x14ac:dyDescent="0.2">
      <c r="A889" s="126"/>
      <c r="B889" s="126"/>
    </row>
    <row r="890" spans="1:2" x14ac:dyDescent="0.2">
      <c r="A890" s="126"/>
      <c r="B890" s="126"/>
    </row>
    <row r="891" spans="1:2" x14ac:dyDescent="0.2">
      <c r="A891" s="126"/>
      <c r="B891" s="126"/>
    </row>
    <row r="892" spans="1:2" x14ac:dyDescent="0.2">
      <c r="A892" s="126"/>
      <c r="B892" s="126"/>
    </row>
    <row r="893" spans="1:2" x14ac:dyDescent="0.2">
      <c r="A893" s="126"/>
      <c r="B893" s="126"/>
    </row>
    <row r="894" spans="1:2" x14ac:dyDescent="0.2">
      <c r="A894" s="126"/>
      <c r="B894" s="126"/>
    </row>
    <row r="895" spans="1:2" x14ac:dyDescent="0.2">
      <c r="A895" s="126"/>
      <c r="B895" s="126"/>
    </row>
    <row r="896" spans="1:2" x14ac:dyDescent="0.2">
      <c r="A896" s="126"/>
      <c r="B896" s="126"/>
    </row>
    <row r="897" spans="1:2" x14ac:dyDescent="0.2">
      <c r="A897" s="126"/>
      <c r="B897" s="126"/>
    </row>
    <row r="898" spans="1:2" x14ac:dyDescent="0.2">
      <c r="A898" s="126"/>
      <c r="B898" s="126"/>
    </row>
    <row r="899" spans="1:2" x14ac:dyDescent="0.2">
      <c r="A899" s="126"/>
      <c r="B899" s="126"/>
    </row>
    <row r="900" spans="1:2" x14ac:dyDescent="0.2">
      <c r="A900" s="126"/>
      <c r="B900" s="126"/>
    </row>
    <row r="901" spans="1:2" x14ac:dyDescent="0.2">
      <c r="A901" s="126"/>
      <c r="B901" s="126"/>
    </row>
    <row r="902" spans="1:2" x14ac:dyDescent="0.2">
      <c r="A902" s="126"/>
      <c r="B902" s="126"/>
    </row>
    <row r="903" spans="1:2" x14ac:dyDescent="0.2">
      <c r="A903" s="126"/>
      <c r="B903" s="126"/>
    </row>
    <row r="904" spans="1:2" x14ac:dyDescent="0.2">
      <c r="A904" s="126"/>
      <c r="B904" s="126"/>
    </row>
    <row r="905" spans="1:2" x14ac:dyDescent="0.2">
      <c r="A905" s="126"/>
      <c r="B905" s="126"/>
    </row>
    <row r="906" spans="1:2" x14ac:dyDescent="0.2">
      <c r="A906" s="126"/>
      <c r="B906" s="126"/>
    </row>
    <row r="907" spans="1:2" x14ac:dyDescent="0.2">
      <c r="A907" s="126"/>
      <c r="B907" s="126"/>
    </row>
    <row r="908" spans="1:2" x14ac:dyDescent="0.2">
      <c r="A908" s="126"/>
      <c r="B908" s="126"/>
    </row>
    <row r="909" spans="1:2" x14ac:dyDescent="0.2">
      <c r="A909" s="126"/>
      <c r="B909" s="126"/>
    </row>
    <row r="910" spans="1:2" x14ac:dyDescent="0.2">
      <c r="A910" s="126"/>
      <c r="B910" s="126"/>
    </row>
    <row r="911" spans="1:2" x14ac:dyDescent="0.2">
      <c r="A911" s="126"/>
      <c r="B911" s="126"/>
    </row>
    <row r="912" spans="1:2" x14ac:dyDescent="0.2">
      <c r="A912" s="126"/>
      <c r="B912" s="126"/>
    </row>
    <row r="913" spans="1:2" x14ac:dyDescent="0.2">
      <c r="A913" s="126"/>
      <c r="B913" s="126"/>
    </row>
    <row r="914" spans="1:2" x14ac:dyDescent="0.2">
      <c r="A914" s="126"/>
      <c r="B914" s="126"/>
    </row>
    <row r="915" spans="1:2" x14ac:dyDescent="0.2">
      <c r="A915" s="126"/>
      <c r="B915" s="126"/>
    </row>
    <row r="916" spans="1:2" x14ac:dyDescent="0.2">
      <c r="A916" s="126"/>
      <c r="B916" s="126"/>
    </row>
    <row r="917" spans="1:2" x14ac:dyDescent="0.2">
      <c r="A917" s="126"/>
      <c r="B917" s="126"/>
    </row>
    <row r="918" spans="1:2" x14ac:dyDescent="0.2">
      <c r="A918" s="126"/>
      <c r="B918" s="126"/>
    </row>
    <row r="919" spans="1:2" x14ac:dyDescent="0.2">
      <c r="A919" s="126"/>
      <c r="B919" s="126"/>
    </row>
    <row r="920" spans="1:2" x14ac:dyDescent="0.2">
      <c r="A920" s="126"/>
      <c r="B920" s="126"/>
    </row>
    <row r="921" spans="1:2" x14ac:dyDescent="0.2">
      <c r="A921" s="126"/>
      <c r="B921" s="126"/>
    </row>
    <row r="922" spans="1:2" x14ac:dyDescent="0.2">
      <c r="A922" s="126"/>
      <c r="B922" s="126"/>
    </row>
    <row r="923" spans="1:2" x14ac:dyDescent="0.2">
      <c r="A923" s="126"/>
      <c r="B923" s="126"/>
    </row>
    <row r="924" spans="1:2" x14ac:dyDescent="0.2">
      <c r="A924" s="126"/>
      <c r="B924" s="126"/>
    </row>
    <row r="925" spans="1:2" x14ac:dyDescent="0.2">
      <c r="A925" s="126"/>
      <c r="B925" s="126"/>
    </row>
    <row r="926" spans="1:2" x14ac:dyDescent="0.2">
      <c r="A926" s="126"/>
      <c r="B926" s="126"/>
    </row>
    <row r="927" spans="1:2" x14ac:dyDescent="0.2">
      <c r="A927" s="126"/>
      <c r="B927" s="126"/>
    </row>
    <row r="928" spans="1:2" x14ac:dyDescent="0.2">
      <c r="A928" s="126"/>
      <c r="B928" s="126"/>
    </row>
    <row r="929" spans="1:2" x14ac:dyDescent="0.2">
      <c r="A929" s="126"/>
      <c r="B929" s="126"/>
    </row>
    <row r="930" spans="1:2" x14ac:dyDescent="0.2">
      <c r="A930" s="126"/>
      <c r="B930" s="126"/>
    </row>
    <row r="931" spans="1:2" x14ac:dyDescent="0.2">
      <c r="A931" s="126"/>
      <c r="B931" s="126"/>
    </row>
    <row r="932" spans="1:2" x14ac:dyDescent="0.2">
      <c r="A932" s="126"/>
      <c r="B932" s="126"/>
    </row>
    <row r="933" spans="1:2" x14ac:dyDescent="0.2">
      <c r="A933" s="126"/>
      <c r="B933" s="126"/>
    </row>
    <row r="934" spans="1:2" x14ac:dyDescent="0.2">
      <c r="A934" s="126"/>
      <c r="B934" s="126"/>
    </row>
    <row r="935" spans="1:2" x14ac:dyDescent="0.2">
      <c r="A935" s="126"/>
      <c r="B935" s="126"/>
    </row>
    <row r="936" spans="1:2" x14ac:dyDescent="0.2">
      <c r="A936" s="126"/>
      <c r="B936" s="126"/>
    </row>
    <row r="937" spans="1:2" x14ac:dyDescent="0.2">
      <c r="A937" s="126"/>
      <c r="B937" s="126"/>
    </row>
    <row r="938" spans="1:2" x14ac:dyDescent="0.2">
      <c r="A938" s="126"/>
      <c r="B938" s="126"/>
    </row>
    <row r="939" spans="1:2" x14ac:dyDescent="0.2">
      <c r="A939" s="126"/>
      <c r="B939" s="126"/>
    </row>
    <row r="940" spans="1:2" x14ac:dyDescent="0.2">
      <c r="A940" s="126"/>
      <c r="B940" s="126"/>
    </row>
    <row r="941" spans="1:2" x14ac:dyDescent="0.2">
      <c r="A941" s="126"/>
      <c r="B941" s="126"/>
    </row>
    <row r="942" spans="1:2" x14ac:dyDescent="0.2">
      <c r="A942" s="126"/>
      <c r="B942" s="126"/>
    </row>
    <row r="943" spans="1:2" x14ac:dyDescent="0.2">
      <c r="A943" s="126"/>
      <c r="B943" s="126"/>
    </row>
    <row r="944" spans="1:2" x14ac:dyDescent="0.2">
      <c r="A944" s="126"/>
      <c r="B944" s="126"/>
    </row>
    <row r="945" spans="1:2" x14ac:dyDescent="0.2">
      <c r="A945" s="126"/>
      <c r="B945" s="126"/>
    </row>
    <row r="946" spans="1:2" x14ac:dyDescent="0.2">
      <c r="A946" s="126"/>
      <c r="B946" s="126"/>
    </row>
    <row r="947" spans="1:2" x14ac:dyDescent="0.2">
      <c r="A947" s="126"/>
      <c r="B947" s="126"/>
    </row>
    <row r="948" spans="1:2" x14ac:dyDescent="0.2">
      <c r="A948" s="126"/>
      <c r="B948" s="126"/>
    </row>
    <row r="949" spans="1:2" x14ac:dyDescent="0.2">
      <c r="A949" s="126"/>
      <c r="B949" s="126"/>
    </row>
    <row r="950" spans="1:2" x14ac:dyDescent="0.2">
      <c r="A950" s="126"/>
      <c r="B950" s="126"/>
    </row>
    <row r="951" spans="1:2" x14ac:dyDescent="0.2">
      <c r="A951" s="126"/>
      <c r="B951" s="126"/>
    </row>
    <row r="952" spans="1:2" x14ac:dyDescent="0.2">
      <c r="A952" s="126"/>
      <c r="B952" s="126"/>
    </row>
    <row r="953" spans="1:2" x14ac:dyDescent="0.2">
      <c r="A953" s="126"/>
      <c r="B953" s="126"/>
    </row>
    <row r="954" spans="1:2" x14ac:dyDescent="0.2">
      <c r="A954" s="126"/>
      <c r="B954" s="126"/>
    </row>
    <row r="955" spans="1:2" x14ac:dyDescent="0.2">
      <c r="A955" s="126"/>
      <c r="B955" s="126"/>
    </row>
    <row r="956" spans="1:2" x14ac:dyDescent="0.2">
      <c r="A956" s="126"/>
      <c r="B956" s="126"/>
    </row>
    <row r="957" spans="1:2" x14ac:dyDescent="0.2">
      <c r="A957" s="126"/>
      <c r="B957" s="126"/>
    </row>
    <row r="958" spans="1:2" x14ac:dyDescent="0.2">
      <c r="A958" s="126"/>
      <c r="B958" s="126"/>
    </row>
    <row r="959" spans="1:2" x14ac:dyDescent="0.2">
      <c r="A959" s="126"/>
      <c r="B959" s="126"/>
    </row>
    <row r="960" spans="1:2" x14ac:dyDescent="0.2">
      <c r="A960" s="126"/>
      <c r="B960" s="126"/>
    </row>
    <row r="961" spans="1:2" x14ac:dyDescent="0.2">
      <c r="A961" s="126"/>
      <c r="B961" s="126"/>
    </row>
    <row r="962" spans="1:2" x14ac:dyDescent="0.2">
      <c r="A962" s="126"/>
      <c r="B962" s="126"/>
    </row>
    <row r="963" spans="1:2" x14ac:dyDescent="0.2">
      <c r="A963" s="126"/>
      <c r="B963" s="126"/>
    </row>
    <row r="964" spans="1:2" x14ac:dyDescent="0.2">
      <c r="A964" s="126"/>
      <c r="B964" s="126"/>
    </row>
    <row r="965" spans="1:2" x14ac:dyDescent="0.2">
      <c r="A965" s="126"/>
      <c r="B965" s="126"/>
    </row>
    <row r="966" spans="1:2" x14ac:dyDescent="0.2">
      <c r="A966" s="126"/>
      <c r="B966" s="126"/>
    </row>
    <row r="967" spans="1:2" x14ac:dyDescent="0.2">
      <c r="A967" s="126"/>
      <c r="B967" s="126"/>
    </row>
    <row r="968" spans="1:2" x14ac:dyDescent="0.2">
      <c r="A968" s="126"/>
      <c r="B968" s="126"/>
    </row>
    <row r="969" spans="1:2" x14ac:dyDescent="0.2">
      <c r="A969" s="126"/>
      <c r="B969" s="126"/>
    </row>
    <row r="970" spans="1:2" x14ac:dyDescent="0.2">
      <c r="A970" s="126"/>
      <c r="B970" s="126"/>
    </row>
    <row r="971" spans="1:2" x14ac:dyDescent="0.2">
      <c r="A971" s="126"/>
      <c r="B971" s="126"/>
    </row>
    <row r="972" spans="1:2" x14ac:dyDescent="0.2">
      <c r="A972" s="126"/>
      <c r="B972" s="126"/>
    </row>
    <row r="973" spans="1:2" x14ac:dyDescent="0.2">
      <c r="A973" s="126"/>
      <c r="B973" s="126"/>
    </row>
    <row r="974" spans="1:2" x14ac:dyDescent="0.2">
      <c r="A974" s="126"/>
      <c r="B974" s="126"/>
    </row>
    <row r="975" spans="1:2" x14ac:dyDescent="0.2">
      <c r="A975" s="126"/>
      <c r="B975" s="126"/>
    </row>
    <row r="976" spans="1:2" x14ac:dyDescent="0.2">
      <c r="A976" s="126"/>
      <c r="B976" s="126"/>
    </row>
    <row r="977" spans="1:2" x14ac:dyDescent="0.2">
      <c r="A977" s="126"/>
      <c r="B977" s="126"/>
    </row>
    <row r="978" spans="1:2" x14ac:dyDescent="0.2">
      <c r="A978" s="126"/>
      <c r="B978" s="126"/>
    </row>
    <row r="979" spans="1:2" x14ac:dyDescent="0.2">
      <c r="A979" s="126"/>
      <c r="B979" s="126"/>
    </row>
    <row r="980" spans="1:2" x14ac:dyDescent="0.2">
      <c r="A980" s="126"/>
      <c r="B980" s="126"/>
    </row>
    <row r="981" spans="1:2" x14ac:dyDescent="0.2">
      <c r="A981" s="126"/>
      <c r="B981" s="126"/>
    </row>
    <row r="982" spans="1:2" x14ac:dyDescent="0.2">
      <c r="A982" s="126"/>
      <c r="B982" s="126"/>
    </row>
    <row r="983" spans="1:2" x14ac:dyDescent="0.2">
      <c r="A983" s="126"/>
      <c r="B983" s="126"/>
    </row>
    <row r="984" spans="1:2" x14ac:dyDescent="0.2">
      <c r="A984" s="126"/>
      <c r="B984" s="126"/>
    </row>
    <row r="985" spans="1:2" x14ac:dyDescent="0.2">
      <c r="A985" s="126"/>
      <c r="B985" s="126"/>
    </row>
    <row r="986" spans="1:2" x14ac:dyDescent="0.2">
      <c r="A986" s="126"/>
      <c r="B986" s="126"/>
    </row>
    <row r="987" spans="1:2" x14ac:dyDescent="0.2">
      <c r="A987" s="126"/>
      <c r="B987" s="126"/>
    </row>
    <row r="988" spans="1:2" x14ac:dyDescent="0.2">
      <c r="A988" s="126"/>
      <c r="B988" s="126"/>
    </row>
    <row r="989" spans="1:2" x14ac:dyDescent="0.2">
      <c r="A989" s="126"/>
      <c r="B989" s="126"/>
    </row>
    <row r="990" spans="1:2" x14ac:dyDescent="0.2">
      <c r="A990" s="126"/>
      <c r="B990" s="126"/>
    </row>
    <row r="991" spans="1:2" x14ac:dyDescent="0.2">
      <c r="A991" s="126"/>
      <c r="B991" s="126"/>
    </row>
    <row r="992" spans="1:2" x14ac:dyDescent="0.2">
      <c r="A992" s="126"/>
      <c r="B992" s="126"/>
    </row>
    <row r="993" spans="1:2" x14ac:dyDescent="0.2">
      <c r="A993" s="126"/>
      <c r="B993" s="126"/>
    </row>
    <row r="994" spans="1:2" x14ac:dyDescent="0.2">
      <c r="A994" s="126"/>
      <c r="B994" s="126"/>
    </row>
    <row r="995" spans="1:2" x14ac:dyDescent="0.2">
      <c r="A995" s="126"/>
      <c r="B995" s="126"/>
    </row>
    <row r="996" spans="1:2" x14ac:dyDescent="0.2">
      <c r="A996" s="126"/>
      <c r="B996" s="126"/>
    </row>
    <row r="997" spans="1:2" x14ac:dyDescent="0.2">
      <c r="A997" s="126"/>
      <c r="B997" s="126"/>
    </row>
    <row r="998" spans="1:2" x14ac:dyDescent="0.2">
      <c r="A998" s="126"/>
      <c r="B998" s="126"/>
    </row>
    <row r="999" spans="1:2" x14ac:dyDescent="0.2">
      <c r="A999" s="126"/>
      <c r="B999" s="126"/>
    </row>
    <row r="1000" spans="1:2" x14ac:dyDescent="0.2">
      <c r="A1000" s="126"/>
      <c r="B1000" s="126"/>
    </row>
    <row r="1001" spans="1:2" x14ac:dyDescent="0.2">
      <c r="A1001" s="126"/>
      <c r="B1001" s="126"/>
    </row>
    <row r="1002" spans="1:2" x14ac:dyDescent="0.2">
      <c r="A1002" s="126"/>
      <c r="B1002" s="126"/>
    </row>
    <row r="1003" spans="1:2" x14ac:dyDescent="0.2">
      <c r="A1003" s="126"/>
      <c r="B1003" s="126"/>
    </row>
    <row r="1004" spans="1:2" x14ac:dyDescent="0.2">
      <c r="A1004" s="126"/>
      <c r="B1004" s="126"/>
    </row>
    <row r="1005" spans="1:2" x14ac:dyDescent="0.2">
      <c r="A1005" s="126"/>
      <c r="B1005" s="126"/>
    </row>
    <row r="1006" spans="1:2" x14ac:dyDescent="0.2">
      <c r="A1006" s="126"/>
      <c r="B1006" s="126"/>
    </row>
    <row r="1007" spans="1:2" x14ac:dyDescent="0.2">
      <c r="A1007" s="126"/>
      <c r="B1007" s="126"/>
    </row>
    <row r="1008" spans="1:2" x14ac:dyDescent="0.2">
      <c r="A1008" s="126"/>
      <c r="B1008" s="126"/>
    </row>
    <row r="1009" spans="1:2" x14ac:dyDescent="0.2">
      <c r="A1009" s="126"/>
      <c r="B1009" s="126"/>
    </row>
    <row r="1010" spans="1:2" x14ac:dyDescent="0.2">
      <c r="A1010" s="126"/>
      <c r="B1010" s="126"/>
    </row>
    <row r="1011" spans="1:2" x14ac:dyDescent="0.2">
      <c r="A1011" s="126"/>
      <c r="B1011" s="126"/>
    </row>
    <row r="1012" spans="1:2" x14ac:dyDescent="0.2">
      <c r="A1012" s="126"/>
      <c r="B1012" s="126"/>
    </row>
    <row r="1013" spans="1:2" x14ac:dyDescent="0.2">
      <c r="A1013" s="126"/>
      <c r="B1013" s="126"/>
    </row>
    <row r="1014" spans="1:2" x14ac:dyDescent="0.2">
      <c r="A1014" s="126"/>
      <c r="B1014" s="126"/>
    </row>
    <row r="1015" spans="1:2" x14ac:dyDescent="0.2">
      <c r="A1015" s="126"/>
      <c r="B1015" s="126"/>
    </row>
    <row r="1016" spans="1:2" x14ac:dyDescent="0.2">
      <c r="A1016" s="126"/>
      <c r="B1016" s="126"/>
    </row>
    <row r="1017" spans="1:2" x14ac:dyDescent="0.2">
      <c r="A1017" s="126"/>
      <c r="B1017" s="126"/>
    </row>
    <row r="1018" spans="1:2" x14ac:dyDescent="0.2">
      <c r="A1018" s="126"/>
      <c r="B1018" s="126"/>
    </row>
    <row r="1019" spans="1:2" x14ac:dyDescent="0.2">
      <c r="A1019" s="126"/>
      <c r="B1019" s="126"/>
    </row>
    <row r="1020" spans="1:2" x14ac:dyDescent="0.2">
      <c r="A1020" s="126"/>
      <c r="B1020" s="126"/>
    </row>
    <row r="1021" spans="1:2" x14ac:dyDescent="0.2">
      <c r="A1021" s="126"/>
      <c r="B1021" s="126"/>
    </row>
    <row r="1022" spans="1:2" x14ac:dyDescent="0.2">
      <c r="A1022" s="126"/>
      <c r="B1022" s="126"/>
    </row>
    <row r="1023" spans="1:2" x14ac:dyDescent="0.2">
      <c r="A1023" s="126"/>
      <c r="B1023" s="126"/>
    </row>
    <row r="1024" spans="1:2" x14ac:dyDescent="0.2">
      <c r="A1024" s="126"/>
      <c r="B1024" s="126"/>
    </row>
    <row r="1025" spans="1:2" x14ac:dyDescent="0.2">
      <c r="A1025" s="126"/>
      <c r="B1025" s="126"/>
    </row>
    <row r="1026" spans="1:2" x14ac:dyDescent="0.2">
      <c r="A1026" s="126"/>
      <c r="B1026" s="126"/>
    </row>
    <row r="1027" spans="1:2" x14ac:dyDescent="0.2">
      <c r="A1027" s="126"/>
      <c r="B1027" s="126"/>
    </row>
    <row r="1028" spans="1:2" x14ac:dyDescent="0.2">
      <c r="A1028" s="126"/>
      <c r="B1028" s="126"/>
    </row>
    <row r="1029" spans="1:2" x14ac:dyDescent="0.2">
      <c r="A1029" s="126"/>
      <c r="B1029" s="126"/>
    </row>
    <row r="1030" spans="1:2" x14ac:dyDescent="0.2">
      <c r="A1030" s="126"/>
      <c r="B1030" s="126"/>
    </row>
    <row r="1031" spans="1:2" x14ac:dyDescent="0.2">
      <c r="A1031" s="126"/>
      <c r="B1031" s="126"/>
    </row>
    <row r="1032" spans="1:2" x14ac:dyDescent="0.2">
      <c r="A1032" s="126"/>
      <c r="B1032" s="126"/>
    </row>
    <row r="1033" spans="1:2" x14ac:dyDescent="0.2">
      <c r="A1033" s="126"/>
      <c r="B1033" s="126"/>
    </row>
    <row r="1034" spans="1:2" x14ac:dyDescent="0.2">
      <c r="A1034" s="126"/>
      <c r="B1034" s="126"/>
    </row>
    <row r="1035" spans="1:2" x14ac:dyDescent="0.2">
      <c r="A1035" s="126"/>
      <c r="B1035" s="126"/>
    </row>
    <row r="1036" spans="1:2" x14ac:dyDescent="0.2">
      <c r="A1036" s="126"/>
      <c r="B1036" s="126"/>
    </row>
    <row r="1037" spans="1:2" x14ac:dyDescent="0.2">
      <c r="A1037" s="126"/>
      <c r="B1037" s="126"/>
    </row>
    <row r="1038" spans="1:2" x14ac:dyDescent="0.2">
      <c r="A1038" s="126"/>
      <c r="B1038" s="126"/>
    </row>
    <row r="1039" spans="1:2" x14ac:dyDescent="0.2">
      <c r="A1039" s="126"/>
      <c r="B1039" s="126"/>
    </row>
    <row r="1040" spans="1:2" x14ac:dyDescent="0.2">
      <c r="A1040" s="126"/>
      <c r="B1040" s="126"/>
    </row>
    <row r="1041" spans="1:2" x14ac:dyDescent="0.2">
      <c r="A1041" s="126"/>
      <c r="B1041" s="126"/>
    </row>
    <row r="1042" spans="1:2" x14ac:dyDescent="0.2">
      <c r="A1042" s="126"/>
      <c r="B1042" s="126"/>
    </row>
    <row r="1043" spans="1:2" x14ac:dyDescent="0.2">
      <c r="A1043" s="126"/>
      <c r="B1043" s="126"/>
    </row>
    <row r="1044" spans="1:2" x14ac:dyDescent="0.2">
      <c r="A1044" s="126"/>
      <c r="B1044" s="126"/>
    </row>
    <row r="1045" spans="1:2" x14ac:dyDescent="0.2">
      <c r="A1045" s="126"/>
      <c r="B1045" s="126"/>
    </row>
    <row r="1046" spans="1:2" x14ac:dyDescent="0.2">
      <c r="A1046" s="126"/>
      <c r="B1046" s="126"/>
    </row>
    <row r="1047" spans="1:2" x14ac:dyDescent="0.2">
      <c r="A1047" s="126"/>
      <c r="B1047" s="126"/>
    </row>
    <row r="1048" spans="1:2" x14ac:dyDescent="0.2">
      <c r="A1048" s="126"/>
      <c r="B1048" s="126"/>
    </row>
    <row r="1049" spans="1:2" x14ac:dyDescent="0.2">
      <c r="A1049" s="126"/>
      <c r="B1049" s="126"/>
    </row>
    <row r="1050" spans="1:2" x14ac:dyDescent="0.2">
      <c r="A1050" s="126"/>
      <c r="B1050" s="126"/>
    </row>
    <row r="1051" spans="1:2" x14ac:dyDescent="0.2">
      <c r="A1051" s="126"/>
      <c r="B1051" s="126"/>
    </row>
    <row r="1052" spans="1:2" x14ac:dyDescent="0.2">
      <c r="A1052" s="126"/>
      <c r="B1052" s="126"/>
    </row>
    <row r="1053" spans="1:2" x14ac:dyDescent="0.2">
      <c r="A1053" s="126"/>
      <c r="B1053" s="126"/>
    </row>
    <row r="1054" spans="1:2" x14ac:dyDescent="0.2">
      <c r="A1054" s="126"/>
      <c r="B1054" s="126"/>
    </row>
    <row r="1055" spans="1:2" x14ac:dyDescent="0.2">
      <c r="A1055" s="126"/>
      <c r="B1055" s="126"/>
    </row>
    <row r="1056" spans="1:2" x14ac:dyDescent="0.2">
      <c r="A1056" s="126"/>
      <c r="B1056" s="126"/>
    </row>
    <row r="1057" spans="1:2" x14ac:dyDescent="0.2">
      <c r="A1057" s="126"/>
      <c r="B1057" s="126"/>
    </row>
    <row r="1058" spans="1:2" x14ac:dyDescent="0.2">
      <c r="A1058" s="126"/>
      <c r="B1058" s="126"/>
    </row>
    <row r="1059" spans="1:2" x14ac:dyDescent="0.2">
      <c r="A1059" s="126"/>
      <c r="B1059" s="126"/>
    </row>
    <row r="1060" spans="1:2" x14ac:dyDescent="0.2">
      <c r="A1060" s="126"/>
      <c r="B1060" s="126"/>
    </row>
    <row r="1061" spans="1:2" x14ac:dyDescent="0.2">
      <c r="A1061" s="126"/>
      <c r="B1061" s="126"/>
    </row>
    <row r="1062" spans="1:2" x14ac:dyDescent="0.2">
      <c r="A1062" s="126"/>
      <c r="B1062" s="126"/>
    </row>
    <row r="1063" spans="1:2" x14ac:dyDescent="0.2">
      <c r="A1063" s="126"/>
      <c r="B1063" s="126"/>
    </row>
    <row r="1064" spans="1:2" x14ac:dyDescent="0.2">
      <c r="A1064" s="126"/>
      <c r="B1064" s="126"/>
    </row>
    <row r="1065" spans="1:2" x14ac:dyDescent="0.2">
      <c r="A1065" s="126"/>
      <c r="B1065" s="126"/>
    </row>
    <row r="1066" spans="1:2" x14ac:dyDescent="0.2">
      <c r="A1066" s="126"/>
      <c r="B1066" s="126"/>
    </row>
    <row r="1067" spans="1:2" x14ac:dyDescent="0.2">
      <c r="A1067" s="126"/>
      <c r="B1067" s="126"/>
    </row>
    <row r="1068" spans="1:2" x14ac:dyDescent="0.2">
      <c r="A1068" s="126"/>
      <c r="B1068" s="126"/>
    </row>
    <row r="1069" spans="1:2" x14ac:dyDescent="0.2">
      <c r="A1069" s="126"/>
      <c r="B1069" s="126"/>
    </row>
    <row r="1070" spans="1:2" x14ac:dyDescent="0.2">
      <c r="A1070" s="126"/>
      <c r="B1070" s="126"/>
    </row>
    <row r="1071" spans="1:2" x14ac:dyDescent="0.2">
      <c r="A1071" s="126"/>
      <c r="B1071" s="126"/>
    </row>
    <row r="1072" spans="1:2" x14ac:dyDescent="0.2">
      <c r="A1072" s="126"/>
      <c r="B1072" s="126"/>
    </row>
    <row r="1073" spans="1:2" x14ac:dyDescent="0.2">
      <c r="A1073" s="126"/>
      <c r="B1073" s="126"/>
    </row>
    <row r="1074" spans="1:2" x14ac:dyDescent="0.2">
      <c r="A1074" s="126"/>
      <c r="B1074" s="126"/>
    </row>
    <row r="1075" spans="1:2" x14ac:dyDescent="0.2">
      <c r="A1075" s="126"/>
      <c r="B1075" s="126"/>
    </row>
    <row r="1076" spans="1:2" x14ac:dyDescent="0.2">
      <c r="A1076" s="126"/>
      <c r="B1076" s="126"/>
    </row>
    <row r="1077" spans="1:2" x14ac:dyDescent="0.2">
      <c r="A1077" s="126"/>
      <c r="B1077" s="126"/>
    </row>
    <row r="1078" spans="1:2" x14ac:dyDescent="0.2">
      <c r="A1078" s="126"/>
      <c r="B1078" s="126"/>
    </row>
    <row r="1079" spans="1:2" x14ac:dyDescent="0.2">
      <c r="A1079" s="126"/>
      <c r="B1079" s="126"/>
    </row>
    <row r="1080" spans="1:2" x14ac:dyDescent="0.2">
      <c r="A1080" s="126"/>
      <c r="B1080" s="126"/>
    </row>
    <row r="1081" spans="1:2" x14ac:dyDescent="0.2">
      <c r="A1081" s="126"/>
      <c r="B1081" s="126"/>
    </row>
    <row r="1082" spans="1:2" x14ac:dyDescent="0.2">
      <c r="A1082" s="126"/>
      <c r="B1082" s="126"/>
    </row>
    <row r="1083" spans="1:2" x14ac:dyDescent="0.2">
      <c r="A1083" s="126"/>
      <c r="B1083" s="126"/>
    </row>
    <row r="1084" spans="1:2" x14ac:dyDescent="0.2">
      <c r="A1084" s="126"/>
      <c r="B1084" s="126"/>
    </row>
    <row r="1085" spans="1:2" x14ac:dyDescent="0.2">
      <c r="A1085" s="126"/>
      <c r="B1085" s="126"/>
    </row>
    <row r="1086" spans="1:2" x14ac:dyDescent="0.2">
      <c r="A1086" s="126"/>
      <c r="B1086" s="126"/>
    </row>
    <row r="1087" spans="1:2" x14ac:dyDescent="0.2">
      <c r="A1087" s="126"/>
      <c r="B1087" s="126"/>
    </row>
    <row r="1088" spans="1:2" x14ac:dyDescent="0.2">
      <c r="A1088" s="126"/>
      <c r="B1088" s="126"/>
    </row>
    <row r="1089" spans="1:2" x14ac:dyDescent="0.2">
      <c r="A1089" s="126"/>
      <c r="B1089" s="126"/>
    </row>
    <row r="1090" spans="1:2" x14ac:dyDescent="0.2">
      <c r="A1090" s="126"/>
      <c r="B1090" s="126"/>
    </row>
    <row r="1091" spans="1:2" x14ac:dyDescent="0.2">
      <c r="A1091" s="126"/>
      <c r="B1091" s="126"/>
    </row>
    <row r="1092" spans="1:2" x14ac:dyDescent="0.2">
      <c r="A1092" s="126"/>
      <c r="B1092" s="126"/>
    </row>
    <row r="1093" spans="1:2" x14ac:dyDescent="0.2">
      <c r="A1093" s="126"/>
      <c r="B1093" s="126"/>
    </row>
    <row r="1094" spans="1:2" x14ac:dyDescent="0.2">
      <c r="A1094" s="126"/>
      <c r="B1094" s="126"/>
    </row>
    <row r="1095" spans="1:2" x14ac:dyDescent="0.2">
      <c r="A1095" s="126"/>
      <c r="B1095" s="126"/>
    </row>
    <row r="1096" spans="1:2" x14ac:dyDescent="0.2">
      <c r="A1096" s="126"/>
      <c r="B1096" s="126"/>
    </row>
    <row r="1097" spans="1:2" x14ac:dyDescent="0.2">
      <c r="A1097" s="126"/>
      <c r="B1097" s="126"/>
    </row>
    <row r="1098" spans="1:2" x14ac:dyDescent="0.2">
      <c r="A1098" s="126"/>
      <c r="B1098" s="126"/>
    </row>
    <row r="1099" spans="1:2" x14ac:dyDescent="0.2">
      <c r="A1099" s="126"/>
      <c r="B1099" s="126"/>
    </row>
    <row r="1100" spans="1:2" x14ac:dyDescent="0.2">
      <c r="A1100" s="126"/>
      <c r="B1100" s="126"/>
    </row>
    <row r="1101" spans="1:2" x14ac:dyDescent="0.2">
      <c r="A1101" s="126"/>
      <c r="B1101" s="126"/>
    </row>
    <row r="1102" spans="1:2" x14ac:dyDescent="0.2">
      <c r="A1102" s="126"/>
      <c r="B1102" s="126"/>
    </row>
    <row r="1103" spans="1:2" x14ac:dyDescent="0.2">
      <c r="A1103" s="126"/>
      <c r="B1103" s="126"/>
    </row>
    <row r="1104" spans="1:2" x14ac:dyDescent="0.2">
      <c r="A1104" s="126"/>
      <c r="B1104" s="126"/>
    </row>
    <row r="1105" spans="1:2" x14ac:dyDescent="0.2">
      <c r="A1105" s="126"/>
      <c r="B1105" s="126"/>
    </row>
    <row r="1106" spans="1:2" x14ac:dyDescent="0.2">
      <c r="A1106" s="126"/>
      <c r="B1106" s="126"/>
    </row>
    <row r="1107" spans="1:2" x14ac:dyDescent="0.2">
      <c r="A1107" s="126"/>
      <c r="B1107" s="126"/>
    </row>
    <row r="1108" spans="1:2" x14ac:dyDescent="0.2">
      <c r="A1108" s="126"/>
      <c r="B1108" s="126"/>
    </row>
    <row r="1109" spans="1:2" x14ac:dyDescent="0.2">
      <c r="A1109" s="126"/>
      <c r="B1109" s="126"/>
    </row>
    <row r="1110" spans="1:2" x14ac:dyDescent="0.2">
      <c r="A1110" s="126"/>
      <c r="B1110" s="126"/>
    </row>
    <row r="1111" spans="1:2" x14ac:dyDescent="0.2">
      <c r="A1111" s="126"/>
      <c r="B1111" s="126"/>
    </row>
    <row r="1112" spans="1:2" x14ac:dyDescent="0.2">
      <c r="A1112" s="126"/>
      <c r="B1112" s="126"/>
    </row>
    <row r="1113" spans="1:2" x14ac:dyDescent="0.2">
      <c r="A1113" s="126"/>
      <c r="B1113" s="126"/>
    </row>
    <row r="1114" spans="1:2" x14ac:dyDescent="0.2">
      <c r="A1114" s="126"/>
      <c r="B1114" s="126"/>
    </row>
    <row r="1115" spans="1:2" x14ac:dyDescent="0.2">
      <c r="A1115" s="126"/>
      <c r="B1115" s="126"/>
    </row>
    <row r="1116" spans="1:2" x14ac:dyDescent="0.2">
      <c r="A1116" s="126"/>
      <c r="B1116" s="126"/>
    </row>
    <row r="1117" spans="1:2" x14ac:dyDescent="0.2">
      <c r="A1117" s="126"/>
      <c r="B1117" s="126"/>
    </row>
    <row r="1118" spans="1:2" x14ac:dyDescent="0.2">
      <c r="A1118" s="126"/>
      <c r="B1118" s="126"/>
    </row>
    <row r="1119" spans="1:2" x14ac:dyDescent="0.2">
      <c r="A1119" s="126"/>
      <c r="B1119" s="126"/>
    </row>
    <row r="1120" spans="1:2" x14ac:dyDescent="0.2">
      <c r="A1120" s="126"/>
      <c r="B1120" s="126"/>
    </row>
    <row r="1121" spans="1:2" x14ac:dyDescent="0.2">
      <c r="A1121" s="126"/>
      <c r="B1121" s="126"/>
    </row>
    <row r="1122" spans="1:2" x14ac:dyDescent="0.2">
      <c r="A1122" s="126"/>
      <c r="B1122" s="126"/>
    </row>
    <row r="1123" spans="1:2" x14ac:dyDescent="0.2">
      <c r="A1123" s="126"/>
      <c r="B1123" s="126"/>
    </row>
    <row r="1124" spans="1:2" x14ac:dyDescent="0.2">
      <c r="A1124" s="126"/>
      <c r="B1124" s="126"/>
    </row>
    <row r="1125" spans="1:2" x14ac:dyDescent="0.2">
      <c r="A1125" s="126"/>
      <c r="B1125" s="126"/>
    </row>
    <row r="1126" spans="1:2" x14ac:dyDescent="0.2">
      <c r="A1126" s="126"/>
      <c r="B1126" s="126"/>
    </row>
    <row r="1127" spans="1:2" x14ac:dyDescent="0.2">
      <c r="A1127" s="126"/>
      <c r="B1127" s="126"/>
    </row>
    <row r="1128" spans="1:2" x14ac:dyDescent="0.2">
      <c r="A1128" s="126"/>
      <c r="B1128" s="126"/>
    </row>
    <row r="1129" spans="1:2" x14ac:dyDescent="0.2">
      <c r="A1129" s="126"/>
      <c r="B1129" s="126"/>
    </row>
    <row r="1130" spans="1:2" x14ac:dyDescent="0.2">
      <c r="A1130" s="126"/>
      <c r="B1130" s="126"/>
    </row>
    <row r="1131" spans="1:2" x14ac:dyDescent="0.2">
      <c r="A1131" s="126"/>
      <c r="B1131" s="126"/>
    </row>
    <row r="1132" spans="1:2" x14ac:dyDescent="0.2">
      <c r="A1132" s="126"/>
      <c r="B1132" s="126"/>
    </row>
    <row r="1133" spans="1:2" x14ac:dyDescent="0.2">
      <c r="A1133" s="126"/>
      <c r="B1133" s="126"/>
    </row>
    <row r="1134" spans="1:2" x14ac:dyDescent="0.2">
      <c r="A1134" s="126"/>
      <c r="B1134" s="126"/>
    </row>
    <row r="1135" spans="1:2" x14ac:dyDescent="0.2">
      <c r="A1135" s="126"/>
      <c r="B1135" s="126"/>
    </row>
    <row r="1136" spans="1:2" x14ac:dyDescent="0.2">
      <c r="A1136" s="126"/>
      <c r="B1136" s="126"/>
    </row>
    <row r="1137" spans="1:2" x14ac:dyDescent="0.2">
      <c r="A1137" s="126"/>
      <c r="B1137" s="126"/>
    </row>
    <row r="1138" spans="1:2" x14ac:dyDescent="0.2">
      <c r="A1138" s="126"/>
      <c r="B1138" s="126"/>
    </row>
    <row r="1139" spans="1:2" x14ac:dyDescent="0.2">
      <c r="A1139" s="126"/>
      <c r="B1139" s="126"/>
    </row>
    <row r="1140" spans="1:2" x14ac:dyDescent="0.2">
      <c r="A1140" s="126"/>
      <c r="B1140" s="126"/>
    </row>
    <row r="1141" spans="1:2" x14ac:dyDescent="0.2">
      <c r="A1141" s="126"/>
      <c r="B1141" s="126"/>
    </row>
    <row r="1142" spans="1:2" x14ac:dyDescent="0.2">
      <c r="A1142" s="126"/>
      <c r="B1142" s="126"/>
    </row>
    <row r="1143" spans="1:2" x14ac:dyDescent="0.2">
      <c r="A1143" s="126"/>
      <c r="B1143" s="126"/>
    </row>
    <row r="1144" spans="1:2" x14ac:dyDescent="0.2">
      <c r="A1144" s="126"/>
      <c r="B1144" s="126"/>
    </row>
    <row r="1145" spans="1:2" x14ac:dyDescent="0.2">
      <c r="A1145" s="126"/>
      <c r="B1145" s="126"/>
    </row>
    <row r="1146" spans="1:2" x14ac:dyDescent="0.2">
      <c r="A1146" s="126"/>
      <c r="B1146" s="126"/>
    </row>
    <row r="1147" spans="1:2" x14ac:dyDescent="0.2">
      <c r="A1147" s="126"/>
      <c r="B1147" s="126"/>
    </row>
    <row r="1148" spans="1:2" x14ac:dyDescent="0.2">
      <c r="A1148" s="126"/>
      <c r="B1148" s="126"/>
    </row>
    <row r="1149" spans="1:2" x14ac:dyDescent="0.2">
      <c r="A1149" s="126"/>
      <c r="B1149" s="126"/>
    </row>
    <row r="1150" spans="1:2" x14ac:dyDescent="0.2">
      <c r="A1150" s="126"/>
      <c r="B1150" s="126"/>
    </row>
    <row r="1151" spans="1:2" x14ac:dyDescent="0.2">
      <c r="A1151" s="126"/>
      <c r="B1151" s="126"/>
    </row>
    <row r="1152" spans="1:2" x14ac:dyDescent="0.2">
      <c r="A1152" s="126"/>
      <c r="B1152" s="126"/>
    </row>
    <row r="1153" spans="1:2" x14ac:dyDescent="0.2">
      <c r="A1153" s="126"/>
      <c r="B1153" s="126"/>
    </row>
    <row r="1154" spans="1:2" x14ac:dyDescent="0.2">
      <c r="A1154" s="126"/>
      <c r="B1154" s="126"/>
    </row>
    <row r="1155" spans="1:2" x14ac:dyDescent="0.2">
      <c r="A1155" s="126"/>
      <c r="B1155" s="126"/>
    </row>
    <row r="1156" spans="1:2" x14ac:dyDescent="0.2">
      <c r="A1156" s="126"/>
      <c r="B1156" s="126"/>
    </row>
    <row r="1157" spans="1:2" x14ac:dyDescent="0.2">
      <c r="A1157" s="126"/>
      <c r="B1157" s="126"/>
    </row>
    <row r="1158" spans="1:2" x14ac:dyDescent="0.2">
      <c r="A1158" s="126"/>
      <c r="B1158" s="126"/>
    </row>
    <row r="1159" spans="1:2" x14ac:dyDescent="0.2">
      <c r="A1159" s="126"/>
      <c r="B1159" s="126"/>
    </row>
    <row r="1160" spans="1:2" x14ac:dyDescent="0.2">
      <c r="A1160" s="126"/>
      <c r="B1160" s="126"/>
    </row>
    <row r="1161" spans="1:2" x14ac:dyDescent="0.2">
      <c r="A1161" s="126"/>
      <c r="B1161" s="126"/>
    </row>
    <row r="1162" spans="1:2" x14ac:dyDescent="0.2">
      <c r="A1162" s="126"/>
      <c r="B1162" s="126"/>
    </row>
    <row r="1163" spans="1:2" x14ac:dyDescent="0.2">
      <c r="A1163" s="126"/>
      <c r="B1163" s="126"/>
    </row>
    <row r="1164" spans="1:2" x14ac:dyDescent="0.2">
      <c r="A1164" s="126"/>
      <c r="B1164" s="126"/>
    </row>
    <row r="1165" spans="1:2" x14ac:dyDescent="0.2">
      <c r="A1165" s="126"/>
      <c r="B1165" s="126"/>
    </row>
    <row r="1166" spans="1:2" x14ac:dyDescent="0.2">
      <c r="A1166" s="126"/>
      <c r="B1166" s="126"/>
    </row>
    <row r="1167" spans="1:2" x14ac:dyDescent="0.2">
      <c r="A1167" s="126"/>
      <c r="B1167" s="126"/>
    </row>
    <row r="1168" spans="1:2" x14ac:dyDescent="0.2">
      <c r="A1168" s="126"/>
      <c r="B1168" s="126"/>
    </row>
    <row r="1169" spans="1:2" x14ac:dyDescent="0.2">
      <c r="A1169" s="126"/>
      <c r="B1169" s="126"/>
    </row>
    <row r="1170" spans="1:2" x14ac:dyDescent="0.2">
      <c r="A1170" s="126"/>
      <c r="B1170" s="126"/>
    </row>
    <row r="1171" spans="1:2" x14ac:dyDescent="0.2">
      <c r="A1171" s="126"/>
      <c r="B1171" s="126"/>
    </row>
    <row r="1172" spans="1:2" x14ac:dyDescent="0.2">
      <c r="A1172" s="126"/>
      <c r="B1172" s="126"/>
    </row>
    <row r="1173" spans="1:2" x14ac:dyDescent="0.2">
      <c r="A1173" s="126"/>
      <c r="B1173" s="126"/>
    </row>
    <row r="1174" spans="1:2" x14ac:dyDescent="0.2">
      <c r="A1174" s="126"/>
      <c r="B1174" s="126"/>
    </row>
    <row r="1175" spans="1:2" x14ac:dyDescent="0.2">
      <c r="A1175" s="126"/>
      <c r="B1175" s="126"/>
    </row>
    <row r="1176" spans="1:2" x14ac:dyDescent="0.2">
      <c r="A1176" s="126"/>
      <c r="B1176" s="126"/>
    </row>
    <row r="1177" spans="1:2" x14ac:dyDescent="0.2">
      <c r="A1177" s="126"/>
      <c r="B1177" s="126"/>
    </row>
    <row r="1178" spans="1:2" x14ac:dyDescent="0.2">
      <c r="A1178" s="126"/>
      <c r="B1178" s="126"/>
    </row>
    <row r="1179" spans="1:2" x14ac:dyDescent="0.2">
      <c r="A1179" s="126"/>
      <c r="B1179" s="126"/>
    </row>
    <row r="1180" spans="1:2" x14ac:dyDescent="0.2">
      <c r="A1180" s="126"/>
      <c r="B1180" s="126"/>
    </row>
    <row r="1181" spans="1:2" x14ac:dyDescent="0.2">
      <c r="A1181" s="126"/>
      <c r="B1181" s="126"/>
    </row>
    <row r="1182" spans="1:2" x14ac:dyDescent="0.2">
      <c r="A1182" s="126"/>
      <c r="B1182" s="126"/>
    </row>
    <row r="1183" spans="1:2" x14ac:dyDescent="0.2">
      <c r="A1183" s="126"/>
      <c r="B1183" s="126"/>
    </row>
    <row r="1184" spans="1:2" x14ac:dyDescent="0.2">
      <c r="A1184" s="126"/>
      <c r="B1184" s="126"/>
    </row>
    <row r="1185" spans="1:2" x14ac:dyDescent="0.2">
      <c r="A1185" s="126"/>
      <c r="B1185" s="126"/>
    </row>
    <row r="1186" spans="1:2" x14ac:dyDescent="0.2">
      <c r="A1186" s="126"/>
      <c r="B1186" s="126"/>
    </row>
    <row r="1187" spans="1:2" x14ac:dyDescent="0.2">
      <c r="A1187" s="126"/>
      <c r="B1187" s="126"/>
    </row>
    <row r="1188" spans="1:2" x14ac:dyDescent="0.2">
      <c r="A1188" s="126"/>
      <c r="B1188" s="126"/>
    </row>
    <row r="1189" spans="1:2" x14ac:dyDescent="0.2">
      <c r="A1189" s="126"/>
      <c r="B1189" s="126"/>
    </row>
    <row r="1190" spans="1:2" x14ac:dyDescent="0.2">
      <c r="A1190" s="126"/>
      <c r="B1190" s="126"/>
    </row>
    <row r="1191" spans="1:2" x14ac:dyDescent="0.2">
      <c r="A1191" s="126"/>
      <c r="B1191" s="126"/>
    </row>
    <row r="1192" spans="1:2" x14ac:dyDescent="0.2">
      <c r="A1192" s="126"/>
      <c r="B1192" s="126"/>
    </row>
    <row r="1193" spans="1:2" x14ac:dyDescent="0.2">
      <c r="A1193" s="126"/>
      <c r="B1193" s="126"/>
    </row>
    <row r="1194" spans="1:2" x14ac:dyDescent="0.2">
      <c r="A1194" s="126"/>
      <c r="B1194" s="126"/>
    </row>
    <row r="1195" spans="1:2" x14ac:dyDescent="0.2">
      <c r="A1195" s="126"/>
      <c r="B1195" s="126"/>
    </row>
    <row r="1196" spans="1:2" x14ac:dyDescent="0.2">
      <c r="A1196" s="126"/>
      <c r="B1196" s="126"/>
    </row>
    <row r="1197" spans="1:2" x14ac:dyDescent="0.2">
      <c r="A1197" s="126"/>
      <c r="B1197" s="126"/>
    </row>
    <row r="1198" spans="1:2" x14ac:dyDescent="0.2">
      <c r="A1198" s="126"/>
      <c r="B1198" s="126"/>
    </row>
    <row r="1199" spans="1:2" x14ac:dyDescent="0.2">
      <c r="A1199" s="126"/>
      <c r="B1199" s="126"/>
    </row>
    <row r="1200" spans="1:2" x14ac:dyDescent="0.2">
      <c r="A1200" s="126"/>
      <c r="B1200" s="126"/>
    </row>
    <row r="1201" spans="1:2" x14ac:dyDescent="0.2">
      <c r="A1201" s="126"/>
      <c r="B1201" s="126"/>
    </row>
    <row r="1202" spans="1:2" x14ac:dyDescent="0.2">
      <c r="A1202" s="126"/>
      <c r="B1202" s="126"/>
    </row>
    <row r="1203" spans="1:2" x14ac:dyDescent="0.2">
      <c r="A1203" s="126"/>
      <c r="B1203" s="126"/>
    </row>
    <row r="1204" spans="1:2" x14ac:dyDescent="0.2">
      <c r="A1204" s="126"/>
      <c r="B1204" s="126"/>
    </row>
    <row r="1205" spans="1:2" x14ac:dyDescent="0.2">
      <c r="A1205" s="126"/>
      <c r="B1205" s="126"/>
    </row>
    <row r="1206" spans="1:2" x14ac:dyDescent="0.2">
      <c r="A1206" s="126"/>
      <c r="B1206" s="126"/>
    </row>
    <row r="1207" spans="1:2" x14ac:dyDescent="0.2">
      <c r="A1207" s="126"/>
      <c r="B1207" s="126"/>
    </row>
    <row r="1208" spans="1:2" x14ac:dyDescent="0.2">
      <c r="A1208" s="126"/>
      <c r="B1208" s="126"/>
    </row>
    <row r="1209" spans="1:2" x14ac:dyDescent="0.2">
      <c r="A1209" s="126"/>
      <c r="B1209" s="126"/>
    </row>
    <row r="1210" spans="1:2" x14ac:dyDescent="0.2">
      <c r="A1210" s="126"/>
      <c r="B1210" s="126"/>
    </row>
    <row r="1211" spans="1:2" x14ac:dyDescent="0.2">
      <c r="A1211" s="126"/>
      <c r="B1211" s="126"/>
    </row>
    <row r="1212" spans="1:2" x14ac:dyDescent="0.2">
      <c r="A1212" s="126"/>
      <c r="B1212" s="126"/>
    </row>
    <row r="1213" spans="1:2" x14ac:dyDescent="0.2">
      <c r="A1213" s="126"/>
      <c r="B1213" s="126"/>
    </row>
    <row r="1214" spans="1:2" x14ac:dyDescent="0.2">
      <c r="A1214" s="126"/>
      <c r="B1214" s="126"/>
    </row>
    <row r="1215" spans="1:2" x14ac:dyDescent="0.2">
      <c r="A1215" s="126"/>
      <c r="B1215" s="126"/>
    </row>
    <row r="1216" spans="1:2" x14ac:dyDescent="0.2">
      <c r="A1216" s="126"/>
      <c r="B1216" s="126"/>
    </row>
    <row r="1217" spans="1:2" x14ac:dyDescent="0.2">
      <c r="A1217" s="126"/>
      <c r="B1217" s="126"/>
    </row>
    <row r="1218" spans="1:2" x14ac:dyDescent="0.2">
      <c r="A1218" s="126"/>
      <c r="B1218" s="126"/>
    </row>
    <row r="1219" spans="1:2" x14ac:dyDescent="0.2">
      <c r="A1219" s="126"/>
      <c r="B1219" s="126"/>
    </row>
    <row r="1220" spans="1:2" x14ac:dyDescent="0.2">
      <c r="A1220" s="126"/>
      <c r="B1220" s="126"/>
    </row>
    <row r="1221" spans="1:2" x14ac:dyDescent="0.2">
      <c r="A1221" s="126"/>
      <c r="B1221" s="126"/>
    </row>
    <row r="1222" spans="1:2" x14ac:dyDescent="0.2">
      <c r="A1222" s="126"/>
      <c r="B1222" s="126"/>
    </row>
    <row r="1223" spans="1:2" x14ac:dyDescent="0.2">
      <c r="A1223" s="126"/>
      <c r="B1223" s="126"/>
    </row>
    <row r="1224" spans="1:2" x14ac:dyDescent="0.2">
      <c r="A1224" s="126"/>
      <c r="B1224" s="126"/>
    </row>
    <row r="1225" spans="1:2" x14ac:dyDescent="0.2">
      <c r="A1225" s="126"/>
      <c r="B1225" s="126"/>
    </row>
    <row r="1226" spans="1:2" x14ac:dyDescent="0.2">
      <c r="A1226" s="126"/>
      <c r="B1226" s="126"/>
    </row>
    <row r="1227" spans="1:2" x14ac:dyDescent="0.2">
      <c r="A1227" s="126"/>
      <c r="B1227" s="126"/>
    </row>
    <row r="1228" spans="1:2" x14ac:dyDescent="0.2">
      <c r="A1228" s="126"/>
      <c r="B1228" s="126"/>
    </row>
    <row r="1229" spans="1:2" x14ac:dyDescent="0.2">
      <c r="A1229" s="126"/>
      <c r="B1229" s="126"/>
    </row>
    <row r="1230" spans="1:2" x14ac:dyDescent="0.2">
      <c r="A1230" s="126"/>
      <c r="B1230" s="126"/>
    </row>
    <row r="1231" spans="1:2" x14ac:dyDescent="0.2">
      <c r="A1231" s="126"/>
      <c r="B1231" s="126"/>
    </row>
    <row r="1232" spans="1:2" x14ac:dyDescent="0.2">
      <c r="A1232" s="126"/>
      <c r="B1232" s="126"/>
    </row>
    <row r="1233" spans="1:2" x14ac:dyDescent="0.2">
      <c r="A1233" s="126"/>
      <c r="B1233" s="126"/>
    </row>
    <row r="1234" spans="1:2" x14ac:dyDescent="0.2">
      <c r="A1234" s="126"/>
      <c r="B1234" s="126"/>
    </row>
    <row r="1235" spans="1:2" x14ac:dyDescent="0.2">
      <c r="A1235" s="126"/>
      <c r="B1235" s="126"/>
    </row>
    <row r="1236" spans="1:2" x14ac:dyDescent="0.2">
      <c r="A1236" s="126"/>
      <c r="B1236" s="126"/>
    </row>
    <row r="1237" spans="1:2" x14ac:dyDescent="0.2">
      <c r="A1237" s="126"/>
      <c r="B1237" s="126"/>
    </row>
    <row r="1238" spans="1:2" x14ac:dyDescent="0.2">
      <c r="A1238" s="126"/>
      <c r="B1238" s="126"/>
    </row>
    <row r="1239" spans="1:2" x14ac:dyDescent="0.2">
      <c r="A1239" s="126"/>
      <c r="B1239" s="126"/>
    </row>
    <row r="1240" spans="1:2" x14ac:dyDescent="0.2">
      <c r="A1240" s="126"/>
      <c r="B1240" s="126"/>
    </row>
    <row r="1241" spans="1:2" x14ac:dyDescent="0.2">
      <c r="A1241" s="126"/>
      <c r="B1241" s="126"/>
    </row>
    <row r="1242" spans="1:2" x14ac:dyDescent="0.2">
      <c r="A1242" s="126"/>
      <c r="B1242" s="126"/>
    </row>
    <row r="1243" spans="1:2" x14ac:dyDescent="0.2">
      <c r="A1243" s="126"/>
      <c r="B1243" s="126"/>
    </row>
    <row r="1244" spans="1:2" x14ac:dyDescent="0.2">
      <c r="A1244" s="126"/>
      <c r="B1244" s="126"/>
    </row>
    <row r="1245" spans="1:2" x14ac:dyDescent="0.2">
      <c r="A1245" s="126"/>
      <c r="B1245" s="126"/>
    </row>
    <row r="1246" spans="1:2" x14ac:dyDescent="0.2">
      <c r="A1246" s="126"/>
      <c r="B1246" s="126"/>
    </row>
    <row r="1247" spans="1:2" x14ac:dyDescent="0.2">
      <c r="A1247" s="126"/>
      <c r="B1247" s="126"/>
    </row>
    <row r="1248" spans="1:2" x14ac:dyDescent="0.2">
      <c r="A1248" s="126"/>
      <c r="B1248" s="126"/>
    </row>
    <row r="1249" spans="1:2" x14ac:dyDescent="0.2">
      <c r="A1249" s="126"/>
      <c r="B1249" s="126"/>
    </row>
    <row r="1250" spans="1:2" x14ac:dyDescent="0.2">
      <c r="A1250" s="126"/>
      <c r="B1250" s="126"/>
    </row>
    <row r="1251" spans="1:2" x14ac:dyDescent="0.2">
      <c r="A1251" s="126"/>
      <c r="B1251" s="126"/>
    </row>
    <row r="1252" spans="1:2" x14ac:dyDescent="0.2">
      <c r="A1252" s="126"/>
      <c r="B1252" s="126"/>
    </row>
    <row r="1253" spans="1:2" x14ac:dyDescent="0.2">
      <c r="A1253" s="126"/>
      <c r="B1253" s="126"/>
    </row>
    <row r="1254" spans="1:2" x14ac:dyDescent="0.2">
      <c r="A1254" s="126"/>
      <c r="B1254" s="126"/>
    </row>
    <row r="1255" spans="1:2" x14ac:dyDescent="0.2">
      <c r="A1255" s="126"/>
      <c r="B1255" s="126"/>
    </row>
    <row r="1256" spans="1:2" x14ac:dyDescent="0.2">
      <c r="A1256" s="126"/>
      <c r="B1256" s="126"/>
    </row>
    <row r="1257" spans="1:2" x14ac:dyDescent="0.2">
      <c r="A1257" s="126"/>
      <c r="B1257" s="126"/>
    </row>
    <row r="1258" spans="1:2" x14ac:dyDescent="0.2">
      <c r="A1258" s="126"/>
      <c r="B1258" s="126"/>
    </row>
    <row r="1259" spans="1:2" x14ac:dyDescent="0.2">
      <c r="A1259" s="126"/>
      <c r="B1259" s="126"/>
    </row>
    <row r="1260" spans="1:2" x14ac:dyDescent="0.2">
      <c r="A1260" s="126"/>
      <c r="B1260" s="126"/>
    </row>
    <row r="1261" spans="1:2" x14ac:dyDescent="0.2">
      <c r="A1261" s="126"/>
      <c r="B1261" s="126"/>
    </row>
    <row r="1262" spans="1:2" x14ac:dyDescent="0.2">
      <c r="A1262" s="126"/>
      <c r="B1262" s="126"/>
    </row>
    <row r="1263" spans="1:2" x14ac:dyDescent="0.2">
      <c r="A1263" s="126"/>
      <c r="B1263" s="126"/>
    </row>
    <row r="1264" spans="1:2" x14ac:dyDescent="0.2">
      <c r="A1264" s="126"/>
      <c r="B1264" s="126"/>
    </row>
    <row r="1265" spans="1:2" x14ac:dyDescent="0.2">
      <c r="A1265" s="126"/>
      <c r="B1265" s="126"/>
    </row>
    <row r="1266" spans="1:2" x14ac:dyDescent="0.2">
      <c r="A1266" s="126"/>
      <c r="B1266" s="126"/>
    </row>
    <row r="1267" spans="1:2" x14ac:dyDescent="0.2">
      <c r="A1267" s="126"/>
      <c r="B1267" s="126"/>
    </row>
    <row r="1268" spans="1:2" x14ac:dyDescent="0.2">
      <c r="A1268" s="126"/>
      <c r="B1268" s="126"/>
    </row>
    <row r="1269" spans="1:2" x14ac:dyDescent="0.2">
      <c r="A1269" s="126"/>
      <c r="B1269" s="126"/>
    </row>
    <row r="1270" spans="1:2" x14ac:dyDescent="0.2">
      <c r="A1270" s="126"/>
      <c r="B1270" s="126"/>
    </row>
    <row r="1271" spans="1:2" x14ac:dyDescent="0.2">
      <c r="A1271" s="126"/>
      <c r="B1271" s="126"/>
    </row>
    <row r="1272" spans="1:2" x14ac:dyDescent="0.2">
      <c r="A1272" s="126"/>
      <c r="B1272" s="126"/>
    </row>
    <row r="1273" spans="1:2" x14ac:dyDescent="0.2">
      <c r="A1273" s="126"/>
      <c r="B1273" s="126"/>
    </row>
    <row r="1274" spans="1:2" x14ac:dyDescent="0.2">
      <c r="A1274" s="126"/>
      <c r="B1274" s="126"/>
    </row>
    <row r="1275" spans="1:2" x14ac:dyDescent="0.2">
      <c r="A1275" s="126"/>
      <c r="B1275" s="126"/>
    </row>
    <row r="1276" spans="1:2" x14ac:dyDescent="0.2">
      <c r="A1276" s="126"/>
      <c r="B1276" s="126"/>
    </row>
    <row r="1277" spans="1:2" x14ac:dyDescent="0.2">
      <c r="A1277" s="126"/>
      <c r="B1277" s="126"/>
    </row>
    <row r="1278" spans="1:2" x14ac:dyDescent="0.2">
      <c r="A1278" s="126"/>
      <c r="B1278" s="126"/>
    </row>
    <row r="1279" spans="1:2" x14ac:dyDescent="0.2">
      <c r="A1279" s="126"/>
      <c r="B1279" s="126"/>
    </row>
    <row r="1280" spans="1:2" x14ac:dyDescent="0.2">
      <c r="A1280" s="126"/>
      <c r="B1280" s="126"/>
    </row>
    <row r="1281" spans="1:2" x14ac:dyDescent="0.2">
      <c r="A1281" s="126"/>
      <c r="B1281" s="126"/>
    </row>
    <row r="1282" spans="1:2" x14ac:dyDescent="0.2">
      <c r="A1282" s="126"/>
      <c r="B1282" s="126"/>
    </row>
    <row r="1283" spans="1:2" x14ac:dyDescent="0.2">
      <c r="A1283" s="126"/>
      <c r="B1283" s="126"/>
    </row>
    <row r="1284" spans="1:2" x14ac:dyDescent="0.2">
      <c r="A1284" s="126"/>
      <c r="B1284" s="126"/>
    </row>
    <row r="1285" spans="1:2" x14ac:dyDescent="0.2">
      <c r="A1285" s="126"/>
      <c r="B1285" s="126"/>
    </row>
    <row r="1286" spans="1:2" x14ac:dyDescent="0.2">
      <c r="A1286" s="126"/>
      <c r="B1286" s="126"/>
    </row>
    <row r="1287" spans="1:2" x14ac:dyDescent="0.2">
      <c r="A1287" s="126"/>
      <c r="B1287" s="126"/>
    </row>
    <row r="1288" spans="1:2" x14ac:dyDescent="0.2">
      <c r="A1288" s="126"/>
      <c r="B1288" s="126"/>
    </row>
    <row r="1289" spans="1:2" x14ac:dyDescent="0.2">
      <c r="A1289" s="126"/>
      <c r="B1289" s="126"/>
    </row>
    <row r="1290" spans="1:2" x14ac:dyDescent="0.2">
      <c r="A1290" s="126"/>
      <c r="B1290" s="126"/>
    </row>
    <row r="1291" spans="1:2" x14ac:dyDescent="0.2">
      <c r="A1291" s="126"/>
      <c r="B1291" s="126"/>
    </row>
    <row r="1292" spans="1:2" x14ac:dyDescent="0.2">
      <c r="A1292" s="126"/>
      <c r="B1292" s="126"/>
    </row>
    <row r="1293" spans="1:2" x14ac:dyDescent="0.2">
      <c r="A1293" s="126"/>
      <c r="B1293" s="126"/>
    </row>
    <row r="1294" spans="1:2" x14ac:dyDescent="0.2">
      <c r="A1294" s="126"/>
      <c r="B1294" s="126"/>
    </row>
    <row r="1295" spans="1:2" x14ac:dyDescent="0.2">
      <c r="A1295" s="126"/>
      <c r="B1295" s="126"/>
    </row>
    <row r="1296" spans="1:2" x14ac:dyDescent="0.2">
      <c r="A1296" s="126"/>
      <c r="B1296" s="126"/>
    </row>
    <row r="1297" spans="1:2" x14ac:dyDescent="0.2">
      <c r="A1297" s="126"/>
      <c r="B1297" s="126"/>
    </row>
    <row r="1298" spans="1:2" x14ac:dyDescent="0.2">
      <c r="A1298" s="126"/>
      <c r="B1298" s="126"/>
    </row>
    <row r="1299" spans="1:2" x14ac:dyDescent="0.2">
      <c r="A1299" s="126"/>
      <c r="B1299" s="126"/>
    </row>
    <row r="1300" spans="1:2" x14ac:dyDescent="0.2">
      <c r="A1300" s="126"/>
      <c r="B1300" s="126"/>
    </row>
    <row r="1301" spans="1:2" x14ac:dyDescent="0.2">
      <c r="A1301" s="126"/>
      <c r="B1301" s="126"/>
    </row>
    <row r="1302" spans="1:2" x14ac:dyDescent="0.2">
      <c r="A1302" s="126"/>
      <c r="B1302" s="126"/>
    </row>
    <row r="1303" spans="1:2" x14ac:dyDescent="0.2">
      <c r="A1303" s="126"/>
      <c r="B1303" s="126"/>
    </row>
    <row r="1304" spans="1:2" x14ac:dyDescent="0.2">
      <c r="A1304" s="126"/>
      <c r="B1304" s="126"/>
    </row>
    <row r="1305" spans="1:2" x14ac:dyDescent="0.2">
      <c r="A1305" s="126"/>
      <c r="B1305" s="126"/>
    </row>
    <row r="1306" spans="1:2" x14ac:dyDescent="0.2">
      <c r="A1306" s="126"/>
      <c r="B1306" s="126"/>
    </row>
    <row r="1307" spans="1:2" x14ac:dyDescent="0.2">
      <c r="A1307" s="126"/>
      <c r="B1307" s="126"/>
    </row>
    <row r="1308" spans="1:2" x14ac:dyDescent="0.2">
      <c r="A1308" s="126"/>
      <c r="B1308" s="126"/>
    </row>
    <row r="1309" spans="1:2" x14ac:dyDescent="0.2">
      <c r="A1309" s="126"/>
      <c r="B1309" s="126"/>
    </row>
    <row r="1310" spans="1:2" x14ac:dyDescent="0.2">
      <c r="A1310" s="126"/>
      <c r="B1310" s="126"/>
    </row>
    <row r="1311" spans="1:2" x14ac:dyDescent="0.2">
      <c r="A1311" s="126"/>
      <c r="B1311" s="126"/>
    </row>
    <row r="1312" spans="1:2" x14ac:dyDescent="0.2">
      <c r="A1312" s="126"/>
      <c r="B1312" s="126"/>
    </row>
    <row r="1313" spans="1:2" x14ac:dyDescent="0.2">
      <c r="A1313" s="126"/>
      <c r="B1313" s="126"/>
    </row>
    <row r="1314" spans="1:2" x14ac:dyDescent="0.2">
      <c r="A1314" s="126"/>
      <c r="B1314" s="126"/>
    </row>
    <row r="1315" spans="1:2" x14ac:dyDescent="0.2">
      <c r="A1315" s="126"/>
      <c r="B1315" s="126"/>
    </row>
    <row r="1316" spans="1:2" x14ac:dyDescent="0.2">
      <c r="A1316" s="126"/>
      <c r="B1316" s="126"/>
    </row>
    <row r="1317" spans="1:2" x14ac:dyDescent="0.2">
      <c r="A1317" s="126"/>
      <c r="B1317" s="126"/>
    </row>
    <row r="1318" spans="1:2" x14ac:dyDescent="0.2">
      <c r="A1318" s="126"/>
      <c r="B1318" s="126"/>
    </row>
    <row r="1319" spans="1:2" x14ac:dyDescent="0.2">
      <c r="A1319" s="126"/>
      <c r="B1319" s="126"/>
    </row>
    <row r="1320" spans="1:2" x14ac:dyDescent="0.2">
      <c r="A1320" s="126"/>
      <c r="B1320" s="126"/>
    </row>
    <row r="1321" spans="1:2" x14ac:dyDescent="0.2">
      <c r="A1321" s="126"/>
      <c r="B1321" s="126"/>
    </row>
    <row r="1322" spans="1:2" x14ac:dyDescent="0.2">
      <c r="A1322" s="126"/>
      <c r="B1322" s="126"/>
    </row>
    <row r="1323" spans="1:2" x14ac:dyDescent="0.2">
      <c r="A1323" s="126"/>
      <c r="B1323" s="126"/>
    </row>
    <row r="1324" spans="1:2" x14ac:dyDescent="0.2">
      <c r="A1324" s="126"/>
      <c r="B1324" s="126"/>
    </row>
    <row r="1325" spans="1:2" x14ac:dyDescent="0.2">
      <c r="A1325" s="126"/>
      <c r="B1325" s="126"/>
    </row>
    <row r="1326" spans="1:2" x14ac:dyDescent="0.2">
      <c r="A1326" s="126"/>
      <c r="B1326" s="126"/>
    </row>
    <row r="1327" spans="1:2" x14ac:dyDescent="0.2">
      <c r="A1327" s="126"/>
      <c r="B1327" s="126"/>
    </row>
    <row r="1328" spans="1:2" x14ac:dyDescent="0.2">
      <c r="A1328" s="126"/>
      <c r="B1328" s="126"/>
    </row>
    <row r="1329" spans="1:2" x14ac:dyDescent="0.2">
      <c r="A1329" s="126"/>
      <c r="B1329" s="126"/>
    </row>
    <row r="1330" spans="1:2" x14ac:dyDescent="0.2">
      <c r="A1330" s="126"/>
      <c r="B1330" s="126"/>
    </row>
    <row r="1331" spans="1:2" x14ac:dyDescent="0.2">
      <c r="A1331" s="126"/>
      <c r="B1331" s="126"/>
    </row>
    <row r="1332" spans="1:2" x14ac:dyDescent="0.2">
      <c r="A1332" s="126"/>
      <c r="B1332" s="126"/>
    </row>
    <row r="1333" spans="1:2" x14ac:dyDescent="0.2">
      <c r="A1333" s="126"/>
      <c r="B1333" s="126"/>
    </row>
    <row r="1334" spans="1:2" x14ac:dyDescent="0.2">
      <c r="A1334" s="126"/>
      <c r="B1334" s="126"/>
    </row>
    <row r="1335" spans="1:2" x14ac:dyDescent="0.2">
      <c r="A1335" s="126"/>
      <c r="B1335" s="126"/>
    </row>
    <row r="1336" spans="1:2" x14ac:dyDescent="0.2">
      <c r="A1336" s="126"/>
      <c r="B1336" s="126"/>
    </row>
    <row r="1337" spans="1:2" x14ac:dyDescent="0.2">
      <c r="A1337" s="126"/>
      <c r="B1337" s="126"/>
    </row>
    <row r="1338" spans="1:2" x14ac:dyDescent="0.2">
      <c r="A1338" s="126"/>
      <c r="B1338" s="126"/>
    </row>
    <row r="1339" spans="1:2" x14ac:dyDescent="0.2">
      <c r="A1339" s="126"/>
      <c r="B1339" s="126"/>
    </row>
    <row r="1340" spans="1:2" x14ac:dyDescent="0.2">
      <c r="A1340" s="126"/>
      <c r="B1340" s="126"/>
    </row>
    <row r="1341" spans="1:2" x14ac:dyDescent="0.2">
      <c r="A1341" s="126"/>
      <c r="B1341" s="126"/>
    </row>
    <row r="1342" spans="1:2" x14ac:dyDescent="0.2">
      <c r="A1342" s="126"/>
      <c r="B1342" s="126"/>
    </row>
    <row r="1343" spans="1:2" x14ac:dyDescent="0.2">
      <c r="A1343" s="126"/>
      <c r="B1343" s="126"/>
    </row>
    <row r="1344" spans="1:2" x14ac:dyDescent="0.2">
      <c r="A1344" s="126"/>
      <c r="B1344" s="126"/>
    </row>
    <row r="1345" spans="1:2" x14ac:dyDescent="0.2">
      <c r="A1345" s="126"/>
      <c r="B1345" s="126"/>
    </row>
    <row r="1346" spans="1:2" x14ac:dyDescent="0.2">
      <c r="A1346" s="126"/>
      <c r="B1346" s="126"/>
    </row>
    <row r="1347" spans="1:2" x14ac:dyDescent="0.2">
      <c r="A1347" s="126"/>
      <c r="B1347" s="126"/>
    </row>
    <row r="1348" spans="1:2" x14ac:dyDescent="0.2">
      <c r="A1348" s="126"/>
      <c r="B1348" s="126"/>
    </row>
    <row r="1349" spans="1:2" x14ac:dyDescent="0.2">
      <c r="A1349" s="126"/>
      <c r="B1349" s="126"/>
    </row>
    <row r="1350" spans="1:2" x14ac:dyDescent="0.2">
      <c r="A1350" s="126"/>
      <c r="B1350" s="126"/>
    </row>
    <row r="1351" spans="1:2" x14ac:dyDescent="0.2">
      <c r="A1351" s="126"/>
      <c r="B1351" s="126"/>
    </row>
    <row r="1352" spans="1:2" x14ac:dyDescent="0.2">
      <c r="A1352" s="126"/>
      <c r="B1352" s="126"/>
    </row>
    <row r="1353" spans="1:2" x14ac:dyDescent="0.2">
      <c r="A1353" s="126"/>
      <c r="B1353" s="126"/>
    </row>
    <row r="1354" spans="1:2" x14ac:dyDescent="0.2">
      <c r="A1354" s="126"/>
      <c r="B1354" s="126"/>
    </row>
    <row r="1355" spans="1:2" x14ac:dyDescent="0.2">
      <c r="A1355" s="126"/>
      <c r="B1355" s="126"/>
    </row>
    <row r="1356" spans="1:2" x14ac:dyDescent="0.2">
      <c r="A1356" s="126"/>
      <c r="B1356" s="126"/>
    </row>
    <row r="1357" spans="1:2" x14ac:dyDescent="0.2">
      <c r="A1357" s="126"/>
      <c r="B1357" s="126"/>
    </row>
    <row r="1358" spans="1:2" x14ac:dyDescent="0.2">
      <c r="A1358" s="126"/>
      <c r="B1358" s="126"/>
    </row>
    <row r="1359" spans="1:2" x14ac:dyDescent="0.2">
      <c r="A1359" s="126"/>
      <c r="B1359" s="126"/>
    </row>
    <row r="1360" spans="1:2" x14ac:dyDescent="0.2">
      <c r="A1360" s="126"/>
      <c r="B1360" s="126"/>
    </row>
    <row r="1361" spans="1:2" x14ac:dyDescent="0.2">
      <c r="A1361" s="126"/>
      <c r="B1361" s="126"/>
    </row>
    <row r="1362" spans="1:2" x14ac:dyDescent="0.2">
      <c r="A1362" s="126"/>
      <c r="B1362" s="126"/>
    </row>
    <row r="1363" spans="1:2" x14ac:dyDescent="0.2">
      <c r="A1363" s="126"/>
      <c r="B1363" s="126"/>
    </row>
    <row r="1364" spans="1:2" x14ac:dyDescent="0.2">
      <c r="A1364" s="126"/>
      <c r="B1364" s="126"/>
    </row>
    <row r="1365" spans="1:2" x14ac:dyDescent="0.2">
      <c r="A1365" s="126"/>
      <c r="B1365" s="126"/>
    </row>
    <row r="1366" spans="1:2" x14ac:dyDescent="0.2">
      <c r="A1366" s="126"/>
      <c r="B1366" s="126"/>
    </row>
    <row r="1367" spans="1:2" x14ac:dyDescent="0.2">
      <c r="A1367" s="126"/>
      <c r="B1367" s="126"/>
    </row>
    <row r="1368" spans="1:2" x14ac:dyDescent="0.2">
      <c r="A1368" s="126"/>
      <c r="B1368" s="126"/>
    </row>
    <row r="1369" spans="1:2" x14ac:dyDescent="0.2">
      <c r="A1369" s="126"/>
      <c r="B1369" s="126"/>
    </row>
    <row r="1370" spans="1:2" x14ac:dyDescent="0.2">
      <c r="A1370" s="126"/>
      <c r="B1370" s="126"/>
    </row>
    <row r="1371" spans="1:2" x14ac:dyDescent="0.2">
      <c r="A1371" s="126"/>
      <c r="B1371" s="126"/>
    </row>
    <row r="1372" spans="1:2" x14ac:dyDescent="0.2">
      <c r="A1372" s="126"/>
      <c r="B1372" s="126"/>
    </row>
    <row r="1373" spans="1:2" x14ac:dyDescent="0.2">
      <c r="A1373" s="126"/>
      <c r="B1373" s="126"/>
    </row>
    <row r="1374" spans="1:2" x14ac:dyDescent="0.2">
      <c r="A1374" s="126"/>
      <c r="B1374" s="126"/>
    </row>
    <row r="1375" spans="1:2" x14ac:dyDescent="0.2">
      <c r="A1375" s="126"/>
      <c r="B1375" s="126"/>
    </row>
    <row r="1376" spans="1:2" x14ac:dyDescent="0.2">
      <c r="A1376" s="126"/>
      <c r="B1376" s="126"/>
    </row>
    <row r="1377" spans="1:2" x14ac:dyDescent="0.2">
      <c r="A1377" s="126"/>
      <c r="B1377" s="126"/>
    </row>
    <row r="1378" spans="1:2" x14ac:dyDescent="0.2">
      <c r="A1378" s="126"/>
      <c r="B1378" s="126"/>
    </row>
    <row r="1379" spans="1:2" x14ac:dyDescent="0.2">
      <c r="A1379" s="126"/>
      <c r="B1379" s="126"/>
    </row>
    <row r="1380" spans="1:2" x14ac:dyDescent="0.2">
      <c r="A1380" s="126"/>
      <c r="B1380" s="126"/>
    </row>
    <row r="1381" spans="1:2" x14ac:dyDescent="0.2">
      <c r="A1381" s="126"/>
      <c r="B1381" s="126"/>
    </row>
    <row r="1382" spans="1:2" x14ac:dyDescent="0.2">
      <c r="A1382" s="126"/>
      <c r="B1382" s="126"/>
    </row>
    <row r="1383" spans="1:2" x14ac:dyDescent="0.2">
      <c r="A1383" s="126"/>
      <c r="B1383" s="126"/>
    </row>
    <row r="1384" spans="1:2" x14ac:dyDescent="0.2">
      <c r="A1384" s="126"/>
      <c r="B1384" s="126"/>
    </row>
    <row r="1385" spans="1:2" x14ac:dyDescent="0.2">
      <c r="A1385" s="126"/>
      <c r="B1385" s="126"/>
    </row>
    <row r="1386" spans="1:2" x14ac:dyDescent="0.2">
      <c r="A1386" s="126"/>
      <c r="B1386" s="126"/>
    </row>
    <row r="1387" spans="1:2" x14ac:dyDescent="0.2">
      <c r="A1387" s="126"/>
      <c r="B1387" s="126"/>
    </row>
    <row r="1388" spans="1:2" x14ac:dyDescent="0.2">
      <c r="A1388" s="126"/>
      <c r="B1388" s="126"/>
    </row>
    <row r="1389" spans="1:2" x14ac:dyDescent="0.2">
      <c r="A1389" s="126"/>
      <c r="B1389" s="126"/>
    </row>
    <row r="1390" spans="1:2" x14ac:dyDescent="0.2">
      <c r="A1390" s="126"/>
      <c r="B1390" s="126"/>
    </row>
    <row r="1391" spans="1:2" x14ac:dyDescent="0.2">
      <c r="A1391" s="126"/>
      <c r="B1391" s="126"/>
    </row>
    <row r="1392" spans="1:2" x14ac:dyDescent="0.2">
      <c r="A1392" s="126"/>
      <c r="B1392" s="126"/>
    </row>
    <row r="1393" spans="1:2" x14ac:dyDescent="0.2">
      <c r="A1393" s="126"/>
      <c r="B1393" s="126"/>
    </row>
    <row r="1394" spans="1:2" x14ac:dyDescent="0.2">
      <c r="A1394" s="126"/>
      <c r="B1394" s="126"/>
    </row>
    <row r="1395" spans="1:2" x14ac:dyDescent="0.2">
      <c r="A1395" s="126"/>
      <c r="B1395" s="126"/>
    </row>
    <row r="1396" spans="1:2" x14ac:dyDescent="0.2">
      <c r="A1396" s="126"/>
      <c r="B1396" s="126"/>
    </row>
    <row r="1397" spans="1:2" x14ac:dyDescent="0.2">
      <c r="A1397" s="126"/>
      <c r="B1397" s="126"/>
    </row>
    <row r="1398" spans="1:2" x14ac:dyDescent="0.2">
      <c r="A1398" s="126"/>
      <c r="B1398" s="126"/>
    </row>
    <row r="1399" spans="1:2" x14ac:dyDescent="0.2">
      <c r="A1399" s="126"/>
      <c r="B1399" s="126"/>
    </row>
    <row r="1400" spans="1:2" x14ac:dyDescent="0.2">
      <c r="A1400" s="126"/>
      <c r="B1400" s="126"/>
    </row>
    <row r="1401" spans="1:2" x14ac:dyDescent="0.2">
      <c r="A1401" s="126"/>
      <c r="B1401" s="126"/>
    </row>
    <row r="1402" spans="1:2" x14ac:dyDescent="0.2">
      <c r="A1402" s="126"/>
      <c r="B1402" s="126"/>
    </row>
    <row r="1403" spans="1:2" x14ac:dyDescent="0.2">
      <c r="A1403" s="126"/>
      <c r="B1403" s="126"/>
    </row>
    <row r="1404" spans="1:2" x14ac:dyDescent="0.2">
      <c r="A1404" s="126"/>
      <c r="B1404" s="126"/>
    </row>
    <row r="1405" spans="1:2" x14ac:dyDescent="0.2">
      <c r="A1405" s="126"/>
      <c r="B1405" s="126"/>
    </row>
    <row r="1406" spans="1:2" x14ac:dyDescent="0.2">
      <c r="A1406" s="126"/>
      <c r="B1406" s="126"/>
    </row>
    <row r="1407" spans="1:2" x14ac:dyDescent="0.2">
      <c r="A1407" s="126"/>
      <c r="B1407" s="126"/>
    </row>
    <row r="1408" spans="1:2" x14ac:dyDescent="0.2">
      <c r="A1408" s="126"/>
      <c r="B1408" s="126"/>
    </row>
    <row r="1409" spans="1:2" x14ac:dyDescent="0.2">
      <c r="A1409" s="126"/>
      <c r="B1409" s="126"/>
    </row>
    <row r="1410" spans="1:2" x14ac:dyDescent="0.2">
      <c r="A1410" s="126"/>
      <c r="B1410" s="126"/>
    </row>
    <row r="1411" spans="1:2" x14ac:dyDescent="0.2">
      <c r="A1411" s="126"/>
      <c r="B1411" s="126"/>
    </row>
    <row r="1412" spans="1:2" x14ac:dyDescent="0.2">
      <c r="A1412" s="126"/>
      <c r="B1412" s="126"/>
    </row>
    <row r="1413" spans="1:2" x14ac:dyDescent="0.2">
      <c r="A1413" s="126"/>
      <c r="B1413" s="126"/>
    </row>
    <row r="1414" spans="1:2" x14ac:dyDescent="0.2">
      <c r="A1414" s="126"/>
      <c r="B1414" s="126"/>
    </row>
    <row r="1415" spans="1:2" x14ac:dyDescent="0.2">
      <c r="A1415" s="126"/>
      <c r="B1415" s="126"/>
    </row>
    <row r="1416" spans="1:2" x14ac:dyDescent="0.2">
      <c r="A1416" s="126"/>
      <c r="B1416" s="126"/>
    </row>
    <row r="1417" spans="1:2" x14ac:dyDescent="0.2">
      <c r="A1417" s="126"/>
      <c r="B1417" s="126"/>
    </row>
    <row r="1418" spans="1:2" x14ac:dyDescent="0.2">
      <c r="A1418" s="126"/>
      <c r="B1418" s="126"/>
    </row>
    <row r="1419" spans="1:2" x14ac:dyDescent="0.2">
      <c r="A1419" s="126"/>
      <c r="B1419" s="126"/>
    </row>
    <row r="1420" spans="1:2" x14ac:dyDescent="0.2">
      <c r="A1420" s="126"/>
      <c r="B1420" s="126"/>
    </row>
    <row r="1421" spans="1:2" x14ac:dyDescent="0.2">
      <c r="A1421" s="126"/>
      <c r="B1421" s="126"/>
    </row>
    <row r="1422" spans="1:2" x14ac:dyDescent="0.2">
      <c r="A1422" s="126"/>
      <c r="B1422" s="126"/>
    </row>
    <row r="1423" spans="1:2" x14ac:dyDescent="0.2">
      <c r="A1423" s="126"/>
      <c r="B1423" s="126"/>
    </row>
    <row r="1424" spans="1:2" x14ac:dyDescent="0.2">
      <c r="A1424" s="126"/>
      <c r="B1424" s="126"/>
    </row>
    <row r="1425" spans="1:7" x14ac:dyDescent="0.2">
      <c r="A1425" s="126"/>
      <c r="B1425" s="126"/>
    </row>
    <row r="1426" spans="1:7" x14ac:dyDescent="0.2">
      <c r="A1426" s="126"/>
      <c r="B1426" s="126"/>
    </row>
    <row r="1427" spans="1:7" x14ac:dyDescent="0.2">
      <c r="A1427" s="126"/>
      <c r="B1427" s="126"/>
    </row>
    <row r="1428" spans="1:7" x14ac:dyDescent="0.2">
      <c r="A1428" s="126"/>
      <c r="B1428" s="126"/>
    </row>
    <row r="1429" spans="1:7" x14ac:dyDescent="0.2">
      <c r="A1429" s="126"/>
      <c r="B1429" s="126"/>
    </row>
    <row r="1430" spans="1:7" x14ac:dyDescent="0.2">
      <c r="A1430" s="126"/>
      <c r="B1430" s="126"/>
    </row>
    <row r="1431" spans="1:7" x14ac:dyDescent="0.2">
      <c r="A1431" s="126"/>
      <c r="B1431" s="126"/>
    </row>
    <row r="1432" spans="1:7" x14ac:dyDescent="0.2">
      <c r="A1432" s="126"/>
      <c r="B1432" s="126"/>
    </row>
    <row r="1433" spans="1:7" x14ac:dyDescent="0.2">
      <c r="A1433" s="126"/>
      <c r="B1433" s="126"/>
    </row>
    <row r="1434" spans="1:7" x14ac:dyDescent="0.2">
      <c r="A1434" s="126"/>
      <c r="B1434" s="126"/>
    </row>
    <row r="1435" spans="1:7" x14ac:dyDescent="0.2">
      <c r="A1435" s="126"/>
      <c r="B1435" s="126"/>
    </row>
    <row r="1436" spans="1:7" x14ac:dyDescent="0.2">
      <c r="A1436" s="126"/>
      <c r="B1436" s="126"/>
    </row>
    <row r="1437" spans="1:7" x14ac:dyDescent="0.2">
      <c r="A1437" s="126"/>
      <c r="B1437" s="126"/>
    </row>
    <row r="1438" spans="1:7" x14ac:dyDescent="0.2">
      <c r="A1438" s="131"/>
      <c r="B1438" s="131"/>
      <c r="C1438" s="149"/>
      <c r="D1438" s="150"/>
      <c r="G1438" s="19"/>
    </row>
    <row r="1439" spans="1:7" x14ac:dyDescent="0.2"/>
    <row r="1440" spans="1:7" x14ac:dyDescent="0.2"/>
    <row r="1441" x14ac:dyDescent="0.2"/>
    <row r="1442" x14ac:dyDescent="0.2"/>
    <row r="1443" x14ac:dyDescent="0.2"/>
    <row r="1444" x14ac:dyDescent="0.2"/>
    <row r="1445" x14ac:dyDescent="0.2"/>
    <row r="1446" x14ac:dyDescent="0.2"/>
    <row r="1447" x14ac:dyDescent="0.2"/>
    <row r="1448" x14ac:dyDescent="0.2"/>
    <row r="1449" x14ac:dyDescent="0.2"/>
    <row r="1450" x14ac:dyDescent="0.2"/>
    <row r="1451" x14ac:dyDescent="0.2"/>
    <row r="1452" x14ac:dyDescent="0.2"/>
    <row r="1453" x14ac:dyDescent="0.2"/>
    <row r="1454" x14ac:dyDescent="0.2"/>
    <row r="1455" x14ac:dyDescent="0.2"/>
    <row r="1456" x14ac:dyDescent="0.2"/>
    <row r="1457" x14ac:dyDescent="0.2"/>
    <row r="1458" x14ac:dyDescent="0.2"/>
    <row r="1459" x14ac:dyDescent="0.2"/>
    <row r="1460" x14ac:dyDescent="0.2"/>
    <row r="1461" x14ac:dyDescent="0.2"/>
    <row r="1462" x14ac:dyDescent="0.2"/>
    <row r="1463" x14ac:dyDescent="0.2"/>
    <row r="1464" x14ac:dyDescent="0.2"/>
    <row r="1465" x14ac:dyDescent="0.2"/>
    <row r="1466" x14ac:dyDescent="0.2"/>
    <row r="1467" x14ac:dyDescent="0.2"/>
    <row r="1468" x14ac:dyDescent="0.2"/>
    <row r="1469" x14ac:dyDescent="0.2"/>
    <row r="1470" x14ac:dyDescent="0.2"/>
    <row r="1471" x14ac:dyDescent="0.2"/>
    <row r="1472" x14ac:dyDescent="0.2"/>
    <row r="1473" x14ac:dyDescent="0.2"/>
    <row r="1474" x14ac:dyDescent="0.2"/>
    <row r="1475" x14ac:dyDescent="0.2"/>
    <row r="1476" x14ac:dyDescent="0.2"/>
    <row r="1477" x14ac:dyDescent="0.2"/>
    <row r="1478" x14ac:dyDescent="0.2"/>
    <row r="1479" x14ac:dyDescent="0.2"/>
    <row r="1480" x14ac:dyDescent="0.2"/>
    <row r="1481" x14ac:dyDescent="0.2"/>
    <row r="1482" x14ac:dyDescent="0.2"/>
    <row r="1483" x14ac:dyDescent="0.2"/>
    <row r="1484" x14ac:dyDescent="0.2"/>
    <row r="1485" x14ac:dyDescent="0.2"/>
    <row r="1486" x14ac:dyDescent="0.2"/>
    <row r="1487" x14ac:dyDescent="0.2"/>
    <row r="1488" x14ac:dyDescent="0.2"/>
    <row r="1489" x14ac:dyDescent="0.2"/>
    <row r="1490" x14ac:dyDescent="0.2"/>
    <row r="1491" x14ac:dyDescent="0.2"/>
    <row r="1492" x14ac:dyDescent="0.2"/>
    <row r="1493" x14ac:dyDescent="0.2"/>
    <row r="1494" x14ac:dyDescent="0.2"/>
    <row r="1495" x14ac:dyDescent="0.2"/>
    <row r="1496" x14ac:dyDescent="0.2"/>
    <row r="1497" x14ac:dyDescent="0.2"/>
    <row r="1498" x14ac:dyDescent="0.2"/>
    <row r="1499" x14ac:dyDescent="0.2"/>
    <row r="1500" x14ac:dyDescent="0.2"/>
    <row r="1501" x14ac:dyDescent="0.2"/>
    <row r="1502" x14ac:dyDescent="0.2"/>
    <row r="1503" x14ac:dyDescent="0.2"/>
    <row r="1504" x14ac:dyDescent="0.2"/>
    <row r="1505" x14ac:dyDescent="0.2"/>
    <row r="1506" x14ac:dyDescent="0.2"/>
    <row r="1507" x14ac:dyDescent="0.2"/>
    <row r="1508" x14ac:dyDescent="0.2"/>
  </sheetData>
  <sheetProtection password="E966" sheet="1" objects="1" scenarios="1"/>
  <sortState ref="A4:H670">
    <sortCondition ref="B4:B670"/>
  </sortState>
  <mergeCells count="1">
    <mergeCell ref="A1:G1"/>
  </mergeCells>
  <conditionalFormatting sqref="A865:B865">
    <cfRule type="duplicateValues" dxfId="9" priority="7"/>
  </conditionalFormatting>
  <conditionalFormatting sqref="A588:A589">
    <cfRule type="duplicateValues" dxfId="8" priority="6"/>
  </conditionalFormatting>
  <conditionalFormatting sqref="A603:A604">
    <cfRule type="duplicateValues" dxfId="7" priority="5"/>
  </conditionalFormatting>
  <conditionalFormatting sqref="A293">
    <cfRule type="duplicateValues" dxfId="6" priority="4"/>
  </conditionalFormatting>
  <conditionalFormatting sqref="A425:A426">
    <cfRule type="duplicateValues" dxfId="5" priority="3"/>
  </conditionalFormatting>
  <conditionalFormatting sqref="A1442:A1048576 A330 A318">
    <cfRule type="duplicateValues" dxfId="4" priority="71"/>
  </conditionalFormatting>
  <conditionalFormatting sqref="A3">
    <cfRule type="duplicateValues" dxfId="3" priority="74"/>
  </conditionalFormatting>
  <conditionalFormatting sqref="A590:A602 A294:A317 A319:A329 A4:A181 A203:A292 A331:A424 A185:A201 A605:A864 A427:A587">
    <cfRule type="duplicateValues" dxfId="2" priority="142"/>
  </conditionalFormatting>
  <conditionalFormatting sqref="A4:A201 A203:A865">
    <cfRule type="duplicateValues" dxfId="1" priority="162"/>
  </conditionalFormatting>
  <conditionalFormatting sqref="A4:A201 A203:A864">
    <cfRule type="duplicateValues" dxfId="0" priority="177"/>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52"/>
  <sheetViews>
    <sheetView workbookViewId="0">
      <selection activeCell="I26" sqref="I26"/>
    </sheetView>
  </sheetViews>
  <sheetFormatPr defaultColWidth="9" defaultRowHeight="15" x14ac:dyDescent="0.25"/>
  <cols>
    <col min="1" max="1" width="21" style="5" bestFit="1" customWidth="1"/>
    <col min="2" max="2" width="17.85546875" style="5" bestFit="1" customWidth="1"/>
    <col min="3" max="3" width="19.7109375" style="5" customWidth="1"/>
    <col min="4" max="4" width="26.28515625" style="5" bestFit="1" customWidth="1"/>
    <col min="5" max="5" width="9" style="5"/>
    <col min="6" max="6" width="8.28515625" style="5" customWidth="1"/>
    <col min="7" max="7" width="9" style="5" customWidth="1"/>
    <col min="8" max="16384" width="9" style="5"/>
  </cols>
  <sheetData>
    <row r="1" spans="1:4" x14ac:dyDescent="0.25">
      <c r="A1" s="483" t="s">
        <v>2433</v>
      </c>
      <c r="B1" s="483"/>
      <c r="C1" s="483"/>
      <c r="D1" s="6"/>
    </row>
    <row r="2" spans="1:4" x14ac:dyDescent="0.25">
      <c r="A2" s="79" t="s">
        <v>2380</v>
      </c>
      <c r="B2" s="80" t="s">
        <v>2432</v>
      </c>
      <c r="C2" s="79">
        <f>C4-C3</f>
        <v>495</v>
      </c>
      <c r="D2" s="6"/>
    </row>
    <row r="3" spans="1:4" x14ac:dyDescent="0.25">
      <c r="A3" s="79" t="s">
        <v>2379</v>
      </c>
      <c r="B3" s="80" t="s">
        <v>2381</v>
      </c>
      <c r="C3" s="79">
        <f>validation2</f>
        <v>3320</v>
      </c>
      <c r="D3" s="6"/>
    </row>
    <row r="4" spans="1:4" x14ac:dyDescent="0.25">
      <c r="A4" s="81" t="s">
        <v>5</v>
      </c>
      <c r="B4" s="82" t="s">
        <v>2382</v>
      </c>
      <c r="C4" s="79">
        <f>validation1</f>
        <v>3815</v>
      </c>
      <c r="D4" s="6"/>
    </row>
    <row r="5" spans="1:4" x14ac:dyDescent="0.25">
      <c r="A5" s="7"/>
      <c r="B5" s="7"/>
      <c r="C5" s="7"/>
    </row>
    <row r="6" spans="1:4" x14ac:dyDescent="0.25">
      <c r="A6" s="483" t="s">
        <v>2434</v>
      </c>
      <c r="B6" s="483"/>
      <c r="C6" s="483"/>
    </row>
    <row r="7" spans="1:4" x14ac:dyDescent="0.25">
      <c r="A7" s="79" t="s">
        <v>2389</v>
      </c>
      <c r="B7" s="84" t="s">
        <v>2444</v>
      </c>
      <c r="C7" s="79">
        <f>ART_2!K20-ART_2!K45</f>
        <v>2</v>
      </c>
      <c r="D7" s="6"/>
    </row>
    <row r="8" spans="1:4" x14ac:dyDescent="0.25">
      <c r="A8" s="79" t="s">
        <v>2384</v>
      </c>
      <c r="B8" s="83" t="s">
        <v>2385</v>
      </c>
      <c r="C8" s="79">
        <f>ART_2!K12</f>
        <v>138</v>
      </c>
    </row>
    <row r="9" spans="1:4" x14ac:dyDescent="0.25">
      <c r="A9" s="79" t="s">
        <v>2383</v>
      </c>
      <c r="B9" s="83" t="s">
        <v>2386</v>
      </c>
      <c r="C9" s="79">
        <f>ART_2!K14</f>
        <v>64</v>
      </c>
    </row>
    <row r="10" spans="1:4" x14ac:dyDescent="0.25">
      <c r="A10" s="79" t="s">
        <v>2388</v>
      </c>
      <c r="B10" s="83" t="s">
        <v>2387</v>
      </c>
      <c r="C10" s="79">
        <f>ART_2!K16</f>
        <v>2</v>
      </c>
      <c r="D10" s="6"/>
    </row>
    <row r="11" spans="1:4" x14ac:dyDescent="0.25">
      <c r="A11" s="79" t="s">
        <v>2390</v>
      </c>
      <c r="B11" s="83" t="s">
        <v>2391</v>
      </c>
      <c r="C11" s="79">
        <f>ART_2!K19</f>
        <v>126</v>
      </c>
      <c r="D11" s="6"/>
    </row>
    <row r="12" spans="1:4" x14ac:dyDescent="0.25">
      <c r="A12" s="81" t="s">
        <v>5</v>
      </c>
      <c r="B12" s="85" t="s">
        <v>2432</v>
      </c>
      <c r="C12" s="79">
        <f>SUM(C7:C11)</f>
        <v>332</v>
      </c>
      <c r="D12" s="86" t="s">
        <v>2445</v>
      </c>
    </row>
    <row r="13" spans="1:4" x14ac:dyDescent="0.25">
      <c r="A13" s="7"/>
      <c r="B13" s="7"/>
      <c r="C13" s="7"/>
    </row>
    <row r="14" spans="1:4" x14ac:dyDescent="0.25">
      <c r="A14" s="487" t="s">
        <v>2436</v>
      </c>
      <c r="B14" s="488"/>
      <c r="C14" s="489"/>
    </row>
    <row r="15" spans="1:4" x14ac:dyDescent="0.25">
      <c r="A15" s="79" t="s">
        <v>2399</v>
      </c>
      <c r="B15" s="84" t="s">
        <v>2392</v>
      </c>
      <c r="C15" s="79">
        <f>ART_2!K45</f>
        <v>2068</v>
      </c>
    </row>
    <row r="16" spans="1:4" x14ac:dyDescent="0.25">
      <c r="A16" s="79" t="s">
        <v>2384</v>
      </c>
      <c r="B16" s="83" t="s">
        <v>2395</v>
      </c>
      <c r="C16" s="79">
        <f>ART_2!K40</f>
        <v>675</v>
      </c>
    </row>
    <row r="17" spans="1:11" x14ac:dyDescent="0.25">
      <c r="A17" s="79" t="s">
        <v>2393</v>
      </c>
      <c r="B17" s="83" t="s">
        <v>2396</v>
      </c>
      <c r="C17" s="79">
        <f>ART_2!K41</f>
        <v>0</v>
      </c>
    </row>
    <row r="18" spans="1:11" x14ac:dyDescent="0.25">
      <c r="A18" s="79" t="s">
        <v>2394</v>
      </c>
      <c r="B18" s="83" t="s">
        <v>2397</v>
      </c>
      <c r="C18" s="79">
        <f>ART_2!K42</f>
        <v>18</v>
      </c>
    </row>
    <row r="19" spans="1:11" x14ac:dyDescent="0.25">
      <c r="A19" s="79" t="s">
        <v>2383</v>
      </c>
      <c r="B19" s="84" t="s">
        <v>2398</v>
      </c>
      <c r="C19" s="79">
        <f>ART_2!K43</f>
        <v>433</v>
      </c>
    </row>
    <row r="20" spans="1:11" x14ac:dyDescent="0.25">
      <c r="A20" s="81" t="s">
        <v>5</v>
      </c>
      <c r="B20" s="85" t="s">
        <v>2381</v>
      </c>
      <c r="C20" s="79">
        <f>SUM(C15:C19)</f>
        <v>3194</v>
      </c>
      <c r="D20" s="86" t="s">
        <v>2400</v>
      </c>
    </row>
    <row r="21" spans="1:11" x14ac:dyDescent="0.25">
      <c r="A21" s="87"/>
      <c r="B21" s="87"/>
      <c r="C21" s="87"/>
    </row>
    <row r="22" spans="1:11" x14ac:dyDescent="0.25">
      <c r="A22" s="101"/>
      <c r="B22" s="101"/>
      <c r="C22" s="101"/>
      <c r="K22" s="6"/>
    </row>
    <row r="23" spans="1:11" x14ac:dyDescent="0.25">
      <c r="C23" s="97"/>
      <c r="D23" s="490" t="s">
        <v>2422</v>
      </c>
      <c r="E23" s="491"/>
      <c r="F23" s="492"/>
      <c r="K23" s="6"/>
    </row>
    <row r="24" spans="1:11" x14ac:dyDescent="0.25">
      <c r="A24" s="95" t="s">
        <v>2404</v>
      </c>
      <c r="B24" s="96">
        <f>ART_2!K21</f>
        <v>129</v>
      </c>
      <c r="C24" s="98"/>
      <c r="D24" s="104"/>
      <c r="E24" s="104"/>
      <c r="F24" s="104"/>
      <c r="G24" s="6"/>
      <c r="K24" s="6"/>
    </row>
    <row r="25" spans="1:11" x14ac:dyDescent="0.25">
      <c r="A25" s="95" t="s">
        <v>2405</v>
      </c>
      <c r="B25" s="96">
        <f>ART_2!K22</f>
        <v>114</v>
      </c>
      <c r="C25" s="98"/>
      <c r="D25" s="102" t="s">
        <v>2410</v>
      </c>
      <c r="E25" s="103"/>
      <c r="F25" s="102">
        <f>B25/B24</f>
        <v>0.88372093023255816</v>
      </c>
      <c r="G25" s="6"/>
      <c r="K25" s="6"/>
    </row>
    <row r="26" spans="1:11" x14ac:dyDescent="0.25">
      <c r="A26" s="95" t="s">
        <v>2406</v>
      </c>
      <c r="B26" s="96">
        <f>ART_2!K23</f>
        <v>129</v>
      </c>
      <c r="C26" s="97"/>
      <c r="D26" s="90"/>
      <c r="E26" s="90"/>
      <c r="F26" s="90"/>
      <c r="K26" s="6"/>
    </row>
    <row r="27" spans="1:11" x14ac:dyDescent="0.25">
      <c r="A27" s="95" t="s">
        <v>2407</v>
      </c>
      <c r="B27" s="96">
        <f>ART_2!K24</f>
        <v>123</v>
      </c>
      <c r="C27" s="97"/>
      <c r="D27" s="91"/>
      <c r="E27" s="91"/>
      <c r="F27" s="91"/>
      <c r="K27" s="6"/>
    </row>
    <row r="28" spans="1:11" x14ac:dyDescent="0.25">
      <c r="A28" s="95" t="s">
        <v>2409</v>
      </c>
      <c r="B28" s="96">
        <f>ART_2!K28</f>
        <v>4</v>
      </c>
      <c r="C28" s="98"/>
      <c r="D28" s="94" t="s">
        <v>2411</v>
      </c>
      <c r="E28" s="94"/>
      <c r="F28" s="93">
        <f>B26/B24</f>
        <v>1</v>
      </c>
      <c r="G28" s="6"/>
      <c r="K28" s="6"/>
    </row>
    <row r="29" spans="1:11" x14ac:dyDescent="0.25">
      <c r="A29" s="95" t="s">
        <v>2408</v>
      </c>
      <c r="B29" s="96">
        <f>ART_2!K29</f>
        <v>113</v>
      </c>
      <c r="C29" s="97"/>
      <c r="D29" s="90"/>
      <c r="E29" s="90"/>
      <c r="F29" s="90"/>
      <c r="G29" s="486"/>
      <c r="H29" s="486"/>
      <c r="I29" s="486"/>
      <c r="J29" s="89"/>
      <c r="K29" s="6"/>
    </row>
    <row r="30" spans="1:11" x14ac:dyDescent="0.25">
      <c r="A30" s="117"/>
      <c r="B30" s="117"/>
      <c r="C30" s="99"/>
      <c r="D30" s="92"/>
      <c r="E30" s="92"/>
      <c r="F30" s="92"/>
      <c r="G30" s="7"/>
      <c r="H30" s="7"/>
      <c r="I30" s="7"/>
      <c r="J30" s="7"/>
    </row>
    <row r="31" spans="1:11" x14ac:dyDescent="0.25">
      <c r="A31" s="95"/>
      <c r="B31" s="95"/>
      <c r="C31" s="88"/>
      <c r="D31" s="94" t="s">
        <v>2412</v>
      </c>
      <c r="E31" s="94"/>
      <c r="F31" s="93">
        <f>B27/B26</f>
        <v>0.95348837209302328</v>
      </c>
      <c r="G31" s="6"/>
    </row>
    <row r="32" spans="1:11" x14ac:dyDescent="0.25">
      <c r="A32" s="105"/>
      <c r="B32" s="105"/>
      <c r="D32" s="90"/>
      <c r="E32" s="90"/>
      <c r="F32" s="90"/>
    </row>
    <row r="33" spans="1:11" x14ac:dyDescent="0.25">
      <c r="D33" s="91"/>
      <c r="E33" s="91"/>
      <c r="F33" s="91"/>
    </row>
    <row r="34" spans="1:11" x14ac:dyDescent="0.25">
      <c r="C34" s="88"/>
      <c r="D34" s="94" t="s">
        <v>2413</v>
      </c>
      <c r="E34" s="94"/>
      <c r="F34" s="93">
        <f>B29/(B27-B28)</f>
        <v>0.94957983193277307</v>
      </c>
      <c r="G34" s="6"/>
    </row>
    <row r="35" spans="1:11" x14ac:dyDescent="0.25">
      <c r="D35" s="7"/>
      <c r="E35" s="7"/>
      <c r="F35" s="7"/>
    </row>
    <row r="36" spans="1:11" x14ac:dyDescent="0.25">
      <c r="A36" s="87"/>
      <c r="B36" s="87"/>
      <c r="C36" s="87"/>
      <c r="D36" s="87"/>
    </row>
    <row r="37" spans="1:11" x14ac:dyDescent="0.25">
      <c r="A37" s="483" t="s">
        <v>2426</v>
      </c>
      <c r="B37" s="483"/>
      <c r="C37" s="483"/>
      <c r="D37" s="484"/>
      <c r="E37" s="6"/>
    </row>
    <row r="38" spans="1:11" ht="30" x14ac:dyDescent="0.25">
      <c r="A38" s="109" t="s">
        <v>2424</v>
      </c>
      <c r="B38" s="121" t="s">
        <v>2425</v>
      </c>
      <c r="C38" s="122" t="s">
        <v>2427</v>
      </c>
      <c r="D38" s="108" t="s">
        <v>2428</v>
      </c>
      <c r="E38" s="6"/>
      <c r="F38" s="87"/>
      <c r="G38" s="87"/>
      <c r="H38" s="87"/>
      <c r="I38" s="107"/>
      <c r="J38" s="87"/>
    </row>
    <row r="39" spans="1:11" x14ac:dyDescent="0.25">
      <c r="A39" s="79" t="s">
        <v>1</v>
      </c>
      <c r="B39" s="113">
        <f>(ART_2!$F$14+ART_2!F19)/(ART_2!$F$11-ART_2!$F$12-ART_2!$F$39)</f>
        <v>0.65800865800865804</v>
      </c>
      <c r="C39" s="114">
        <f>ART_2!F43/(ART_2!F39-ART_2!F40)</f>
        <v>0.16860787576261785</v>
      </c>
      <c r="D39" s="115">
        <f>ART_2!F26/(ART_2!F24-ART_2!F25-ART_2!F28)</f>
        <v>3.4090909090909088E-2</v>
      </c>
      <c r="E39" s="111"/>
      <c r="K39" s="6"/>
    </row>
    <row r="40" spans="1:11" x14ac:dyDescent="0.25">
      <c r="A40" s="79" t="s">
        <v>2</v>
      </c>
      <c r="B40" s="113">
        <f>(ART_2!$G$14+ART_2!G19)/(ART_2!$G$11-ART_2!$G$12-ART_2!$G$39)</f>
        <v>0.26126126126126126</v>
      </c>
      <c r="C40" s="114">
        <f>ART_2!$G$43/(ART_2!$G$39-ART_2!$G$40)</f>
        <v>0.14781491002570693</v>
      </c>
      <c r="D40" s="115">
        <f>ART_2!$G$26/(ART_2!$G$24-ART_2!$G$25-ART_2!G28)</f>
        <v>3.4482758620689655E-2</v>
      </c>
      <c r="E40" s="111"/>
      <c r="K40" s="6"/>
    </row>
    <row r="41" spans="1:11" x14ac:dyDescent="0.25">
      <c r="A41" s="79" t="s">
        <v>3</v>
      </c>
      <c r="B41" s="113">
        <f>(ART_2!$H$14+ART_2!H19)/(ART_2!$H$11-ART_2!$H$12-ART_2!$H$39)</f>
        <v>1</v>
      </c>
      <c r="C41" s="114">
        <f>ART_2!$H$43/(ART_2!$H$39-ART_2!$H$40)</f>
        <v>0.27027027027027029</v>
      </c>
      <c r="D41" s="115">
        <f>ART_2!$H$26/(ART_2!$H$24-ART_2!$H$25-ART_2!H28)</f>
        <v>0</v>
      </c>
      <c r="E41" s="111"/>
      <c r="K41" s="6"/>
    </row>
    <row r="42" spans="1:11" x14ac:dyDescent="0.25">
      <c r="A42" s="79" t="s">
        <v>2402</v>
      </c>
      <c r="B42" s="113">
        <f>(ART_2!$I$14+ART_2!I19)/(ART_2!$I$11-ART_2!$I$12-ART_2!$I$39)</f>
        <v>0.44444444444444442</v>
      </c>
      <c r="C42" s="114">
        <f>ART_2!$I$43/(ART_2!$I$39-ART_2!$I$40)</f>
        <v>0.11764705882352941</v>
      </c>
      <c r="D42" s="115" t="e">
        <f>ART_2!$I$26/(ART_2!$I$24-ART_2!$I$25-ART_2!I28)</f>
        <v>#DIV/0!</v>
      </c>
      <c r="E42" s="111"/>
      <c r="K42" s="6"/>
    </row>
    <row r="43" spans="1:11" x14ac:dyDescent="0.25">
      <c r="A43" s="79" t="s">
        <v>2403</v>
      </c>
      <c r="B43" s="113">
        <f>(ART_2!$J$14+ART_2!J19)/(ART_2!$J$11-ART_2!$J$12-ART_2!$J$39)</f>
        <v>0.5</v>
      </c>
      <c r="C43" s="113">
        <f>ART_2!$J$43/(ART_2!$J$39-ART_2!$J$40)</f>
        <v>0.2</v>
      </c>
      <c r="D43" s="116" t="e">
        <f>ART_2!$J$26/(ART_2!$J$24-ART_2!$J$25-ART_2!J28)</f>
        <v>#DIV/0!</v>
      </c>
      <c r="E43" s="111"/>
      <c r="K43" s="6"/>
    </row>
    <row r="44" spans="1:11" x14ac:dyDescent="0.25">
      <c r="A44" s="7"/>
      <c r="B44" s="7"/>
      <c r="C44" s="7"/>
      <c r="D44" s="7"/>
      <c r="E44" s="88"/>
      <c r="K44" s="6"/>
    </row>
    <row r="45" spans="1:11" x14ac:dyDescent="0.25">
      <c r="A45" s="87"/>
      <c r="B45" s="87"/>
      <c r="C45" s="87"/>
      <c r="D45" s="112"/>
    </row>
    <row r="46" spans="1:11" x14ac:dyDescent="0.25">
      <c r="A46" s="485" t="s">
        <v>2429</v>
      </c>
      <c r="B46" s="485"/>
      <c r="C46" s="485"/>
      <c r="D46" s="485"/>
      <c r="E46" s="6"/>
    </row>
    <row r="47" spans="1:11" ht="30" x14ac:dyDescent="0.25">
      <c r="A47" s="108" t="s">
        <v>2424</v>
      </c>
      <c r="B47" s="123" t="s">
        <v>2425</v>
      </c>
      <c r="C47" s="123" t="s">
        <v>2427</v>
      </c>
      <c r="D47" s="108" t="s">
        <v>2428</v>
      </c>
      <c r="E47" s="6"/>
    </row>
    <row r="48" spans="1:11" x14ac:dyDescent="0.25">
      <c r="A48" s="106" t="s">
        <v>1</v>
      </c>
      <c r="B48" s="115">
        <f>ART_2!F12/(ART_2!F11-ART_2!F39)</f>
        <v>0.30838323353293412</v>
      </c>
      <c r="C48" s="115">
        <f>ART_2!F40/ART_2!F39</f>
        <v>0.22082973206568712</v>
      </c>
      <c r="D48" s="115">
        <f>ART_2!F25/(ART_2!F24-ART_2!F28)</f>
        <v>0</v>
      </c>
      <c r="E48" s="6"/>
    </row>
    <row r="49" spans="1:5" x14ac:dyDescent="0.25">
      <c r="A49" s="106" t="s">
        <v>2</v>
      </c>
      <c r="B49" s="115">
        <f>ART_2!$G$12/(ART_2!$G$11-ART_2!$G$39)</f>
        <v>0.22916666666666666</v>
      </c>
      <c r="C49" s="115">
        <f>ART_2!$G$40/ART_2!$G$39</f>
        <v>0.16254036598493002</v>
      </c>
      <c r="D49" s="115">
        <f>ART_2!$G$25/(ART_2!$G$24-ART_2!G28)</f>
        <v>3.3333333333333333E-2</v>
      </c>
      <c r="E49" s="6"/>
    </row>
    <row r="50" spans="1:5" x14ac:dyDescent="0.25">
      <c r="A50" s="106" t="s">
        <v>3</v>
      </c>
      <c r="B50" s="115">
        <f>ART_2!$H$12/(ART_2!$H$11-ART_2!$H$39)</f>
        <v>0</v>
      </c>
      <c r="C50" s="115">
        <f>ART_2!$H$40/ART_2!$H$39</f>
        <v>9.7560975609756101E-2</v>
      </c>
      <c r="D50" s="115">
        <f>ART_2!$H$25/(ART_2!$H$24-ART_2!H28)</f>
        <v>0</v>
      </c>
      <c r="E50" s="6"/>
    </row>
    <row r="51" spans="1:5" x14ac:dyDescent="0.25">
      <c r="A51" s="106" t="s">
        <v>2402</v>
      </c>
      <c r="B51" s="115">
        <f>ART_2!$I$12/(ART_2!$I$11-ART_2!$I$39)</f>
        <v>0</v>
      </c>
      <c r="C51" s="115">
        <f>ART_2!$I$40/ART_2!$I$39</f>
        <v>0.32</v>
      </c>
      <c r="D51" s="115" t="e">
        <f>ART_2!$I$25/(ART_2!$I$24-ART_2!I28)</f>
        <v>#DIV/0!</v>
      </c>
      <c r="E51" s="6"/>
    </row>
    <row r="52" spans="1:5" x14ac:dyDescent="0.25">
      <c r="A52" s="110" t="s">
        <v>2403</v>
      </c>
      <c r="B52" s="116">
        <f>ART_2!$J$12/(ART_2!$J$11-ART_2!$J$39)</f>
        <v>0.5</v>
      </c>
      <c r="C52" s="116">
        <f>ART_2!$J$40/ART_2!$J$39</f>
        <v>9.0909090909090912E-2</v>
      </c>
      <c r="D52" s="116" t="e">
        <f>ART_2!$J$25/(ART_2!$J$24-ART_2!J28)</f>
        <v>#DIV/0!</v>
      </c>
    </row>
  </sheetData>
  <sheetProtection algorithmName="SHA-512" hashValue="uo/TxXcx1SC2+wens0DMz7YpBIEQ1yCyDtmYiwUwccglq7EI2Sf6lcom/t1udMxTcym01dExD3LeAXNwZvYrHA==" saltValue="IGghaGprMdw9N1+l4ZBWqQ==" spinCount="100000" sheet="1" objects="1" scenarios="1"/>
  <mergeCells count="7">
    <mergeCell ref="A37:D37"/>
    <mergeCell ref="A46:D46"/>
    <mergeCell ref="G29:I29"/>
    <mergeCell ref="A1:C1"/>
    <mergeCell ref="A6:C6"/>
    <mergeCell ref="A14:C14"/>
    <mergeCell ref="D23:F23"/>
  </mergeCells>
  <pageMargins left="0.7" right="0.7" top="0.75" bottom="0.75" header="0.3" footer="0.3"/>
  <ignoredErrors>
    <ignoredError sqref="B3:B4 B11 B20 B19 B15:B16" numberStoredAsText="1"/>
  </ignoredErrors>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C877"/>
  <sheetViews>
    <sheetView topLeftCell="F1" zoomScale="115" zoomScaleNormal="115" workbookViewId="0">
      <selection activeCell="E1" sqref="E1"/>
    </sheetView>
  </sheetViews>
  <sheetFormatPr defaultColWidth="0" defaultRowHeight="14.25" x14ac:dyDescent="0.2"/>
  <cols>
    <col min="1" max="1" width="8.140625" style="204" hidden="1" customWidth="1"/>
    <col min="2" max="2" width="23.85546875" style="205" hidden="1" customWidth="1"/>
    <col min="3" max="3" width="14.28515625" style="205" hidden="1" customWidth="1"/>
    <col min="4" max="4" width="16.85546875" style="205" hidden="1" customWidth="1"/>
    <col min="5" max="5" width="22" style="206" hidden="1" customWidth="1"/>
    <col min="6" max="6" width="8.140625" style="203" customWidth="1"/>
    <col min="7" max="39" width="8.140625" style="18" hidden="1"/>
    <col min="40" max="16383" width="9.140625" style="18" hidden="1"/>
    <col min="16384" max="16384" width="8.140625" style="18" hidden="1"/>
  </cols>
  <sheetData>
    <row r="1" spans="1:6" x14ac:dyDescent="0.2">
      <c r="A1" s="511" t="s">
        <v>89</v>
      </c>
      <c r="B1" s="511"/>
      <c r="C1" s="511"/>
      <c r="D1" s="511"/>
      <c r="E1" s="196" t="str">
        <f>unique_ID</f>
        <v>ART-DL-SOU-02</v>
      </c>
      <c r="F1" s="201"/>
    </row>
    <row r="2" spans="1:6" ht="30" customHeight="1" x14ac:dyDescent="0.2">
      <c r="A2" s="494">
        <v>1</v>
      </c>
      <c r="B2" s="547" t="s">
        <v>6</v>
      </c>
      <c r="C2" s="547"/>
      <c r="D2" s="547"/>
      <c r="E2" s="196" t="str">
        <f>ART_1!D9</f>
        <v>National Institute of Tuberculosis and Respiratory Diseases</v>
      </c>
      <c r="F2" s="201"/>
    </row>
    <row r="3" spans="1:6" x14ac:dyDescent="0.2">
      <c r="A3" s="494"/>
      <c r="B3" s="547" t="s">
        <v>92</v>
      </c>
      <c r="C3" s="547"/>
      <c r="D3" s="547"/>
      <c r="E3" s="196" t="str">
        <f>ART_1!E12</f>
        <v>Nov</v>
      </c>
      <c r="F3" s="201"/>
    </row>
    <row r="4" spans="1:6" ht="33.75" customHeight="1" x14ac:dyDescent="0.2">
      <c r="A4" s="494"/>
      <c r="B4" s="547" t="s">
        <v>91</v>
      </c>
      <c r="C4" s="547"/>
      <c r="D4" s="547"/>
      <c r="E4" s="196">
        <f>ART_1!G12</f>
        <v>2025</v>
      </c>
      <c r="F4" s="201"/>
    </row>
    <row r="5" spans="1:6" x14ac:dyDescent="0.2">
      <c r="A5" s="494"/>
      <c r="B5" s="547" t="s">
        <v>90</v>
      </c>
      <c r="C5" s="547"/>
      <c r="D5" s="547"/>
      <c r="E5" s="196" t="str">
        <f>ART_1!B11</f>
        <v>South</v>
      </c>
      <c r="F5" s="201"/>
    </row>
    <row r="6" spans="1:6" x14ac:dyDescent="0.2">
      <c r="A6" s="494"/>
      <c r="B6" s="547" t="s">
        <v>88</v>
      </c>
      <c r="C6" s="547"/>
      <c r="D6" s="547"/>
      <c r="E6" s="196" t="str">
        <f>ART_1!F11</f>
        <v>Delhi</v>
      </c>
      <c r="F6" s="201"/>
    </row>
    <row r="7" spans="1:6" x14ac:dyDescent="0.2">
      <c r="A7" s="494"/>
      <c r="B7" s="547" t="s">
        <v>180</v>
      </c>
      <c r="C7" s="547"/>
      <c r="D7" s="547"/>
      <c r="E7" s="196">
        <f>ART_1!I11</f>
        <v>0</v>
      </c>
      <c r="F7" s="201"/>
    </row>
    <row r="8" spans="1:6" ht="25.5" customHeight="1" x14ac:dyDescent="0.2">
      <c r="A8" s="494"/>
      <c r="B8" s="547" t="s">
        <v>1809</v>
      </c>
      <c r="C8" s="547"/>
      <c r="D8" s="547"/>
      <c r="E8" s="196" t="str">
        <f>ART_1!I12</f>
        <v>Medical College</v>
      </c>
      <c r="F8" s="201"/>
    </row>
    <row r="9" spans="1:6" ht="25.5" customHeight="1" x14ac:dyDescent="0.2">
      <c r="A9" s="494"/>
      <c r="B9" s="547" t="s">
        <v>2266</v>
      </c>
      <c r="C9" s="547"/>
      <c r="D9" s="547"/>
      <c r="E9" s="196" t="str">
        <f>ART_1!D13</f>
        <v>Dr. Poulomi Chaterjee</v>
      </c>
      <c r="F9" s="201"/>
    </row>
    <row r="10" spans="1:6" ht="25.5" customHeight="1" x14ac:dyDescent="0.2">
      <c r="A10" s="494"/>
      <c r="B10" s="547" t="s">
        <v>2267</v>
      </c>
      <c r="C10" s="547"/>
      <c r="D10" s="547"/>
      <c r="E10" s="196">
        <f>COUNTA(ART_1!C19)</f>
        <v>0</v>
      </c>
      <c r="F10" s="201"/>
    </row>
    <row r="11" spans="1:6" ht="25.5" customHeight="1" x14ac:dyDescent="0.2">
      <c r="A11" s="494"/>
      <c r="B11" s="547" t="s">
        <v>2268</v>
      </c>
      <c r="C11" s="547"/>
      <c r="D11" s="547"/>
      <c r="E11" s="196">
        <f>COUNTA(ART_1!C20:D22)</f>
        <v>1</v>
      </c>
      <c r="F11" s="201"/>
    </row>
    <row r="12" spans="1:6" ht="25.5" customHeight="1" x14ac:dyDescent="0.2">
      <c r="A12" s="494"/>
      <c r="B12" s="547" t="s">
        <v>2274</v>
      </c>
      <c r="C12" s="547"/>
      <c r="D12" s="547"/>
      <c r="E12" s="196">
        <f>COUNTA(ART_1!C23:D26)</f>
        <v>1</v>
      </c>
      <c r="F12" s="201"/>
    </row>
    <row r="13" spans="1:6" ht="25.5" customHeight="1" x14ac:dyDescent="0.2">
      <c r="A13" s="494"/>
      <c r="B13" s="547" t="s">
        <v>2269</v>
      </c>
      <c r="C13" s="547"/>
      <c r="D13" s="547"/>
      <c r="E13" s="196">
        <f>COUNTA(ART_1!C27:D30)</f>
        <v>1</v>
      </c>
      <c r="F13" s="201"/>
    </row>
    <row r="14" spans="1:6" ht="25.5" customHeight="1" x14ac:dyDescent="0.2">
      <c r="A14" s="494"/>
      <c r="B14" s="547" t="s">
        <v>2270</v>
      </c>
      <c r="C14" s="547"/>
      <c r="D14" s="547"/>
      <c r="E14" s="196">
        <f>COUNTA(ART_1!C31:D33)</f>
        <v>1</v>
      </c>
      <c r="F14" s="201"/>
    </row>
    <row r="15" spans="1:6" ht="25.5" customHeight="1" x14ac:dyDescent="0.2">
      <c r="A15" s="494"/>
      <c r="B15" s="547" t="s">
        <v>2271</v>
      </c>
      <c r="C15" s="547"/>
      <c r="D15" s="547"/>
      <c r="E15" s="196">
        <f>COUNTA(ART_1!C34:D36)</f>
        <v>1</v>
      </c>
      <c r="F15" s="201"/>
    </row>
    <row r="16" spans="1:6" ht="25.5" customHeight="1" x14ac:dyDescent="0.2">
      <c r="A16" s="494"/>
      <c r="B16" s="547" t="s">
        <v>2272</v>
      </c>
      <c r="C16" s="547"/>
      <c r="D16" s="547"/>
      <c r="E16" s="196">
        <f>COUNTA(ART_1!C37:D39)</f>
        <v>1</v>
      </c>
      <c r="F16" s="201"/>
    </row>
    <row r="17" spans="1:7" ht="25.5" customHeight="1" x14ac:dyDescent="0.2">
      <c r="A17" s="494"/>
      <c r="B17" s="547" t="s">
        <v>2273</v>
      </c>
      <c r="C17" s="547"/>
      <c r="D17" s="547"/>
      <c r="E17" s="196">
        <f>COUNTA(ART_1!C40)</f>
        <v>1</v>
      </c>
      <c r="F17" s="201"/>
    </row>
    <row r="18" spans="1:7" ht="24.75" customHeight="1" x14ac:dyDescent="0.2">
      <c r="A18" s="494"/>
      <c r="B18" s="495" t="s">
        <v>1824</v>
      </c>
      <c r="C18" s="495"/>
      <c r="D18" s="495"/>
      <c r="E18" s="196">
        <f>COUNTA(ART_1!B45:B64)</f>
        <v>0</v>
      </c>
      <c r="F18" s="201"/>
    </row>
    <row r="19" spans="1:7" ht="36" customHeight="1" x14ac:dyDescent="0.2">
      <c r="A19" s="494"/>
      <c r="B19" s="495" t="s">
        <v>18</v>
      </c>
      <c r="C19" s="495"/>
      <c r="D19" s="495"/>
      <c r="E19" s="196">
        <f>COUNTIF(ART_1!F45:F64,"Yes")</f>
        <v>0</v>
      </c>
      <c r="F19" s="201"/>
    </row>
    <row r="20" spans="1:7" x14ac:dyDescent="0.2">
      <c r="A20" s="494"/>
      <c r="B20" s="495" t="s">
        <v>1825</v>
      </c>
      <c r="C20" s="495"/>
      <c r="D20" s="495"/>
      <c r="E20" s="196">
        <f>COUNTA(ART_1!B69:D71)</f>
        <v>0</v>
      </c>
      <c r="F20" s="201"/>
    </row>
    <row r="21" spans="1:7" x14ac:dyDescent="0.2">
      <c r="A21" s="494"/>
      <c r="B21" s="496">
        <v>1.1100000000000001</v>
      </c>
      <c r="C21" s="496" t="s">
        <v>1773</v>
      </c>
      <c r="D21" s="496"/>
      <c r="E21" s="196" t="str">
        <f>ART_1!F73</f>
        <v>No</v>
      </c>
      <c r="F21" s="201"/>
    </row>
    <row r="22" spans="1:7" x14ac:dyDescent="0.2">
      <c r="A22" s="494"/>
      <c r="B22" s="496"/>
      <c r="C22" s="496" t="s">
        <v>1774</v>
      </c>
      <c r="D22" s="496"/>
      <c r="E22" s="196">
        <f>ART_1!F74</f>
        <v>0</v>
      </c>
      <c r="F22" s="201"/>
    </row>
    <row r="23" spans="1:7" x14ac:dyDescent="0.2">
      <c r="A23" s="494"/>
      <c r="B23" s="496"/>
      <c r="C23" s="496" t="s">
        <v>1811</v>
      </c>
      <c r="D23" s="496"/>
      <c r="E23" s="196">
        <f>ART_1!F75</f>
        <v>0</v>
      </c>
      <c r="F23" s="201"/>
    </row>
    <row r="24" spans="1:7" ht="23.25" customHeight="1" x14ac:dyDescent="0.2">
      <c r="A24" s="494"/>
      <c r="B24" s="496"/>
      <c r="C24" s="496" t="s">
        <v>1775</v>
      </c>
      <c r="D24" s="496"/>
      <c r="E24" s="196">
        <f>ART_1!F76</f>
        <v>0</v>
      </c>
      <c r="F24" s="201"/>
    </row>
    <row r="25" spans="1:7" ht="24" customHeight="1" x14ac:dyDescent="0.2">
      <c r="A25" s="494"/>
      <c r="B25" s="496"/>
      <c r="C25" s="496" t="s">
        <v>1810</v>
      </c>
      <c r="D25" s="496"/>
      <c r="E25" s="196" t="str">
        <f>ART_1!F77</f>
        <v>Please enter the unique ART Centre code above</v>
      </c>
      <c r="F25" s="201"/>
    </row>
    <row r="26" spans="1:7" ht="14.25" customHeight="1" x14ac:dyDescent="0.2">
      <c r="A26" s="494">
        <v>2.1</v>
      </c>
      <c r="B26" s="495" t="str">
        <f>ART_2!A6</f>
        <v xml:space="preserve">2.1 Number of PLHIV registered in HIV Care at the beginning of this month (2.5 of previous month)   </v>
      </c>
      <c r="C26" s="511" t="s">
        <v>1</v>
      </c>
      <c r="D26" s="511"/>
      <c r="E26" s="196">
        <f>ART_2!F6</f>
        <v>2630</v>
      </c>
      <c r="F26" s="201"/>
      <c r="G26" s="20"/>
    </row>
    <row r="27" spans="1:7" ht="14.25" customHeight="1" x14ac:dyDescent="0.2">
      <c r="A27" s="494"/>
      <c r="B27" s="495"/>
      <c r="C27" s="511" t="s">
        <v>2</v>
      </c>
      <c r="D27" s="511"/>
      <c r="E27" s="196">
        <f>ART_2!G6</f>
        <v>1070</v>
      </c>
      <c r="F27" s="201"/>
    </row>
    <row r="28" spans="1:7" x14ac:dyDescent="0.2">
      <c r="A28" s="494"/>
      <c r="B28" s="495"/>
      <c r="C28" s="511" t="s">
        <v>3</v>
      </c>
      <c r="D28" s="511"/>
      <c r="E28" s="196">
        <f>ART_2!H6</f>
        <v>45</v>
      </c>
      <c r="F28" s="201"/>
    </row>
    <row r="29" spans="1:7" x14ac:dyDescent="0.2">
      <c r="A29" s="494"/>
      <c r="B29" s="495"/>
      <c r="C29" s="511" t="s">
        <v>4</v>
      </c>
      <c r="D29" s="196" t="s">
        <v>1</v>
      </c>
      <c r="E29" s="196">
        <f>ART_2!I6</f>
        <v>34</v>
      </c>
      <c r="F29" s="201"/>
    </row>
    <row r="30" spans="1:7" x14ac:dyDescent="0.2">
      <c r="A30" s="494"/>
      <c r="B30" s="495"/>
      <c r="C30" s="511"/>
      <c r="D30" s="196" t="s">
        <v>2</v>
      </c>
      <c r="E30" s="196">
        <f>ART_2!J6</f>
        <v>15</v>
      </c>
      <c r="F30" s="201"/>
    </row>
    <row r="31" spans="1:7" x14ac:dyDescent="0.2">
      <c r="A31" s="494"/>
      <c r="B31" s="495"/>
      <c r="C31" s="511" t="s">
        <v>5</v>
      </c>
      <c r="D31" s="511"/>
      <c r="E31" s="196">
        <f>SUM(E26:E30)</f>
        <v>3794</v>
      </c>
      <c r="F31" s="201"/>
    </row>
    <row r="32" spans="1:7" ht="15" customHeight="1" x14ac:dyDescent="0.2">
      <c r="A32" s="494">
        <v>2.2000000000000002</v>
      </c>
      <c r="B32" s="495" t="str">
        <f>ART_2!A7</f>
        <v xml:space="preserve">2.2 Number of new PLHIV registered in HIV Care during this month </v>
      </c>
      <c r="C32" s="511" t="s">
        <v>1</v>
      </c>
      <c r="D32" s="511"/>
      <c r="E32" s="196">
        <f>ART_2!F7</f>
        <v>13</v>
      </c>
      <c r="F32" s="201"/>
    </row>
    <row r="33" spans="1:6" x14ac:dyDescent="0.2">
      <c r="A33" s="494"/>
      <c r="B33" s="495"/>
      <c r="C33" s="511" t="s">
        <v>2</v>
      </c>
      <c r="D33" s="511"/>
      <c r="E33" s="196">
        <f>ART_2!G7</f>
        <v>3</v>
      </c>
      <c r="F33" s="201"/>
    </row>
    <row r="34" spans="1:6" x14ac:dyDescent="0.2">
      <c r="A34" s="494"/>
      <c r="B34" s="495"/>
      <c r="C34" s="511" t="s">
        <v>3</v>
      </c>
      <c r="D34" s="511"/>
      <c r="E34" s="196">
        <f>ART_2!H7</f>
        <v>0</v>
      </c>
      <c r="F34" s="201"/>
    </row>
    <row r="35" spans="1:6" ht="14.25" customHeight="1" x14ac:dyDescent="0.2">
      <c r="A35" s="494"/>
      <c r="B35" s="495"/>
      <c r="C35" s="511" t="s">
        <v>4</v>
      </c>
      <c r="D35" s="196" t="s">
        <v>1</v>
      </c>
      <c r="E35" s="196">
        <f>ART_2!I7</f>
        <v>0</v>
      </c>
      <c r="F35" s="201"/>
    </row>
    <row r="36" spans="1:6" x14ac:dyDescent="0.2">
      <c r="A36" s="494"/>
      <c r="B36" s="495"/>
      <c r="C36" s="511"/>
      <c r="D36" s="196" t="s">
        <v>2</v>
      </c>
      <c r="E36" s="196">
        <f>ART_2!J7</f>
        <v>0</v>
      </c>
      <c r="F36" s="201"/>
    </row>
    <row r="37" spans="1:6" x14ac:dyDescent="0.2">
      <c r="A37" s="494"/>
      <c r="B37" s="495"/>
      <c r="C37" s="511" t="s">
        <v>5</v>
      </c>
      <c r="D37" s="511"/>
      <c r="E37" s="196">
        <f>SUM(E32:E36)</f>
        <v>16</v>
      </c>
      <c r="F37" s="201"/>
    </row>
    <row r="38" spans="1:6" ht="15" customHeight="1" x14ac:dyDescent="0.2">
      <c r="A38" s="494">
        <v>2.2999999999999998</v>
      </c>
      <c r="B38" s="495" t="str">
        <f>ART_2!A8</f>
        <v>2.3 Number of PLHIV "transferred in" in HIV Care during this month</v>
      </c>
      <c r="C38" s="511" t="s">
        <v>1</v>
      </c>
      <c r="D38" s="511"/>
      <c r="E38" s="196">
        <f>ART_2!F8</f>
        <v>6</v>
      </c>
      <c r="F38" s="201"/>
    </row>
    <row r="39" spans="1:6" x14ac:dyDescent="0.2">
      <c r="A39" s="494"/>
      <c r="B39" s="495"/>
      <c r="C39" s="511" t="s">
        <v>2</v>
      </c>
      <c r="D39" s="511"/>
      <c r="E39" s="196">
        <f>ART_2!G8</f>
        <v>1</v>
      </c>
      <c r="F39" s="201"/>
    </row>
    <row r="40" spans="1:6" x14ac:dyDescent="0.2">
      <c r="A40" s="494"/>
      <c r="B40" s="495"/>
      <c r="C40" s="511" t="s">
        <v>3</v>
      </c>
      <c r="D40" s="511"/>
      <c r="E40" s="196">
        <f>ART_2!H8</f>
        <v>0</v>
      </c>
      <c r="F40" s="201"/>
    </row>
    <row r="41" spans="1:6" x14ac:dyDescent="0.2">
      <c r="A41" s="494"/>
      <c r="B41" s="495"/>
      <c r="C41" s="511" t="s">
        <v>4</v>
      </c>
      <c r="D41" s="196" t="s">
        <v>1</v>
      </c>
      <c r="E41" s="196">
        <f>ART_2!I8</f>
        <v>0</v>
      </c>
      <c r="F41" s="201"/>
    </row>
    <row r="42" spans="1:6" x14ac:dyDescent="0.2">
      <c r="A42" s="494"/>
      <c r="B42" s="495"/>
      <c r="C42" s="511"/>
      <c r="D42" s="196" t="s">
        <v>2</v>
      </c>
      <c r="E42" s="196">
        <f>ART_2!J8</f>
        <v>0</v>
      </c>
      <c r="F42" s="201"/>
    </row>
    <row r="43" spans="1:6" x14ac:dyDescent="0.2">
      <c r="A43" s="494"/>
      <c r="B43" s="495"/>
      <c r="C43" s="511" t="s">
        <v>5</v>
      </c>
      <c r="D43" s="511"/>
      <c r="E43" s="196">
        <f>SUM(E38:E42)</f>
        <v>7</v>
      </c>
      <c r="F43" s="201"/>
    </row>
    <row r="44" spans="1:6" ht="15" customHeight="1" x14ac:dyDescent="0.2">
      <c r="A44" s="496" t="s">
        <v>1777</v>
      </c>
      <c r="B44" s="495" t="str">
        <f>ART_2!A9</f>
        <v>2.4 Number of PLHIV "transferred out" of HIV Care during this month</v>
      </c>
      <c r="C44" s="511" t="s">
        <v>1</v>
      </c>
      <c r="D44" s="511"/>
      <c r="E44" s="196">
        <f>ART_2!F9</f>
        <v>1</v>
      </c>
      <c r="F44" s="201"/>
    </row>
    <row r="45" spans="1:6" x14ac:dyDescent="0.2">
      <c r="A45" s="494"/>
      <c r="B45" s="495"/>
      <c r="C45" s="511" t="s">
        <v>2</v>
      </c>
      <c r="D45" s="511"/>
      <c r="E45" s="196">
        <f>ART_2!G9</f>
        <v>0</v>
      </c>
      <c r="F45" s="201"/>
    </row>
    <row r="46" spans="1:6" x14ac:dyDescent="0.2">
      <c r="A46" s="494"/>
      <c r="B46" s="495"/>
      <c r="C46" s="511" t="s">
        <v>3</v>
      </c>
      <c r="D46" s="511"/>
      <c r="E46" s="196">
        <f>ART_2!H9</f>
        <v>0</v>
      </c>
      <c r="F46" s="201"/>
    </row>
    <row r="47" spans="1:6" x14ac:dyDescent="0.2">
      <c r="A47" s="494"/>
      <c r="B47" s="495"/>
      <c r="C47" s="511" t="s">
        <v>4</v>
      </c>
      <c r="D47" s="196" t="s">
        <v>1</v>
      </c>
      <c r="E47" s="196">
        <f>ART_2!I9</f>
        <v>0</v>
      </c>
      <c r="F47" s="201"/>
    </row>
    <row r="48" spans="1:6" x14ac:dyDescent="0.2">
      <c r="A48" s="494"/>
      <c r="B48" s="495"/>
      <c r="C48" s="511"/>
      <c r="D48" s="196" t="s">
        <v>2</v>
      </c>
      <c r="E48" s="196">
        <f>ART_2!J9</f>
        <v>0</v>
      </c>
      <c r="F48" s="201"/>
    </row>
    <row r="49" spans="1:6" x14ac:dyDescent="0.2">
      <c r="A49" s="494"/>
      <c r="B49" s="495"/>
      <c r="C49" s="511" t="s">
        <v>5</v>
      </c>
      <c r="D49" s="511"/>
      <c r="E49" s="196">
        <f>SUM(E44:E48)</f>
        <v>1</v>
      </c>
      <c r="F49" s="201"/>
    </row>
    <row r="50" spans="1:6" ht="15" customHeight="1" x14ac:dyDescent="0.2">
      <c r="A50" s="496" t="s">
        <v>1778</v>
      </c>
      <c r="B50" s="495" t="str">
        <f>ART_2!A9</f>
        <v>2.4 Number of PLHIV "transferred out" of HIV Care during this month</v>
      </c>
      <c r="C50" s="511" t="s">
        <v>1</v>
      </c>
      <c r="D50" s="511"/>
      <c r="E50" s="196">
        <f>ART_2!F10</f>
        <v>0</v>
      </c>
      <c r="F50" s="201"/>
    </row>
    <row r="51" spans="1:6" x14ac:dyDescent="0.2">
      <c r="A51" s="494"/>
      <c r="B51" s="495"/>
      <c r="C51" s="511" t="s">
        <v>2</v>
      </c>
      <c r="D51" s="511"/>
      <c r="E51" s="196">
        <f>ART_2!G10</f>
        <v>1</v>
      </c>
      <c r="F51" s="201"/>
    </row>
    <row r="52" spans="1:6" x14ac:dyDescent="0.2">
      <c r="A52" s="494"/>
      <c r="B52" s="495"/>
      <c r="C52" s="511" t="s">
        <v>3</v>
      </c>
      <c r="D52" s="511"/>
      <c r="E52" s="196">
        <f>ART_2!H10</f>
        <v>0</v>
      </c>
      <c r="F52" s="201"/>
    </row>
    <row r="53" spans="1:6" x14ac:dyDescent="0.2">
      <c r="A53" s="494"/>
      <c r="B53" s="495"/>
      <c r="C53" s="511" t="s">
        <v>4</v>
      </c>
      <c r="D53" s="196" t="s">
        <v>1</v>
      </c>
      <c r="E53" s="196">
        <f>ART_2!I10</f>
        <v>0</v>
      </c>
      <c r="F53" s="201"/>
    </row>
    <row r="54" spans="1:6" x14ac:dyDescent="0.2">
      <c r="A54" s="494"/>
      <c r="B54" s="495"/>
      <c r="C54" s="511"/>
      <c r="D54" s="196" t="s">
        <v>2</v>
      </c>
      <c r="E54" s="196">
        <f>ART_2!J10</f>
        <v>0</v>
      </c>
      <c r="F54" s="201"/>
    </row>
    <row r="55" spans="1:6" x14ac:dyDescent="0.2">
      <c r="A55" s="494"/>
      <c r="B55" s="495"/>
      <c r="C55" s="511" t="s">
        <v>5</v>
      </c>
      <c r="D55" s="511"/>
      <c r="E55" s="196">
        <f>SUM(E50:E54)</f>
        <v>1</v>
      </c>
      <c r="F55" s="201"/>
    </row>
    <row r="56" spans="1:6" ht="15" customHeight="1" x14ac:dyDescent="0.2">
      <c r="A56" s="494">
        <v>2.5</v>
      </c>
      <c r="B56" s="495" t="str">
        <f>ART_2!A11</f>
        <v>2.5 Number of PLHIV registered in HIV Care at the end of this month                   (2.1 + 2.2 + 2.3 - 2.4)</v>
      </c>
      <c r="C56" s="511" t="s">
        <v>1</v>
      </c>
      <c r="D56" s="511"/>
      <c r="E56" s="196">
        <f>ART_2!F11</f>
        <v>2648</v>
      </c>
      <c r="F56" s="201"/>
    </row>
    <row r="57" spans="1:6" x14ac:dyDescent="0.2">
      <c r="A57" s="494"/>
      <c r="B57" s="495"/>
      <c r="C57" s="511" t="s">
        <v>2</v>
      </c>
      <c r="D57" s="511"/>
      <c r="E57" s="196">
        <f>ART_2!G11</f>
        <v>1073</v>
      </c>
      <c r="F57" s="201"/>
    </row>
    <row r="58" spans="1:6" x14ac:dyDescent="0.2">
      <c r="A58" s="494"/>
      <c r="B58" s="495"/>
      <c r="C58" s="511" t="s">
        <v>3</v>
      </c>
      <c r="D58" s="511"/>
      <c r="E58" s="196">
        <f>ART_2!H11</f>
        <v>45</v>
      </c>
      <c r="F58" s="201"/>
    </row>
    <row r="59" spans="1:6" x14ac:dyDescent="0.2">
      <c r="A59" s="494"/>
      <c r="B59" s="495"/>
      <c r="C59" s="511" t="s">
        <v>4</v>
      </c>
      <c r="D59" s="196" t="s">
        <v>1</v>
      </c>
      <c r="E59" s="196">
        <f>ART_2!I11</f>
        <v>34</v>
      </c>
      <c r="F59" s="201"/>
    </row>
    <row r="60" spans="1:6" x14ac:dyDescent="0.2">
      <c r="A60" s="494"/>
      <c r="B60" s="495"/>
      <c r="C60" s="511"/>
      <c r="D60" s="196" t="s">
        <v>2</v>
      </c>
      <c r="E60" s="196">
        <f>ART_2!J11</f>
        <v>15</v>
      </c>
      <c r="F60" s="201"/>
    </row>
    <row r="61" spans="1:6" x14ac:dyDescent="0.2">
      <c r="A61" s="494"/>
      <c r="B61" s="495"/>
      <c r="C61" s="511" t="s">
        <v>5</v>
      </c>
      <c r="D61" s="511"/>
      <c r="E61" s="196">
        <f>SUM(E56:E60)</f>
        <v>3815</v>
      </c>
      <c r="F61" s="201"/>
    </row>
    <row r="62" spans="1:6" x14ac:dyDescent="0.2">
      <c r="A62" s="496" t="s">
        <v>1806</v>
      </c>
      <c r="B62" s="495" t="str">
        <f>ART_2!A12</f>
        <v>2.6 Cumulative number of PLHIV reported died till the end of this month</v>
      </c>
      <c r="C62" s="511" t="s">
        <v>1</v>
      </c>
      <c r="D62" s="511"/>
      <c r="E62" s="196">
        <f>ART_2!F12</f>
        <v>103</v>
      </c>
      <c r="F62" s="201"/>
    </row>
    <row r="63" spans="1:6" x14ac:dyDescent="0.2">
      <c r="A63" s="494"/>
      <c r="B63" s="495"/>
      <c r="C63" s="511" t="s">
        <v>2</v>
      </c>
      <c r="D63" s="511"/>
      <c r="E63" s="196">
        <f>ART_2!G12</f>
        <v>33</v>
      </c>
      <c r="F63" s="201"/>
    </row>
    <row r="64" spans="1:6" x14ac:dyDescent="0.2">
      <c r="A64" s="494"/>
      <c r="B64" s="495"/>
      <c r="C64" s="511" t="s">
        <v>3</v>
      </c>
      <c r="D64" s="511"/>
      <c r="E64" s="196">
        <f>ART_2!H12</f>
        <v>0</v>
      </c>
      <c r="F64" s="201"/>
    </row>
    <row r="65" spans="1:6" x14ac:dyDescent="0.2">
      <c r="A65" s="494"/>
      <c r="B65" s="495"/>
      <c r="C65" s="511" t="s">
        <v>4</v>
      </c>
      <c r="D65" s="196" t="s">
        <v>1</v>
      </c>
      <c r="E65" s="196">
        <f>ART_2!I12</f>
        <v>0</v>
      </c>
      <c r="F65" s="201"/>
    </row>
    <row r="66" spans="1:6" x14ac:dyDescent="0.2">
      <c r="A66" s="494"/>
      <c r="B66" s="495"/>
      <c r="C66" s="511"/>
      <c r="D66" s="196" t="s">
        <v>2</v>
      </c>
      <c r="E66" s="196">
        <f>ART_2!J12</f>
        <v>2</v>
      </c>
      <c r="F66" s="201"/>
    </row>
    <row r="67" spans="1:6" x14ac:dyDescent="0.2">
      <c r="A67" s="494"/>
      <c r="B67" s="495"/>
      <c r="C67" s="511" t="s">
        <v>5</v>
      </c>
      <c r="D67" s="511"/>
      <c r="E67" s="196">
        <f>SUM(E62:E66)</f>
        <v>138</v>
      </c>
      <c r="F67" s="201"/>
    </row>
    <row r="68" spans="1:6" ht="15" customHeight="1" x14ac:dyDescent="0.2">
      <c r="A68" s="496" t="s">
        <v>1807</v>
      </c>
      <c r="B68" s="495" t="str">
        <f>ART_2!A12</f>
        <v>2.6 Cumulative number of PLHIV reported died till the end of this month</v>
      </c>
      <c r="C68" s="511" t="s">
        <v>1</v>
      </c>
      <c r="D68" s="511"/>
      <c r="E68" s="196">
        <f>ART_2!F13</f>
        <v>511</v>
      </c>
      <c r="F68" s="201"/>
    </row>
    <row r="69" spans="1:6" x14ac:dyDescent="0.2">
      <c r="A69" s="494"/>
      <c r="B69" s="495"/>
      <c r="C69" s="511" t="s">
        <v>2</v>
      </c>
      <c r="D69" s="511"/>
      <c r="E69" s="196">
        <f>ART_2!G13</f>
        <v>151</v>
      </c>
      <c r="F69" s="201"/>
    </row>
    <row r="70" spans="1:6" x14ac:dyDescent="0.2">
      <c r="A70" s="494"/>
      <c r="B70" s="495"/>
      <c r="C70" s="511" t="s">
        <v>3</v>
      </c>
      <c r="D70" s="511"/>
      <c r="E70" s="196">
        <f>ART_2!H13</f>
        <v>4</v>
      </c>
      <c r="F70" s="201"/>
    </row>
    <row r="71" spans="1:6" x14ac:dyDescent="0.2">
      <c r="A71" s="494"/>
      <c r="B71" s="495"/>
      <c r="C71" s="511" t="s">
        <v>4</v>
      </c>
      <c r="D71" s="196" t="s">
        <v>1</v>
      </c>
      <c r="E71" s="196">
        <f>ART_2!I13</f>
        <v>8</v>
      </c>
      <c r="F71" s="201"/>
    </row>
    <row r="72" spans="1:6" x14ac:dyDescent="0.2">
      <c r="A72" s="494"/>
      <c r="B72" s="495"/>
      <c r="C72" s="511"/>
      <c r="D72" s="196" t="s">
        <v>2</v>
      </c>
      <c r="E72" s="196">
        <f>ART_2!J13</f>
        <v>1</v>
      </c>
      <c r="F72" s="201"/>
    </row>
    <row r="73" spans="1:6" x14ac:dyDescent="0.2">
      <c r="A73" s="494"/>
      <c r="B73" s="495"/>
      <c r="C73" s="511" t="s">
        <v>5</v>
      </c>
      <c r="D73" s="511"/>
      <c r="E73" s="196">
        <f>SUM(E68:E72)</f>
        <v>675</v>
      </c>
      <c r="F73" s="201"/>
    </row>
    <row r="74" spans="1:6" x14ac:dyDescent="0.2">
      <c r="A74" s="496" t="s">
        <v>1779</v>
      </c>
      <c r="B74" s="495" t="str">
        <f>ART_2!A14</f>
        <v>2.7 Number of PLHIV whose status is "LFU" till the end of this month (it is a dynamic figure) excluding those declared in permanent LFU under (2.9) indicator</v>
      </c>
      <c r="C74" s="511" t="s">
        <v>1</v>
      </c>
      <c r="D74" s="511"/>
      <c r="E74" s="196">
        <f>ART_2!F14</f>
        <v>48</v>
      </c>
      <c r="F74" s="201"/>
    </row>
    <row r="75" spans="1:6" x14ac:dyDescent="0.2">
      <c r="A75" s="494"/>
      <c r="B75" s="495"/>
      <c r="C75" s="511" t="s">
        <v>2</v>
      </c>
      <c r="D75" s="511"/>
      <c r="E75" s="196">
        <f>ART_2!G14</f>
        <v>11</v>
      </c>
      <c r="F75" s="201"/>
    </row>
    <row r="76" spans="1:6" x14ac:dyDescent="0.2">
      <c r="A76" s="494"/>
      <c r="B76" s="495"/>
      <c r="C76" s="511" t="s">
        <v>3</v>
      </c>
      <c r="D76" s="511"/>
      <c r="E76" s="196">
        <f>ART_2!H14</f>
        <v>2</v>
      </c>
      <c r="F76" s="201"/>
    </row>
    <row r="77" spans="1:6" x14ac:dyDescent="0.2">
      <c r="A77" s="494"/>
      <c r="B77" s="495"/>
      <c r="C77" s="511" t="s">
        <v>4</v>
      </c>
      <c r="D77" s="196" t="s">
        <v>1</v>
      </c>
      <c r="E77" s="196">
        <f>ART_2!I14</f>
        <v>3</v>
      </c>
      <c r="F77" s="201"/>
    </row>
    <row r="78" spans="1:6" x14ac:dyDescent="0.2">
      <c r="A78" s="494"/>
      <c r="B78" s="495"/>
      <c r="C78" s="511"/>
      <c r="D78" s="196" t="s">
        <v>2</v>
      </c>
      <c r="E78" s="196">
        <f>ART_2!J14</f>
        <v>0</v>
      </c>
      <c r="F78" s="201"/>
    </row>
    <row r="79" spans="1:6" x14ac:dyDescent="0.2">
      <c r="A79" s="494"/>
      <c r="B79" s="495"/>
      <c r="C79" s="511" t="s">
        <v>5</v>
      </c>
      <c r="D79" s="511"/>
      <c r="E79" s="196">
        <f>SUM(E74:E78)</f>
        <v>64</v>
      </c>
      <c r="F79" s="201"/>
    </row>
    <row r="80" spans="1:6" ht="15" customHeight="1" x14ac:dyDescent="0.2">
      <c r="A80" s="496" t="s">
        <v>1780</v>
      </c>
      <c r="B80" s="495" t="str">
        <f>ART_2!A14</f>
        <v>2.7 Number of PLHIV whose status is "LFU" till the end of this month (it is a dynamic figure) excluding those declared in permanent LFU under (2.9) indicator</v>
      </c>
      <c r="C80" s="511" t="s">
        <v>1</v>
      </c>
      <c r="D80" s="511"/>
      <c r="E80" s="196">
        <f>ART_2!F15</f>
        <v>304</v>
      </c>
      <c r="F80" s="201"/>
    </row>
    <row r="81" spans="1:6" x14ac:dyDescent="0.2">
      <c r="A81" s="494"/>
      <c r="B81" s="495"/>
      <c r="C81" s="511" t="s">
        <v>2</v>
      </c>
      <c r="D81" s="511"/>
      <c r="E81" s="196">
        <f>ART_2!G15</f>
        <v>115</v>
      </c>
      <c r="F81" s="201"/>
    </row>
    <row r="82" spans="1:6" x14ac:dyDescent="0.2">
      <c r="A82" s="494"/>
      <c r="B82" s="495"/>
      <c r="C82" s="511" t="s">
        <v>3</v>
      </c>
      <c r="D82" s="511"/>
      <c r="E82" s="196">
        <f>ART_2!H15</f>
        <v>10</v>
      </c>
      <c r="F82" s="201"/>
    </row>
    <row r="83" spans="1:6" x14ac:dyDescent="0.2">
      <c r="A83" s="494"/>
      <c r="B83" s="495"/>
      <c r="C83" s="511" t="s">
        <v>4</v>
      </c>
      <c r="D83" s="196" t="s">
        <v>1</v>
      </c>
      <c r="E83" s="196">
        <f>ART_2!I15</f>
        <v>2</v>
      </c>
      <c r="F83" s="201"/>
    </row>
    <row r="84" spans="1:6" x14ac:dyDescent="0.2">
      <c r="A84" s="494"/>
      <c r="B84" s="495"/>
      <c r="C84" s="511"/>
      <c r="D84" s="196" t="s">
        <v>2</v>
      </c>
      <c r="E84" s="196">
        <f>ART_2!J15</f>
        <v>2</v>
      </c>
      <c r="F84" s="201"/>
    </row>
    <row r="85" spans="1:6" x14ac:dyDescent="0.2">
      <c r="A85" s="494"/>
      <c r="B85" s="495"/>
      <c r="C85" s="511" t="s">
        <v>5</v>
      </c>
      <c r="D85" s="511"/>
      <c r="E85" s="196">
        <f>SUM(E80:E84)</f>
        <v>433</v>
      </c>
      <c r="F85" s="201"/>
    </row>
    <row r="86" spans="1:6" x14ac:dyDescent="0.2">
      <c r="A86" s="496" t="s">
        <v>1781</v>
      </c>
      <c r="B86" s="495" t="str">
        <f>ART_2!A16</f>
        <v>2.8 Number of PLHIV whose treatment status is "stopped treatment/ opted out of Program" till the end of this month (it is a dynamic figure)</v>
      </c>
      <c r="C86" s="511" t="s">
        <v>1</v>
      </c>
      <c r="D86" s="511"/>
      <c r="E86" s="196">
        <f>ART_2!F16</f>
        <v>2</v>
      </c>
      <c r="F86" s="201"/>
    </row>
    <row r="87" spans="1:6" x14ac:dyDescent="0.2">
      <c r="A87" s="494"/>
      <c r="B87" s="495"/>
      <c r="C87" s="511" t="s">
        <v>2</v>
      </c>
      <c r="D87" s="511"/>
      <c r="E87" s="196">
        <f>ART_2!G16</f>
        <v>0</v>
      </c>
      <c r="F87" s="201"/>
    </row>
    <row r="88" spans="1:6" x14ac:dyDescent="0.2">
      <c r="A88" s="494"/>
      <c r="B88" s="495"/>
      <c r="C88" s="511" t="s">
        <v>3</v>
      </c>
      <c r="D88" s="511"/>
      <c r="E88" s="196">
        <f>ART_2!H16</f>
        <v>0</v>
      </c>
      <c r="F88" s="201"/>
    </row>
    <row r="89" spans="1:6" x14ac:dyDescent="0.2">
      <c r="A89" s="494"/>
      <c r="B89" s="495"/>
      <c r="C89" s="511" t="s">
        <v>4</v>
      </c>
      <c r="D89" s="196" t="s">
        <v>1</v>
      </c>
      <c r="E89" s="196">
        <f>ART_2!I16</f>
        <v>0</v>
      </c>
      <c r="F89" s="201"/>
    </row>
    <row r="90" spans="1:6" x14ac:dyDescent="0.2">
      <c r="A90" s="494"/>
      <c r="B90" s="495"/>
      <c r="C90" s="511"/>
      <c r="D90" s="196" t="s">
        <v>2</v>
      </c>
      <c r="E90" s="196">
        <f>ART_2!J16</f>
        <v>0</v>
      </c>
      <c r="F90" s="201"/>
    </row>
    <row r="91" spans="1:6" x14ac:dyDescent="0.2">
      <c r="A91" s="494"/>
      <c r="B91" s="495"/>
      <c r="C91" s="511" t="s">
        <v>5</v>
      </c>
      <c r="D91" s="511"/>
      <c r="E91" s="196">
        <f>SUM(E86:E90)</f>
        <v>2</v>
      </c>
      <c r="F91" s="201"/>
    </row>
    <row r="92" spans="1:6" ht="15" customHeight="1" x14ac:dyDescent="0.2">
      <c r="A92" s="496" t="s">
        <v>1782</v>
      </c>
      <c r="B92" s="495" t="str">
        <f>ART_2!A16</f>
        <v>2.8 Number of PLHIV whose treatment status is "stopped treatment/ opted out of Program" till the end of this month (it is a dynamic figure)</v>
      </c>
      <c r="C92" s="511" t="s">
        <v>1</v>
      </c>
      <c r="D92" s="511"/>
      <c r="E92" s="196">
        <f>ART_2!F17</f>
        <v>11</v>
      </c>
      <c r="F92" s="201"/>
    </row>
    <row r="93" spans="1:6" x14ac:dyDescent="0.2">
      <c r="A93" s="494"/>
      <c r="B93" s="495"/>
      <c r="C93" s="511" t="s">
        <v>2</v>
      </c>
      <c r="D93" s="511"/>
      <c r="E93" s="196">
        <f>ART_2!G17</f>
        <v>7</v>
      </c>
      <c r="F93" s="201"/>
    </row>
    <row r="94" spans="1:6" x14ac:dyDescent="0.2">
      <c r="A94" s="494"/>
      <c r="B94" s="495"/>
      <c r="C94" s="511" t="s">
        <v>3</v>
      </c>
      <c r="D94" s="511"/>
      <c r="E94" s="196">
        <f>ART_2!H17</f>
        <v>0</v>
      </c>
      <c r="F94" s="201"/>
    </row>
    <row r="95" spans="1:6" x14ac:dyDescent="0.2">
      <c r="A95" s="494"/>
      <c r="B95" s="495"/>
      <c r="C95" s="511" t="s">
        <v>4</v>
      </c>
      <c r="D95" s="196" t="s">
        <v>1</v>
      </c>
      <c r="E95" s="196">
        <f>ART_2!I17</f>
        <v>0</v>
      </c>
      <c r="F95" s="201"/>
    </row>
    <row r="96" spans="1:6" x14ac:dyDescent="0.2">
      <c r="A96" s="494"/>
      <c r="B96" s="495"/>
      <c r="C96" s="511"/>
      <c r="D96" s="196" t="s">
        <v>2</v>
      </c>
      <c r="E96" s="196">
        <f>ART_2!J17</f>
        <v>0</v>
      </c>
      <c r="F96" s="201"/>
    </row>
    <row r="97" spans="1:6" x14ac:dyDescent="0.2">
      <c r="A97" s="494"/>
      <c r="B97" s="495"/>
      <c r="C97" s="511" t="s">
        <v>5</v>
      </c>
      <c r="D97" s="511"/>
      <c r="E97" s="196">
        <f>SUM(E92:E96)</f>
        <v>18</v>
      </c>
      <c r="F97" s="201"/>
    </row>
    <row r="98" spans="1:6" x14ac:dyDescent="0.2">
      <c r="A98" s="496" t="s">
        <v>2535</v>
      </c>
      <c r="B98" s="495" t="str">
        <f>ART_2!A18</f>
        <v>2.9 Number of patients declared permanent LFU whose last visit was before 31st December 2016  (one time figure) - reduce this figure if PLHIV come back</v>
      </c>
      <c r="C98" s="511" t="s">
        <v>1</v>
      </c>
      <c r="D98" s="511"/>
      <c r="E98" s="196">
        <f>ART_2!F18</f>
        <v>179</v>
      </c>
      <c r="F98" s="201"/>
    </row>
    <row r="99" spans="1:6" x14ac:dyDescent="0.2">
      <c r="A99" s="494"/>
      <c r="B99" s="495"/>
      <c r="C99" s="511" t="s">
        <v>2</v>
      </c>
      <c r="D99" s="511"/>
      <c r="E99" s="196">
        <f>ART_2!G18</f>
        <v>100</v>
      </c>
      <c r="F99" s="201"/>
    </row>
    <row r="100" spans="1:6" x14ac:dyDescent="0.2">
      <c r="A100" s="494"/>
      <c r="B100" s="495"/>
      <c r="C100" s="511" t="s">
        <v>3</v>
      </c>
      <c r="D100" s="511"/>
      <c r="E100" s="196">
        <f>ART_2!H18</f>
        <v>2</v>
      </c>
      <c r="F100" s="201"/>
    </row>
    <row r="101" spans="1:6" x14ac:dyDescent="0.2">
      <c r="A101" s="494"/>
      <c r="B101" s="495"/>
      <c r="C101" s="511" t="s">
        <v>4</v>
      </c>
      <c r="D101" s="196" t="s">
        <v>1</v>
      </c>
      <c r="E101" s="196">
        <f>ART_2!I18</f>
        <v>6</v>
      </c>
      <c r="F101" s="201"/>
    </row>
    <row r="102" spans="1:6" x14ac:dyDescent="0.2">
      <c r="A102" s="494"/>
      <c r="B102" s="495"/>
      <c r="C102" s="511"/>
      <c r="D102" s="196" t="s">
        <v>2</v>
      </c>
      <c r="E102" s="196">
        <f>ART_2!J18</f>
        <v>2</v>
      </c>
      <c r="F102" s="201"/>
    </row>
    <row r="103" spans="1:6" x14ac:dyDescent="0.2">
      <c r="A103" s="494"/>
      <c r="B103" s="495"/>
      <c r="C103" s="511" t="s">
        <v>5</v>
      </c>
      <c r="D103" s="511"/>
      <c r="E103" s="196">
        <f>SUM(E98:E102)</f>
        <v>289</v>
      </c>
      <c r="F103" s="201"/>
    </row>
    <row r="104" spans="1:6" x14ac:dyDescent="0.2">
      <c r="A104" s="496" t="s">
        <v>2537</v>
      </c>
      <c r="B104" s="495" t="str">
        <f>ART_2!A18</f>
        <v>2.9 Number of patients declared permanent LFU whose last visit was before 31st December 2016  (one time figure) - reduce this figure if PLHIV come back</v>
      </c>
      <c r="C104" s="511" t="s">
        <v>1</v>
      </c>
      <c r="D104" s="511"/>
      <c r="E104" s="196">
        <f>ART_2!F19</f>
        <v>104</v>
      </c>
      <c r="F104" s="201"/>
    </row>
    <row r="105" spans="1:6" x14ac:dyDescent="0.2">
      <c r="A105" s="494"/>
      <c r="B105" s="495"/>
      <c r="C105" s="511" t="s">
        <v>2</v>
      </c>
      <c r="D105" s="511"/>
      <c r="E105" s="196">
        <f>ART_2!G19</f>
        <v>18</v>
      </c>
      <c r="F105" s="201"/>
    </row>
    <row r="106" spans="1:6" x14ac:dyDescent="0.2">
      <c r="A106" s="494"/>
      <c r="B106" s="495"/>
      <c r="C106" s="511" t="s">
        <v>3</v>
      </c>
      <c r="D106" s="511"/>
      <c r="E106" s="196">
        <f>ART_2!H19</f>
        <v>2</v>
      </c>
      <c r="F106" s="201"/>
    </row>
    <row r="107" spans="1:6" x14ac:dyDescent="0.2">
      <c r="A107" s="494"/>
      <c r="B107" s="495"/>
      <c r="C107" s="511" t="s">
        <v>4</v>
      </c>
      <c r="D107" s="196" t="s">
        <v>1</v>
      </c>
      <c r="E107" s="196">
        <f>ART_2!I19</f>
        <v>1</v>
      </c>
      <c r="F107" s="201"/>
    </row>
    <row r="108" spans="1:6" x14ac:dyDescent="0.2">
      <c r="A108" s="494"/>
      <c r="B108" s="495"/>
      <c r="C108" s="511"/>
      <c r="D108" s="196" t="s">
        <v>2</v>
      </c>
      <c r="E108" s="196">
        <f>ART_2!J19</f>
        <v>1</v>
      </c>
      <c r="F108" s="201"/>
    </row>
    <row r="109" spans="1:6" x14ac:dyDescent="0.2">
      <c r="A109" s="494"/>
      <c r="B109" s="495"/>
      <c r="C109" s="511" t="s">
        <v>5</v>
      </c>
      <c r="D109" s="511"/>
      <c r="E109" s="196">
        <f>SUM(E104:E108)</f>
        <v>126</v>
      </c>
      <c r="F109" s="201"/>
    </row>
    <row r="110" spans="1:6" ht="15" customHeight="1" x14ac:dyDescent="0.2">
      <c r="A110" s="538" t="s">
        <v>1776</v>
      </c>
      <c r="B110" s="495" t="str">
        <f>ART_2!A20</f>
        <v>2.10 Cumulative Number of PLHIV in Active Care at the end of this month (Not on ART+ On-ART) = 2.5 - (2.6 + 2.7 + 2.8 + 2.9)</v>
      </c>
      <c r="C110" s="511" t="s">
        <v>1</v>
      </c>
      <c r="D110" s="511"/>
      <c r="E110" s="196">
        <f>ART_2!F20</f>
        <v>1386</v>
      </c>
      <c r="F110" s="201"/>
    </row>
    <row r="111" spans="1:6" x14ac:dyDescent="0.2">
      <c r="A111" s="538"/>
      <c r="B111" s="495"/>
      <c r="C111" s="511" t="s">
        <v>2</v>
      </c>
      <c r="D111" s="511"/>
      <c r="E111" s="196">
        <f>ART_2!G20</f>
        <v>638</v>
      </c>
      <c r="F111" s="201"/>
    </row>
    <row r="112" spans="1:6" x14ac:dyDescent="0.2">
      <c r="A112" s="538"/>
      <c r="B112" s="495"/>
      <c r="C112" s="511" t="s">
        <v>3</v>
      </c>
      <c r="D112" s="511"/>
      <c r="E112" s="196">
        <f>ART_2!H20</f>
        <v>25</v>
      </c>
      <c r="F112" s="201"/>
    </row>
    <row r="113" spans="1:6" x14ac:dyDescent="0.2">
      <c r="A113" s="538"/>
      <c r="B113" s="495"/>
      <c r="C113" s="511" t="s">
        <v>4</v>
      </c>
      <c r="D113" s="196" t="s">
        <v>1</v>
      </c>
      <c r="E113" s="196">
        <f>ART_2!I20</f>
        <v>14</v>
      </c>
      <c r="F113" s="201"/>
    </row>
    <row r="114" spans="1:6" x14ac:dyDescent="0.2">
      <c r="A114" s="538"/>
      <c r="B114" s="495"/>
      <c r="C114" s="511"/>
      <c r="D114" s="196" t="s">
        <v>2</v>
      </c>
      <c r="E114" s="196">
        <f>ART_2!J20</f>
        <v>7</v>
      </c>
      <c r="F114" s="201"/>
    </row>
    <row r="115" spans="1:6" x14ac:dyDescent="0.2">
      <c r="A115" s="538"/>
      <c r="B115" s="495"/>
      <c r="C115" s="511" t="s">
        <v>5</v>
      </c>
      <c r="D115" s="511"/>
      <c r="E115" s="196">
        <f>SUM(E110:E114)</f>
        <v>2070</v>
      </c>
      <c r="F115" s="201"/>
    </row>
    <row r="116" spans="1:6" ht="15" customHeight="1" x14ac:dyDescent="0.2">
      <c r="A116" s="494" t="s">
        <v>2304</v>
      </c>
      <c r="B116" s="495" t="str">
        <f>ART_2!A21</f>
        <v>2.11 (a) Total number of patients registered in HIV Care during the current financial year (April - reporting month)</v>
      </c>
      <c r="C116" s="511" t="s">
        <v>1</v>
      </c>
      <c r="D116" s="511"/>
      <c r="E116" s="196">
        <f>ART_2!F21</f>
        <v>97</v>
      </c>
      <c r="F116" s="201"/>
    </row>
    <row r="117" spans="1:6" x14ac:dyDescent="0.2">
      <c r="A117" s="494"/>
      <c r="B117" s="495"/>
      <c r="C117" s="511" t="s">
        <v>2</v>
      </c>
      <c r="D117" s="511"/>
      <c r="E117" s="196">
        <f>ART_2!G21</f>
        <v>31</v>
      </c>
      <c r="F117" s="201"/>
    </row>
    <row r="118" spans="1:6" x14ac:dyDescent="0.2">
      <c r="A118" s="494"/>
      <c r="B118" s="495"/>
      <c r="C118" s="511" t="s">
        <v>3</v>
      </c>
      <c r="D118" s="511"/>
      <c r="E118" s="196">
        <f>ART_2!H21</f>
        <v>1</v>
      </c>
      <c r="F118" s="201"/>
    </row>
    <row r="119" spans="1:6" x14ac:dyDescent="0.2">
      <c r="A119" s="494"/>
      <c r="B119" s="495"/>
      <c r="C119" s="511" t="s">
        <v>4</v>
      </c>
      <c r="D119" s="196" t="s">
        <v>1</v>
      </c>
      <c r="E119" s="196">
        <f>ART_2!I21</f>
        <v>0</v>
      </c>
      <c r="F119" s="201"/>
    </row>
    <row r="120" spans="1:6" x14ac:dyDescent="0.2">
      <c r="A120" s="494"/>
      <c r="B120" s="495"/>
      <c r="C120" s="511"/>
      <c r="D120" s="196" t="s">
        <v>2</v>
      </c>
      <c r="E120" s="196">
        <f>ART_2!J21</f>
        <v>0</v>
      </c>
      <c r="F120" s="201"/>
    </row>
    <row r="121" spans="1:6" x14ac:dyDescent="0.2">
      <c r="A121" s="494"/>
      <c r="B121" s="495"/>
      <c r="C121" s="511" t="s">
        <v>5</v>
      </c>
      <c r="D121" s="511"/>
      <c r="E121" s="196">
        <f>E116+E117+E118+E119+E120</f>
        <v>129</v>
      </c>
      <c r="F121" s="201"/>
    </row>
    <row r="122" spans="1:6" ht="15" customHeight="1" x14ac:dyDescent="0.2">
      <c r="A122" s="494" t="s">
        <v>2305</v>
      </c>
      <c r="B122" s="495" t="str">
        <f>ART_2!A22</f>
        <v xml:space="preserve">2.11 (b) Out of 2.11 (a), number of PLHIV who have undergone baseline CD4 test </v>
      </c>
      <c r="C122" s="511" t="s">
        <v>1</v>
      </c>
      <c r="D122" s="511"/>
      <c r="E122" s="196">
        <f>ART_2!F22</f>
        <v>84</v>
      </c>
      <c r="F122" s="201"/>
    </row>
    <row r="123" spans="1:6" x14ac:dyDescent="0.2">
      <c r="A123" s="494"/>
      <c r="B123" s="495"/>
      <c r="C123" s="511" t="s">
        <v>2</v>
      </c>
      <c r="D123" s="511"/>
      <c r="E123" s="196">
        <f>ART_2!G22</f>
        <v>29</v>
      </c>
      <c r="F123" s="201"/>
    </row>
    <row r="124" spans="1:6" x14ac:dyDescent="0.2">
      <c r="A124" s="494"/>
      <c r="B124" s="495"/>
      <c r="C124" s="511" t="s">
        <v>3</v>
      </c>
      <c r="D124" s="511"/>
      <c r="E124" s="196">
        <f>ART_2!H22</f>
        <v>1</v>
      </c>
      <c r="F124" s="201"/>
    </row>
    <row r="125" spans="1:6" x14ac:dyDescent="0.2">
      <c r="A125" s="494"/>
      <c r="B125" s="495"/>
      <c r="C125" s="511" t="s">
        <v>4</v>
      </c>
      <c r="D125" s="196" t="s">
        <v>1</v>
      </c>
      <c r="E125" s="196">
        <f>ART_2!I22</f>
        <v>0</v>
      </c>
      <c r="F125" s="201"/>
    </row>
    <row r="126" spans="1:6" x14ac:dyDescent="0.2">
      <c r="A126" s="494"/>
      <c r="B126" s="495"/>
      <c r="C126" s="511"/>
      <c r="D126" s="196" t="s">
        <v>2</v>
      </c>
      <c r="E126" s="196">
        <f>ART_2!J22</f>
        <v>0</v>
      </c>
      <c r="F126" s="201"/>
    </row>
    <row r="127" spans="1:6" x14ac:dyDescent="0.2">
      <c r="A127" s="494"/>
      <c r="B127" s="495"/>
      <c r="C127" s="511" t="s">
        <v>5</v>
      </c>
      <c r="D127" s="511"/>
      <c r="E127" s="196">
        <f>E122+E123+E124+E125+E126</f>
        <v>114</v>
      </c>
      <c r="F127" s="201"/>
    </row>
    <row r="128" spans="1:6" ht="15" customHeight="1" x14ac:dyDescent="0.2">
      <c r="A128" s="519" t="s">
        <v>2306</v>
      </c>
      <c r="B128" s="495" t="str">
        <f>ART_2!A23</f>
        <v>2.11 (c) Out of 2.11 (a), number of PLHIV eligible for ART</v>
      </c>
      <c r="C128" s="511" t="s">
        <v>1</v>
      </c>
      <c r="D128" s="511"/>
      <c r="E128" s="196">
        <f>ART_2!F23</f>
        <v>97</v>
      </c>
      <c r="F128" s="201"/>
    </row>
    <row r="129" spans="1:6" x14ac:dyDescent="0.2">
      <c r="A129" s="519"/>
      <c r="B129" s="495"/>
      <c r="C129" s="511" t="s">
        <v>2</v>
      </c>
      <c r="D129" s="511"/>
      <c r="E129" s="196">
        <f>ART_2!G23</f>
        <v>31</v>
      </c>
      <c r="F129" s="201"/>
    </row>
    <row r="130" spans="1:6" x14ac:dyDescent="0.2">
      <c r="A130" s="519"/>
      <c r="B130" s="495"/>
      <c r="C130" s="511" t="s">
        <v>3</v>
      </c>
      <c r="D130" s="511"/>
      <c r="E130" s="196">
        <f>ART_2!H23</f>
        <v>1</v>
      </c>
      <c r="F130" s="201"/>
    </row>
    <row r="131" spans="1:6" x14ac:dyDescent="0.2">
      <c r="A131" s="519"/>
      <c r="B131" s="495"/>
      <c r="C131" s="511" t="s">
        <v>4</v>
      </c>
      <c r="D131" s="196" t="s">
        <v>1</v>
      </c>
      <c r="E131" s="196">
        <f>ART_2!I23</f>
        <v>0</v>
      </c>
      <c r="F131" s="201"/>
    </row>
    <row r="132" spans="1:6" x14ac:dyDescent="0.2">
      <c r="A132" s="519"/>
      <c r="B132" s="495"/>
      <c r="C132" s="511"/>
      <c r="D132" s="196" t="s">
        <v>2</v>
      </c>
      <c r="E132" s="196">
        <f>ART_2!J23</f>
        <v>0</v>
      </c>
      <c r="F132" s="201"/>
    </row>
    <row r="133" spans="1:6" x14ac:dyDescent="0.2">
      <c r="A133" s="519"/>
      <c r="B133" s="495"/>
      <c r="C133" s="511" t="s">
        <v>5</v>
      </c>
      <c r="D133" s="511"/>
      <c r="E133" s="196">
        <f>E128+E129+E130+E131+E132</f>
        <v>129</v>
      </c>
      <c r="F133" s="201"/>
    </row>
    <row r="134" spans="1:6" ht="15" customHeight="1" x14ac:dyDescent="0.2">
      <c r="A134" s="494" t="s">
        <v>2307</v>
      </c>
      <c r="B134" s="495" t="str">
        <f>ART_2!A24</f>
        <v>2.11 (d) Out of 2.11 (c), number of PLHIV initiated on ART</v>
      </c>
      <c r="C134" s="511" t="s">
        <v>1</v>
      </c>
      <c r="D134" s="511"/>
      <c r="E134" s="196">
        <f>ART_2!F24</f>
        <v>91</v>
      </c>
      <c r="F134" s="201"/>
    </row>
    <row r="135" spans="1:6" x14ac:dyDescent="0.2">
      <c r="A135" s="494"/>
      <c r="B135" s="495"/>
      <c r="C135" s="511" t="s">
        <v>2</v>
      </c>
      <c r="D135" s="511"/>
      <c r="E135" s="196">
        <f>ART_2!G24</f>
        <v>31</v>
      </c>
      <c r="F135" s="201"/>
    </row>
    <row r="136" spans="1:6" x14ac:dyDescent="0.2">
      <c r="A136" s="494"/>
      <c r="B136" s="495"/>
      <c r="C136" s="511" t="s">
        <v>3</v>
      </c>
      <c r="D136" s="511"/>
      <c r="E136" s="196">
        <f>ART_2!H24</f>
        <v>1</v>
      </c>
      <c r="F136" s="201"/>
    </row>
    <row r="137" spans="1:6" x14ac:dyDescent="0.2">
      <c r="A137" s="494"/>
      <c r="B137" s="495"/>
      <c r="C137" s="511" t="s">
        <v>4</v>
      </c>
      <c r="D137" s="196" t="s">
        <v>1</v>
      </c>
      <c r="E137" s="196">
        <f>ART_2!I24</f>
        <v>0</v>
      </c>
      <c r="F137" s="201"/>
    </row>
    <row r="138" spans="1:6" x14ac:dyDescent="0.2">
      <c r="A138" s="494"/>
      <c r="B138" s="495"/>
      <c r="C138" s="511"/>
      <c r="D138" s="196" t="s">
        <v>2</v>
      </c>
      <c r="E138" s="196">
        <f>ART_2!J24</f>
        <v>0</v>
      </c>
      <c r="F138" s="201"/>
    </row>
    <row r="139" spans="1:6" x14ac:dyDescent="0.2">
      <c r="A139" s="494"/>
      <c r="B139" s="495"/>
      <c r="C139" s="511" t="s">
        <v>5</v>
      </c>
      <c r="D139" s="511"/>
      <c r="E139" s="196">
        <f>E134+E135+E136+E137+E138</f>
        <v>123</v>
      </c>
      <c r="F139" s="201"/>
    </row>
    <row r="140" spans="1:6" x14ac:dyDescent="0.2">
      <c r="A140" s="494" t="s">
        <v>2308</v>
      </c>
      <c r="B140" s="495" t="str">
        <f>ART_2!A25</f>
        <v>2.11 (e) Out of 2.11 (d), number of PLHIV reported died</v>
      </c>
      <c r="C140" s="511" t="s">
        <v>1</v>
      </c>
      <c r="D140" s="511"/>
      <c r="E140" s="196">
        <f>ART_2!F25</f>
        <v>0</v>
      </c>
      <c r="F140" s="201"/>
    </row>
    <row r="141" spans="1:6" x14ac:dyDescent="0.2">
      <c r="A141" s="494"/>
      <c r="B141" s="495"/>
      <c r="C141" s="511" t="s">
        <v>2</v>
      </c>
      <c r="D141" s="511"/>
      <c r="E141" s="196">
        <f>ART_2!G25</f>
        <v>1</v>
      </c>
      <c r="F141" s="201"/>
    </row>
    <row r="142" spans="1:6" x14ac:dyDescent="0.2">
      <c r="A142" s="494"/>
      <c r="B142" s="495"/>
      <c r="C142" s="511" t="s">
        <v>3</v>
      </c>
      <c r="D142" s="511"/>
      <c r="E142" s="196">
        <f>ART_2!H25</f>
        <v>0</v>
      </c>
      <c r="F142" s="201"/>
    </row>
    <row r="143" spans="1:6" x14ac:dyDescent="0.2">
      <c r="A143" s="494"/>
      <c r="B143" s="495"/>
      <c r="C143" s="511" t="s">
        <v>4</v>
      </c>
      <c r="D143" s="196" t="s">
        <v>1</v>
      </c>
      <c r="E143" s="196">
        <f>ART_2!I25</f>
        <v>0</v>
      </c>
      <c r="F143" s="201"/>
    </row>
    <row r="144" spans="1:6" x14ac:dyDescent="0.2">
      <c r="A144" s="494"/>
      <c r="B144" s="495"/>
      <c r="C144" s="511"/>
      <c r="D144" s="196" t="s">
        <v>2</v>
      </c>
      <c r="E144" s="196">
        <f>ART_2!J25</f>
        <v>0</v>
      </c>
      <c r="F144" s="201"/>
    </row>
    <row r="145" spans="1:6" x14ac:dyDescent="0.2">
      <c r="A145" s="494"/>
      <c r="B145" s="495"/>
      <c r="C145" s="511" t="s">
        <v>5</v>
      </c>
      <c r="D145" s="511"/>
      <c r="E145" s="196">
        <f>E140+E141+E142+E143+E144</f>
        <v>1</v>
      </c>
      <c r="F145" s="201"/>
    </row>
    <row r="146" spans="1:6" ht="14.25" customHeight="1" x14ac:dyDescent="0.2">
      <c r="A146" s="494" t="s">
        <v>2309</v>
      </c>
      <c r="B146" s="495" t="str">
        <f>ART_2!A26</f>
        <v>2.11 (f) Out of 2.11 (d), number of PLHIV whose status is LFU</v>
      </c>
      <c r="C146" s="511" t="s">
        <v>1</v>
      </c>
      <c r="D146" s="511"/>
      <c r="E146" s="196">
        <f>ART_2!F26</f>
        <v>3</v>
      </c>
      <c r="F146" s="201"/>
    </row>
    <row r="147" spans="1:6" x14ac:dyDescent="0.2">
      <c r="A147" s="494"/>
      <c r="B147" s="495"/>
      <c r="C147" s="511" t="s">
        <v>2</v>
      </c>
      <c r="D147" s="511"/>
      <c r="E147" s="196">
        <f>ART_2!G26</f>
        <v>1</v>
      </c>
      <c r="F147" s="201"/>
    </row>
    <row r="148" spans="1:6" x14ac:dyDescent="0.2">
      <c r="A148" s="494"/>
      <c r="B148" s="495"/>
      <c r="C148" s="511" t="s">
        <v>3</v>
      </c>
      <c r="D148" s="511"/>
      <c r="E148" s="196">
        <f>ART_2!H26</f>
        <v>0</v>
      </c>
      <c r="F148" s="201"/>
    </row>
    <row r="149" spans="1:6" x14ac:dyDescent="0.2">
      <c r="A149" s="494"/>
      <c r="B149" s="495"/>
      <c r="C149" s="511" t="s">
        <v>4</v>
      </c>
      <c r="D149" s="196" t="s">
        <v>1</v>
      </c>
      <c r="E149" s="196">
        <f>ART_2!I26</f>
        <v>0</v>
      </c>
      <c r="F149" s="201"/>
    </row>
    <row r="150" spans="1:6" x14ac:dyDescent="0.2">
      <c r="A150" s="494"/>
      <c r="B150" s="495"/>
      <c r="C150" s="511"/>
      <c r="D150" s="196" t="s">
        <v>2</v>
      </c>
      <c r="E150" s="196">
        <f>ART_2!J26</f>
        <v>0</v>
      </c>
      <c r="F150" s="201"/>
    </row>
    <row r="151" spans="1:6" x14ac:dyDescent="0.2">
      <c r="A151" s="494"/>
      <c r="B151" s="495"/>
      <c r="C151" s="511" t="s">
        <v>5</v>
      </c>
      <c r="D151" s="511"/>
      <c r="E151" s="196">
        <f>E146+E147+E148+E149+E150</f>
        <v>4</v>
      </c>
      <c r="F151" s="201"/>
    </row>
    <row r="152" spans="1:6" ht="14.25" customHeight="1" x14ac:dyDescent="0.2">
      <c r="A152" s="494" t="s">
        <v>2310</v>
      </c>
      <c r="B152" s="495" t="str">
        <f>ART_2!A27</f>
        <v>2.11 (g) Out of 2.11 (d), number of PLHIV whose treatment status is "stopped treatment/ opted out of Program"</v>
      </c>
      <c r="C152" s="511" t="s">
        <v>1</v>
      </c>
      <c r="D152" s="511"/>
      <c r="E152" s="196">
        <f>ART_2!F27</f>
        <v>1</v>
      </c>
      <c r="F152" s="201"/>
    </row>
    <row r="153" spans="1:6" x14ac:dyDescent="0.2">
      <c r="A153" s="494"/>
      <c r="B153" s="495"/>
      <c r="C153" s="511" t="s">
        <v>2</v>
      </c>
      <c r="D153" s="511"/>
      <c r="E153" s="196">
        <f>ART_2!G27</f>
        <v>0</v>
      </c>
      <c r="F153" s="201"/>
    </row>
    <row r="154" spans="1:6" x14ac:dyDescent="0.2">
      <c r="A154" s="494"/>
      <c r="B154" s="495"/>
      <c r="C154" s="511" t="s">
        <v>3</v>
      </c>
      <c r="D154" s="511"/>
      <c r="E154" s="196">
        <f>ART_2!H27</f>
        <v>0</v>
      </c>
      <c r="F154" s="201"/>
    </row>
    <row r="155" spans="1:6" x14ac:dyDescent="0.2">
      <c r="A155" s="494"/>
      <c r="B155" s="495"/>
      <c r="C155" s="511" t="s">
        <v>4</v>
      </c>
      <c r="D155" s="196" t="s">
        <v>1</v>
      </c>
      <c r="E155" s="196">
        <f>ART_2!I27</f>
        <v>0</v>
      </c>
      <c r="F155" s="201"/>
    </row>
    <row r="156" spans="1:6" x14ac:dyDescent="0.2">
      <c r="A156" s="494"/>
      <c r="B156" s="495"/>
      <c r="C156" s="511"/>
      <c r="D156" s="196" t="s">
        <v>2</v>
      </c>
      <c r="E156" s="196">
        <f>ART_2!J27</f>
        <v>0</v>
      </c>
      <c r="F156" s="201"/>
    </row>
    <row r="157" spans="1:6" x14ac:dyDescent="0.2">
      <c r="A157" s="494"/>
      <c r="B157" s="495"/>
      <c r="C157" s="511" t="s">
        <v>5</v>
      </c>
      <c r="D157" s="511"/>
      <c r="E157" s="196">
        <f>E152+E153+E154+E155+E156</f>
        <v>1</v>
      </c>
      <c r="F157" s="201"/>
    </row>
    <row r="158" spans="1:6" x14ac:dyDescent="0.2">
      <c r="A158" s="494" t="s">
        <v>2311</v>
      </c>
      <c r="B158" s="495" t="str">
        <f>ART_2!A28</f>
        <v>2.11 (h) Out of 2.11 (d), number of PLHIV who have been transferred out of the ART Centre</v>
      </c>
      <c r="C158" s="511" t="s">
        <v>1</v>
      </c>
      <c r="D158" s="511"/>
      <c r="E158" s="196">
        <f>ART_2!F28</f>
        <v>3</v>
      </c>
      <c r="F158" s="201"/>
    </row>
    <row r="159" spans="1:6" x14ac:dyDescent="0.2">
      <c r="A159" s="494"/>
      <c r="B159" s="495"/>
      <c r="C159" s="511" t="s">
        <v>2</v>
      </c>
      <c r="D159" s="511"/>
      <c r="E159" s="196">
        <f>ART_2!G28</f>
        <v>1</v>
      </c>
      <c r="F159" s="201"/>
    </row>
    <row r="160" spans="1:6" x14ac:dyDescent="0.2">
      <c r="A160" s="494"/>
      <c r="B160" s="495"/>
      <c r="C160" s="511" t="s">
        <v>3</v>
      </c>
      <c r="D160" s="511"/>
      <c r="E160" s="196">
        <f>ART_2!H28</f>
        <v>0</v>
      </c>
      <c r="F160" s="201"/>
    </row>
    <row r="161" spans="1:6" x14ac:dyDescent="0.2">
      <c r="A161" s="494"/>
      <c r="B161" s="495"/>
      <c r="C161" s="511" t="s">
        <v>4</v>
      </c>
      <c r="D161" s="196" t="s">
        <v>1</v>
      </c>
      <c r="E161" s="196">
        <f>ART_2!I28</f>
        <v>0</v>
      </c>
      <c r="F161" s="201"/>
    </row>
    <row r="162" spans="1:6" x14ac:dyDescent="0.2">
      <c r="A162" s="494"/>
      <c r="B162" s="495"/>
      <c r="C162" s="511"/>
      <c r="D162" s="196" t="s">
        <v>2</v>
      </c>
      <c r="E162" s="196">
        <f>ART_2!J28</f>
        <v>0</v>
      </c>
      <c r="F162" s="201"/>
    </row>
    <row r="163" spans="1:6" x14ac:dyDescent="0.2">
      <c r="A163" s="494"/>
      <c r="B163" s="495"/>
      <c r="C163" s="511" t="s">
        <v>5</v>
      </c>
      <c r="D163" s="511"/>
      <c r="E163" s="196">
        <f>SUM(E158:E162)</f>
        <v>4</v>
      </c>
      <c r="F163" s="201"/>
    </row>
    <row r="164" spans="1:6" ht="15" customHeight="1" x14ac:dyDescent="0.2">
      <c r="A164" s="538" t="s">
        <v>2312</v>
      </c>
      <c r="B164" s="495" t="str">
        <f>ART_2!A29</f>
        <v>2.11 (i) Out of 2.11 (d), number of PLHIV alive &amp; on ART
(2.11 (d) - 2.11 (e) - 2.11 (f) - 2.11 (g) - 2.11(h))</v>
      </c>
      <c r="C164" s="511" t="s">
        <v>1</v>
      </c>
      <c r="D164" s="511"/>
      <c r="E164" s="196">
        <f>ART_2!F29</f>
        <v>84</v>
      </c>
      <c r="F164" s="201"/>
    </row>
    <row r="165" spans="1:6" x14ac:dyDescent="0.2">
      <c r="A165" s="538"/>
      <c r="B165" s="495"/>
      <c r="C165" s="511" t="s">
        <v>2</v>
      </c>
      <c r="D165" s="511"/>
      <c r="E165" s="196">
        <f>ART_2!G29</f>
        <v>28</v>
      </c>
      <c r="F165" s="201"/>
    </row>
    <row r="166" spans="1:6" x14ac:dyDescent="0.2">
      <c r="A166" s="538"/>
      <c r="B166" s="495"/>
      <c r="C166" s="511" t="s">
        <v>3</v>
      </c>
      <c r="D166" s="511"/>
      <c r="E166" s="196">
        <f>ART_2!H29</f>
        <v>1</v>
      </c>
      <c r="F166" s="201"/>
    </row>
    <row r="167" spans="1:6" x14ac:dyDescent="0.2">
      <c r="A167" s="538"/>
      <c r="B167" s="495"/>
      <c r="C167" s="511" t="s">
        <v>4</v>
      </c>
      <c r="D167" s="196" t="s">
        <v>1</v>
      </c>
      <c r="E167" s="196">
        <f>ART_2!I29</f>
        <v>0</v>
      </c>
      <c r="F167" s="201"/>
    </row>
    <row r="168" spans="1:6" x14ac:dyDescent="0.2">
      <c r="A168" s="538"/>
      <c r="B168" s="495"/>
      <c r="C168" s="511"/>
      <c r="D168" s="196" t="s">
        <v>2</v>
      </c>
      <c r="E168" s="196">
        <f>ART_2!J29</f>
        <v>0</v>
      </c>
      <c r="F168" s="201"/>
    </row>
    <row r="169" spans="1:6" x14ac:dyDescent="0.2">
      <c r="A169" s="538"/>
      <c r="B169" s="495"/>
      <c r="C169" s="511" t="s">
        <v>5</v>
      </c>
      <c r="D169" s="511"/>
      <c r="E169" s="196">
        <f>E164+E165+E166+E167+E168</f>
        <v>113</v>
      </c>
      <c r="F169" s="201"/>
    </row>
    <row r="170" spans="1:6" ht="15" customHeight="1" x14ac:dyDescent="0.2">
      <c r="A170" s="494">
        <v>2.12</v>
      </c>
      <c r="B170" s="495" t="str">
        <f>ART_2!A30</f>
        <v>2.12 Total number of patients found eligible for ART 2 months prior to reporting month</v>
      </c>
      <c r="C170" s="511" t="s">
        <v>1</v>
      </c>
      <c r="D170" s="511"/>
      <c r="E170" s="196">
        <f>ART_2!F30</f>
        <v>23</v>
      </c>
      <c r="F170" s="201"/>
    </row>
    <row r="171" spans="1:6" x14ac:dyDescent="0.2">
      <c r="A171" s="494"/>
      <c r="B171" s="495"/>
      <c r="C171" s="511" t="s">
        <v>2</v>
      </c>
      <c r="D171" s="511"/>
      <c r="E171" s="196">
        <f>ART_2!G30</f>
        <v>7</v>
      </c>
      <c r="F171" s="201"/>
    </row>
    <row r="172" spans="1:6" x14ac:dyDescent="0.2">
      <c r="A172" s="494"/>
      <c r="B172" s="495"/>
      <c r="C172" s="511" t="s">
        <v>3</v>
      </c>
      <c r="D172" s="511"/>
      <c r="E172" s="196">
        <f>ART_2!H30</f>
        <v>0</v>
      </c>
      <c r="F172" s="201"/>
    </row>
    <row r="173" spans="1:6" x14ac:dyDescent="0.2">
      <c r="A173" s="494"/>
      <c r="B173" s="495"/>
      <c r="C173" s="511" t="s">
        <v>4</v>
      </c>
      <c r="D173" s="196" t="s">
        <v>1</v>
      </c>
      <c r="E173" s="196">
        <f>ART_2!I30</f>
        <v>0</v>
      </c>
      <c r="F173" s="201"/>
    </row>
    <row r="174" spans="1:6" x14ac:dyDescent="0.2">
      <c r="A174" s="494"/>
      <c r="B174" s="495"/>
      <c r="C174" s="511"/>
      <c r="D174" s="196" t="s">
        <v>2</v>
      </c>
      <c r="E174" s="196">
        <f>ART_2!J30</f>
        <v>0</v>
      </c>
      <c r="F174" s="201"/>
    </row>
    <row r="175" spans="1:6" x14ac:dyDescent="0.2">
      <c r="A175" s="494"/>
      <c r="B175" s="495"/>
      <c r="C175" s="511" t="s">
        <v>5</v>
      </c>
      <c r="D175" s="511"/>
      <c r="E175" s="196">
        <f>E170+E171+E172+E173+E174</f>
        <v>30</v>
      </c>
      <c r="F175" s="201"/>
    </row>
    <row r="176" spans="1:6" ht="15" customHeight="1" x14ac:dyDescent="0.2">
      <c r="A176" s="494" t="s">
        <v>0</v>
      </c>
      <c r="B176" s="495" t="str">
        <f>ART_2!A31</f>
        <v>2.12 (a) Out of 2.12, how many have been initiated on ART till end of this month</v>
      </c>
      <c r="C176" s="511" t="s">
        <v>1</v>
      </c>
      <c r="D176" s="511"/>
      <c r="E176" s="196">
        <f>ART_2!F31</f>
        <v>21</v>
      </c>
      <c r="F176" s="201"/>
    </row>
    <row r="177" spans="1:6" x14ac:dyDescent="0.2">
      <c r="A177" s="494"/>
      <c r="B177" s="495"/>
      <c r="C177" s="511" t="s">
        <v>2</v>
      </c>
      <c r="D177" s="511"/>
      <c r="E177" s="196">
        <f>ART_2!G31</f>
        <v>7</v>
      </c>
      <c r="F177" s="201"/>
    </row>
    <row r="178" spans="1:6" x14ac:dyDescent="0.2">
      <c r="A178" s="494"/>
      <c r="B178" s="495"/>
      <c r="C178" s="511" t="s">
        <v>3</v>
      </c>
      <c r="D178" s="511"/>
      <c r="E178" s="196">
        <f>ART_2!H31</f>
        <v>0</v>
      </c>
      <c r="F178" s="201"/>
    </row>
    <row r="179" spans="1:6" x14ac:dyDescent="0.2">
      <c r="A179" s="494"/>
      <c r="B179" s="495"/>
      <c r="C179" s="511" t="s">
        <v>4</v>
      </c>
      <c r="D179" s="196" t="s">
        <v>1</v>
      </c>
      <c r="E179" s="196">
        <f>ART_2!I31</f>
        <v>0</v>
      </c>
      <c r="F179" s="201"/>
    </row>
    <row r="180" spans="1:6" x14ac:dyDescent="0.2">
      <c r="A180" s="494"/>
      <c r="B180" s="495"/>
      <c r="C180" s="511"/>
      <c r="D180" s="196" t="s">
        <v>2</v>
      </c>
      <c r="E180" s="196">
        <f>ART_2!J31</f>
        <v>0</v>
      </c>
      <c r="F180" s="201"/>
    </row>
    <row r="181" spans="1:6" x14ac:dyDescent="0.2">
      <c r="A181" s="494"/>
      <c r="B181" s="495"/>
      <c r="C181" s="511" t="s">
        <v>5</v>
      </c>
      <c r="D181" s="511"/>
      <c r="E181" s="196">
        <f>E176+E177+E178+E179+E180</f>
        <v>28</v>
      </c>
      <c r="F181" s="201"/>
    </row>
    <row r="182" spans="1:6" x14ac:dyDescent="0.2">
      <c r="A182" s="494">
        <v>3.1</v>
      </c>
      <c r="B182" s="495" t="str">
        <f>ART_2!A35</f>
        <v>3.1 Number of PLHIV ever started on ART at the beginning of this month (3.5 of previous month)</v>
      </c>
      <c r="C182" s="511" t="s">
        <v>1</v>
      </c>
      <c r="D182" s="511"/>
      <c r="E182" s="196">
        <f>ART_2!F35</f>
        <v>2294</v>
      </c>
      <c r="F182" s="201"/>
    </row>
    <row r="183" spans="1:6" x14ac:dyDescent="0.2">
      <c r="A183" s="494"/>
      <c r="B183" s="495"/>
      <c r="C183" s="511" t="s">
        <v>2</v>
      </c>
      <c r="D183" s="511"/>
      <c r="E183" s="196">
        <f>ART_2!G35</f>
        <v>925</v>
      </c>
      <c r="F183" s="201"/>
    </row>
    <row r="184" spans="1:6" x14ac:dyDescent="0.2">
      <c r="A184" s="494"/>
      <c r="B184" s="495"/>
      <c r="C184" s="511" t="s">
        <v>3</v>
      </c>
      <c r="D184" s="511"/>
      <c r="E184" s="196">
        <f>ART_2!H35</f>
        <v>41</v>
      </c>
      <c r="F184" s="201"/>
    </row>
    <row r="185" spans="1:6" x14ac:dyDescent="0.2">
      <c r="A185" s="494"/>
      <c r="B185" s="495"/>
      <c r="C185" s="511" t="s">
        <v>4</v>
      </c>
      <c r="D185" s="196" t="s">
        <v>1</v>
      </c>
      <c r="E185" s="196">
        <f>ART_2!I35</f>
        <v>25</v>
      </c>
      <c r="F185" s="201"/>
    </row>
    <row r="186" spans="1:6" x14ac:dyDescent="0.2">
      <c r="A186" s="494"/>
      <c r="B186" s="495"/>
      <c r="C186" s="511"/>
      <c r="D186" s="196" t="s">
        <v>2</v>
      </c>
      <c r="E186" s="196">
        <f>ART_2!J35</f>
        <v>11</v>
      </c>
      <c r="F186" s="201"/>
    </row>
    <row r="187" spans="1:6" x14ac:dyDescent="0.2">
      <c r="A187" s="494"/>
      <c r="B187" s="495"/>
      <c r="C187" s="511" t="s">
        <v>5</v>
      </c>
      <c r="D187" s="511"/>
      <c r="E187" s="196">
        <f>E182+E183+E184+E185+E186</f>
        <v>3296</v>
      </c>
      <c r="F187" s="201"/>
    </row>
    <row r="188" spans="1:6" ht="15" customHeight="1" x14ac:dyDescent="0.2">
      <c r="A188" s="494">
        <v>3.2</v>
      </c>
      <c r="B188" s="495" t="str">
        <f>ART_2!A36</f>
        <v>3.2 Number of new PLHIV started on ART during this month</v>
      </c>
      <c r="C188" s="511" t="s">
        <v>1</v>
      </c>
      <c r="D188" s="511"/>
      <c r="E188" s="196">
        <f>ART_2!F36</f>
        <v>14</v>
      </c>
      <c r="F188" s="201"/>
    </row>
    <row r="189" spans="1:6" x14ac:dyDescent="0.2">
      <c r="A189" s="494"/>
      <c r="B189" s="495"/>
      <c r="C189" s="511" t="s">
        <v>2</v>
      </c>
      <c r="D189" s="511"/>
      <c r="E189" s="196">
        <f>ART_2!G36</f>
        <v>4</v>
      </c>
      <c r="F189" s="201"/>
    </row>
    <row r="190" spans="1:6" x14ac:dyDescent="0.2">
      <c r="A190" s="494"/>
      <c r="B190" s="495"/>
      <c r="C190" s="511" t="s">
        <v>3</v>
      </c>
      <c r="D190" s="511"/>
      <c r="E190" s="196">
        <f>ART_2!H36</f>
        <v>0</v>
      </c>
      <c r="F190" s="201"/>
    </row>
    <row r="191" spans="1:6" x14ac:dyDescent="0.2">
      <c r="A191" s="494"/>
      <c r="B191" s="495"/>
      <c r="C191" s="511" t="s">
        <v>4</v>
      </c>
      <c r="D191" s="196" t="s">
        <v>1</v>
      </c>
      <c r="E191" s="196">
        <f>ART_2!I36</f>
        <v>0</v>
      </c>
      <c r="F191" s="201"/>
    </row>
    <row r="192" spans="1:6" x14ac:dyDescent="0.2">
      <c r="A192" s="494"/>
      <c r="B192" s="495"/>
      <c r="C192" s="511"/>
      <c r="D192" s="196" t="s">
        <v>2</v>
      </c>
      <c r="E192" s="196">
        <f>ART_2!J36</f>
        <v>0</v>
      </c>
      <c r="F192" s="201"/>
    </row>
    <row r="193" spans="1:6" x14ac:dyDescent="0.2">
      <c r="A193" s="494"/>
      <c r="B193" s="495"/>
      <c r="C193" s="511" t="s">
        <v>5</v>
      </c>
      <c r="D193" s="511"/>
      <c r="E193" s="196">
        <f>E188+E189+E190+E191+E192</f>
        <v>18</v>
      </c>
      <c r="F193" s="201"/>
    </row>
    <row r="194" spans="1:6" ht="15" customHeight="1" x14ac:dyDescent="0.2">
      <c r="A194" s="494">
        <v>3.3</v>
      </c>
      <c r="B194" s="495" t="str">
        <f>ART_2!A37</f>
        <v>3.3 Number of PLHIV on ART "transferred in" during this month</v>
      </c>
      <c r="C194" s="511" t="s">
        <v>1</v>
      </c>
      <c r="D194" s="511"/>
      <c r="E194" s="196">
        <f>ART_2!F37</f>
        <v>6</v>
      </c>
      <c r="F194" s="201"/>
    </row>
    <row r="195" spans="1:6" x14ac:dyDescent="0.2">
      <c r="A195" s="494"/>
      <c r="B195" s="495"/>
      <c r="C195" s="511" t="s">
        <v>2</v>
      </c>
      <c r="D195" s="511"/>
      <c r="E195" s="196">
        <f>ART_2!G37</f>
        <v>1</v>
      </c>
      <c r="F195" s="201"/>
    </row>
    <row r="196" spans="1:6" x14ac:dyDescent="0.2">
      <c r="A196" s="494"/>
      <c r="B196" s="495"/>
      <c r="C196" s="511" t="s">
        <v>3</v>
      </c>
      <c r="D196" s="511"/>
      <c r="E196" s="196">
        <f>ART_2!H37</f>
        <v>0</v>
      </c>
      <c r="F196" s="201"/>
    </row>
    <row r="197" spans="1:6" x14ac:dyDescent="0.2">
      <c r="A197" s="494"/>
      <c r="B197" s="495"/>
      <c r="C197" s="511" t="s">
        <v>4</v>
      </c>
      <c r="D197" s="196" t="s">
        <v>1</v>
      </c>
      <c r="E197" s="196">
        <f>ART_2!I37</f>
        <v>0</v>
      </c>
      <c r="F197" s="201"/>
    </row>
    <row r="198" spans="1:6" x14ac:dyDescent="0.2">
      <c r="A198" s="494"/>
      <c r="B198" s="495"/>
      <c r="C198" s="511"/>
      <c r="D198" s="196" t="s">
        <v>2</v>
      </c>
      <c r="E198" s="196">
        <f>ART_2!J37</f>
        <v>0</v>
      </c>
      <c r="F198" s="201"/>
    </row>
    <row r="199" spans="1:6" x14ac:dyDescent="0.2">
      <c r="A199" s="494"/>
      <c r="B199" s="495"/>
      <c r="C199" s="511" t="s">
        <v>5</v>
      </c>
      <c r="D199" s="511"/>
      <c r="E199" s="196">
        <f>E194+E195+E196+E197+E198</f>
        <v>7</v>
      </c>
      <c r="F199" s="201"/>
    </row>
    <row r="200" spans="1:6" ht="15" customHeight="1" x14ac:dyDescent="0.2">
      <c r="A200" s="494">
        <v>3.4</v>
      </c>
      <c r="B200" s="495" t="str">
        <f>ART_2!A38</f>
        <v>3.4 Number of PLHIV on ART  "transferred out" during this month</v>
      </c>
      <c r="C200" s="511" t="s">
        <v>1</v>
      </c>
      <c r="D200" s="511"/>
      <c r="E200" s="196">
        <f>ART_2!F38</f>
        <v>0</v>
      </c>
      <c r="F200" s="201"/>
    </row>
    <row r="201" spans="1:6" x14ac:dyDescent="0.2">
      <c r="A201" s="494"/>
      <c r="B201" s="495"/>
      <c r="C201" s="511" t="s">
        <v>2</v>
      </c>
      <c r="D201" s="511"/>
      <c r="E201" s="196">
        <f>ART_2!G38</f>
        <v>1</v>
      </c>
      <c r="F201" s="201"/>
    </row>
    <row r="202" spans="1:6" x14ac:dyDescent="0.2">
      <c r="A202" s="494"/>
      <c r="B202" s="495"/>
      <c r="C202" s="511" t="s">
        <v>3</v>
      </c>
      <c r="D202" s="511"/>
      <c r="E202" s="196">
        <f>ART_2!H38</f>
        <v>0</v>
      </c>
      <c r="F202" s="201"/>
    </row>
    <row r="203" spans="1:6" x14ac:dyDescent="0.2">
      <c r="A203" s="494"/>
      <c r="B203" s="495"/>
      <c r="C203" s="511" t="s">
        <v>4</v>
      </c>
      <c r="D203" s="196" t="s">
        <v>1</v>
      </c>
      <c r="E203" s="196">
        <f>ART_2!I38</f>
        <v>0</v>
      </c>
      <c r="F203" s="201"/>
    </row>
    <row r="204" spans="1:6" x14ac:dyDescent="0.2">
      <c r="A204" s="494"/>
      <c r="B204" s="495"/>
      <c r="C204" s="511"/>
      <c r="D204" s="196" t="s">
        <v>2</v>
      </c>
      <c r="E204" s="196">
        <f>ART_2!J38</f>
        <v>0</v>
      </c>
      <c r="F204" s="201"/>
    </row>
    <row r="205" spans="1:6" x14ac:dyDescent="0.2">
      <c r="A205" s="494"/>
      <c r="B205" s="495"/>
      <c r="C205" s="511" t="s">
        <v>5</v>
      </c>
      <c r="D205" s="511"/>
      <c r="E205" s="196">
        <f>E200+E201+E202+E203+E204</f>
        <v>1</v>
      </c>
      <c r="F205" s="201"/>
    </row>
    <row r="206" spans="1:6" ht="15" customHeight="1" x14ac:dyDescent="0.2">
      <c r="A206" s="494">
        <v>3.5</v>
      </c>
      <c r="B206" s="495" t="str">
        <f>ART_2!A39</f>
        <v>3.5 Number of PLHIV ever started on ART at end of this month (3.1 + 3.2 + 3.3 - 3.4)</v>
      </c>
      <c r="C206" s="511" t="s">
        <v>1</v>
      </c>
      <c r="D206" s="511"/>
      <c r="E206" s="196">
        <f>ART_2!F39</f>
        <v>2314</v>
      </c>
      <c r="F206" s="201"/>
    </row>
    <row r="207" spans="1:6" x14ac:dyDescent="0.2">
      <c r="A207" s="494"/>
      <c r="B207" s="495"/>
      <c r="C207" s="511" t="s">
        <v>2</v>
      </c>
      <c r="D207" s="511"/>
      <c r="E207" s="196">
        <f>ART_2!G39</f>
        <v>929</v>
      </c>
      <c r="F207" s="201"/>
    </row>
    <row r="208" spans="1:6" x14ac:dyDescent="0.2">
      <c r="A208" s="494"/>
      <c r="B208" s="495"/>
      <c r="C208" s="511" t="s">
        <v>3</v>
      </c>
      <c r="D208" s="511"/>
      <c r="E208" s="196">
        <f>ART_2!H39</f>
        <v>41</v>
      </c>
      <c r="F208" s="201"/>
    </row>
    <row r="209" spans="1:6" x14ac:dyDescent="0.2">
      <c r="A209" s="494"/>
      <c r="B209" s="495"/>
      <c r="C209" s="511" t="s">
        <v>4</v>
      </c>
      <c r="D209" s="196" t="s">
        <v>1</v>
      </c>
      <c r="E209" s="196">
        <f>ART_2!I39</f>
        <v>25</v>
      </c>
      <c r="F209" s="201"/>
    </row>
    <row r="210" spans="1:6" x14ac:dyDescent="0.2">
      <c r="A210" s="494"/>
      <c r="B210" s="495"/>
      <c r="C210" s="511"/>
      <c r="D210" s="196" t="s">
        <v>2</v>
      </c>
      <c r="E210" s="196">
        <f>ART_2!J39</f>
        <v>11</v>
      </c>
      <c r="F210" s="201"/>
    </row>
    <row r="211" spans="1:6" x14ac:dyDescent="0.2">
      <c r="A211" s="494"/>
      <c r="B211" s="495"/>
      <c r="C211" s="511" t="s">
        <v>5</v>
      </c>
      <c r="D211" s="511"/>
      <c r="E211" s="196">
        <f>E206+E207+E208+E209+E210</f>
        <v>3320</v>
      </c>
      <c r="F211" s="201"/>
    </row>
    <row r="212" spans="1:6" ht="15" customHeight="1" x14ac:dyDescent="0.2">
      <c r="A212" s="494">
        <v>3.6</v>
      </c>
      <c r="B212" s="495" t="str">
        <f>ART_2!A40</f>
        <v>3.6 Cumulative Number of PLHIV who died since the beginning of the centre till the end of the month (same as 2.6 b)</v>
      </c>
      <c r="C212" s="511" t="s">
        <v>1</v>
      </c>
      <c r="D212" s="511"/>
      <c r="E212" s="196">
        <f>ART_2!F40</f>
        <v>511</v>
      </c>
      <c r="F212" s="201"/>
    </row>
    <row r="213" spans="1:6" x14ac:dyDescent="0.2">
      <c r="A213" s="494"/>
      <c r="B213" s="495"/>
      <c r="C213" s="511" t="s">
        <v>2</v>
      </c>
      <c r="D213" s="511"/>
      <c r="E213" s="196">
        <f>ART_2!G40</f>
        <v>151</v>
      </c>
      <c r="F213" s="201"/>
    </row>
    <row r="214" spans="1:6" x14ac:dyDescent="0.2">
      <c r="A214" s="494"/>
      <c r="B214" s="495"/>
      <c r="C214" s="511" t="s">
        <v>3</v>
      </c>
      <c r="D214" s="511"/>
      <c r="E214" s="196">
        <f>ART_2!H40</f>
        <v>4</v>
      </c>
      <c r="F214" s="201"/>
    </row>
    <row r="215" spans="1:6" x14ac:dyDescent="0.2">
      <c r="A215" s="494"/>
      <c r="B215" s="495"/>
      <c r="C215" s="511" t="s">
        <v>4</v>
      </c>
      <c r="D215" s="196" t="s">
        <v>1</v>
      </c>
      <c r="E215" s="196">
        <f>ART_2!I40</f>
        <v>8</v>
      </c>
      <c r="F215" s="201"/>
    </row>
    <row r="216" spans="1:6" x14ac:dyDescent="0.2">
      <c r="A216" s="494"/>
      <c r="B216" s="495"/>
      <c r="C216" s="511"/>
      <c r="D216" s="196" t="s">
        <v>2</v>
      </c>
      <c r="E216" s="196">
        <f>ART_2!J40</f>
        <v>1</v>
      </c>
      <c r="F216" s="201"/>
    </row>
    <row r="217" spans="1:6" x14ac:dyDescent="0.2">
      <c r="A217" s="494"/>
      <c r="B217" s="495"/>
      <c r="C217" s="511" t="s">
        <v>5</v>
      </c>
      <c r="D217" s="511"/>
      <c r="E217" s="196">
        <f>E212+E213+E214+E215+E216</f>
        <v>675</v>
      </c>
      <c r="F217" s="201"/>
    </row>
    <row r="218" spans="1:6" ht="15" customHeight="1" x14ac:dyDescent="0.2">
      <c r="A218" s="494" t="s">
        <v>1783</v>
      </c>
      <c r="B218" s="495" t="str">
        <f>ART_2!A41</f>
        <v>3.7(a) Number of PLHIV whose treatment status is "stopped treatment" till the end of this month (it is a dynamic figure)</v>
      </c>
      <c r="C218" s="511" t="s">
        <v>1</v>
      </c>
      <c r="D218" s="511"/>
      <c r="E218" s="196">
        <f>ART_2!F41</f>
        <v>0</v>
      </c>
      <c r="F218" s="201"/>
    </row>
    <row r="219" spans="1:6" x14ac:dyDescent="0.2">
      <c r="A219" s="494"/>
      <c r="B219" s="495"/>
      <c r="C219" s="511" t="s">
        <v>2</v>
      </c>
      <c r="D219" s="511"/>
      <c r="E219" s="196">
        <f>ART_2!G41</f>
        <v>0</v>
      </c>
      <c r="F219" s="201"/>
    </row>
    <row r="220" spans="1:6" x14ac:dyDescent="0.2">
      <c r="A220" s="494"/>
      <c r="B220" s="495"/>
      <c r="C220" s="511" t="s">
        <v>3</v>
      </c>
      <c r="D220" s="511"/>
      <c r="E220" s="196">
        <f>ART_2!H41</f>
        <v>0</v>
      </c>
      <c r="F220" s="201"/>
    </row>
    <row r="221" spans="1:6" x14ac:dyDescent="0.2">
      <c r="A221" s="494"/>
      <c r="B221" s="495"/>
      <c r="C221" s="511" t="s">
        <v>4</v>
      </c>
      <c r="D221" s="196" t="s">
        <v>1</v>
      </c>
      <c r="E221" s="196">
        <f>ART_2!I41</f>
        <v>0</v>
      </c>
      <c r="F221" s="201"/>
    </row>
    <row r="222" spans="1:6" x14ac:dyDescent="0.2">
      <c r="A222" s="494"/>
      <c r="B222" s="495"/>
      <c r="C222" s="511"/>
      <c r="D222" s="196" t="s">
        <v>2</v>
      </c>
      <c r="E222" s="196">
        <f>ART_2!J41</f>
        <v>0</v>
      </c>
      <c r="F222" s="201"/>
    </row>
    <row r="223" spans="1:6" x14ac:dyDescent="0.2">
      <c r="A223" s="494"/>
      <c r="B223" s="495"/>
      <c r="C223" s="511" t="s">
        <v>5</v>
      </c>
      <c r="D223" s="511"/>
      <c r="E223" s="196">
        <f>E218+E219+E220+E221+E222</f>
        <v>0</v>
      </c>
      <c r="F223" s="201"/>
    </row>
    <row r="224" spans="1:6" ht="15" customHeight="1" x14ac:dyDescent="0.2">
      <c r="A224" s="494" t="s">
        <v>1784</v>
      </c>
      <c r="B224" s="495" t="str">
        <f>ART_2!A42</f>
        <v>3.7(b) Number of PLHIV on ART who have opted out of the program till the end of this month  (it is a dynamic figure) (2.8(b) - 3.7(a))</v>
      </c>
      <c r="C224" s="511" t="s">
        <v>1</v>
      </c>
      <c r="D224" s="511"/>
      <c r="E224" s="196">
        <f>ART_2!F42</f>
        <v>11</v>
      </c>
      <c r="F224" s="201"/>
    </row>
    <row r="225" spans="1:6" x14ac:dyDescent="0.2">
      <c r="A225" s="494"/>
      <c r="B225" s="495"/>
      <c r="C225" s="511" t="s">
        <v>2</v>
      </c>
      <c r="D225" s="511"/>
      <c r="E225" s="196">
        <f>ART_2!G42</f>
        <v>7</v>
      </c>
      <c r="F225" s="201"/>
    </row>
    <row r="226" spans="1:6" x14ac:dyDescent="0.2">
      <c r="A226" s="494"/>
      <c r="B226" s="495"/>
      <c r="C226" s="511" t="s">
        <v>3</v>
      </c>
      <c r="D226" s="511"/>
      <c r="E226" s="196">
        <f>ART_2!H42</f>
        <v>0</v>
      </c>
      <c r="F226" s="201"/>
    </row>
    <row r="227" spans="1:6" x14ac:dyDescent="0.2">
      <c r="A227" s="494"/>
      <c r="B227" s="495"/>
      <c r="C227" s="511" t="s">
        <v>4</v>
      </c>
      <c r="D227" s="196" t="s">
        <v>1</v>
      </c>
      <c r="E227" s="196">
        <f>ART_2!I42</f>
        <v>0</v>
      </c>
      <c r="F227" s="201"/>
    </row>
    <row r="228" spans="1:6" x14ac:dyDescent="0.2">
      <c r="A228" s="494"/>
      <c r="B228" s="495"/>
      <c r="C228" s="511"/>
      <c r="D228" s="196" t="s">
        <v>2</v>
      </c>
      <c r="E228" s="196">
        <f>ART_2!J42</f>
        <v>0</v>
      </c>
      <c r="F228" s="201"/>
    </row>
    <row r="229" spans="1:6" x14ac:dyDescent="0.2">
      <c r="A229" s="494"/>
      <c r="B229" s="495"/>
      <c r="C229" s="511" t="s">
        <v>5</v>
      </c>
      <c r="D229" s="511"/>
      <c r="E229" s="196">
        <f>E224+E225+E226+E227+E228</f>
        <v>18</v>
      </c>
      <c r="F229" s="201"/>
    </row>
    <row r="230" spans="1:6" ht="15" customHeight="1" x14ac:dyDescent="0.2">
      <c r="A230" s="494">
        <v>3.8</v>
      </c>
      <c r="B230" s="495" t="str">
        <f>ART_2!A43</f>
        <v>3.8 Number of PLHIV whose status is "LFU" till the end of this month (it is a dynamic figure)</v>
      </c>
      <c r="C230" s="511" t="s">
        <v>1</v>
      </c>
      <c r="D230" s="511"/>
      <c r="E230" s="196">
        <f>ART_2!F43</f>
        <v>304</v>
      </c>
      <c r="F230" s="201"/>
    </row>
    <row r="231" spans="1:6" x14ac:dyDescent="0.2">
      <c r="A231" s="494"/>
      <c r="B231" s="495"/>
      <c r="C231" s="511" t="s">
        <v>2</v>
      </c>
      <c r="D231" s="511"/>
      <c r="E231" s="196">
        <f>ART_2!G43</f>
        <v>115</v>
      </c>
      <c r="F231" s="201"/>
    </row>
    <row r="232" spans="1:6" x14ac:dyDescent="0.2">
      <c r="A232" s="494"/>
      <c r="B232" s="495"/>
      <c r="C232" s="511" t="s">
        <v>3</v>
      </c>
      <c r="D232" s="511"/>
      <c r="E232" s="196">
        <f>ART_2!H43</f>
        <v>10</v>
      </c>
      <c r="F232" s="201"/>
    </row>
    <row r="233" spans="1:6" x14ac:dyDescent="0.2">
      <c r="A233" s="494"/>
      <c r="B233" s="495"/>
      <c r="C233" s="511" t="s">
        <v>4</v>
      </c>
      <c r="D233" s="196" t="s">
        <v>1</v>
      </c>
      <c r="E233" s="196">
        <f>ART_2!I43</f>
        <v>2</v>
      </c>
      <c r="F233" s="201"/>
    </row>
    <row r="234" spans="1:6" x14ac:dyDescent="0.2">
      <c r="A234" s="494"/>
      <c r="B234" s="495"/>
      <c r="C234" s="511"/>
      <c r="D234" s="196" t="s">
        <v>2</v>
      </c>
      <c r="E234" s="196">
        <f>ART_2!J43</f>
        <v>2</v>
      </c>
      <c r="F234" s="201"/>
    </row>
    <row r="235" spans="1:6" x14ac:dyDescent="0.2">
      <c r="A235" s="494"/>
      <c r="B235" s="495"/>
      <c r="C235" s="511" t="s">
        <v>5</v>
      </c>
      <c r="D235" s="511"/>
      <c r="E235" s="196">
        <f>E230+E231+E232+E233+E234</f>
        <v>433</v>
      </c>
      <c r="F235" s="201"/>
    </row>
    <row r="236" spans="1:6" ht="15" customHeight="1" x14ac:dyDescent="0.2">
      <c r="A236" s="494">
        <v>3.9</v>
      </c>
      <c r="B236" s="495" t="str">
        <f>ART_2!A44</f>
        <v>3.9 Number of PLHIV who treatment status is MIS during this month (dynamic figure)</v>
      </c>
      <c r="C236" s="511" t="s">
        <v>1</v>
      </c>
      <c r="D236" s="511"/>
      <c r="E236" s="196">
        <f>ART_2!F44</f>
        <v>113</v>
      </c>
      <c r="F236" s="201"/>
    </row>
    <row r="237" spans="1:6" x14ac:dyDescent="0.2">
      <c r="A237" s="494"/>
      <c r="B237" s="495"/>
      <c r="C237" s="511" t="s">
        <v>2</v>
      </c>
      <c r="D237" s="511"/>
      <c r="E237" s="196">
        <f>ART_2!G44</f>
        <v>49</v>
      </c>
      <c r="F237" s="201"/>
    </row>
    <row r="238" spans="1:6" x14ac:dyDescent="0.2">
      <c r="A238" s="494"/>
      <c r="B238" s="495"/>
      <c r="C238" s="511" t="s">
        <v>3</v>
      </c>
      <c r="D238" s="511"/>
      <c r="E238" s="196">
        <f>ART_2!H44</f>
        <v>0</v>
      </c>
      <c r="F238" s="201"/>
    </row>
    <row r="239" spans="1:6" x14ac:dyDescent="0.2">
      <c r="A239" s="494"/>
      <c r="B239" s="495"/>
      <c r="C239" s="511" t="s">
        <v>4</v>
      </c>
      <c r="D239" s="196" t="s">
        <v>1</v>
      </c>
      <c r="E239" s="196">
        <f>ART_2!I44</f>
        <v>4</v>
      </c>
      <c r="F239" s="201"/>
    </row>
    <row r="240" spans="1:6" x14ac:dyDescent="0.2">
      <c r="A240" s="494"/>
      <c r="B240" s="495"/>
      <c r="C240" s="511"/>
      <c r="D240" s="196" t="s">
        <v>2</v>
      </c>
      <c r="E240" s="196">
        <f>ART_2!J44</f>
        <v>1</v>
      </c>
      <c r="F240" s="201"/>
    </row>
    <row r="241" spans="1:6" x14ac:dyDescent="0.2">
      <c r="A241" s="494"/>
      <c r="B241" s="495"/>
      <c r="C241" s="511" t="s">
        <v>5</v>
      </c>
      <c r="D241" s="511"/>
      <c r="E241" s="196">
        <f>E236+E237+E238+E239+E240</f>
        <v>167</v>
      </c>
      <c r="F241" s="201"/>
    </row>
    <row r="242" spans="1:6" ht="15" customHeight="1" x14ac:dyDescent="0.2">
      <c r="A242" s="519">
        <v>3.1</v>
      </c>
      <c r="B242" s="495" t="str">
        <f>ART_2!A45</f>
        <v>3.10 Number of PLHIV alive and on ART at the end of this month = (3.5 - 3.6 - 3.7 (a+b) - 3.8 - 2.9 (b)</v>
      </c>
      <c r="C242" s="511" t="s">
        <v>1</v>
      </c>
      <c r="D242" s="511"/>
      <c r="E242" s="196">
        <f>ART_2!F45</f>
        <v>1384</v>
      </c>
      <c r="F242" s="201"/>
    </row>
    <row r="243" spans="1:6" x14ac:dyDescent="0.2">
      <c r="A243" s="519"/>
      <c r="B243" s="495"/>
      <c r="C243" s="511" t="s">
        <v>2</v>
      </c>
      <c r="D243" s="511"/>
      <c r="E243" s="196">
        <f>ART_2!G45</f>
        <v>638</v>
      </c>
      <c r="F243" s="201"/>
    </row>
    <row r="244" spans="1:6" x14ac:dyDescent="0.2">
      <c r="A244" s="519"/>
      <c r="B244" s="495"/>
      <c r="C244" s="511" t="s">
        <v>3</v>
      </c>
      <c r="D244" s="511"/>
      <c r="E244" s="196">
        <f>ART_2!H45</f>
        <v>25</v>
      </c>
      <c r="F244" s="201"/>
    </row>
    <row r="245" spans="1:6" x14ac:dyDescent="0.2">
      <c r="A245" s="519"/>
      <c r="B245" s="495"/>
      <c r="C245" s="511" t="s">
        <v>4</v>
      </c>
      <c r="D245" s="196" t="s">
        <v>1</v>
      </c>
      <c r="E245" s="196">
        <f>ART_2!I45</f>
        <v>14</v>
      </c>
      <c r="F245" s="201"/>
    </row>
    <row r="246" spans="1:6" x14ac:dyDescent="0.2">
      <c r="A246" s="519"/>
      <c r="B246" s="495"/>
      <c r="C246" s="511"/>
      <c r="D246" s="196" t="s">
        <v>2</v>
      </c>
      <c r="E246" s="196">
        <f>ART_2!J45</f>
        <v>7</v>
      </c>
      <c r="F246" s="201"/>
    </row>
    <row r="247" spans="1:6" x14ac:dyDescent="0.2">
      <c r="A247" s="519"/>
      <c r="B247" s="495"/>
      <c r="C247" s="511" t="s">
        <v>5</v>
      </c>
      <c r="D247" s="511"/>
      <c r="E247" s="196">
        <f>E242+E243+E244+E245+E246</f>
        <v>2068</v>
      </c>
      <c r="F247" s="201"/>
    </row>
    <row r="248" spans="1:6" x14ac:dyDescent="0.2">
      <c r="A248" s="496" t="s">
        <v>1785</v>
      </c>
      <c r="B248" s="495" t="str">
        <f>ART_2!A46</f>
        <v>3.11 Details of PLHIV currently at LAC/ LAC plus (out of 2.10 &amp; 3.10)</v>
      </c>
      <c r="C248" s="511" t="s">
        <v>1</v>
      </c>
      <c r="D248" s="511"/>
      <c r="E248" s="196">
        <f>LAC_begin+ART_2!F$48+ART_2!F$50+ART_2!F$52+ART_2!F$54+ART_2!F$56+ART_2!F$58+ART_2!F$60+ART_2!F$62+ART_2!F$64+ART_2!F$66+ART_2!F$68+ART_2!F$70+ART_2!F$72+ART_2!F$74+ART_2!F$76+ART_2!F$78+ART_2!F$80+ART_2!F$82+ART_2!F$84</f>
        <v>0</v>
      </c>
      <c r="F248" s="201"/>
    </row>
    <row r="249" spans="1:6" x14ac:dyDescent="0.2">
      <c r="A249" s="494"/>
      <c r="B249" s="495"/>
      <c r="C249" s="511" t="s">
        <v>2</v>
      </c>
      <c r="D249" s="511"/>
      <c r="E249" s="196">
        <f>ART_2!G$46+ART_2!G$48+ART_2!G$50+ART_2!G$52+ART_2!G$54+ART_2!G$56+ART_2!G$58+ART_2!G$60+ART_2!G$62+ART_2!G$64+ART_2!G$66+ART_2!G$68+ART_2!G$70+ART_2!G$72+ART_2!G$74+ART_2!G$76+ART_2!G$78+ART_2!G$80+ART_2!G$82+ART_2!G$84</f>
        <v>0</v>
      </c>
      <c r="F249" s="201"/>
    </row>
    <row r="250" spans="1:6" x14ac:dyDescent="0.2">
      <c r="A250" s="494"/>
      <c r="B250" s="495"/>
      <c r="C250" s="511" t="s">
        <v>3</v>
      </c>
      <c r="D250" s="511"/>
      <c r="E250" s="196">
        <f>ART_2!H$46+ART_2!H$48+ART_2!H$50+ART_2!H$52+ART_2!H$54+ART_2!H$56+ART_2!H$58+ART_2!H$60+ART_2!H$62+ART_2!H$64+ART_2!H$66+ART_2!H$68+ART_2!H$70+ART_2!H$72+ART_2!H$74+ART_2!H$76+ART_2!H$78+ART_2!H$80+ART_2!H$82+ART_2!H$84</f>
        <v>0</v>
      </c>
      <c r="F250" s="201"/>
    </row>
    <row r="251" spans="1:6" x14ac:dyDescent="0.2">
      <c r="A251" s="494"/>
      <c r="B251" s="495"/>
      <c r="C251" s="511" t="s">
        <v>4</v>
      </c>
      <c r="D251" s="196" t="s">
        <v>1</v>
      </c>
      <c r="E251" s="196">
        <f>ART_2!I$46+ART_2!I$48+ART_2!I$50+ART_2!I$52+ART_2!I$54+ART_2!I$56+ART_2!I$58+ART_2!I$60+ART_2!I$62+ART_2!I$64+ART_2!I$66+ART_2!I$68+ART_2!I$70+ART_2!I$72+ART_2!I$74+ART_2!I$76+ART_2!I$78+ART_2!I$80+ART_2!I$82+ART_2!I$84</f>
        <v>0</v>
      </c>
      <c r="F251" s="201"/>
    </row>
    <row r="252" spans="1:6" x14ac:dyDescent="0.2">
      <c r="A252" s="494"/>
      <c r="B252" s="495"/>
      <c r="C252" s="511"/>
      <c r="D252" s="196" t="s">
        <v>2</v>
      </c>
      <c r="E252" s="196">
        <f>ART_2!J$46+ART_2!J$48+ART_2!J$50+ART_2!J$52+ART_2!J$54+ART_2!J$56+ART_2!J$58+ART_2!J$60+ART_2!J$62+ART_2!J$64+ART_2!J$66+ART_2!J$68+ART_2!J$70+ART_2!J$72+ART_2!J$74+ART_2!J$76+ART_2!J$78+ART_2!J$80+ART_2!J$82+ART_2!J$84</f>
        <v>0</v>
      </c>
      <c r="F252" s="201"/>
    </row>
    <row r="253" spans="1:6" x14ac:dyDescent="0.2">
      <c r="A253" s="494"/>
      <c r="B253" s="495"/>
      <c r="C253" s="511" t="s">
        <v>5</v>
      </c>
      <c r="D253" s="511"/>
      <c r="E253" s="196">
        <f>SUM(E248:E252)</f>
        <v>0</v>
      </c>
      <c r="F253" s="201"/>
    </row>
    <row r="254" spans="1:6" ht="15" customHeight="1" x14ac:dyDescent="0.2">
      <c r="A254" s="496" t="s">
        <v>1786</v>
      </c>
      <c r="B254" s="495" t="str">
        <f>ART_2!A46</f>
        <v>3.11 Details of PLHIV currently at LAC/ LAC plus (out of 2.10 &amp; 3.10)</v>
      </c>
      <c r="C254" s="511" t="s">
        <v>1</v>
      </c>
      <c r="D254" s="511"/>
      <c r="E254" s="196">
        <f>ART_2!F$47+ART_2!F$49+ART_2!F$51+ART_2!F$53+ART_2!F$55+ART_2!F$57+ART_2!F$59+ART_2!F$61+ART_2!F$63+ART_2!F$65+ART_2!F$67+ART_2!F$69+ART_2!F$71+ART_2!F$73+ART_2!F$75+ART_2!F$77+ART_2!F$79+ART_2!F$81+ART_2!F$83+ART_2!F$85</f>
        <v>0</v>
      </c>
      <c r="F254" s="201"/>
    </row>
    <row r="255" spans="1:6" x14ac:dyDescent="0.2">
      <c r="A255" s="494"/>
      <c r="B255" s="495"/>
      <c r="C255" s="511" t="s">
        <v>2</v>
      </c>
      <c r="D255" s="511"/>
      <c r="E255" s="196">
        <f>ART_2!G$47+ART_2!G$49+ART_2!G$51+ART_2!G$53+ART_2!G$55+ART_2!G$57+ART_2!G$59+ART_2!G$61+ART_2!G$63+ART_2!G$65+ART_2!G$67+ART_2!G$69+ART_2!G$71+ART_2!G$73+ART_2!G$75+ART_2!G$77+ART_2!G$79+ART_2!G$81+ART_2!G$83+ART_2!G$85</f>
        <v>0</v>
      </c>
      <c r="F255" s="201"/>
    </row>
    <row r="256" spans="1:6" x14ac:dyDescent="0.2">
      <c r="A256" s="494"/>
      <c r="B256" s="495"/>
      <c r="C256" s="511" t="s">
        <v>3</v>
      </c>
      <c r="D256" s="511"/>
      <c r="E256" s="196">
        <f>ART_2!H$47+ART_2!H$49+ART_2!H$51+ART_2!H$53+ART_2!H$55+ART_2!H$57+ART_2!H$59+ART_2!H$61+ART_2!H$63+ART_2!H$65+ART_2!H$67+ART_2!H$69+ART_2!H$71+ART_2!H$73+ART_2!H$75+ART_2!H$77+ART_2!H$79+ART_2!H$81+ART_2!H$83+ART_2!H$85</f>
        <v>0</v>
      </c>
      <c r="F256" s="201"/>
    </row>
    <row r="257" spans="1:6" x14ac:dyDescent="0.2">
      <c r="A257" s="494"/>
      <c r="B257" s="495"/>
      <c r="C257" s="511" t="s">
        <v>4</v>
      </c>
      <c r="D257" s="196" t="s">
        <v>1</v>
      </c>
      <c r="E257" s="196">
        <f>ART_2!I$47+ART_2!I$49+ART_2!I$51+ART_2!I$53+ART_2!I$55+ART_2!I$57+ART_2!I$59+ART_2!I$61+ART_2!I$63+ART_2!I$65+ART_2!I$67+ART_2!I$69+ART_2!I$71+ART_2!I$73+ART_2!I$75+ART_2!I$77+ART_2!I$79+ART_2!I$81+ART_2!I$83+ART_2!I$85</f>
        <v>0</v>
      </c>
      <c r="F257" s="201"/>
    </row>
    <row r="258" spans="1:6" x14ac:dyDescent="0.2">
      <c r="A258" s="494"/>
      <c r="B258" s="495"/>
      <c r="C258" s="511"/>
      <c r="D258" s="196" t="s">
        <v>2</v>
      </c>
      <c r="E258" s="196">
        <f>ART_2!J$47+ART_2!J$49+ART_2!J$51+ART_2!J$53+ART_2!J$55+ART_2!J$57+ART_2!J$59+ART_2!J$61+ART_2!J$63+ART_2!J$65+ART_2!J$67+ART_2!J$69+ART_2!J$71+ART_2!J$73+ART_2!J$75+ART_2!J$77+ART_2!J$79+ART_2!J$81+ART_2!J$83+ART_2!J$85</f>
        <v>0</v>
      </c>
      <c r="F258" s="201"/>
    </row>
    <row r="259" spans="1:6" x14ac:dyDescent="0.2">
      <c r="A259" s="494"/>
      <c r="B259" s="495"/>
      <c r="C259" s="511" t="s">
        <v>5</v>
      </c>
      <c r="D259" s="511"/>
      <c r="E259" s="196">
        <f>SUM(E254:E258)</f>
        <v>0</v>
      </c>
      <c r="F259" s="201"/>
    </row>
    <row r="260" spans="1:6" ht="15" customHeight="1" x14ac:dyDescent="0.2">
      <c r="A260" s="497" t="s">
        <v>1889</v>
      </c>
      <c r="B260" s="495" t="str">
        <f>ART_2!A89</f>
        <v>3.a.1 Number of patients in list shared with Vihaan in the month prior to reporting month</v>
      </c>
      <c r="C260" s="511" t="s">
        <v>1</v>
      </c>
      <c r="D260" s="511"/>
      <c r="E260" s="196">
        <f>ART_2!F$89</f>
        <v>25</v>
      </c>
      <c r="F260" s="201"/>
    </row>
    <row r="261" spans="1:6" x14ac:dyDescent="0.2">
      <c r="A261" s="504"/>
      <c r="B261" s="495"/>
      <c r="C261" s="511" t="s">
        <v>2</v>
      </c>
      <c r="D261" s="511"/>
      <c r="E261" s="196">
        <f>ART_2!G$89</f>
        <v>4</v>
      </c>
      <c r="F261" s="201"/>
    </row>
    <row r="262" spans="1:6" x14ac:dyDescent="0.2">
      <c r="A262" s="504"/>
      <c r="B262" s="495"/>
      <c r="C262" s="511" t="s">
        <v>3</v>
      </c>
      <c r="D262" s="511"/>
      <c r="E262" s="196">
        <f>ART_2!H$89</f>
        <v>0</v>
      </c>
      <c r="F262" s="201"/>
    </row>
    <row r="263" spans="1:6" x14ac:dyDescent="0.2">
      <c r="A263" s="504"/>
      <c r="B263" s="495"/>
      <c r="C263" s="511" t="s">
        <v>4</v>
      </c>
      <c r="D263" s="196" t="s">
        <v>1</v>
      </c>
      <c r="E263" s="196">
        <f>ART_2!I$89</f>
        <v>0</v>
      </c>
      <c r="F263" s="201"/>
    </row>
    <row r="264" spans="1:6" x14ac:dyDescent="0.2">
      <c r="A264" s="504"/>
      <c r="B264" s="495"/>
      <c r="C264" s="511"/>
      <c r="D264" s="196" t="s">
        <v>2</v>
      </c>
      <c r="E264" s="196">
        <f>ART_2!J$89</f>
        <v>0</v>
      </c>
      <c r="F264" s="201"/>
    </row>
    <row r="265" spans="1:6" x14ac:dyDescent="0.2">
      <c r="A265" s="504"/>
      <c r="B265" s="495"/>
      <c r="C265" s="511" t="s">
        <v>5</v>
      </c>
      <c r="D265" s="511"/>
      <c r="E265" s="196">
        <f>SUM(E260:E264)</f>
        <v>29</v>
      </c>
      <c r="F265" s="201"/>
    </row>
    <row r="266" spans="1:6" x14ac:dyDescent="0.2">
      <c r="A266" s="504"/>
      <c r="B266" s="495" t="str">
        <f>ART_2!A90</f>
        <v>3.a.2 Out of 3.a.1, number of patients successfully contacted by Vihaan</v>
      </c>
      <c r="C266" s="511" t="s">
        <v>1</v>
      </c>
      <c r="D266" s="511"/>
      <c r="E266" s="196">
        <f>ART_2!F$90</f>
        <v>19</v>
      </c>
      <c r="F266" s="201"/>
    </row>
    <row r="267" spans="1:6" x14ac:dyDescent="0.2">
      <c r="A267" s="504"/>
      <c r="B267" s="495"/>
      <c r="C267" s="511" t="s">
        <v>2</v>
      </c>
      <c r="D267" s="511"/>
      <c r="E267" s="196">
        <f>ART_2!G$90</f>
        <v>4</v>
      </c>
      <c r="F267" s="201"/>
    </row>
    <row r="268" spans="1:6" x14ac:dyDescent="0.2">
      <c r="A268" s="504"/>
      <c r="B268" s="495"/>
      <c r="C268" s="511" t="s">
        <v>3</v>
      </c>
      <c r="D268" s="511"/>
      <c r="E268" s="196">
        <f>ART_2!H$90</f>
        <v>0</v>
      </c>
      <c r="F268" s="201"/>
    </row>
    <row r="269" spans="1:6" x14ac:dyDescent="0.2">
      <c r="A269" s="504"/>
      <c r="B269" s="495"/>
      <c r="C269" s="511" t="s">
        <v>4</v>
      </c>
      <c r="D269" s="196" t="s">
        <v>1</v>
      </c>
      <c r="E269" s="196">
        <f>ART_2!I$90</f>
        <v>0</v>
      </c>
      <c r="F269" s="201"/>
    </row>
    <row r="270" spans="1:6" x14ac:dyDescent="0.2">
      <c r="A270" s="504"/>
      <c r="B270" s="495"/>
      <c r="C270" s="511"/>
      <c r="D270" s="196" t="s">
        <v>2</v>
      </c>
      <c r="E270" s="196">
        <f>ART_2!J$90</f>
        <v>0</v>
      </c>
      <c r="F270" s="201"/>
    </row>
    <row r="271" spans="1:6" x14ac:dyDescent="0.2">
      <c r="A271" s="504"/>
      <c r="B271" s="495"/>
      <c r="C271" s="511" t="s">
        <v>5</v>
      </c>
      <c r="D271" s="511"/>
      <c r="E271" s="196">
        <f>SUM(E266:E270)</f>
        <v>23</v>
      </c>
      <c r="F271" s="201"/>
    </row>
    <row r="272" spans="1:6" ht="15" customHeight="1" x14ac:dyDescent="0.2">
      <c r="A272" s="504"/>
      <c r="B272" s="495" t="str">
        <f>ART_2!A91</f>
        <v>3.a.3 Out of 3.a.2, number of patients linked back to the ART centre</v>
      </c>
      <c r="C272" s="511" t="s">
        <v>1</v>
      </c>
      <c r="D272" s="511"/>
      <c r="E272" s="196">
        <f>ART_2!F$91</f>
        <v>17</v>
      </c>
      <c r="F272" s="201"/>
    </row>
    <row r="273" spans="1:6" x14ac:dyDescent="0.2">
      <c r="A273" s="504"/>
      <c r="B273" s="495"/>
      <c r="C273" s="511" t="s">
        <v>2</v>
      </c>
      <c r="D273" s="511"/>
      <c r="E273" s="196">
        <f>ART_2!G$91</f>
        <v>4</v>
      </c>
      <c r="F273" s="201"/>
    </row>
    <row r="274" spans="1:6" x14ac:dyDescent="0.2">
      <c r="A274" s="504"/>
      <c r="B274" s="495"/>
      <c r="C274" s="511" t="s">
        <v>3</v>
      </c>
      <c r="D274" s="511"/>
      <c r="E274" s="196">
        <f>ART_2!H$91</f>
        <v>0</v>
      </c>
      <c r="F274" s="201"/>
    </row>
    <row r="275" spans="1:6" x14ac:dyDescent="0.2">
      <c r="A275" s="504"/>
      <c r="B275" s="495"/>
      <c r="C275" s="511" t="s">
        <v>4</v>
      </c>
      <c r="D275" s="196" t="s">
        <v>1</v>
      </c>
      <c r="E275" s="196">
        <f>ART_2!I$91</f>
        <v>0</v>
      </c>
      <c r="F275" s="201"/>
    </row>
    <row r="276" spans="1:6" x14ac:dyDescent="0.2">
      <c r="A276" s="504"/>
      <c r="B276" s="495"/>
      <c r="C276" s="511"/>
      <c r="D276" s="196" t="s">
        <v>2</v>
      </c>
      <c r="E276" s="196">
        <f>ART_2!J$91</f>
        <v>0</v>
      </c>
      <c r="F276" s="201"/>
    </row>
    <row r="277" spans="1:6" x14ac:dyDescent="0.2">
      <c r="A277" s="504"/>
      <c r="B277" s="495"/>
      <c r="C277" s="511" t="s">
        <v>5</v>
      </c>
      <c r="D277" s="511"/>
      <c r="E277" s="196">
        <f>SUM(E272:E276)</f>
        <v>21</v>
      </c>
      <c r="F277" s="201"/>
    </row>
    <row r="278" spans="1:6" ht="30" customHeight="1" x14ac:dyDescent="0.2">
      <c r="A278" s="497" t="s">
        <v>1787</v>
      </c>
      <c r="B278" s="500" t="str">
        <f>ART_3!A5</f>
        <v>4.a.1 Pregnant women/DIL/Breastfeeding women registered or reported in the current financial year (April - reporting month)</v>
      </c>
      <c r="C278" s="502" t="str">
        <f>ART_3!F4</f>
        <v>Newly Registered Women</v>
      </c>
      <c r="D278" s="503"/>
      <c r="E278" s="196">
        <f>ART_3!F5</f>
        <v>0</v>
      </c>
      <c r="F278" s="201"/>
    </row>
    <row r="279" spans="1:6" ht="30" customHeight="1" x14ac:dyDescent="0.2">
      <c r="A279" s="504"/>
      <c r="B279" s="546"/>
      <c r="C279" s="502" t="str">
        <f>ART_3!I4</f>
        <v>Already Registered Pre-ART</v>
      </c>
      <c r="D279" s="503"/>
      <c r="E279" s="196">
        <f>ART_3!I5</f>
        <v>0</v>
      </c>
      <c r="F279" s="201"/>
    </row>
    <row r="280" spans="1:6" ht="30" customHeight="1" x14ac:dyDescent="0.2">
      <c r="A280" s="499"/>
      <c r="B280" s="501"/>
      <c r="C280" s="502" t="str">
        <f>ART_3!L4</f>
        <v>Already Registered On-ART</v>
      </c>
      <c r="D280" s="503"/>
      <c r="E280" s="196">
        <f>ART_3!L5</f>
        <v>3</v>
      </c>
      <c r="F280" s="201"/>
    </row>
    <row r="281" spans="1:6" ht="30" customHeight="1" x14ac:dyDescent="0.2">
      <c r="A281" s="497" t="s">
        <v>1788</v>
      </c>
      <c r="B281" s="500" t="str">
        <f>ART_3!A6</f>
        <v>4.a.2 Out of 4a.1, number of pregnant women/DIL/Breastfeeding women initiated on ART</v>
      </c>
      <c r="C281" s="502" t="str">
        <f>ART_3!F4</f>
        <v>Newly Registered Women</v>
      </c>
      <c r="D281" s="503"/>
      <c r="E281" s="196">
        <f>ART_3!F6</f>
        <v>0</v>
      </c>
      <c r="F281" s="201"/>
    </row>
    <row r="282" spans="1:6" ht="30" customHeight="1" x14ac:dyDescent="0.2">
      <c r="A282" s="499"/>
      <c r="B282" s="501"/>
      <c r="C282" s="502" t="str">
        <f>ART_3!I4</f>
        <v>Already Registered Pre-ART</v>
      </c>
      <c r="D282" s="503"/>
      <c r="E282" s="196">
        <f>ART_3!I6</f>
        <v>0</v>
      </c>
      <c r="F282" s="201"/>
    </row>
    <row r="283" spans="1:6" ht="30" customHeight="1" x14ac:dyDescent="0.2">
      <c r="A283" s="497" t="s">
        <v>3414</v>
      </c>
      <c r="B283" s="500" t="s">
        <v>3413</v>
      </c>
      <c r="C283" s="502" t="str">
        <f>ART_3!F4</f>
        <v>Newly Registered Women</v>
      </c>
      <c r="D283" s="503"/>
      <c r="E283" s="196">
        <f>ART_3!F7</f>
        <v>0</v>
      </c>
      <c r="F283" s="201"/>
    </row>
    <row r="284" spans="1:6" ht="30" customHeight="1" x14ac:dyDescent="0.2">
      <c r="A284" s="499"/>
      <c r="B284" s="501"/>
      <c r="C284" s="502" t="str">
        <f>ART_3!L4</f>
        <v>Already Registered On-ART</v>
      </c>
      <c r="D284" s="503"/>
      <c r="E284" s="196">
        <f>ART_3!L7</f>
        <v>3</v>
      </c>
      <c r="F284" s="201"/>
    </row>
    <row r="285" spans="1:6" ht="30" customHeight="1" x14ac:dyDescent="0.2">
      <c r="A285" s="497" t="s">
        <v>3415</v>
      </c>
      <c r="B285" s="500" t="s">
        <v>3416</v>
      </c>
      <c r="C285" s="502" t="str">
        <f>ART_3!F4</f>
        <v>Newly Registered Women</v>
      </c>
      <c r="D285" s="503"/>
      <c r="E285" s="196">
        <f>ART_3!F8</f>
        <v>0</v>
      </c>
      <c r="F285" s="201"/>
    </row>
    <row r="286" spans="1:6" ht="30" customHeight="1" x14ac:dyDescent="0.2">
      <c r="A286" s="499"/>
      <c r="B286" s="501"/>
      <c r="C286" s="502" t="str">
        <f>ART_3!L4</f>
        <v>Already Registered On-ART</v>
      </c>
      <c r="D286" s="503"/>
      <c r="E286" s="196">
        <f>ART_3!L8</f>
        <v>1</v>
      </c>
      <c r="F286" s="201"/>
    </row>
    <row r="287" spans="1:6" ht="30" customHeight="1" x14ac:dyDescent="0.2">
      <c r="A287" s="497" t="s">
        <v>3418</v>
      </c>
      <c r="B287" s="497" t="s">
        <v>3417</v>
      </c>
      <c r="C287" s="502" t="str">
        <f>ART_3!F4</f>
        <v>Newly Registered Women</v>
      </c>
      <c r="D287" s="503"/>
      <c r="E287" s="196">
        <f>ART_3!F9</f>
        <v>0</v>
      </c>
      <c r="F287" s="201"/>
    </row>
    <row r="288" spans="1:6" ht="30" customHeight="1" x14ac:dyDescent="0.2">
      <c r="A288" s="499"/>
      <c r="B288" s="499"/>
      <c r="C288" s="502" t="str">
        <f>ART_3!L4</f>
        <v>Already Registered On-ART</v>
      </c>
      <c r="D288" s="503"/>
      <c r="E288" s="196">
        <f>ART_3!L9</f>
        <v>1</v>
      </c>
      <c r="F288" s="201"/>
    </row>
    <row r="289" spans="1:6" ht="32.25" customHeight="1" x14ac:dyDescent="0.2">
      <c r="A289" s="496" t="s">
        <v>1789</v>
      </c>
      <c r="B289" s="495" t="str">
        <f>ART_3!A12</f>
        <v>4.b.1 Number of children/infants registered at the ART center through EID  during the current financial year (April - reporting month)</v>
      </c>
      <c r="C289" s="191" t="s">
        <v>9</v>
      </c>
      <c r="D289" s="191" t="s">
        <v>10</v>
      </c>
      <c r="E289" s="196">
        <f>ART_3!F12</f>
        <v>0</v>
      </c>
      <c r="F289" s="201"/>
    </row>
    <row r="290" spans="1:6" ht="44.25" customHeight="1" x14ac:dyDescent="0.2">
      <c r="A290" s="496"/>
      <c r="B290" s="495"/>
      <c r="C290" s="191" t="s">
        <v>9</v>
      </c>
      <c r="D290" s="191" t="s">
        <v>8</v>
      </c>
      <c r="E290" s="196">
        <f>ART_3!K12</f>
        <v>0</v>
      </c>
      <c r="F290" s="201"/>
    </row>
    <row r="291" spans="1:6" ht="24" customHeight="1" x14ac:dyDescent="0.2">
      <c r="A291" s="496" t="s">
        <v>1790</v>
      </c>
      <c r="B291" s="495" t="str">
        <f>ART_3!A13</f>
        <v xml:space="preserve">4.b.2 Out of 4.b.1, number of children/infants initiated on ART </v>
      </c>
      <c r="C291" s="191" t="s">
        <v>9</v>
      </c>
      <c r="D291" s="191" t="s">
        <v>10</v>
      </c>
      <c r="E291" s="196">
        <f>ART_3!F13</f>
        <v>0</v>
      </c>
      <c r="F291" s="201"/>
    </row>
    <row r="292" spans="1:6" ht="21" customHeight="1" x14ac:dyDescent="0.2">
      <c r="A292" s="496"/>
      <c r="B292" s="495"/>
      <c r="C292" s="191" t="s">
        <v>9</v>
      </c>
      <c r="D292" s="191" t="s">
        <v>8</v>
      </c>
      <c r="E292" s="196">
        <f>ART_3!K13</f>
        <v>0</v>
      </c>
      <c r="F292" s="201"/>
    </row>
    <row r="293" spans="1:6" ht="35.1" customHeight="1" x14ac:dyDescent="0.2">
      <c r="A293" s="193" t="s">
        <v>1791</v>
      </c>
      <c r="B293" s="495" t="str">
        <f>ART_3!A17</f>
        <v>4.c.1 Number of PLHIV attending ART Centre during the month (Pre ART and ART)</v>
      </c>
      <c r="C293" s="495"/>
      <c r="D293" s="495"/>
      <c r="E293" s="196">
        <f>ART_3!F17</f>
        <v>1210</v>
      </c>
      <c r="F293" s="201"/>
    </row>
    <row r="294" spans="1:6" ht="35.1" customHeight="1" x14ac:dyDescent="0.2">
      <c r="A294" s="193" t="s">
        <v>1792</v>
      </c>
      <c r="B294" s="495" t="str">
        <f>ART_3!A18</f>
        <v>4.c.2 Out of the 4.c.1, number of PLHIV who underwent (4S) screening</v>
      </c>
      <c r="C294" s="495"/>
      <c r="D294" s="495"/>
      <c r="E294" s="196">
        <f>ART_3!F18</f>
        <v>1056</v>
      </c>
      <c r="F294" s="201"/>
    </row>
    <row r="295" spans="1:6" ht="35.1" customHeight="1" x14ac:dyDescent="0.2">
      <c r="A295" s="193" t="s">
        <v>1793</v>
      </c>
      <c r="B295" s="495" t="str">
        <f>ART_3!A19</f>
        <v>4.c.3 Out of the 4.c.2, number of PLHIV with presumptive TB (those with one or more symptom(s) present)</v>
      </c>
      <c r="C295" s="495"/>
      <c r="D295" s="495"/>
      <c r="E295" s="196">
        <f>ART_3!F19</f>
        <v>30</v>
      </c>
      <c r="F295" s="201"/>
    </row>
    <row r="296" spans="1:6" ht="35.1" customHeight="1" x14ac:dyDescent="0.2">
      <c r="A296" s="193" t="s">
        <v>1794</v>
      </c>
      <c r="B296" s="495" t="str">
        <f>ART_3!A20</f>
        <v>4.c.4 Out of the 4.c.3, number of PLHIV with presumptive TB referred for TB diagnosis test</v>
      </c>
      <c r="C296" s="495"/>
      <c r="D296" s="495"/>
      <c r="E296" s="196">
        <f>ART_3!F20</f>
        <v>29</v>
      </c>
      <c r="F296" s="201"/>
    </row>
    <row r="297" spans="1:6" ht="35.1" customHeight="1" x14ac:dyDescent="0.2">
      <c r="A297" s="193" t="s">
        <v>1795</v>
      </c>
      <c r="B297" s="500" t="str">
        <f>ART_3!A21</f>
        <v>4.c.5 Out of the 4.c.4, number of PLHIV with presumptive TB, tested for TB</v>
      </c>
      <c r="C297" s="500"/>
      <c r="D297" s="500"/>
      <c r="E297" s="196">
        <f>ART_3!F21</f>
        <v>29</v>
      </c>
      <c r="F297" s="201"/>
    </row>
    <row r="298" spans="1:6" x14ac:dyDescent="0.2">
      <c r="A298" s="531" t="s">
        <v>1796</v>
      </c>
      <c r="B298" s="509" t="str">
        <f>CONCATENATE(ART_3!$A$22,ART_3!B24)</f>
        <v>4.c.6 Out of the 4.c.5, number of PLHIV diagnosed as having TB: (i) Pulmonary TB (Microbiologically confirmed)</v>
      </c>
      <c r="C298" s="534" t="s">
        <v>83</v>
      </c>
      <c r="D298" s="171" t="s">
        <v>1959</v>
      </c>
      <c r="E298" s="194">
        <f>ART_3!F$24</f>
        <v>1</v>
      </c>
      <c r="F298" s="201"/>
    </row>
    <row r="299" spans="1:6" x14ac:dyDescent="0.2">
      <c r="A299" s="532"/>
      <c r="B299" s="509"/>
      <c r="C299" s="534"/>
      <c r="D299" s="171" t="s">
        <v>137</v>
      </c>
      <c r="E299" s="194">
        <f>ART_3!G$24</f>
        <v>0</v>
      </c>
      <c r="F299" s="201"/>
    </row>
    <row r="300" spans="1:6" x14ac:dyDescent="0.2">
      <c r="A300" s="532"/>
      <c r="B300" s="509"/>
      <c r="C300" s="534"/>
      <c r="D300" s="171" t="s">
        <v>1960</v>
      </c>
      <c r="E300" s="194">
        <f>ART_3!H$24</f>
        <v>0</v>
      </c>
      <c r="F300" s="201"/>
    </row>
    <row r="301" spans="1:6" ht="21" x14ac:dyDescent="0.2">
      <c r="A301" s="532"/>
      <c r="B301" s="509"/>
      <c r="C301" s="534"/>
      <c r="D301" s="171" t="s">
        <v>1963</v>
      </c>
      <c r="E301" s="194">
        <f>ART_3!I$24</f>
        <v>0</v>
      </c>
      <c r="F301" s="201"/>
    </row>
    <row r="302" spans="1:6" x14ac:dyDescent="0.2">
      <c r="A302" s="532"/>
      <c r="B302" s="509"/>
      <c r="C302" s="534" t="s">
        <v>84</v>
      </c>
      <c r="D302" s="171" t="s">
        <v>1959</v>
      </c>
      <c r="E302" s="194">
        <f>ART_3!J$24</f>
        <v>1</v>
      </c>
      <c r="F302" s="201"/>
    </row>
    <row r="303" spans="1:6" x14ac:dyDescent="0.2">
      <c r="A303" s="532"/>
      <c r="B303" s="509"/>
      <c r="C303" s="534"/>
      <c r="D303" s="171" t="s">
        <v>137</v>
      </c>
      <c r="E303" s="194">
        <f>ART_3!K$24</f>
        <v>0</v>
      </c>
      <c r="F303" s="201"/>
    </row>
    <row r="304" spans="1:6" x14ac:dyDescent="0.2">
      <c r="A304" s="532"/>
      <c r="B304" s="509"/>
      <c r="C304" s="534"/>
      <c r="D304" s="171" t="s">
        <v>1960</v>
      </c>
      <c r="E304" s="194">
        <f>ART_3!L$24</f>
        <v>0</v>
      </c>
      <c r="F304" s="201"/>
    </row>
    <row r="305" spans="1:6" ht="21" x14ac:dyDescent="0.2">
      <c r="A305" s="532"/>
      <c r="B305" s="509"/>
      <c r="C305" s="534"/>
      <c r="D305" s="171" t="s">
        <v>1963</v>
      </c>
      <c r="E305" s="194">
        <f>ART_3!M$24</f>
        <v>0</v>
      </c>
      <c r="F305" s="201"/>
    </row>
    <row r="306" spans="1:6" x14ac:dyDescent="0.2">
      <c r="A306" s="532"/>
      <c r="B306" s="509"/>
      <c r="C306" s="535" t="s">
        <v>1964</v>
      </c>
      <c r="D306" s="536"/>
      <c r="E306" s="196">
        <f>SUM(E298:E305)</f>
        <v>2</v>
      </c>
      <c r="F306" s="201"/>
    </row>
    <row r="307" spans="1:6" ht="14.25" customHeight="1" x14ac:dyDescent="0.2">
      <c r="A307" s="532"/>
      <c r="B307" s="509" t="str">
        <f>CONCATENATE(ART_3!$A$22,ART_3!B25)</f>
        <v>4.c.6 Out of the 4.c.5, number of PLHIV diagnosed as having TB: (ii) Pulmonary TB (Clinically diagnosed)</v>
      </c>
      <c r="C307" s="534" t="s">
        <v>83</v>
      </c>
      <c r="D307" s="171" t="s">
        <v>1959</v>
      </c>
      <c r="E307" s="194">
        <f>ART_3!F$25</f>
        <v>0</v>
      </c>
      <c r="F307" s="201"/>
    </row>
    <row r="308" spans="1:6" x14ac:dyDescent="0.2">
      <c r="A308" s="532"/>
      <c r="B308" s="509"/>
      <c r="C308" s="534"/>
      <c r="D308" s="171" t="s">
        <v>137</v>
      </c>
      <c r="E308" s="194">
        <f>ART_3!G$25</f>
        <v>0</v>
      </c>
      <c r="F308" s="201"/>
    </row>
    <row r="309" spans="1:6" x14ac:dyDescent="0.2">
      <c r="A309" s="532"/>
      <c r="B309" s="509"/>
      <c r="C309" s="534"/>
      <c r="D309" s="171" t="s">
        <v>1960</v>
      </c>
      <c r="E309" s="194">
        <f>ART_3!H$25</f>
        <v>0</v>
      </c>
      <c r="F309" s="201"/>
    </row>
    <row r="310" spans="1:6" ht="21" x14ac:dyDescent="0.2">
      <c r="A310" s="532"/>
      <c r="B310" s="509"/>
      <c r="C310" s="534"/>
      <c r="D310" s="171" t="s">
        <v>1963</v>
      </c>
      <c r="E310" s="194">
        <f>ART_3!I$25</f>
        <v>0</v>
      </c>
      <c r="F310" s="201"/>
    </row>
    <row r="311" spans="1:6" x14ac:dyDescent="0.2">
      <c r="A311" s="532"/>
      <c r="B311" s="509"/>
      <c r="C311" s="534" t="s">
        <v>84</v>
      </c>
      <c r="D311" s="171" t="s">
        <v>1959</v>
      </c>
      <c r="E311" s="194">
        <f>ART_3!J$25</f>
        <v>1</v>
      </c>
      <c r="F311" s="201"/>
    </row>
    <row r="312" spans="1:6" x14ac:dyDescent="0.2">
      <c r="A312" s="532"/>
      <c r="B312" s="509"/>
      <c r="C312" s="534"/>
      <c r="D312" s="171" t="s">
        <v>137</v>
      </c>
      <c r="E312" s="194">
        <f>ART_3!K$25</f>
        <v>0</v>
      </c>
      <c r="F312" s="201"/>
    </row>
    <row r="313" spans="1:6" x14ac:dyDescent="0.2">
      <c r="A313" s="532"/>
      <c r="B313" s="509"/>
      <c r="C313" s="534"/>
      <c r="D313" s="171" t="s">
        <v>1960</v>
      </c>
      <c r="E313" s="194">
        <f>ART_3!L$25</f>
        <v>0</v>
      </c>
      <c r="F313" s="201"/>
    </row>
    <row r="314" spans="1:6" ht="21" x14ac:dyDescent="0.2">
      <c r="A314" s="532"/>
      <c r="B314" s="509"/>
      <c r="C314" s="534"/>
      <c r="D314" s="171" t="s">
        <v>1963</v>
      </c>
      <c r="E314" s="194">
        <f>ART_3!M$25</f>
        <v>0</v>
      </c>
      <c r="F314" s="201"/>
    </row>
    <row r="315" spans="1:6" x14ac:dyDescent="0.2">
      <c r="A315" s="532"/>
      <c r="B315" s="509"/>
      <c r="C315" s="535" t="s">
        <v>1964</v>
      </c>
      <c r="D315" s="536"/>
      <c r="E315" s="196">
        <f>SUM(E307:E314)</f>
        <v>1</v>
      </c>
      <c r="F315" s="201"/>
    </row>
    <row r="316" spans="1:6" ht="14.25" customHeight="1" x14ac:dyDescent="0.2">
      <c r="A316" s="532"/>
      <c r="B316" s="509" t="str">
        <f>CONCATENATE(ART_3!$A$22,ART_3!B26)</f>
        <v>4.c.6 Out of the 4.c.5, number of PLHIV diagnosed as having TB: (iii) Extra-Pulmonary TB (Microbiologically confirmed)</v>
      </c>
      <c r="C316" s="534" t="s">
        <v>83</v>
      </c>
      <c r="D316" s="171" t="s">
        <v>1959</v>
      </c>
      <c r="E316" s="194">
        <f>ART_3!F$26</f>
        <v>0</v>
      </c>
      <c r="F316" s="201"/>
    </row>
    <row r="317" spans="1:6" x14ac:dyDescent="0.2">
      <c r="A317" s="532"/>
      <c r="B317" s="509"/>
      <c r="C317" s="534"/>
      <c r="D317" s="171" t="s">
        <v>137</v>
      </c>
      <c r="E317" s="194">
        <f>ART_3!G$26</f>
        <v>0</v>
      </c>
      <c r="F317" s="201"/>
    </row>
    <row r="318" spans="1:6" x14ac:dyDescent="0.2">
      <c r="A318" s="532"/>
      <c r="B318" s="509"/>
      <c r="C318" s="534"/>
      <c r="D318" s="171" t="s">
        <v>1960</v>
      </c>
      <c r="E318" s="194">
        <f>ART_3!H$26</f>
        <v>0</v>
      </c>
      <c r="F318" s="201"/>
    </row>
    <row r="319" spans="1:6" ht="21" x14ac:dyDescent="0.2">
      <c r="A319" s="532"/>
      <c r="B319" s="509"/>
      <c r="C319" s="534"/>
      <c r="D319" s="171" t="s">
        <v>1963</v>
      </c>
      <c r="E319" s="194">
        <f>ART_3!I$26</f>
        <v>0</v>
      </c>
      <c r="F319" s="201"/>
    </row>
    <row r="320" spans="1:6" x14ac:dyDescent="0.2">
      <c r="A320" s="532"/>
      <c r="B320" s="509"/>
      <c r="C320" s="534" t="s">
        <v>84</v>
      </c>
      <c r="D320" s="171" t="s">
        <v>1959</v>
      </c>
      <c r="E320" s="194">
        <f>ART_3!J$26</f>
        <v>0</v>
      </c>
      <c r="F320" s="201"/>
    </row>
    <row r="321" spans="1:6" x14ac:dyDescent="0.2">
      <c r="A321" s="532"/>
      <c r="B321" s="509"/>
      <c r="C321" s="534"/>
      <c r="D321" s="171" t="s">
        <v>137</v>
      </c>
      <c r="E321" s="194">
        <f>ART_3!K$26</f>
        <v>0</v>
      </c>
      <c r="F321" s="201"/>
    </row>
    <row r="322" spans="1:6" x14ac:dyDescent="0.2">
      <c r="A322" s="532"/>
      <c r="B322" s="509"/>
      <c r="C322" s="534"/>
      <c r="D322" s="171" t="s">
        <v>1960</v>
      </c>
      <c r="E322" s="194">
        <f>ART_3!L$26</f>
        <v>0</v>
      </c>
      <c r="F322" s="201"/>
    </row>
    <row r="323" spans="1:6" ht="21" x14ac:dyDescent="0.2">
      <c r="A323" s="532"/>
      <c r="B323" s="509"/>
      <c r="C323" s="534"/>
      <c r="D323" s="171" t="s">
        <v>1963</v>
      </c>
      <c r="E323" s="194">
        <f>ART_3!M$26</f>
        <v>0</v>
      </c>
      <c r="F323" s="201"/>
    </row>
    <row r="324" spans="1:6" x14ac:dyDescent="0.2">
      <c r="A324" s="532"/>
      <c r="B324" s="509"/>
      <c r="C324" s="535" t="s">
        <v>1964</v>
      </c>
      <c r="D324" s="536"/>
      <c r="E324" s="196">
        <f>SUM(E316:E323)</f>
        <v>0</v>
      </c>
      <c r="F324" s="201"/>
    </row>
    <row r="325" spans="1:6" ht="14.25" customHeight="1" x14ac:dyDescent="0.2">
      <c r="A325" s="532"/>
      <c r="B325" s="509" t="str">
        <f>CONCATENATE(ART_3!$A$22,ART_3!B27)</f>
        <v>4.c.6 Out of the 4.c.5, number of PLHIV diagnosed as having TB: (iv) Extra Pulmonary (Clinically diagnosed)</v>
      </c>
      <c r="C325" s="534" t="s">
        <v>83</v>
      </c>
      <c r="D325" s="171" t="s">
        <v>1959</v>
      </c>
      <c r="E325" s="194">
        <f>ART_3!F$27</f>
        <v>0</v>
      </c>
      <c r="F325" s="201"/>
    </row>
    <row r="326" spans="1:6" x14ac:dyDescent="0.2">
      <c r="A326" s="532"/>
      <c r="B326" s="509"/>
      <c r="C326" s="534"/>
      <c r="D326" s="171" t="s">
        <v>137</v>
      </c>
      <c r="E326" s="194">
        <f>ART_3!G$27</f>
        <v>0</v>
      </c>
      <c r="F326" s="201"/>
    </row>
    <row r="327" spans="1:6" x14ac:dyDescent="0.2">
      <c r="A327" s="532"/>
      <c r="B327" s="509"/>
      <c r="C327" s="534"/>
      <c r="D327" s="171" t="s">
        <v>1960</v>
      </c>
      <c r="E327" s="194">
        <f>ART_3!H$27</f>
        <v>0</v>
      </c>
      <c r="F327" s="201"/>
    </row>
    <row r="328" spans="1:6" ht="21" x14ac:dyDescent="0.2">
      <c r="A328" s="532"/>
      <c r="B328" s="509"/>
      <c r="C328" s="534"/>
      <c r="D328" s="171" t="s">
        <v>1963</v>
      </c>
      <c r="E328" s="194">
        <f>ART_3!I$27</f>
        <v>0</v>
      </c>
      <c r="F328" s="201"/>
    </row>
    <row r="329" spans="1:6" x14ac:dyDescent="0.2">
      <c r="A329" s="532"/>
      <c r="B329" s="509"/>
      <c r="C329" s="534" t="s">
        <v>84</v>
      </c>
      <c r="D329" s="171" t="s">
        <v>1959</v>
      </c>
      <c r="E329" s="194">
        <f>ART_3!J$27</f>
        <v>0</v>
      </c>
      <c r="F329" s="201"/>
    </row>
    <row r="330" spans="1:6" x14ac:dyDescent="0.2">
      <c r="A330" s="532"/>
      <c r="B330" s="509"/>
      <c r="C330" s="534"/>
      <c r="D330" s="171" t="s">
        <v>137</v>
      </c>
      <c r="E330" s="194">
        <f>ART_3!K$27</f>
        <v>0</v>
      </c>
      <c r="F330" s="201"/>
    </row>
    <row r="331" spans="1:6" x14ac:dyDescent="0.2">
      <c r="A331" s="532"/>
      <c r="B331" s="509"/>
      <c r="C331" s="534"/>
      <c r="D331" s="171" t="s">
        <v>1960</v>
      </c>
      <c r="E331" s="194">
        <f>ART_3!L$27</f>
        <v>0</v>
      </c>
      <c r="F331" s="201"/>
    </row>
    <row r="332" spans="1:6" ht="21" x14ac:dyDescent="0.2">
      <c r="A332" s="532"/>
      <c r="B332" s="509"/>
      <c r="C332" s="534"/>
      <c r="D332" s="171" t="s">
        <v>1963</v>
      </c>
      <c r="E332" s="194">
        <f>ART_3!M$27</f>
        <v>0</v>
      </c>
      <c r="F332" s="201"/>
    </row>
    <row r="333" spans="1:6" x14ac:dyDescent="0.2">
      <c r="A333" s="532"/>
      <c r="B333" s="509"/>
      <c r="C333" s="535" t="s">
        <v>1964</v>
      </c>
      <c r="D333" s="536"/>
      <c r="E333" s="196">
        <f>SUM(E325:E332)</f>
        <v>0</v>
      </c>
      <c r="F333" s="201"/>
    </row>
    <row r="334" spans="1:6" ht="14.25" customHeight="1" x14ac:dyDescent="0.2">
      <c r="A334" s="532"/>
      <c r="B334" s="509" t="str">
        <f>ART_3!A28</f>
        <v>TOTAL</v>
      </c>
      <c r="C334" s="534" t="s">
        <v>83</v>
      </c>
      <c r="D334" s="171" t="s">
        <v>1959</v>
      </c>
      <c r="E334" s="194">
        <f>ART_3!F$28</f>
        <v>1</v>
      </c>
      <c r="F334" s="201"/>
    </row>
    <row r="335" spans="1:6" x14ac:dyDescent="0.2">
      <c r="A335" s="532"/>
      <c r="B335" s="509"/>
      <c r="C335" s="534"/>
      <c r="D335" s="171" t="s">
        <v>137</v>
      </c>
      <c r="E335" s="194">
        <f>ART_3!G$28</f>
        <v>0</v>
      </c>
      <c r="F335" s="201"/>
    </row>
    <row r="336" spans="1:6" x14ac:dyDescent="0.2">
      <c r="A336" s="532"/>
      <c r="B336" s="509"/>
      <c r="C336" s="534"/>
      <c r="D336" s="171" t="s">
        <v>1960</v>
      </c>
      <c r="E336" s="194">
        <f>ART_3!H$28</f>
        <v>0</v>
      </c>
      <c r="F336" s="201"/>
    </row>
    <row r="337" spans="1:6" ht="21" x14ac:dyDescent="0.2">
      <c r="A337" s="532"/>
      <c r="B337" s="509"/>
      <c r="C337" s="534"/>
      <c r="D337" s="171" t="s">
        <v>1963</v>
      </c>
      <c r="E337" s="194">
        <f>ART_3!I$28</f>
        <v>0</v>
      </c>
      <c r="F337" s="201"/>
    </row>
    <row r="338" spans="1:6" x14ac:dyDescent="0.2">
      <c r="A338" s="532"/>
      <c r="B338" s="509"/>
      <c r="C338" s="534" t="s">
        <v>84</v>
      </c>
      <c r="D338" s="171" t="s">
        <v>1959</v>
      </c>
      <c r="E338" s="194">
        <f>ART_3!J$28</f>
        <v>2</v>
      </c>
      <c r="F338" s="201"/>
    </row>
    <row r="339" spans="1:6" x14ac:dyDescent="0.2">
      <c r="A339" s="532"/>
      <c r="B339" s="509"/>
      <c r="C339" s="534"/>
      <c r="D339" s="171" t="s">
        <v>137</v>
      </c>
      <c r="E339" s="194">
        <f>ART_3!K$28</f>
        <v>0</v>
      </c>
      <c r="F339" s="201"/>
    </row>
    <row r="340" spans="1:6" x14ac:dyDescent="0.2">
      <c r="A340" s="532"/>
      <c r="B340" s="509"/>
      <c r="C340" s="534"/>
      <c r="D340" s="171" t="s">
        <v>1960</v>
      </c>
      <c r="E340" s="194">
        <f>ART_3!L$28</f>
        <v>0</v>
      </c>
      <c r="F340" s="201"/>
    </row>
    <row r="341" spans="1:6" ht="21" x14ac:dyDescent="0.2">
      <c r="A341" s="532"/>
      <c r="B341" s="509"/>
      <c r="C341" s="534"/>
      <c r="D341" s="171" t="s">
        <v>1963</v>
      </c>
      <c r="E341" s="194">
        <f>ART_3!M$28</f>
        <v>0</v>
      </c>
      <c r="F341" s="201"/>
    </row>
    <row r="342" spans="1:6" x14ac:dyDescent="0.2">
      <c r="A342" s="533"/>
      <c r="B342" s="509"/>
      <c r="C342" s="535" t="s">
        <v>1964</v>
      </c>
      <c r="D342" s="536"/>
      <c r="E342" s="196">
        <f>SUM(E334:E341)</f>
        <v>3</v>
      </c>
      <c r="F342" s="201"/>
    </row>
    <row r="343" spans="1:6" ht="14.25" customHeight="1" x14ac:dyDescent="0.2">
      <c r="A343" s="531" t="s">
        <v>1797</v>
      </c>
      <c r="B343" s="509" t="str">
        <f>ART_3!A29</f>
        <v>4.c.7 Out of 4.c.6, number of TB patients with Rif Resistance</v>
      </c>
      <c r="C343" s="534" t="s">
        <v>83</v>
      </c>
      <c r="D343" s="171" t="s">
        <v>1959</v>
      </c>
      <c r="E343" s="194">
        <f>ART_3!F$29</f>
        <v>0</v>
      </c>
      <c r="F343" s="201"/>
    </row>
    <row r="344" spans="1:6" x14ac:dyDescent="0.2">
      <c r="A344" s="532"/>
      <c r="B344" s="509"/>
      <c r="C344" s="534"/>
      <c r="D344" s="171" t="s">
        <v>137</v>
      </c>
      <c r="E344" s="194">
        <f>ART_3!G$29</f>
        <v>0</v>
      </c>
      <c r="F344" s="201"/>
    </row>
    <row r="345" spans="1:6" x14ac:dyDescent="0.2">
      <c r="A345" s="532"/>
      <c r="B345" s="509"/>
      <c r="C345" s="534"/>
      <c r="D345" s="171" t="s">
        <v>1960</v>
      </c>
      <c r="E345" s="194">
        <f>ART_3!H$29</f>
        <v>0</v>
      </c>
      <c r="F345" s="201"/>
    </row>
    <row r="346" spans="1:6" ht="21" x14ac:dyDescent="0.2">
      <c r="A346" s="532"/>
      <c r="B346" s="509"/>
      <c r="C346" s="534"/>
      <c r="D346" s="171" t="s">
        <v>1963</v>
      </c>
      <c r="E346" s="194">
        <f>ART_3!I$29</f>
        <v>0</v>
      </c>
      <c r="F346" s="201"/>
    </row>
    <row r="347" spans="1:6" x14ac:dyDescent="0.2">
      <c r="A347" s="532"/>
      <c r="B347" s="509"/>
      <c r="C347" s="534" t="s">
        <v>84</v>
      </c>
      <c r="D347" s="171" t="s">
        <v>1959</v>
      </c>
      <c r="E347" s="194">
        <f>ART_3!J$29</f>
        <v>0</v>
      </c>
      <c r="F347" s="201"/>
    </row>
    <row r="348" spans="1:6" x14ac:dyDescent="0.2">
      <c r="A348" s="532"/>
      <c r="B348" s="509"/>
      <c r="C348" s="534"/>
      <c r="D348" s="171" t="s">
        <v>137</v>
      </c>
      <c r="E348" s="194">
        <f>ART_3!K$29</f>
        <v>0</v>
      </c>
      <c r="F348" s="201"/>
    </row>
    <row r="349" spans="1:6" x14ac:dyDescent="0.2">
      <c r="A349" s="532"/>
      <c r="B349" s="509"/>
      <c r="C349" s="534"/>
      <c r="D349" s="171" t="s">
        <v>1960</v>
      </c>
      <c r="E349" s="194">
        <f>ART_3!L$29</f>
        <v>0</v>
      </c>
      <c r="F349" s="201"/>
    </row>
    <row r="350" spans="1:6" ht="21" x14ac:dyDescent="0.2">
      <c r="A350" s="532"/>
      <c r="B350" s="509"/>
      <c r="C350" s="534"/>
      <c r="D350" s="171" t="s">
        <v>1963</v>
      </c>
      <c r="E350" s="194">
        <f>ART_3!M$29</f>
        <v>0</v>
      </c>
      <c r="F350" s="201"/>
    </row>
    <row r="351" spans="1:6" x14ac:dyDescent="0.2">
      <c r="A351" s="533"/>
      <c r="B351" s="509"/>
      <c r="C351" s="535" t="s">
        <v>1964</v>
      </c>
      <c r="D351" s="536"/>
      <c r="E351" s="196">
        <f>SUM(E343:E350)</f>
        <v>0</v>
      </c>
      <c r="F351" s="201"/>
    </row>
    <row r="352" spans="1:6" ht="15" customHeight="1" x14ac:dyDescent="0.2">
      <c r="A352" s="497" t="s">
        <v>2262</v>
      </c>
      <c r="B352" s="495" t="str">
        <f>ART_3!A34</f>
        <v>4.d.1 Total number of Co-infected patients enrolled in HIV/TB register during the current financial year (April till reporting month)</v>
      </c>
      <c r="C352" s="511" t="s">
        <v>1</v>
      </c>
      <c r="D352" s="511"/>
      <c r="E352" s="196">
        <f>ART_3!F$34</f>
        <v>21</v>
      </c>
      <c r="F352" s="201"/>
    </row>
    <row r="353" spans="1:6" x14ac:dyDescent="0.2">
      <c r="A353" s="504"/>
      <c r="B353" s="495"/>
      <c r="C353" s="511" t="s">
        <v>2</v>
      </c>
      <c r="D353" s="511"/>
      <c r="E353" s="196">
        <f>ART_3!H$34</f>
        <v>7</v>
      </c>
      <c r="F353" s="201"/>
    </row>
    <row r="354" spans="1:6" x14ac:dyDescent="0.2">
      <c r="A354" s="504"/>
      <c r="B354" s="495"/>
      <c r="C354" s="511" t="s">
        <v>3</v>
      </c>
      <c r="D354" s="511"/>
      <c r="E354" s="196">
        <f>ART_3!J$34</f>
        <v>0</v>
      </c>
      <c r="F354" s="201"/>
    </row>
    <row r="355" spans="1:6" x14ac:dyDescent="0.2">
      <c r="A355" s="504"/>
      <c r="B355" s="495"/>
      <c r="C355" s="511" t="s">
        <v>4</v>
      </c>
      <c r="D355" s="196" t="s">
        <v>1</v>
      </c>
      <c r="E355" s="196">
        <f>ART_3!L$34</f>
        <v>0</v>
      </c>
      <c r="F355" s="201"/>
    </row>
    <row r="356" spans="1:6" x14ac:dyDescent="0.2">
      <c r="A356" s="504"/>
      <c r="B356" s="495"/>
      <c r="C356" s="511"/>
      <c r="D356" s="196" t="s">
        <v>2</v>
      </c>
      <c r="E356" s="196">
        <f>ART_3!M$34</f>
        <v>0</v>
      </c>
      <c r="F356" s="201"/>
    </row>
    <row r="357" spans="1:6" x14ac:dyDescent="0.2">
      <c r="A357" s="504"/>
      <c r="B357" s="495"/>
      <c r="C357" s="511" t="s">
        <v>5</v>
      </c>
      <c r="D357" s="511"/>
      <c r="E357" s="196">
        <f>SUM(E352:E356)</f>
        <v>28</v>
      </c>
      <c r="F357" s="201"/>
    </row>
    <row r="358" spans="1:6" x14ac:dyDescent="0.2">
      <c r="A358" s="497" t="s">
        <v>2263</v>
      </c>
      <c r="B358" s="495" t="str">
        <f>ART_3!A34</f>
        <v>4.d.1 Total number of Co-infected patients enrolled in HIV/TB register during the current financial year (April till reporting month)</v>
      </c>
      <c r="C358" s="511" t="s">
        <v>1</v>
      </c>
      <c r="D358" s="511"/>
      <c r="E358" s="196">
        <f>ART_3!F$35</f>
        <v>25</v>
      </c>
      <c r="F358" s="201"/>
    </row>
    <row r="359" spans="1:6" x14ac:dyDescent="0.2">
      <c r="A359" s="504"/>
      <c r="B359" s="495"/>
      <c r="C359" s="511" t="s">
        <v>2</v>
      </c>
      <c r="D359" s="511"/>
      <c r="E359" s="196">
        <f>ART_3!H$35</f>
        <v>5</v>
      </c>
      <c r="F359" s="201"/>
    </row>
    <row r="360" spans="1:6" x14ac:dyDescent="0.2">
      <c r="A360" s="504"/>
      <c r="B360" s="495"/>
      <c r="C360" s="511" t="s">
        <v>3</v>
      </c>
      <c r="D360" s="511"/>
      <c r="E360" s="196">
        <f>ART_3!J$35</f>
        <v>0</v>
      </c>
      <c r="F360" s="201"/>
    </row>
    <row r="361" spans="1:6" x14ac:dyDescent="0.2">
      <c r="A361" s="504"/>
      <c r="B361" s="495"/>
      <c r="C361" s="511" t="s">
        <v>4</v>
      </c>
      <c r="D361" s="196" t="s">
        <v>1</v>
      </c>
      <c r="E361" s="196">
        <f>ART_3!L$35</f>
        <v>0</v>
      </c>
      <c r="F361" s="201"/>
    </row>
    <row r="362" spans="1:6" x14ac:dyDescent="0.2">
      <c r="A362" s="504"/>
      <c r="B362" s="495"/>
      <c r="C362" s="511"/>
      <c r="D362" s="196" t="s">
        <v>2</v>
      </c>
      <c r="E362" s="196">
        <f>ART_3!M$35</f>
        <v>0</v>
      </c>
      <c r="F362" s="201"/>
    </row>
    <row r="363" spans="1:6" x14ac:dyDescent="0.2">
      <c r="A363" s="504"/>
      <c r="B363" s="495"/>
      <c r="C363" s="511" t="s">
        <v>5</v>
      </c>
      <c r="D363" s="511"/>
      <c r="E363" s="196">
        <f>SUM(E358:E362)</f>
        <v>30</v>
      </c>
      <c r="F363" s="201"/>
    </row>
    <row r="364" spans="1:6" ht="15" customHeight="1" x14ac:dyDescent="0.2">
      <c r="A364" s="497" t="s">
        <v>2264</v>
      </c>
      <c r="B364" s="495" t="str">
        <f>ART_3!A34</f>
        <v>4.d.1 Total number of Co-infected patients enrolled in HIV/TB register during the current financial year (April till reporting month)</v>
      </c>
      <c r="C364" s="511" t="s">
        <v>1</v>
      </c>
      <c r="D364" s="511"/>
      <c r="E364" s="196">
        <f>ART_3!F$36</f>
        <v>46</v>
      </c>
      <c r="F364" s="201"/>
    </row>
    <row r="365" spans="1:6" x14ac:dyDescent="0.2">
      <c r="A365" s="504"/>
      <c r="B365" s="495"/>
      <c r="C365" s="511" t="s">
        <v>2</v>
      </c>
      <c r="D365" s="511"/>
      <c r="E365" s="196">
        <f>ART_3!H$36</f>
        <v>12</v>
      </c>
      <c r="F365" s="201"/>
    </row>
    <row r="366" spans="1:6" x14ac:dyDescent="0.2">
      <c r="A366" s="504"/>
      <c r="B366" s="495"/>
      <c r="C366" s="511" t="s">
        <v>3</v>
      </c>
      <c r="D366" s="511"/>
      <c r="E366" s="196">
        <f>ART_3!J$36</f>
        <v>0</v>
      </c>
      <c r="F366" s="201"/>
    </row>
    <row r="367" spans="1:6" x14ac:dyDescent="0.2">
      <c r="A367" s="504"/>
      <c r="B367" s="495"/>
      <c r="C367" s="511" t="s">
        <v>4</v>
      </c>
      <c r="D367" s="196" t="s">
        <v>1</v>
      </c>
      <c r="E367" s="196">
        <f>ART_3!L$36</f>
        <v>0</v>
      </c>
      <c r="F367" s="201"/>
    </row>
    <row r="368" spans="1:6" x14ac:dyDescent="0.2">
      <c r="A368" s="504"/>
      <c r="B368" s="495"/>
      <c r="C368" s="511"/>
      <c r="D368" s="196" t="s">
        <v>2</v>
      </c>
      <c r="E368" s="196">
        <f>ART_3!M$36</f>
        <v>0</v>
      </c>
      <c r="F368" s="201"/>
    </row>
    <row r="369" spans="1:6" x14ac:dyDescent="0.2">
      <c r="A369" s="504"/>
      <c r="B369" s="495"/>
      <c r="C369" s="511" t="s">
        <v>5</v>
      </c>
      <c r="D369" s="511"/>
      <c r="E369" s="196">
        <f>SUM(E364:E368)</f>
        <v>58</v>
      </c>
      <c r="F369" s="201"/>
    </row>
    <row r="370" spans="1:6" ht="15" customHeight="1" x14ac:dyDescent="0.2">
      <c r="A370" s="497" t="s">
        <v>2255</v>
      </c>
      <c r="B370" s="495" t="str">
        <f>ART_3!A37</f>
        <v>4.d.2 Out of 4.d.1, number of Co-infected patients initiated on TB treatment</v>
      </c>
      <c r="C370" s="511" t="s">
        <v>1</v>
      </c>
      <c r="D370" s="511"/>
      <c r="E370" s="196">
        <f>ART_3!F$37</f>
        <v>45</v>
      </c>
      <c r="F370" s="201"/>
    </row>
    <row r="371" spans="1:6" x14ac:dyDescent="0.2">
      <c r="A371" s="504"/>
      <c r="B371" s="495"/>
      <c r="C371" s="511" t="s">
        <v>2</v>
      </c>
      <c r="D371" s="511"/>
      <c r="E371" s="196">
        <f>ART_3!H$37</f>
        <v>11</v>
      </c>
      <c r="F371" s="201"/>
    </row>
    <row r="372" spans="1:6" x14ac:dyDescent="0.2">
      <c r="A372" s="504"/>
      <c r="B372" s="495"/>
      <c r="C372" s="511" t="s">
        <v>3</v>
      </c>
      <c r="D372" s="511"/>
      <c r="E372" s="196">
        <f>ART_3!J$37</f>
        <v>0</v>
      </c>
      <c r="F372" s="201"/>
    </row>
    <row r="373" spans="1:6" x14ac:dyDescent="0.2">
      <c r="A373" s="504"/>
      <c r="B373" s="495"/>
      <c r="C373" s="511" t="s">
        <v>4</v>
      </c>
      <c r="D373" s="196" t="s">
        <v>1</v>
      </c>
      <c r="E373" s="196">
        <f>ART_3!L$37</f>
        <v>0</v>
      </c>
      <c r="F373" s="201"/>
    </row>
    <row r="374" spans="1:6" x14ac:dyDescent="0.2">
      <c r="A374" s="504"/>
      <c r="B374" s="495"/>
      <c r="C374" s="511"/>
      <c r="D374" s="196" t="s">
        <v>2</v>
      </c>
      <c r="E374" s="196">
        <f>ART_3!M$37</f>
        <v>0</v>
      </c>
      <c r="F374" s="201"/>
    </row>
    <row r="375" spans="1:6" x14ac:dyDescent="0.2">
      <c r="A375" s="499"/>
      <c r="B375" s="495"/>
      <c r="C375" s="511" t="s">
        <v>5</v>
      </c>
      <c r="D375" s="511"/>
      <c r="E375" s="196">
        <f>SUM(E370:E374)</f>
        <v>56</v>
      </c>
      <c r="F375" s="201"/>
    </row>
    <row r="376" spans="1:6" ht="15" customHeight="1" x14ac:dyDescent="0.2">
      <c r="A376" s="497" t="s">
        <v>2256</v>
      </c>
      <c r="B376" s="495" t="str">
        <f>ART_3!A37</f>
        <v>4.d.2 Out of 4.d.1, number of Co-infected patients initiated on TB treatment</v>
      </c>
      <c r="C376" s="511" t="s">
        <v>1</v>
      </c>
      <c r="D376" s="511"/>
      <c r="E376" s="196">
        <f>ART_3!F$38</f>
        <v>1</v>
      </c>
      <c r="F376" s="201"/>
    </row>
    <row r="377" spans="1:6" x14ac:dyDescent="0.2">
      <c r="A377" s="504"/>
      <c r="B377" s="495"/>
      <c r="C377" s="511" t="s">
        <v>2</v>
      </c>
      <c r="D377" s="511"/>
      <c r="E377" s="196">
        <f>ART_3!H$38</f>
        <v>1</v>
      </c>
      <c r="F377" s="201"/>
    </row>
    <row r="378" spans="1:6" x14ac:dyDescent="0.2">
      <c r="A378" s="504"/>
      <c r="B378" s="495"/>
      <c r="C378" s="511" t="s">
        <v>3</v>
      </c>
      <c r="D378" s="511"/>
      <c r="E378" s="196">
        <f>ART_3!J$38</f>
        <v>0</v>
      </c>
      <c r="F378" s="201"/>
    </row>
    <row r="379" spans="1:6" x14ac:dyDescent="0.2">
      <c r="A379" s="504"/>
      <c r="B379" s="495"/>
      <c r="C379" s="511" t="s">
        <v>4</v>
      </c>
      <c r="D379" s="196" t="s">
        <v>1</v>
      </c>
      <c r="E379" s="196">
        <f>ART_3!L$38</f>
        <v>0</v>
      </c>
      <c r="F379" s="201"/>
    </row>
    <row r="380" spans="1:6" x14ac:dyDescent="0.2">
      <c r="A380" s="504"/>
      <c r="B380" s="495"/>
      <c r="C380" s="511"/>
      <c r="D380" s="196" t="s">
        <v>2</v>
      </c>
      <c r="E380" s="196">
        <f>ART_3!M$38</f>
        <v>0</v>
      </c>
      <c r="F380" s="201"/>
    </row>
    <row r="381" spans="1:6" x14ac:dyDescent="0.2">
      <c r="A381" s="499"/>
      <c r="B381" s="495"/>
      <c r="C381" s="511" t="s">
        <v>5</v>
      </c>
      <c r="D381" s="511"/>
      <c r="E381" s="196">
        <f>SUM(E376:E380)</f>
        <v>2</v>
      </c>
      <c r="F381" s="201"/>
    </row>
    <row r="382" spans="1:6" x14ac:dyDescent="0.2">
      <c r="A382" s="497" t="s">
        <v>2257</v>
      </c>
      <c r="B382" s="495" t="str">
        <f>ART_3!A37</f>
        <v>4.d.2 Out of 4.d.1, number of Co-infected patients initiated on TB treatment</v>
      </c>
      <c r="C382" s="511" t="s">
        <v>1</v>
      </c>
      <c r="D382" s="511"/>
      <c r="E382" s="196">
        <f>ART_3!F39</f>
        <v>46</v>
      </c>
      <c r="F382" s="201"/>
    </row>
    <row r="383" spans="1:6" x14ac:dyDescent="0.2">
      <c r="A383" s="504"/>
      <c r="B383" s="495"/>
      <c r="C383" s="511" t="s">
        <v>2</v>
      </c>
      <c r="D383" s="511"/>
      <c r="E383" s="196">
        <f>ART_3!H39</f>
        <v>12</v>
      </c>
      <c r="F383" s="201"/>
    </row>
    <row r="384" spans="1:6" x14ac:dyDescent="0.2">
      <c r="A384" s="504"/>
      <c r="B384" s="495"/>
      <c r="C384" s="511" t="s">
        <v>3</v>
      </c>
      <c r="D384" s="511"/>
      <c r="E384" s="196">
        <f>ART_3!J39</f>
        <v>0</v>
      </c>
      <c r="F384" s="201"/>
    </row>
    <row r="385" spans="1:6" x14ac:dyDescent="0.2">
      <c r="A385" s="504"/>
      <c r="B385" s="495"/>
      <c r="C385" s="511" t="s">
        <v>4</v>
      </c>
      <c r="D385" s="196" t="s">
        <v>1</v>
      </c>
      <c r="E385" s="196">
        <f>ART_3!L39</f>
        <v>0</v>
      </c>
      <c r="F385" s="201"/>
    </row>
    <row r="386" spans="1:6" x14ac:dyDescent="0.2">
      <c r="A386" s="504"/>
      <c r="B386" s="495"/>
      <c r="C386" s="511"/>
      <c r="D386" s="196" t="s">
        <v>2</v>
      </c>
      <c r="E386" s="196">
        <f>ART_3!M39</f>
        <v>0</v>
      </c>
      <c r="F386" s="201"/>
    </row>
    <row r="387" spans="1:6" x14ac:dyDescent="0.2">
      <c r="A387" s="499"/>
      <c r="B387" s="495"/>
      <c r="C387" s="511" t="s">
        <v>5</v>
      </c>
      <c r="D387" s="511"/>
      <c r="E387" s="196">
        <f>SUM(E382:E386)</f>
        <v>58</v>
      </c>
      <c r="F387" s="201"/>
    </row>
    <row r="388" spans="1:6" ht="15" customHeight="1" x14ac:dyDescent="0.2">
      <c r="A388" s="497" t="s">
        <v>1798</v>
      </c>
      <c r="B388" s="495" t="str">
        <f>ART_3!A40</f>
        <v xml:space="preserve">4.d.3 Out of 4.d.2, number of TB patients with DR TB (Drug Resistant TB) initiated on Cat IV treatment </v>
      </c>
      <c r="C388" s="511" t="s">
        <v>1</v>
      </c>
      <c r="D388" s="511"/>
      <c r="E388" s="196">
        <f>ART_3!F$40</f>
        <v>3</v>
      </c>
      <c r="F388" s="201"/>
    </row>
    <row r="389" spans="1:6" x14ac:dyDescent="0.2">
      <c r="A389" s="504"/>
      <c r="B389" s="495"/>
      <c r="C389" s="511" t="s">
        <v>2</v>
      </c>
      <c r="D389" s="511"/>
      <c r="E389" s="196">
        <f>ART_3!H$40</f>
        <v>0</v>
      </c>
      <c r="F389" s="201"/>
    </row>
    <row r="390" spans="1:6" x14ac:dyDescent="0.2">
      <c r="A390" s="504"/>
      <c r="B390" s="495"/>
      <c r="C390" s="511" t="s">
        <v>3</v>
      </c>
      <c r="D390" s="511"/>
      <c r="E390" s="196">
        <f>ART_3!J$40</f>
        <v>0</v>
      </c>
      <c r="F390" s="201"/>
    </row>
    <row r="391" spans="1:6" x14ac:dyDescent="0.2">
      <c r="A391" s="504"/>
      <c r="B391" s="495"/>
      <c r="C391" s="511" t="s">
        <v>4</v>
      </c>
      <c r="D391" s="196" t="s">
        <v>1</v>
      </c>
      <c r="E391" s="196">
        <f>ART_3!L$40</f>
        <v>0</v>
      </c>
      <c r="F391" s="201"/>
    </row>
    <row r="392" spans="1:6" x14ac:dyDescent="0.2">
      <c r="A392" s="504"/>
      <c r="B392" s="495"/>
      <c r="C392" s="511"/>
      <c r="D392" s="196" t="s">
        <v>2</v>
      </c>
      <c r="E392" s="196">
        <f>ART_3!M$40</f>
        <v>0</v>
      </c>
      <c r="F392" s="201"/>
    </row>
    <row r="393" spans="1:6" x14ac:dyDescent="0.2">
      <c r="A393" s="499"/>
      <c r="B393" s="495"/>
      <c r="C393" s="511" t="s">
        <v>5</v>
      </c>
      <c r="D393" s="511"/>
      <c r="E393" s="196">
        <f>SUM(E388:E392)</f>
        <v>3</v>
      </c>
      <c r="F393" s="201"/>
    </row>
    <row r="394" spans="1:6" ht="15" customHeight="1" x14ac:dyDescent="0.2">
      <c r="A394" s="497" t="s">
        <v>1799</v>
      </c>
      <c r="B394" s="495" t="str">
        <f>ART_3!A41</f>
        <v>4.d.4 Out of 4.d.1, number of Co-infected patients initiated on CPT</v>
      </c>
      <c r="C394" s="511" t="s">
        <v>1</v>
      </c>
      <c r="D394" s="511"/>
      <c r="E394" s="196">
        <f>ART_3!F$41</f>
        <v>46</v>
      </c>
      <c r="F394" s="201"/>
    </row>
    <row r="395" spans="1:6" x14ac:dyDescent="0.2">
      <c r="A395" s="504"/>
      <c r="B395" s="495"/>
      <c r="C395" s="511" t="s">
        <v>2</v>
      </c>
      <c r="D395" s="511"/>
      <c r="E395" s="196">
        <f>ART_3!H$41</f>
        <v>12</v>
      </c>
      <c r="F395" s="201"/>
    </row>
    <row r="396" spans="1:6" x14ac:dyDescent="0.2">
      <c r="A396" s="504"/>
      <c r="B396" s="495"/>
      <c r="C396" s="511" t="s">
        <v>3</v>
      </c>
      <c r="D396" s="511"/>
      <c r="E396" s="196">
        <f>ART_3!J$41</f>
        <v>0</v>
      </c>
      <c r="F396" s="201"/>
    </row>
    <row r="397" spans="1:6" x14ac:dyDescent="0.2">
      <c r="A397" s="504"/>
      <c r="B397" s="495"/>
      <c r="C397" s="511" t="s">
        <v>4</v>
      </c>
      <c r="D397" s="196" t="s">
        <v>1</v>
      </c>
      <c r="E397" s="196">
        <f>ART_3!L$41</f>
        <v>0</v>
      </c>
      <c r="F397" s="201"/>
    </row>
    <row r="398" spans="1:6" x14ac:dyDescent="0.2">
      <c r="A398" s="504"/>
      <c r="B398" s="495"/>
      <c r="C398" s="511"/>
      <c r="D398" s="196" t="s">
        <v>2</v>
      </c>
      <c r="E398" s="196">
        <f>ART_3!M$41</f>
        <v>0</v>
      </c>
      <c r="F398" s="201"/>
    </row>
    <row r="399" spans="1:6" x14ac:dyDescent="0.2">
      <c r="A399" s="499"/>
      <c r="B399" s="495"/>
      <c r="C399" s="511" t="s">
        <v>5</v>
      </c>
      <c r="D399" s="511"/>
      <c r="E399" s="196">
        <f>SUM(E394:E398)</f>
        <v>58</v>
      </c>
      <c r="F399" s="201"/>
    </row>
    <row r="400" spans="1:6" ht="15" customHeight="1" x14ac:dyDescent="0.2">
      <c r="A400" s="497" t="s">
        <v>1800</v>
      </c>
      <c r="B400" s="495" t="str">
        <f>ART_3!A42</f>
        <v>4.d.5 Out of 4.d.1, number of Co-infected patients initiated on ART</v>
      </c>
      <c r="C400" s="511" t="s">
        <v>1</v>
      </c>
      <c r="D400" s="511"/>
      <c r="E400" s="196">
        <f>ART_3!F$42</f>
        <v>40</v>
      </c>
      <c r="F400" s="201"/>
    </row>
    <row r="401" spans="1:6" x14ac:dyDescent="0.2">
      <c r="A401" s="504"/>
      <c r="B401" s="495"/>
      <c r="C401" s="511" t="s">
        <v>2</v>
      </c>
      <c r="D401" s="511"/>
      <c r="E401" s="196">
        <f>ART_3!H$42</f>
        <v>11</v>
      </c>
      <c r="F401" s="201"/>
    </row>
    <row r="402" spans="1:6" x14ac:dyDescent="0.2">
      <c r="A402" s="504"/>
      <c r="B402" s="495"/>
      <c r="C402" s="511" t="s">
        <v>3</v>
      </c>
      <c r="D402" s="511"/>
      <c r="E402" s="196">
        <f>ART_3!J$42</f>
        <v>0</v>
      </c>
      <c r="F402" s="201"/>
    </row>
    <row r="403" spans="1:6" x14ac:dyDescent="0.2">
      <c r="A403" s="504"/>
      <c r="B403" s="495"/>
      <c r="C403" s="511" t="s">
        <v>4</v>
      </c>
      <c r="D403" s="196" t="s">
        <v>1</v>
      </c>
      <c r="E403" s="196">
        <f>ART_3!L$42</f>
        <v>0</v>
      </c>
      <c r="F403" s="201"/>
    </row>
    <row r="404" spans="1:6" x14ac:dyDescent="0.2">
      <c r="A404" s="504"/>
      <c r="B404" s="495"/>
      <c r="C404" s="511"/>
      <c r="D404" s="196" t="s">
        <v>2</v>
      </c>
      <c r="E404" s="196">
        <f>ART_3!M$42</f>
        <v>0</v>
      </c>
      <c r="F404" s="201"/>
    </row>
    <row r="405" spans="1:6" x14ac:dyDescent="0.2">
      <c r="A405" s="499"/>
      <c r="B405" s="495"/>
      <c r="C405" s="511" t="s">
        <v>5</v>
      </c>
      <c r="D405" s="511"/>
      <c r="E405" s="196">
        <f>SUM(E400:E404)</f>
        <v>51</v>
      </c>
      <c r="F405" s="201"/>
    </row>
    <row r="406" spans="1:6" ht="15" customHeight="1" x14ac:dyDescent="0.2">
      <c r="A406" s="497" t="s">
        <v>1801</v>
      </c>
      <c r="B406" s="495" t="str">
        <f>ART_3!A45</f>
        <v>4.e.1 Number of PLHIV newly initiated on IPT during the month</v>
      </c>
      <c r="C406" s="511" t="s">
        <v>1</v>
      </c>
      <c r="D406" s="511"/>
      <c r="E406" s="196">
        <f>ART_3!F45</f>
        <v>8</v>
      </c>
      <c r="F406" s="201"/>
    </row>
    <row r="407" spans="1:6" x14ac:dyDescent="0.2">
      <c r="A407" s="504"/>
      <c r="B407" s="495"/>
      <c r="C407" s="511" t="s">
        <v>2</v>
      </c>
      <c r="D407" s="511"/>
      <c r="E407" s="196">
        <f>ART_3!H45</f>
        <v>0</v>
      </c>
      <c r="F407" s="201"/>
    </row>
    <row r="408" spans="1:6" x14ac:dyDescent="0.2">
      <c r="A408" s="504"/>
      <c r="B408" s="495"/>
      <c r="C408" s="511" t="s">
        <v>3</v>
      </c>
      <c r="D408" s="511"/>
      <c r="E408" s="196">
        <f>ART_3!J45</f>
        <v>0</v>
      </c>
      <c r="F408" s="201"/>
    </row>
    <row r="409" spans="1:6" x14ac:dyDescent="0.2">
      <c r="A409" s="504"/>
      <c r="B409" s="495"/>
      <c r="C409" s="511" t="s">
        <v>4</v>
      </c>
      <c r="D409" s="196" t="s">
        <v>1</v>
      </c>
      <c r="E409" s="196">
        <f>ART_3!L45</f>
        <v>0</v>
      </c>
      <c r="F409" s="201"/>
    </row>
    <row r="410" spans="1:6" x14ac:dyDescent="0.2">
      <c r="A410" s="504"/>
      <c r="B410" s="495"/>
      <c r="C410" s="511"/>
      <c r="D410" s="196" t="s">
        <v>2</v>
      </c>
      <c r="E410" s="196">
        <f>ART_3!M45</f>
        <v>0</v>
      </c>
      <c r="F410" s="201"/>
    </row>
    <row r="411" spans="1:6" x14ac:dyDescent="0.2">
      <c r="A411" s="499"/>
      <c r="B411" s="495"/>
      <c r="C411" s="511" t="s">
        <v>5</v>
      </c>
      <c r="D411" s="511"/>
      <c r="E411" s="196">
        <f>SUM(E406:E410)</f>
        <v>8</v>
      </c>
      <c r="F411" s="201"/>
    </row>
    <row r="412" spans="1:6" ht="15" customHeight="1" x14ac:dyDescent="0.2">
      <c r="A412" s="497" t="s">
        <v>1802</v>
      </c>
      <c r="B412" s="495" t="str">
        <f>ART_3!A46</f>
        <v>4.e.2 Number of PLHIV completed IPT during the month</v>
      </c>
      <c r="C412" s="511" t="s">
        <v>1</v>
      </c>
      <c r="D412" s="511"/>
      <c r="E412" s="196">
        <f>ART_3!F46</f>
        <v>15</v>
      </c>
      <c r="F412" s="201"/>
    </row>
    <row r="413" spans="1:6" x14ac:dyDescent="0.2">
      <c r="A413" s="504"/>
      <c r="B413" s="495"/>
      <c r="C413" s="511" t="s">
        <v>2</v>
      </c>
      <c r="D413" s="511"/>
      <c r="E413" s="196">
        <f>ART_3!H46</f>
        <v>0</v>
      </c>
      <c r="F413" s="201"/>
    </row>
    <row r="414" spans="1:6" x14ac:dyDescent="0.2">
      <c r="A414" s="504"/>
      <c r="B414" s="495"/>
      <c r="C414" s="511" t="s">
        <v>3</v>
      </c>
      <c r="D414" s="511"/>
      <c r="E414" s="196">
        <f>ART_3!J46</f>
        <v>0</v>
      </c>
      <c r="F414" s="201"/>
    </row>
    <row r="415" spans="1:6" x14ac:dyDescent="0.2">
      <c r="A415" s="504"/>
      <c r="B415" s="495"/>
      <c r="C415" s="511" t="s">
        <v>4</v>
      </c>
      <c r="D415" s="196" t="s">
        <v>1</v>
      </c>
      <c r="E415" s="196">
        <f>ART_3!L46</f>
        <v>0</v>
      </c>
      <c r="F415" s="201"/>
    </row>
    <row r="416" spans="1:6" x14ac:dyDescent="0.2">
      <c r="A416" s="504"/>
      <c r="B416" s="495"/>
      <c r="C416" s="511"/>
      <c r="D416" s="196" t="s">
        <v>2</v>
      </c>
      <c r="E416" s="196">
        <f>ART_3!M46</f>
        <v>0</v>
      </c>
      <c r="F416" s="201"/>
    </row>
    <row r="417" spans="1:6" x14ac:dyDescent="0.2">
      <c r="A417" s="499"/>
      <c r="B417" s="495"/>
      <c r="C417" s="511" t="s">
        <v>5</v>
      </c>
      <c r="D417" s="511"/>
      <c r="E417" s="196">
        <f>SUM(E412:E416)</f>
        <v>15</v>
      </c>
      <c r="F417" s="201"/>
    </row>
    <row r="418" spans="1:6" ht="36.75" customHeight="1" x14ac:dyDescent="0.2">
      <c r="A418" s="200">
        <v>5.0999999999999996</v>
      </c>
      <c r="B418" s="495" t="str">
        <f>ART_4!A4</f>
        <v>5.1 Of all PLHIV who are on treatment this month the number who have been assessed for adherence (refer guideline)</v>
      </c>
      <c r="C418" s="495"/>
      <c r="D418" s="495"/>
      <c r="E418" s="196">
        <f>ART_4!J4</f>
        <v>2064</v>
      </c>
      <c r="F418" s="201"/>
    </row>
    <row r="419" spans="1:6" ht="30" customHeight="1" x14ac:dyDescent="0.2">
      <c r="A419" s="545">
        <v>5.2</v>
      </c>
      <c r="B419" s="495" t="str">
        <f>ART_4!A5</f>
        <v>5.2 Of all PLHIV on ART this month and who have been assessed for adherence, number of patients within each adherence category</v>
      </c>
      <c r="C419" s="495"/>
      <c r="D419" s="192" t="str">
        <f>ART_4!D5</f>
        <v>Good (&gt; 95% )</v>
      </c>
      <c r="E419" s="196">
        <f>ART_4!D6</f>
        <v>2048</v>
      </c>
      <c r="F419" s="201"/>
    </row>
    <row r="420" spans="1:6" ht="30" customHeight="1" x14ac:dyDescent="0.2">
      <c r="A420" s="545"/>
      <c r="B420" s="495"/>
      <c r="C420" s="495"/>
      <c r="D420" s="192" t="str">
        <f>ART_4!G5</f>
        <v>Average (80% - 95%)</v>
      </c>
      <c r="E420" s="196">
        <f>ART_4!G6</f>
        <v>0</v>
      </c>
      <c r="F420" s="201"/>
    </row>
    <row r="421" spans="1:6" ht="30" customHeight="1" x14ac:dyDescent="0.2">
      <c r="A421" s="551"/>
      <c r="B421" s="500"/>
      <c r="C421" s="500"/>
      <c r="D421" s="192" t="str">
        <f>ART_4!J5</f>
        <v>Poor (&lt; 80%)</v>
      </c>
      <c r="E421" s="196">
        <f>ART_4!J6</f>
        <v>16</v>
      </c>
      <c r="F421" s="201"/>
    </row>
    <row r="422" spans="1:6" ht="14.25" customHeight="1" x14ac:dyDescent="0.2">
      <c r="A422" s="512">
        <v>6.1</v>
      </c>
      <c r="B422" s="513" t="str">
        <f>ART_4!A9</f>
        <v>6.1 Cumulative number of PLHIV registered in HIV Care (Include 'transferred in' PLHIV)</v>
      </c>
      <c r="C422" s="514"/>
      <c r="D422" s="172" t="s">
        <v>11</v>
      </c>
      <c r="E422" s="196">
        <f>ART_4!D$9</f>
        <v>11</v>
      </c>
      <c r="F422" s="201"/>
    </row>
    <row r="423" spans="1:6" x14ac:dyDescent="0.2">
      <c r="A423" s="512"/>
      <c r="B423" s="515"/>
      <c r="C423" s="516"/>
      <c r="D423" s="172" t="s">
        <v>12</v>
      </c>
      <c r="E423" s="196">
        <f>ART_4!E$9</f>
        <v>60</v>
      </c>
      <c r="F423" s="201"/>
    </row>
    <row r="424" spans="1:6" x14ac:dyDescent="0.2">
      <c r="A424" s="512"/>
      <c r="B424" s="515"/>
      <c r="C424" s="516"/>
      <c r="D424" s="172" t="s">
        <v>13</v>
      </c>
      <c r="E424" s="196">
        <f>ART_4!F$9</f>
        <v>115</v>
      </c>
      <c r="F424" s="201"/>
    </row>
    <row r="425" spans="1:6" x14ac:dyDescent="0.2">
      <c r="A425" s="512"/>
      <c r="B425" s="515"/>
      <c r="C425" s="516"/>
      <c r="D425" s="173" t="s">
        <v>81</v>
      </c>
      <c r="E425" s="196">
        <f>ART_4!G$9</f>
        <v>57</v>
      </c>
      <c r="F425" s="201"/>
    </row>
    <row r="426" spans="1:6" x14ac:dyDescent="0.2">
      <c r="A426" s="512"/>
      <c r="B426" s="515"/>
      <c r="C426" s="516"/>
      <c r="D426" s="173" t="s">
        <v>14</v>
      </c>
      <c r="E426" s="196">
        <f>ART_4!H$9</f>
        <v>0</v>
      </c>
      <c r="F426" s="201"/>
    </row>
    <row r="427" spans="1:6" x14ac:dyDescent="0.2">
      <c r="A427" s="512"/>
      <c r="B427" s="515"/>
      <c r="C427" s="516"/>
      <c r="D427" s="173" t="s">
        <v>15</v>
      </c>
      <c r="E427" s="196">
        <f>ART_4!I$9</f>
        <v>0</v>
      </c>
      <c r="F427" s="201"/>
    </row>
    <row r="428" spans="1:6" ht="21" x14ac:dyDescent="0.2">
      <c r="A428" s="512"/>
      <c r="B428" s="515"/>
      <c r="C428" s="516"/>
      <c r="D428" s="173" t="s">
        <v>2258</v>
      </c>
      <c r="E428" s="196">
        <f>ART_4!J$9</f>
        <v>192</v>
      </c>
      <c r="F428" s="201"/>
    </row>
    <row r="429" spans="1:6" x14ac:dyDescent="0.2">
      <c r="A429" s="512"/>
      <c r="B429" s="517"/>
      <c r="C429" s="518"/>
      <c r="D429" s="174" t="str">
        <f>ART_4!K8</f>
        <v>Total</v>
      </c>
      <c r="E429" s="196">
        <f>SUM(E422:E428)</f>
        <v>435</v>
      </c>
      <c r="F429" s="201"/>
    </row>
    <row r="430" spans="1:6" ht="15" customHeight="1" x14ac:dyDescent="0.2">
      <c r="A430" s="512">
        <v>6.2</v>
      </c>
      <c r="B430" s="513" t="str">
        <f>ART_4!A10</f>
        <v>6.2 Out of 6.1, total number of PLHIV initiated on ART (Include on-ART 'transferred in' PLHIV)</v>
      </c>
      <c r="C430" s="514"/>
      <c r="D430" s="172" t="s">
        <v>11</v>
      </c>
      <c r="E430" s="196">
        <f>ART_4!D$10</f>
        <v>11</v>
      </c>
      <c r="F430" s="201"/>
    </row>
    <row r="431" spans="1:6" x14ac:dyDescent="0.2">
      <c r="A431" s="512"/>
      <c r="B431" s="515"/>
      <c r="C431" s="516"/>
      <c r="D431" s="172" t="s">
        <v>12</v>
      </c>
      <c r="E431" s="196">
        <f>ART_4!E$10</f>
        <v>56</v>
      </c>
      <c r="F431" s="201"/>
    </row>
    <row r="432" spans="1:6" x14ac:dyDescent="0.2">
      <c r="A432" s="512"/>
      <c r="B432" s="515"/>
      <c r="C432" s="516"/>
      <c r="D432" s="172" t="s">
        <v>13</v>
      </c>
      <c r="E432" s="196">
        <f>ART_4!F$10</f>
        <v>107</v>
      </c>
      <c r="F432" s="201"/>
    </row>
    <row r="433" spans="1:6" x14ac:dyDescent="0.2">
      <c r="A433" s="512"/>
      <c r="B433" s="515"/>
      <c r="C433" s="516"/>
      <c r="D433" s="173" t="s">
        <v>81</v>
      </c>
      <c r="E433" s="196">
        <f>ART_4!G$10</f>
        <v>50</v>
      </c>
      <c r="F433" s="201"/>
    </row>
    <row r="434" spans="1:6" x14ac:dyDescent="0.2">
      <c r="A434" s="512"/>
      <c r="B434" s="515"/>
      <c r="C434" s="516"/>
      <c r="D434" s="173" t="s">
        <v>14</v>
      </c>
      <c r="E434" s="196">
        <f>ART_4!H$10</f>
        <v>0</v>
      </c>
      <c r="F434" s="201"/>
    </row>
    <row r="435" spans="1:6" x14ac:dyDescent="0.2">
      <c r="A435" s="512"/>
      <c r="B435" s="515"/>
      <c r="C435" s="516"/>
      <c r="D435" s="173" t="s">
        <v>15</v>
      </c>
      <c r="E435" s="196">
        <f>ART_4!I$10</f>
        <v>0</v>
      </c>
      <c r="F435" s="201"/>
    </row>
    <row r="436" spans="1:6" ht="21" x14ac:dyDescent="0.2">
      <c r="A436" s="512"/>
      <c r="B436" s="515"/>
      <c r="C436" s="516"/>
      <c r="D436" s="173" t="s">
        <v>2258</v>
      </c>
      <c r="E436" s="196">
        <f>ART_4!J$10</f>
        <v>190</v>
      </c>
      <c r="F436" s="201"/>
    </row>
    <row r="437" spans="1:6" x14ac:dyDescent="0.2">
      <c r="A437" s="512"/>
      <c r="B437" s="517"/>
      <c r="C437" s="518"/>
      <c r="D437" s="174" t="s">
        <v>5</v>
      </c>
      <c r="E437" s="196">
        <f>SUM(E430:E436)</f>
        <v>414</v>
      </c>
      <c r="F437" s="201"/>
    </row>
    <row r="438" spans="1:6" ht="15" customHeight="1" x14ac:dyDescent="0.2">
      <c r="A438" s="512">
        <v>6.3</v>
      </c>
      <c r="B438" s="513" t="str">
        <f>ART_4!A11</f>
        <v>6.3 Out of 6.2, total number of PLHIV reported died</v>
      </c>
      <c r="C438" s="514"/>
      <c r="D438" s="172" t="s">
        <v>11</v>
      </c>
      <c r="E438" s="196">
        <f>ART_4!D$11</f>
        <v>1</v>
      </c>
      <c r="F438" s="201"/>
    </row>
    <row r="439" spans="1:6" x14ac:dyDescent="0.2">
      <c r="A439" s="512"/>
      <c r="B439" s="515"/>
      <c r="C439" s="516"/>
      <c r="D439" s="172" t="s">
        <v>12</v>
      </c>
      <c r="E439" s="196">
        <f>ART_4!E$11</f>
        <v>4</v>
      </c>
      <c r="F439" s="201"/>
    </row>
    <row r="440" spans="1:6" x14ac:dyDescent="0.2">
      <c r="A440" s="512"/>
      <c r="B440" s="515"/>
      <c r="C440" s="516"/>
      <c r="D440" s="172" t="s">
        <v>13</v>
      </c>
      <c r="E440" s="196">
        <f>ART_4!F$11</f>
        <v>6</v>
      </c>
      <c r="F440" s="201"/>
    </row>
    <row r="441" spans="1:6" x14ac:dyDescent="0.2">
      <c r="A441" s="512"/>
      <c r="B441" s="515"/>
      <c r="C441" s="516"/>
      <c r="D441" s="173" t="s">
        <v>81</v>
      </c>
      <c r="E441" s="196">
        <f>ART_4!G$11</f>
        <v>4</v>
      </c>
      <c r="F441" s="201"/>
    </row>
    <row r="442" spans="1:6" x14ac:dyDescent="0.2">
      <c r="A442" s="512"/>
      <c r="B442" s="515"/>
      <c r="C442" s="516"/>
      <c r="D442" s="173" t="s">
        <v>14</v>
      </c>
      <c r="E442" s="196">
        <f>ART_4!H$11</f>
        <v>0</v>
      </c>
      <c r="F442" s="201"/>
    </row>
    <row r="443" spans="1:6" x14ac:dyDescent="0.2">
      <c r="A443" s="512"/>
      <c r="B443" s="515"/>
      <c r="C443" s="516"/>
      <c r="D443" s="173" t="s">
        <v>15</v>
      </c>
      <c r="E443" s="196">
        <f>ART_4!I$11</f>
        <v>0</v>
      </c>
      <c r="F443" s="201"/>
    </row>
    <row r="444" spans="1:6" ht="21" x14ac:dyDescent="0.2">
      <c r="A444" s="512"/>
      <c r="B444" s="515"/>
      <c r="C444" s="516"/>
      <c r="D444" s="173" t="s">
        <v>2258</v>
      </c>
      <c r="E444" s="196">
        <f>ART_4!J$11</f>
        <v>8</v>
      </c>
      <c r="F444" s="201"/>
    </row>
    <row r="445" spans="1:6" x14ac:dyDescent="0.2">
      <c r="A445" s="512"/>
      <c r="B445" s="517"/>
      <c r="C445" s="518"/>
      <c r="D445" s="174" t="s">
        <v>5</v>
      </c>
      <c r="E445" s="196">
        <f>SUM(E438:E444)</f>
        <v>23</v>
      </c>
      <c r="F445" s="201"/>
    </row>
    <row r="446" spans="1:6" ht="15" customHeight="1" x14ac:dyDescent="0.2">
      <c r="A446" s="512">
        <v>6.4</v>
      </c>
      <c r="B446" s="513" t="str">
        <f>ART_4!A12</f>
        <v>6.4 Out of 6.2, total number of PLHIV with status as LFU</v>
      </c>
      <c r="C446" s="514"/>
      <c r="D446" s="172" t="s">
        <v>11</v>
      </c>
      <c r="E446" s="196">
        <f>ART_4!D$12</f>
        <v>4</v>
      </c>
      <c r="F446" s="201"/>
    </row>
    <row r="447" spans="1:6" x14ac:dyDescent="0.2">
      <c r="A447" s="512"/>
      <c r="B447" s="515"/>
      <c r="C447" s="516"/>
      <c r="D447" s="172" t="s">
        <v>12</v>
      </c>
      <c r="E447" s="196">
        <f>ART_4!E$12</f>
        <v>6</v>
      </c>
      <c r="F447" s="201"/>
    </row>
    <row r="448" spans="1:6" x14ac:dyDescent="0.2">
      <c r="A448" s="512"/>
      <c r="B448" s="515"/>
      <c r="C448" s="516"/>
      <c r="D448" s="172" t="s">
        <v>13</v>
      </c>
      <c r="E448" s="196">
        <f>ART_4!F$12</f>
        <v>26</v>
      </c>
      <c r="F448" s="201"/>
    </row>
    <row r="449" spans="1:6" x14ac:dyDescent="0.2">
      <c r="A449" s="512"/>
      <c r="B449" s="515"/>
      <c r="C449" s="516"/>
      <c r="D449" s="173" t="s">
        <v>81</v>
      </c>
      <c r="E449" s="196">
        <f>ART_4!G$12</f>
        <v>12</v>
      </c>
      <c r="F449" s="201"/>
    </row>
    <row r="450" spans="1:6" x14ac:dyDescent="0.2">
      <c r="A450" s="512"/>
      <c r="B450" s="515"/>
      <c r="C450" s="516"/>
      <c r="D450" s="173" t="s">
        <v>14</v>
      </c>
      <c r="E450" s="196">
        <f>ART_4!H$12</f>
        <v>0</v>
      </c>
      <c r="F450" s="201"/>
    </row>
    <row r="451" spans="1:6" x14ac:dyDescent="0.2">
      <c r="A451" s="512"/>
      <c r="B451" s="515"/>
      <c r="C451" s="516"/>
      <c r="D451" s="173" t="s">
        <v>15</v>
      </c>
      <c r="E451" s="196">
        <f>ART_4!I$12</f>
        <v>0</v>
      </c>
      <c r="F451" s="201"/>
    </row>
    <row r="452" spans="1:6" ht="21" x14ac:dyDescent="0.2">
      <c r="A452" s="512"/>
      <c r="B452" s="515"/>
      <c r="C452" s="516"/>
      <c r="D452" s="173" t="s">
        <v>2258</v>
      </c>
      <c r="E452" s="196">
        <f>ART_4!J$12</f>
        <v>10</v>
      </c>
      <c r="F452" s="201"/>
    </row>
    <row r="453" spans="1:6" x14ac:dyDescent="0.2">
      <c r="A453" s="512"/>
      <c r="B453" s="517"/>
      <c r="C453" s="518"/>
      <c r="D453" s="174" t="s">
        <v>5</v>
      </c>
      <c r="E453" s="196">
        <f>SUM(E446:E452)</f>
        <v>58</v>
      </c>
      <c r="F453" s="201"/>
    </row>
    <row r="454" spans="1:6" ht="15" customHeight="1" x14ac:dyDescent="0.2">
      <c r="A454" s="512">
        <v>6.5</v>
      </c>
      <c r="B454" s="513" t="str">
        <f>ART_4!A13</f>
        <v>6.5 Out of 6.2, total number of PLHIV with the status stopped treatment / opted out</v>
      </c>
      <c r="C454" s="514"/>
      <c r="D454" s="172" t="s">
        <v>11</v>
      </c>
      <c r="E454" s="196">
        <f>ART_4!D$13</f>
        <v>0</v>
      </c>
      <c r="F454" s="201"/>
    </row>
    <row r="455" spans="1:6" x14ac:dyDescent="0.2">
      <c r="A455" s="512"/>
      <c r="B455" s="515"/>
      <c r="C455" s="516"/>
      <c r="D455" s="172" t="s">
        <v>12</v>
      </c>
      <c r="E455" s="196">
        <f>ART_4!E$13</f>
        <v>0</v>
      </c>
      <c r="F455" s="201"/>
    </row>
    <row r="456" spans="1:6" x14ac:dyDescent="0.2">
      <c r="A456" s="512"/>
      <c r="B456" s="515"/>
      <c r="C456" s="516"/>
      <c r="D456" s="172" t="s">
        <v>13</v>
      </c>
      <c r="E456" s="196">
        <f>ART_4!F$13</f>
        <v>1</v>
      </c>
      <c r="F456" s="201"/>
    </row>
    <row r="457" spans="1:6" x14ac:dyDescent="0.2">
      <c r="A457" s="512"/>
      <c r="B457" s="515"/>
      <c r="C457" s="516"/>
      <c r="D457" s="173" t="s">
        <v>81</v>
      </c>
      <c r="E457" s="196">
        <f>ART_4!G$13</f>
        <v>0</v>
      </c>
      <c r="F457" s="201"/>
    </row>
    <row r="458" spans="1:6" x14ac:dyDescent="0.2">
      <c r="A458" s="512"/>
      <c r="B458" s="515"/>
      <c r="C458" s="516"/>
      <c r="D458" s="173" t="s">
        <v>14</v>
      </c>
      <c r="E458" s="196">
        <f>ART_4!H$13</f>
        <v>0</v>
      </c>
      <c r="F458" s="201"/>
    </row>
    <row r="459" spans="1:6" x14ac:dyDescent="0.2">
      <c r="A459" s="512"/>
      <c r="B459" s="515"/>
      <c r="C459" s="516"/>
      <c r="D459" s="173" t="s">
        <v>15</v>
      </c>
      <c r="E459" s="196">
        <f>ART_4!I$13</f>
        <v>0</v>
      </c>
      <c r="F459" s="201"/>
    </row>
    <row r="460" spans="1:6" ht="21" x14ac:dyDescent="0.2">
      <c r="A460" s="512"/>
      <c r="B460" s="515"/>
      <c r="C460" s="516"/>
      <c r="D460" s="173" t="s">
        <v>2258</v>
      </c>
      <c r="E460" s="196">
        <f>ART_4!J$13</f>
        <v>0</v>
      </c>
      <c r="F460" s="201"/>
    </row>
    <row r="461" spans="1:6" x14ac:dyDescent="0.2">
      <c r="A461" s="512"/>
      <c r="B461" s="517"/>
      <c r="C461" s="518"/>
      <c r="D461" s="174" t="s">
        <v>5</v>
      </c>
      <c r="E461" s="196">
        <f>SUM(E454:E460)</f>
        <v>1</v>
      </c>
      <c r="F461" s="201"/>
    </row>
    <row r="462" spans="1:6" ht="15" customHeight="1" x14ac:dyDescent="0.2">
      <c r="A462" s="512">
        <v>6.6</v>
      </c>
      <c r="B462" s="513" t="str">
        <f>ART_4!A14</f>
        <v>6.6 Out of 6.2, total number of PLHIV transferred out of the ART Centre</v>
      </c>
      <c r="C462" s="514"/>
      <c r="D462" s="172" t="s">
        <v>11</v>
      </c>
      <c r="E462" s="196">
        <f>ART_4!D$14</f>
        <v>0</v>
      </c>
      <c r="F462" s="201"/>
    </row>
    <row r="463" spans="1:6" x14ac:dyDescent="0.2">
      <c r="A463" s="512"/>
      <c r="B463" s="515"/>
      <c r="C463" s="516"/>
      <c r="D463" s="172" t="s">
        <v>12</v>
      </c>
      <c r="E463" s="196">
        <f>ART_4!E$14</f>
        <v>12</v>
      </c>
      <c r="F463" s="201"/>
    </row>
    <row r="464" spans="1:6" x14ac:dyDescent="0.2">
      <c r="A464" s="512"/>
      <c r="B464" s="515"/>
      <c r="C464" s="516"/>
      <c r="D464" s="172" t="s">
        <v>13</v>
      </c>
      <c r="E464" s="196">
        <f>ART_4!F$14</f>
        <v>14</v>
      </c>
      <c r="F464" s="201"/>
    </row>
    <row r="465" spans="1:6" x14ac:dyDescent="0.2">
      <c r="A465" s="512"/>
      <c r="B465" s="515"/>
      <c r="C465" s="516"/>
      <c r="D465" s="173" t="s">
        <v>81</v>
      </c>
      <c r="E465" s="196">
        <f>ART_4!G$14</f>
        <v>7</v>
      </c>
      <c r="F465" s="201"/>
    </row>
    <row r="466" spans="1:6" x14ac:dyDescent="0.2">
      <c r="A466" s="512"/>
      <c r="B466" s="515"/>
      <c r="C466" s="516"/>
      <c r="D466" s="173" t="s">
        <v>14</v>
      </c>
      <c r="E466" s="196">
        <f>ART_4!H$14</f>
        <v>0</v>
      </c>
      <c r="F466" s="201"/>
    </row>
    <row r="467" spans="1:6" x14ac:dyDescent="0.2">
      <c r="A467" s="512"/>
      <c r="B467" s="515"/>
      <c r="C467" s="516"/>
      <c r="D467" s="173" t="s">
        <v>15</v>
      </c>
      <c r="E467" s="196">
        <f>ART_4!I$14</f>
        <v>0</v>
      </c>
      <c r="F467" s="201"/>
    </row>
    <row r="468" spans="1:6" ht="21" x14ac:dyDescent="0.2">
      <c r="A468" s="512"/>
      <c r="B468" s="515"/>
      <c r="C468" s="516"/>
      <c r="D468" s="173" t="s">
        <v>2258</v>
      </c>
      <c r="E468" s="196">
        <f>ART_4!J$14</f>
        <v>10</v>
      </c>
      <c r="F468" s="201"/>
    </row>
    <row r="469" spans="1:6" x14ac:dyDescent="0.2">
      <c r="A469" s="512"/>
      <c r="B469" s="517"/>
      <c r="C469" s="518"/>
      <c r="D469" s="174" t="s">
        <v>5</v>
      </c>
      <c r="E469" s="196">
        <f>SUM(E462:E468)</f>
        <v>43</v>
      </c>
      <c r="F469" s="201"/>
    </row>
    <row r="470" spans="1:6" x14ac:dyDescent="0.2">
      <c r="A470" s="512">
        <v>6.7</v>
      </c>
      <c r="B470" s="513" t="str">
        <f>ART_4!A15</f>
        <v>6.7 Out of 6.2, total number of PLHIV 'Alive and On ART'
6.2 - (6.3 + 6.4 + 6.5 + 6.6)</v>
      </c>
      <c r="C470" s="514"/>
      <c r="D470" s="172" t="s">
        <v>11</v>
      </c>
      <c r="E470" s="196">
        <f>ART_4!D$15</f>
        <v>6</v>
      </c>
      <c r="F470" s="201"/>
    </row>
    <row r="471" spans="1:6" x14ac:dyDescent="0.2">
      <c r="A471" s="512"/>
      <c r="B471" s="515"/>
      <c r="C471" s="516"/>
      <c r="D471" s="172" t="s">
        <v>12</v>
      </c>
      <c r="E471" s="196">
        <f>ART_4!E$15</f>
        <v>34</v>
      </c>
      <c r="F471" s="201"/>
    </row>
    <row r="472" spans="1:6" x14ac:dyDescent="0.2">
      <c r="A472" s="512"/>
      <c r="B472" s="515"/>
      <c r="C472" s="516"/>
      <c r="D472" s="172" t="s">
        <v>13</v>
      </c>
      <c r="E472" s="196">
        <f>ART_4!F$15</f>
        <v>60</v>
      </c>
      <c r="F472" s="201"/>
    </row>
    <row r="473" spans="1:6" x14ac:dyDescent="0.2">
      <c r="A473" s="512"/>
      <c r="B473" s="515"/>
      <c r="C473" s="516"/>
      <c r="D473" s="173" t="s">
        <v>81</v>
      </c>
      <c r="E473" s="196">
        <f>ART_4!G$15</f>
        <v>27</v>
      </c>
      <c r="F473" s="201"/>
    </row>
    <row r="474" spans="1:6" x14ac:dyDescent="0.2">
      <c r="A474" s="512"/>
      <c r="B474" s="515"/>
      <c r="C474" s="516"/>
      <c r="D474" s="173" t="s">
        <v>14</v>
      </c>
      <c r="E474" s="196">
        <f>ART_4!H$15</f>
        <v>0</v>
      </c>
      <c r="F474" s="201"/>
    </row>
    <row r="475" spans="1:6" x14ac:dyDescent="0.2">
      <c r="A475" s="512"/>
      <c r="B475" s="515"/>
      <c r="C475" s="516"/>
      <c r="D475" s="173" t="s">
        <v>15</v>
      </c>
      <c r="E475" s="196">
        <f>ART_4!I$15</f>
        <v>0</v>
      </c>
      <c r="F475" s="201"/>
    </row>
    <row r="476" spans="1:6" ht="21" x14ac:dyDescent="0.2">
      <c r="A476" s="512"/>
      <c r="B476" s="515"/>
      <c r="C476" s="516"/>
      <c r="D476" s="173" t="s">
        <v>2258</v>
      </c>
      <c r="E476" s="196">
        <f>ART_4!J$15</f>
        <v>162</v>
      </c>
      <c r="F476" s="201"/>
    </row>
    <row r="477" spans="1:6" x14ac:dyDescent="0.2">
      <c r="A477" s="512"/>
      <c r="B477" s="517"/>
      <c r="C477" s="518"/>
      <c r="D477" s="174" t="s">
        <v>5</v>
      </c>
      <c r="E477" s="196">
        <f>SUM(E470:E476)</f>
        <v>289</v>
      </c>
      <c r="F477" s="201"/>
    </row>
    <row r="478" spans="1:6" x14ac:dyDescent="0.2">
      <c r="A478" s="512">
        <v>6.8</v>
      </c>
      <c r="B478" s="513" t="str">
        <f>ART_4!A16</f>
        <v>6.8 Number of PLHIV registered in HIV Care during the current financial year (April - reporting month)</v>
      </c>
      <c r="C478" s="514"/>
      <c r="D478" s="172" t="s">
        <v>11</v>
      </c>
      <c r="E478" s="196">
        <f>ART_4!D$16</f>
        <v>5</v>
      </c>
      <c r="F478" s="201"/>
    </row>
    <row r="479" spans="1:6" x14ac:dyDescent="0.2">
      <c r="A479" s="512"/>
      <c r="B479" s="515"/>
      <c r="C479" s="516"/>
      <c r="D479" s="172" t="s">
        <v>12</v>
      </c>
      <c r="E479" s="196">
        <f>ART_4!E$16</f>
        <v>6</v>
      </c>
      <c r="F479" s="201"/>
    </row>
    <row r="480" spans="1:6" x14ac:dyDescent="0.2">
      <c r="A480" s="512"/>
      <c r="B480" s="515"/>
      <c r="C480" s="516"/>
      <c r="D480" s="172" t="s">
        <v>13</v>
      </c>
      <c r="E480" s="196">
        <f>ART_4!F$16</f>
        <v>18</v>
      </c>
      <c r="F480" s="201"/>
    </row>
    <row r="481" spans="1:6" x14ac:dyDescent="0.2">
      <c r="A481" s="512"/>
      <c r="B481" s="515"/>
      <c r="C481" s="516"/>
      <c r="D481" s="173" t="s">
        <v>81</v>
      </c>
      <c r="E481" s="196">
        <f>ART_4!G$16</f>
        <v>2</v>
      </c>
      <c r="F481" s="201"/>
    </row>
    <row r="482" spans="1:6" x14ac:dyDescent="0.2">
      <c r="A482" s="512"/>
      <c r="B482" s="515"/>
      <c r="C482" s="516"/>
      <c r="D482" s="173" t="s">
        <v>14</v>
      </c>
      <c r="E482" s="196">
        <f>ART_4!H$16</f>
        <v>0</v>
      </c>
      <c r="F482" s="201"/>
    </row>
    <row r="483" spans="1:6" x14ac:dyDescent="0.2">
      <c r="A483" s="512"/>
      <c r="B483" s="515"/>
      <c r="C483" s="516"/>
      <c r="D483" s="173" t="s">
        <v>15</v>
      </c>
      <c r="E483" s="196">
        <f>ART_4!I$16</f>
        <v>0</v>
      </c>
      <c r="F483" s="201"/>
    </row>
    <row r="484" spans="1:6" ht="21" x14ac:dyDescent="0.2">
      <c r="A484" s="512"/>
      <c r="B484" s="515"/>
      <c r="C484" s="516"/>
      <c r="D484" s="173" t="s">
        <v>2258</v>
      </c>
      <c r="E484" s="196">
        <f>ART_4!J$16</f>
        <v>33</v>
      </c>
      <c r="F484" s="201"/>
    </row>
    <row r="485" spans="1:6" x14ac:dyDescent="0.2">
      <c r="A485" s="512"/>
      <c r="B485" s="517"/>
      <c r="C485" s="518"/>
      <c r="D485" s="174" t="s">
        <v>5</v>
      </c>
      <c r="E485" s="196">
        <f>SUM(E478:E484)</f>
        <v>64</v>
      </c>
      <c r="F485" s="201"/>
    </row>
    <row r="486" spans="1:6" x14ac:dyDescent="0.2">
      <c r="A486" s="512">
        <v>6.9</v>
      </c>
      <c r="B486" s="513" t="str">
        <f>ART_4!A17</f>
        <v>6.9 Out of 6.8, number of PLHIV initiated on ART</v>
      </c>
      <c r="C486" s="514"/>
      <c r="D486" s="172" t="s">
        <v>11</v>
      </c>
      <c r="E486" s="196">
        <f>ART_4!D$17</f>
        <v>5</v>
      </c>
      <c r="F486" s="201"/>
    </row>
    <row r="487" spans="1:6" x14ac:dyDescent="0.2">
      <c r="A487" s="512"/>
      <c r="B487" s="515"/>
      <c r="C487" s="516"/>
      <c r="D487" s="172" t="s">
        <v>12</v>
      </c>
      <c r="E487" s="196">
        <f>ART_4!E$17</f>
        <v>6</v>
      </c>
      <c r="F487" s="201"/>
    </row>
    <row r="488" spans="1:6" x14ac:dyDescent="0.2">
      <c r="A488" s="512"/>
      <c r="B488" s="515"/>
      <c r="C488" s="516"/>
      <c r="D488" s="172" t="s">
        <v>13</v>
      </c>
      <c r="E488" s="196">
        <f>ART_4!F$17</f>
        <v>18</v>
      </c>
      <c r="F488" s="201"/>
    </row>
    <row r="489" spans="1:6" x14ac:dyDescent="0.2">
      <c r="A489" s="512"/>
      <c r="B489" s="515"/>
      <c r="C489" s="516"/>
      <c r="D489" s="173" t="s">
        <v>81</v>
      </c>
      <c r="E489" s="196">
        <f>ART_4!G$17</f>
        <v>2</v>
      </c>
      <c r="F489" s="201"/>
    </row>
    <row r="490" spans="1:6" x14ac:dyDescent="0.2">
      <c r="A490" s="512"/>
      <c r="B490" s="515"/>
      <c r="C490" s="516"/>
      <c r="D490" s="173" t="s">
        <v>14</v>
      </c>
      <c r="E490" s="196">
        <f>ART_4!H$17</f>
        <v>0</v>
      </c>
      <c r="F490" s="201"/>
    </row>
    <row r="491" spans="1:6" x14ac:dyDescent="0.2">
      <c r="A491" s="512"/>
      <c r="B491" s="515"/>
      <c r="C491" s="516"/>
      <c r="D491" s="173" t="s">
        <v>15</v>
      </c>
      <c r="E491" s="196">
        <f>ART_4!I$17</f>
        <v>0</v>
      </c>
      <c r="F491" s="201"/>
    </row>
    <row r="492" spans="1:6" ht="21" x14ac:dyDescent="0.2">
      <c r="A492" s="512"/>
      <c r="B492" s="515"/>
      <c r="C492" s="516"/>
      <c r="D492" s="173" t="s">
        <v>2258</v>
      </c>
      <c r="E492" s="196">
        <f>ART_4!J$17</f>
        <v>32</v>
      </c>
      <c r="F492" s="201"/>
    </row>
    <row r="493" spans="1:6" x14ac:dyDescent="0.2">
      <c r="A493" s="512"/>
      <c r="B493" s="517"/>
      <c r="C493" s="518"/>
      <c r="D493" s="174" t="s">
        <v>5</v>
      </c>
      <c r="E493" s="196">
        <f>SUM(E486:E492)</f>
        <v>63</v>
      </c>
      <c r="F493" s="201"/>
    </row>
    <row r="494" spans="1:6" ht="15" customHeight="1" x14ac:dyDescent="0.2">
      <c r="A494" s="524" t="s">
        <v>2292</v>
      </c>
      <c r="B494" s="513" t="str">
        <f>ART_4!A18</f>
        <v>6.10 Out of 6.9, number of PLHIV 'Alive and On ART'</v>
      </c>
      <c r="C494" s="514"/>
      <c r="D494" s="172" t="s">
        <v>11</v>
      </c>
      <c r="E494" s="196">
        <f>ART_4!D$18</f>
        <v>4</v>
      </c>
      <c r="F494" s="201"/>
    </row>
    <row r="495" spans="1:6" x14ac:dyDescent="0.2">
      <c r="A495" s="512"/>
      <c r="B495" s="515"/>
      <c r="C495" s="516"/>
      <c r="D495" s="172" t="s">
        <v>12</v>
      </c>
      <c r="E495" s="196">
        <f>ART_4!E$18</f>
        <v>6</v>
      </c>
      <c r="F495" s="201"/>
    </row>
    <row r="496" spans="1:6" x14ac:dyDescent="0.2">
      <c r="A496" s="512"/>
      <c r="B496" s="515"/>
      <c r="C496" s="516"/>
      <c r="D496" s="172" t="s">
        <v>13</v>
      </c>
      <c r="E496" s="196">
        <f>ART_4!F$18</f>
        <v>16</v>
      </c>
      <c r="F496" s="201"/>
    </row>
    <row r="497" spans="1:6" x14ac:dyDescent="0.2">
      <c r="A497" s="512"/>
      <c r="B497" s="515"/>
      <c r="C497" s="516"/>
      <c r="D497" s="173" t="s">
        <v>81</v>
      </c>
      <c r="E497" s="196">
        <f>ART_4!G$18</f>
        <v>2</v>
      </c>
      <c r="F497" s="201"/>
    </row>
    <row r="498" spans="1:6" x14ac:dyDescent="0.2">
      <c r="A498" s="512"/>
      <c r="B498" s="515"/>
      <c r="C498" s="516"/>
      <c r="D498" s="173" t="s">
        <v>14</v>
      </c>
      <c r="E498" s="196">
        <f>ART_4!H$18</f>
        <v>0</v>
      </c>
      <c r="F498" s="201"/>
    </row>
    <row r="499" spans="1:6" x14ac:dyDescent="0.2">
      <c r="A499" s="512"/>
      <c r="B499" s="515"/>
      <c r="C499" s="516"/>
      <c r="D499" s="173" t="s">
        <v>15</v>
      </c>
      <c r="E499" s="196">
        <f>ART_4!I$18</f>
        <v>0</v>
      </c>
      <c r="F499" s="201"/>
    </row>
    <row r="500" spans="1:6" ht="21" x14ac:dyDescent="0.2">
      <c r="A500" s="512"/>
      <c r="B500" s="515"/>
      <c r="C500" s="516"/>
      <c r="D500" s="173" t="s">
        <v>2258</v>
      </c>
      <c r="E500" s="196">
        <f>ART_4!J$18</f>
        <v>32</v>
      </c>
      <c r="F500" s="201"/>
    </row>
    <row r="501" spans="1:6" x14ac:dyDescent="0.2">
      <c r="A501" s="525"/>
      <c r="B501" s="515"/>
      <c r="C501" s="516"/>
      <c r="D501" s="175" t="s">
        <v>5</v>
      </c>
      <c r="E501" s="176">
        <f>SUM(E494:E500)</f>
        <v>60</v>
      </c>
      <c r="F501" s="201"/>
    </row>
    <row r="502" spans="1:6" ht="14.25" customHeight="1" x14ac:dyDescent="0.2">
      <c r="A502" s="505" t="s">
        <v>1803</v>
      </c>
      <c r="B502" s="509" t="str">
        <f>ART_4!A21</f>
        <v>TLE - (Tenofovir + Lamivudine + Efavirenz)</v>
      </c>
      <c r="C502" s="509"/>
      <c r="D502" s="509"/>
      <c r="E502" s="177">
        <f>ART_4!D21</f>
        <v>0</v>
      </c>
      <c r="F502" s="201"/>
    </row>
    <row r="503" spans="1:6" ht="14.25" customHeight="1" x14ac:dyDescent="0.2">
      <c r="A503" s="505"/>
      <c r="B503" s="509" t="str">
        <f>ART_4!A22</f>
        <v>ZLN - (Zidovudine + Lamivudine + Nevirapine)</v>
      </c>
      <c r="C503" s="509"/>
      <c r="D503" s="509"/>
      <c r="E503" s="177">
        <f>ART_4!D22</f>
        <v>0</v>
      </c>
      <c r="F503" s="201"/>
    </row>
    <row r="504" spans="1:6" ht="14.25" customHeight="1" x14ac:dyDescent="0.2">
      <c r="A504" s="505"/>
      <c r="B504" s="509" t="str">
        <f>ART_4!A23</f>
        <v>TLD - (Tenofovir + Lamivudine + Dolutegravir)</v>
      </c>
      <c r="C504" s="509"/>
      <c r="D504" s="509"/>
      <c r="E504" s="177">
        <f>ART_4!D23</f>
        <v>1993</v>
      </c>
      <c r="F504" s="201"/>
    </row>
    <row r="505" spans="1:6" ht="14.25" customHeight="1" x14ac:dyDescent="0.2">
      <c r="A505" s="505"/>
      <c r="B505" s="509" t="str">
        <f>ART_4!A24</f>
        <v>ZLD - (Zidovudine + Lamivudine + Dolutegravir)</v>
      </c>
      <c r="C505" s="509"/>
      <c r="D505" s="509"/>
      <c r="E505" s="177">
        <f>ART_4!D24</f>
        <v>19</v>
      </c>
      <c r="F505" s="201"/>
    </row>
    <row r="506" spans="1:6" ht="14.25" customHeight="1" x14ac:dyDescent="0.2">
      <c r="A506" s="505"/>
      <c r="B506" s="509" t="str">
        <f>ART_4!A25</f>
        <v>ZLE - (Zidovudine + Lamivudine + Efavirenz)</v>
      </c>
      <c r="C506" s="509"/>
      <c r="D506" s="509"/>
      <c r="E506" s="177">
        <f>ART_4!D25</f>
        <v>0</v>
      </c>
      <c r="F506" s="201"/>
    </row>
    <row r="507" spans="1:6" ht="14.25" customHeight="1" x14ac:dyDescent="0.2">
      <c r="A507" s="505"/>
      <c r="B507" s="509" t="str">
        <f>ART_4!A26</f>
        <v>TLN - (Tenofovir+ Lamivudine + Nevirapine)</v>
      </c>
      <c r="C507" s="509"/>
      <c r="D507" s="509"/>
      <c r="E507" s="177">
        <f>ART_4!D26</f>
        <v>0</v>
      </c>
      <c r="F507" s="201"/>
    </row>
    <row r="508" spans="1:6" ht="14.25" customHeight="1" x14ac:dyDescent="0.2">
      <c r="A508" s="505"/>
      <c r="B508" s="509" t="str">
        <f>ART_4!A27</f>
        <v>SLN - (Stavudine+ Lamivudine + Nevirapine)</v>
      </c>
      <c r="C508" s="509"/>
      <c r="D508" s="509"/>
      <c r="E508" s="177">
        <f>ART_4!D27</f>
        <v>0</v>
      </c>
      <c r="F508" s="201"/>
    </row>
    <row r="509" spans="1:6" ht="14.25" customHeight="1" x14ac:dyDescent="0.2">
      <c r="A509" s="505"/>
      <c r="B509" s="509" t="str">
        <f>ART_4!A28</f>
        <v>SLE - (Stavudine + Lamivudine + Efavirenz)</v>
      </c>
      <c r="C509" s="509"/>
      <c r="D509" s="509"/>
      <c r="E509" s="177">
        <f>ART_4!D28</f>
        <v>0</v>
      </c>
      <c r="F509" s="201"/>
    </row>
    <row r="510" spans="1:6" x14ac:dyDescent="0.2">
      <c r="A510" s="505"/>
      <c r="B510" s="509" t="str">
        <f>ART_4!A29</f>
        <v>ALD - (Abacavir + Lamivudine + Dolutegravir)</v>
      </c>
      <c r="C510" s="509"/>
      <c r="D510" s="509"/>
      <c r="E510" s="177">
        <f>ART_4!D29</f>
        <v>28</v>
      </c>
      <c r="F510" s="201"/>
    </row>
    <row r="511" spans="1:6" x14ac:dyDescent="0.2">
      <c r="A511" s="505"/>
      <c r="B511" s="509" t="str">
        <f>ART_4!A30</f>
        <v>ALE - (Abacavir + Lamivudine + Efavirenz)</v>
      </c>
      <c r="C511" s="509"/>
      <c r="D511" s="509"/>
      <c r="E511" s="177">
        <f>ART_4!D30</f>
        <v>0</v>
      </c>
      <c r="F511" s="201"/>
    </row>
    <row r="512" spans="1:6" x14ac:dyDescent="0.2">
      <c r="A512" s="505"/>
      <c r="B512" s="509" t="str">
        <f>ART_4!A31</f>
        <v>ALN - (Abacavir+ Lamivudine + Nevirapine)</v>
      </c>
      <c r="C512" s="509"/>
      <c r="D512" s="509"/>
      <c r="E512" s="177">
        <f>ART_4!D31</f>
        <v>0</v>
      </c>
      <c r="F512" s="201"/>
    </row>
    <row r="513" spans="1:6" x14ac:dyDescent="0.2">
      <c r="A513" s="505"/>
      <c r="B513" s="509" t="str">
        <f>ART_4!A32</f>
        <v>TL+ATV/r - (Tenofovir + Lamivudine+ Atazanavir/Ritonavir)</v>
      </c>
      <c r="C513" s="509"/>
      <c r="D513" s="509"/>
      <c r="E513" s="177">
        <f>ART_4!D32</f>
        <v>0</v>
      </c>
      <c r="F513" s="201"/>
    </row>
    <row r="514" spans="1:6" x14ac:dyDescent="0.2">
      <c r="A514" s="505"/>
      <c r="B514" s="509" t="str">
        <f>ART_4!A33</f>
        <v>ZL+ATV/r - (Zidovudine + Lamivudine + Atazanavir/Ritonavir)</v>
      </c>
      <c r="C514" s="509"/>
      <c r="D514" s="509"/>
      <c r="E514" s="177">
        <f>ART_4!D33</f>
        <v>2</v>
      </c>
      <c r="F514" s="201"/>
    </row>
    <row r="515" spans="1:6" x14ac:dyDescent="0.2">
      <c r="A515" s="505"/>
      <c r="B515" s="509" t="str">
        <f>ART_4!A34</f>
        <v xml:space="preserve">TL+LPV/r - (Tenofovir + Lamivudine+ Lopinavir/ Ritonavir ) </v>
      </c>
      <c r="C515" s="509"/>
      <c r="D515" s="509"/>
      <c r="E515" s="177">
        <f>ART_4!D34</f>
        <v>5</v>
      </c>
      <c r="F515" s="201"/>
    </row>
    <row r="516" spans="1:6" x14ac:dyDescent="0.2">
      <c r="A516" s="505"/>
      <c r="B516" s="509" t="str">
        <f>ART_4!A35</f>
        <v>ZL+LPV/r - (Zidovudine + Lamivudine + Lopinavir/Ritonavir)</v>
      </c>
      <c r="C516" s="509"/>
      <c r="D516" s="509"/>
      <c r="E516" s="177">
        <f>ART_4!D35</f>
        <v>0</v>
      </c>
      <c r="F516" s="201"/>
    </row>
    <row r="517" spans="1:6" x14ac:dyDescent="0.2">
      <c r="A517" s="505"/>
      <c r="B517" s="509" t="str">
        <f>ART_4!A36</f>
        <v>SL+ATV/r - (Stavudine + Lamivudine + Atazanavir/Ritonavir)</v>
      </c>
      <c r="C517" s="509"/>
      <c r="D517" s="509"/>
      <c r="E517" s="177">
        <f>ART_4!D36</f>
        <v>0</v>
      </c>
      <c r="F517" s="201"/>
    </row>
    <row r="518" spans="1:6" x14ac:dyDescent="0.2">
      <c r="A518" s="505"/>
      <c r="B518" s="509" t="str">
        <f>ART_4!A37</f>
        <v>SL+LPV/r - (Stavudine + Lamivudine + Lopinavir/Ritonavir)</v>
      </c>
      <c r="C518" s="509"/>
      <c r="D518" s="509"/>
      <c r="E518" s="177">
        <f>ART_4!D37</f>
        <v>0</v>
      </c>
      <c r="F518" s="201"/>
    </row>
    <row r="519" spans="1:6" x14ac:dyDescent="0.2">
      <c r="A519" s="505"/>
      <c r="B519" s="509" t="str">
        <f>ART_4!A38</f>
        <v>AL+ATV/r - (Abacavir + Lamivudine + Atazanavir/Ritonavir)</v>
      </c>
      <c r="C519" s="509"/>
      <c r="D519" s="509"/>
      <c r="E519" s="177">
        <f>ART_4!D38</f>
        <v>0</v>
      </c>
      <c r="F519" s="201"/>
    </row>
    <row r="520" spans="1:6" x14ac:dyDescent="0.2">
      <c r="A520" s="505"/>
      <c r="B520" s="509" t="str">
        <f>ART_4!A39</f>
        <v>AL+LPV/r - (Abacavir + Lamivudine + Lopinavir/Ritonavir)</v>
      </c>
      <c r="C520" s="509"/>
      <c r="D520" s="509"/>
      <c r="E520" s="177">
        <f>ART_4!D39</f>
        <v>0</v>
      </c>
      <c r="F520" s="201"/>
    </row>
    <row r="521" spans="1:6" x14ac:dyDescent="0.2">
      <c r="A521" s="505"/>
      <c r="B521" s="509" t="str">
        <f>ART_4!A40</f>
        <v>LPV/r+DTG - (Lopinavir/Ritonavir + Dolutegravir)</v>
      </c>
      <c r="C521" s="509"/>
      <c r="D521" s="509"/>
      <c r="E521" s="177">
        <f>ART_4!D40</f>
        <v>0</v>
      </c>
      <c r="F521" s="201"/>
    </row>
    <row r="522" spans="1:6" x14ac:dyDescent="0.2">
      <c r="A522" s="505"/>
      <c r="B522" s="509" t="str">
        <f>ART_4!A41</f>
        <v>DRV/r+RAL - (Darunavir/Ritonavir + Raltegravir)</v>
      </c>
      <c r="C522" s="509"/>
      <c r="D522" s="509"/>
      <c r="E522" s="177">
        <f>ART_4!D41</f>
        <v>0</v>
      </c>
      <c r="F522" s="201"/>
    </row>
    <row r="523" spans="1:6" x14ac:dyDescent="0.2">
      <c r="A523" s="505"/>
      <c r="B523" s="509" t="str">
        <f>ART_4!A42</f>
        <v>DRV/r+DTG - (Darunavir/Ritonavir + Dolutegravir)</v>
      </c>
      <c r="C523" s="509"/>
      <c r="D523" s="509"/>
      <c r="E523" s="177">
        <f>ART_4!D42</f>
        <v>0</v>
      </c>
      <c r="F523" s="201"/>
    </row>
    <row r="524" spans="1:6" x14ac:dyDescent="0.2">
      <c r="A524" s="505"/>
      <c r="B524" s="509" t="str">
        <f>ART_4!A43</f>
        <v>Others 1 (Specify…)</v>
      </c>
      <c r="C524" s="509"/>
      <c r="D524" s="509"/>
      <c r="E524" s="177">
        <f>ART_4!D43</f>
        <v>0</v>
      </c>
      <c r="F524" s="201"/>
    </row>
    <row r="525" spans="1:6" x14ac:dyDescent="0.2">
      <c r="A525" s="505"/>
      <c r="B525" s="509" t="str">
        <f>ART_4!A44</f>
        <v>Others 2 (Specify…)</v>
      </c>
      <c r="C525" s="509"/>
      <c r="D525" s="509"/>
      <c r="E525" s="177">
        <f>ART_4!D44</f>
        <v>0</v>
      </c>
      <c r="F525" s="201"/>
    </row>
    <row r="526" spans="1:6" x14ac:dyDescent="0.2">
      <c r="A526" s="505"/>
      <c r="B526" s="509" t="str">
        <f>ART_4!A45</f>
        <v xml:space="preserve">6.a.1 Total number of Adult PLHIV alive and on ART </v>
      </c>
      <c r="C526" s="509"/>
      <c r="D526" s="509"/>
      <c r="E526" s="177">
        <f>ART_4!D45</f>
        <v>2047</v>
      </c>
      <c r="F526" s="201"/>
    </row>
    <row r="527" spans="1:6" x14ac:dyDescent="0.2">
      <c r="A527" s="505"/>
      <c r="B527" s="509" t="str">
        <f>ART_4!A47</f>
        <v>ZLN - (Zidovudine + Lamivudine+ Nevirapine) - Adult tablets</v>
      </c>
      <c r="C527" s="509"/>
      <c r="D527" s="509"/>
      <c r="E527" s="177">
        <f>ART_4!D47</f>
        <v>0</v>
      </c>
      <c r="F527" s="201"/>
    </row>
    <row r="528" spans="1:6" x14ac:dyDescent="0.2">
      <c r="A528" s="505"/>
      <c r="B528" s="509" t="str">
        <f>ART_4!A48</f>
        <v>TLE - (Tenofovir + Lamivudine + Efavirenz) - Adult Tablets</v>
      </c>
      <c r="C528" s="509"/>
      <c r="D528" s="509"/>
      <c r="E528" s="177">
        <f>ART_4!D48</f>
        <v>0</v>
      </c>
      <c r="F528" s="201"/>
    </row>
    <row r="529" spans="1:6" x14ac:dyDescent="0.2">
      <c r="A529" s="505"/>
      <c r="B529" s="509" t="str">
        <f>ART_4!A49</f>
        <v>TLD - (Tenofovir + Lamivudine + Dolutegravir) - Adult Tablets</v>
      </c>
      <c r="C529" s="509"/>
      <c r="D529" s="509"/>
      <c r="E529" s="177">
        <f>ART_4!D49</f>
        <v>3</v>
      </c>
      <c r="F529" s="201"/>
    </row>
    <row r="530" spans="1:6" x14ac:dyDescent="0.2">
      <c r="A530" s="505"/>
      <c r="B530" s="509" t="str">
        <f>ART_4!A50</f>
        <v>ALN - (Abacavir + Lamivudine + Nevirapine ) - Adult tablets</v>
      </c>
      <c r="C530" s="509"/>
      <c r="D530" s="509"/>
      <c r="E530" s="177">
        <f>ART_4!D50</f>
        <v>0</v>
      </c>
      <c r="F530" s="201"/>
    </row>
    <row r="531" spans="1:6" x14ac:dyDescent="0.2">
      <c r="A531" s="505"/>
      <c r="B531" s="509" t="str">
        <f>ART_4!A51</f>
        <v>ZLE - (Zidovudine + Lamivudine + Efavirenz) - Adult tablets</v>
      </c>
      <c r="C531" s="509"/>
      <c r="D531" s="509"/>
      <c r="E531" s="177">
        <f>ART_4!D51</f>
        <v>0</v>
      </c>
      <c r="F531" s="201"/>
    </row>
    <row r="532" spans="1:6" x14ac:dyDescent="0.2">
      <c r="A532" s="505"/>
      <c r="B532" s="509" t="str">
        <f>ART_4!A52</f>
        <v>ALE - (Abacavir + Lamivudine + Efavirenz) - Adult tablets</v>
      </c>
      <c r="C532" s="509"/>
      <c r="D532" s="509"/>
      <c r="E532" s="177">
        <f>ART_4!D52</f>
        <v>0</v>
      </c>
      <c r="F532" s="201"/>
    </row>
    <row r="533" spans="1:6" x14ac:dyDescent="0.2">
      <c r="A533" s="505"/>
      <c r="B533" s="509" t="str">
        <f>ART_4!A53</f>
        <v>ALD - (Abacavir + Lamivudine + Dolutegravir)</v>
      </c>
      <c r="C533" s="509"/>
      <c r="D533" s="509"/>
      <c r="E533" s="177">
        <f>ART_4!D53</f>
        <v>18</v>
      </c>
      <c r="F533" s="201"/>
    </row>
    <row r="534" spans="1:6" x14ac:dyDescent="0.2">
      <c r="A534" s="505"/>
      <c r="B534" s="509" t="str">
        <f>ART_4!A54</f>
        <v xml:space="preserve">ZLD - (Zidovudine + Lamivudine + Dolutegravir) </v>
      </c>
      <c r="C534" s="509"/>
      <c r="D534" s="509"/>
      <c r="E534" s="177">
        <f>ART_4!D54</f>
        <v>0</v>
      </c>
      <c r="F534" s="201"/>
    </row>
    <row r="535" spans="1:6" x14ac:dyDescent="0.2">
      <c r="A535" s="505"/>
      <c r="B535" s="509" t="str">
        <f>ART_4!A55</f>
        <v>ALN - (Abacavir + Lamivudine + Nevirapine )</v>
      </c>
      <c r="C535" s="509"/>
      <c r="D535" s="509"/>
      <c r="E535" s="177">
        <f>ART_4!D55</f>
        <v>0</v>
      </c>
      <c r="F535" s="201"/>
    </row>
    <row r="536" spans="1:6" x14ac:dyDescent="0.2">
      <c r="A536" s="505"/>
      <c r="B536" s="509" t="str">
        <f>ART_4!A56</f>
        <v xml:space="preserve">ZLE - (Zidovudine + Lamivudine + Efavirenz) </v>
      </c>
      <c r="C536" s="509"/>
      <c r="D536" s="509"/>
      <c r="E536" s="177">
        <f>ART_4!D56</f>
        <v>0</v>
      </c>
      <c r="F536" s="201"/>
    </row>
    <row r="537" spans="1:6" x14ac:dyDescent="0.2">
      <c r="A537" s="505"/>
      <c r="B537" s="509" t="str">
        <f>ART_4!A57</f>
        <v>ZLN - (Zidovudine + Lamivudine+ Nevirapine)</v>
      </c>
      <c r="C537" s="509"/>
      <c r="D537" s="509"/>
      <c r="E537" s="177">
        <f>ART_4!D57</f>
        <v>0</v>
      </c>
      <c r="F537" s="201"/>
    </row>
    <row r="538" spans="1:6" x14ac:dyDescent="0.2">
      <c r="A538" s="505"/>
      <c r="B538" s="509" t="str">
        <f>ART_4!A58</f>
        <v>ALE - (Abacavir + Lamivudine + Efavirenz)</v>
      </c>
      <c r="C538" s="509"/>
      <c r="D538" s="509"/>
      <c r="E538" s="177">
        <f>ART_4!D58</f>
        <v>0</v>
      </c>
      <c r="F538" s="201"/>
    </row>
    <row r="539" spans="1:6" x14ac:dyDescent="0.2">
      <c r="A539" s="505"/>
      <c r="B539" s="509" t="str">
        <f>ART_4!A59</f>
        <v>SLN - (Stavudine + Lamivudine + Nevirapine )</v>
      </c>
      <c r="C539" s="509"/>
      <c r="D539" s="509"/>
      <c r="E539" s="177">
        <f>ART_4!D59</f>
        <v>0</v>
      </c>
      <c r="F539" s="201"/>
    </row>
    <row r="540" spans="1:6" x14ac:dyDescent="0.2">
      <c r="A540" s="505"/>
      <c r="B540" s="509" t="str">
        <f>ART_4!A60</f>
        <v>SLE - (Stavudine + Lamivudine + Efavirenz)</v>
      </c>
      <c r="C540" s="509"/>
      <c r="D540" s="509"/>
      <c r="E540" s="177">
        <f>ART_4!D60</f>
        <v>0</v>
      </c>
      <c r="F540" s="201"/>
    </row>
    <row r="541" spans="1:6" x14ac:dyDescent="0.2">
      <c r="A541" s="505"/>
      <c r="B541" s="509" t="str">
        <f>ART_4!A61</f>
        <v>AL+LPV/r - (Abacavir + Lamivudine + Lopinavir/ Ritonavir)</v>
      </c>
      <c r="C541" s="509"/>
      <c r="D541" s="509"/>
      <c r="E541" s="177">
        <f>ART_4!D61</f>
        <v>0</v>
      </c>
      <c r="F541" s="201"/>
    </row>
    <row r="542" spans="1:6" x14ac:dyDescent="0.2">
      <c r="A542" s="505"/>
      <c r="B542" s="509" t="str">
        <f>ART_4!A62</f>
        <v>ZL+LPV/r - (Zidovudine + Lamivudine + Lopinavir/Ritnovir)</v>
      </c>
      <c r="C542" s="509"/>
      <c r="D542" s="509"/>
      <c r="E542" s="177">
        <f>ART_4!D62</f>
        <v>0</v>
      </c>
      <c r="F542" s="201"/>
    </row>
    <row r="543" spans="1:6" x14ac:dyDescent="0.2">
      <c r="A543" s="505"/>
      <c r="B543" s="509" t="str">
        <f>ART_4!A63</f>
        <v>SL+LPV/r - (Stavudine + Lamivudine + Lopinavir/ Ritonavir)</v>
      </c>
      <c r="C543" s="509"/>
      <c r="D543" s="509"/>
      <c r="E543" s="177">
        <f>ART_4!D63</f>
        <v>0</v>
      </c>
      <c r="F543" s="201"/>
    </row>
    <row r="544" spans="1:6" x14ac:dyDescent="0.2">
      <c r="A544" s="505"/>
      <c r="B544" s="509" t="str">
        <f>ART_4!A64</f>
        <v>Others 1 (Specify...)</v>
      </c>
      <c r="C544" s="509"/>
      <c r="D544" s="509"/>
      <c r="E544" s="177">
        <f>ART_4!D64</f>
        <v>0</v>
      </c>
      <c r="F544" s="201"/>
    </row>
    <row r="545" spans="1:6" x14ac:dyDescent="0.2">
      <c r="A545" s="505"/>
      <c r="B545" s="509" t="str">
        <f>ART_4!A65</f>
        <v>Others 2 (Specify...)</v>
      </c>
      <c r="C545" s="509"/>
      <c r="D545" s="509"/>
      <c r="E545" s="177">
        <f>ART_4!D65</f>
        <v>0</v>
      </c>
      <c r="F545" s="201"/>
    </row>
    <row r="546" spans="1:6" x14ac:dyDescent="0.2">
      <c r="A546" s="505"/>
      <c r="B546" s="509" t="str">
        <f>ART_4!A66</f>
        <v>6.a.2 Total number of Paediatric PLHIV</v>
      </c>
      <c r="C546" s="509"/>
      <c r="D546" s="509"/>
      <c r="E546" s="177">
        <f>ART_4!D66</f>
        <v>21</v>
      </c>
      <c r="F546" s="201"/>
    </row>
    <row r="547" spans="1:6" x14ac:dyDescent="0.2">
      <c r="A547" s="505"/>
      <c r="B547" s="509" t="str">
        <f>ART_4!A67</f>
        <v>6.a Total number of PLHIV</v>
      </c>
      <c r="C547" s="509"/>
      <c r="D547" s="509"/>
      <c r="E547" s="177">
        <f>ART_4!D67</f>
        <v>2068</v>
      </c>
      <c r="F547" s="201"/>
    </row>
    <row r="548" spans="1:6" x14ac:dyDescent="0.2">
      <c r="A548" s="199">
        <v>7.1</v>
      </c>
      <c r="B548" s="521" t="str">
        <f>ART_5!A4</f>
        <v>7.1 Total Number of PLHIV having one or more OIs this month:</v>
      </c>
      <c r="C548" s="522"/>
      <c r="D548" s="523"/>
      <c r="E548" s="178">
        <f>ART_5!M4</f>
        <v>16</v>
      </c>
      <c r="F548" s="201"/>
    </row>
    <row r="549" spans="1:6" ht="14.25" customHeight="1" x14ac:dyDescent="0.2">
      <c r="A549" s="528">
        <v>7.2</v>
      </c>
      <c r="B549" s="507" t="str">
        <f>ART_5!A9</f>
        <v>1(a) Tuberculosis (Pulmonary)</v>
      </c>
      <c r="C549" s="520" t="s">
        <v>7</v>
      </c>
      <c r="D549" s="198" t="s">
        <v>56</v>
      </c>
      <c r="E549" s="179">
        <f>ART_5!C$9</f>
        <v>3</v>
      </c>
      <c r="F549" s="201"/>
    </row>
    <row r="550" spans="1:6" x14ac:dyDescent="0.2">
      <c r="A550" s="528"/>
      <c r="B550" s="507"/>
      <c r="C550" s="505"/>
      <c r="D550" s="195" t="s">
        <v>55</v>
      </c>
      <c r="E550" s="179">
        <f>ART_5!D$9</f>
        <v>0</v>
      </c>
      <c r="F550" s="201"/>
    </row>
    <row r="551" spans="1:6" x14ac:dyDescent="0.2">
      <c r="A551" s="528"/>
      <c r="B551" s="507"/>
      <c r="C551" s="505" t="s">
        <v>134</v>
      </c>
      <c r="D551" s="195" t="s">
        <v>56</v>
      </c>
      <c r="E551" s="179">
        <f>ART_5!E$9</f>
        <v>0</v>
      </c>
      <c r="F551" s="201"/>
    </row>
    <row r="552" spans="1:6" x14ac:dyDescent="0.2">
      <c r="A552" s="528"/>
      <c r="B552" s="508"/>
      <c r="C552" s="505"/>
      <c r="D552" s="195" t="s">
        <v>55</v>
      </c>
      <c r="E552" s="179">
        <f>ART_5!F$9</f>
        <v>0</v>
      </c>
      <c r="F552" s="201"/>
    </row>
    <row r="553" spans="1:6" ht="15" customHeight="1" x14ac:dyDescent="0.2">
      <c r="A553" s="528"/>
      <c r="B553" s="506" t="str">
        <f>ART_5!A10</f>
        <v>1(b)Tuberculosis (Extra-Pulmonary)</v>
      </c>
      <c r="C553" s="505" t="s">
        <v>7</v>
      </c>
      <c r="D553" s="195" t="s">
        <v>56</v>
      </c>
      <c r="E553" s="179">
        <f>ART_5!C$10</f>
        <v>3</v>
      </c>
      <c r="F553" s="201"/>
    </row>
    <row r="554" spans="1:6" x14ac:dyDescent="0.2">
      <c r="A554" s="528"/>
      <c r="B554" s="507"/>
      <c r="C554" s="505"/>
      <c r="D554" s="195" t="s">
        <v>55</v>
      </c>
      <c r="E554" s="179">
        <f>ART_5!D$10</f>
        <v>0</v>
      </c>
      <c r="F554" s="201"/>
    </row>
    <row r="555" spans="1:6" x14ac:dyDescent="0.2">
      <c r="A555" s="528"/>
      <c r="B555" s="507"/>
      <c r="C555" s="505" t="s">
        <v>134</v>
      </c>
      <c r="D555" s="195" t="s">
        <v>56</v>
      </c>
      <c r="E555" s="179">
        <f>ART_5!E$10</f>
        <v>0</v>
      </c>
      <c r="F555" s="201"/>
    </row>
    <row r="556" spans="1:6" x14ac:dyDescent="0.2">
      <c r="A556" s="528"/>
      <c r="B556" s="508"/>
      <c r="C556" s="505"/>
      <c r="D556" s="195" t="s">
        <v>55</v>
      </c>
      <c r="E556" s="179">
        <f>ART_5!F$10</f>
        <v>0</v>
      </c>
      <c r="F556" s="201"/>
    </row>
    <row r="557" spans="1:6" x14ac:dyDescent="0.2">
      <c r="A557" s="528"/>
      <c r="B557" s="506" t="str">
        <f>ART_5!A11</f>
        <v>2 Candidiasis</v>
      </c>
      <c r="C557" s="505" t="s">
        <v>7</v>
      </c>
      <c r="D557" s="195" t="s">
        <v>56</v>
      </c>
      <c r="E557" s="179">
        <f>ART_5!C$11</f>
        <v>0</v>
      </c>
      <c r="F557" s="201"/>
    </row>
    <row r="558" spans="1:6" x14ac:dyDescent="0.2">
      <c r="A558" s="528"/>
      <c r="B558" s="507"/>
      <c r="C558" s="505"/>
      <c r="D558" s="195" t="s">
        <v>55</v>
      </c>
      <c r="E558" s="179">
        <f>ART_5!D$11</f>
        <v>0</v>
      </c>
      <c r="F558" s="201"/>
    </row>
    <row r="559" spans="1:6" x14ac:dyDescent="0.2">
      <c r="A559" s="528"/>
      <c r="B559" s="507"/>
      <c r="C559" s="505" t="s">
        <v>134</v>
      </c>
      <c r="D559" s="195" t="s">
        <v>56</v>
      </c>
      <c r="E559" s="179">
        <f>ART_5!E$11</f>
        <v>0</v>
      </c>
      <c r="F559" s="201"/>
    </row>
    <row r="560" spans="1:6" x14ac:dyDescent="0.2">
      <c r="A560" s="528"/>
      <c r="B560" s="508"/>
      <c r="C560" s="505"/>
      <c r="D560" s="195" t="s">
        <v>55</v>
      </c>
      <c r="E560" s="179">
        <f>ART_5!F$11</f>
        <v>0</v>
      </c>
      <c r="F560" s="201"/>
    </row>
    <row r="561" spans="1:6" x14ac:dyDescent="0.2">
      <c r="A561" s="528"/>
      <c r="B561" s="506" t="str">
        <f>ART_5!A12</f>
        <v>3 Diarrhoea</v>
      </c>
      <c r="C561" s="505" t="s">
        <v>7</v>
      </c>
      <c r="D561" s="195" t="s">
        <v>56</v>
      </c>
      <c r="E561" s="179">
        <f>ART_5!C$12</f>
        <v>0</v>
      </c>
      <c r="F561" s="201"/>
    </row>
    <row r="562" spans="1:6" x14ac:dyDescent="0.2">
      <c r="A562" s="528"/>
      <c r="B562" s="507"/>
      <c r="C562" s="505"/>
      <c r="D562" s="195" t="s">
        <v>55</v>
      </c>
      <c r="E562" s="179">
        <f>ART_5!D$12</f>
        <v>0</v>
      </c>
      <c r="F562" s="201"/>
    </row>
    <row r="563" spans="1:6" ht="15" customHeight="1" x14ac:dyDescent="0.2">
      <c r="A563" s="528"/>
      <c r="B563" s="507"/>
      <c r="C563" s="505" t="s">
        <v>134</v>
      </c>
      <c r="D563" s="195" t="s">
        <v>56</v>
      </c>
      <c r="E563" s="179">
        <f>ART_5!E$12</f>
        <v>0</v>
      </c>
      <c r="F563" s="201"/>
    </row>
    <row r="564" spans="1:6" x14ac:dyDescent="0.2">
      <c r="A564" s="528"/>
      <c r="B564" s="508"/>
      <c r="C564" s="505"/>
      <c r="D564" s="195" t="s">
        <v>55</v>
      </c>
      <c r="E564" s="179">
        <f>ART_5!F$12</f>
        <v>0</v>
      </c>
      <c r="F564" s="201"/>
    </row>
    <row r="565" spans="1:6" ht="15" customHeight="1" x14ac:dyDescent="0.2">
      <c r="A565" s="528"/>
      <c r="B565" s="506" t="str">
        <f>ART_5!A13</f>
        <v>4 PCP</v>
      </c>
      <c r="C565" s="505" t="s">
        <v>7</v>
      </c>
      <c r="D565" s="195" t="s">
        <v>56</v>
      </c>
      <c r="E565" s="179">
        <f>ART_5!C$13</f>
        <v>0</v>
      </c>
      <c r="F565" s="201"/>
    </row>
    <row r="566" spans="1:6" x14ac:dyDescent="0.2">
      <c r="A566" s="528"/>
      <c r="B566" s="507"/>
      <c r="C566" s="505"/>
      <c r="D566" s="195" t="s">
        <v>55</v>
      </c>
      <c r="E566" s="179">
        <f>ART_5!D$13</f>
        <v>0</v>
      </c>
      <c r="F566" s="201"/>
    </row>
    <row r="567" spans="1:6" x14ac:dyDescent="0.2">
      <c r="A567" s="528"/>
      <c r="B567" s="507"/>
      <c r="C567" s="505" t="s">
        <v>134</v>
      </c>
      <c r="D567" s="195" t="s">
        <v>56</v>
      </c>
      <c r="E567" s="179">
        <f>ART_5!E$13</f>
        <v>0</v>
      </c>
      <c r="F567" s="201"/>
    </row>
    <row r="568" spans="1:6" x14ac:dyDescent="0.2">
      <c r="A568" s="528"/>
      <c r="B568" s="508"/>
      <c r="C568" s="505"/>
      <c r="D568" s="195" t="s">
        <v>55</v>
      </c>
      <c r="E568" s="179">
        <f>ART_5!F$13</f>
        <v>0</v>
      </c>
      <c r="F568" s="201"/>
    </row>
    <row r="569" spans="1:6" x14ac:dyDescent="0.2">
      <c r="A569" s="528"/>
      <c r="B569" s="506" t="str">
        <f>ART_5!A14</f>
        <v>5 Herpes Zoster</v>
      </c>
      <c r="C569" s="505" t="s">
        <v>7</v>
      </c>
      <c r="D569" s="195" t="s">
        <v>56</v>
      </c>
      <c r="E569" s="179">
        <f>ART_5!C$14</f>
        <v>1</v>
      </c>
      <c r="F569" s="201"/>
    </row>
    <row r="570" spans="1:6" x14ac:dyDescent="0.2">
      <c r="A570" s="528"/>
      <c r="B570" s="507"/>
      <c r="C570" s="505"/>
      <c r="D570" s="195" t="s">
        <v>55</v>
      </c>
      <c r="E570" s="179">
        <f>ART_5!D$14</f>
        <v>0</v>
      </c>
      <c r="F570" s="201"/>
    </row>
    <row r="571" spans="1:6" x14ac:dyDescent="0.2">
      <c r="A571" s="528"/>
      <c r="B571" s="507"/>
      <c r="C571" s="505" t="s">
        <v>134</v>
      </c>
      <c r="D571" s="195" t="s">
        <v>56</v>
      </c>
      <c r="E571" s="179">
        <f>ART_5!E$14</f>
        <v>0</v>
      </c>
      <c r="F571" s="201"/>
    </row>
    <row r="572" spans="1:6" x14ac:dyDescent="0.2">
      <c r="A572" s="528"/>
      <c r="B572" s="508"/>
      <c r="C572" s="505"/>
      <c r="D572" s="195" t="s">
        <v>55</v>
      </c>
      <c r="E572" s="179">
        <f>ART_5!F$14</f>
        <v>0</v>
      </c>
      <c r="F572" s="201"/>
    </row>
    <row r="573" spans="1:6" ht="15" customHeight="1" x14ac:dyDescent="0.2">
      <c r="A573" s="528"/>
      <c r="B573" s="506" t="str">
        <f>ART_5!A15</f>
        <v>6 Bacterial Infections (Respiratory)</v>
      </c>
      <c r="C573" s="505" t="s">
        <v>7</v>
      </c>
      <c r="D573" s="195" t="s">
        <v>56</v>
      </c>
      <c r="E573" s="179">
        <f>ART_5!C$15</f>
        <v>0</v>
      </c>
      <c r="F573" s="201"/>
    </row>
    <row r="574" spans="1:6" x14ac:dyDescent="0.2">
      <c r="A574" s="528"/>
      <c r="B574" s="507"/>
      <c r="C574" s="505"/>
      <c r="D574" s="195" t="s">
        <v>55</v>
      </c>
      <c r="E574" s="179">
        <f>ART_5!D$15</f>
        <v>0</v>
      </c>
      <c r="F574" s="201"/>
    </row>
    <row r="575" spans="1:6" ht="14.25" customHeight="1" x14ac:dyDescent="0.2">
      <c r="A575" s="528"/>
      <c r="B575" s="507"/>
      <c r="C575" s="505" t="s">
        <v>134</v>
      </c>
      <c r="D575" s="195" t="s">
        <v>56</v>
      </c>
      <c r="E575" s="179">
        <f>ART_5!E$15</f>
        <v>0</v>
      </c>
      <c r="F575" s="201"/>
    </row>
    <row r="576" spans="1:6" x14ac:dyDescent="0.2">
      <c r="A576" s="528"/>
      <c r="B576" s="508"/>
      <c r="C576" s="505"/>
      <c r="D576" s="195" t="s">
        <v>55</v>
      </c>
      <c r="E576" s="179">
        <f>ART_5!F$15</f>
        <v>0</v>
      </c>
      <c r="F576" s="201"/>
    </row>
    <row r="577" spans="1:6" x14ac:dyDescent="0.2">
      <c r="A577" s="528"/>
      <c r="B577" s="506" t="str">
        <f>ART_5!A16</f>
        <v>7 Cryptococcal Meningitis</v>
      </c>
      <c r="C577" s="505" t="s">
        <v>7</v>
      </c>
      <c r="D577" s="195" t="s">
        <v>56</v>
      </c>
      <c r="E577" s="179">
        <f>ART_5!C$16</f>
        <v>0</v>
      </c>
      <c r="F577" s="201"/>
    </row>
    <row r="578" spans="1:6" x14ac:dyDescent="0.2">
      <c r="A578" s="528"/>
      <c r="B578" s="507"/>
      <c r="C578" s="505"/>
      <c r="D578" s="195" t="s">
        <v>55</v>
      </c>
      <c r="E578" s="179">
        <f>ART_5!D$16</f>
        <v>0</v>
      </c>
      <c r="F578" s="201"/>
    </row>
    <row r="579" spans="1:6" x14ac:dyDescent="0.2">
      <c r="A579" s="528"/>
      <c r="B579" s="507"/>
      <c r="C579" s="505" t="s">
        <v>134</v>
      </c>
      <c r="D579" s="195" t="s">
        <v>56</v>
      </c>
      <c r="E579" s="179">
        <f>ART_5!E$16</f>
        <v>0</v>
      </c>
      <c r="F579" s="201"/>
    </row>
    <row r="580" spans="1:6" x14ac:dyDescent="0.2">
      <c r="A580" s="528"/>
      <c r="B580" s="508"/>
      <c r="C580" s="505"/>
      <c r="D580" s="195" t="s">
        <v>55</v>
      </c>
      <c r="E580" s="179">
        <f>ART_5!F$16</f>
        <v>0</v>
      </c>
      <c r="F580" s="201"/>
    </row>
    <row r="581" spans="1:6" x14ac:dyDescent="0.2">
      <c r="A581" s="528"/>
      <c r="B581" s="506" t="str">
        <f>ART_5!A17</f>
        <v>8 Toxoplasmosis</v>
      </c>
      <c r="C581" s="505" t="s">
        <v>7</v>
      </c>
      <c r="D581" s="195" t="s">
        <v>56</v>
      </c>
      <c r="E581" s="179">
        <f>ART_5!C$17</f>
        <v>0</v>
      </c>
      <c r="F581" s="201"/>
    </row>
    <row r="582" spans="1:6" x14ac:dyDescent="0.2">
      <c r="A582" s="528"/>
      <c r="B582" s="507"/>
      <c r="C582" s="505"/>
      <c r="D582" s="195" t="s">
        <v>55</v>
      </c>
      <c r="E582" s="179">
        <f>ART_5!D$17</f>
        <v>0</v>
      </c>
      <c r="F582" s="201"/>
    </row>
    <row r="583" spans="1:6" x14ac:dyDescent="0.2">
      <c r="A583" s="528"/>
      <c r="B583" s="507"/>
      <c r="C583" s="505" t="s">
        <v>134</v>
      </c>
      <c r="D583" s="195" t="s">
        <v>56</v>
      </c>
      <c r="E583" s="179">
        <f>ART_5!E$17</f>
        <v>0</v>
      </c>
      <c r="F583" s="201"/>
    </row>
    <row r="584" spans="1:6" x14ac:dyDescent="0.2">
      <c r="A584" s="528"/>
      <c r="B584" s="508"/>
      <c r="C584" s="505"/>
      <c r="D584" s="195" t="s">
        <v>55</v>
      </c>
      <c r="E584" s="179">
        <f>ART_5!F$17</f>
        <v>0</v>
      </c>
      <c r="F584" s="201"/>
    </row>
    <row r="585" spans="1:6" ht="14.25" customHeight="1" x14ac:dyDescent="0.2">
      <c r="A585" s="528"/>
      <c r="B585" s="506" t="str">
        <f>ART_5!G9</f>
        <v>9 Malignancy</v>
      </c>
      <c r="C585" s="505" t="s">
        <v>7</v>
      </c>
      <c r="D585" s="195" t="s">
        <v>56</v>
      </c>
      <c r="E585" s="179">
        <f>ART_5!J$9</f>
        <v>1</v>
      </c>
      <c r="F585" s="201"/>
    </row>
    <row r="586" spans="1:6" x14ac:dyDescent="0.2">
      <c r="A586" s="528"/>
      <c r="B586" s="507"/>
      <c r="C586" s="505"/>
      <c r="D586" s="195" t="s">
        <v>55</v>
      </c>
      <c r="E586" s="179">
        <f>ART_5!K$9</f>
        <v>0</v>
      </c>
      <c r="F586" s="201"/>
    </row>
    <row r="587" spans="1:6" x14ac:dyDescent="0.2">
      <c r="A587" s="528"/>
      <c r="B587" s="507"/>
      <c r="C587" s="505" t="s">
        <v>134</v>
      </c>
      <c r="D587" s="195" t="s">
        <v>56</v>
      </c>
      <c r="E587" s="179">
        <f>ART_5!M$9</f>
        <v>0</v>
      </c>
      <c r="F587" s="201"/>
    </row>
    <row r="588" spans="1:6" x14ac:dyDescent="0.2">
      <c r="A588" s="528"/>
      <c r="B588" s="508"/>
      <c r="C588" s="505"/>
      <c r="D588" s="195" t="s">
        <v>55</v>
      </c>
      <c r="E588" s="179">
        <f>ART_5!N$9</f>
        <v>0</v>
      </c>
      <c r="F588" s="201"/>
    </row>
    <row r="589" spans="1:6" ht="15" customHeight="1" x14ac:dyDescent="0.2">
      <c r="A589" s="528"/>
      <c r="B589" s="506" t="str">
        <f>ART_5!G10</f>
        <v>10 CMV Retinitis</v>
      </c>
      <c r="C589" s="505" t="s">
        <v>7</v>
      </c>
      <c r="D589" s="195" t="s">
        <v>56</v>
      </c>
      <c r="E589" s="179">
        <f>ART_5!J$10</f>
        <v>0</v>
      </c>
      <c r="F589" s="201"/>
    </row>
    <row r="590" spans="1:6" x14ac:dyDescent="0.2">
      <c r="A590" s="528"/>
      <c r="B590" s="507"/>
      <c r="C590" s="505"/>
      <c r="D590" s="195" t="s">
        <v>55</v>
      </c>
      <c r="E590" s="179">
        <f>ART_5!K$10</f>
        <v>0</v>
      </c>
      <c r="F590" s="201"/>
    </row>
    <row r="591" spans="1:6" x14ac:dyDescent="0.2">
      <c r="A591" s="528"/>
      <c r="B591" s="507"/>
      <c r="C591" s="505" t="s">
        <v>134</v>
      </c>
      <c r="D591" s="195" t="s">
        <v>56</v>
      </c>
      <c r="E591" s="179">
        <f>ART_5!M$10</f>
        <v>0</v>
      </c>
      <c r="F591" s="201"/>
    </row>
    <row r="592" spans="1:6" x14ac:dyDescent="0.2">
      <c r="A592" s="528"/>
      <c r="B592" s="508"/>
      <c r="C592" s="505"/>
      <c r="D592" s="195" t="s">
        <v>55</v>
      </c>
      <c r="E592" s="179">
        <f>ART_5!N$10</f>
        <v>0</v>
      </c>
      <c r="F592" s="201"/>
    </row>
    <row r="593" spans="1:6" ht="14.25" customHeight="1" x14ac:dyDescent="0.2">
      <c r="A593" s="528"/>
      <c r="B593" s="506" t="str">
        <f>ART_5!G11</f>
        <v>11 MAC</v>
      </c>
      <c r="C593" s="505" t="s">
        <v>7</v>
      </c>
      <c r="D593" s="195" t="s">
        <v>56</v>
      </c>
      <c r="E593" s="179">
        <f>ART_5!J$11</f>
        <v>0</v>
      </c>
      <c r="F593" s="201"/>
    </row>
    <row r="594" spans="1:6" x14ac:dyDescent="0.2">
      <c r="A594" s="528"/>
      <c r="B594" s="507"/>
      <c r="C594" s="505"/>
      <c r="D594" s="195" t="s">
        <v>55</v>
      </c>
      <c r="E594" s="179">
        <f>ART_5!K$11</f>
        <v>0</v>
      </c>
      <c r="F594" s="201"/>
    </row>
    <row r="595" spans="1:6" x14ac:dyDescent="0.2">
      <c r="A595" s="528"/>
      <c r="B595" s="507"/>
      <c r="C595" s="505" t="s">
        <v>134</v>
      </c>
      <c r="D595" s="195" t="s">
        <v>56</v>
      </c>
      <c r="E595" s="179">
        <f>ART_5!M$11</f>
        <v>0</v>
      </c>
      <c r="F595" s="201"/>
    </row>
    <row r="596" spans="1:6" x14ac:dyDescent="0.2">
      <c r="A596" s="528"/>
      <c r="B596" s="508"/>
      <c r="C596" s="505"/>
      <c r="D596" s="195" t="s">
        <v>55</v>
      </c>
      <c r="E596" s="179">
        <f>ART_5!N$11</f>
        <v>0</v>
      </c>
      <c r="F596" s="201"/>
    </row>
    <row r="597" spans="1:6" ht="14.25" customHeight="1" x14ac:dyDescent="0.2">
      <c r="A597" s="528"/>
      <c r="B597" s="506" t="str">
        <f>ART_5!G12</f>
        <v>12 Bacterial Infections(skin)</v>
      </c>
      <c r="C597" s="505" t="s">
        <v>7</v>
      </c>
      <c r="D597" s="195" t="s">
        <v>56</v>
      </c>
      <c r="E597" s="179">
        <f>ART_5!J$12</f>
        <v>0</v>
      </c>
      <c r="F597" s="201"/>
    </row>
    <row r="598" spans="1:6" x14ac:dyDescent="0.2">
      <c r="A598" s="528"/>
      <c r="B598" s="507"/>
      <c r="C598" s="505"/>
      <c r="D598" s="195" t="s">
        <v>55</v>
      </c>
      <c r="E598" s="179">
        <f>ART_5!K$12</f>
        <v>0</v>
      </c>
      <c r="F598" s="201"/>
    </row>
    <row r="599" spans="1:6" ht="15" customHeight="1" x14ac:dyDescent="0.2">
      <c r="A599" s="528"/>
      <c r="B599" s="507"/>
      <c r="C599" s="505" t="s">
        <v>134</v>
      </c>
      <c r="D599" s="195" t="s">
        <v>56</v>
      </c>
      <c r="E599" s="179">
        <f>ART_5!M$12</f>
        <v>0</v>
      </c>
      <c r="F599" s="201"/>
    </row>
    <row r="600" spans="1:6" x14ac:dyDescent="0.2">
      <c r="A600" s="528"/>
      <c r="B600" s="508"/>
      <c r="C600" s="505"/>
      <c r="D600" s="195" t="s">
        <v>55</v>
      </c>
      <c r="E600" s="179">
        <f>ART_5!N$12</f>
        <v>0</v>
      </c>
      <c r="F600" s="201"/>
    </row>
    <row r="601" spans="1:6" ht="15" customHeight="1" x14ac:dyDescent="0.2">
      <c r="A601" s="528"/>
      <c r="B601" s="506" t="str">
        <f>ART_5!G13</f>
        <v>13 Herpes Simplex</v>
      </c>
      <c r="C601" s="505" t="s">
        <v>7</v>
      </c>
      <c r="D601" s="195" t="s">
        <v>56</v>
      </c>
      <c r="E601" s="179">
        <f>ART_5!J$13</f>
        <v>0</v>
      </c>
      <c r="F601" s="201"/>
    </row>
    <row r="602" spans="1:6" x14ac:dyDescent="0.2">
      <c r="A602" s="528"/>
      <c r="B602" s="507"/>
      <c r="C602" s="505"/>
      <c r="D602" s="195" t="s">
        <v>55</v>
      </c>
      <c r="E602" s="179">
        <f>ART_5!K$13</f>
        <v>0</v>
      </c>
      <c r="F602" s="201"/>
    </row>
    <row r="603" spans="1:6" x14ac:dyDescent="0.2">
      <c r="A603" s="528"/>
      <c r="B603" s="507"/>
      <c r="C603" s="505" t="s">
        <v>134</v>
      </c>
      <c r="D603" s="195" t="s">
        <v>56</v>
      </c>
      <c r="E603" s="179">
        <f>ART_5!M$13</f>
        <v>0</v>
      </c>
      <c r="F603" s="201"/>
    </row>
    <row r="604" spans="1:6" x14ac:dyDescent="0.2">
      <c r="A604" s="528"/>
      <c r="B604" s="508"/>
      <c r="C604" s="505"/>
      <c r="D604" s="195" t="s">
        <v>55</v>
      </c>
      <c r="E604" s="179">
        <f>ART_5!N$13</f>
        <v>0</v>
      </c>
      <c r="F604" s="201"/>
    </row>
    <row r="605" spans="1:6" ht="14.25" customHeight="1" x14ac:dyDescent="0.2">
      <c r="A605" s="528"/>
      <c r="B605" s="506" t="str">
        <f>ART_5!G14</f>
        <v>14 Hepatitis - B</v>
      </c>
      <c r="C605" s="505" t="s">
        <v>7</v>
      </c>
      <c r="D605" s="195" t="s">
        <v>56</v>
      </c>
      <c r="E605" s="179">
        <f>ART_5!J$14</f>
        <v>1</v>
      </c>
      <c r="F605" s="201"/>
    </row>
    <row r="606" spans="1:6" x14ac:dyDescent="0.2">
      <c r="A606" s="528"/>
      <c r="B606" s="507"/>
      <c r="C606" s="505"/>
      <c r="D606" s="195" t="s">
        <v>55</v>
      </c>
      <c r="E606" s="179">
        <f>ART_5!K$14</f>
        <v>0</v>
      </c>
      <c r="F606" s="201"/>
    </row>
    <row r="607" spans="1:6" x14ac:dyDescent="0.2">
      <c r="A607" s="528"/>
      <c r="B607" s="507"/>
      <c r="C607" s="505" t="s">
        <v>134</v>
      </c>
      <c r="D607" s="195" t="s">
        <v>56</v>
      </c>
      <c r="E607" s="179">
        <f>ART_5!M$14</f>
        <v>0</v>
      </c>
      <c r="F607" s="201"/>
    </row>
    <row r="608" spans="1:6" x14ac:dyDescent="0.2">
      <c r="A608" s="528"/>
      <c r="B608" s="508"/>
      <c r="C608" s="505"/>
      <c r="D608" s="195" t="s">
        <v>55</v>
      </c>
      <c r="E608" s="179">
        <f>ART_5!N$14</f>
        <v>0</v>
      </c>
      <c r="F608" s="201"/>
    </row>
    <row r="609" spans="1:6" ht="15" customHeight="1" x14ac:dyDescent="0.2">
      <c r="A609" s="528"/>
      <c r="B609" s="506" t="str">
        <f>ART_5!G15</f>
        <v>15 Hepatitis - C</v>
      </c>
      <c r="C609" s="505" t="s">
        <v>7</v>
      </c>
      <c r="D609" s="195" t="s">
        <v>56</v>
      </c>
      <c r="E609" s="179">
        <f>ART_5!J$15</f>
        <v>6</v>
      </c>
      <c r="F609" s="201"/>
    </row>
    <row r="610" spans="1:6" x14ac:dyDescent="0.2">
      <c r="A610" s="528"/>
      <c r="B610" s="507"/>
      <c r="C610" s="505"/>
      <c r="D610" s="195" t="s">
        <v>55</v>
      </c>
      <c r="E610" s="179">
        <f>ART_5!K$15</f>
        <v>0</v>
      </c>
      <c r="F610" s="201"/>
    </row>
    <row r="611" spans="1:6" ht="14.25" customHeight="1" x14ac:dyDescent="0.2">
      <c r="A611" s="528"/>
      <c r="B611" s="507"/>
      <c r="C611" s="505" t="s">
        <v>134</v>
      </c>
      <c r="D611" s="195" t="s">
        <v>56</v>
      </c>
      <c r="E611" s="179">
        <f>ART_5!M$15</f>
        <v>0</v>
      </c>
      <c r="F611" s="201"/>
    </row>
    <row r="612" spans="1:6" x14ac:dyDescent="0.2">
      <c r="A612" s="528"/>
      <c r="B612" s="508"/>
      <c r="C612" s="505"/>
      <c r="D612" s="195" t="s">
        <v>55</v>
      </c>
      <c r="E612" s="179">
        <f>ART_5!N$15</f>
        <v>0</v>
      </c>
      <c r="F612" s="201"/>
    </row>
    <row r="613" spans="1:6" x14ac:dyDescent="0.2">
      <c r="A613" s="528"/>
      <c r="B613" s="506" t="str">
        <f>ART_5!G16</f>
        <v>16 Visceral Leishmaniasis</v>
      </c>
      <c r="C613" s="505" t="s">
        <v>7</v>
      </c>
      <c r="D613" s="195" t="s">
        <v>56</v>
      </c>
      <c r="E613" s="179">
        <f>ART_5!J$16</f>
        <v>0</v>
      </c>
      <c r="F613" s="201"/>
    </row>
    <row r="614" spans="1:6" x14ac:dyDescent="0.2">
      <c r="A614" s="528"/>
      <c r="B614" s="507"/>
      <c r="C614" s="505"/>
      <c r="D614" s="195" t="s">
        <v>55</v>
      </c>
      <c r="E614" s="179">
        <f>ART_5!K$16</f>
        <v>0</v>
      </c>
      <c r="F614" s="201"/>
    </row>
    <row r="615" spans="1:6" x14ac:dyDescent="0.2">
      <c r="A615" s="528"/>
      <c r="B615" s="507"/>
      <c r="C615" s="505" t="s">
        <v>134</v>
      </c>
      <c r="D615" s="195" t="s">
        <v>56</v>
      </c>
      <c r="E615" s="179">
        <f>ART_5!M$16</f>
        <v>0</v>
      </c>
      <c r="F615" s="201"/>
    </row>
    <row r="616" spans="1:6" x14ac:dyDescent="0.2">
      <c r="A616" s="528"/>
      <c r="B616" s="508"/>
      <c r="C616" s="505"/>
      <c r="D616" s="195" t="s">
        <v>55</v>
      </c>
      <c r="E616" s="179">
        <f>ART_5!N$16</f>
        <v>0</v>
      </c>
      <c r="F616" s="201"/>
    </row>
    <row r="617" spans="1:6" x14ac:dyDescent="0.2">
      <c r="A617" s="528"/>
      <c r="B617" s="506" t="str">
        <f>ART_5!G17</f>
        <v>17 Others (Specify UTI...)</v>
      </c>
      <c r="C617" s="505" t="s">
        <v>7</v>
      </c>
      <c r="D617" s="195" t="s">
        <v>56</v>
      </c>
      <c r="E617" s="179">
        <f>ART_5!J$17</f>
        <v>1</v>
      </c>
      <c r="F617" s="201"/>
    </row>
    <row r="618" spans="1:6" x14ac:dyDescent="0.2">
      <c r="A618" s="528"/>
      <c r="B618" s="507"/>
      <c r="C618" s="505"/>
      <c r="D618" s="195" t="s">
        <v>55</v>
      </c>
      <c r="E618" s="179">
        <f>ART_5!K$17</f>
        <v>0</v>
      </c>
      <c r="F618" s="201"/>
    </row>
    <row r="619" spans="1:6" x14ac:dyDescent="0.2">
      <c r="A619" s="528"/>
      <c r="B619" s="507"/>
      <c r="C619" s="505" t="s">
        <v>134</v>
      </c>
      <c r="D619" s="195" t="s">
        <v>56</v>
      </c>
      <c r="E619" s="179">
        <f>ART_5!M$17</f>
        <v>0</v>
      </c>
      <c r="F619" s="201"/>
    </row>
    <row r="620" spans="1:6" x14ac:dyDescent="0.2">
      <c r="A620" s="528"/>
      <c r="B620" s="508"/>
      <c r="C620" s="505"/>
      <c r="D620" s="195" t="s">
        <v>55</v>
      </c>
      <c r="E620" s="179">
        <f>ART_5!N$17</f>
        <v>0</v>
      </c>
      <c r="F620" s="201"/>
    </row>
    <row r="621" spans="1:6" x14ac:dyDescent="0.2">
      <c r="A621" s="529"/>
      <c r="B621" s="548" t="s">
        <v>1941</v>
      </c>
      <c r="C621" s="549"/>
      <c r="D621" s="550"/>
      <c r="E621" s="196">
        <f>SUM(E549:E620)</f>
        <v>16</v>
      </c>
      <c r="F621" s="201"/>
    </row>
    <row r="622" spans="1:6" x14ac:dyDescent="0.2">
      <c r="A622" s="545">
        <v>7.3</v>
      </c>
      <c r="B622" s="527" t="str">
        <f>ART_5!A21</f>
        <v>1 AZT Induced Anaemia</v>
      </c>
      <c r="C622" s="527"/>
      <c r="D622" s="193" t="s">
        <v>7</v>
      </c>
      <c r="E622" s="196">
        <f>ART_5!C$21</f>
        <v>2</v>
      </c>
      <c r="F622" s="201"/>
    </row>
    <row r="623" spans="1:6" x14ac:dyDescent="0.2">
      <c r="A623" s="545"/>
      <c r="B623" s="527"/>
      <c r="C623" s="527"/>
      <c r="D623" s="193" t="s">
        <v>9</v>
      </c>
      <c r="E623" s="196">
        <f>ART_5!E$21</f>
        <v>0</v>
      </c>
      <c r="F623" s="201"/>
    </row>
    <row r="624" spans="1:6" x14ac:dyDescent="0.2">
      <c r="A624" s="545"/>
      <c r="B624" s="527" t="str">
        <f>ART_5!A22</f>
        <v>2 Peripheral Neuropathy</v>
      </c>
      <c r="C624" s="527"/>
      <c r="D624" s="193" t="s">
        <v>7</v>
      </c>
      <c r="E624" s="196">
        <f>ART_5!C$22</f>
        <v>0</v>
      </c>
      <c r="F624" s="201"/>
    </row>
    <row r="625" spans="1:6" x14ac:dyDescent="0.2">
      <c r="A625" s="545"/>
      <c r="B625" s="527"/>
      <c r="C625" s="527"/>
      <c r="D625" s="193" t="s">
        <v>9</v>
      </c>
      <c r="E625" s="196">
        <f>ART_5!E$22</f>
        <v>0</v>
      </c>
      <c r="F625" s="201"/>
    </row>
    <row r="626" spans="1:6" x14ac:dyDescent="0.2">
      <c r="A626" s="545"/>
      <c r="B626" s="527" t="str">
        <f>ART_5!A23</f>
        <v>3 Hepatitis</v>
      </c>
      <c r="C626" s="527"/>
      <c r="D626" s="193" t="s">
        <v>7</v>
      </c>
      <c r="E626" s="196">
        <f>ART_5!C$23</f>
        <v>0</v>
      </c>
      <c r="F626" s="201"/>
    </row>
    <row r="627" spans="1:6" x14ac:dyDescent="0.2">
      <c r="A627" s="545"/>
      <c r="B627" s="527"/>
      <c r="C627" s="527"/>
      <c r="D627" s="193" t="s">
        <v>9</v>
      </c>
      <c r="E627" s="196">
        <f>ART_5!E$23</f>
        <v>0</v>
      </c>
      <c r="F627" s="201"/>
    </row>
    <row r="628" spans="1:6" x14ac:dyDescent="0.2">
      <c r="A628" s="545"/>
      <c r="B628" s="527" t="str">
        <f>ART_5!A24</f>
        <v>4 Lipodystrophy</v>
      </c>
      <c r="C628" s="527"/>
      <c r="D628" s="193" t="s">
        <v>7</v>
      </c>
      <c r="E628" s="196">
        <f>ART_5!C$24</f>
        <v>0</v>
      </c>
      <c r="F628" s="201"/>
    </row>
    <row r="629" spans="1:6" x14ac:dyDescent="0.2">
      <c r="A629" s="545"/>
      <c r="B629" s="527"/>
      <c r="C629" s="527"/>
      <c r="D629" s="193" t="s">
        <v>9</v>
      </c>
      <c r="E629" s="196">
        <f>ART_5!E$24</f>
        <v>0</v>
      </c>
      <c r="F629" s="201"/>
    </row>
    <row r="630" spans="1:6" x14ac:dyDescent="0.2">
      <c r="A630" s="545"/>
      <c r="B630" s="527" t="str">
        <f>ART_5!A25</f>
        <v>5 Lactic Acidosis</v>
      </c>
      <c r="C630" s="527"/>
      <c r="D630" s="193" t="s">
        <v>7</v>
      </c>
      <c r="E630" s="196">
        <f>ART_5!C$25</f>
        <v>0</v>
      </c>
      <c r="F630" s="201"/>
    </row>
    <row r="631" spans="1:6" x14ac:dyDescent="0.2">
      <c r="A631" s="545"/>
      <c r="B631" s="527"/>
      <c r="C631" s="527"/>
      <c r="D631" s="193" t="s">
        <v>9</v>
      </c>
      <c r="E631" s="196">
        <f>ART_5!E$25</f>
        <v>0</v>
      </c>
      <c r="F631" s="201"/>
    </row>
    <row r="632" spans="1:6" x14ac:dyDescent="0.2">
      <c r="A632" s="545"/>
      <c r="B632" s="527" t="str">
        <f>ART_5!A26</f>
        <v>6 Pancreatitis</v>
      </c>
      <c r="C632" s="527"/>
      <c r="D632" s="193" t="s">
        <v>7</v>
      </c>
      <c r="E632" s="196">
        <f>ART_5!C$26</f>
        <v>0</v>
      </c>
      <c r="F632" s="201"/>
    </row>
    <row r="633" spans="1:6" x14ac:dyDescent="0.2">
      <c r="A633" s="545"/>
      <c r="B633" s="527"/>
      <c r="C633" s="527"/>
      <c r="D633" s="193" t="s">
        <v>9</v>
      </c>
      <c r="E633" s="196">
        <f>ART_5!E$26</f>
        <v>0</v>
      </c>
      <c r="F633" s="201"/>
    </row>
    <row r="634" spans="1:6" x14ac:dyDescent="0.2">
      <c r="A634" s="545"/>
      <c r="B634" s="527" t="str">
        <f>ART_5!A27</f>
        <v>7 Skin Reaction</v>
      </c>
      <c r="C634" s="527"/>
      <c r="D634" s="193" t="s">
        <v>7</v>
      </c>
      <c r="E634" s="196">
        <f>ART_5!C$27</f>
        <v>0</v>
      </c>
      <c r="F634" s="201"/>
    </row>
    <row r="635" spans="1:6" x14ac:dyDescent="0.2">
      <c r="A635" s="545"/>
      <c r="B635" s="527"/>
      <c r="C635" s="527"/>
      <c r="D635" s="193" t="s">
        <v>9</v>
      </c>
      <c r="E635" s="196">
        <f>ART_5!E$27</f>
        <v>0</v>
      </c>
      <c r="F635" s="201"/>
    </row>
    <row r="636" spans="1:6" x14ac:dyDescent="0.2">
      <c r="A636" s="545"/>
      <c r="B636" s="527" t="str">
        <f>ART_5!A28</f>
        <v>8 Myalgia</v>
      </c>
      <c r="C636" s="527"/>
      <c r="D636" s="193" t="s">
        <v>7</v>
      </c>
      <c r="E636" s="196">
        <f>ART_5!C$28</f>
        <v>0</v>
      </c>
      <c r="F636" s="201"/>
    </row>
    <row r="637" spans="1:6" x14ac:dyDescent="0.2">
      <c r="A637" s="545"/>
      <c r="B637" s="527"/>
      <c r="C637" s="527"/>
      <c r="D637" s="193" t="s">
        <v>9</v>
      </c>
      <c r="E637" s="196">
        <f>ART_5!E$28</f>
        <v>0</v>
      </c>
      <c r="F637" s="201"/>
    </row>
    <row r="638" spans="1:6" x14ac:dyDescent="0.2">
      <c r="A638" s="545"/>
      <c r="B638" s="527" t="str">
        <f>ART_5!A29</f>
        <v>9 IRIS</v>
      </c>
      <c r="C638" s="527"/>
      <c r="D638" s="193" t="s">
        <v>7</v>
      </c>
      <c r="E638" s="196">
        <f>ART_5!C$29</f>
        <v>0</v>
      </c>
      <c r="F638" s="201"/>
    </row>
    <row r="639" spans="1:6" x14ac:dyDescent="0.2">
      <c r="A639" s="545"/>
      <c r="B639" s="527"/>
      <c r="C639" s="527"/>
      <c r="D639" s="193" t="s">
        <v>9</v>
      </c>
      <c r="E639" s="196">
        <f>ART_5!E$29</f>
        <v>0</v>
      </c>
      <c r="F639" s="201"/>
    </row>
    <row r="640" spans="1:6" x14ac:dyDescent="0.2">
      <c r="A640" s="545"/>
      <c r="B640" s="527" t="str">
        <f>ART_5!A30</f>
        <v>10 Depression</v>
      </c>
      <c r="C640" s="527"/>
      <c r="D640" s="193" t="s">
        <v>7</v>
      </c>
      <c r="E640" s="196">
        <f>ART_5!C$30</f>
        <v>0</v>
      </c>
      <c r="F640" s="201"/>
    </row>
    <row r="641" spans="1:6" x14ac:dyDescent="0.2">
      <c r="A641" s="545"/>
      <c r="B641" s="527"/>
      <c r="C641" s="527"/>
      <c r="D641" s="193" t="s">
        <v>9</v>
      </c>
      <c r="E641" s="196">
        <f>ART_5!E$30</f>
        <v>0</v>
      </c>
      <c r="F641" s="201"/>
    </row>
    <row r="642" spans="1:6" x14ac:dyDescent="0.2">
      <c r="A642" s="545"/>
      <c r="B642" s="527" t="str">
        <f>ART_5!G21</f>
        <v>11 GI Side Effects</v>
      </c>
      <c r="C642" s="527"/>
      <c r="D642" s="193" t="s">
        <v>7</v>
      </c>
      <c r="E642" s="196">
        <f>ART_5!J$21</f>
        <v>0</v>
      </c>
      <c r="F642" s="201"/>
    </row>
    <row r="643" spans="1:6" x14ac:dyDescent="0.2">
      <c r="A643" s="545"/>
      <c r="B643" s="527"/>
      <c r="C643" s="527"/>
      <c r="D643" s="193" t="s">
        <v>9</v>
      </c>
      <c r="E643" s="196">
        <f>ART_5!M$21</f>
        <v>0</v>
      </c>
      <c r="F643" s="201"/>
    </row>
    <row r="644" spans="1:6" x14ac:dyDescent="0.2">
      <c r="A644" s="545"/>
      <c r="B644" s="527" t="str">
        <f>ART_5!G22</f>
        <v>12 CNS Side Effects</v>
      </c>
      <c r="C644" s="527"/>
      <c r="D644" s="193" t="s">
        <v>7</v>
      </c>
      <c r="E644" s="196">
        <f>ART_5!J$22</f>
        <v>0</v>
      </c>
      <c r="F644" s="201"/>
    </row>
    <row r="645" spans="1:6" x14ac:dyDescent="0.2">
      <c r="A645" s="545"/>
      <c r="B645" s="527"/>
      <c r="C645" s="527"/>
      <c r="D645" s="193" t="s">
        <v>9</v>
      </c>
      <c r="E645" s="196">
        <f>ART_5!M$22</f>
        <v>0</v>
      </c>
      <c r="F645" s="201"/>
    </row>
    <row r="646" spans="1:6" x14ac:dyDescent="0.2">
      <c r="A646" s="545"/>
      <c r="B646" s="527" t="str">
        <f>ART_5!G23</f>
        <v>13 Drug induced Hyperglycaemia</v>
      </c>
      <c r="C646" s="527"/>
      <c r="D646" s="193" t="s">
        <v>7</v>
      </c>
      <c r="E646" s="196">
        <f>ART_5!J$23</f>
        <v>0</v>
      </c>
      <c r="F646" s="201"/>
    </row>
    <row r="647" spans="1:6" x14ac:dyDescent="0.2">
      <c r="A647" s="545"/>
      <c r="B647" s="527"/>
      <c r="C647" s="527"/>
      <c r="D647" s="193" t="s">
        <v>9</v>
      </c>
      <c r="E647" s="196">
        <f>ART_5!M$23</f>
        <v>0</v>
      </c>
      <c r="F647" s="201"/>
    </row>
    <row r="648" spans="1:6" x14ac:dyDescent="0.2">
      <c r="A648" s="545"/>
      <c r="B648" s="527" t="str">
        <f>ART_5!G24</f>
        <v>14 Lipid abnormalities</v>
      </c>
      <c r="C648" s="527"/>
      <c r="D648" s="193" t="s">
        <v>7</v>
      </c>
      <c r="E648" s="196">
        <f>ART_5!J$24</f>
        <v>0</v>
      </c>
      <c r="F648" s="201"/>
    </row>
    <row r="649" spans="1:6" x14ac:dyDescent="0.2">
      <c r="A649" s="545"/>
      <c r="B649" s="527"/>
      <c r="C649" s="527"/>
      <c r="D649" s="193" t="s">
        <v>9</v>
      </c>
      <c r="E649" s="196">
        <f>ART_5!M$24</f>
        <v>0</v>
      </c>
      <c r="F649" s="201"/>
    </row>
    <row r="650" spans="1:6" x14ac:dyDescent="0.2">
      <c r="A650" s="545"/>
      <c r="B650" s="527" t="str">
        <f>ART_5!G25</f>
        <v>15 Renal abnormalities</v>
      </c>
      <c r="C650" s="527"/>
      <c r="D650" s="193" t="s">
        <v>7</v>
      </c>
      <c r="E650" s="196">
        <f>ART_5!J$25</f>
        <v>0</v>
      </c>
      <c r="F650" s="201"/>
    </row>
    <row r="651" spans="1:6" x14ac:dyDescent="0.2">
      <c r="A651" s="545"/>
      <c r="B651" s="527"/>
      <c r="C651" s="527"/>
      <c r="D651" s="193" t="s">
        <v>9</v>
      </c>
      <c r="E651" s="196">
        <f>ART_5!M$25</f>
        <v>0</v>
      </c>
      <c r="F651" s="201"/>
    </row>
    <row r="652" spans="1:6" x14ac:dyDescent="0.2">
      <c r="A652" s="545"/>
      <c r="B652" s="527" t="str">
        <f>ART_5!G26</f>
        <v xml:space="preserve">16 Drug induced hyperbilirubinemia </v>
      </c>
      <c r="C652" s="527"/>
      <c r="D652" s="193" t="s">
        <v>7</v>
      </c>
      <c r="E652" s="196">
        <f>ART_5!J$26</f>
        <v>0</v>
      </c>
      <c r="F652" s="201"/>
    </row>
    <row r="653" spans="1:6" x14ac:dyDescent="0.2">
      <c r="A653" s="545"/>
      <c r="B653" s="527"/>
      <c r="C653" s="527"/>
      <c r="D653" s="193" t="s">
        <v>9</v>
      </c>
      <c r="E653" s="196">
        <f>ART_5!M$26</f>
        <v>0</v>
      </c>
      <c r="F653" s="201"/>
    </row>
    <row r="654" spans="1:6" x14ac:dyDescent="0.2">
      <c r="A654" s="545"/>
      <c r="B654" s="527" t="str">
        <f>ART_5!G27</f>
        <v>17 Renal Calculi</v>
      </c>
      <c r="C654" s="527"/>
      <c r="D654" s="193" t="s">
        <v>7</v>
      </c>
      <c r="E654" s="196">
        <f>ART_5!J$27</f>
        <v>0</v>
      </c>
      <c r="F654" s="201"/>
    </row>
    <row r="655" spans="1:6" x14ac:dyDescent="0.2">
      <c r="A655" s="545"/>
      <c r="B655" s="527"/>
      <c r="C655" s="527"/>
      <c r="D655" s="193" t="s">
        <v>9</v>
      </c>
      <c r="E655" s="196">
        <f>ART_5!M$27</f>
        <v>0</v>
      </c>
      <c r="F655" s="201"/>
    </row>
    <row r="656" spans="1:6" x14ac:dyDescent="0.2">
      <c r="A656" s="545"/>
      <c r="B656" s="527" t="str">
        <f>ART_5!G28</f>
        <v>18 Drowsiness</v>
      </c>
      <c r="C656" s="527"/>
      <c r="D656" s="193" t="s">
        <v>7</v>
      </c>
      <c r="E656" s="196">
        <f>ART_5!J$28</f>
        <v>0</v>
      </c>
      <c r="F656" s="201"/>
    </row>
    <row r="657" spans="1:6" x14ac:dyDescent="0.2">
      <c r="A657" s="545"/>
      <c r="B657" s="527"/>
      <c r="C657" s="527"/>
      <c r="D657" s="193" t="s">
        <v>9</v>
      </c>
      <c r="E657" s="196">
        <f>ART_5!M$28</f>
        <v>0</v>
      </c>
      <c r="F657" s="201"/>
    </row>
    <row r="658" spans="1:6" x14ac:dyDescent="0.2">
      <c r="A658" s="545"/>
      <c r="B658" s="527" t="str">
        <f>ART_5!G29</f>
        <v>19 Others (Specify .Malluscan..)</v>
      </c>
      <c r="C658" s="527"/>
      <c r="D658" s="193" t="s">
        <v>7</v>
      </c>
      <c r="E658" s="196">
        <f>ART_5!J$29</f>
        <v>0</v>
      </c>
      <c r="F658" s="201"/>
    </row>
    <row r="659" spans="1:6" x14ac:dyDescent="0.2">
      <c r="A659" s="545"/>
      <c r="B659" s="527"/>
      <c r="C659" s="527"/>
      <c r="D659" s="193" t="s">
        <v>9</v>
      </c>
      <c r="E659" s="196">
        <f>ART_5!M$29</f>
        <v>0</v>
      </c>
      <c r="F659" s="201"/>
    </row>
    <row r="660" spans="1:6" x14ac:dyDescent="0.2">
      <c r="A660" s="545"/>
      <c r="B660" s="527" t="str">
        <f>ART_5!G30</f>
        <v>20 Others (Specify ..Aspergiulosis.)</v>
      </c>
      <c r="C660" s="527"/>
      <c r="D660" s="193" t="s">
        <v>7</v>
      </c>
      <c r="E660" s="196">
        <f>ART_5!J$30</f>
        <v>0</v>
      </c>
      <c r="F660" s="201"/>
    </row>
    <row r="661" spans="1:6" x14ac:dyDescent="0.2">
      <c r="A661" s="545"/>
      <c r="B661" s="527"/>
      <c r="C661" s="527"/>
      <c r="D661" s="193" t="s">
        <v>9</v>
      </c>
      <c r="E661" s="196">
        <f>ART_5!M$30</f>
        <v>0</v>
      </c>
      <c r="F661" s="201"/>
    </row>
    <row r="662" spans="1:6" x14ac:dyDescent="0.2">
      <c r="A662" s="545"/>
      <c r="B662" s="496" t="s">
        <v>1940</v>
      </c>
      <c r="C662" s="496"/>
      <c r="D662" s="496"/>
      <c r="E662" s="196">
        <f>SUM(E622:E661)</f>
        <v>2</v>
      </c>
      <c r="F662" s="201"/>
    </row>
    <row r="663" spans="1:6" ht="31.5" x14ac:dyDescent="0.2">
      <c r="A663" s="510" t="s">
        <v>2333</v>
      </c>
      <c r="B663" s="539" t="s">
        <v>1812</v>
      </c>
      <c r="C663" s="540"/>
      <c r="D663" s="192" t="str">
        <f>ART_5!A34</f>
        <v>1.Tenofovir + Lamivudine + Efavirenz</v>
      </c>
      <c r="E663" s="196">
        <f>ART_5!J34</f>
        <v>0</v>
      </c>
      <c r="F663" s="201"/>
    </row>
    <row r="664" spans="1:6" ht="31.5" x14ac:dyDescent="0.2">
      <c r="A664" s="526"/>
      <c r="B664" s="541"/>
      <c r="C664" s="542"/>
      <c r="D664" s="192" t="str">
        <f>ART_5!A35</f>
        <v>2.Zidovudine + Lamivudine + Nevirapine</v>
      </c>
      <c r="E664" s="196">
        <f>ART_5!J35</f>
        <v>0</v>
      </c>
      <c r="F664" s="201"/>
    </row>
    <row r="665" spans="1:6" ht="31.5" x14ac:dyDescent="0.2">
      <c r="A665" s="526"/>
      <c r="B665" s="541"/>
      <c r="C665" s="542"/>
      <c r="D665" s="192" t="str">
        <f>ART_5!A36</f>
        <v>3.Tenofovir + Lamivudine + Dolutegravir</v>
      </c>
      <c r="E665" s="196">
        <f>ART_5!J36</f>
        <v>59610</v>
      </c>
      <c r="F665" s="201"/>
    </row>
    <row r="666" spans="1:6" ht="21" x14ac:dyDescent="0.2">
      <c r="A666" s="526"/>
      <c r="B666" s="541"/>
      <c r="C666" s="542"/>
      <c r="D666" s="192" t="str">
        <f>ART_5!A37</f>
        <v xml:space="preserve">4.Zidovudine + Lamivudine </v>
      </c>
      <c r="E666" s="196">
        <f>ART_5!J37</f>
        <v>960</v>
      </c>
      <c r="F666" s="201"/>
    </row>
    <row r="667" spans="1:6" ht="21" x14ac:dyDescent="0.2">
      <c r="A667" s="526"/>
      <c r="B667" s="541"/>
      <c r="C667" s="542"/>
      <c r="D667" s="192" t="str">
        <f>ART_5!A38</f>
        <v>5.Tenofovir + Lamivudine</v>
      </c>
      <c r="E667" s="196">
        <f>ART_5!J38</f>
        <v>60</v>
      </c>
      <c r="F667" s="201"/>
    </row>
    <row r="668" spans="1:6" ht="21" x14ac:dyDescent="0.2">
      <c r="A668" s="526"/>
      <c r="B668" s="541"/>
      <c r="C668" s="542"/>
      <c r="D668" s="192" t="str">
        <f>ART_5!A39</f>
        <v>6.Dolutegravir 50mg</v>
      </c>
      <c r="E668" s="196">
        <f>ART_5!J39</f>
        <v>3456</v>
      </c>
      <c r="F668" s="201"/>
    </row>
    <row r="669" spans="1:6" ht="21" x14ac:dyDescent="0.2">
      <c r="A669" s="526"/>
      <c r="B669" s="541"/>
      <c r="C669" s="542"/>
      <c r="D669" s="192" t="str">
        <f>ART_5!A40</f>
        <v>7.Efavirenz 600mg (tab)</v>
      </c>
      <c r="E669" s="196">
        <f>ART_5!J40</f>
        <v>0</v>
      </c>
      <c r="F669" s="201"/>
    </row>
    <row r="670" spans="1:6" ht="21" x14ac:dyDescent="0.2">
      <c r="A670" s="526"/>
      <c r="B670" s="541"/>
      <c r="C670" s="542"/>
      <c r="D670" s="192" t="str">
        <f>ART_5!A41</f>
        <v>8.Nevirapine 200mg</v>
      </c>
      <c r="E670" s="196">
        <f>ART_5!J41</f>
        <v>0</v>
      </c>
      <c r="F670" s="201"/>
    </row>
    <row r="671" spans="1:6" ht="31.5" x14ac:dyDescent="0.2">
      <c r="A671" s="526"/>
      <c r="B671" s="541"/>
      <c r="C671" s="542"/>
      <c r="D671" s="192" t="str">
        <f>ART_5!A42</f>
        <v>9.Atazanavir 300mg + Ritonavir 100mg</v>
      </c>
      <c r="E671" s="196">
        <f>ART_5!J42</f>
        <v>0</v>
      </c>
      <c r="F671" s="201"/>
    </row>
    <row r="672" spans="1:6" ht="21" x14ac:dyDescent="0.2">
      <c r="A672" s="526"/>
      <c r="B672" s="541"/>
      <c r="C672" s="542"/>
      <c r="D672" s="192" t="str">
        <f>ART_5!A43</f>
        <v>10.Lopinavir/Ritonavir (200/50)</v>
      </c>
      <c r="E672" s="196">
        <f>ART_5!J43</f>
        <v>240</v>
      </c>
      <c r="F672" s="201"/>
    </row>
    <row r="673" spans="1:6" ht="21" x14ac:dyDescent="0.2">
      <c r="A673" s="526"/>
      <c r="B673" s="541"/>
      <c r="C673" s="542"/>
      <c r="D673" s="192" t="str">
        <f>ART_5!A44</f>
        <v>11.ABC600mg + 3TC300mg</v>
      </c>
      <c r="E673" s="196">
        <f>ART_5!J44</f>
        <v>1170</v>
      </c>
      <c r="F673" s="201"/>
    </row>
    <row r="674" spans="1:6" s="19" customFormat="1" x14ac:dyDescent="0.2">
      <c r="A674" s="526"/>
      <c r="B674" s="541"/>
      <c r="C674" s="542"/>
      <c r="D674" s="192" t="str">
        <f>ART_5!A45</f>
        <v>12.Raltegravir</v>
      </c>
      <c r="E674" s="196">
        <f>ART_5!J45</f>
        <v>0</v>
      </c>
      <c r="F674" s="202"/>
    </row>
    <row r="675" spans="1:6" s="19" customFormat="1" x14ac:dyDescent="0.2">
      <c r="A675" s="526"/>
      <c r="B675" s="541"/>
      <c r="C675" s="542"/>
      <c r="D675" s="192" t="str">
        <f>ART_5!A46</f>
        <v>13.Ritonavir</v>
      </c>
      <c r="E675" s="196">
        <f>ART_5!J46</f>
        <v>0</v>
      </c>
      <c r="F675" s="202"/>
    </row>
    <row r="676" spans="1:6" s="19" customFormat="1" x14ac:dyDescent="0.2">
      <c r="A676" s="526"/>
      <c r="B676" s="541"/>
      <c r="C676" s="542"/>
      <c r="D676" s="192" t="str">
        <f>ART_5!A47</f>
        <v>14.Darunavir</v>
      </c>
      <c r="E676" s="196">
        <f>ART_5!J47</f>
        <v>0</v>
      </c>
      <c r="F676" s="202"/>
    </row>
    <row r="677" spans="1:6" ht="21" x14ac:dyDescent="0.2">
      <c r="A677" s="526"/>
      <c r="B677" s="543"/>
      <c r="C677" s="544"/>
      <c r="D677" s="192" t="str">
        <f>ART_5!A48</f>
        <v>15.Others (specify ...)</v>
      </c>
      <c r="E677" s="196">
        <f>ART_5!J48</f>
        <v>0</v>
      </c>
      <c r="F677" s="201"/>
    </row>
    <row r="678" spans="1:6" ht="42" x14ac:dyDescent="0.2">
      <c r="A678" s="526"/>
      <c r="B678" s="539" t="s">
        <v>1813</v>
      </c>
      <c r="C678" s="540"/>
      <c r="D678" s="192" t="str">
        <f>ART_5!A50</f>
        <v>16.Zidovudine + Lamivudine + Nevirapine (paed)</v>
      </c>
      <c r="E678" s="196">
        <f>ART_5!J50</f>
        <v>0</v>
      </c>
      <c r="F678" s="201"/>
    </row>
    <row r="679" spans="1:6" ht="31.5" x14ac:dyDescent="0.2">
      <c r="A679" s="526"/>
      <c r="B679" s="541"/>
      <c r="C679" s="542"/>
      <c r="D679" s="192" t="str">
        <f>ART_5!A51</f>
        <v>17.Zidovudine + Lamivudine (paed)</v>
      </c>
      <c r="E679" s="196">
        <f>ART_5!J51</f>
        <v>0</v>
      </c>
      <c r="F679" s="201"/>
    </row>
    <row r="680" spans="1:6" ht="31.5" x14ac:dyDescent="0.2">
      <c r="A680" s="526"/>
      <c r="B680" s="541"/>
      <c r="C680" s="542"/>
      <c r="D680" s="192" t="str">
        <f>ART_5!A52</f>
        <v>18.Abacavir + Lamivudine (paed)</v>
      </c>
      <c r="E680" s="196">
        <f>ART_5!J52</f>
        <v>900</v>
      </c>
      <c r="F680" s="201"/>
    </row>
    <row r="681" spans="1:6" ht="21" x14ac:dyDescent="0.2">
      <c r="A681" s="526"/>
      <c r="B681" s="541"/>
      <c r="C681" s="542"/>
      <c r="D681" s="192" t="str">
        <f>ART_5!A53</f>
        <v>19.Efavirenz 200 mg</v>
      </c>
      <c r="E681" s="196">
        <f>ART_5!J53</f>
        <v>0</v>
      </c>
      <c r="F681" s="201"/>
    </row>
    <row r="682" spans="1:6" ht="21" x14ac:dyDescent="0.2">
      <c r="A682" s="526"/>
      <c r="B682" s="541"/>
      <c r="C682" s="542"/>
      <c r="D682" s="192" t="str">
        <f>ART_5!A54</f>
        <v>20.Nevirapine 50 mg</v>
      </c>
      <c r="E682" s="196">
        <f>ART_5!J54</f>
        <v>0</v>
      </c>
      <c r="F682" s="201"/>
    </row>
    <row r="683" spans="1:6" ht="21" x14ac:dyDescent="0.2">
      <c r="A683" s="526"/>
      <c r="B683" s="541"/>
      <c r="C683" s="542"/>
      <c r="D683" s="192" t="str">
        <f>ART_5!A55</f>
        <v>21.Lopinavir/Ritonavir 125</v>
      </c>
      <c r="E683" s="196">
        <f>ART_5!J55</f>
        <v>0</v>
      </c>
      <c r="F683" s="201"/>
    </row>
    <row r="684" spans="1:6" ht="21" x14ac:dyDescent="0.2">
      <c r="A684" s="526"/>
      <c r="B684" s="541"/>
      <c r="C684" s="542"/>
      <c r="D684" s="192" t="str">
        <f>ART_5!A56</f>
        <v>22. Dolutegravir 10mg</v>
      </c>
      <c r="E684" s="196">
        <f>ART_5!J56</f>
        <v>0</v>
      </c>
      <c r="F684" s="201"/>
    </row>
    <row r="685" spans="1:6" ht="31.5" x14ac:dyDescent="0.2">
      <c r="A685" s="526"/>
      <c r="B685" s="541"/>
      <c r="C685" s="542"/>
      <c r="D685" s="192" t="str">
        <f>ART_5!A57</f>
        <v>23. Lopinavir/Ritonavir pellets</v>
      </c>
      <c r="E685" s="196">
        <f>ART_5!J57</f>
        <v>0</v>
      </c>
      <c r="F685" s="201"/>
    </row>
    <row r="686" spans="1:6" s="19" customFormat="1" ht="21" x14ac:dyDescent="0.2">
      <c r="A686" s="530"/>
      <c r="B686" s="543"/>
      <c r="C686" s="544"/>
      <c r="D686" s="192" t="str">
        <f>ART_5!A58</f>
        <v>24.Others (Specify ...)</v>
      </c>
      <c r="E686" s="196">
        <f>ART_5!J58</f>
        <v>0</v>
      </c>
      <c r="F686" s="202"/>
    </row>
    <row r="687" spans="1:6" ht="31.5" x14ac:dyDescent="0.2">
      <c r="A687" s="510" t="s">
        <v>2334</v>
      </c>
      <c r="B687" s="539" t="s">
        <v>1986</v>
      </c>
      <c r="C687" s="540"/>
      <c r="D687" s="192" t="str">
        <f>ART_5!A34</f>
        <v>1.Tenofovir + Lamivudine + Efavirenz</v>
      </c>
      <c r="E687" s="196">
        <f>ART_5!L34</f>
        <v>0</v>
      </c>
      <c r="F687" s="201"/>
    </row>
    <row r="688" spans="1:6" ht="31.5" x14ac:dyDescent="0.2">
      <c r="A688" s="526"/>
      <c r="B688" s="541"/>
      <c r="C688" s="542"/>
      <c r="D688" s="192" t="str">
        <f>ART_5!A35</f>
        <v>2.Zidovudine + Lamivudine + Nevirapine</v>
      </c>
      <c r="E688" s="196">
        <f>ART_5!L35</f>
        <v>0</v>
      </c>
      <c r="F688" s="201"/>
    </row>
    <row r="689" spans="1:6" ht="31.5" x14ac:dyDescent="0.2">
      <c r="A689" s="526"/>
      <c r="B689" s="541"/>
      <c r="C689" s="542"/>
      <c r="D689" s="192" t="str">
        <f>ART_5!A36</f>
        <v>3.Tenofovir + Lamivudine + Dolutegravir</v>
      </c>
      <c r="E689" s="196">
        <f>ART_5!L36</f>
        <v>63605</v>
      </c>
      <c r="F689" s="201"/>
    </row>
    <row r="690" spans="1:6" ht="21" x14ac:dyDescent="0.2">
      <c r="A690" s="526"/>
      <c r="B690" s="541"/>
      <c r="C690" s="542"/>
      <c r="D690" s="192" t="str">
        <f>ART_5!A37</f>
        <v xml:space="preserve">4.Zidovudine + Lamivudine </v>
      </c>
      <c r="E690" s="196">
        <f>ART_5!L37</f>
        <v>1000</v>
      </c>
      <c r="F690" s="201"/>
    </row>
    <row r="691" spans="1:6" ht="21" x14ac:dyDescent="0.2">
      <c r="A691" s="526"/>
      <c r="B691" s="541"/>
      <c r="C691" s="542"/>
      <c r="D691" s="192" t="str">
        <f>ART_5!A38</f>
        <v>5.Tenofovir + Lamivudine</v>
      </c>
      <c r="E691" s="196">
        <f>ART_5!L38</f>
        <v>150</v>
      </c>
      <c r="F691" s="201"/>
    </row>
    <row r="692" spans="1:6" ht="21" x14ac:dyDescent="0.2">
      <c r="A692" s="526"/>
      <c r="B692" s="541"/>
      <c r="C692" s="542"/>
      <c r="D692" s="192" t="str">
        <f>ART_5!A39</f>
        <v>6.Dolutegravir 50mg</v>
      </c>
      <c r="E692" s="196">
        <f>ART_5!L39</f>
        <v>10759</v>
      </c>
      <c r="F692" s="201"/>
    </row>
    <row r="693" spans="1:6" ht="21" x14ac:dyDescent="0.2">
      <c r="A693" s="526"/>
      <c r="B693" s="541"/>
      <c r="C693" s="542"/>
      <c r="D693" s="192" t="str">
        <f>ART_5!A40</f>
        <v>7.Efavirenz 600mg (tab)</v>
      </c>
      <c r="E693" s="196">
        <f>ART_5!L40</f>
        <v>0</v>
      </c>
      <c r="F693" s="201"/>
    </row>
    <row r="694" spans="1:6" ht="21" x14ac:dyDescent="0.2">
      <c r="A694" s="526"/>
      <c r="B694" s="541"/>
      <c r="C694" s="542"/>
      <c r="D694" s="192" t="str">
        <f>ART_5!A41</f>
        <v>8.Nevirapine 200mg</v>
      </c>
      <c r="E694" s="196">
        <f>ART_5!L41</f>
        <v>0</v>
      </c>
      <c r="F694" s="201"/>
    </row>
    <row r="695" spans="1:6" ht="31.5" x14ac:dyDescent="0.2">
      <c r="A695" s="526"/>
      <c r="B695" s="541"/>
      <c r="C695" s="542"/>
      <c r="D695" s="192" t="str">
        <f>ART_5!A42</f>
        <v>9.Atazanavir 300mg + Ritonavir 100mg</v>
      </c>
      <c r="E695" s="196">
        <f>ART_5!L42</f>
        <v>0</v>
      </c>
      <c r="F695" s="201"/>
    </row>
    <row r="696" spans="1:6" ht="21" x14ac:dyDescent="0.2">
      <c r="A696" s="526"/>
      <c r="B696" s="541"/>
      <c r="C696" s="542"/>
      <c r="D696" s="192" t="str">
        <f>ART_5!A43</f>
        <v>10.Lopinavir/Ritonavir (200/50)</v>
      </c>
      <c r="E696" s="196">
        <f>ART_5!L43</f>
        <v>2526</v>
      </c>
      <c r="F696" s="201"/>
    </row>
    <row r="697" spans="1:6" ht="21" x14ac:dyDescent="0.2">
      <c r="A697" s="526"/>
      <c r="B697" s="541"/>
      <c r="C697" s="542"/>
      <c r="D697" s="192" t="str">
        <f>ART_5!A44</f>
        <v>11.ABC600mg + 3TC300mg</v>
      </c>
      <c r="E697" s="196">
        <f>ART_5!L44</f>
        <v>12743</v>
      </c>
      <c r="F697" s="201"/>
    </row>
    <row r="698" spans="1:6" s="19" customFormat="1" x14ac:dyDescent="0.2">
      <c r="A698" s="526"/>
      <c r="B698" s="541"/>
      <c r="C698" s="542"/>
      <c r="D698" s="192" t="str">
        <f>ART_5!A45</f>
        <v>12.Raltegravir</v>
      </c>
      <c r="E698" s="196">
        <f>ART_5!L45</f>
        <v>0</v>
      </c>
      <c r="F698" s="202"/>
    </row>
    <row r="699" spans="1:6" s="19" customFormat="1" x14ac:dyDescent="0.2">
      <c r="A699" s="526"/>
      <c r="B699" s="541"/>
      <c r="C699" s="542"/>
      <c r="D699" s="192" t="str">
        <f>ART_5!A46</f>
        <v>13.Ritonavir</v>
      </c>
      <c r="E699" s="196">
        <f>ART_5!L46</f>
        <v>0</v>
      </c>
      <c r="F699" s="202"/>
    </row>
    <row r="700" spans="1:6" s="19" customFormat="1" x14ac:dyDescent="0.2">
      <c r="A700" s="526"/>
      <c r="B700" s="541"/>
      <c r="C700" s="542"/>
      <c r="D700" s="192" t="str">
        <f>ART_5!A47</f>
        <v>14.Darunavir</v>
      </c>
      <c r="E700" s="196">
        <f>ART_5!L47</f>
        <v>0</v>
      </c>
      <c r="F700" s="202"/>
    </row>
    <row r="701" spans="1:6" ht="21" x14ac:dyDescent="0.2">
      <c r="A701" s="526"/>
      <c r="B701" s="543"/>
      <c r="C701" s="544"/>
      <c r="D701" s="192" t="str">
        <f>ART_5!A48</f>
        <v>15.Others (specify ...)</v>
      </c>
      <c r="E701" s="196">
        <f>ART_5!L48</f>
        <v>0</v>
      </c>
      <c r="F701" s="201"/>
    </row>
    <row r="702" spans="1:6" ht="42" x14ac:dyDescent="0.2">
      <c r="A702" s="526"/>
      <c r="B702" s="539" t="s">
        <v>1987</v>
      </c>
      <c r="C702" s="540"/>
      <c r="D702" s="192" t="str">
        <f>ART_5!A50</f>
        <v>16.Zidovudine + Lamivudine + Nevirapine (paed)</v>
      </c>
      <c r="E702" s="196">
        <f>ART_5!L50</f>
        <v>0</v>
      </c>
      <c r="F702" s="201"/>
    </row>
    <row r="703" spans="1:6" ht="31.5" x14ac:dyDescent="0.2">
      <c r="A703" s="526"/>
      <c r="B703" s="541"/>
      <c r="C703" s="542"/>
      <c r="D703" s="192" t="str">
        <f>ART_5!A51</f>
        <v>17.Zidovudine + Lamivudine (paed)</v>
      </c>
      <c r="E703" s="196">
        <f>ART_5!L51</f>
        <v>0</v>
      </c>
      <c r="F703" s="201"/>
    </row>
    <row r="704" spans="1:6" ht="31.5" x14ac:dyDescent="0.2">
      <c r="A704" s="526"/>
      <c r="B704" s="541"/>
      <c r="C704" s="542"/>
      <c r="D704" s="192" t="str">
        <f>ART_5!A52</f>
        <v>18.Abacavir + Lamivudine (paed)</v>
      </c>
      <c r="E704" s="196">
        <f>ART_5!L52</f>
        <v>1620</v>
      </c>
      <c r="F704" s="201"/>
    </row>
    <row r="705" spans="1:6" ht="21" x14ac:dyDescent="0.2">
      <c r="A705" s="526"/>
      <c r="B705" s="541"/>
      <c r="C705" s="542"/>
      <c r="D705" s="192" t="str">
        <f>ART_5!A53</f>
        <v>19.Efavirenz 200 mg</v>
      </c>
      <c r="E705" s="196">
        <f>ART_5!L53</f>
        <v>0</v>
      </c>
      <c r="F705" s="201"/>
    </row>
    <row r="706" spans="1:6" ht="21" x14ac:dyDescent="0.2">
      <c r="A706" s="526"/>
      <c r="B706" s="541"/>
      <c r="C706" s="542"/>
      <c r="D706" s="192" t="str">
        <f>ART_5!A54</f>
        <v>20.Nevirapine 50 mg</v>
      </c>
      <c r="E706" s="196">
        <f>ART_5!L54</f>
        <v>0</v>
      </c>
      <c r="F706" s="201"/>
    </row>
    <row r="707" spans="1:6" ht="21" x14ac:dyDescent="0.2">
      <c r="A707" s="526"/>
      <c r="B707" s="541"/>
      <c r="C707" s="542"/>
      <c r="D707" s="192" t="str">
        <f>ART_5!A55</f>
        <v>21.Lopinavir/Ritonavir 125</v>
      </c>
      <c r="E707" s="196">
        <f>ART_5!L55</f>
        <v>0</v>
      </c>
      <c r="F707" s="201"/>
    </row>
    <row r="708" spans="1:6" s="19" customFormat="1" ht="21" x14ac:dyDescent="0.2">
      <c r="A708" s="526"/>
      <c r="B708" s="541"/>
      <c r="C708" s="542"/>
      <c r="D708" s="192" t="str">
        <f>ART_5!A56</f>
        <v>22. Dolutegravir 10mg</v>
      </c>
      <c r="E708" s="196">
        <f>ART_5!L56</f>
        <v>0</v>
      </c>
      <c r="F708" s="202"/>
    </row>
    <row r="709" spans="1:6" s="19" customFormat="1" ht="31.5" x14ac:dyDescent="0.2">
      <c r="A709" s="526"/>
      <c r="B709" s="541"/>
      <c r="C709" s="542"/>
      <c r="D709" s="192" t="str">
        <f>ART_5!A57</f>
        <v>23. Lopinavir/Ritonavir pellets</v>
      </c>
      <c r="E709" s="196">
        <f>ART_5!L57</f>
        <v>0</v>
      </c>
      <c r="F709" s="202"/>
    </row>
    <row r="710" spans="1:6" s="19" customFormat="1" ht="21" x14ac:dyDescent="0.2">
      <c r="A710" s="526"/>
      <c r="B710" s="543"/>
      <c r="C710" s="544"/>
      <c r="D710" s="192" t="str">
        <f>ART_5!A58</f>
        <v>24.Others (Specify ...)</v>
      </c>
      <c r="E710" s="196">
        <f>ART_5!L58</f>
        <v>0</v>
      </c>
      <c r="F710" s="202"/>
    </row>
    <row r="711" spans="1:6" ht="24.95" customHeight="1" x14ac:dyDescent="0.2">
      <c r="A711" s="180" t="s">
        <v>2335</v>
      </c>
      <c r="B711" s="508" t="str">
        <f>ART_5!A60</f>
        <v>9.1 (a) Number of CD4 tests conducted during the reporting month of Pre-ART PLHIV</v>
      </c>
      <c r="C711" s="508"/>
      <c r="D711" s="508"/>
      <c r="E711" s="181">
        <f>ART_5!I60</f>
        <v>15</v>
      </c>
      <c r="F711" s="201"/>
    </row>
    <row r="712" spans="1:6" ht="24.95" customHeight="1" x14ac:dyDescent="0.2">
      <c r="A712" s="197" t="s">
        <v>2336</v>
      </c>
      <c r="B712" s="509" t="str">
        <f>ART_5!A61</f>
        <v>9.1 (b) Number of CD4 tests conducted during the reporting month of On-ART PLHIV</v>
      </c>
      <c r="C712" s="509"/>
      <c r="D712" s="509"/>
      <c r="E712" s="182">
        <f>ART_5!I61</f>
        <v>78</v>
      </c>
      <c r="F712" s="201"/>
    </row>
    <row r="713" spans="1:6" x14ac:dyDescent="0.2">
      <c r="A713" s="197">
        <v>9.1999999999999993</v>
      </c>
      <c r="B713" s="493" t="str">
        <f>ART_5!A62</f>
        <v>9.2 Number of viral load tests conducted during the reporting month</v>
      </c>
      <c r="C713" s="493"/>
      <c r="D713" s="493"/>
      <c r="E713" s="182">
        <f>ART_5!I62</f>
        <v>232</v>
      </c>
      <c r="F713" s="201"/>
    </row>
    <row r="714" spans="1:6" x14ac:dyDescent="0.2">
      <c r="A714" s="197">
        <v>9.3000000000000007</v>
      </c>
      <c r="B714" s="493" t="str">
        <f>ART_5!A63</f>
        <v>9.3 Number of viral load tests result received during the reporting month</v>
      </c>
      <c r="C714" s="493"/>
      <c r="D714" s="493"/>
      <c r="E714" s="182">
        <f>ART_5!I63</f>
        <v>176</v>
      </c>
      <c r="F714" s="201"/>
    </row>
    <row r="715" spans="1:6" x14ac:dyDescent="0.2">
      <c r="A715" s="197">
        <v>9.4</v>
      </c>
      <c r="B715" s="493" t="str">
        <f>ART_5!A64</f>
        <v>9.4 Out of 9.3 Number of viral load tests result received during the reporting month is virally suppressed.</v>
      </c>
      <c r="C715" s="493"/>
      <c r="D715" s="493"/>
      <c r="E715" s="182">
        <f>ART_5!I64</f>
        <v>164</v>
      </c>
      <c r="F715" s="201"/>
    </row>
    <row r="716" spans="1:6" x14ac:dyDescent="0.2">
      <c r="A716" s="530">
        <v>10.1</v>
      </c>
      <c r="B716" s="495" t="str">
        <f>'Second Line'!A7</f>
        <v xml:space="preserve">10.1 Cumulative number of patients ever started on second line ART (Number at the beginning of this month)  </v>
      </c>
      <c r="C716" s="494" t="s">
        <v>7</v>
      </c>
      <c r="D716" s="193" t="s">
        <v>1</v>
      </c>
      <c r="E716" s="196">
        <f>'Second Line'!F$7</f>
        <v>35</v>
      </c>
      <c r="F716" s="201"/>
    </row>
    <row r="717" spans="1:6" x14ac:dyDescent="0.2">
      <c r="A717" s="494"/>
      <c r="B717" s="495"/>
      <c r="C717" s="498"/>
      <c r="D717" s="193" t="s">
        <v>2</v>
      </c>
      <c r="E717" s="196">
        <f>'Second Line'!G$7</f>
        <v>18</v>
      </c>
      <c r="F717" s="201"/>
    </row>
    <row r="718" spans="1:6" x14ac:dyDescent="0.2">
      <c r="A718" s="494"/>
      <c r="B718" s="495"/>
      <c r="C718" s="498"/>
      <c r="D718" s="193" t="s">
        <v>3</v>
      </c>
      <c r="E718" s="196">
        <f>'Second Line'!H$7</f>
        <v>0</v>
      </c>
      <c r="F718" s="201"/>
    </row>
    <row r="719" spans="1:6" x14ac:dyDescent="0.2">
      <c r="A719" s="494"/>
      <c r="B719" s="495"/>
      <c r="C719" s="494" t="s">
        <v>16</v>
      </c>
      <c r="D719" s="193" t="s">
        <v>17</v>
      </c>
      <c r="E719" s="196">
        <f>'Second Line'!I$7</f>
        <v>2</v>
      </c>
      <c r="F719" s="201"/>
    </row>
    <row r="720" spans="1:6" x14ac:dyDescent="0.2">
      <c r="A720" s="494"/>
      <c r="B720" s="495"/>
      <c r="C720" s="494"/>
      <c r="D720" s="193" t="s">
        <v>2</v>
      </c>
      <c r="E720" s="196">
        <f>'Second Line'!J$7</f>
        <v>2</v>
      </c>
      <c r="F720" s="201"/>
    </row>
    <row r="721" spans="1:6" x14ac:dyDescent="0.2">
      <c r="A721" s="494"/>
      <c r="B721" s="495"/>
      <c r="C721" s="496" t="s">
        <v>5</v>
      </c>
      <c r="D721" s="496"/>
      <c r="E721" s="196">
        <f>SUM(E716:E720)</f>
        <v>57</v>
      </c>
      <c r="F721" s="201"/>
    </row>
    <row r="722" spans="1:6" x14ac:dyDescent="0.2">
      <c r="A722" s="530">
        <v>10.199999999999999</v>
      </c>
      <c r="B722" s="495" t="str">
        <f>'Second Line'!A8</f>
        <v>10.2 Number of patients started on second line during this month</v>
      </c>
      <c r="C722" s="494" t="s">
        <v>7</v>
      </c>
      <c r="D722" s="193" t="s">
        <v>1</v>
      </c>
      <c r="E722" s="196">
        <f>'Second Line'!F$8</f>
        <v>0</v>
      </c>
      <c r="F722" s="201"/>
    </row>
    <row r="723" spans="1:6" x14ac:dyDescent="0.2">
      <c r="A723" s="494"/>
      <c r="B723" s="495"/>
      <c r="C723" s="498"/>
      <c r="D723" s="193" t="s">
        <v>2</v>
      </c>
      <c r="E723" s="196">
        <f>'Second Line'!G$8</f>
        <v>0</v>
      </c>
      <c r="F723" s="201"/>
    </row>
    <row r="724" spans="1:6" x14ac:dyDescent="0.2">
      <c r="A724" s="494"/>
      <c r="B724" s="495"/>
      <c r="C724" s="498"/>
      <c r="D724" s="193" t="s">
        <v>3</v>
      </c>
      <c r="E724" s="196">
        <f>'Second Line'!H$8</f>
        <v>0</v>
      </c>
      <c r="F724" s="201"/>
    </row>
    <row r="725" spans="1:6" x14ac:dyDescent="0.2">
      <c r="A725" s="494"/>
      <c r="B725" s="495"/>
      <c r="C725" s="494" t="s">
        <v>16</v>
      </c>
      <c r="D725" s="193" t="s">
        <v>17</v>
      </c>
      <c r="E725" s="196">
        <f>'Second Line'!I$8</f>
        <v>0</v>
      </c>
      <c r="F725" s="201"/>
    </row>
    <row r="726" spans="1:6" x14ac:dyDescent="0.2">
      <c r="A726" s="494"/>
      <c r="B726" s="495"/>
      <c r="C726" s="494"/>
      <c r="D726" s="193" t="s">
        <v>2</v>
      </c>
      <c r="E726" s="196">
        <f>'Second Line'!J$8</f>
        <v>0</v>
      </c>
      <c r="F726" s="201"/>
    </row>
    <row r="727" spans="1:6" x14ac:dyDescent="0.2">
      <c r="A727" s="494"/>
      <c r="B727" s="495"/>
      <c r="C727" s="496" t="s">
        <v>5</v>
      </c>
      <c r="D727" s="496"/>
      <c r="E727" s="196">
        <f>SUM(E722:E726)</f>
        <v>0</v>
      </c>
      <c r="F727" s="201"/>
    </row>
    <row r="728" spans="1:6" x14ac:dyDescent="0.2">
      <c r="A728" s="530">
        <v>10.3</v>
      </c>
      <c r="B728" s="495" t="str">
        <f>'Second Line'!A9</f>
        <v>10.3 Cumulative number of patients on second line who are "transferred in" during the reporting month</v>
      </c>
      <c r="C728" s="494" t="s">
        <v>7</v>
      </c>
      <c r="D728" s="193" t="s">
        <v>1</v>
      </c>
      <c r="E728" s="196">
        <f>'Second Line'!F$9</f>
        <v>0</v>
      </c>
      <c r="F728" s="201"/>
    </row>
    <row r="729" spans="1:6" x14ac:dyDescent="0.2">
      <c r="A729" s="494"/>
      <c r="B729" s="495"/>
      <c r="C729" s="498"/>
      <c r="D729" s="193" t="s">
        <v>2</v>
      </c>
      <c r="E729" s="196">
        <f>'Second Line'!G$9</f>
        <v>0</v>
      </c>
      <c r="F729" s="201"/>
    </row>
    <row r="730" spans="1:6" x14ac:dyDescent="0.2">
      <c r="A730" s="494"/>
      <c r="B730" s="495"/>
      <c r="C730" s="498"/>
      <c r="D730" s="193" t="s">
        <v>3</v>
      </c>
      <c r="E730" s="196">
        <f>'Second Line'!H$9</f>
        <v>0</v>
      </c>
      <c r="F730" s="201"/>
    </row>
    <row r="731" spans="1:6" x14ac:dyDescent="0.2">
      <c r="A731" s="494"/>
      <c r="B731" s="495"/>
      <c r="C731" s="494" t="s">
        <v>16</v>
      </c>
      <c r="D731" s="193" t="s">
        <v>17</v>
      </c>
      <c r="E731" s="196">
        <f>'Second Line'!I$9</f>
        <v>0</v>
      </c>
      <c r="F731" s="201"/>
    </row>
    <row r="732" spans="1:6" x14ac:dyDescent="0.2">
      <c r="A732" s="494"/>
      <c r="B732" s="495"/>
      <c r="C732" s="494"/>
      <c r="D732" s="193" t="s">
        <v>2</v>
      </c>
      <c r="E732" s="196">
        <f>'Second Line'!J$9</f>
        <v>0</v>
      </c>
      <c r="F732" s="201"/>
    </row>
    <row r="733" spans="1:6" x14ac:dyDescent="0.2">
      <c r="A733" s="494"/>
      <c r="B733" s="495"/>
      <c r="C733" s="496" t="s">
        <v>5</v>
      </c>
      <c r="D733" s="496"/>
      <c r="E733" s="196">
        <f>SUM(E728:E732)</f>
        <v>0</v>
      </c>
      <c r="F733" s="201"/>
    </row>
    <row r="734" spans="1:6" x14ac:dyDescent="0.2">
      <c r="A734" s="530">
        <v>10.4</v>
      </c>
      <c r="B734" s="495" t="str">
        <f>'Second Line'!A10</f>
        <v xml:space="preserve">10.4 Cumulative number of patients on second line who are "transferred out" during the reporting month </v>
      </c>
      <c r="C734" s="494" t="s">
        <v>7</v>
      </c>
      <c r="D734" s="193" t="s">
        <v>1</v>
      </c>
      <c r="E734" s="196">
        <f>'Second Line'!F$10</f>
        <v>0</v>
      </c>
      <c r="F734" s="201"/>
    </row>
    <row r="735" spans="1:6" x14ac:dyDescent="0.2">
      <c r="A735" s="494"/>
      <c r="B735" s="495"/>
      <c r="C735" s="498"/>
      <c r="D735" s="193" t="s">
        <v>2</v>
      </c>
      <c r="E735" s="196">
        <f>'Second Line'!G$10</f>
        <v>0</v>
      </c>
      <c r="F735" s="201"/>
    </row>
    <row r="736" spans="1:6" x14ac:dyDescent="0.2">
      <c r="A736" s="494"/>
      <c r="B736" s="495"/>
      <c r="C736" s="498"/>
      <c r="D736" s="193" t="s">
        <v>3</v>
      </c>
      <c r="E736" s="196">
        <f>'Second Line'!H$10</f>
        <v>0</v>
      </c>
      <c r="F736" s="201"/>
    </row>
    <row r="737" spans="1:6" x14ac:dyDescent="0.2">
      <c r="A737" s="494"/>
      <c r="B737" s="495"/>
      <c r="C737" s="494" t="s">
        <v>16</v>
      </c>
      <c r="D737" s="193" t="s">
        <v>17</v>
      </c>
      <c r="E737" s="196">
        <f>'Second Line'!I$10</f>
        <v>0</v>
      </c>
      <c r="F737" s="201"/>
    </row>
    <row r="738" spans="1:6" x14ac:dyDescent="0.2">
      <c r="A738" s="494"/>
      <c r="B738" s="495"/>
      <c r="C738" s="494"/>
      <c r="D738" s="193" t="s">
        <v>2</v>
      </c>
      <c r="E738" s="196">
        <f>'Second Line'!J$10</f>
        <v>0</v>
      </c>
      <c r="F738" s="201"/>
    </row>
    <row r="739" spans="1:6" x14ac:dyDescent="0.2">
      <c r="A739" s="494"/>
      <c r="B739" s="495"/>
      <c r="C739" s="496" t="s">
        <v>5</v>
      </c>
      <c r="D739" s="496"/>
      <c r="E739" s="196">
        <f>SUM(E734:E738)</f>
        <v>0</v>
      </c>
      <c r="F739" s="201"/>
    </row>
    <row r="740" spans="1:6" x14ac:dyDescent="0.2">
      <c r="A740" s="530">
        <v>10.5</v>
      </c>
      <c r="B740" s="495" t="str">
        <f>'Second Line'!A11</f>
        <v>10.5 Cumulative number of patients ever started on second line ART (Number at the end of this month) = 10.1 + 10.2 + 10.3 - 10.4</v>
      </c>
      <c r="C740" s="494" t="s">
        <v>7</v>
      </c>
      <c r="D740" s="193" t="s">
        <v>1</v>
      </c>
      <c r="E740" s="183">
        <f>'Second Line'!F$11</f>
        <v>35</v>
      </c>
      <c r="F740" s="201"/>
    </row>
    <row r="741" spans="1:6" x14ac:dyDescent="0.2">
      <c r="A741" s="494"/>
      <c r="B741" s="495"/>
      <c r="C741" s="498"/>
      <c r="D741" s="193" t="s">
        <v>2</v>
      </c>
      <c r="E741" s="183">
        <f>'Second Line'!G$11</f>
        <v>18</v>
      </c>
      <c r="F741" s="201"/>
    </row>
    <row r="742" spans="1:6" x14ac:dyDescent="0.2">
      <c r="A742" s="494"/>
      <c r="B742" s="495"/>
      <c r="C742" s="498"/>
      <c r="D742" s="193" t="s">
        <v>3</v>
      </c>
      <c r="E742" s="183">
        <f>'Second Line'!H$11</f>
        <v>0</v>
      </c>
      <c r="F742" s="201"/>
    </row>
    <row r="743" spans="1:6" x14ac:dyDescent="0.2">
      <c r="A743" s="494"/>
      <c r="B743" s="495"/>
      <c r="C743" s="494" t="s">
        <v>16</v>
      </c>
      <c r="D743" s="193" t="s">
        <v>17</v>
      </c>
      <c r="E743" s="183">
        <f>'Second Line'!I$11</f>
        <v>2</v>
      </c>
      <c r="F743" s="201"/>
    </row>
    <row r="744" spans="1:6" x14ac:dyDescent="0.2">
      <c r="A744" s="494"/>
      <c r="B744" s="495"/>
      <c r="C744" s="494"/>
      <c r="D744" s="193" t="s">
        <v>2</v>
      </c>
      <c r="E744" s="183">
        <f>'Second Line'!J$11</f>
        <v>2</v>
      </c>
      <c r="F744" s="201"/>
    </row>
    <row r="745" spans="1:6" x14ac:dyDescent="0.2">
      <c r="A745" s="494"/>
      <c r="B745" s="495"/>
      <c r="C745" s="496" t="s">
        <v>5</v>
      </c>
      <c r="D745" s="496"/>
      <c r="E745" s="196">
        <f>SUM(E740:E744)</f>
        <v>57</v>
      </c>
      <c r="F745" s="201"/>
    </row>
    <row r="746" spans="1:6" x14ac:dyDescent="0.2">
      <c r="A746" s="530">
        <v>10.6</v>
      </c>
      <c r="B746" s="495" t="str">
        <f>'Second Line'!A12</f>
        <v>10.6 Cumulative number of patients on second line who died since the beginning of the programme</v>
      </c>
      <c r="C746" s="494" t="s">
        <v>7</v>
      </c>
      <c r="D746" s="193" t="s">
        <v>1</v>
      </c>
      <c r="E746" s="196">
        <f>'Second Line'!F$12</f>
        <v>6</v>
      </c>
      <c r="F746" s="201"/>
    </row>
    <row r="747" spans="1:6" x14ac:dyDescent="0.2">
      <c r="A747" s="494"/>
      <c r="B747" s="495"/>
      <c r="C747" s="498"/>
      <c r="D747" s="193" t="s">
        <v>2</v>
      </c>
      <c r="E747" s="196">
        <f>'Second Line'!G$12</f>
        <v>7</v>
      </c>
      <c r="F747" s="201"/>
    </row>
    <row r="748" spans="1:6" x14ac:dyDescent="0.2">
      <c r="A748" s="494"/>
      <c r="B748" s="495"/>
      <c r="C748" s="498"/>
      <c r="D748" s="193" t="s">
        <v>3</v>
      </c>
      <c r="E748" s="196">
        <f>'Second Line'!H$12</f>
        <v>0</v>
      </c>
      <c r="F748" s="201"/>
    </row>
    <row r="749" spans="1:6" x14ac:dyDescent="0.2">
      <c r="A749" s="494"/>
      <c r="B749" s="495"/>
      <c r="C749" s="494" t="s">
        <v>16</v>
      </c>
      <c r="D749" s="193" t="s">
        <v>17</v>
      </c>
      <c r="E749" s="196">
        <f>'Second Line'!I$12</f>
        <v>1</v>
      </c>
      <c r="F749" s="201"/>
    </row>
    <row r="750" spans="1:6" x14ac:dyDescent="0.2">
      <c r="A750" s="494"/>
      <c r="B750" s="495"/>
      <c r="C750" s="494"/>
      <c r="D750" s="193" t="s">
        <v>2</v>
      </c>
      <c r="E750" s="196">
        <f>'Second Line'!J$12</f>
        <v>0</v>
      </c>
      <c r="F750" s="201"/>
    </row>
    <row r="751" spans="1:6" x14ac:dyDescent="0.2">
      <c r="A751" s="494"/>
      <c r="B751" s="495"/>
      <c r="C751" s="496" t="s">
        <v>5</v>
      </c>
      <c r="D751" s="496"/>
      <c r="E751" s="196">
        <f>SUM(E746:E750)</f>
        <v>14</v>
      </c>
      <c r="F751" s="201"/>
    </row>
    <row r="752" spans="1:6" x14ac:dyDescent="0.2">
      <c r="A752" s="530">
        <v>10.7</v>
      </c>
      <c r="B752" s="495" t="str">
        <f>'Second Line'!A13</f>
        <v xml:space="preserve">10.7 Number of all patients on second line treatment whose treatment status in this month is “stopped treatment” </v>
      </c>
      <c r="C752" s="494" t="s">
        <v>7</v>
      </c>
      <c r="D752" s="193" t="s">
        <v>1</v>
      </c>
      <c r="E752" s="196">
        <f>'Second Line'!F$13</f>
        <v>1</v>
      </c>
      <c r="F752" s="201"/>
    </row>
    <row r="753" spans="1:6" x14ac:dyDescent="0.2">
      <c r="A753" s="494"/>
      <c r="B753" s="495"/>
      <c r="C753" s="498"/>
      <c r="D753" s="193" t="s">
        <v>2</v>
      </c>
      <c r="E753" s="196">
        <f>'Second Line'!G$13</f>
        <v>0</v>
      </c>
      <c r="F753" s="201"/>
    </row>
    <row r="754" spans="1:6" x14ac:dyDescent="0.2">
      <c r="A754" s="494"/>
      <c r="B754" s="495"/>
      <c r="C754" s="498"/>
      <c r="D754" s="193" t="s">
        <v>3</v>
      </c>
      <c r="E754" s="196">
        <f>'Second Line'!H$13</f>
        <v>0</v>
      </c>
      <c r="F754" s="201"/>
    </row>
    <row r="755" spans="1:6" x14ac:dyDescent="0.2">
      <c r="A755" s="494"/>
      <c r="B755" s="495"/>
      <c r="C755" s="494" t="s">
        <v>16</v>
      </c>
      <c r="D755" s="193" t="s">
        <v>17</v>
      </c>
      <c r="E755" s="196">
        <f>'Second Line'!I$13</f>
        <v>0</v>
      </c>
      <c r="F755" s="201"/>
    </row>
    <row r="756" spans="1:6" x14ac:dyDescent="0.2">
      <c r="A756" s="494"/>
      <c r="B756" s="495"/>
      <c r="C756" s="494"/>
      <c r="D756" s="193" t="s">
        <v>2</v>
      </c>
      <c r="E756" s="196">
        <f>'Second Line'!J$13</f>
        <v>0</v>
      </c>
      <c r="F756" s="201"/>
    </row>
    <row r="757" spans="1:6" x14ac:dyDescent="0.2">
      <c r="A757" s="494"/>
      <c r="B757" s="495"/>
      <c r="C757" s="496" t="s">
        <v>5</v>
      </c>
      <c r="D757" s="496"/>
      <c r="E757" s="196">
        <f>SUM(E752:E756)</f>
        <v>1</v>
      </c>
      <c r="F757" s="201"/>
    </row>
    <row r="758" spans="1:6" x14ac:dyDescent="0.2">
      <c r="A758" s="530">
        <v>10.8</v>
      </c>
      <c r="B758" s="495" t="str">
        <f>'Second Line'!A14</f>
        <v>10.8 Cumulative Number of patients on second line who are lost to follow-up (LFU)</v>
      </c>
      <c r="C758" s="494" t="s">
        <v>7</v>
      </c>
      <c r="D758" s="193" t="s">
        <v>1</v>
      </c>
      <c r="E758" s="196">
        <f>'Second Line'!F$14</f>
        <v>2</v>
      </c>
      <c r="F758" s="201"/>
    </row>
    <row r="759" spans="1:6" x14ac:dyDescent="0.2">
      <c r="A759" s="494"/>
      <c r="B759" s="495"/>
      <c r="C759" s="498"/>
      <c r="D759" s="193" t="s">
        <v>2</v>
      </c>
      <c r="E759" s="196">
        <f>'Second Line'!G$14</f>
        <v>1</v>
      </c>
      <c r="F759" s="201"/>
    </row>
    <row r="760" spans="1:6" x14ac:dyDescent="0.2">
      <c r="A760" s="494"/>
      <c r="B760" s="495"/>
      <c r="C760" s="498"/>
      <c r="D760" s="193" t="s">
        <v>3</v>
      </c>
      <c r="E760" s="196">
        <f>'Second Line'!H$14</f>
        <v>0</v>
      </c>
      <c r="F760" s="201"/>
    </row>
    <row r="761" spans="1:6" x14ac:dyDescent="0.2">
      <c r="A761" s="494"/>
      <c r="B761" s="495"/>
      <c r="C761" s="494" t="s">
        <v>16</v>
      </c>
      <c r="D761" s="193" t="s">
        <v>17</v>
      </c>
      <c r="E761" s="196">
        <f>'Second Line'!I$14</f>
        <v>0</v>
      </c>
      <c r="F761" s="201"/>
    </row>
    <row r="762" spans="1:6" x14ac:dyDescent="0.2">
      <c r="A762" s="494"/>
      <c r="B762" s="495"/>
      <c r="C762" s="494"/>
      <c r="D762" s="193" t="s">
        <v>2</v>
      </c>
      <c r="E762" s="196">
        <f>'Second Line'!J$14</f>
        <v>2</v>
      </c>
      <c r="F762" s="201"/>
    </row>
    <row r="763" spans="1:6" x14ac:dyDescent="0.2">
      <c r="A763" s="494"/>
      <c r="B763" s="495"/>
      <c r="C763" s="496" t="s">
        <v>5</v>
      </c>
      <c r="D763" s="496"/>
      <c r="E763" s="196">
        <f>SUM(E758:E762)</f>
        <v>5</v>
      </c>
      <c r="F763" s="201"/>
    </row>
    <row r="764" spans="1:6" x14ac:dyDescent="0.2">
      <c r="A764" s="530">
        <v>10.9</v>
      </c>
      <c r="B764" s="495" t="str">
        <f>'Second Line'!A15</f>
        <v>10.9 Cumulative Number of patients on second line treatment who did not return to the ART centre (Defaulter) / whose treatment status is “MIS” in this month</v>
      </c>
      <c r="C764" s="494" t="s">
        <v>7</v>
      </c>
      <c r="D764" s="193" t="s">
        <v>1</v>
      </c>
      <c r="E764" s="196">
        <f>'Second Line'!F$15</f>
        <v>0</v>
      </c>
      <c r="F764" s="201"/>
    </row>
    <row r="765" spans="1:6" x14ac:dyDescent="0.2">
      <c r="A765" s="494"/>
      <c r="B765" s="495"/>
      <c r="C765" s="498"/>
      <c r="D765" s="193" t="s">
        <v>2</v>
      </c>
      <c r="E765" s="196">
        <f>'Second Line'!G$15</f>
        <v>0</v>
      </c>
      <c r="F765" s="201"/>
    </row>
    <row r="766" spans="1:6" x14ac:dyDescent="0.2">
      <c r="A766" s="494"/>
      <c r="B766" s="495"/>
      <c r="C766" s="498"/>
      <c r="D766" s="193" t="s">
        <v>3</v>
      </c>
      <c r="E766" s="196">
        <f>'Second Line'!H$15</f>
        <v>0</v>
      </c>
      <c r="F766" s="201"/>
    </row>
    <row r="767" spans="1:6" x14ac:dyDescent="0.2">
      <c r="A767" s="494"/>
      <c r="B767" s="495"/>
      <c r="C767" s="494" t="s">
        <v>16</v>
      </c>
      <c r="D767" s="193" t="s">
        <v>17</v>
      </c>
      <c r="E767" s="196">
        <f>'Second Line'!I$15</f>
        <v>0</v>
      </c>
      <c r="F767" s="201"/>
    </row>
    <row r="768" spans="1:6" x14ac:dyDescent="0.2">
      <c r="A768" s="494"/>
      <c r="B768" s="495"/>
      <c r="C768" s="494"/>
      <c r="D768" s="193" t="s">
        <v>2</v>
      </c>
      <c r="E768" s="196">
        <f>'Second Line'!J$15</f>
        <v>0</v>
      </c>
      <c r="F768" s="201"/>
    </row>
    <row r="769" spans="1:6" x14ac:dyDescent="0.2">
      <c r="A769" s="494"/>
      <c r="B769" s="495"/>
      <c r="C769" s="496" t="s">
        <v>5</v>
      </c>
      <c r="D769" s="496"/>
      <c r="E769" s="196">
        <f>SUM(E764:E768)</f>
        <v>0</v>
      </c>
      <c r="F769" s="201"/>
    </row>
    <row r="770" spans="1:6" x14ac:dyDescent="0.2">
      <c r="A770" s="537" t="s">
        <v>2325</v>
      </c>
      <c r="B770" s="495" t="str">
        <f>'Second Line'!A16</f>
        <v>10.10 Cumulative number of patients shifted to third line regimen (Only for CoEs)</v>
      </c>
      <c r="C770" s="494" t="s">
        <v>7</v>
      </c>
      <c r="D770" s="193" t="s">
        <v>1</v>
      </c>
      <c r="E770" s="196">
        <f>'Second Line'!F$16</f>
        <v>0</v>
      </c>
      <c r="F770" s="201"/>
    </row>
    <row r="771" spans="1:6" x14ac:dyDescent="0.2">
      <c r="A771" s="538"/>
      <c r="B771" s="495"/>
      <c r="C771" s="494"/>
      <c r="D771" s="193" t="s">
        <v>2</v>
      </c>
      <c r="E771" s="196">
        <f>'Second Line'!G$16</f>
        <v>0</v>
      </c>
      <c r="F771" s="201"/>
    </row>
    <row r="772" spans="1:6" x14ac:dyDescent="0.2">
      <c r="A772" s="538"/>
      <c r="B772" s="495"/>
      <c r="C772" s="494"/>
      <c r="D772" s="193" t="s">
        <v>3</v>
      </c>
      <c r="E772" s="196">
        <f>'Second Line'!H$16</f>
        <v>0</v>
      </c>
      <c r="F772" s="201"/>
    </row>
    <row r="773" spans="1:6" x14ac:dyDescent="0.2">
      <c r="A773" s="538"/>
      <c r="B773" s="495"/>
      <c r="C773" s="494" t="s">
        <v>16</v>
      </c>
      <c r="D773" s="193" t="s">
        <v>17</v>
      </c>
      <c r="E773" s="196">
        <f>'Second Line'!I$16</f>
        <v>0</v>
      </c>
      <c r="F773" s="201"/>
    </row>
    <row r="774" spans="1:6" x14ac:dyDescent="0.2">
      <c r="A774" s="538"/>
      <c r="B774" s="495"/>
      <c r="C774" s="494"/>
      <c r="D774" s="193" t="s">
        <v>2</v>
      </c>
      <c r="E774" s="196">
        <f>'Second Line'!J$16</f>
        <v>0</v>
      </c>
      <c r="F774" s="201"/>
    </row>
    <row r="775" spans="1:6" x14ac:dyDescent="0.2">
      <c r="A775" s="538"/>
      <c r="B775" s="495"/>
      <c r="C775" s="494" t="s">
        <v>5</v>
      </c>
      <c r="D775" s="494"/>
      <c r="E775" s="196">
        <f>SUM(E770:E774)</f>
        <v>0</v>
      </c>
      <c r="F775" s="201"/>
    </row>
    <row r="776" spans="1:6" x14ac:dyDescent="0.2">
      <c r="A776" s="530">
        <v>10.11</v>
      </c>
      <c r="B776" s="495" t="str">
        <f>'Second Line'!A17</f>
        <v>10.11 Total number of patients alive and on second line ART at the end of this month = 10.5 - (10.6 + 10.7 + 10.8 + 10.9 + 10.10)</v>
      </c>
      <c r="C776" s="494" t="s">
        <v>7</v>
      </c>
      <c r="D776" s="193" t="s">
        <v>1</v>
      </c>
      <c r="E776" s="183">
        <f>'Second Line'!F$17</f>
        <v>26</v>
      </c>
      <c r="F776" s="201"/>
    </row>
    <row r="777" spans="1:6" x14ac:dyDescent="0.2">
      <c r="A777" s="494"/>
      <c r="B777" s="495"/>
      <c r="C777" s="498"/>
      <c r="D777" s="193" t="s">
        <v>2</v>
      </c>
      <c r="E777" s="183">
        <f>'Second Line'!G$17</f>
        <v>10</v>
      </c>
      <c r="F777" s="201"/>
    </row>
    <row r="778" spans="1:6" x14ac:dyDescent="0.2">
      <c r="A778" s="494"/>
      <c r="B778" s="495"/>
      <c r="C778" s="498"/>
      <c r="D778" s="193" t="s">
        <v>3</v>
      </c>
      <c r="E778" s="183">
        <f>'Second Line'!H$17</f>
        <v>0</v>
      </c>
      <c r="F778" s="201"/>
    </row>
    <row r="779" spans="1:6" x14ac:dyDescent="0.2">
      <c r="A779" s="494"/>
      <c r="B779" s="495"/>
      <c r="C779" s="494" t="s">
        <v>16</v>
      </c>
      <c r="D779" s="193" t="s">
        <v>17</v>
      </c>
      <c r="E779" s="183">
        <f>'Second Line'!I$17</f>
        <v>1</v>
      </c>
      <c r="F779" s="201"/>
    </row>
    <row r="780" spans="1:6" x14ac:dyDescent="0.2">
      <c r="A780" s="494"/>
      <c r="B780" s="495"/>
      <c r="C780" s="494"/>
      <c r="D780" s="193" t="s">
        <v>2</v>
      </c>
      <c r="E780" s="183">
        <f>'Second Line'!J$17</f>
        <v>0</v>
      </c>
      <c r="F780" s="201"/>
    </row>
    <row r="781" spans="1:6" x14ac:dyDescent="0.2">
      <c r="A781" s="494"/>
      <c r="B781" s="500"/>
      <c r="C781" s="497" t="s">
        <v>5</v>
      </c>
      <c r="D781" s="497"/>
      <c r="E781" s="196">
        <f>SUM(E776:E780)</f>
        <v>37</v>
      </c>
      <c r="F781" s="201"/>
    </row>
    <row r="782" spans="1:6" x14ac:dyDescent="0.2">
      <c r="A782" s="494" t="s">
        <v>2326</v>
      </c>
      <c r="B782" s="495" t="str">
        <f>'Second Line'!A19</f>
        <v>10.a.1 Number of PLHIV referred to SACEP for assessment during the current financial year (April - reporting month)</v>
      </c>
      <c r="C782" s="494" t="s">
        <v>7</v>
      </c>
      <c r="D782" s="193" t="s">
        <v>1</v>
      </c>
      <c r="E782" s="183">
        <f>'Second Line'!F$19</f>
        <v>3</v>
      </c>
      <c r="F782" s="201"/>
    </row>
    <row r="783" spans="1:6" x14ac:dyDescent="0.2">
      <c r="A783" s="494"/>
      <c r="B783" s="495"/>
      <c r="C783" s="498"/>
      <c r="D783" s="193" t="s">
        <v>2</v>
      </c>
      <c r="E783" s="183">
        <f>'Second Line'!G$19</f>
        <v>2</v>
      </c>
      <c r="F783" s="201"/>
    </row>
    <row r="784" spans="1:6" x14ac:dyDescent="0.2">
      <c r="A784" s="494"/>
      <c r="B784" s="495"/>
      <c r="C784" s="498"/>
      <c r="D784" s="193" t="s">
        <v>3</v>
      </c>
      <c r="E784" s="183">
        <f>'Second Line'!H$19</f>
        <v>0</v>
      </c>
      <c r="F784" s="201"/>
    </row>
    <row r="785" spans="1:6" x14ac:dyDescent="0.2">
      <c r="A785" s="494"/>
      <c r="B785" s="495"/>
      <c r="C785" s="494" t="s">
        <v>16</v>
      </c>
      <c r="D785" s="193" t="s">
        <v>17</v>
      </c>
      <c r="E785" s="183">
        <f>'Second Line'!I$19</f>
        <v>0</v>
      </c>
      <c r="F785" s="201"/>
    </row>
    <row r="786" spans="1:6" x14ac:dyDescent="0.2">
      <c r="A786" s="494"/>
      <c r="B786" s="495"/>
      <c r="C786" s="494"/>
      <c r="D786" s="193" t="s">
        <v>2</v>
      </c>
      <c r="E786" s="183">
        <f>'Second Line'!J$19</f>
        <v>0</v>
      </c>
      <c r="F786" s="201"/>
    </row>
    <row r="787" spans="1:6" x14ac:dyDescent="0.2">
      <c r="A787" s="510"/>
      <c r="B787" s="500"/>
      <c r="C787" s="497" t="s">
        <v>5</v>
      </c>
      <c r="D787" s="497"/>
      <c r="E787" s="196">
        <f>SUM(E782:E786)</f>
        <v>5</v>
      </c>
      <c r="F787" s="201"/>
    </row>
    <row r="788" spans="1:6" x14ac:dyDescent="0.2">
      <c r="A788" s="494" t="s">
        <v>2327</v>
      </c>
      <c r="B788" s="495" t="str">
        <f>'Second Line'!A20</f>
        <v>10.a.2 Out of 10.a.1, Number of patients given appointment for SACEP review</v>
      </c>
      <c r="C788" s="494" t="s">
        <v>7</v>
      </c>
      <c r="D788" s="193" t="s">
        <v>1</v>
      </c>
      <c r="E788" s="183">
        <f>'Second Line'!F$20</f>
        <v>3</v>
      </c>
      <c r="F788" s="201"/>
    </row>
    <row r="789" spans="1:6" x14ac:dyDescent="0.2">
      <c r="A789" s="494"/>
      <c r="B789" s="495"/>
      <c r="C789" s="498"/>
      <c r="D789" s="193" t="s">
        <v>2</v>
      </c>
      <c r="E789" s="183">
        <f>'Second Line'!G$20</f>
        <v>2</v>
      </c>
      <c r="F789" s="201"/>
    </row>
    <row r="790" spans="1:6" x14ac:dyDescent="0.2">
      <c r="A790" s="494"/>
      <c r="B790" s="495"/>
      <c r="C790" s="498"/>
      <c r="D790" s="193" t="s">
        <v>3</v>
      </c>
      <c r="E790" s="183">
        <f>'Second Line'!H$20</f>
        <v>0</v>
      </c>
      <c r="F790" s="201"/>
    </row>
    <row r="791" spans="1:6" x14ac:dyDescent="0.2">
      <c r="A791" s="494"/>
      <c r="B791" s="495"/>
      <c r="C791" s="494" t="s">
        <v>16</v>
      </c>
      <c r="D791" s="193" t="s">
        <v>17</v>
      </c>
      <c r="E791" s="183">
        <f>'Second Line'!I$20</f>
        <v>0</v>
      </c>
      <c r="F791" s="201"/>
    </row>
    <row r="792" spans="1:6" x14ac:dyDescent="0.2">
      <c r="A792" s="494"/>
      <c r="B792" s="495"/>
      <c r="C792" s="494"/>
      <c r="D792" s="193" t="s">
        <v>2</v>
      </c>
      <c r="E792" s="183">
        <f>'Second Line'!J$20</f>
        <v>0</v>
      </c>
      <c r="F792" s="201"/>
    </row>
    <row r="793" spans="1:6" x14ac:dyDescent="0.2">
      <c r="A793" s="510"/>
      <c r="B793" s="500"/>
      <c r="C793" s="497" t="s">
        <v>5</v>
      </c>
      <c r="D793" s="497"/>
      <c r="E793" s="196">
        <f>SUM(E788:E792)</f>
        <v>5</v>
      </c>
      <c r="F793" s="201"/>
    </row>
    <row r="794" spans="1:6" x14ac:dyDescent="0.2">
      <c r="A794" s="494" t="s">
        <v>2328</v>
      </c>
      <c r="B794" s="495" t="str">
        <f>'Second Line'!A21</f>
        <v>10.a.3 Out of 10.a.2, number of patients actually reviewed by SACEP</v>
      </c>
      <c r="C794" s="494" t="s">
        <v>7</v>
      </c>
      <c r="D794" s="193" t="s">
        <v>1</v>
      </c>
      <c r="E794" s="183">
        <f>'Second Line'!F$21</f>
        <v>3</v>
      </c>
      <c r="F794" s="201"/>
    </row>
    <row r="795" spans="1:6" x14ac:dyDescent="0.2">
      <c r="A795" s="494"/>
      <c r="B795" s="495"/>
      <c r="C795" s="498"/>
      <c r="D795" s="193" t="s">
        <v>2</v>
      </c>
      <c r="E795" s="183">
        <f>'Second Line'!G$21</f>
        <v>2</v>
      </c>
      <c r="F795" s="201"/>
    </row>
    <row r="796" spans="1:6" x14ac:dyDescent="0.2">
      <c r="A796" s="494"/>
      <c r="B796" s="495"/>
      <c r="C796" s="498"/>
      <c r="D796" s="193" t="s">
        <v>3</v>
      </c>
      <c r="E796" s="183">
        <f>'Second Line'!H$21</f>
        <v>0</v>
      </c>
      <c r="F796" s="201"/>
    </row>
    <row r="797" spans="1:6" x14ac:dyDescent="0.2">
      <c r="A797" s="494"/>
      <c r="B797" s="495"/>
      <c r="C797" s="494" t="s">
        <v>16</v>
      </c>
      <c r="D797" s="193" t="s">
        <v>17</v>
      </c>
      <c r="E797" s="183">
        <f>'Second Line'!I$21</f>
        <v>0</v>
      </c>
      <c r="F797" s="201"/>
    </row>
    <row r="798" spans="1:6" x14ac:dyDescent="0.2">
      <c r="A798" s="494"/>
      <c r="B798" s="495"/>
      <c r="C798" s="494"/>
      <c r="D798" s="193" t="s">
        <v>2</v>
      </c>
      <c r="E798" s="183">
        <f>'Second Line'!J$21</f>
        <v>0</v>
      </c>
      <c r="F798" s="201"/>
    </row>
    <row r="799" spans="1:6" x14ac:dyDescent="0.2">
      <c r="A799" s="510"/>
      <c r="B799" s="500"/>
      <c r="C799" s="497" t="s">
        <v>5</v>
      </c>
      <c r="D799" s="497"/>
      <c r="E799" s="196">
        <f>SUM(E794:E798)</f>
        <v>5</v>
      </c>
      <c r="F799" s="201"/>
    </row>
    <row r="800" spans="1:6" x14ac:dyDescent="0.2">
      <c r="A800" s="494" t="s">
        <v>2329</v>
      </c>
      <c r="B800" s="495" t="str">
        <f>'Second Line'!A22</f>
        <v>10.a.4 Out of 10.a.3, number of PLHIV found eligible for Viral Load testing</v>
      </c>
      <c r="C800" s="494" t="s">
        <v>7</v>
      </c>
      <c r="D800" s="193" t="s">
        <v>1</v>
      </c>
      <c r="E800" s="183">
        <f>'Second Line'!F$22</f>
        <v>3</v>
      </c>
      <c r="F800" s="201"/>
    </row>
    <row r="801" spans="1:6" x14ac:dyDescent="0.2">
      <c r="A801" s="494"/>
      <c r="B801" s="495"/>
      <c r="C801" s="498"/>
      <c r="D801" s="193" t="s">
        <v>2</v>
      </c>
      <c r="E801" s="183">
        <f>'Second Line'!G$22</f>
        <v>2</v>
      </c>
      <c r="F801" s="201"/>
    </row>
    <row r="802" spans="1:6" x14ac:dyDescent="0.2">
      <c r="A802" s="494"/>
      <c r="B802" s="495"/>
      <c r="C802" s="498"/>
      <c r="D802" s="193" t="s">
        <v>3</v>
      </c>
      <c r="E802" s="183">
        <f>'Second Line'!H$22</f>
        <v>0</v>
      </c>
      <c r="F802" s="201"/>
    </row>
    <row r="803" spans="1:6" x14ac:dyDescent="0.2">
      <c r="A803" s="494"/>
      <c r="B803" s="495"/>
      <c r="C803" s="494" t="s">
        <v>16</v>
      </c>
      <c r="D803" s="193" t="s">
        <v>17</v>
      </c>
      <c r="E803" s="183">
        <f>'Second Line'!I$22</f>
        <v>0</v>
      </c>
      <c r="F803" s="201"/>
    </row>
    <row r="804" spans="1:6" x14ac:dyDescent="0.2">
      <c r="A804" s="494"/>
      <c r="B804" s="495"/>
      <c r="C804" s="494"/>
      <c r="D804" s="193" t="s">
        <v>2</v>
      </c>
      <c r="E804" s="183">
        <f>'Second Line'!J$22</f>
        <v>0</v>
      </c>
      <c r="F804" s="201"/>
    </row>
    <row r="805" spans="1:6" x14ac:dyDescent="0.2">
      <c r="A805" s="510"/>
      <c r="B805" s="500"/>
      <c r="C805" s="497" t="s">
        <v>5</v>
      </c>
      <c r="D805" s="497"/>
      <c r="E805" s="196">
        <f>SUM(E800:E804)</f>
        <v>5</v>
      </c>
      <c r="F805" s="201"/>
    </row>
    <row r="806" spans="1:6" x14ac:dyDescent="0.2">
      <c r="A806" s="494" t="s">
        <v>2330</v>
      </c>
      <c r="B806" s="495" t="str">
        <f>'Second Line'!A23</f>
        <v>10.a.5 Out of 10.a.4,number of PLHIV actually underwent Viral Load testing</v>
      </c>
      <c r="C806" s="494" t="s">
        <v>7</v>
      </c>
      <c r="D806" s="193" t="s">
        <v>1</v>
      </c>
      <c r="E806" s="183">
        <f>'Second Line'!F$23</f>
        <v>3</v>
      </c>
      <c r="F806" s="201"/>
    </row>
    <row r="807" spans="1:6" x14ac:dyDescent="0.2">
      <c r="A807" s="494"/>
      <c r="B807" s="495"/>
      <c r="C807" s="498"/>
      <c r="D807" s="193" t="s">
        <v>2</v>
      </c>
      <c r="E807" s="183">
        <f>'Second Line'!G$23</f>
        <v>2</v>
      </c>
      <c r="F807" s="201"/>
    </row>
    <row r="808" spans="1:6" x14ac:dyDescent="0.2">
      <c r="A808" s="494"/>
      <c r="B808" s="495"/>
      <c r="C808" s="498"/>
      <c r="D808" s="193" t="s">
        <v>3</v>
      </c>
      <c r="E808" s="183">
        <f>'Second Line'!H$23</f>
        <v>0</v>
      </c>
      <c r="F808" s="201"/>
    </row>
    <row r="809" spans="1:6" x14ac:dyDescent="0.2">
      <c r="A809" s="494"/>
      <c r="B809" s="495"/>
      <c r="C809" s="494" t="s">
        <v>16</v>
      </c>
      <c r="D809" s="193" t="s">
        <v>17</v>
      </c>
      <c r="E809" s="183">
        <f>'Second Line'!I$23</f>
        <v>0</v>
      </c>
      <c r="F809" s="201"/>
    </row>
    <row r="810" spans="1:6" x14ac:dyDescent="0.2">
      <c r="A810" s="494"/>
      <c r="B810" s="495"/>
      <c r="C810" s="494"/>
      <c r="D810" s="193" t="s">
        <v>2</v>
      </c>
      <c r="E810" s="183">
        <f>'Second Line'!J$23</f>
        <v>0</v>
      </c>
      <c r="F810" s="201"/>
    </row>
    <row r="811" spans="1:6" x14ac:dyDescent="0.2">
      <c r="A811" s="510"/>
      <c r="B811" s="500"/>
      <c r="C811" s="497" t="s">
        <v>5</v>
      </c>
      <c r="D811" s="497"/>
      <c r="E811" s="196">
        <f>SUM(E806:E810)</f>
        <v>5</v>
      </c>
      <c r="F811" s="201"/>
    </row>
    <row r="812" spans="1:6" x14ac:dyDescent="0.2">
      <c r="A812" s="494" t="s">
        <v>2331</v>
      </c>
      <c r="B812" s="495" t="str">
        <f>'Second Line'!A24</f>
        <v xml:space="preserve">10.a.6 Out of 10.a.5, number of PLHA found eligible for second line </v>
      </c>
      <c r="C812" s="494" t="s">
        <v>7</v>
      </c>
      <c r="D812" s="193" t="s">
        <v>1</v>
      </c>
      <c r="E812" s="183">
        <f>'Second Line'!F$24</f>
        <v>1</v>
      </c>
      <c r="F812" s="201"/>
    </row>
    <row r="813" spans="1:6" x14ac:dyDescent="0.2">
      <c r="A813" s="494"/>
      <c r="B813" s="495"/>
      <c r="C813" s="498"/>
      <c r="D813" s="193" t="s">
        <v>2</v>
      </c>
      <c r="E813" s="183">
        <f>'Second Line'!G$24</f>
        <v>0</v>
      </c>
      <c r="F813" s="201"/>
    </row>
    <row r="814" spans="1:6" x14ac:dyDescent="0.2">
      <c r="A814" s="494"/>
      <c r="B814" s="495"/>
      <c r="C814" s="498"/>
      <c r="D814" s="193" t="s">
        <v>3</v>
      </c>
      <c r="E814" s="183">
        <f>'Second Line'!H$24</f>
        <v>0</v>
      </c>
      <c r="F814" s="201"/>
    </row>
    <row r="815" spans="1:6" x14ac:dyDescent="0.2">
      <c r="A815" s="494"/>
      <c r="B815" s="495"/>
      <c r="C815" s="494" t="s">
        <v>16</v>
      </c>
      <c r="D815" s="193" t="s">
        <v>17</v>
      </c>
      <c r="E815" s="183">
        <f>'Second Line'!I$24</f>
        <v>0</v>
      </c>
      <c r="F815" s="201"/>
    </row>
    <row r="816" spans="1:6" x14ac:dyDescent="0.2">
      <c r="A816" s="494"/>
      <c r="B816" s="495"/>
      <c r="C816" s="494"/>
      <c r="D816" s="193" t="s">
        <v>2</v>
      </c>
      <c r="E816" s="183">
        <f>'Second Line'!J$24</f>
        <v>0</v>
      </c>
      <c r="F816" s="201"/>
    </row>
    <row r="817" spans="1:6" x14ac:dyDescent="0.2">
      <c r="A817" s="494"/>
      <c r="B817" s="495"/>
      <c r="C817" s="496" t="s">
        <v>5</v>
      </c>
      <c r="D817" s="496"/>
      <c r="E817" s="196">
        <f>SUM(E812:E816)</f>
        <v>1</v>
      </c>
      <c r="F817" s="201"/>
    </row>
    <row r="818" spans="1:6" x14ac:dyDescent="0.2">
      <c r="A818" s="494" t="s">
        <v>2332</v>
      </c>
      <c r="B818" s="495" t="str">
        <f>'Second Line'!A25</f>
        <v xml:space="preserve">10.a.7 Out of 10.a.6, number of PLHA initiated on second line </v>
      </c>
      <c r="C818" s="494" t="s">
        <v>7</v>
      </c>
      <c r="D818" s="193" t="s">
        <v>1</v>
      </c>
      <c r="E818" s="183">
        <f>'Second Line'!F$25</f>
        <v>1</v>
      </c>
      <c r="F818" s="201"/>
    </row>
    <row r="819" spans="1:6" x14ac:dyDescent="0.2">
      <c r="A819" s="494"/>
      <c r="B819" s="495"/>
      <c r="C819" s="498"/>
      <c r="D819" s="193" t="s">
        <v>2</v>
      </c>
      <c r="E819" s="183">
        <f>'Second Line'!G$25</f>
        <v>0</v>
      </c>
      <c r="F819" s="201"/>
    </row>
    <row r="820" spans="1:6" x14ac:dyDescent="0.2">
      <c r="A820" s="494"/>
      <c r="B820" s="495"/>
      <c r="C820" s="498"/>
      <c r="D820" s="193" t="s">
        <v>3</v>
      </c>
      <c r="E820" s="183">
        <f>'Second Line'!H$25</f>
        <v>0</v>
      </c>
      <c r="F820" s="201"/>
    </row>
    <row r="821" spans="1:6" x14ac:dyDescent="0.2">
      <c r="A821" s="494"/>
      <c r="B821" s="495"/>
      <c r="C821" s="494" t="s">
        <v>16</v>
      </c>
      <c r="D821" s="193" t="s">
        <v>17</v>
      </c>
      <c r="E821" s="183">
        <f>'Second Line'!I$25</f>
        <v>0</v>
      </c>
      <c r="F821" s="201"/>
    </row>
    <row r="822" spans="1:6" x14ac:dyDescent="0.2">
      <c r="A822" s="494"/>
      <c r="B822" s="495"/>
      <c r="C822" s="494"/>
      <c r="D822" s="193" t="s">
        <v>2</v>
      </c>
      <c r="E822" s="183">
        <f>'Second Line'!J$25</f>
        <v>0</v>
      </c>
      <c r="F822" s="201"/>
    </row>
    <row r="823" spans="1:6" x14ac:dyDescent="0.2">
      <c r="A823" s="494"/>
      <c r="B823" s="495"/>
      <c r="C823" s="496" t="s">
        <v>5</v>
      </c>
      <c r="D823" s="496"/>
      <c r="E823" s="196">
        <f>SUM(E818:E822)</f>
        <v>1</v>
      </c>
      <c r="F823" s="201"/>
    </row>
    <row r="824" spans="1:6" x14ac:dyDescent="0.2">
      <c r="A824" s="494" t="s">
        <v>2360</v>
      </c>
      <c r="B824" s="495" t="str">
        <f>'Second Line'!A26</f>
        <v>10.a.8 Out of 10.a.7, number of patients alive and on second line ART</v>
      </c>
      <c r="C824" s="494" t="s">
        <v>7</v>
      </c>
      <c r="D824" s="193" t="s">
        <v>1</v>
      </c>
      <c r="E824" s="183">
        <f>'Second Line'!F$26</f>
        <v>1</v>
      </c>
      <c r="F824" s="201"/>
    </row>
    <row r="825" spans="1:6" x14ac:dyDescent="0.2">
      <c r="A825" s="494"/>
      <c r="B825" s="495"/>
      <c r="C825" s="498"/>
      <c r="D825" s="193" t="s">
        <v>2</v>
      </c>
      <c r="E825" s="183">
        <f>'Second Line'!G$26</f>
        <v>0</v>
      </c>
      <c r="F825" s="201"/>
    </row>
    <row r="826" spans="1:6" x14ac:dyDescent="0.2">
      <c r="A826" s="494"/>
      <c r="B826" s="495"/>
      <c r="C826" s="498"/>
      <c r="D826" s="193" t="s">
        <v>3</v>
      </c>
      <c r="E826" s="183">
        <f>'Second Line'!H$26</f>
        <v>0</v>
      </c>
      <c r="F826" s="201"/>
    </row>
    <row r="827" spans="1:6" x14ac:dyDescent="0.2">
      <c r="A827" s="494"/>
      <c r="B827" s="495"/>
      <c r="C827" s="494" t="s">
        <v>16</v>
      </c>
      <c r="D827" s="193" t="s">
        <v>17</v>
      </c>
      <c r="E827" s="183">
        <f>'Second Line'!I$26</f>
        <v>0</v>
      </c>
      <c r="F827" s="201"/>
    </row>
    <row r="828" spans="1:6" x14ac:dyDescent="0.2">
      <c r="A828" s="494"/>
      <c r="B828" s="495"/>
      <c r="C828" s="494"/>
      <c r="D828" s="193" t="s">
        <v>2</v>
      </c>
      <c r="E828" s="183">
        <f>'Second Line'!J$26</f>
        <v>0</v>
      </c>
      <c r="F828" s="201"/>
    </row>
    <row r="829" spans="1:6" x14ac:dyDescent="0.2">
      <c r="A829" s="494"/>
      <c r="B829" s="495"/>
      <c r="C829" s="496" t="s">
        <v>5</v>
      </c>
      <c r="D829" s="496"/>
      <c r="E829" s="196">
        <f>SUM(E824:E828)</f>
        <v>1</v>
      </c>
      <c r="F829" s="201"/>
    </row>
    <row r="830" spans="1:6" x14ac:dyDescent="0.2">
      <c r="A830" s="494" t="s">
        <v>3419</v>
      </c>
      <c r="B830" s="495" t="str">
        <f>Scorecard!B4</f>
        <v>% of PLHIV initiated on ART in FY</v>
      </c>
      <c r="C830" s="494" t="str">
        <f>Scorecard!C3</f>
        <v>Denominator</v>
      </c>
      <c r="D830" s="494"/>
      <c r="E830" s="184">
        <f>Scorecard!C4</f>
        <v>312</v>
      </c>
      <c r="F830" s="201"/>
    </row>
    <row r="831" spans="1:6" x14ac:dyDescent="0.2">
      <c r="A831" s="494"/>
      <c r="B831" s="495"/>
      <c r="C831" s="494" t="str">
        <f>Scorecard!D3</f>
        <v>Numerator</v>
      </c>
      <c r="D831" s="494"/>
      <c r="E831" s="184">
        <f>Scorecard!D4</f>
        <v>304</v>
      </c>
      <c r="F831" s="201"/>
    </row>
    <row r="832" spans="1:6" x14ac:dyDescent="0.2">
      <c r="A832" s="494"/>
      <c r="B832" s="495"/>
      <c r="C832" s="496" t="str">
        <f>Scorecard!E3</f>
        <v>% age achievement</v>
      </c>
      <c r="D832" s="496"/>
      <c r="E832" s="185">
        <f>Scorecard!E4</f>
        <v>0.97435897435897434</v>
      </c>
      <c r="F832" s="201"/>
    </row>
    <row r="833" spans="1:6" x14ac:dyDescent="0.2">
      <c r="A833" s="494" t="s">
        <v>3420</v>
      </c>
      <c r="B833" s="495" t="str">
        <f>Scorecard!B5</f>
        <v xml:space="preserve">% LFU, MIS 2, MIS 3 and opted out in FY </v>
      </c>
      <c r="C833" s="494" t="str">
        <f t="shared" ref="C833:C877" si="0">C830</f>
        <v>Denominator</v>
      </c>
      <c r="D833" s="494"/>
      <c r="E833" s="184">
        <f>Scorecard!C5</f>
        <v>312</v>
      </c>
      <c r="F833" s="201"/>
    </row>
    <row r="834" spans="1:6" x14ac:dyDescent="0.2">
      <c r="A834" s="494"/>
      <c r="B834" s="495"/>
      <c r="C834" s="494" t="str">
        <f t="shared" si="0"/>
        <v>Numerator</v>
      </c>
      <c r="D834" s="494"/>
      <c r="E834" s="184">
        <f>Scorecard!D5</f>
        <v>46</v>
      </c>
      <c r="F834" s="201"/>
    </row>
    <row r="835" spans="1:6" x14ac:dyDescent="0.2">
      <c r="A835" s="494"/>
      <c r="B835" s="495"/>
      <c r="C835" s="496" t="str">
        <f t="shared" si="0"/>
        <v>% age achievement</v>
      </c>
      <c r="D835" s="496"/>
      <c r="E835" s="185">
        <f>Scorecard!E5</f>
        <v>0.14743589743589744</v>
      </c>
      <c r="F835" s="201"/>
    </row>
    <row r="836" spans="1:6" x14ac:dyDescent="0.2">
      <c r="A836" s="494" t="s">
        <v>3421</v>
      </c>
      <c r="B836" s="495" t="str">
        <f>Scorecard!B6</f>
        <v>% of PLHIV reported died out of those initiated in financial year</v>
      </c>
      <c r="C836" s="494" t="str">
        <f t="shared" si="0"/>
        <v>Denominator</v>
      </c>
      <c r="D836" s="494"/>
      <c r="E836" s="184">
        <f>Scorecard!C6</f>
        <v>312</v>
      </c>
      <c r="F836" s="201"/>
    </row>
    <row r="837" spans="1:6" x14ac:dyDescent="0.2">
      <c r="A837" s="494"/>
      <c r="B837" s="495"/>
      <c r="C837" s="494" t="str">
        <f t="shared" si="0"/>
        <v>Numerator</v>
      </c>
      <c r="D837" s="494"/>
      <c r="E837" s="184">
        <f>Scorecard!D6</f>
        <v>7</v>
      </c>
      <c r="F837" s="201"/>
    </row>
    <row r="838" spans="1:6" x14ac:dyDescent="0.2">
      <c r="A838" s="494"/>
      <c r="B838" s="495"/>
      <c r="C838" s="496" t="str">
        <f t="shared" si="0"/>
        <v>% age achievement</v>
      </c>
      <c r="D838" s="496"/>
      <c r="E838" s="185">
        <f>Scorecard!E6</f>
        <v>2.2435897435897436E-2</v>
      </c>
      <c r="F838" s="201"/>
    </row>
    <row r="839" spans="1:6" x14ac:dyDescent="0.2">
      <c r="A839" s="494" t="s">
        <v>3422</v>
      </c>
      <c r="B839" s="495" t="str">
        <f>Scorecard!B7</f>
        <v>% of PLHIV on MMD (3 Months)</v>
      </c>
      <c r="C839" s="494" t="str">
        <f t="shared" si="0"/>
        <v>Denominator</v>
      </c>
      <c r="D839" s="494"/>
      <c r="E839" s="184">
        <f>Scorecard!C7</f>
        <v>2025</v>
      </c>
      <c r="F839" s="201"/>
    </row>
    <row r="840" spans="1:6" x14ac:dyDescent="0.2">
      <c r="A840" s="494"/>
      <c r="B840" s="495"/>
      <c r="C840" s="494" t="str">
        <f t="shared" si="0"/>
        <v>Numerator</v>
      </c>
      <c r="D840" s="494"/>
      <c r="E840" s="184">
        <f>Scorecard!D7</f>
        <v>0</v>
      </c>
      <c r="F840" s="201"/>
    </row>
    <row r="841" spans="1:6" x14ac:dyDescent="0.2">
      <c r="A841" s="494"/>
      <c r="B841" s="495"/>
      <c r="C841" s="496" t="str">
        <f t="shared" si="0"/>
        <v>% age achievement</v>
      </c>
      <c r="D841" s="496"/>
      <c r="E841" s="185">
        <f>Scorecard!E7</f>
        <v>0</v>
      </c>
      <c r="F841" s="201"/>
    </row>
    <row r="842" spans="1:6" x14ac:dyDescent="0.2">
      <c r="A842" s="494" t="s">
        <v>3423</v>
      </c>
      <c r="B842" s="495" t="str">
        <f>Scorecard!B8</f>
        <v>% Overall retention</v>
      </c>
      <c r="C842" s="494" t="str">
        <f t="shared" si="0"/>
        <v>Denominator</v>
      </c>
      <c r="D842" s="494"/>
      <c r="E842" s="184">
        <f>Scorecard!C8</f>
        <v>2025</v>
      </c>
      <c r="F842" s="201"/>
    </row>
    <row r="843" spans="1:6" x14ac:dyDescent="0.2">
      <c r="A843" s="494"/>
      <c r="B843" s="495"/>
      <c r="C843" s="494" t="str">
        <f t="shared" si="0"/>
        <v>Numerator</v>
      </c>
      <c r="D843" s="494"/>
      <c r="E843" s="184">
        <f>Scorecard!D8</f>
        <v>1913</v>
      </c>
      <c r="F843" s="201"/>
    </row>
    <row r="844" spans="1:6" x14ac:dyDescent="0.2">
      <c r="A844" s="494"/>
      <c r="B844" s="495"/>
      <c r="C844" s="496" t="str">
        <f t="shared" si="0"/>
        <v>% age achievement</v>
      </c>
      <c r="D844" s="496"/>
      <c r="E844" s="185">
        <f>Scorecard!E8</f>
        <v>0.9446913580246914</v>
      </c>
      <c r="F844" s="201"/>
    </row>
    <row r="845" spans="1:6" x14ac:dyDescent="0.2">
      <c r="A845" s="494" t="s">
        <v>3424</v>
      </c>
      <c r="B845" s="495" t="str">
        <f>Scorecard!B9</f>
        <v xml:space="preserve">% of PLHIV who are reported MIS 2, MIS 3, LFU and opted out during the reporting quarter. </v>
      </c>
      <c r="C845" s="494" t="str">
        <f t="shared" si="0"/>
        <v>Denominator</v>
      </c>
      <c r="D845" s="494"/>
      <c r="E845" s="184">
        <f>Scorecard!C9</f>
        <v>2025</v>
      </c>
      <c r="F845" s="201"/>
    </row>
    <row r="846" spans="1:6" x14ac:dyDescent="0.2">
      <c r="A846" s="494"/>
      <c r="B846" s="495"/>
      <c r="C846" s="494" t="str">
        <f t="shared" si="0"/>
        <v>Numerator</v>
      </c>
      <c r="D846" s="494"/>
      <c r="E846" s="184">
        <f>Scorecard!D9</f>
        <v>160</v>
      </c>
      <c r="F846" s="201"/>
    </row>
    <row r="847" spans="1:6" x14ac:dyDescent="0.2">
      <c r="A847" s="494"/>
      <c r="B847" s="495"/>
      <c r="C847" s="496" t="str">
        <f t="shared" si="0"/>
        <v>% age achievement</v>
      </c>
      <c r="D847" s="496"/>
      <c r="E847" s="185">
        <f>Scorecard!E9</f>
        <v>7.9012345679012344E-2</v>
      </c>
      <c r="F847" s="201"/>
    </row>
    <row r="848" spans="1:6" x14ac:dyDescent="0.2">
      <c r="A848" s="494" t="s">
        <v>3425</v>
      </c>
      <c r="B848" s="495" t="str">
        <f>Scorecard!B10</f>
        <v>% of VL coverage</v>
      </c>
      <c r="C848" s="494" t="str">
        <f t="shared" si="0"/>
        <v>Denominator</v>
      </c>
      <c r="D848" s="494"/>
      <c r="E848" s="184">
        <f>Scorecard!C10</f>
        <v>1968</v>
      </c>
      <c r="F848" s="201"/>
    </row>
    <row r="849" spans="1:6" x14ac:dyDescent="0.2">
      <c r="A849" s="494"/>
      <c r="B849" s="495"/>
      <c r="C849" s="494" t="str">
        <f t="shared" si="0"/>
        <v>Numerator</v>
      </c>
      <c r="D849" s="494"/>
      <c r="E849" s="184">
        <f>Scorecard!D10</f>
        <v>1867</v>
      </c>
      <c r="F849" s="201"/>
    </row>
    <row r="850" spans="1:6" x14ac:dyDescent="0.2">
      <c r="A850" s="494"/>
      <c r="B850" s="495"/>
      <c r="C850" s="496" t="str">
        <f t="shared" si="0"/>
        <v>% age achievement</v>
      </c>
      <c r="D850" s="496"/>
      <c r="E850" s="185">
        <f>Scorecard!E10</f>
        <v>0.94867886178861793</v>
      </c>
      <c r="F850" s="201"/>
    </row>
    <row r="851" spans="1:6" x14ac:dyDescent="0.2">
      <c r="A851" s="494" t="s">
        <v>3426</v>
      </c>
      <c r="B851" s="495" t="str">
        <f>Scorecard!B11</f>
        <v>% of VL suppression</v>
      </c>
      <c r="C851" s="494" t="str">
        <f t="shared" si="0"/>
        <v>Denominator</v>
      </c>
      <c r="D851" s="494"/>
      <c r="E851" s="184">
        <f>Scorecard!C11</f>
        <v>1867</v>
      </c>
      <c r="F851" s="201"/>
    </row>
    <row r="852" spans="1:6" x14ac:dyDescent="0.2">
      <c r="A852" s="494"/>
      <c r="B852" s="495"/>
      <c r="C852" s="494" t="str">
        <f t="shared" si="0"/>
        <v>Numerator</v>
      </c>
      <c r="D852" s="494"/>
      <c r="E852" s="184">
        <f>Scorecard!D11</f>
        <v>1760</v>
      </c>
      <c r="F852" s="201"/>
    </row>
    <row r="853" spans="1:6" x14ac:dyDescent="0.2">
      <c r="A853" s="494"/>
      <c r="B853" s="495"/>
      <c r="C853" s="496" t="str">
        <f t="shared" si="0"/>
        <v>% age achievement</v>
      </c>
      <c r="D853" s="496"/>
      <c r="E853" s="185">
        <f>Scorecard!E11</f>
        <v>0.94268880557043389</v>
      </c>
      <c r="F853" s="201"/>
    </row>
    <row r="854" spans="1:6" x14ac:dyDescent="0.2">
      <c r="A854" s="494" t="s">
        <v>3427</v>
      </c>
      <c r="B854" s="495" t="str">
        <f>Scorecard!B12</f>
        <v>% Presumptive TB cases tested*</v>
      </c>
      <c r="C854" s="494" t="str">
        <f t="shared" si="0"/>
        <v>Denominator</v>
      </c>
      <c r="D854" s="494"/>
      <c r="E854" s="184">
        <f>Scorecard!C12</f>
        <v>121</v>
      </c>
      <c r="F854" s="201"/>
    </row>
    <row r="855" spans="1:6" x14ac:dyDescent="0.2">
      <c r="A855" s="494"/>
      <c r="B855" s="495"/>
      <c r="C855" s="494" t="str">
        <f t="shared" si="0"/>
        <v>Numerator</v>
      </c>
      <c r="D855" s="494"/>
      <c r="E855" s="184">
        <f>Scorecard!D12</f>
        <v>120</v>
      </c>
      <c r="F855" s="201"/>
    </row>
    <row r="856" spans="1:6" x14ac:dyDescent="0.2">
      <c r="A856" s="494"/>
      <c r="B856" s="495"/>
      <c r="C856" s="496" t="str">
        <f t="shared" si="0"/>
        <v>% age achievement</v>
      </c>
      <c r="D856" s="496"/>
      <c r="E856" s="185">
        <f>Scorecard!E12</f>
        <v>0.99173553719008267</v>
      </c>
      <c r="F856" s="201"/>
    </row>
    <row r="857" spans="1:6" x14ac:dyDescent="0.2">
      <c r="A857" s="494" t="s">
        <v>3428</v>
      </c>
      <c r="B857" s="495" t="str">
        <f>Scorecard!B13</f>
        <v>% co-infected initiated on ART*</v>
      </c>
      <c r="C857" s="494" t="str">
        <f t="shared" si="0"/>
        <v>Denominator</v>
      </c>
      <c r="D857" s="494"/>
      <c r="E857" s="184">
        <f>Scorecard!C13</f>
        <v>116</v>
      </c>
      <c r="F857" s="201"/>
    </row>
    <row r="858" spans="1:6" x14ac:dyDescent="0.2">
      <c r="A858" s="494"/>
      <c r="B858" s="495"/>
      <c r="C858" s="494" t="str">
        <f t="shared" si="0"/>
        <v>Numerator</v>
      </c>
      <c r="D858" s="494"/>
      <c r="E858" s="184">
        <f>Scorecard!D13</f>
        <v>114</v>
      </c>
      <c r="F858" s="201"/>
    </row>
    <row r="859" spans="1:6" x14ac:dyDescent="0.2">
      <c r="A859" s="494"/>
      <c r="B859" s="495"/>
      <c r="C859" s="496" t="str">
        <f t="shared" si="0"/>
        <v>% age achievement</v>
      </c>
      <c r="D859" s="496"/>
      <c r="E859" s="185">
        <f>Scorecard!E13</f>
        <v>0.98275862068965514</v>
      </c>
      <c r="F859" s="201"/>
    </row>
    <row r="860" spans="1:6" x14ac:dyDescent="0.2">
      <c r="A860" s="494" t="s">
        <v>3429</v>
      </c>
      <c r="B860" s="495" t="str">
        <f>Scorecard!B14</f>
        <v xml:space="preserve">% Initiated on TPT </v>
      </c>
      <c r="C860" s="494" t="str">
        <f t="shared" si="0"/>
        <v>Denominator</v>
      </c>
      <c r="D860" s="494"/>
      <c r="E860" s="184">
        <f>Scorecard!C14</f>
        <v>40</v>
      </c>
      <c r="F860" s="201"/>
    </row>
    <row r="861" spans="1:6" x14ac:dyDescent="0.2">
      <c r="A861" s="494"/>
      <c r="B861" s="495"/>
      <c r="C861" s="494" t="str">
        <f t="shared" si="0"/>
        <v>Numerator</v>
      </c>
      <c r="D861" s="494"/>
      <c r="E861" s="184">
        <f>Scorecard!D14</f>
        <v>28</v>
      </c>
      <c r="F861" s="201"/>
    </row>
    <row r="862" spans="1:6" x14ac:dyDescent="0.2">
      <c r="A862" s="494"/>
      <c r="B862" s="495"/>
      <c r="C862" s="496" t="str">
        <f t="shared" si="0"/>
        <v>% age achievement</v>
      </c>
      <c r="D862" s="496"/>
      <c r="E862" s="185">
        <f>Scorecard!E14</f>
        <v>0.7</v>
      </c>
      <c r="F862" s="201"/>
    </row>
    <row r="863" spans="1:6" x14ac:dyDescent="0.2">
      <c r="A863" s="494" t="s">
        <v>3430</v>
      </c>
      <c r="B863" s="495" t="str">
        <f>Scorecard!B15</f>
        <v xml:space="preserve">% completed on TPT </v>
      </c>
      <c r="C863" s="494" t="str">
        <f t="shared" si="0"/>
        <v>Denominator</v>
      </c>
      <c r="D863" s="494"/>
      <c r="E863" s="184">
        <f>Scorecard!C15</f>
        <v>63</v>
      </c>
      <c r="F863" s="201"/>
    </row>
    <row r="864" spans="1:6" x14ac:dyDescent="0.2">
      <c r="A864" s="494"/>
      <c r="B864" s="495"/>
      <c r="C864" s="494" t="str">
        <f t="shared" si="0"/>
        <v>Numerator</v>
      </c>
      <c r="D864" s="494"/>
      <c r="E864" s="184">
        <f>Scorecard!D15</f>
        <v>61</v>
      </c>
      <c r="F864" s="201"/>
    </row>
    <row r="865" spans="1:6" x14ac:dyDescent="0.2">
      <c r="A865" s="494"/>
      <c r="B865" s="495"/>
      <c r="C865" s="496" t="str">
        <f t="shared" si="0"/>
        <v>% age achievement</v>
      </c>
      <c r="D865" s="496"/>
      <c r="E865" s="185">
        <f>Scorecard!E15</f>
        <v>0.96825396825396826</v>
      </c>
      <c r="F865" s="201"/>
    </row>
    <row r="866" spans="1:6" x14ac:dyDescent="0.2">
      <c r="A866" s="494" t="s">
        <v>3431</v>
      </c>
      <c r="B866" s="495" t="str">
        <f>Scorecard!B16</f>
        <v>% of unsuppressed PLHIV undergone repeat VL testing</v>
      </c>
      <c r="C866" s="494" t="str">
        <f t="shared" si="0"/>
        <v>Denominator</v>
      </c>
      <c r="D866" s="494"/>
      <c r="E866" s="184">
        <f>Scorecard!C16</f>
        <v>71</v>
      </c>
      <c r="F866" s="201"/>
    </row>
    <row r="867" spans="1:6" x14ac:dyDescent="0.2">
      <c r="A867" s="494"/>
      <c r="B867" s="495"/>
      <c r="C867" s="494" t="str">
        <f t="shared" si="0"/>
        <v>Numerator</v>
      </c>
      <c r="D867" s="494"/>
      <c r="E867" s="184">
        <f>Scorecard!D16</f>
        <v>24</v>
      </c>
      <c r="F867" s="201"/>
    </row>
    <row r="868" spans="1:6" x14ac:dyDescent="0.2">
      <c r="A868" s="494"/>
      <c r="B868" s="495"/>
      <c r="C868" s="496" t="str">
        <f t="shared" si="0"/>
        <v>% age achievement</v>
      </c>
      <c r="D868" s="496"/>
      <c r="E868" s="185">
        <f>Scorecard!E16</f>
        <v>0.3380281690140845</v>
      </c>
      <c r="F868" s="201"/>
    </row>
    <row r="869" spans="1:6" x14ac:dyDescent="0.2">
      <c r="A869" s="494" t="s">
        <v>3432</v>
      </c>
      <c r="B869" s="495" t="str">
        <f>Scorecard!B17</f>
        <v>% unsuppressed PLHIV referred to SACEP for review</v>
      </c>
      <c r="C869" s="494" t="str">
        <f t="shared" si="0"/>
        <v>Denominator</v>
      </c>
      <c r="D869" s="494"/>
      <c r="E869" s="184">
        <f>Scorecard!C17</f>
        <v>8</v>
      </c>
      <c r="F869" s="201"/>
    </row>
    <row r="870" spans="1:6" x14ac:dyDescent="0.2">
      <c r="A870" s="494"/>
      <c r="B870" s="495"/>
      <c r="C870" s="494" t="str">
        <f t="shared" si="0"/>
        <v>Numerator</v>
      </c>
      <c r="D870" s="494"/>
      <c r="E870" s="184">
        <f>Scorecard!D17</f>
        <v>4</v>
      </c>
      <c r="F870" s="201"/>
    </row>
    <row r="871" spans="1:6" x14ac:dyDescent="0.2">
      <c r="A871" s="494"/>
      <c r="B871" s="495"/>
      <c r="C871" s="496" t="str">
        <f t="shared" si="0"/>
        <v>% age achievement</v>
      </c>
      <c r="D871" s="496"/>
      <c r="E871" s="185">
        <f>Scorecard!E17</f>
        <v>0.5</v>
      </c>
      <c r="F871" s="201"/>
    </row>
    <row r="872" spans="1:6" x14ac:dyDescent="0.2">
      <c r="A872" s="494" t="s">
        <v>3433</v>
      </c>
      <c r="B872" s="495" t="str">
        <f>Scorecard!B19</f>
        <v>Proportion of mismatch between MPR and SOCH data</v>
      </c>
      <c r="C872" s="494" t="str">
        <f t="shared" si="0"/>
        <v>Denominator</v>
      </c>
      <c r="D872" s="494"/>
      <c r="E872" s="184">
        <f>Scorecard!C18</f>
        <v>4</v>
      </c>
      <c r="F872" s="201"/>
    </row>
    <row r="873" spans="1:6" x14ac:dyDescent="0.2">
      <c r="A873" s="494"/>
      <c r="B873" s="495"/>
      <c r="C873" s="494" t="str">
        <f t="shared" si="0"/>
        <v>Numerator</v>
      </c>
      <c r="D873" s="494"/>
      <c r="E873" s="184">
        <f>Scorecard!D18</f>
        <v>2</v>
      </c>
      <c r="F873" s="201"/>
    </row>
    <row r="874" spans="1:6" x14ac:dyDescent="0.2">
      <c r="A874" s="494"/>
      <c r="B874" s="495"/>
      <c r="C874" s="496" t="str">
        <f t="shared" si="0"/>
        <v>% age achievement</v>
      </c>
      <c r="D874" s="496"/>
      <c r="E874" s="185">
        <f>Scorecard!E18</f>
        <v>0.5</v>
      </c>
      <c r="F874" s="201"/>
    </row>
    <row r="875" spans="1:6" x14ac:dyDescent="0.2">
      <c r="A875" s="494" t="s">
        <v>3433</v>
      </c>
      <c r="B875" s="495" t="str">
        <f>Scorecard!B19</f>
        <v>Proportion of mismatch between MPR and SOCH data</v>
      </c>
      <c r="C875" s="494" t="str">
        <f t="shared" si="0"/>
        <v>Denominator</v>
      </c>
      <c r="D875" s="494"/>
      <c r="E875" s="184">
        <f>Scorecard!C19</f>
        <v>2036</v>
      </c>
    </row>
    <row r="876" spans="1:6" x14ac:dyDescent="0.2">
      <c r="A876" s="494"/>
      <c r="B876" s="495"/>
      <c r="C876" s="494" t="str">
        <f t="shared" si="0"/>
        <v>Numerator</v>
      </c>
      <c r="D876" s="494"/>
      <c r="E876" s="184">
        <f>Scorecard!D19</f>
        <v>2025</v>
      </c>
    </row>
    <row r="877" spans="1:6" x14ac:dyDescent="0.2">
      <c r="A877" s="494"/>
      <c r="B877" s="495"/>
      <c r="C877" s="496" t="str">
        <f t="shared" si="0"/>
        <v>% age achievement</v>
      </c>
      <c r="D877" s="496"/>
      <c r="E877" s="185">
        <f>Scorecard!E19</f>
        <v>0.99459724950884087</v>
      </c>
    </row>
  </sheetData>
  <sheetProtection algorithmName="SHA-512" hashValue="62Y08PV8+NbzwapCsyEYYoWlKspS2mr0eu4vRN1mw6xkgrk7Mse9sF84YSA8W8mSf0br+FMPis6towYDUfPvmw==" saltValue="G3YfPbeAVBPWiCQdAc9wvw==" spinCount="100000" sheet="1" objects="1" scenarios="1"/>
  <mergeCells count="787">
    <mergeCell ref="C569:C570"/>
    <mergeCell ref="C571:C572"/>
    <mergeCell ref="B549:B552"/>
    <mergeCell ref="B542:D542"/>
    <mergeCell ref="B543:D543"/>
    <mergeCell ref="B544:D544"/>
    <mergeCell ref="A382:A387"/>
    <mergeCell ref="B382:B387"/>
    <mergeCell ref="C382:D382"/>
    <mergeCell ref="C383:D383"/>
    <mergeCell ref="C384:D384"/>
    <mergeCell ref="C385:C386"/>
    <mergeCell ref="B533:D533"/>
    <mergeCell ref="B534:D534"/>
    <mergeCell ref="A462:A469"/>
    <mergeCell ref="B538:D538"/>
    <mergeCell ref="B539:D539"/>
    <mergeCell ref="C387:D387"/>
    <mergeCell ref="A388:A393"/>
    <mergeCell ref="B388:B393"/>
    <mergeCell ref="C388:D388"/>
    <mergeCell ref="C389:D389"/>
    <mergeCell ref="C390:D390"/>
    <mergeCell ref="C391:C392"/>
    <mergeCell ref="A875:A877"/>
    <mergeCell ref="B875:B877"/>
    <mergeCell ref="C875:D875"/>
    <mergeCell ref="C876:D876"/>
    <mergeCell ref="C877:D877"/>
    <mergeCell ref="A419:A421"/>
    <mergeCell ref="B419:C421"/>
    <mergeCell ref="C553:C554"/>
    <mergeCell ref="C617:C618"/>
    <mergeCell ref="C619:C620"/>
    <mergeCell ref="B605:B608"/>
    <mergeCell ref="C605:C606"/>
    <mergeCell ref="C607:C608"/>
    <mergeCell ref="B609:B612"/>
    <mergeCell ref="C561:C562"/>
    <mergeCell ref="B573:B576"/>
    <mergeCell ref="C581:C582"/>
    <mergeCell ref="C583:C584"/>
    <mergeCell ref="B557:B560"/>
    <mergeCell ref="C557:C558"/>
    <mergeCell ref="C559:C560"/>
    <mergeCell ref="B561:B564"/>
    <mergeCell ref="B523:D523"/>
    <mergeCell ref="B529:D529"/>
    <mergeCell ref="A343:A351"/>
    <mergeCell ref="B343:B351"/>
    <mergeCell ref="C354:D354"/>
    <mergeCell ref="C355:C356"/>
    <mergeCell ref="C373:C374"/>
    <mergeCell ref="C375:D375"/>
    <mergeCell ref="A376:A381"/>
    <mergeCell ref="B376:B381"/>
    <mergeCell ref="C376:D376"/>
    <mergeCell ref="C377:D377"/>
    <mergeCell ref="C378:D378"/>
    <mergeCell ref="C379:C380"/>
    <mergeCell ref="C381:D381"/>
    <mergeCell ref="C369:D369"/>
    <mergeCell ref="A364:A369"/>
    <mergeCell ref="A370:A375"/>
    <mergeCell ref="B370:B375"/>
    <mergeCell ref="C370:D370"/>
    <mergeCell ref="C371:D371"/>
    <mergeCell ref="C372:D372"/>
    <mergeCell ref="A358:A363"/>
    <mergeCell ref="B663:C677"/>
    <mergeCell ref="B412:B417"/>
    <mergeCell ref="C412:D412"/>
    <mergeCell ref="C413:D413"/>
    <mergeCell ref="C414:D414"/>
    <mergeCell ref="C415:C416"/>
    <mergeCell ref="C417:D417"/>
    <mergeCell ref="B547:D547"/>
    <mergeCell ref="B508:D508"/>
    <mergeCell ref="B546:D546"/>
    <mergeCell ref="B503:D503"/>
    <mergeCell ref="B506:D506"/>
    <mergeCell ref="B507:D507"/>
    <mergeCell ref="B632:C633"/>
    <mergeCell ref="B634:C635"/>
    <mergeCell ref="B621:D621"/>
    <mergeCell ref="B553:B556"/>
    <mergeCell ref="C555:C556"/>
    <mergeCell ref="B510:D510"/>
    <mergeCell ref="B511:D511"/>
    <mergeCell ref="B504:D504"/>
    <mergeCell ref="B505:D505"/>
    <mergeCell ref="B522:D522"/>
    <mergeCell ref="B526:D526"/>
    <mergeCell ref="B325:B333"/>
    <mergeCell ref="C325:C328"/>
    <mergeCell ref="C329:C332"/>
    <mergeCell ref="B364:B369"/>
    <mergeCell ref="C364:D364"/>
    <mergeCell ref="C365:D365"/>
    <mergeCell ref="C366:D366"/>
    <mergeCell ref="C367:C368"/>
    <mergeCell ref="C343:C346"/>
    <mergeCell ref="B352:B357"/>
    <mergeCell ref="B358:B363"/>
    <mergeCell ref="C347:C350"/>
    <mergeCell ref="C351:D351"/>
    <mergeCell ref="C360:D360"/>
    <mergeCell ref="C361:C362"/>
    <mergeCell ref="C363:D363"/>
    <mergeCell ref="C359:D359"/>
    <mergeCell ref="C357:D357"/>
    <mergeCell ref="C89:C90"/>
    <mergeCell ref="C91:D91"/>
    <mergeCell ref="B242:B247"/>
    <mergeCell ref="C242:D242"/>
    <mergeCell ref="C243:D243"/>
    <mergeCell ref="C244:D244"/>
    <mergeCell ref="C245:C246"/>
    <mergeCell ref="C247:D247"/>
    <mergeCell ref="C251:C252"/>
    <mergeCell ref="C140:D140"/>
    <mergeCell ref="C141:D141"/>
    <mergeCell ref="C142:D142"/>
    <mergeCell ref="C143:C144"/>
    <mergeCell ref="C145:D145"/>
    <mergeCell ref="B104:B109"/>
    <mergeCell ref="C104:D104"/>
    <mergeCell ref="C105:D105"/>
    <mergeCell ref="C106:D106"/>
    <mergeCell ref="C107:C108"/>
    <mergeCell ref="C109:D109"/>
    <mergeCell ref="A92:A97"/>
    <mergeCell ref="B92:B97"/>
    <mergeCell ref="C92:D92"/>
    <mergeCell ref="C97:D97"/>
    <mergeCell ref="C115:D115"/>
    <mergeCell ref="C113:C114"/>
    <mergeCell ref="A122:A127"/>
    <mergeCell ref="B122:B127"/>
    <mergeCell ref="C110:D110"/>
    <mergeCell ref="C125:C126"/>
    <mergeCell ref="C127:D127"/>
    <mergeCell ref="A116:A121"/>
    <mergeCell ref="B116:B121"/>
    <mergeCell ref="C116:D116"/>
    <mergeCell ref="C117:D117"/>
    <mergeCell ref="C118:D118"/>
    <mergeCell ref="C119:C120"/>
    <mergeCell ref="C121:D121"/>
    <mergeCell ref="C122:D122"/>
    <mergeCell ref="C94:D94"/>
    <mergeCell ref="C95:C96"/>
    <mergeCell ref="C123:D123"/>
    <mergeCell ref="C124:D124"/>
    <mergeCell ref="A104:A109"/>
    <mergeCell ref="B14:D14"/>
    <mergeCell ref="B15:D15"/>
    <mergeCell ref="B16:D16"/>
    <mergeCell ref="C80:D80"/>
    <mergeCell ref="C81:D81"/>
    <mergeCell ref="C22:D22"/>
    <mergeCell ref="C23:D23"/>
    <mergeCell ref="C68:D68"/>
    <mergeCell ref="C70:D70"/>
    <mergeCell ref="C71:C72"/>
    <mergeCell ref="C38:D38"/>
    <mergeCell ref="C35:C36"/>
    <mergeCell ref="C79:D79"/>
    <mergeCell ref="C67:D67"/>
    <mergeCell ref="C69:D69"/>
    <mergeCell ref="C44:D44"/>
    <mergeCell ref="C45:D45"/>
    <mergeCell ref="C46:D46"/>
    <mergeCell ref="C47:C48"/>
    <mergeCell ref="C39:D39"/>
    <mergeCell ref="B44:B49"/>
    <mergeCell ref="C40:D40"/>
    <mergeCell ref="C49:D49"/>
    <mergeCell ref="C57:D57"/>
    <mergeCell ref="A44:A49"/>
    <mergeCell ref="A50:A55"/>
    <mergeCell ref="A1:D1"/>
    <mergeCell ref="B2:D2"/>
    <mergeCell ref="B3:D3"/>
    <mergeCell ref="B4:D4"/>
    <mergeCell ref="B5:D5"/>
    <mergeCell ref="B6:D6"/>
    <mergeCell ref="B18:D18"/>
    <mergeCell ref="B19:D19"/>
    <mergeCell ref="B20:D20"/>
    <mergeCell ref="B7:D7"/>
    <mergeCell ref="B8:D8"/>
    <mergeCell ref="A2:A25"/>
    <mergeCell ref="B21:B25"/>
    <mergeCell ref="C21:D21"/>
    <mergeCell ref="C24:D24"/>
    <mergeCell ref="C25:D25"/>
    <mergeCell ref="B9:D9"/>
    <mergeCell ref="B17:D17"/>
    <mergeCell ref="B10:D10"/>
    <mergeCell ref="B11:D11"/>
    <mergeCell ref="B12:D12"/>
    <mergeCell ref="B13:D13"/>
    <mergeCell ref="A38:A43"/>
    <mergeCell ref="A26:A31"/>
    <mergeCell ref="B26:B31"/>
    <mergeCell ref="C26:D26"/>
    <mergeCell ref="C27:D27"/>
    <mergeCell ref="C28:D28"/>
    <mergeCell ref="C29:C30"/>
    <mergeCell ref="C31:D31"/>
    <mergeCell ref="C33:D33"/>
    <mergeCell ref="C34:D34"/>
    <mergeCell ref="A32:A37"/>
    <mergeCell ref="B32:B37"/>
    <mergeCell ref="C32:D32"/>
    <mergeCell ref="C37:D37"/>
    <mergeCell ref="C41:C42"/>
    <mergeCell ref="C43:D43"/>
    <mergeCell ref="B38:B43"/>
    <mergeCell ref="B50:B55"/>
    <mergeCell ref="C50:D50"/>
    <mergeCell ref="C51:D51"/>
    <mergeCell ref="C52:D52"/>
    <mergeCell ref="C53:C54"/>
    <mergeCell ref="C55:D55"/>
    <mergeCell ref="A56:A61"/>
    <mergeCell ref="B56:B61"/>
    <mergeCell ref="C56:D56"/>
    <mergeCell ref="C59:C60"/>
    <mergeCell ref="C61:D61"/>
    <mergeCell ref="C58:D58"/>
    <mergeCell ref="C76:D76"/>
    <mergeCell ref="C77:C78"/>
    <mergeCell ref="B62:B67"/>
    <mergeCell ref="C62:D62"/>
    <mergeCell ref="A74:A79"/>
    <mergeCell ref="C63:D63"/>
    <mergeCell ref="C64:D64"/>
    <mergeCell ref="A68:A73"/>
    <mergeCell ref="B68:B73"/>
    <mergeCell ref="C74:D74"/>
    <mergeCell ref="C75:D75"/>
    <mergeCell ref="A62:A67"/>
    <mergeCell ref="C73:D73"/>
    <mergeCell ref="C65:C66"/>
    <mergeCell ref="B74:B79"/>
    <mergeCell ref="A140:A145"/>
    <mergeCell ref="B140:B145"/>
    <mergeCell ref="A80:A85"/>
    <mergeCell ref="B80:B85"/>
    <mergeCell ref="C99:D99"/>
    <mergeCell ref="C100:D100"/>
    <mergeCell ref="C101:C102"/>
    <mergeCell ref="C103:D103"/>
    <mergeCell ref="C93:D93"/>
    <mergeCell ref="B98:B103"/>
    <mergeCell ref="A98:A103"/>
    <mergeCell ref="C98:D98"/>
    <mergeCell ref="C82:D82"/>
    <mergeCell ref="C83:C84"/>
    <mergeCell ref="C85:D85"/>
    <mergeCell ref="C86:D86"/>
    <mergeCell ref="C87:D87"/>
    <mergeCell ref="C88:D88"/>
    <mergeCell ref="A86:A91"/>
    <mergeCell ref="B86:B91"/>
    <mergeCell ref="A110:A115"/>
    <mergeCell ref="B110:B115"/>
    <mergeCell ref="C111:D111"/>
    <mergeCell ref="C112:D112"/>
    <mergeCell ref="A128:A133"/>
    <mergeCell ref="B128:B133"/>
    <mergeCell ref="C128:D128"/>
    <mergeCell ref="C129:D129"/>
    <mergeCell ref="C130:D130"/>
    <mergeCell ref="C131:C132"/>
    <mergeCell ref="C133:D133"/>
    <mergeCell ref="A134:A139"/>
    <mergeCell ref="B134:B139"/>
    <mergeCell ref="C134:D134"/>
    <mergeCell ref="C135:D135"/>
    <mergeCell ref="C136:D136"/>
    <mergeCell ref="C137:C138"/>
    <mergeCell ref="C139:D139"/>
    <mergeCell ref="A158:A163"/>
    <mergeCell ref="B158:B163"/>
    <mergeCell ref="C158:D158"/>
    <mergeCell ref="C159:D159"/>
    <mergeCell ref="A152:A157"/>
    <mergeCell ref="B152:B157"/>
    <mergeCell ref="C152:D152"/>
    <mergeCell ref="C153:D153"/>
    <mergeCell ref="C154:D154"/>
    <mergeCell ref="C155:C156"/>
    <mergeCell ref="C157:D157"/>
    <mergeCell ref="A170:A175"/>
    <mergeCell ref="B170:B175"/>
    <mergeCell ref="C170:D170"/>
    <mergeCell ref="C171:D171"/>
    <mergeCell ref="C172:D172"/>
    <mergeCell ref="C173:C174"/>
    <mergeCell ref="C175:D175"/>
    <mergeCell ref="A164:A169"/>
    <mergeCell ref="B164:B169"/>
    <mergeCell ref="C164:D164"/>
    <mergeCell ref="C165:D165"/>
    <mergeCell ref="C166:D166"/>
    <mergeCell ref="C167:C168"/>
    <mergeCell ref="C169:D169"/>
    <mergeCell ref="A182:A187"/>
    <mergeCell ref="B182:B187"/>
    <mergeCell ref="C182:D182"/>
    <mergeCell ref="C183:D183"/>
    <mergeCell ref="C184:D184"/>
    <mergeCell ref="C185:C186"/>
    <mergeCell ref="C187:D187"/>
    <mergeCell ref="A176:A181"/>
    <mergeCell ref="B176:B181"/>
    <mergeCell ref="C176:D176"/>
    <mergeCell ref="C177:D177"/>
    <mergeCell ref="C178:D178"/>
    <mergeCell ref="C179:C180"/>
    <mergeCell ref="C181:D181"/>
    <mergeCell ref="A194:A199"/>
    <mergeCell ref="B194:B199"/>
    <mergeCell ref="C194:D194"/>
    <mergeCell ref="C195:D195"/>
    <mergeCell ref="C196:D196"/>
    <mergeCell ref="C197:C198"/>
    <mergeCell ref="C199:D199"/>
    <mergeCell ref="A188:A193"/>
    <mergeCell ref="B188:B193"/>
    <mergeCell ref="C188:D188"/>
    <mergeCell ref="C189:D189"/>
    <mergeCell ref="C190:D190"/>
    <mergeCell ref="C191:C192"/>
    <mergeCell ref="C193:D193"/>
    <mergeCell ref="A206:A211"/>
    <mergeCell ref="B206:B211"/>
    <mergeCell ref="C206:D206"/>
    <mergeCell ref="C207:D207"/>
    <mergeCell ref="C208:D208"/>
    <mergeCell ref="C209:C210"/>
    <mergeCell ref="C211:D211"/>
    <mergeCell ref="A200:A205"/>
    <mergeCell ref="B200:B205"/>
    <mergeCell ref="C200:D200"/>
    <mergeCell ref="C201:D201"/>
    <mergeCell ref="C202:D202"/>
    <mergeCell ref="C203:C204"/>
    <mergeCell ref="C205:D205"/>
    <mergeCell ref="A212:A217"/>
    <mergeCell ref="B212:B217"/>
    <mergeCell ref="C212:D212"/>
    <mergeCell ref="C213:D213"/>
    <mergeCell ref="C214:D214"/>
    <mergeCell ref="C215:C216"/>
    <mergeCell ref="C217:D217"/>
    <mergeCell ref="B224:B229"/>
    <mergeCell ref="C224:D224"/>
    <mergeCell ref="C225:D225"/>
    <mergeCell ref="C226:D226"/>
    <mergeCell ref="C227:C228"/>
    <mergeCell ref="C229:D229"/>
    <mergeCell ref="A218:A223"/>
    <mergeCell ref="B218:B223"/>
    <mergeCell ref="C218:D218"/>
    <mergeCell ref="C219:D219"/>
    <mergeCell ref="C220:D220"/>
    <mergeCell ref="C221:C222"/>
    <mergeCell ref="C223:D223"/>
    <mergeCell ref="A224:A229"/>
    <mergeCell ref="A289:A290"/>
    <mergeCell ref="A260:A277"/>
    <mergeCell ref="C263:C264"/>
    <mergeCell ref="C265:D265"/>
    <mergeCell ref="B272:B277"/>
    <mergeCell ref="C275:C276"/>
    <mergeCell ref="C277:D277"/>
    <mergeCell ref="B289:B290"/>
    <mergeCell ref="B291:B292"/>
    <mergeCell ref="A278:A280"/>
    <mergeCell ref="B278:B280"/>
    <mergeCell ref="A281:A282"/>
    <mergeCell ref="B281:B282"/>
    <mergeCell ref="C281:D281"/>
    <mergeCell ref="C282:D282"/>
    <mergeCell ref="C274:D274"/>
    <mergeCell ref="B260:B265"/>
    <mergeCell ref="C260:D260"/>
    <mergeCell ref="C267:D267"/>
    <mergeCell ref="C271:D271"/>
    <mergeCell ref="C278:D278"/>
    <mergeCell ref="C279:D279"/>
    <mergeCell ref="C268:D268"/>
    <mergeCell ref="C269:C270"/>
    <mergeCell ref="A230:A235"/>
    <mergeCell ref="B230:B235"/>
    <mergeCell ref="B236:B241"/>
    <mergeCell ref="C236:D236"/>
    <mergeCell ref="C237:D237"/>
    <mergeCell ref="C238:D238"/>
    <mergeCell ref="C239:C240"/>
    <mergeCell ref="C241:D241"/>
    <mergeCell ref="B316:B324"/>
    <mergeCell ref="C306:D306"/>
    <mergeCell ref="C311:C314"/>
    <mergeCell ref="C302:C305"/>
    <mergeCell ref="B307:B315"/>
    <mergeCell ref="C307:C310"/>
    <mergeCell ref="C232:D232"/>
    <mergeCell ref="C233:C234"/>
    <mergeCell ref="B266:B271"/>
    <mergeCell ref="C266:D266"/>
    <mergeCell ref="A254:A259"/>
    <mergeCell ref="A248:A253"/>
    <mergeCell ref="B248:B253"/>
    <mergeCell ref="C248:D248"/>
    <mergeCell ref="C249:D249"/>
    <mergeCell ref="C250:D250"/>
    <mergeCell ref="A722:A727"/>
    <mergeCell ref="B642:C643"/>
    <mergeCell ref="B644:C645"/>
    <mergeCell ref="B646:C647"/>
    <mergeCell ref="B652:C653"/>
    <mergeCell ref="B654:C655"/>
    <mergeCell ref="B650:C651"/>
    <mergeCell ref="B656:C657"/>
    <mergeCell ref="B658:C659"/>
    <mergeCell ref="B648:C649"/>
    <mergeCell ref="A716:A721"/>
    <mergeCell ref="C721:D721"/>
    <mergeCell ref="B716:B721"/>
    <mergeCell ref="B722:B727"/>
    <mergeCell ref="C722:C724"/>
    <mergeCell ref="C725:C726"/>
    <mergeCell ref="C727:D727"/>
    <mergeCell ref="C716:C718"/>
    <mergeCell ref="C719:C720"/>
    <mergeCell ref="B678:C686"/>
    <mergeCell ref="B687:C701"/>
    <mergeCell ref="B702:C710"/>
    <mergeCell ref="A622:A662"/>
    <mergeCell ref="B622:C623"/>
    <mergeCell ref="C793:D793"/>
    <mergeCell ref="A752:A757"/>
    <mergeCell ref="A746:A751"/>
    <mergeCell ref="B740:B745"/>
    <mergeCell ref="C740:C742"/>
    <mergeCell ref="C743:C744"/>
    <mergeCell ref="C745:D745"/>
    <mergeCell ref="B746:B751"/>
    <mergeCell ref="C791:C792"/>
    <mergeCell ref="C773:C774"/>
    <mergeCell ref="C775:D775"/>
    <mergeCell ref="B776:B781"/>
    <mergeCell ref="C763:D763"/>
    <mergeCell ref="B764:B769"/>
    <mergeCell ref="B758:B763"/>
    <mergeCell ref="C758:C760"/>
    <mergeCell ref="A776:A781"/>
    <mergeCell ref="A770:A775"/>
    <mergeCell ref="A788:A793"/>
    <mergeCell ref="B788:B793"/>
    <mergeCell ref="C788:C790"/>
    <mergeCell ref="B770:B775"/>
    <mergeCell ref="C785:C786"/>
    <mergeCell ref="C787:D787"/>
    <mergeCell ref="A728:A733"/>
    <mergeCell ref="A740:A745"/>
    <mergeCell ref="C764:C766"/>
    <mergeCell ref="C761:C762"/>
    <mergeCell ref="C767:C768"/>
    <mergeCell ref="C769:D769"/>
    <mergeCell ref="C734:C736"/>
    <mergeCell ref="B728:B733"/>
    <mergeCell ref="C746:C748"/>
    <mergeCell ref="C749:C750"/>
    <mergeCell ref="C755:C756"/>
    <mergeCell ref="B734:B739"/>
    <mergeCell ref="C737:C738"/>
    <mergeCell ref="C728:C730"/>
    <mergeCell ref="C731:C732"/>
    <mergeCell ref="C733:D733"/>
    <mergeCell ref="C751:D751"/>
    <mergeCell ref="B752:B757"/>
    <mergeCell ref="C752:C754"/>
    <mergeCell ref="A734:A739"/>
    <mergeCell ref="C739:D739"/>
    <mergeCell ref="A758:A763"/>
    <mergeCell ref="C757:D757"/>
    <mergeCell ref="A764:A769"/>
    <mergeCell ref="C320:C323"/>
    <mergeCell ref="C324:D324"/>
    <mergeCell ref="C352:D352"/>
    <mergeCell ref="C353:D353"/>
    <mergeCell ref="C358:D358"/>
    <mergeCell ref="C273:D273"/>
    <mergeCell ref="C315:D315"/>
    <mergeCell ref="C333:D333"/>
    <mergeCell ref="C272:D272"/>
    <mergeCell ref="C253:D253"/>
    <mergeCell ref="C283:D283"/>
    <mergeCell ref="C284:D284"/>
    <mergeCell ref="C259:D259"/>
    <mergeCell ref="B295:D295"/>
    <mergeCell ref="B296:D296"/>
    <mergeCell ref="B297:D297"/>
    <mergeCell ref="C316:C319"/>
    <mergeCell ref="C160:D160"/>
    <mergeCell ref="C161:C162"/>
    <mergeCell ref="C163:D163"/>
    <mergeCell ref="C280:D280"/>
    <mergeCell ref="C262:D262"/>
    <mergeCell ref="C230:D230"/>
    <mergeCell ref="C231:D231"/>
    <mergeCell ref="B283:B284"/>
    <mergeCell ref="C408:D408"/>
    <mergeCell ref="C409:C410"/>
    <mergeCell ref="C411:D411"/>
    <mergeCell ref="B400:B405"/>
    <mergeCell ref="C400:D400"/>
    <mergeCell ref="B528:D528"/>
    <mergeCell ref="B418:D418"/>
    <mergeCell ref="A146:A151"/>
    <mergeCell ref="B146:B151"/>
    <mergeCell ref="C146:D146"/>
    <mergeCell ref="C147:D147"/>
    <mergeCell ref="C148:D148"/>
    <mergeCell ref="C149:C150"/>
    <mergeCell ref="C151:D151"/>
    <mergeCell ref="A298:A342"/>
    <mergeCell ref="B334:B342"/>
    <mergeCell ref="C334:C337"/>
    <mergeCell ref="C338:C341"/>
    <mergeCell ref="C342:D342"/>
    <mergeCell ref="A291:A292"/>
    <mergeCell ref="B298:B306"/>
    <mergeCell ref="C298:C301"/>
    <mergeCell ref="B293:D293"/>
    <mergeCell ref="B294:D294"/>
    <mergeCell ref="B640:C641"/>
    <mergeCell ref="B624:C625"/>
    <mergeCell ref="B626:C627"/>
    <mergeCell ref="B660:C661"/>
    <mergeCell ref="B662:D662"/>
    <mergeCell ref="B630:C631"/>
    <mergeCell ref="A549:A621"/>
    <mergeCell ref="C393:D393"/>
    <mergeCell ref="A663:A686"/>
    <mergeCell ref="A394:A399"/>
    <mergeCell ref="B394:B399"/>
    <mergeCell ref="C394:D394"/>
    <mergeCell ref="C395:D395"/>
    <mergeCell ref="C396:D396"/>
    <mergeCell ref="C397:C398"/>
    <mergeCell ref="C399:D399"/>
    <mergeCell ref="C401:D401"/>
    <mergeCell ref="C402:D402"/>
    <mergeCell ref="A400:A405"/>
    <mergeCell ref="C403:C404"/>
    <mergeCell ref="C405:D405"/>
    <mergeCell ref="B406:B411"/>
    <mergeCell ref="C406:D406"/>
    <mergeCell ref="C407:D407"/>
    <mergeCell ref="B518:D518"/>
    <mergeCell ref="B519:D519"/>
    <mergeCell ref="B520:D520"/>
    <mergeCell ref="B462:C469"/>
    <mergeCell ref="A494:A501"/>
    <mergeCell ref="B494:C501"/>
    <mergeCell ref="B509:D509"/>
    <mergeCell ref="A687:A710"/>
    <mergeCell ref="B593:B596"/>
    <mergeCell ref="C593:C594"/>
    <mergeCell ref="C595:C596"/>
    <mergeCell ref="C563:C564"/>
    <mergeCell ref="B565:B568"/>
    <mergeCell ref="B569:B572"/>
    <mergeCell ref="B628:C629"/>
    <mergeCell ref="C565:C566"/>
    <mergeCell ref="C567:C568"/>
    <mergeCell ref="C609:C610"/>
    <mergeCell ref="B589:B592"/>
    <mergeCell ref="C589:C590"/>
    <mergeCell ref="C591:C592"/>
    <mergeCell ref="B581:B584"/>
    <mergeCell ref="B636:C637"/>
    <mergeCell ref="B638:C639"/>
    <mergeCell ref="B525:D525"/>
    <mergeCell ref="B527:D527"/>
    <mergeCell ref="A470:A477"/>
    <mergeCell ref="A478:A485"/>
    <mergeCell ref="A486:A493"/>
    <mergeCell ref="B512:D512"/>
    <mergeCell ref="B513:D513"/>
    <mergeCell ref="A502:A547"/>
    <mergeCell ref="B517:D517"/>
    <mergeCell ref="B470:C477"/>
    <mergeCell ref="B478:C485"/>
    <mergeCell ref="B545:D545"/>
    <mergeCell ref="B530:D530"/>
    <mergeCell ref="B531:D531"/>
    <mergeCell ref="B532:D532"/>
    <mergeCell ref="B535:D535"/>
    <mergeCell ref="B540:D540"/>
    <mergeCell ref="B541:D541"/>
    <mergeCell ref="B536:D536"/>
    <mergeCell ref="B537:D537"/>
    <mergeCell ref="B486:C493"/>
    <mergeCell ref="B502:D502"/>
    <mergeCell ref="B515:D515"/>
    <mergeCell ref="B521:D521"/>
    <mergeCell ref="B712:D712"/>
    <mergeCell ref="C776:C778"/>
    <mergeCell ref="C779:C780"/>
    <mergeCell ref="C549:C550"/>
    <mergeCell ref="C551:C552"/>
    <mergeCell ref="B548:D548"/>
    <mergeCell ref="A818:A823"/>
    <mergeCell ref="B818:B823"/>
    <mergeCell ref="A800:A805"/>
    <mergeCell ref="B800:B805"/>
    <mergeCell ref="C800:C802"/>
    <mergeCell ref="C803:C804"/>
    <mergeCell ref="C805:D805"/>
    <mergeCell ref="A806:A811"/>
    <mergeCell ref="B806:B811"/>
    <mergeCell ref="C806:C808"/>
    <mergeCell ref="A794:A799"/>
    <mergeCell ref="B794:B799"/>
    <mergeCell ref="C794:C796"/>
    <mergeCell ref="C797:C798"/>
    <mergeCell ref="C799:D799"/>
    <mergeCell ref="B713:D713"/>
    <mergeCell ref="C781:D781"/>
    <mergeCell ref="C770:C772"/>
    <mergeCell ref="A782:A787"/>
    <mergeCell ref="B782:B787"/>
    <mergeCell ref="C782:C784"/>
    <mergeCell ref="A236:A241"/>
    <mergeCell ref="C235:D235"/>
    <mergeCell ref="B514:D514"/>
    <mergeCell ref="B516:D516"/>
    <mergeCell ref="A422:A429"/>
    <mergeCell ref="B422:C429"/>
    <mergeCell ref="A430:A437"/>
    <mergeCell ref="B430:C437"/>
    <mergeCell ref="A438:A445"/>
    <mergeCell ref="B438:C445"/>
    <mergeCell ref="A446:A453"/>
    <mergeCell ref="B446:C453"/>
    <mergeCell ref="A454:A461"/>
    <mergeCell ref="B454:C461"/>
    <mergeCell ref="A242:A247"/>
    <mergeCell ref="B254:B259"/>
    <mergeCell ref="C254:D254"/>
    <mergeCell ref="C261:D261"/>
    <mergeCell ref="C255:D255"/>
    <mergeCell ref="C256:D256"/>
    <mergeCell ref="C257:C258"/>
    <mergeCell ref="A406:A411"/>
    <mergeCell ref="A352:A357"/>
    <mergeCell ref="C573:C574"/>
    <mergeCell ref="C575:C576"/>
    <mergeCell ref="B577:B580"/>
    <mergeCell ref="C577:C578"/>
    <mergeCell ref="C579:C580"/>
    <mergeCell ref="B711:D711"/>
    <mergeCell ref="B597:B600"/>
    <mergeCell ref="C597:C598"/>
    <mergeCell ref="C599:C600"/>
    <mergeCell ref="B601:B604"/>
    <mergeCell ref="C601:C602"/>
    <mergeCell ref="C603:C604"/>
    <mergeCell ref="B617:B620"/>
    <mergeCell ref="C611:C612"/>
    <mergeCell ref="B613:B616"/>
    <mergeCell ref="C613:C614"/>
    <mergeCell ref="C615:C616"/>
    <mergeCell ref="B585:B588"/>
    <mergeCell ref="C585:C586"/>
    <mergeCell ref="C587:C588"/>
    <mergeCell ref="A412:A417"/>
    <mergeCell ref="B524:D524"/>
    <mergeCell ref="A283:A284"/>
    <mergeCell ref="A285:A286"/>
    <mergeCell ref="B285:B286"/>
    <mergeCell ref="C285:D285"/>
    <mergeCell ref="C286:D286"/>
    <mergeCell ref="B287:B288"/>
    <mergeCell ref="A287:A288"/>
    <mergeCell ref="C287:D287"/>
    <mergeCell ref="C288:D288"/>
    <mergeCell ref="A839:A841"/>
    <mergeCell ref="B839:B841"/>
    <mergeCell ref="C839:D839"/>
    <mergeCell ref="C840:D840"/>
    <mergeCell ref="C841:D841"/>
    <mergeCell ref="B715:D715"/>
    <mergeCell ref="A830:A832"/>
    <mergeCell ref="B830:B832"/>
    <mergeCell ref="C832:D832"/>
    <mergeCell ref="C809:C810"/>
    <mergeCell ref="C811:D811"/>
    <mergeCell ref="A812:A817"/>
    <mergeCell ref="B812:B817"/>
    <mergeCell ref="C812:C814"/>
    <mergeCell ref="C815:C816"/>
    <mergeCell ref="C817:D817"/>
    <mergeCell ref="A824:A829"/>
    <mergeCell ref="B824:B829"/>
    <mergeCell ref="C824:C826"/>
    <mergeCell ref="C827:C828"/>
    <mergeCell ref="C829:D829"/>
    <mergeCell ref="C818:C820"/>
    <mergeCell ref="C821:C822"/>
    <mergeCell ref="C823:D823"/>
    <mergeCell ref="C830:D830"/>
    <mergeCell ref="C831:D831"/>
    <mergeCell ref="C833:D833"/>
    <mergeCell ref="C834:D834"/>
    <mergeCell ref="C835:D835"/>
    <mergeCell ref="C836:D836"/>
    <mergeCell ref="C837:D837"/>
    <mergeCell ref="A833:A835"/>
    <mergeCell ref="B833:B835"/>
    <mergeCell ref="A836:A838"/>
    <mergeCell ref="B836:B838"/>
    <mergeCell ref="C838:D838"/>
    <mergeCell ref="A842:A844"/>
    <mergeCell ref="B842:B844"/>
    <mergeCell ref="C842:D842"/>
    <mergeCell ref="C843:D843"/>
    <mergeCell ref="C844:D844"/>
    <mergeCell ref="A845:A847"/>
    <mergeCell ref="B845:B847"/>
    <mergeCell ref="C845:D845"/>
    <mergeCell ref="C846:D846"/>
    <mergeCell ref="C847:D847"/>
    <mergeCell ref="A848:A850"/>
    <mergeCell ref="B848:B850"/>
    <mergeCell ref="C848:D848"/>
    <mergeCell ref="C849:D849"/>
    <mergeCell ref="C850:D850"/>
    <mergeCell ref="A851:A853"/>
    <mergeCell ref="B851:B853"/>
    <mergeCell ref="C851:D851"/>
    <mergeCell ref="C852:D852"/>
    <mergeCell ref="C853:D853"/>
    <mergeCell ref="C864:D864"/>
    <mergeCell ref="C865:D865"/>
    <mergeCell ref="A854:A856"/>
    <mergeCell ref="B854:B856"/>
    <mergeCell ref="C854:D854"/>
    <mergeCell ref="C855:D855"/>
    <mergeCell ref="C856:D856"/>
    <mergeCell ref="A857:A859"/>
    <mergeCell ref="B857:B859"/>
    <mergeCell ref="C857:D857"/>
    <mergeCell ref="C858:D858"/>
    <mergeCell ref="C859:D859"/>
    <mergeCell ref="B714:D714"/>
    <mergeCell ref="A872:A874"/>
    <mergeCell ref="B872:B874"/>
    <mergeCell ref="C872:D872"/>
    <mergeCell ref="C873:D873"/>
    <mergeCell ref="C874:D874"/>
    <mergeCell ref="A866:A868"/>
    <mergeCell ref="B866:B868"/>
    <mergeCell ref="C866:D866"/>
    <mergeCell ref="C867:D867"/>
    <mergeCell ref="C868:D868"/>
    <mergeCell ref="A869:A871"/>
    <mergeCell ref="B869:B871"/>
    <mergeCell ref="C869:D869"/>
    <mergeCell ref="C870:D870"/>
    <mergeCell ref="C871:D871"/>
    <mergeCell ref="A860:A862"/>
    <mergeCell ref="B860:B862"/>
    <mergeCell ref="C860:D860"/>
    <mergeCell ref="C861:D861"/>
    <mergeCell ref="C862:D862"/>
    <mergeCell ref="A863:A865"/>
    <mergeCell ref="B863:B865"/>
    <mergeCell ref="C863:D863"/>
  </mergeCells>
  <dataValidations count="1">
    <dataValidation allowBlank="1" sqref="B254 B248 B134 B164 B80 B170 B176 B44 B92 B206 B236 B116 B122 B128 B242 C551 D622 B418:B419 A278 B188 B224 B230 B194 B212 B218 B200 B26 B32 B98 B38 B110 B62 B74 B86 B182 B50 B56 B68 D624 D626 D628 D630 D632 D634 D636 D638 D640 D642 D644 D646 D648 D650 D652 D654 D656 D658 D660 B260 B272 B266 C619 C563 C555 C559 C575 C567 C579 C571 C583 D549:D620 C587 C599 C591 C595 C611 C603 C615 C607 B140 B146 B152 B104 A502 B364 B370 B376 B388 B394 B400 B382 B406 B412 B352 B358 B158 E547"/>
  </dataValidations>
  <pageMargins left="0.7" right="0.7" top="0.75" bottom="0.75" header="0.3" footer="0.3"/>
  <pageSetup orientation="portrait" horizontalDpi="360" verticalDpi="360" r:id="rId1"/>
  <ignoredErrors>
    <ignoredError sqref="A110 A494 A770" numberStoredAsText="1"/>
    <ignoredError sqref="C282 C285:D286 C284 C287:D288" 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49</vt:i4>
      </vt:variant>
    </vt:vector>
  </HeadingPairs>
  <TitlesOfParts>
    <vt:vector size="60" baseType="lpstr">
      <vt:lpstr>Instructions</vt:lpstr>
      <vt:lpstr>ART_1</vt:lpstr>
      <vt:lpstr>ART_2</vt:lpstr>
      <vt:lpstr>ART_3</vt:lpstr>
      <vt:lpstr>ART_4</vt:lpstr>
      <vt:lpstr>ART_5</vt:lpstr>
      <vt:lpstr>Second Line</vt:lpstr>
      <vt:lpstr>Scorecard</vt:lpstr>
      <vt:lpstr>ART Centre Codes</vt:lpstr>
      <vt:lpstr>Analysis Sheet</vt:lpstr>
      <vt:lpstr>Consolidated Sheet</vt:lpstr>
      <vt:lpstr>ART_code</vt:lpstr>
      <vt:lpstr>Coun_1</vt:lpstr>
      <vt:lpstr>Coun_2</vt:lpstr>
      <vt:lpstr>Coun_3</vt:lpstr>
      <vt:lpstr>Coun_4</vt:lpstr>
      <vt:lpstr>CSC_1</vt:lpstr>
      <vt:lpstr>CSC_2</vt:lpstr>
      <vt:lpstr>CSC_3</vt:lpstr>
      <vt:lpstr>DM_1</vt:lpstr>
      <vt:lpstr>DM_2</vt:lpstr>
      <vt:lpstr>DM_3</vt:lpstr>
      <vt:lpstr>LAC_1</vt:lpstr>
      <vt:lpstr>LAC_10</vt:lpstr>
      <vt:lpstr>LAC_11</vt:lpstr>
      <vt:lpstr>LAC_12</vt:lpstr>
      <vt:lpstr>LAC_13</vt:lpstr>
      <vt:lpstr>LAC_14</vt:lpstr>
      <vt:lpstr>LAC_15</vt:lpstr>
      <vt:lpstr>LAC_16</vt:lpstr>
      <vt:lpstr>LAC_17</vt:lpstr>
      <vt:lpstr>LAC_18</vt:lpstr>
      <vt:lpstr>LAC_19</vt:lpstr>
      <vt:lpstr>LAC_2</vt:lpstr>
      <vt:lpstr>LAC_20</vt:lpstr>
      <vt:lpstr>LAC_3</vt:lpstr>
      <vt:lpstr>LAC_4</vt:lpstr>
      <vt:lpstr>LAC_5</vt:lpstr>
      <vt:lpstr>LAC_6</vt:lpstr>
      <vt:lpstr>LAC_7</vt:lpstr>
      <vt:lpstr>LAC_8</vt:lpstr>
      <vt:lpstr>LAC_9</vt:lpstr>
      <vt:lpstr>LAC_begin</vt:lpstr>
      <vt:lpstr>LT_1</vt:lpstr>
      <vt:lpstr>LT_2</vt:lpstr>
      <vt:lpstr>LT_3</vt:lpstr>
      <vt:lpstr>MO_1</vt:lpstr>
      <vt:lpstr>MO_2</vt:lpstr>
      <vt:lpstr>MO_3</vt:lpstr>
      <vt:lpstr>Nurse_1</vt:lpstr>
      <vt:lpstr>Nurse_2</vt:lpstr>
      <vt:lpstr>Nurse_3</vt:lpstr>
      <vt:lpstr>Phar_1</vt:lpstr>
      <vt:lpstr>Phar_2</vt:lpstr>
      <vt:lpstr>Phar_3</vt:lpstr>
      <vt:lpstr>today</vt:lpstr>
      <vt:lpstr>unique_ID</vt:lpstr>
      <vt:lpstr>validation1</vt:lpstr>
      <vt:lpstr>validation2</vt:lpstr>
      <vt:lpstr>validation3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Ajit Sahi</dc:creator>
  <cp:lastModifiedBy>user</cp:lastModifiedBy>
  <cp:lastPrinted>2025-09-04T06:20:51Z</cp:lastPrinted>
  <dcterms:created xsi:type="dcterms:W3CDTF">2013-06-06T07:34:54Z</dcterms:created>
  <dcterms:modified xsi:type="dcterms:W3CDTF">2025-12-04T06:15:41Z</dcterms:modified>
</cp:coreProperties>
</file>