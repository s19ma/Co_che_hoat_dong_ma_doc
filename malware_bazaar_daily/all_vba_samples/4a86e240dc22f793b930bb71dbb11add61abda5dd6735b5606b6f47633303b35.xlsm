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ela\Dropbox\Angela\Simuladores y tablas\"/>
    </mc:Choice>
  </mc:AlternateContent>
  <xr:revisionPtr revIDLastSave="0" documentId="13_ncr:1_{351F9E27-0F72-47DA-89DF-76058F6FF745}" xr6:coauthVersionLast="47" xr6:coauthVersionMax="47" xr10:uidLastSave="{00000000-0000-0000-0000-000000000000}"/>
  <bookViews>
    <workbookView xWindow="-120" yWindow="-120" windowWidth="29040" windowHeight="15720" activeTab="3" xr2:uid="{91B45930-DC1D-496E-BCBE-F7CE2C5A5380}"/>
  </bookViews>
  <sheets>
    <sheet name="Formulas" sheetId="1" r:id="rId1"/>
    <sheet name="Simulador" sheetId="2" r:id="rId2"/>
    <sheet name="TA" sheetId="3" r:id="rId3"/>
    <sheet name="Simulador con incremento" sheetId="4" r:id="rId4"/>
    <sheet name="TA+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9" i="1" l="1"/>
  <c r="R28" i="1"/>
  <c r="C3" i="1"/>
  <c r="C4" i="1" s="1"/>
  <c r="C5" i="1" s="1"/>
  <c r="G4" i="1"/>
  <c r="G10" i="1" s="1"/>
  <c r="G11" i="1" s="1"/>
  <c r="G22" i="1" s="1"/>
  <c r="H4" i="1"/>
  <c r="G5" i="1"/>
  <c r="G25" i="1" s="1"/>
  <c r="H5" i="1"/>
  <c r="G6" i="1"/>
  <c r="G7" i="1"/>
  <c r="G8" i="1"/>
  <c r="G24" i="1" s="1"/>
  <c r="G12" i="1"/>
  <c r="H12" i="1"/>
  <c r="G14" i="1"/>
  <c r="I14" i="1"/>
  <c r="L14" i="1"/>
  <c r="G15" i="1"/>
  <c r="I15" i="1"/>
  <c r="G16" i="1"/>
  <c r="I16" i="1"/>
  <c r="L16" i="1"/>
  <c r="L26" i="1" s="1"/>
  <c r="G18" i="1"/>
  <c r="H18" i="1"/>
  <c r="O20" i="1"/>
  <c r="R20" i="1"/>
  <c r="R26" i="1" s="1"/>
  <c r="H48" i="4" s="1"/>
  <c r="O22" i="1"/>
  <c r="R22" i="1"/>
  <c r="L23" i="1"/>
  <c r="D24" i="1"/>
  <c r="O24" i="1"/>
  <c r="R24" i="1"/>
  <c r="D25" i="1"/>
  <c r="L25" i="1"/>
  <c r="D26" i="1"/>
  <c r="G26" i="1"/>
  <c r="D27" i="1"/>
  <c r="L32" i="1"/>
  <c r="L34" i="1"/>
  <c r="O35" i="1"/>
  <c r="O36" i="1"/>
  <c r="L40" i="1"/>
  <c r="N41" i="1"/>
  <c r="L42" i="1"/>
  <c r="B9" i="3"/>
  <c r="L24" i="1" s="1"/>
  <c r="B9" i="5"/>
  <c r="L41" i="1" s="1"/>
  <c r="G27" i="1" l="1"/>
  <c r="L17" i="1"/>
  <c r="G9" i="1"/>
  <c r="L35" i="1"/>
  <c r="G17" i="1"/>
  <c r="G23" i="1" s="1"/>
  <c r="L27" i="1"/>
  <c r="L28" i="1" s="1"/>
  <c r="L43" i="1"/>
  <c r="L44" i="1" s="1"/>
  <c r="L45" i="1" s="1"/>
  <c r="D5" i="1"/>
  <c r="E9" i="4" s="1"/>
  <c r="H11" i="1"/>
  <c r="H22" i="1" s="1"/>
  <c r="H25" i="1"/>
  <c r="H10" i="1"/>
  <c r="H7" i="1"/>
  <c r="H6" i="1"/>
  <c r="H27" i="1" s="1"/>
  <c r="G21" i="1"/>
  <c r="H9" i="1"/>
  <c r="O32" i="1"/>
  <c r="O37" i="1" s="1"/>
  <c r="L33" i="1"/>
  <c r="L36" i="1" s="1"/>
  <c r="L37" i="1" s="1"/>
  <c r="H17" i="1"/>
  <c r="H23" i="1" s="1"/>
  <c r="H8" i="1"/>
  <c r="H24" i="1" s="1"/>
  <c r="L15" i="1"/>
  <c r="L18" i="1" s="1"/>
  <c r="L19" i="1" s="1"/>
  <c r="H26" i="1"/>
  <c r="F2" i="3"/>
  <c r="F1" i="3"/>
  <c r="I15" i="3" s="1"/>
  <c r="I19" i="3" s="1"/>
  <c r="F2" i="5"/>
  <c r="A13" i="5" s="1"/>
  <c r="A14" i="5" s="1"/>
  <c r="F1" i="5"/>
  <c r="F12" i="5" s="1"/>
  <c r="I45" i="5"/>
  <c r="I28" i="5"/>
  <c r="I22" i="5"/>
  <c r="M21" i="5"/>
  <c r="M22" i="5" s="1"/>
  <c r="M23" i="5" s="1"/>
  <c r="M24" i="5" s="1"/>
  <c r="M25" i="5" s="1"/>
  <c r="N17" i="5"/>
  <c r="M17" i="5"/>
  <c r="O17" i="5" s="1"/>
  <c r="N16" i="5"/>
  <c r="M16" i="5"/>
  <c r="H14" i="5"/>
  <c r="O11" i="5"/>
  <c r="N8" i="5"/>
  <c r="M8" i="5"/>
  <c r="B8" i="5"/>
  <c r="M7" i="5"/>
  <c r="N7" i="5" s="1"/>
  <c r="I4" i="5"/>
  <c r="O3" i="5"/>
  <c r="N3" i="5"/>
  <c r="O2" i="5"/>
  <c r="N2" i="5"/>
  <c r="I2" i="5"/>
  <c r="I5" i="5" s="1"/>
  <c r="I6" i="5" s="1"/>
  <c r="I23" i="5" s="1"/>
  <c r="O1" i="5"/>
  <c r="N1" i="5"/>
  <c r="I45" i="3"/>
  <c r="I28" i="3"/>
  <c r="I22" i="3"/>
  <c r="M21" i="3"/>
  <c r="M22" i="3" s="1"/>
  <c r="M23" i="3" s="1"/>
  <c r="M24" i="3" s="1"/>
  <c r="M25" i="3" s="1"/>
  <c r="M26" i="3" s="1"/>
  <c r="M27" i="3" s="1"/>
  <c r="M17" i="3"/>
  <c r="N16" i="3"/>
  <c r="N17" i="3" s="1"/>
  <c r="M16" i="3"/>
  <c r="H14" i="3"/>
  <c r="A13" i="3"/>
  <c r="O11" i="3"/>
  <c r="N8" i="3"/>
  <c r="M8" i="3"/>
  <c r="B8" i="3"/>
  <c r="M7" i="3"/>
  <c r="N7" i="3" s="1"/>
  <c r="I4" i="3"/>
  <c r="O3" i="3"/>
  <c r="N3" i="3"/>
  <c r="O2" i="3"/>
  <c r="N2" i="3"/>
  <c r="I2" i="3"/>
  <c r="I5" i="3" s="1"/>
  <c r="I6" i="3" s="1"/>
  <c r="I23" i="3" s="1"/>
  <c r="O1" i="3"/>
  <c r="N1" i="3"/>
  <c r="A14" i="3" l="1"/>
  <c r="A15" i="3" s="1"/>
  <c r="O16" i="5"/>
  <c r="O16" i="3"/>
  <c r="O17" i="3"/>
  <c r="G20" i="1"/>
  <c r="G19" i="1"/>
  <c r="I24" i="3"/>
  <c r="I15" i="5"/>
  <c r="I19" i="5" s="1"/>
  <c r="H20" i="1"/>
  <c r="H19" i="1"/>
  <c r="H21" i="1"/>
  <c r="F12" i="3"/>
  <c r="A15" i="5"/>
  <c r="A16" i="5" s="1"/>
  <c r="A17" i="5" s="1"/>
  <c r="I24" i="5"/>
  <c r="M26" i="5"/>
  <c r="M27" i="5" s="1"/>
  <c r="M28" i="5" s="1"/>
  <c r="M29" i="5" s="1"/>
  <c r="M30" i="5" s="1"/>
  <c r="M31" i="5" s="1"/>
  <c r="M32" i="5" s="1"/>
  <c r="M33" i="5" s="1"/>
  <c r="M34" i="5" s="1"/>
  <c r="M35" i="5" s="1"/>
  <c r="M36" i="5" s="1"/>
  <c r="M37" i="5" s="1"/>
  <c r="M38" i="5" s="1"/>
  <c r="M39" i="5" s="1"/>
  <c r="M40" i="5" s="1"/>
  <c r="M41" i="5" s="1"/>
  <c r="M42" i="5" s="1"/>
  <c r="M43" i="5" s="1"/>
  <c r="M44" i="5" s="1"/>
  <c r="M45" i="5" s="1"/>
  <c r="M46" i="5" s="1"/>
  <c r="M47" i="5" s="1"/>
  <c r="M48" i="5" s="1"/>
  <c r="M49" i="5" s="1"/>
  <c r="M50" i="5" s="1"/>
  <c r="M51" i="5" s="1"/>
  <c r="M52" i="5" s="1"/>
  <c r="M53" i="5" s="1"/>
  <c r="M54" i="5" s="1"/>
  <c r="M55" i="5" s="1"/>
  <c r="M56" i="5" s="1"/>
  <c r="M57" i="5" s="1"/>
  <c r="M58" i="5" s="1"/>
  <c r="M59" i="5" s="1"/>
  <c r="M60" i="5" s="1"/>
  <c r="M61" i="5" s="1"/>
  <c r="M62" i="5" s="1"/>
  <c r="M63" i="5" s="1"/>
  <c r="M64" i="5" s="1"/>
  <c r="M65" i="5" s="1"/>
  <c r="M66" i="5" s="1"/>
  <c r="M67" i="5" s="1"/>
  <c r="M68" i="5" s="1"/>
  <c r="M69" i="5" s="1"/>
  <c r="M70" i="5" s="1"/>
  <c r="M71" i="5" s="1"/>
  <c r="M72" i="5" s="1"/>
  <c r="M73" i="5" s="1"/>
  <c r="M74" i="5" s="1"/>
  <c r="M75" i="5" s="1"/>
  <c r="M76" i="5" s="1"/>
  <c r="M77" i="5" s="1"/>
  <c r="M78" i="5" s="1"/>
  <c r="M79" i="5" s="1"/>
  <c r="M80" i="5" s="1"/>
  <c r="M81" i="5" s="1"/>
  <c r="M82" i="5" s="1"/>
  <c r="M83" i="5" s="1"/>
  <c r="M84" i="5" s="1"/>
  <c r="M85" i="5" s="1"/>
  <c r="M86" i="5" s="1"/>
  <c r="M87" i="5" s="1"/>
  <c r="M88" i="5" s="1"/>
  <c r="M89" i="5" s="1"/>
  <c r="M90" i="5" s="1"/>
  <c r="M91" i="5" s="1"/>
  <c r="M92" i="5" s="1"/>
  <c r="M93" i="5" s="1"/>
  <c r="M94" i="5" s="1"/>
  <c r="M95" i="5" s="1"/>
  <c r="M96" i="5" s="1"/>
  <c r="M97" i="5" s="1"/>
  <c r="M98" i="5" s="1"/>
  <c r="M99" i="5" s="1"/>
  <c r="M100" i="5" s="1"/>
  <c r="M101" i="5" s="1"/>
  <c r="M102" i="5" s="1"/>
  <c r="M103" i="5" s="1"/>
  <c r="M104" i="5" s="1"/>
  <c r="M105" i="5" s="1"/>
  <c r="M106" i="5" s="1"/>
  <c r="M107" i="5" s="1"/>
  <c r="M108" i="5" s="1"/>
  <c r="M109" i="5" s="1"/>
  <c r="M110" i="5" s="1"/>
  <c r="M111" i="5" s="1"/>
  <c r="M112" i="5" s="1"/>
  <c r="M113" i="5" s="1"/>
  <c r="M114" i="5" s="1"/>
  <c r="M115" i="5" s="1"/>
  <c r="M116" i="5" s="1"/>
  <c r="M117" i="5" s="1"/>
  <c r="M118" i="5" s="1"/>
  <c r="M119" i="5" s="1"/>
  <c r="M120" i="5" s="1"/>
  <c r="M121" i="5" s="1"/>
  <c r="M122" i="5" s="1"/>
  <c r="M123" i="5" s="1"/>
  <c r="M124" i="5" s="1"/>
  <c r="M125" i="5" s="1"/>
  <c r="M126" i="5" s="1"/>
  <c r="M127" i="5" s="1"/>
  <c r="M128" i="5" s="1"/>
  <c r="M129" i="5" s="1"/>
  <c r="M130" i="5" s="1"/>
  <c r="M131" i="5" s="1"/>
  <c r="M132" i="5" s="1"/>
  <c r="M133" i="5" s="1"/>
  <c r="M134" i="5" s="1"/>
  <c r="M135" i="5" s="1"/>
  <c r="M136" i="5" s="1"/>
  <c r="M137" i="5" s="1"/>
  <c r="M138" i="5" s="1"/>
  <c r="M139" i="5" s="1"/>
  <c r="M140" i="5" s="1"/>
  <c r="M141" i="5" s="1"/>
  <c r="M142" i="5" s="1"/>
  <c r="M143" i="5" s="1"/>
  <c r="M144" i="5" s="1"/>
  <c r="M145" i="5" s="1"/>
  <c r="M146" i="5" s="1"/>
  <c r="M147" i="5" s="1"/>
  <c r="M148" i="5" s="1"/>
  <c r="M149" i="5" s="1"/>
  <c r="M150" i="5" s="1"/>
  <c r="M151" i="5" s="1"/>
  <c r="M152" i="5" s="1"/>
  <c r="M153" i="5" s="1"/>
  <c r="M154" i="5" s="1"/>
  <c r="M155" i="5" s="1"/>
  <c r="M156" i="5" s="1"/>
  <c r="M157" i="5" s="1"/>
  <c r="M158" i="5" s="1"/>
  <c r="M159" i="5" s="1"/>
  <c r="M160" i="5" s="1"/>
  <c r="M161" i="5" s="1"/>
  <c r="M162" i="5" s="1"/>
  <c r="M163" i="5" s="1"/>
  <c r="M164" i="5" s="1"/>
  <c r="M165" i="5" s="1"/>
  <c r="M166" i="5" s="1"/>
  <c r="M167" i="5" s="1"/>
  <c r="M168" i="5" s="1"/>
  <c r="M169" i="5" s="1"/>
  <c r="M170" i="5" s="1"/>
  <c r="M171" i="5" s="1"/>
  <c r="M172" i="5" s="1"/>
  <c r="M173" i="5" s="1"/>
  <c r="M174" i="5" s="1"/>
  <c r="M175" i="5" s="1"/>
  <c r="M176" i="5" s="1"/>
  <c r="M177" i="5" s="1"/>
  <c r="E13" i="5"/>
  <c r="E14" i="5" s="1"/>
  <c r="E15" i="5" s="1"/>
  <c r="E16" i="5" s="1"/>
  <c r="I36" i="5"/>
  <c r="D13" i="5"/>
  <c r="I25" i="3"/>
  <c r="N163" i="3" s="1"/>
  <c r="I36" i="3"/>
  <c r="I39" i="3" s="1"/>
  <c r="M28" i="3"/>
  <c r="M29" i="3" s="1"/>
  <c r="M30" i="3" s="1"/>
  <c r="A16" i="3"/>
  <c r="I46" i="3"/>
  <c r="I25" i="5" l="1"/>
  <c r="N66" i="5" s="1"/>
  <c r="I46" i="5"/>
  <c r="I39" i="5"/>
  <c r="N59" i="3"/>
  <c r="O26" i="3"/>
  <c r="E13" i="3"/>
  <c r="E14" i="3" s="1"/>
  <c r="E15" i="3" s="1"/>
  <c r="D13" i="3"/>
  <c r="N135" i="3"/>
  <c r="N102" i="3"/>
  <c r="N87" i="3"/>
  <c r="O22" i="3"/>
  <c r="N110" i="3"/>
  <c r="N40" i="3"/>
  <c r="N68" i="3"/>
  <c r="N67" i="3"/>
  <c r="N38" i="3"/>
  <c r="N54" i="3"/>
  <c r="N158" i="3"/>
  <c r="N105" i="3"/>
  <c r="N153" i="3"/>
  <c r="O25" i="3"/>
  <c r="N73" i="3"/>
  <c r="N96" i="3"/>
  <c r="N48" i="3"/>
  <c r="O29" i="3"/>
  <c r="N32" i="3"/>
  <c r="N35" i="3"/>
  <c r="N144" i="3"/>
  <c r="O177" i="5"/>
  <c r="N49" i="5"/>
  <c r="N70" i="5"/>
  <c r="N50" i="5"/>
  <c r="N48" i="5"/>
  <c r="N165" i="5"/>
  <c r="N147" i="5"/>
  <c r="O82" i="5"/>
  <c r="O129" i="5"/>
  <c r="N150" i="5"/>
  <c r="N104" i="5"/>
  <c r="O112" i="5"/>
  <c r="O52" i="5"/>
  <c r="N166" i="5"/>
  <c r="N36" i="5"/>
  <c r="N108" i="5"/>
  <c r="O41" i="5"/>
  <c r="O44" i="5"/>
  <c r="O120" i="5"/>
  <c r="O169" i="5"/>
  <c r="O58" i="5"/>
  <c r="O160" i="5"/>
  <c r="N96" i="5"/>
  <c r="N44" i="5"/>
  <c r="N154" i="5"/>
  <c r="N152" i="5"/>
  <c r="N30" i="5"/>
  <c r="O27" i="5"/>
  <c r="O103" i="5"/>
  <c r="O30" i="5"/>
  <c r="N158" i="5"/>
  <c r="N26" i="5"/>
  <c r="N144" i="5"/>
  <c r="N31" i="5"/>
  <c r="N22" i="5"/>
  <c r="N162" i="5"/>
  <c r="N156" i="5"/>
  <c r="O62" i="5"/>
  <c r="O37" i="5"/>
  <c r="O111" i="5"/>
  <c r="N68" i="5"/>
  <c r="N46" i="5"/>
  <c r="N138" i="5"/>
  <c r="N118" i="5"/>
  <c r="N28" i="5"/>
  <c r="N105" i="5"/>
  <c r="N87" i="5"/>
  <c r="O126" i="5"/>
  <c r="O151" i="5"/>
  <c r="N52" i="5"/>
  <c r="N72" i="5"/>
  <c r="O71" i="5"/>
  <c r="N174" i="5"/>
  <c r="N40" i="5"/>
  <c r="N33" i="5"/>
  <c r="N113" i="5"/>
  <c r="N95" i="5"/>
  <c r="O65" i="5"/>
  <c r="O134" i="5"/>
  <c r="N25" i="5"/>
  <c r="N23" i="5"/>
  <c r="N38" i="5"/>
  <c r="N117" i="5"/>
  <c r="N99" i="5"/>
  <c r="O73" i="5"/>
  <c r="O174" i="5"/>
  <c r="O25" i="5"/>
  <c r="N29" i="5"/>
  <c r="N153" i="5"/>
  <c r="N135" i="5"/>
  <c r="O81" i="5"/>
  <c r="N39" i="5"/>
  <c r="N161" i="5"/>
  <c r="N143" i="5"/>
  <c r="O45" i="5"/>
  <c r="O121" i="5"/>
  <c r="N43" i="5"/>
  <c r="N130" i="5"/>
  <c r="N101" i="5"/>
  <c r="N149" i="5"/>
  <c r="N92" i="5"/>
  <c r="N140" i="5"/>
  <c r="N83" i="5"/>
  <c r="N131" i="5"/>
  <c r="N78" i="5"/>
  <c r="O61" i="5"/>
  <c r="O34" i="5"/>
  <c r="O67" i="5"/>
  <c r="O70" i="5"/>
  <c r="O122" i="5"/>
  <c r="O170" i="5"/>
  <c r="O117" i="5"/>
  <c r="O165" i="5"/>
  <c r="O108" i="5"/>
  <c r="O156" i="5"/>
  <c r="O99" i="5"/>
  <c r="O147" i="5"/>
  <c r="O49" i="5"/>
  <c r="N146" i="5"/>
  <c r="N109" i="5"/>
  <c r="N157" i="5"/>
  <c r="N100" i="5"/>
  <c r="N148" i="5"/>
  <c r="N91" i="5"/>
  <c r="N139" i="5"/>
  <c r="N56" i="5"/>
  <c r="O22" i="5"/>
  <c r="O69" i="5"/>
  <c r="O55" i="5"/>
  <c r="O64" i="5"/>
  <c r="O21" i="5"/>
  <c r="O130" i="5"/>
  <c r="O77" i="5"/>
  <c r="O125" i="5"/>
  <c r="O173" i="5"/>
  <c r="O116" i="5"/>
  <c r="O164" i="5"/>
  <c r="O107" i="5"/>
  <c r="O155" i="5"/>
  <c r="O78" i="5"/>
  <c r="O138" i="5"/>
  <c r="O76" i="5"/>
  <c r="O115" i="5"/>
  <c r="O163" i="5"/>
  <c r="N51" i="5"/>
  <c r="N59" i="5"/>
  <c r="N86" i="5"/>
  <c r="N54" i="5"/>
  <c r="N42" i="5"/>
  <c r="N170" i="5"/>
  <c r="N121" i="5"/>
  <c r="N169" i="5"/>
  <c r="N112" i="5"/>
  <c r="N160" i="5"/>
  <c r="N103" i="5"/>
  <c r="N151" i="5"/>
  <c r="O56" i="5"/>
  <c r="O60" i="5"/>
  <c r="O86" i="5"/>
  <c r="O43" i="5"/>
  <c r="O142" i="5"/>
  <c r="O89" i="5"/>
  <c r="O137" i="5"/>
  <c r="O80" i="5"/>
  <c r="O128" i="5"/>
  <c r="O176" i="5"/>
  <c r="O119" i="5"/>
  <c r="O167" i="5"/>
  <c r="N62" i="5"/>
  <c r="N63" i="5"/>
  <c r="I50" i="5"/>
  <c r="N47" i="5"/>
  <c r="N77" i="5"/>
  <c r="N125" i="5"/>
  <c r="N173" i="5"/>
  <c r="N116" i="5"/>
  <c r="N164" i="5"/>
  <c r="N107" i="5"/>
  <c r="N155" i="5"/>
  <c r="O26" i="5"/>
  <c r="O72" i="5"/>
  <c r="O23" i="5"/>
  <c r="O90" i="5"/>
  <c r="O48" i="5"/>
  <c r="O146" i="5"/>
  <c r="O93" i="5"/>
  <c r="O141" i="5"/>
  <c r="O84" i="5"/>
  <c r="O132" i="5"/>
  <c r="O75" i="5"/>
  <c r="O123" i="5"/>
  <c r="O171" i="5"/>
  <c r="O74" i="5"/>
  <c r="O133" i="5"/>
  <c r="N24" i="5"/>
  <c r="N67" i="5"/>
  <c r="N94" i="5"/>
  <c r="N122" i="5"/>
  <c r="N57" i="5"/>
  <c r="N81" i="5"/>
  <c r="N129" i="5"/>
  <c r="N177" i="5"/>
  <c r="N120" i="5"/>
  <c r="N168" i="5"/>
  <c r="N111" i="5"/>
  <c r="N159" i="5"/>
  <c r="N64" i="5"/>
  <c r="O36" i="5"/>
  <c r="O24" i="5"/>
  <c r="O29" i="5"/>
  <c r="O94" i="5"/>
  <c r="O32" i="5"/>
  <c r="O150" i="5"/>
  <c r="O97" i="5"/>
  <c r="O145" i="5"/>
  <c r="O88" i="5"/>
  <c r="O136" i="5"/>
  <c r="O79" i="5"/>
  <c r="O127" i="5"/>
  <c r="O175" i="5"/>
  <c r="N90" i="5"/>
  <c r="N34" i="5"/>
  <c r="N71" i="5"/>
  <c r="N98" i="5"/>
  <c r="N32" i="5"/>
  <c r="N61" i="5"/>
  <c r="N85" i="5"/>
  <c r="N133" i="5"/>
  <c r="N76" i="5"/>
  <c r="N124" i="5"/>
  <c r="N172" i="5"/>
  <c r="N115" i="5"/>
  <c r="N163" i="5"/>
  <c r="N41" i="5"/>
  <c r="O42" i="5"/>
  <c r="O40" i="5"/>
  <c r="O39" i="5"/>
  <c r="O98" i="5"/>
  <c r="O53" i="5"/>
  <c r="O154" i="5"/>
  <c r="O101" i="5"/>
  <c r="O149" i="5"/>
  <c r="O92" i="5"/>
  <c r="O140" i="5"/>
  <c r="O83" i="5"/>
  <c r="O131" i="5"/>
  <c r="N35" i="5"/>
  <c r="O159" i="5"/>
  <c r="O85" i="5"/>
  <c r="N114" i="5"/>
  <c r="N126" i="5"/>
  <c r="N102" i="5"/>
  <c r="N53" i="5"/>
  <c r="N65" i="5"/>
  <c r="N89" i="5"/>
  <c r="N137" i="5"/>
  <c r="N80" i="5"/>
  <c r="N128" i="5"/>
  <c r="N176" i="5"/>
  <c r="N119" i="5"/>
  <c r="N167" i="5"/>
  <c r="O31" i="5"/>
  <c r="O51" i="5"/>
  <c r="O50" i="5"/>
  <c r="O102" i="5"/>
  <c r="O110" i="5"/>
  <c r="O158" i="5"/>
  <c r="O105" i="5"/>
  <c r="O153" i="5"/>
  <c r="O96" i="5"/>
  <c r="O144" i="5"/>
  <c r="O87" i="5"/>
  <c r="O135" i="5"/>
  <c r="N60" i="5"/>
  <c r="E17" i="5"/>
  <c r="A18" i="5"/>
  <c r="O168" i="5"/>
  <c r="O124" i="5"/>
  <c r="N74" i="5"/>
  <c r="N55" i="5"/>
  <c r="N106" i="5"/>
  <c r="N27" i="5"/>
  <c r="N69" i="5"/>
  <c r="N93" i="5"/>
  <c r="N141" i="5"/>
  <c r="N84" i="5"/>
  <c r="N132" i="5"/>
  <c r="N75" i="5"/>
  <c r="N123" i="5"/>
  <c r="N171" i="5"/>
  <c r="O35" i="5"/>
  <c r="O47" i="5"/>
  <c r="O46" i="5"/>
  <c r="O59" i="5"/>
  <c r="O106" i="5"/>
  <c r="O114" i="5"/>
  <c r="O162" i="5"/>
  <c r="O109" i="5"/>
  <c r="O157" i="5"/>
  <c r="O100" i="5"/>
  <c r="O148" i="5"/>
  <c r="O91" i="5"/>
  <c r="O139" i="5"/>
  <c r="O68" i="5"/>
  <c r="O172" i="5"/>
  <c r="N58" i="5"/>
  <c r="O38" i="5"/>
  <c r="N45" i="5"/>
  <c r="O33" i="5"/>
  <c r="N134" i="5"/>
  <c r="O28" i="5"/>
  <c r="N82" i="5"/>
  <c r="N142" i="5"/>
  <c r="N110" i="5"/>
  <c r="N37" i="5"/>
  <c r="N73" i="5"/>
  <c r="N97" i="5"/>
  <c r="N145" i="5"/>
  <c r="N88" i="5"/>
  <c r="N136" i="5"/>
  <c r="N79" i="5"/>
  <c r="N127" i="5"/>
  <c r="N175" i="5"/>
  <c r="N21" i="5"/>
  <c r="O57" i="5"/>
  <c r="O63" i="5"/>
  <c r="O66" i="5"/>
  <c r="O118" i="5"/>
  <c r="O166" i="5"/>
  <c r="O113" i="5"/>
  <c r="O161" i="5"/>
  <c r="O104" i="5"/>
  <c r="O152" i="5"/>
  <c r="O95" i="5"/>
  <c r="O143" i="5"/>
  <c r="O54" i="5"/>
  <c r="O23" i="3"/>
  <c r="N58" i="3"/>
  <c r="N26" i="3"/>
  <c r="N41" i="3"/>
  <c r="N51" i="3"/>
  <c r="N71" i="3"/>
  <c r="N114" i="3"/>
  <c r="N162" i="3"/>
  <c r="N109" i="3"/>
  <c r="N157" i="3"/>
  <c r="N100" i="3"/>
  <c r="N148" i="3"/>
  <c r="N91" i="3"/>
  <c r="N139" i="3"/>
  <c r="N62" i="3"/>
  <c r="N36" i="3"/>
  <c r="N52" i="3"/>
  <c r="N34" i="3"/>
  <c r="N44" i="3"/>
  <c r="N118" i="3"/>
  <c r="N166" i="3"/>
  <c r="N113" i="3"/>
  <c r="N161" i="3"/>
  <c r="N104" i="3"/>
  <c r="N152" i="3"/>
  <c r="N95" i="3"/>
  <c r="N143" i="3"/>
  <c r="N66" i="3"/>
  <c r="N42" i="3"/>
  <c r="N53" i="3"/>
  <c r="N45" i="3"/>
  <c r="N74" i="3"/>
  <c r="N122" i="3"/>
  <c r="N170" i="3"/>
  <c r="N117" i="3"/>
  <c r="N165" i="3"/>
  <c r="N108" i="3"/>
  <c r="N156" i="3"/>
  <c r="N99" i="3"/>
  <c r="N147" i="3"/>
  <c r="N70" i="3"/>
  <c r="N169" i="3"/>
  <c r="O30" i="3"/>
  <c r="M31" i="3"/>
  <c r="N21" i="3"/>
  <c r="N61" i="3"/>
  <c r="N30" i="3"/>
  <c r="N24" i="3"/>
  <c r="N82" i="3"/>
  <c r="N130" i="3"/>
  <c r="N77" i="3"/>
  <c r="N125" i="3"/>
  <c r="N173" i="3"/>
  <c r="N116" i="3"/>
  <c r="N164" i="3"/>
  <c r="N107" i="3"/>
  <c r="N155" i="3"/>
  <c r="N47" i="3"/>
  <c r="N126" i="3"/>
  <c r="N160" i="3"/>
  <c r="O24" i="3"/>
  <c r="N27" i="3"/>
  <c r="N69" i="3"/>
  <c r="N46" i="3"/>
  <c r="N23" i="3"/>
  <c r="N86" i="3"/>
  <c r="N134" i="3"/>
  <c r="N81" i="3"/>
  <c r="N129" i="3"/>
  <c r="N177" i="3"/>
  <c r="N120" i="3"/>
  <c r="N168" i="3"/>
  <c r="N111" i="3"/>
  <c r="N159" i="3"/>
  <c r="N55" i="3"/>
  <c r="N121" i="3"/>
  <c r="N151" i="3"/>
  <c r="N22" i="3"/>
  <c r="I50" i="3"/>
  <c r="N31" i="3"/>
  <c r="N56" i="3"/>
  <c r="N29" i="3"/>
  <c r="N90" i="3"/>
  <c r="N138" i="3"/>
  <c r="N85" i="3"/>
  <c r="N133" i="3"/>
  <c r="N76" i="3"/>
  <c r="N124" i="3"/>
  <c r="N172" i="3"/>
  <c r="N115" i="3"/>
  <c r="N174" i="3"/>
  <c r="N112" i="3"/>
  <c r="N28" i="3"/>
  <c r="N37" i="3"/>
  <c r="N57" i="3"/>
  <c r="N60" i="3"/>
  <c r="N39" i="3"/>
  <c r="N94" i="3"/>
  <c r="N142" i="3"/>
  <c r="N89" i="3"/>
  <c r="N137" i="3"/>
  <c r="N80" i="3"/>
  <c r="N128" i="3"/>
  <c r="N176" i="3"/>
  <c r="N119" i="3"/>
  <c r="N167" i="3"/>
  <c r="O27" i="3"/>
  <c r="N78" i="3"/>
  <c r="N103" i="3"/>
  <c r="N33" i="3"/>
  <c r="N43" i="3"/>
  <c r="N65" i="3"/>
  <c r="N64" i="3"/>
  <c r="N50" i="3"/>
  <c r="N98" i="3"/>
  <c r="N146" i="3"/>
  <c r="N93" i="3"/>
  <c r="N141" i="3"/>
  <c r="N84" i="3"/>
  <c r="N132" i="3"/>
  <c r="N75" i="3"/>
  <c r="N123" i="3"/>
  <c r="N171" i="3"/>
  <c r="N150" i="3"/>
  <c r="N97" i="3"/>
  <c r="N145" i="3"/>
  <c r="N88" i="3"/>
  <c r="N136" i="3"/>
  <c r="N79" i="3"/>
  <c r="N127" i="3"/>
  <c r="N175" i="3"/>
  <c r="O28" i="3"/>
  <c r="E16" i="3"/>
  <c r="A17" i="3"/>
  <c r="N49" i="3"/>
  <c r="O21" i="3"/>
  <c r="N25" i="3"/>
  <c r="N72" i="3"/>
  <c r="N63" i="3"/>
  <c r="N106" i="3"/>
  <c r="N154" i="3"/>
  <c r="N101" i="3"/>
  <c r="N149" i="3"/>
  <c r="N92" i="3"/>
  <c r="N140" i="3"/>
  <c r="N83" i="3"/>
  <c r="N131" i="3"/>
  <c r="F4" i="3" l="1"/>
  <c r="O12" i="3" s="1"/>
  <c r="O13" i="3" s="1"/>
  <c r="F3" i="5"/>
  <c r="F4" i="5"/>
  <c r="O12" i="5" s="1"/>
  <c r="O13" i="5" s="1"/>
  <c r="A19" i="5"/>
  <c r="E18" i="5"/>
  <c r="M32" i="3"/>
  <c r="O31" i="3"/>
  <c r="A18" i="3"/>
  <c r="E17" i="3"/>
  <c r="F5" i="5" l="1"/>
  <c r="I12" i="3"/>
  <c r="I17" i="3"/>
  <c r="I16" i="5"/>
  <c r="I11" i="5"/>
  <c r="I12" i="5"/>
  <c r="I17" i="5"/>
  <c r="I38" i="5" s="1"/>
  <c r="A20" i="5"/>
  <c r="E19" i="5"/>
  <c r="I21" i="5"/>
  <c r="I26" i="5" s="1"/>
  <c r="I27" i="5" s="1"/>
  <c r="I20" i="5"/>
  <c r="M33" i="3"/>
  <c r="O32" i="3"/>
  <c r="A19" i="3"/>
  <c r="E18" i="3"/>
  <c r="I21" i="3"/>
  <c r="I26" i="3" s="1"/>
  <c r="I27" i="3" s="1"/>
  <c r="I13" i="5" l="1"/>
  <c r="I7" i="5" a="1"/>
  <c r="I7" i="5" s="1"/>
  <c r="I29" i="5"/>
  <c r="I48" i="5"/>
  <c r="I37" i="5"/>
  <c r="I42" i="5"/>
  <c r="I43" i="5" s="1"/>
  <c r="I31" i="5"/>
  <c r="I32" i="5" s="1"/>
  <c r="E20" i="5"/>
  <c r="A21" i="5"/>
  <c r="I29" i="3"/>
  <c r="I7" i="3" a="1"/>
  <c r="I7" i="3" s="1"/>
  <c r="A20" i="3"/>
  <c r="E19" i="3"/>
  <c r="M34" i="3"/>
  <c r="O33" i="3"/>
  <c r="A22" i="5" l="1"/>
  <c r="E21" i="5"/>
  <c r="I49" i="5"/>
  <c r="I51" i="5" s="1"/>
  <c r="I52" i="5" s="1"/>
  <c r="I56" i="5" s="1"/>
  <c r="I40" i="5"/>
  <c r="I41" i="5" s="1"/>
  <c r="F7" i="5"/>
  <c r="E47" i="4" s="1"/>
  <c r="B13" i="5"/>
  <c r="F7" i="3"/>
  <c r="B13" i="3"/>
  <c r="E20" i="3"/>
  <c r="A21" i="3"/>
  <c r="O34" i="3"/>
  <c r="M35" i="3"/>
  <c r="C13" i="5" l="1"/>
  <c r="F13" i="5" s="1"/>
  <c r="B14" i="5"/>
  <c r="E22" i="5"/>
  <c r="A23" i="5"/>
  <c r="M36" i="3"/>
  <c r="O35" i="3"/>
  <c r="E21" i="3"/>
  <c r="A22" i="3"/>
  <c r="C13" i="3"/>
  <c r="F13" i="3" s="1"/>
  <c r="B14" i="3"/>
  <c r="A24" i="5" l="1"/>
  <c r="E23" i="5"/>
  <c r="D14" i="5"/>
  <c r="C14" i="5" s="1"/>
  <c r="F14" i="5" s="1"/>
  <c r="B15" i="5"/>
  <c r="D14" i="3"/>
  <c r="C14" i="3" s="1"/>
  <c r="F14" i="3" s="1"/>
  <c r="B15" i="3"/>
  <c r="E22" i="3"/>
  <c r="A23" i="3"/>
  <c r="M37" i="3"/>
  <c r="O36" i="3"/>
  <c r="D15" i="5" l="1"/>
  <c r="C15" i="5" s="1"/>
  <c r="F15" i="5" s="1"/>
  <c r="E24" i="5"/>
  <c r="A25" i="5"/>
  <c r="B16" i="5"/>
  <c r="D15" i="3"/>
  <c r="C15" i="3" s="1"/>
  <c r="F15" i="3" s="1"/>
  <c r="B16" i="3"/>
  <c r="M38" i="3"/>
  <c r="O37" i="3"/>
  <c r="E23" i="3"/>
  <c r="A24" i="3"/>
  <c r="D16" i="5" l="1"/>
  <c r="C16" i="5" s="1"/>
  <c r="F16" i="5" s="1"/>
  <c r="B17" i="5"/>
  <c r="A26" i="5"/>
  <c r="E25" i="5"/>
  <c r="D16" i="3"/>
  <c r="M39" i="3"/>
  <c r="O38" i="3"/>
  <c r="C16" i="3"/>
  <c r="F16" i="3" s="1"/>
  <c r="B17" i="3"/>
  <c r="A25" i="3"/>
  <c r="E24" i="3"/>
  <c r="D17" i="5" l="1"/>
  <c r="C17" i="5" s="1"/>
  <c r="F17" i="5" s="1"/>
  <c r="E26" i="5"/>
  <c r="A27" i="5"/>
  <c r="B18" i="5"/>
  <c r="D17" i="3"/>
  <c r="C17" i="3" s="1"/>
  <c r="F17" i="3" s="1"/>
  <c r="A26" i="3"/>
  <c r="E25" i="3"/>
  <c r="B18" i="3"/>
  <c r="M40" i="3"/>
  <c r="O39" i="3"/>
  <c r="D18" i="5" l="1"/>
  <c r="C18" i="5" s="1"/>
  <c r="F18" i="5" s="1"/>
  <c r="B19" i="5"/>
  <c r="A28" i="5"/>
  <c r="E27" i="5"/>
  <c r="B19" i="3"/>
  <c r="A27" i="3"/>
  <c r="E26" i="3"/>
  <c r="D18" i="3"/>
  <c r="C18" i="3" s="1"/>
  <c r="F18" i="3" s="1"/>
  <c r="M41" i="3"/>
  <c r="O40" i="3"/>
  <c r="D19" i="5" l="1"/>
  <c r="C19" i="5" s="1"/>
  <c r="F19" i="5" s="1"/>
  <c r="A29" i="5"/>
  <c r="E28" i="5"/>
  <c r="B20" i="5"/>
  <c r="D19" i="3"/>
  <c r="M42" i="3"/>
  <c r="O41" i="3"/>
  <c r="E27" i="3"/>
  <c r="A28" i="3"/>
  <c r="C19" i="3"/>
  <c r="F19" i="3" s="1"/>
  <c r="B20" i="3"/>
  <c r="D20" i="5" l="1"/>
  <c r="C20" i="5" s="1"/>
  <c r="F20" i="5" s="1"/>
  <c r="A30" i="5"/>
  <c r="E29" i="5"/>
  <c r="B21" i="5"/>
  <c r="D20" i="3"/>
  <c r="E28" i="3"/>
  <c r="A29" i="3"/>
  <c r="C20" i="3"/>
  <c r="F20" i="3" s="1"/>
  <c r="B21" i="3"/>
  <c r="M43" i="3"/>
  <c r="O42" i="3"/>
  <c r="D21" i="5" l="1"/>
  <c r="C21" i="5" s="1"/>
  <c r="F21" i="5" s="1"/>
  <c r="E30" i="5"/>
  <c r="A31" i="5"/>
  <c r="B22" i="5"/>
  <c r="D21" i="3"/>
  <c r="C21" i="3" s="1"/>
  <c r="F21" i="3" s="1"/>
  <c r="M44" i="3"/>
  <c r="O43" i="3"/>
  <c r="B22" i="3"/>
  <c r="E29" i="3"/>
  <c r="A30" i="3"/>
  <c r="D22" i="5" l="1"/>
  <c r="C22" i="5" s="1"/>
  <c r="F22" i="5" s="1"/>
  <c r="B23" i="5"/>
  <c r="A32" i="5"/>
  <c r="E31" i="5"/>
  <c r="D22" i="3"/>
  <c r="C22" i="3" s="1"/>
  <c r="F22" i="3" s="1"/>
  <c r="B23" i="3"/>
  <c r="A31" i="3"/>
  <c r="E30" i="3"/>
  <c r="M45" i="3"/>
  <c r="O44" i="3"/>
  <c r="D23" i="5" l="1"/>
  <c r="C23" i="5" s="1"/>
  <c r="F23" i="5" s="1"/>
  <c r="E32" i="5"/>
  <c r="A33" i="5"/>
  <c r="B24" i="5"/>
  <c r="M46" i="3"/>
  <c r="O45" i="3"/>
  <c r="A32" i="3"/>
  <c r="E31" i="3"/>
  <c r="B24" i="3"/>
  <c r="D23" i="3"/>
  <c r="C23" i="3" s="1"/>
  <c r="F23" i="3" s="1"/>
  <c r="D24" i="5" l="1"/>
  <c r="C24" i="5" s="1"/>
  <c r="F24" i="5" s="1"/>
  <c r="B25" i="5"/>
  <c r="E33" i="5"/>
  <c r="A34" i="5"/>
  <c r="D24" i="3"/>
  <c r="C24" i="3" s="1"/>
  <c r="F24" i="3" s="1"/>
  <c r="B25" i="3"/>
  <c r="E32" i="3"/>
  <c r="A33" i="3"/>
  <c r="O46" i="3"/>
  <c r="M47" i="3"/>
  <c r="D25" i="5" l="1"/>
  <c r="C25" i="5" s="1"/>
  <c r="F25" i="5" s="1"/>
  <c r="A35" i="5"/>
  <c r="E34" i="5"/>
  <c r="B26" i="5"/>
  <c r="B26" i="3"/>
  <c r="M48" i="3"/>
  <c r="O47" i="3"/>
  <c r="E33" i="3"/>
  <c r="A34" i="3"/>
  <c r="D25" i="3"/>
  <c r="C25" i="3" s="1"/>
  <c r="F25" i="3" s="1"/>
  <c r="D26" i="5" l="1"/>
  <c r="C26" i="5" s="1"/>
  <c r="F26" i="5" s="1"/>
  <c r="B27" i="5"/>
  <c r="E35" i="5"/>
  <c r="A36" i="5"/>
  <c r="D26" i="3"/>
  <c r="C26" i="3" s="1"/>
  <c r="F26" i="3" s="1"/>
  <c r="A35" i="3"/>
  <c r="E34" i="3"/>
  <c r="M49" i="3"/>
  <c r="O48" i="3"/>
  <c r="B27" i="3"/>
  <c r="E36" i="5" l="1"/>
  <c r="A37" i="5"/>
  <c r="B28" i="5"/>
  <c r="D27" i="5"/>
  <c r="C27" i="5" s="1"/>
  <c r="F27" i="5" s="1"/>
  <c r="D27" i="3"/>
  <c r="C27" i="3" s="1"/>
  <c r="F27" i="3" s="1"/>
  <c r="B28" i="3"/>
  <c r="M50" i="3"/>
  <c r="O49" i="3"/>
  <c r="A36" i="3"/>
  <c r="E35" i="3"/>
  <c r="D28" i="5" l="1"/>
  <c r="C28" i="5" s="1"/>
  <c r="F28" i="5" s="1"/>
  <c r="A38" i="5"/>
  <c r="E37" i="5"/>
  <c r="B29" i="5"/>
  <c r="D28" i="3"/>
  <c r="M51" i="3"/>
  <c r="O50" i="3"/>
  <c r="A37" i="3"/>
  <c r="E36" i="3"/>
  <c r="C28" i="3"/>
  <c r="F28" i="3" s="1"/>
  <c r="B29" i="3"/>
  <c r="D29" i="5" l="1"/>
  <c r="C29" i="5" s="1"/>
  <c r="F29" i="5" s="1"/>
  <c r="B30" i="5"/>
  <c r="E38" i="5"/>
  <c r="A39" i="5"/>
  <c r="D29" i="3"/>
  <c r="C29" i="3" s="1"/>
  <c r="F29" i="3" s="1"/>
  <c r="M52" i="3"/>
  <c r="O51" i="3"/>
  <c r="B30" i="3"/>
  <c r="E37" i="3"/>
  <c r="A38" i="3"/>
  <c r="D30" i="5" l="1"/>
  <c r="C30" i="5" s="1"/>
  <c r="F30" i="5" s="1"/>
  <c r="B31" i="5"/>
  <c r="A40" i="5"/>
  <c r="E39" i="5"/>
  <c r="D30" i="3"/>
  <c r="C30" i="3" s="1"/>
  <c r="F30" i="3" s="1"/>
  <c r="E38" i="3"/>
  <c r="A39" i="3"/>
  <c r="B31" i="3"/>
  <c r="M53" i="3"/>
  <c r="O52" i="3"/>
  <c r="D31" i="5" l="1"/>
  <c r="E40" i="5"/>
  <c r="A41" i="5"/>
  <c r="C31" i="5"/>
  <c r="F31" i="5" s="1"/>
  <c r="B32" i="5"/>
  <c r="D31" i="3"/>
  <c r="C31" i="3" s="1"/>
  <c r="F31" i="3" s="1"/>
  <c r="M54" i="3"/>
  <c r="O53" i="3"/>
  <c r="B32" i="3"/>
  <c r="E39" i="3"/>
  <c r="A40" i="3"/>
  <c r="D32" i="5" l="1"/>
  <c r="C32" i="5" s="1"/>
  <c r="F32" i="5" s="1"/>
  <c r="B33" i="5"/>
  <c r="E41" i="5"/>
  <c r="A42" i="5"/>
  <c r="D32" i="3"/>
  <c r="C32" i="3" s="1"/>
  <c r="F32" i="3" s="1"/>
  <c r="B33" i="3"/>
  <c r="M55" i="3"/>
  <c r="O54" i="3"/>
  <c r="A41" i="3"/>
  <c r="E40" i="3"/>
  <c r="D33" i="5" l="1"/>
  <c r="C33" i="5" s="1"/>
  <c r="F33" i="5" s="1"/>
  <c r="E42" i="5"/>
  <c r="A43" i="5"/>
  <c r="B34" i="5"/>
  <c r="D33" i="3"/>
  <c r="C33" i="3" s="1"/>
  <c r="F33" i="3" s="1"/>
  <c r="M56" i="3"/>
  <c r="O55" i="3"/>
  <c r="A42" i="3"/>
  <c r="E41" i="3"/>
  <c r="B34" i="3"/>
  <c r="D34" i="5" l="1"/>
  <c r="C34" i="5"/>
  <c r="F34" i="5" s="1"/>
  <c r="B35" i="5"/>
  <c r="A44" i="5"/>
  <c r="E43" i="5"/>
  <c r="D34" i="3"/>
  <c r="C34" i="3" s="1"/>
  <c r="F34" i="3" s="1"/>
  <c r="B35" i="3"/>
  <c r="A43" i="3"/>
  <c r="E42" i="3"/>
  <c r="O56" i="3"/>
  <c r="M57" i="3"/>
  <c r="D35" i="5" l="1"/>
  <c r="C35" i="5" s="1"/>
  <c r="F35" i="5" s="1"/>
  <c r="B36" i="5"/>
  <c r="E44" i="5"/>
  <c r="A45" i="5"/>
  <c r="D35" i="3"/>
  <c r="E43" i="3"/>
  <c r="A44" i="3"/>
  <c r="M58" i="3"/>
  <c r="O57" i="3"/>
  <c r="C35" i="3"/>
  <c r="F35" i="3" s="1"/>
  <c r="B36" i="3"/>
  <c r="D36" i="5" l="1"/>
  <c r="C36" i="5" s="1"/>
  <c r="F36" i="5" s="1"/>
  <c r="A46" i="5"/>
  <c r="E45" i="5"/>
  <c r="B37" i="5"/>
  <c r="D36" i="3"/>
  <c r="C36" i="3" s="1"/>
  <c r="F36" i="3" s="1"/>
  <c r="B37" i="3"/>
  <c r="M59" i="3"/>
  <c r="O58" i="3"/>
  <c r="E44" i="3"/>
  <c r="A45" i="3"/>
  <c r="D37" i="5" l="1"/>
  <c r="C37" i="5" s="1"/>
  <c r="F37" i="5" s="1"/>
  <c r="B38" i="5"/>
  <c r="E46" i="5"/>
  <c r="A47" i="5"/>
  <c r="D37" i="3"/>
  <c r="C37" i="3" s="1"/>
  <c r="F37" i="3" s="1"/>
  <c r="A46" i="3"/>
  <c r="E45" i="3"/>
  <c r="M60" i="3"/>
  <c r="O59" i="3"/>
  <c r="B38" i="3"/>
  <c r="D38" i="5" l="1"/>
  <c r="C38" i="5" s="1"/>
  <c r="F38" i="5" s="1"/>
  <c r="A48" i="5"/>
  <c r="E47" i="5"/>
  <c r="B39" i="5"/>
  <c r="D38" i="3"/>
  <c r="C38" i="3" s="1"/>
  <c r="F38" i="3" s="1"/>
  <c r="O60" i="3"/>
  <c r="M61" i="3"/>
  <c r="B39" i="3"/>
  <c r="E46" i="3"/>
  <c r="A47" i="3"/>
  <c r="D39" i="5" l="1"/>
  <c r="C39" i="5" s="1"/>
  <c r="F39" i="5" s="1"/>
  <c r="A49" i="5"/>
  <c r="E48" i="5"/>
  <c r="B40" i="5"/>
  <c r="D39" i="3"/>
  <c r="C39" i="3" s="1"/>
  <c r="F39" i="3" s="1"/>
  <c r="A48" i="3"/>
  <c r="E47" i="3"/>
  <c r="B40" i="3"/>
  <c r="M62" i="3"/>
  <c r="O61" i="3"/>
  <c r="D40" i="5" l="1"/>
  <c r="C40" i="5"/>
  <c r="F40" i="5" s="1"/>
  <c r="B41" i="5"/>
  <c r="E49" i="5"/>
  <c r="A50" i="5"/>
  <c r="D40" i="3"/>
  <c r="C40" i="3" s="1"/>
  <c r="F40" i="3" s="1"/>
  <c r="B41" i="3"/>
  <c r="E48" i="3"/>
  <c r="A49" i="3"/>
  <c r="M63" i="3"/>
  <c r="O62" i="3"/>
  <c r="D41" i="5" l="1"/>
  <c r="A51" i="5"/>
  <c r="E50" i="5"/>
  <c r="C41" i="5"/>
  <c r="F41" i="5" s="1"/>
  <c r="B42" i="5"/>
  <c r="D41" i="3"/>
  <c r="M64" i="3"/>
  <c r="O63" i="3"/>
  <c r="E49" i="3"/>
  <c r="A50" i="3"/>
  <c r="C41" i="3"/>
  <c r="F41" i="3" s="1"/>
  <c r="B42" i="3"/>
  <c r="D42" i="5" l="1"/>
  <c r="C42" i="5"/>
  <c r="F42" i="5" s="1"/>
  <c r="B43" i="5"/>
  <c r="E51" i="5"/>
  <c r="A52" i="5"/>
  <c r="D42" i="3"/>
  <c r="C42" i="3" s="1"/>
  <c r="F42" i="3" s="1"/>
  <c r="B43" i="3"/>
  <c r="E50" i="3"/>
  <c r="A51" i="3"/>
  <c r="O64" i="3"/>
  <c r="M65" i="3"/>
  <c r="D43" i="5" l="1"/>
  <c r="E52" i="5"/>
  <c r="A53" i="5"/>
  <c r="C43" i="5"/>
  <c r="F43" i="5" s="1"/>
  <c r="B44" i="5"/>
  <c r="D43" i="3"/>
  <c r="M66" i="3"/>
  <c r="O65" i="3"/>
  <c r="A52" i="3"/>
  <c r="E51" i="3"/>
  <c r="C43" i="3"/>
  <c r="F43" i="3" s="1"/>
  <c r="B44" i="3"/>
  <c r="D44" i="5" l="1"/>
  <c r="C44" i="5" s="1"/>
  <c r="F44" i="5" s="1"/>
  <c r="B45" i="5"/>
  <c r="E53" i="5"/>
  <c r="A54" i="5"/>
  <c r="D44" i="3"/>
  <c r="C44" i="3" s="1"/>
  <c r="F44" i="3" s="1"/>
  <c r="B45" i="3"/>
  <c r="A53" i="3"/>
  <c r="E52" i="3"/>
  <c r="M67" i="3"/>
  <c r="O66" i="3"/>
  <c r="D45" i="5" l="1"/>
  <c r="C45" i="5" s="1"/>
  <c r="F45" i="5" s="1"/>
  <c r="E54" i="5"/>
  <c r="A55" i="5"/>
  <c r="B46" i="5"/>
  <c r="D45" i="3"/>
  <c r="M68" i="3"/>
  <c r="O67" i="3"/>
  <c r="A54" i="3"/>
  <c r="E53" i="3"/>
  <c r="C45" i="3"/>
  <c r="F45" i="3" s="1"/>
  <c r="B46" i="3"/>
  <c r="D46" i="5" l="1"/>
  <c r="A56" i="5"/>
  <c r="E55" i="5"/>
  <c r="C46" i="5"/>
  <c r="F46" i="5" s="1"/>
  <c r="B47" i="5"/>
  <c r="D46" i="3"/>
  <c r="C46" i="3" s="1"/>
  <c r="F46" i="3" s="1"/>
  <c r="B47" i="3"/>
  <c r="E54" i="3"/>
  <c r="A55" i="3"/>
  <c r="O68" i="3"/>
  <c r="M69" i="3"/>
  <c r="D47" i="5" l="1"/>
  <c r="E56" i="5"/>
  <c r="A57" i="5"/>
  <c r="C47" i="5"/>
  <c r="F47" i="5" s="1"/>
  <c r="B48" i="5"/>
  <c r="D47" i="3"/>
  <c r="M70" i="3"/>
  <c r="O69" i="3"/>
  <c r="A56" i="3"/>
  <c r="E55" i="3"/>
  <c r="C47" i="3"/>
  <c r="F47" i="3" s="1"/>
  <c r="B48" i="3"/>
  <c r="D48" i="5" l="1"/>
  <c r="C48" i="5" s="1"/>
  <c r="F48" i="5" s="1"/>
  <c r="A58" i="5"/>
  <c r="E57" i="5"/>
  <c r="B49" i="5"/>
  <c r="D48" i="3"/>
  <c r="C48" i="3" s="1"/>
  <c r="F48" i="3" s="1"/>
  <c r="B49" i="3"/>
  <c r="A57" i="3"/>
  <c r="E56" i="3"/>
  <c r="M71" i="3"/>
  <c r="O70" i="3"/>
  <c r="D49" i="5" l="1"/>
  <c r="C49" i="5"/>
  <c r="F49" i="5" s="1"/>
  <c r="B50" i="5"/>
  <c r="A59" i="5"/>
  <c r="E58" i="5"/>
  <c r="D49" i="3"/>
  <c r="M72" i="3"/>
  <c r="O71" i="3"/>
  <c r="A58" i="3"/>
  <c r="E57" i="3"/>
  <c r="C49" i="3"/>
  <c r="F49" i="3" s="1"/>
  <c r="B50" i="3"/>
  <c r="D50" i="5" l="1"/>
  <c r="C50" i="5" s="1"/>
  <c r="F50" i="5" s="1"/>
  <c r="A60" i="5"/>
  <c r="E59" i="5"/>
  <c r="B51" i="5"/>
  <c r="D50" i="3"/>
  <c r="C50" i="3" s="1"/>
  <c r="F50" i="3" s="1"/>
  <c r="B51" i="3"/>
  <c r="E58" i="3"/>
  <c r="A59" i="3"/>
  <c r="O72" i="3"/>
  <c r="M73" i="3"/>
  <c r="D51" i="5" l="1"/>
  <c r="C51" i="5" s="1"/>
  <c r="F51" i="5" s="1"/>
  <c r="B52" i="5"/>
  <c r="E60" i="5"/>
  <c r="A61" i="5"/>
  <c r="D51" i="3"/>
  <c r="E59" i="3"/>
  <c r="A60" i="3"/>
  <c r="M74" i="3"/>
  <c r="O73" i="3"/>
  <c r="C51" i="3"/>
  <c r="F51" i="3" s="1"/>
  <c r="B52" i="3"/>
  <c r="D52" i="5" l="1"/>
  <c r="A62" i="5"/>
  <c r="E61" i="5"/>
  <c r="C52" i="5"/>
  <c r="F52" i="5" s="1"/>
  <c r="B53" i="5"/>
  <c r="D52" i="3"/>
  <c r="C52" i="3" s="1"/>
  <c r="F52" i="3" s="1"/>
  <c r="B53" i="3"/>
  <c r="A61" i="3"/>
  <c r="E60" i="3"/>
  <c r="M75" i="3"/>
  <c r="O74" i="3"/>
  <c r="D53" i="5" l="1"/>
  <c r="C53" i="5"/>
  <c r="F53" i="5" s="1"/>
  <c r="B54" i="5"/>
  <c r="A63" i="5"/>
  <c r="E62" i="5"/>
  <c r="D53" i="3"/>
  <c r="M76" i="3"/>
  <c r="O75" i="3"/>
  <c r="A62" i="3"/>
  <c r="E61" i="3"/>
  <c r="C53" i="3"/>
  <c r="F53" i="3" s="1"/>
  <c r="B54" i="3"/>
  <c r="D54" i="5" l="1"/>
  <c r="C54" i="5" s="1"/>
  <c r="F54" i="5" s="1"/>
  <c r="A64" i="5"/>
  <c r="E63" i="5"/>
  <c r="B55" i="5"/>
  <c r="D54" i="3"/>
  <c r="C54" i="3" s="1"/>
  <c r="F54" i="3" s="1"/>
  <c r="B55" i="3"/>
  <c r="E62" i="3"/>
  <c r="A63" i="3"/>
  <c r="M77" i="3"/>
  <c r="O76" i="3"/>
  <c r="D55" i="5" l="1"/>
  <c r="C55" i="5"/>
  <c r="F55" i="5" s="1"/>
  <c r="B56" i="5"/>
  <c r="E64" i="5"/>
  <c r="A65" i="5"/>
  <c r="D55" i="3"/>
  <c r="M78" i="3"/>
  <c r="O77" i="3"/>
  <c r="E63" i="3"/>
  <c r="A64" i="3"/>
  <c r="C55" i="3"/>
  <c r="F55" i="3" s="1"/>
  <c r="B56" i="3"/>
  <c r="D56" i="5" l="1"/>
  <c r="A66" i="5"/>
  <c r="E65" i="5"/>
  <c r="C56" i="5"/>
  <c r="F56" i="5" s="1"/>
  <c r="B57" i="5"/>
  <c r="D56" i="3"/>
  <c r="C56" i="3" s="1"/>
  <c r="F56" i="3" s="1"/>
  <c r="M79" i="3"/>
  <c r="O78" i="3"/>
  <c r="B57" i="3"/>
  <c r="A65" i="3"/>
  <c r="E64" i="3"/>
  <c r="D57" i="5" l="1"/>
  <c r="C57" i="5" s="1"/>
  <c r="F57" i="5" s="1"/>
  <c r="B58" i="5"/>
  <c r="A67" i="5"/>
  <c r="E66" i="5"/>
  <c r="D57" i="3"/>
  <c r="A66" i="3"/>
  <c r="E65" i="3"/>
  <c r="C57" i="3"/>
  <c r="F57" i="3" s="1"/>
  <c r="B58" i="3"/>
  <c r="M80" i="3"/>
  <c r="O79" i="3"/>
  <c r="D58" i="5" l="1"/>
  <c r="A68" i="5"/>
  <c r="E67" i="5"/>
  <c r="C58" i="5"/>
  <c r="F58" i="5" s="1"/>
  <c r="B59" i="5"/>
  <c r="D58" i="3"/>
  <c r="M81" i="3"/>
  <c r="O80" i="3"/>
  <c r="C58" i="3"/>
  <c r="F58" i="3" s="1"/>
  <c r="B59" i="3"/>
  <c r="E66" i="3"/>
  <c r="A67" i="3"/>
  <c r="D59" i="5" l="1"/>
  <c r="E68" i="5"/>
  <c r="A69" i="5"/>
  <c r="C59" i="5"/>
  <c r="F59" i="5" s="1"/>
  <c r="B60" i="5"/>
  <c r="D59" i="3"/>
  <c r="E67" i="3"/>
  <c r="A68" i="3"/>
  <c r="M82" i="3"/>
  <c r="O81" i="3"/>
  <c r="F3" i="3" s="1"/>
  <c r="C59" i="3"/>
  <c r="F59" i="3" s="1"/>
  <c r="B60" i="3"/>
  <c r="I11" i="3" l="1"/>
  <c r="I13" i="3" s="1"/>
  <c r="I16" i="3"/>
  <c r="F5" i="3"/>
  <c r="D60" i="5"/>
  <c r="C60" i="5" s="1"/>
  <c r="F60" i="5" s="1"/>
  <c r="B61" i="5"/>
  <c r="E69" i="5"/>
  <c r="A70" i="5"/>
  <c r="D60" i="3"/>
  <c r="C60" i="3" s="1"/>
  <c r="F60" i="3" s="1"/>
  <c r="M83" i="3"/>
  <c r="O82" i="3"/>
  <c r="B61" i="3"/>
  <c r="A69" i="3"/>
  <c r="E68" i="3"/>
  <c r="I38" i="3" l="1"/>
  <c r="I20" i="3"/>
  <c r="D61" i="5"/>
  <c r="C61" i="5" s="1"/>
  <c r="F61" i="5" s="1"/>
  <c r="A71" i="5"/>
  <c r="E70" i="5"/>
  <c r="B62" i="5"/>
  <c r="D61" i="3"/>
  <c r="C61" i="3" s="1"/>
  <c r="F61" i="3" s="1"/>
  <c r="A70" i="3"/>
  <c r="E69" i="3"/>
  <c r="B62" i="3"/>
  <c r="M84" i="3"/>
  <c r="O83" i="3"/>
  <c r="I48" i="3" l="1"/>
  <c r="I42" i="3"/>
  <c r="I43" i="3" s="1"/>
  <c r="I37" i="3"/>
  <c r="I31" i="3"/>
  <c r="I32" i="3" s="1"/>
  <c r="D62" i="5"/>
  <c r="C62" i="5" s="1"/>
  <c r="F62" i="5" s="1"/>
  <c r="B63" i="5"/>
  <c r="A72" i="5"/>
  <c r="E71" i="5"/>
  <c r="D62" i="3"/>
  <c r="C62" i="3" s="1"/>
  <c r="F62" i="3" s="1"/>
  <c r="M85" i="3"/>
  <c r="O84" i="3"/>
  <c r="E70" i="3"/>
  <c r="A71" i="3"/>
  <c r="B63" i="3"/>
  <c r="I49" i="3" l="1"/>
  <c r="I51" i="3" s="1"/>
  <c r="I52" i="3" s="1"/>
  <c r="I56" i="3" s="1"/>
  <c r="I40" i="3"/>
  <c r="I41" i="3" s="1"/>
  <c r="D63" i="5"/>
  <c r="C63" i="5" s="1"/>
  <c r="F63" i="5" s="1"/>
  <c r="B64" i="5"/>
  <c r="E72" i="5"/>
  <c r="A73" i="5"/>
  <c r="D63" i="3"/>
  <c r="E71" i="3"/>
  <c r="A72" i="3"/>
  <c r="C63" i="3"/>
  <c r="F63" i="3" s="1"/>
  <c r="B64" i="3"/>
  <c r="M86" i="3"/>
  <c r="O85" i="3"/>
  <c r="D64" i="5" l="1"/>
  <c r="C64" i="5"/>
  <c r="F64" i="5" s="1"/>
  <c r="B65" i="5"/>
  <c r="A74" i="5"/>
  <c r="E73" i="5"/>
  <c r="D64" i="3"/>
  <c r="M87" i="3"/>
  <c r="O86" i="3"/>
  <c r="C64" i="3"/>
  <c r="F64" i="3" s="1"/>
  <c r="B65" i="3"/>
  <c r="A73" i="3"/>
  <c r="E72" i="3"/>
  <c r="D65" i="5" l="1"/>
  <c r="A75" i="5"/>
  <c r="E74" i="5"/>
  <c r="C65" i="5"/>
  <c r="F65" i="5" s="1"/>
  <c r="B66" i="5"/>
  <c r="D65" i="3"/>
  <c r="C65" i="3" s="1"/>
  <c r="F65" i="3" s="1"/>
  <c r="A74" i="3"/>
  <c r="E73" i="3"/>
  <c r="B66" i="3"/>
  <c r="M88" i="3"/>
  <c r="O87" i="3"/>
  <c r="D66" i="5" l="1"/>
  <c r="C66" i="5" s="1"/>
  <c r="F66" i="5" s="1"/>
  <c r="B67" i="5"/>
  <c r="E75" i="5"/>
  <c r="A76" i="5"/>
  <c r="D66" i="3"/>
  <c r="C66" i="3"/>
  <c r="F66" i="3" s="1"/>
  <c r="B67" i="3"/>
  <c r="M89" i="3"/>
  <c r="O88" i="3"/>
  <c r="A75" i="3"/>
  <c r="E74" i="3"/>
  <c r="D67" i="5" l="1"/>
  <c r="E76" i="5"/>
  <c r="A77" i="5"/>
  <c r="C67" i="5"/>
  <c r="F67" i="5" s="1"/>
  <c r="B68" i="5"/>
  <c r="D67" i="3"/>
  <c r="M90" i="3"/>
  <c r="O89" i="3"/>
  <c r="E75" i="3"/>
  <c r="A76" i="3"/>
  <c r="C67" i="3"/>
  <c r="F67" i="3" s="1"/>
  <c r="B68" i="3"/>
  <c r="D68" i="5" l="1"/>
  <c r="A78" i="5"/>
  <c r="E77" i="5"/>
  <c r="C68" i="5"/>
  <c r="F68" i="5" s="1"/>
  <c r="B69" i="5"/>
  <c r="D68" i="3"/>
  <c r="A77" i="3"/>
  <c r="E76" i="3"/>
  <c r="C68" i="3"/>
  <c r="F68" i="3" s="1"/>
  <c r="B69" i="3"/>
  <c r="M91" i="3"/>
  <c r="O90" i="3"/>
  <c r="D69" i="5" l="1"/>
  <c r="C69" i="5" s="1"/>
  <c r="F69" i="5" s="1"/>
  <c r="B70" i="5"/>
  <c r="E78" i="5"/>
  <c r="A79" i="5"/>
  <c r="D69" i="3"/>
  <c r="M92" i="3"/>
  <c r="O91" i="3"/>
  <c r="C69" i="3"/>
  <c r="F69" i="3" s="1"/>
  <c r="B70" i="3"/>
  <c r="A78" i="3"/>
  <c r="E77" i="3"/>
  <c r="E79" i="5" l="1"/>
  <c r="A80" i="5"/>
  <c r="D70" i="5"/>
  <c r="C70" i="5" s="1"/>
  <c r="F70" i="5" s="1"/>
  <c r="B71" i="5"/>
  <c r="D70" i="3"/>
  <c r="C70" i="3" s="1"/>
  <c r="F70" i="3" s="1"/>
  <c r="E78" i="3"/>
  <c r="A79" i="3"/>
  <c r="B71" i="3"/>
  <c r="M93" i="3"/>
  <c r="O92" i="3"/>
  <c r="D71" i="5" l="1"/>
  <c r="E80" i="5"/>
  <c r="A81" i="5"/>
  <c r="C71" i="5"/>
  <c r="F71" i="5" s="1"/>
  <c r="B72" i="5"/>
  <c r="D71" i="3"/>
  <c r="C71" i="3" s="1"/>
  <c r="F71" i="3" s="1"/>
  <c r="B72" i="3"/>
  <c r="M94" i="3"/>
  <c r="O93" i="3"/>
  <c r="E79" i="3"/>
  <c r="A80" i="3"/>
  <c r="D72" i="5" l="1"/>
  <c r="C72" i="5"/>
  <c r="F72" i="5" s="1"/>
  <c r="B73" i="5"/>
  <c r="A82" i="5"/>
  <c r="E81" i="5"/>
  <c r="D72" i="3"/>
  <c r="M95" i="3"/>
  <c r="O94" i="3"/>
  <c r="A81" i="3"/>
  <c r="E80" i="3"/>
  <c r="C72" i="3"/>
  <c r="F72" i="3" s="1"/>
  <c r="B73" i="3"/>
  <c r="D73" i="5" l="1"/>
  <c r="E82" i="5"/>
  <c r="A83" i="5"/>
  <c r="C73" i="5"/>
  <c r="F73" i="5" s="1"/>
  <c r="B74" i="5"/>
  <c r="D73" i="3"/>
  <c r="C73" i="3" s="1"/>
  <c r="F73" i="3" s="1"/>
  <c r="B74" i="3"/>
  <c r="A82" i="3"/>
  <c r="E81" i="3"/>
  <c r="M96" i="3"/>
  <c r="O95" i="3"/>
  <c r="D74" i="5" l="1"/>
  <c r="C74" i="5" s="1"/>
  <c r="F74" i="5" s="1"/>
  <c r="B75" i="5"/>
  <c r="E83" i="5"/>
  <c r="A84" i="5"/>
  <c r="D74" i="3"/>
  <c r="E82" i="3"/>
  <c r="A83" i="3"/>
  <c r="M97" i="3"/>
  <c r="O96" i="3"/>
  <c r="C74" i="3"/>
  <c r="F74" i="3" s="1"/>
  <c r="B75" i="3"/>
  <c r="D75" i="5" l="1"/>
  <c r="C75" i="5" s="1"/>
  <c r="F75" i="5" s="1"/>
  <c r="E84" i="5"/>
  <c r="A85" i="5"/>
  <c r="B76" i="5"/>
  <c r="D75" i="3"/>
  <c r="C75" i="3" s="1"/>
  <c r="F75" i="3" s="1"/>
  <c r="B76" i="3"/>
  <c r="E83" i="3"/>
  <c r="A84" i="3"/>
  <c r="M98" i="3"/>
  <c r="O97" i="3"/>
  <c r="D76" i="5" l="1"/>
  <c r="C76" i="5" s="1"/>
  <c r="F76" i="5" s="1"/>
  <c r="B77" i="5"/>
  <c r="A86" i="5"/>
  <c r="E85" i="5"/>
  <c r="D76" i="3"/>
  <c r="M99" i="3"/>
  <c r="O98" i="3"/>
  <c r="A85" i="3"/>
  <c r="E84" i="3"/>
  <c r="C76" i="3"/>
  <c r="F76" i="3" s="1"/>
  <c r="B77" i="3"/>
  <c r="D77" i="5" l="1"/>
  <c r="E86" i="5"/>
  <c r="A87" i="5"/>
  <c r="C77" i="5"/>
  <c r="F77" i="5" s="1"/>
  <c r="B78" i="5"/>
  <c r="D77" i="3"/>
  <c r="C77" i="3" s="1"/>
  <c r="F77" i="3" s="1"/>
  <c r="B78" i="3"/>
  <c r="A86" i="3"/>
  <c r="E85" i="3"/>
  <c r="M100" i="3"/>
  <c r="O99" i="3"/>
  <c r="D78" i="5" l="1"/>
  <c r="C78" i="5"/>
  <c r="F78" i="5" s="1"/>
  <c r="B79" i="5"/>
  <c r="E87" i="5"/>
  <c r="A88" i="5"/>
  <c r="D78" i="3"/>
  <c r="M101" i="3"/>
  <c r="O100" i="3"/>
  <c r="E86" i="3"/>
  <c r="A87" i="3"/>
  <c r="C78" i="3"/>
  <c r="F78" i="3" s="1"/>
  <c r="B79" i="3"/>
  <c r="D79" i="5" l="1"/>
  <c r="C79" i="5" s="1"/>
  <c r="F79" i="5" s="1"/>
  <c r="E88" i="5"/>
  <c r="A89" i="5"/>
  <c r="B80" i="5"/>
  <c r="D79" i="3"/>
  <c r="C79" i="3" s="1"/>
  <c r="F79" i="3" s="1"/>
  <c r="B80" i="3"/>
  <c r="E87" i="3"/>
  <c r="A88" i="3"/>
  <c r="M102" i="3"/>
  <c r="O101" i="3"/>
  <c r="D80" i="5" l="1"/>
  <c r="C80" i="5" s="1"/>
  <c r="F80" i="5" s="1"/>
  <c r="A90" i="5"/>
  <c r="E89" i="5"/>
  <c r="B81" i="5"/>
  <c r="M103" i="3"/>
  <c r="O102" i="3"/>
  <c r="D80" i="3"/>
  <c r="A89" i="3"/>
  <c r="E88" i="3"/>
  <c r="C80" i="3"/>
  <c r="F80" i="3" s="1"/>
  <c r="B81" i="3"/>
  <c r="D81" i="5" l="1"/>
  <c r="C81" i="5"/>
  <c r="F81" i="5" s="1"/>
  <c r="B82" i="5"/>
  <c r="E90" i="5"/>
  <c r="A91" i="5"/>
  <c r="D81" i="3"/>
  <c r="A90" i="3"/>
  <c r="E89" i="3"/>
  <c r="C81" i="3"/>
  <c r="F81" i="3" s="1"/>
  <c r="B82" i="3"/>
  <c r="M104" i="3"/>
  <c r="O103" i="3"/>
  <c r="D82" i="5" l="1"/>
  <c r="E91" i="5"/>
  <c r="A92" i="5"/>
  <c r="C82" i="5"/>
  <c r="F82" i="5" s="1"/>
  <c r="B83" i="5"/>
  <c r="D82" i="3"/>
  <c r="E90" i="3"/>
  <c r="A91" i="3"/>
  <c r="M105" i="3"/>
  <c r="O104" i="3"/>
  <c r="C82" i="3"/>
  <c r="F82" i="3" s="1"/>
  <c r="B83" i="3"/>
  <c r="D83" i="5" l="1"/>
  <c r="C83" i="5" s="1"/>
  <c r="F83" i="5" s="1"/>
  <c r="E92" i="5"/>
  <c r="A93" i="5"/>
  <c r="B84" i="5"/>
  <c r="D83" i="3"/>
  <c r="C83" i="3" s="1"/>
  <c r="F83" i="3" s="1"/>
  <c r="B84" i="3"/>
  <c r="E91" i="3"/>
  <c r="A92" i="3"/>
  <c r="M106" i="3"/>
  <c r="O105" i="3"/>
  <c r="D84" i="5" l="1"/>
  <c r="C84" i="5" s="1"/>
  <c r="F84" i="5" s="1"/>
  <c r="B85" i="5"/>
  <c r="A94" i="5"/>
  <c r="E93" i="5"/>
  <c r="D84" i="3"/>
  <c r="M107" i="3"/>
  <c r="O106" i="3"/>
  <c r="A93" i="3"/>
  <c r="E92" i="3"/>
  <c r="C84" i="3"/>
  <c r="F84" i="3" s="1"/>
  <c r="B85" i="3"/>
  <c r="D85" i="5" l="1"/>
  <c r="E94" i="5"/>
  <c r="A95" i="5"/>
  <c r="C85" i="5"/>
  <c r="F85" i="5" s="1"/>
  <c r="B86" i="5"/>
  <c r="D85" i="3"/>
  <c r="C85" i="3"/>
  <c r="F85" i="3" s="1"/>
  <c r="B86" i="3"/>
  <c r="A94" i="3"/>
  <c r="E93" i="3"/>
  <c r="M108" i="3"/>
  <c r="O107" i="3"/>
  <c r="D86" i="5" l="1"/>
  <c r="E95" i="5"/>
  <c r="A96" i="5"/>
  <c r="C86" i="5"/>
  <c r="F86" i="5" s="1"/>
  <c r="B87" i="5"/>
  <c r="E94" i="3"/>
  <c r="A95" i="3"/>
  <c r="M109" i="3"/>
  <c r="O108" i="3"/>
  <c r="D86" i="3"/>
  <c r="C86" i="3"/>
  <c r="F86" i="3" s="1"/>
  <c r="B87" i="3"/>
  <c r="D87" i="5" l="1"/>
  <c r="C87" i="5" s="1"/>
  <c r="F87" i="5" s="1"/>
  <c r="B88" i="5"/>
  <c r="E96" i="5"/>
  <c r="A97" i="5"/>
  <c r="D87" i="3"/>
  <c r="M110" i="3"/>
  <c r="O109" i="3"/>
  <c r="C87" i="3"/>
  <c r="F87" i="3" s="1"/>
  <c r="B88" i="3"/>
  <c r="E95" i="3"/>
  <c r="A96" i="3"/>
  <c r="D88" i="5" l="1"/>
  <c r="A98" i="5"/>
  <c r="E97" i="5"/>
  <c r="C88" i="5"/>
  <c r="F88" i="5" s="1"/>
  <c r="B89" i="5"/>
  <c r="D88" i="3"/>
  <c r="C88" i="3" s="1"/>
  <c r="F88" i="3" s="1"/>
  <c r="A97" i="3"/>
  <c r="E96" i="3"/>
  <c r="B89" i="3"/>
  <c r="M111" i="3"/>
  <c r="O110" i="3"/>
  <c r="D89" i="5" l="1"/>
  <c r="C89" i="5"/>
  <c r="F89" i="5" s="1"/>
  <c r="B90" i="5"/>
  <c r="E98" i="5"/>
  <c r="A99" i="5"/>
  <c r="D89" i="3"/>
  <c r="M112" i="3"/>
  <c r="O111" i="3"/>
  <c r="C89" i="3"/>
  <c r="F89" i="3" s="1"/>
  <c r="B90" i="3"/>
  <c r="A98" i="3"/>
  <c r="E97" i="3"/>
  <c r="D90" i="5" l="1"/>
  <c r="E99" i="5"/>
  <c r="A100" i="5"/>
  <c r="C90" i="5"/>
  <c r="F90" i="5" s="1"/>
  <c r="B91" i="5"/>
  <c r="D90" i="3"/>
  <c r="C90" i="3" s="1"/>
  <c r="F90" i="3" s="1"/>
  <c r="E98" i="3"/>
  <c r="A99" i="3"/>
  <c r="B91" i="3"/>
  <c r="M113" i="3"/>
  <c r="O112" i="3"/>
  <c r="D91" i="5" l="1"/>
  <c r="E100" i="5"/>
  <c r="A101" i="5"/>
  <c r="C91" i="5"/>
  <c r="F91" i="5" s="1"/>
  <c r="B92" i="5"/>
  <c r="D91" i="3"/>
  <c r="C91" i="3" s="1"/>
  <c r="F91" i="3" s="1"/>
  <c r="B92" i="3"/>
  <c r="E99" i="3"/>
  <c r="A100" i="3"/>
  <c r="M114" i="3"/>
  <c r="O113" i="3"/>
  <c r="D92" i="5" l="1"/>
  <c r="C92" i="5"/>
  <c r="F92" i="5" s="1"/>
  <c r="B93" i="5"/>
  <c r="A102" i="5"/>
  <c r="E101" i="5"/>
  <c r="D92" i="3"/>
  <c r="M115" i="3"/>
  <c r="O114" i="3"/>
  <c r="A101" i="3"/>
  <c r="E100" i="3"/>
  <c r="C92" i="3"/>
  <c r="F92" i="3" s="1"/>
  <c r="B93" i="3"/>
  <c r="D93" i="5" l="1"/>
  <c r="E102" i="5"/>
  <c r="A103" i="5"/>
  <c r="C93" i="5"/>
  <c r="F93" i="5" s="1"/>
  <c r="B94" i="5"/>
  <c r="D93" i="3"/>
  <c r="C93" i="3" s="1"/>
  <c r="F93" i="3" s="1"/>
  <c r="B94" i="3"/>
  <c r="A102" i="3"/>
  <c r="E101" i="3"/>
  <c r="M116" i="3"/>
  <c r="O115" i="3"/>
  <c r="D94" i="5" l="1"/>
  <c r="C94" i="5" s="1"/>
  <c r="F94" i="5" s="1"/>
  <c r="B95" i="5"/>
  <c r="E103" i="5"/>
  <c r="A104" i="5"/>
  <c r="D94" i="3"/>
  <c r="M117" i="3"/>
  <c r="O116" i="3"/>
  <c r="E102" i="3"/>
  <c r="A103" i="3"/>
  <c r="C94" i="3"/>
  <c r="F94" i="3" s="1"/>
  <c r="B95" i="3"/>
  <c r="D95" i="5" l="1"/>
  <c r="E104" i="5"/>
  <c r="A105" i="5"/>
  <c r="C95" i="5"/>
  <c r="F95" i="5" s="1"/>
  <c r="B96" i="5"/>
  <c r="D95" i="3"/>
  <c r="C95" i="3" s="1"/>
  <c r="F95" i="3" s="1"/>
  <c r="B96" i="3"/>
  <c r="E103" i="3"/>
  <c r="A104" i="3"/>
  <c r="M118" i="3"/>
  <c r="O117" i="3"/>
  <c r="D96" i="5" l="1"/>
  <c r="C96" i="5"/>
  <c r="F96" i="5" s="1"/>
  <c r="B97" i="5"/>
  <c r="A106" i="5"/>
  <c r="E105" i="5"/>
  <c r="M119" i="3"/>
  <c r="O118" i="3"/>
  <c r="D96" i="3"/>
  <c r="C96" i="3" s="1"/>
  <c r="F96" i="3" s="1"/>
  <c r="A105" i="3"/>
  <c r="E104" i="3"/>
  <c r="B97" i="3"/>
  <c r="D97" i="5" l="1"/>
  <c r="E106" i="5"/>
  <c r="A107" i="5"/>
  <c r="C97" i="5"/>
  <c r="F97" i="5" s="1"/>
  <c r="B98" i="5"/>
  <c r="D97" i="3"/>
  <c r="C97" i="3" s="1"/>
  <c r="F97" i="3" s="1"/>
  <c r="B98" i="3"/>
  <c r="A106" i="3"/>
  <c r="E105" i="3"/>
  <c r="M120" i="3"/>
  <c r="O119" i="3"/>
  <c r="D98" i="5" l="1"/>
  <c r="C98" i="5" s="1"/>
  <c r="F98" i="5" s="1"/>
  <c r="B99" i="5"/>
  <c r="E107" i="5"/>
  <c r="A108" i="5"/>
  <c r="D98" i="3"/>
  <c r="E106" i="3"/>
  <c r="A107" i="3"/>
  <c r="M121" i="3"/>
  <c r="O120" i="3"/>
  <c r="C98" i="3"/>
  <c r="F98" i="3" s="1"/>
  <c r="B99" i="3"/>
  <c r="D99" i="5" l="1"/>
  <c r="E108" i="5"/>
  <c r="A109" i="5"/>
  <c r="C99" i="5"/>
  <c r="F99" i="5" s="1"/>
  <c r="B100" i="5"/>
  <c r="D99" i="3"/>
  <c r="M122" i="3"/>
  <c r="O121" i="3"/>
  <c r="C99" i="3"/>
  <c r="F99" i="3" s="1"/>
  <c r="B100" i="3"/>
  <c r="E107" i="3"/>
  <c r="A108" i="3"/>
  <c r="D100" i="5" l="1"/>
  <c r="C100" i="5" s="1"/>
  <c r="F100" i="5" s="1"/>
  <c r="B101" i="5"/>
  <c r="A110" i="5"/>
  <c r="E109" i="5"/>
  <c r="D100" i="3"/>
  <c r="C100" i="3" s="1"/>
  <c r="F100" i="3" s="1"/>
  <c r="B101" i="3"/>
  <c r="A109" i="3"/>
  <c r="E108" i="3"/>
  <c r="M123" i="3"/>
  <c r="O122" i="3"/>
  <c r="D101" i="5" l="1"/>
  <c r="E110" i="5"/>
  <c r="A111" i="5"/>
  <c r="C101" i="5"/>
  <c r="F101" i="5" s="1"/>
  <c r="B102" i="5"/>
  <c r="M124" i="3"/>
  <c r="O123" i="3"/>
  <c r="A110" i="3"/>
  <c r="E109" i="3"/>
  <c r="D101" i="3"/>
  <c r="C101" i="3" s="1"/>
  <c r="F101" i="3" s="1"/>
  <c r="B102" i="3"/>
  <c r="D102" i="5" l="1"/>
  <c r="C102" i="5" s="1"/>
  <c r="F102" i="5" s="1"/>
  <c r="B103" i="5"/>
  <c r="E111" i="5"/>
  <c r="A112" i="5"/>
  <c r="D102" i="3"/>
  <c r="C102" i="3" s="1"/>
  <c r="F102" i="3" s="1"/>
  <c r="B103" i="3"/>
  <c r="E110" i="3"/>
  <c r="A111" i="3"/>
  <c r="M125" i="3"/>
  <c r="O124" i="3"/>
  <c r="D103" i="5" l="1"/>
  <c r="E112" i="5"/>
  <c r="A113" i="5"/>
  <c r="C103" i="5"/>
  <c r="F103" i="5" s="1"/>
  <c r="B104" i="5"/>
  <c r="D103" i="3"/>
  <c r="E111" i="3"/>
  <c r="A112" i="3"/>
  <c r="M126" i="3"/>
  <c r="O125" i="3"/>
  <c r="C103" i="3"/>
  <c r="F103" i="3" s="1"/>
  <c r="B104" i="3"/>
  <c r="D104" i="5" l="1"/>
  <c r="C104" i="5"/>
  <c r="F104" i="5" s="1"/>
  <c r="B105" i="5"/>
  <c r="A114" i="5"/>
  <c r="E113" i="5"/>
  <c r="D104" i="3"/>
  <c r="A113" i="3"/>
  <c r="E112" i="3"/>
  <c r="C104" i="3"/>
  <c r="F104" i="3" s="1"/>
  <c r="B105" i="3"/>
  <c r="M127" i="3"/>
  <c r="O126" i="3"/>
  <c r="D105" i="5" l="1"/>
  <c r="E114" i="5"/>
  <c r="A115" i="5"/>
  <c r="C105" i="5"/>
  <c r="F105" i="5" s="1"/>
  <c r="B106" i="5"/>
  <c r="D105" i="3"/>
  <c r="C105" i="3"/>
  <c r="F105" i="3" s="1"/>
  <c r="B106" i="3"/>
  <c r="A114" i="3"/>
  <c r="E113" i="3"/>
  <c r="M128" i="3"/>
  <c r="O127" i="3"/>
  <c r="D106" i="5" l="1"/>
  <c r="C106" i="5" s="1"/>
  <c r="F106" i="5" s="1"/>
  <c r="B107" i="5"/>
  <c r="E115" i="5"/>
  <c r="A116" i="5"/>
  <c r="M129" i="3"/>
  <c r="O128" i="3"/>
  <c r="E114" i="3"/>
  <c r="A115" i="3"/>
  <c r="D106" i="3"/>
  <c r="C106" i="3" s="1"/>
  <c r="F106" i="3" s="1"/>
  <c r="B107" i="3"/>
  <c r="D107" i="5" l="1"/>
  <c r="E116" i="5"/>
  <c r="A117" i="5"/>
  <c r="C107" i="5"/>
  <c r="F107" i="5" s="1"/>
  <c r="B108" i="5"/>
  <c r="D107" i="3"/>
  <c r="C107" i="3" s="1"/>
  <c r="F107" i="3" s="1"/>
  <c r="B108" i="3"/>
  <c r="E115" i="3"/>
  <c r="A116" i="3"/>
  <c r="M130" i="3"/>
  <c r="O129" i="3"/>
  <c r="D108" i="5" l="1"/>
  <c r="C108" i="5" s="1"/>
  <c r="F108" i="5" s="1"/>
  <c r="B109" i="5"/>
  <c r="A118" i="5"/>
  <c r="E117" i="5"/>
  <c r="M131" i="3"/>
  <c r="O130" i="3"/>
  <c r="D108" i="3"/>
  <c r="C108" i="3" s="1"/>
  <c r="F108" i="3" s="1"/>
  <c r="A117" i="3"/>
  <c r="E116" i="3"/>
  <c r="B109" i="3"/>
  <c r="D109" i="5" l="1"/>
  <c r="E118" i="5"/>
  <c r="A119" i="5"/>
  <c r="C109" i="5"/>
  <c r="F109" i="5" s="1"/>
  <c r="B110" i="5"/>
  <c r="D109" i="3"/>
  <c r="A118" i="3"/>
  <c r="E117" i="3"/>
  <c r="C109" i="3"/>
  <c r="F109" i="3" s="1"/>
  <c r="B110" i="3"/>
  <c r="M132" i="3"/>
  <c r="O131" i="3"/>
  <c r="D110" i="5" l="1"/>
  <c r="C110" i="5" s="1"/>
  <c r="F110" i="5" s="1"/>
  <c r="B111" i="5"/>
  <c r="E119" i="5"/>
  <c r="A120" i="5"/>
  <c r="D110" i="3"/>
  <c r="M133" i="3"/>
  <c r="O132" i="3"/>
  <c r="E118" i="3"/>
  <c r="A119" i="3"/>
  <c r="C110" i="3"/>
  <c r="F110" i="3" s="1"/>
  <c r="B111" i="3"/>
  <c r="D111" i="5" l="1"/>
  <c r="E120" i="5"/>
  <c r="A121" i="5"/>
  <c r="C111" i="5"/>
  <c r="F111" i="5" s="1"/>
  <c r="B112" i="5"/>
  <c r="D111" i="3"/>
  <c r="C111" i="3" s="1"/>
  <c r="F111" i="3" s="1"/>
  <c r="E119" i="3"/>
  <c r="A120" i="3"/>
  <c r="B112" i="3"/>
  <c r="M134" i="3"/>
  <c r="O133" i="3"/>
  <c r="D112" i="5" l="1"/>
  <c r="C112" i="5"/>
  <c r="F112" i="5" s="1"/>
  <c r="B113" i="5"/>
  <c r="A122" i="5"/>
  <c r="E121" i="5"/>
  <c r="D112" i="3"/>
  <c r="C112" i="3" s="1"/>
  <c r="F112" i="3" s="1"/>
  <c r="B113" i="3"/>
  <c r="A121" i="3"/>
  <c r="E120" i="3"/>
  <c r="M135" i="3"/>
  <c r="O134" i="3"/>
  <c r="D113" i="5" l="1"/>
  <c r="E122" i="5"/>
  <c r="A123" i="5"/>
  <c r="C113" i="5"/>
  <c r="F113" i="5" s="1"/>
  <c r="B114" i="5"/>
  <c r="D113" i="3"/>
  <c r="C113" i="3" s="1"/>
  <c r="F113" i="3" s="1"/>
  <c r="M136" i="3"/>
  <c r="O135" i="3"/>
  <c r="A122" i="3"/>
  <c r="E121" i="3"/>
  <c r="B114" i="3"/>
  <c r="D114" i="5" l="1"/>
  <c r="C114" i="5" s="1"/>
  <c r="F114" i="5" s="1"/>
  <c r="B115" i="5"/>
  <c r="E123" i="5"/>
  <c r="A124" i="5"/>
  <c r="D114" i="3"/>
  <c r="C114" i="3" s="1"/>
  <c r="F114" i="3" s="1"/>
  <c r="B115" i="3"/>
  <c r="E122" i="3"/>
  <c r="A123" i="3"/>
  <c r="M137" i="3"/>
  <c r="O136" i="3"/>
  <c r="D115" i="5" l="1"/>
  <c r="E124" i="5"/>
  <c r="A125" i="5"/>
  <c r="C115" i="5"/>
  <c r="F115" i="5" s="1"/>
  <c r="B116" i="5"/>
  <c r="D115" i="3"/>
  <c r="C115" i="3" s="1"/>
  <c r="F115" i="3" s="1"/>
  <c r="E123" i="3"/>
  <c r="A124" i="3"/>
  <c r="M138" i="3"/>
  <c r="O137" i="3"/>
  <c r="B116" i="3"/>
  <c r="D116" i="5" l="1"/>
  <c r="A126" i="5"/>
  <c r="E125" i="5"/>
  <c r="C116" i="5"/>
  <c r="F116" i="5" s="1"/>
  <c r="B117" i="5"/>
  <c r="D116" i="3"/>
  <c r="M139" i="3"/>
  <c r="O138" i="3"/>
  <c r="C116" i="3"/>
  <c r="F116" i="3" s="1"/>
  <c r="B117" i="3"/>
  <c r="A125" i="3"/>
  <c r="E124" i="3"/>
  <c r="D117" i="5" l="1"/>
  <c r="E126" i="5"/>
  <c r="A127" i="5"/>
  <c r="C117" i="5"/>
  <c r="F117" i="5" s="1"/>
  <c r="B118" i="5"/>
  <c r="D117" i="3"/>
  <c r="C117" i="3" s="1"/>
  <c r="F117" i="3" s="1"/>
  <c r="B118" i="3"/>
  <c r="A126" i="3"/>
  <c r="E125" i="3"/>
  <c r="M140" i="3"/>
  <c r="O139" i="3"/>
  <c r="D118" i="5" l="1"/>
  <c r="C118" i="5"/>
  <c r="F118" i="5" s="1"/>
  <c r="B119" i="5"/>
  <c r="E127" i="5"/>
  <c r="A128" i="5"/>
  <c r="D118" i="3"/>
  <c r="C118" i="3" s="1"/>
  <c r="F118" i="3" s="1"/>
  <c r="M141" i="3"/>
  <c r="O140" i="3"/>
  <c r="E126" i="3"/>
  <c r="A127" i="3"/>
  <c r="B119" i="3"/>
  <c r="D119" i="5" l="1"/>
  <c r="A129" i="5"/>
  <c r="E128" i="5"/>
  <c r="C119" i="5"/>
  <c r="F119" i="5" s="1"/>
  <c r="B120" i="5"/>
  <c r="D119" i="3"/>
  <c r="C119" i="3" s="1"/>
  <c r="F119" i="3" s="1"/>
  <c r="B120" i="3"/>
  <c r="E127" i="3"/>
  <c r="A128" i="3"/>
  <c r="M142" i="3"/>
  <c r="O141" i="3"/>
  <c r="D120" i="5" l="1"/>
  <c r="C120" i="5" s="1"/>
  <c r="F120" i="5" s="1"/>
  <c r="B121" i="5"/>
  <c r="A130" i="5"/>
  <c r="E129" i="5"/>
  <c r="D120" i="3"/>
  <c r="A129" i="3"/>
  <c r="E128" i="3"/>
  <c r="M143" i="3"/>
  <c r="O142" i="3"/>
  <c r="C120" i="3"/>
  <c r="F120" i="3" s="1"/>
  <c r="B121" i="3"/>
  <c r="D121" i="5" l="1"/>
  <c r="E130" i="5"/>
  <c r="A131" i="5"/>
  <c r="C121" i="5"/>
  <c r="F121" i="5" s="1"/>
  <c r="B122" i="5"/>
  <c r="D121" i="3"/>
  <c r="C121" i="3" s="1"/>
  <c r="F121" i="3" s="1"/>
  <c r="B122" i="3"/>
  <c r="M144" i="3"/>
  <c r="O143" i="3"/>
  <c r="A130" i="3"/>
  <c r="E129" i="3"/>
  <c r="D122" i="5" l="1"/>
  <c r="C122" i="5" s="1"/>
  <c r="F122" i="5" s="1"/>
  <c r="B123" i="5"/>
  <c r="E131" i="5"/>
  <c r="A132" i="5"/>
  <c r="D122" i="3"/>
  <c r="E130" i="3"/>
  <c r="A131" i="3"/>
  <c r="M145" i="3"/>
  <c r="O144" i="3"/>
  <c r="C122" i="3"/>
  <c r="F122" i="3" s="1"/>
  <c r="B123" i="3"/>
  <c r="D123" i="5" l="1"/>
  <c r="A133" i="5"/>
  <c r="E132" i="5"/>
  <c r="C123" i="5"/>
  <c r="F123" i="5" s="1"/>
  <c r="B124" i="5"/>
  <c r="D123" i="3"/>
  <c r="C123" i="3" s="1"/>
  <c r="F123" i="3" s="1"/>
  <c r="E131" i="3"/>
  <c r="A132" i="3"/>
  <c r="B124" i="3"/>
  <c r="M146" i="3"/>
  <c r="O145" i="3"/>
  <c r="D124" i="5" l="1"/>
  <c r="C124" i="5"/>
  <c r="F124" i="5" s="1"/>
  <c r="B125" i="5"/>
  <c r="A134" i="5"/>
  <c r="E133" i="5"/>
  <c r="D124" i="3"/>
  <c r="C124" i="3" s="1"/>
  <c r="F124" i="3" s="1"/>
  <c r="B125" i="3"/>
  <c r="M147" i="3"/>
  <c r="O146" i="3"/>
  <c r="A133" i="3"/>
  <c r="E132" i="3"/>
  <c r="D125" i="5" l="1"/>
  <c r="E134" i="5"/>
  <c r="A135" i="5"/>
  <c r="C125" i="5"/>
  <c r="F125" i="5" s="1"/>
  <c r="B126" i="5"/>
  <c r="D125" i="3"/>
  <c r="A134" i="3"/>
  <c r="E133" i="3"/>
  <c r="C125" i="3"/>
  <c r="F125" i="3" s="1"/>
  <c r="B126" i="3"/>
  <c r="M148" i="3"/>
  <c r="O147" i="3"/>
  <c r="D126" i="5" l="1"/>
  <c r="C126" i="5" s="1"/>
  <c r="F126" i="5" s="1"/>
  <c r="B127" i="5"/>
  <c r="E135" i="5"/>
  <c r="A136" i="5"/>
  <c r="D126" i="3"/>
  <c r="C126" i="3" s="1"/>
  <c r="F126" i="3" s="1"/>
  <c r="B127" i="3"/>
  <c r="E134" i="3"/>
  <c r="A135" i="3"/>
  <c r="M149" i="3"/>
  <c r="O148" i="3"/>
  <c r="D127" i="5" l="1"/>
  <c r="A137" i="5"/>
  <c r="E136" i="5"/>
  <c r="C127" i="5"/>
  <c r="F127" i="5" s="1"/>
  <c r="B128" i="5"/>
  <c r="D127" i="3"/>
  <c r="C127" i="3" s="1"/>
  <c r="F127" i="3" s="1"/>
  <c r="E135" i="3"/>
  <c r="A136" i="3"/>
  <c r="M150" i="3"/>
  <c r="O149" i="3"/>
  <c r="B128" i="3"/>
  <c r="D128" i="5" l="1"/>
  <c r="C128" i="5"/>
  <c r="F128" i="5" s="1"/>
  <c r="B129" i="5"/>
  <c r="A138" i="5"/>
  <c r="E137" i="5"/>
  <c r="D128" i="3"/>
  <c r="C128" i="3" s="1"/>
  <c r="F128" i="3" s="1"/>
  <c r="B129" i="3"/>
  <c r="M151" i="3"/>
  <c r="O150" i="3"/>
  <c r="A137" i="3"/>
  <c r="E136" i="3"/>
  <c r="D129" i="5" l="1"/>
  <c r="E138" i="5"/>
  <c r="A139" i="5"/>
  <c r="C129" i="5"/>
  <c r="F129" i="5" s="1"/>
  <c r="B130" i="5"/>
  <c r="D129" i="3"/>
  <c r="C129" i="3" s="1"/>
  <c r="F129" i="3" s="1"/>
  <c r="A138" i="3"/>
  <c r="E137" i="3"/>
  <c r="M152" i="3"/>
  <c r="O151" i="3"/>
  <c r="B130" i="3"/>
  <c r="D130" i="5" l="1"/>
  <c r="E139" i="5"/>
  <c r="A140" i="5"/>
  <c r="C130" i="5"/>
  <c r="F130" i="5" s="1"/>
  <c r="B131" i="5"/>
  <c r="D130" i="3"/>
  <c r="M153" i="3"/>
  <c r="O152" i="3"/>
  <c r="E138" i="3"/>
  <c r="A139" i="3"/>
  <c r="C130" i="3"/>
  <c r="F130" i="3" s="1"/>
  <c r="B131" i="3"/>
  <c r="D131" i="5" l="1"/>
  <c r="A141" i="5"/>
  <c r="E140" i="5"/>
  <c r="C131" i="5"/>
  <c r="F131" i="5" s="1"/>
  <c r="B132" i="5"/>
  <c r="D131" i="3"/>
  <c r="C131" i="3" s="1"/>
  <c r="F131" i="3" s="1"/>
  <c r="B132" i="3"/>
  <c r="E139" i="3"/>
  <c r="A140" i="3"/>
  <c r="M154" i="3"/>
  <c r="O153" i="3"/>
  <c r="D132" i="5" l="1"/>
  <c r="C132" i="5" s="1"/>
  <c r="F132" i="5" s="1"/>
  <c r="B133" i="5"/>
  <c r="A142" i="5"/>
  <c r="E141" i="5"/>
  <c r="D132" i="3"/>
  <c r="A141" i="3"/>
  <c r="E140" i="3"/>
  <c r="M155" i="3"/>
  <c r="O154" i="3"/>
  <c r="C132" i="3"/>
  <c r="F132" i="3" s="1"/>
  <c r="B133" i="3"/>
  <c r="D133" i="5" l="1"/>
  <c r="E142" i="5"/>
  <c r="A143" i="5"/>
  <c r="C133" i="5"/>
  <c r="F133" i="5" s="1"/>
  <c r="B134" i="5"/>
  <c r="D133" i="3"/>
  <c r="C133" i="3"/>
  <c r="F133" i="3" s="1"/>
  <c r="B134" i="3"/>
  <c r="M156" i="3"/>
  <c r="O155" i="3"/>
  <c r="A142" i="3"/>
  <c r="E141" i="3"/>
  <c r="D134" i="5" l="1"/>
  <c r="E143" i="5"/>
  <c r="A144" i="5"/>
  <c r="C134" i="5"/>
  <c r="F134" i="5" s="1"/>
  <c r="B135" i="5"/>
  <c r="D134" i="3"/>
  <c r="E142" i="3"/>
  <c r="A143" i="3"/>
  <c r="M157" i="3"/>
  <c r="O156" i="3"/>
  <c r="C134" i="3"/>
  <c r="F134" i="3" s="1"/>
  <c r="B135" i="3"/>
  <c r="D135" i="5" l="1"/>
  <c r="C135" i="5"/>
  <c r="F135" i="5" s="1"/>
  <c r="B136" i="5"/>
  <c r="A145" i="5"/>
  <c r="E144" i="5"/>
  <c r="D135" i="3"/>
  <c r="M158" i="3"/>
  <c r="O157" i="3"/>
  <c r="C135" i="3"/>
  <c r="F135" i="3" s="1"/>
  <c r="B136" i="3"/>
  <c r="E143" i="3"/>
  <c r="A144" i="3"/>
  <c r="D136" i="5" l="1"/>
  <c r="A146" i="5"/>
  <c r="E145" i="5"/>
  <c r="C136" i="5"/>
  <c r="F136" i="5" s="1"/>
  <c r="B137" i="5"/>
  <c r="D136" i="3"/>
  <c r="A145" i="3"/>
  <c r="E144" i="3"/>
  <c r="C136" i="3"/>
  <c r="F136" i="3" s="1"/>
  <c r="B137" i="3"/>
  <c r="M159" i="3"/>
  <c r="O158" i="3"/>
  <c r="D137" i="5" l="1"/>
  <c r="C137" i="5"/>
  <c r="F137" i="5" s="1"/>
  <c r="B138" i="5"/>
  <c r="E146" i="5"/>
  <c r="A147" i="5"/>
  <c r="D137" i="3"/>
  <c r="C137" i="3"/>
  <c r="F137" i="3" s="1"/>
  <c r="B138" i="3"/>
  <c r="M160" i="3"/>
  <c r="O159" i="3"/>
  <c r="A146" i="3"/>
  <c r="E145" i="3"/>
  <c r="D138" i="5" l="1"/>
  <c r="E147" i="5"/>
  <c r="A148" i="5"/>
  <c r="C138" i="5"/>
  <c r="F138" i="5" s="1"/>
  <c r="B139" i="5"/>
  <c r="D138" i="3"/>
  <c r="M161" i="3"/>
  <c r="O160" i="3"/>
  <c r="E146" i="3"/>
  <c r="A147" i="3"/>
  <c r="C138" i="3"/>
  <c r="F138" i="3" s="1"/>
  <c r="B139" i="3"/>
  <c r="D139" i="5" l="1"/>
  <c r="C139" i="5"/>
  <c r="F139" i="5" s="1"/>
  <c r="B140" i="5"/>
  <c r="A149" i="5"/>
  <c r="E148" i="5"/>
  <c r="D139" i="3"/>
  <c r="C139" i="3"/>
  <c r="F139" i="3" s="1"/>
  <c r="B140" i="3"/>
  <c r="E147" i="3"/>
  <c r="A148" i="3"/>
  <c r="M162" i="3"/>
  <c r="O161" i="3"/>
  <c r="D140" i="5" l="1"/>
  <c r="C140" i="5" s="1"/>
  <c r="F140" i="5" s="1"/>
  <c r="B141" i="5"/>
  <c r="A150" i="5"/>
  <c r="E149" i="5"/>
  <c r="D140" i="3"/>
  <c r="M163" i="3"/>
  <c r="O162" i="3"/>
  <c r="A149" i="3"/>
  <c r="E148" i="3"/>
  <c r="C140" i="3"/>
  <c r="F140" i="3" s="1"/>
  <c r="B141" i="3"/>
  <c r="D141" i="5" l="1"/>
  <c r="E150" i="5"/>
  <c r="A151" i="5"/>
  <c r="C141" i="5"/>
  <c r="F141" i="5" s="1"/>
  <c r="B142" i="5"/>
  <c r="D141" i="3"/>
  <c r="C141" i="3"/>
  <c r="F141" i="3" s="1"/>
  <c r="B142" i="3"/>
  <c r="A150" i="3"/>
  <c r="E149" i="3"/>
  <c r="M164" i="3"/>
  <c r="O163" i="3"/>
  <c r="D142" i="5" l="1"/>
  <c r="E151" i="5"/>
  <c r="A152" i="5"/>
  <c r="C142" i="5"/>
  <c r="F142" i="5" s="1"/>
  <c r="B143" i="5"/>
  <c r="D142" i="3"/>
  <c r="M165" i="3"/>
  <c r="O164" i="3"/>
  <c r="E150" i="3"/>
  <c r="A151" i="3"/>
  <c r="C142" i="3"/>
  <c r="F142" i="3" s="1"/>
  <c r="B143" i="3"/>
  <c r="D143" i="5" l="1"/>
  <c r="A153" i="5"/>
  <c r="E152" i="5"/>
  <c r="C143" i="5"/>
  <c r="F143" i="5" s="1"/>
  <c r="B144" i="5"/>
  <c r="D143" i="3"/>
  <c r="C143" i="3"/>
  <c r="F143" i="3" s="1"/>
  <c r="B144" i="3"/>
  <c r="E151" i="3"/>
  <c r="A152" i="3"/>
  <c r="M166" i="3"/>
  <c r="O165" i="3"/>
  <c r="D144" i="5" l="1"/>
  <c r="C144" i="5"/>
  <c r="F144" i="5" s="1"/>
  <c r="B145" i="5"/>
  <c r="A154" i="5"/>
  <c r="E153" i="5"/>
  <c r="A153" i="3"/>
  <c r="E152" i="3"/>
  <c r="M167" i="3"/>
  <c r="O166" i="3"/>
  <c r="D144" i="3"/>
  <c r="C144" i="3"/>
  <c r="F144" i="3" s="1"/>
  <c r="B145" i="3"/>
  <c r="D145" i="5" l="1"/>
  <c r="E154" i="5"/>
  <c r="A155" i="5"/>
  <c r="C145" i="5"/>
  <c r="F145" i="5" s="1"/>
  <c r="B146" i="5"/>
  <c r="D145" i="3"/>
  <c r="C145" i="3"/>
  <c r="F145" i="3" s="1"/>
  <c r="B146" i="3"/>
  <c r="M168" i="3"/>
  <c r="O167" i="3"/>
  <c r="A154" i="3"/>
  <c r="E153" i="3"/>
  <c r="D146" i="5" l="1"/>
  <c r="C146" i="5" s="1"/>
  <c r="F146" i="5" s="1"/>
  <c r="B147" i="5"/>
  <c r="E155" i="5"/>
  <c r="A156" i="5"/>
  <c r="D146" i="3"/>
  <c r="E154" i="3"/>
  <c r="A155" i="3"/>
  <c r="M169" i="3"/>
  <c r="O168" i="3"/>
  <c r="C146" i="3"/>
  <c r="F146" i="3" s="1"/>
  <c r="B147" i="3"/>
  <c r="D147" i="5" l="1"/>
  <c r="A157" i="5"/>
  <c r="E156" i="5"/>
  <c r="C147" i="5"/>
  <c r="F147" i="5" s="1"/>
  <c r="B148" i="5"/>
  <c r="D147" i="3"/>
  <c r="M170" i="3"/>
  <c r="O169" i="3"/>
  <c r="C147" i="3"/>
  <c r="F147" i="3" s="1"/>
  <c r="B148" i="3"/>
  <c r="E155" i="3"/>
  <c r="A156" i="3"/>
  <c r="D148" i="5" l="1"/>
  <c r="C148" i="5"/>
  <c r="F148" i="5" s="1"/>
  <c r="B149" i="5"/>
  <c r="A158" i="5"/>
  <c r="E157" i="5"/>
  <c r="D148" i="3"/>
  <c r="A157" i="3"/>
  <c r="E156" i="3"/>
  <c r="C148" i="3"/>
  <c r="F148" i="3" s="1"/>
  <c r="B149" i="3"/>
  <c r="M171" i="3"/>
  <c r="O170" i="3"/>
  <c r="E158" i="5" l="1"/>
  <c r="A159" i="5"/>
  <c r="D149" i="5"/>
  <c r="C149" i="5"/>
  <c r="F149" i="5" s="1"/>
  <c r="B150" i="5"/>
  <c r="D149" i="3"/>
  <c r="C149" i="3" s="1"/>
  <c r="F149" i="3" s="1"/>
  <c r="B150" i="3"/>
  <c r="M172" i="3"/>
  <c r="O171" i="3"/>
  <c r="A158" i="3"/>
  <c r="E157" i="3"/>
  <c r="D150" i="5" l="1"/>
  <c r="E159" i="5"/>
  <c r="A160" i="5"/>
  <c r="C150" i="5"/>
  <c r="F150" i="5" s="1"/>
  <c r="B151" i="5"/>
  <c r="D150" i="3"/>
  <c r="E158" i="3"/>
  <c r="A159" i="3"/>
  <c r="M173" i="3"/>
  <c r="O172" i="3"/>
  <c r="C150" i="3"/>
  <c r="F150" i="3" s="1"/>
  <c r="B151" i="3"/>
  <c r="D151" i="5" l="1"/>
  <c r="A161" i="5"/>
  <c r="E160" i="5"/>
  <c r="C151" i="5"/>
  <c r="F151" i="5" s="1"/>
  <c r="B152" i="5"/>
  <c r="D151" i="3"/>
  <c r="M174" i="3"/>
  <c r="O173" i="3"/>
  <c r="C151" i="3"/>
  <c r="F151" i="3" s="1"/>
  <c r="B152" i="3"/>
  <c r="E159" i="3"/>
  <c r="A160" i="3"/>
  <c r="D152" i="5" l="1"/>
  <c r="C152" i="5"/>
  <c r="F152" i="5" s="1"/>
  <c r="B153" i="5"/>
  <c r="A162" i="5"/>
  <c r="E161" i="5"/>
  <c r="D152" i="3"/>
  <c r="C152" i="3"/>
  <c r="F152" i="3" s="1"/>
  <c r="B153" i="3"/>
  <c r="A161" i="3"/>
  <c r="E160" i="3"/>
  <c r="M175" i="3"/>
  <c r="O174" i="3"/>
  <c r="D153" i="5" l="1"/>
  <c r="E162" i="5"/>
  <c r="A163" i="5"/>
  <c r="C153" i="5"/>
  <c r="F153" i="5" s="1"/>
  <c r="B154" i="5"/>
  <c r="M176" i="3"/>
  <c r="O175" i="3"/>
  <c r="D153" i="3"/>
  <c r="A162" i="3"/>
  <c r="E161" i="3"/>
  <c r="C153" i="3"/>
  <c r="F153" i="3" s="1"/>
  <c r="B154" i="3"/>
  <c r="D154" i="5" l="1"/>
  <c r="C154" i="5"/>
  <c r="F154" i="5" s="1"/>
  <c r="B155" i="5"/>
  <c r="E163" i="5"/>
  <c r="A164" i="5"/>
  <c r="D154" i="3"/>
  <c r="E162" i="3"/>
  <c r="A163" i="3"/>
  <c r="C154" i="3"/>
  <c r="F154" i="3" s="1"/>
  <c r="B155" i="3"/>
  <c r="M177" i="3"/>
  <c r="O177" i="3" s="1"/>
  <c r="O176" i="3"/>
  <c r="D155" i="5" l="1"/>
  <c r="A165" i="5"/>
  <c r="E164" i="5"/>
  <c r="C155" i="5"/>
  <c r="F155" i="5" s="1"/>
  <c r="B156" i="5"/>
  <c r="D155" i="3"/>
  <c r="C155" i="3" s="1"/>
  <c r="F155" i="3" s="1"/>
  <c r="B156" i="3"/>
  <c r="E163" i="3"/>
  <c r="A164" i="3"/>
  <c r="D156" i="5" l="1"/>
  <c r="C156" i="5"/>
  <c r="F156" i="5" s="1"/>
  <c r="B157" i="5"/>
  <c r="A166" i="5"/>
  <c r="E165" i="5"/>
  <c r="D156" i="3"/>
  <c r="A165" i="3"/>
  <c r="E164" i="3"/>
  <c r="C156" i="3"/>
  <c r="F156" i="3" s="1"/>
  <c r="B157" i="3"/>
  <c r="D157" i="5" l="1"/>
  <c r="E166" i="5"/>
  <c r="A167" i="5"/>
  <c r="C157" i="5"/>
  <c r="F157" i="5" s="1"/>
  <c r="B158" i="5"/>
  <c r="D157" i="3"/>
  <c r="A166" i="3"/>
  <c r="E165" i="3"/>
  <c r="C157" i="3"/>
  <c r="F157" i="3" s="1"/>
  <c r="B158" i="3"/>
  <c r="D158" i="5" l="1"/>
  <c r="C158" i="5" s="1"/>
  <c r="F158" i="5" s="1"/>
  <c r="B159" i="5"/>
  <c r="E167" i="5"/>
  <c r="A168" i="5"/>
  <c r="D158" i="3"/>
  <c r="C158" i="3" s="1"/>
  <c r="F158" i="3" s="1"/>
  <c r="B159" i="3"/>
  <c r="E166" i="3"/>
  <c r="A167" i="3"/>
  <c r="D159" i="5" l="1"/>
  <c r="A169" i="5"/>
  <c r="E168" i="5"/>
  <c r="C159" i="5"/>
  <c r="F159" i="5" s="1"/>
  <c r="B160" i="5"/>
  <c r="D159" i="3"/>
  <c r="E167" i="3"/>
  <c r="A168" i="3"/>
  <c r="C159" i="3"/>
  <c r="F159" i="3" s="1"/>
  <c r="B160" i="3"/>
  <c r="D160" i="5" l="1"/>
  <c r="C160" i="5" s="1"/>
  <c r="F160" i="5" s="1"/>
  <c r="B161" i="5"/>
  <c r="A170" i="5"/>
  <c r="E169" i="5"/>
  <c r="D160" i="3"/>
  <c r="A169" i="3"/>
  <c r="E168" i="3"/>
  <c r="C160" i="3"/>
  <c r="F160" i="3" s="1"/>
  <c r="B161" i="3"/>
  <c r="D161" i="5" l="1"/>
  <c r="E170" i="5"/>
  <c r="A171" i="5"/>
  <c r="C161" i="5"/>
  <c r="F161" i="5" s="1"/>
  <c r="B162" i="5"/>
  <c r="D161" i="3"/>
  <c r="C161" i="3"/>
  <c r="F161" i="3" s="1"/>
  <c r="B162" i="3"/>
  <c r="A170" i="3"/>
  <c r="E169" i="3"/>
  <c r="D162" i="5" l="1"/>
  <c r="E171" i="5"/>
  <c r="A172" i="5"/>
  <c r="C162" i="5"/>
  <c r="F162" i="5" s="1"/>
  <c r="B163" i="5"/>
  <c r="D162" i="3"/>
  <c r="E170" i="3"/>
  <c r="A171" i="3"/>
  <c r="C162" i="3"/>
  <c r="F162" i="3" s="1"/>
  <c r="B163" i="3"/>
  <c r="D163" i="5" l="1"/>
  <c r="A173" i="5"/>
  <c r="E172" i="5"/>
  <c r="C163" i="5"/>
  <c r="F163" i="5" s="1"/>
  <c r="B164" i="5"/>
  <c r="D163" i="3"/>
  <c r="E171" i="3"/>
  <c r="A172" i="3"/>
  <c r="C163" i="3"/>
  <c r="F163" i="3" s="1"/>
  <c r="B164" i="3"/>
  <c r="D164" i="5" l="1"/>
  <c r="C164" i="5" s="1"/>
  <c r="F164" i="5" s="1"/>
  <c r="B165" i="5"/>
  <c r="A174" i="5"/>
  <c r="E173" i="5"/>
  <c r="D164" i="3"/>
  <c r="A173" i="3"/>
  <c r="E172" i="3"/>
  <c r="C164" i="3"/>
  <c r="F164" i="3" s="1"/>
  <c r="B165" i="3"/>
  <c r="D165" i="5" l="1"/>
  <c r="E174" i="5"/>
  <c r="A175" i="5"/>
  <c r="C165" i="5"/>
  <c r="F165" i="5" s="1"/>
  <c r="B166" i="5"/>
  <c r="D165" i="3"/>
  <c r="C165" i="3" s="1"/>
  <c r="F165" i="3" s="1"/>
  <c r="B166" i="3"/>
  <c r="A174" i="3"/>
  <c r="E173" i="3"/>
  <c r="D166" i="5" l="1"/>
  <c r="C166" i="5" s="1"/>
  <c r="F166" i="5" s="1"/>
  <c r="B167" i="5"/>
  <c r="E175" i="5"/>
  <c r="A176" i="5"/>
  <c r="D166" i="3"/>
  <c r="E174" i="3"/>
  <c r="A175" i="3"/>
  <c r="C166" i="3"/>
  <c r="F166" i="3" s="1"/>
  <c r="B167" i="3"/>
  <c r="D167" i="5" l="1"/>
  <c r="A177" i="5"/>
  <c r="E176" i="5"/>
  <c r="C167" i="5"/>
  <c r="F167" i="5" s="1"/>
  <c r="B168" i="5"/>
  <c r="D167" i="3"/>
  <c r="C167" i="3"/>
  <c r="F167" i="3" s="1"/>
  <c r="B168" i="3"/>
  <c r="E175" i="3"/>
  <c r="A176" i="3"/>
  <c r="D168" i="5" l="1"/>
  <c r="C168" i="5"/>
  <c r="F168" i="5" s="1"/>
  <c r="B169" i="5"/>
  <c r="A178" i="5"/>
  <c r="E177" i="5"/>
  <c r="D168" i="3"/>
  <c r="A177" i="3"/>
  <c r="E176" i="3"/>
  <c r="C168" i="3"/>
  <c r="F168" i="3" s="1"/>
  <c r="B169" i="3"/>
  <c r="D169" i="5" l="1"/>
  <c r="E178" i="5"/>
  <c r="A179" i="5"/>
  <c r="C169" i="5"/>
  <c r="F169" i="5" s="1"/>
  <c r="B170" i="5"/>
  <c r="D169" i="3"/>
  <c r="C169" i="3" s="1"/>
  <c r="F169" i="3" s="1"/>
  <c r="B170" i="3"/>
  <c r="A178" i="3"/>
  <c r="E177" i="3"/>
  <c r="D170" i="5" l="1"/>
  <c r="A180" i="5"/>
  <c r="E179" i="5"/>
  <c r="C170" i="5"/>
  <c r="F170" i="5" s="1"/>
  <c r="B171" i="5"/>
  <c r="D170" i="3"/>
  <c r="E178" i="3"/>
  <c r="A179" i="3"/>
  <c r="C170" i="3"/>
  <c r="F170" i="3" s="1"/>
  <c r="B171" i="3"/>
  <c r="D171" i="5" l="1"/>
  <c r="C171" i="5" s="1"/>
  <c r="F171" i="5" s="1"/>
  <c r="B172" i="5"/>
  <c r="E180" i="5"/>
  <c r="A181" i="5"/>
  <c r="D171" i="3"/>
  <c r="C171" i="3" s="1"/>
  <c r="F171" i="3" s="1"/>
  <c r="B172" i="3"/>
  <c r="A180" i="3"/>
  <c r="E179" i="3"/>
  <c r="D172" i="5" l="1"/>
  <c r="A182" i="5"/>
  <c r="E181" i="5"/>
  <c r="C172" i="5"/>
  <c r="F172" i="5" s="1"/>
  <c r="B173" i="5"/>
  <c r="D172" i="3"/>
  <c r="E180" i="3"/>
  <c r="A181" i="3"/>
  <c r="C172" i="3"/>
  <c r="F172" i="3" s="1"/>
  <c r="B173" i="3"/>
  <c r="D173" i="5" l="1"/>
  <c r="C173" i="5"/>
  <c r="F173" i="5" s="1"/>
  <c r="B174" i="5"/>
  <c r="E182" i="5"/>
  <c r="A183" i="5"/>
  <c r="D173" i="3"/>
  <c r="A182" i="3"/>
  <c r="E181" i="3"/>
  <c r="C173" i="3"/>
  <c r="F173" i="3" s="1"/>
  <c r="B174" i="3"/>
  <c r="D174" i="5" l="1"/>
  <c r="A184" i="5"/>
  <c r="E183" i="5"/>
  <c r="C174" i="5"/>
  <c r="F174" i="5" s="1"/>
  <c r="B175" i="5"/>
  <c r="D174" i="3"/>
  <c r="C174" i="3" s="1"/>
  <c r="F174" i="3" s="1"/>
  <c r="B175" i="3"/>
  <c r="E182" i="3"/>
  <c r="A183" i="3"/>
  <c r="D175" i="5" l="1"/>
  <c r="C175" i="5" s="1"/>
  <c r="F175" i="5" s="1"/>
  <c r="B176" i="5"/>
  <c r="E184" i="5"/>
  <c r="A185" i="5"/>
  <c r="D175" i="3"/>
  <c r="A184" i="3"/>
  <c r="E183" i="3"/>
  <c r="C175" i="3"/>
  <c r="F175" i="3" s="1"/>
  <c r="B176" i="3"/>
  <c r="D176" i="5" l="1"/>
  <c r="A186" i="5"/>
  <c r="E185" i="5"/>
  <c r="C176" i="5"/>
  <c r="F176" i="5" s="1"/>
  <c r="B177" i="5"/>
  <c r="D176" i="3"/>
  <c r="C176" i="3"/>
  <c r="F176" i="3" s="1"/>
  <c r="B177" i="3"/>
  <c r="E184" i="3"/>
  <c r="A185" i="3"/>
  <c r="D177" i="5" l="1"/>
  <c r="C177" i="5"/>
  <c r="F177" i="5" s="1"/>
  <c r="B178" i="5"/>
  <c r="E186" i="5"/>
  <c r="A187" i="5"/>
  <c r="D177" i="3"/>
  <c r="A186" i="3"/>
  <c r="E185" i="3"/>
  <c r="C177" i="3"/>
  <c r="F177" i="3" s="1"/>
  <c r="B178" i="3"/>
  <c r="A188" i="5" l="1"/>
  <c r="E187" i="5"/>
  <c r="D178" i="5"/>
  <c r="C178" i="5"/>
  <c r="F178" i="5" s="1"/>
  <c r="B179" i="5"/>
  <c r="D178" i="3"/>
  <c r="C178" i="3" s="1"/>
  <c r="F178" i="3" s="1"/>
  <c r="B179" i="3"/>
  <c r="E186" i="3"/>
  <c r="A187" i="3"/>
  <c r="D179" i="5" l="1"/>
  <c r="C179" i="5"/>
  <c r="F179" i="5" s="1"/>
  <c r="B180" i="5"/>
  <c r="E188" i="5"/>
  <c r="A189" i="5"/>
  <c r="D179" i="3"/>
  <c r="A188" i="3"/>
  <c r="E187" i="3"/>
  <c r="C179" i="3"/>
  <c r="F179" i="3" s="1"/>
  <c r="B180" i="3"/>
  <c r="D180" i="5" l="1"/>
  <c r="A190" i="5"/>
  <c r="E189" i="5"/>
  <c r="C180" i="5"/>
  <c r="F180" i="5" s="1"/>
  <c r="B181" i="5"/>
  <c r="D180" i="3"/>
  <c r="C180" i="3" s="1"/>
  <c r="F180" i="3" s="1"/>
  <c r="B181" i="3"/>
  <c r="E188" i="3"/>
  <c r="A189" i="3"/>
  <c r="D181" i="5" l="1"/>
  <c r="C181" i="5"/>
  <c r="F181" i="5" s="1"/>
  <c r="B182" i="5"/>
  <c r="E190" i="5"/>
  <c r="A191" i="5"/>
  <c r="D181" i="3"/>
  <c r="A190" i="3"/>
  <c r="E189" i="3"/>
  <c r="C181" i="3"/>
  <c r="F181" i="3" s="1"/>
  <c r="B182" i="3"/>
  <c r="D182" i="5" l="1"/>
  <c r="A192" i="5"/>
  <c r="E191" i="5"/>
  <c r="C182" i="5"/>
  <c r="F182" i="5" s="1"/>
  <c r="B183" i="5"/>
  <c r="D182" i="3"/>
  <c r="C182" i="3"/>
  <c r="F182" i="3" s="1"/>
  <c r="B183" i="3"/>
  <c r="E190" i="3"/>
  <c r="A191" i="3"/>
  <c r="D183" i="5" l="1"/>
  <c r="C183" i="5"/>
  <c r="F183" i="5" s="1"/>
  <c r="B184" i="5"/>
  <c r="E192" i="5"/>
  <c r="A192" i="3"/>
  <c r="E191" i="3"/>
  <c r="D183" i="3"/>
  <c r="C183" i="3"/>
  <c r="F183" i="3" s="1"/>
  <c r="B184" i="3"/>
  <c r="D184" i="5" l="1"/>
  <c r="C184" i="5"/>
  <c r="F184" i="5" s="1"/>
  <c r="B185" i="5"/>
  <c r="D184" i="3"/>
  <c r="C184" i="3"/>
  <c r="F184" i="3" s="1"/>
  <c r="B185" i="3"/>
  <c r="E192" i="3"/>
  <c r="D185" i="5" l="1"/>
  <c r="C185" i="5" s="1"/>
  <c r="F185" i="5" s="1"/>
  <c r="B186" i="5"/>
  <c r="D185" i="3"/>
  <c r="C185" i="3"/>
  <c r="F185" i="3" s="1"/>
  <c r="B186" i="3"/>
  <c r="D186" i="5" l="1"/>
  <c r="C186" i="5"/>
  <c r="F186" i="5" s="1"/>
  <c r="B187" i="5"/>
  <c r="D186" i="3"/>
  <c r="C186" i="3"/>
  <c r="F186" i="3" s="1"/>
  <c r="B187" i="3"/>
  <c r="D187" i="5" l="1"/>
  <c r="C187" i="5"/>
  <c r="F187" i="5" s="1"/>
  <c r="B188" i="5"/>
  <c r="D187" i="3"/>
  <c r="C187" i="3"/>
  <c r="F187" i="3" s="1"/>
  <c r="B188" i="3"/>
  <c r="D188" i="5" l="1"/>
  <c r="C188" i="5"/>
  <c r="F188" i="5" s="1"/>
  <c r="B189" i="5"/>
  <c r="D188" i="3"/>
  <c r="C188" i="3" s="1"/>
  <c r="F188" i="3" s="1"/>
  <c r="B189" i="3"/>
  <c r="D189" i="5" l="1"/>
  <c r="C189" i="5" s="1"/>
  <c r="F189" i="5" s="1"/>
  <c r="B190" i="5"/>
  <c r="D189" i="3"/>
  <c r="C189" i="3" s="1"/>
  <c r="F189" i="3" s="1"/>
  <c r="B190" i="3"/>
  <c r="D190" i="5" l="1"/>
  <c r="C190" i="5" s="1"/>
  <c r="F190" i="5" s="1"/>
  <c r="B191" i="5"/>
  <c r="D190" i="3"/>
  <c r="C190" i="3" s="1"/>
  <c r="F190" i="3" s="1"/>
  <c r="B191" i="3"/>
  <c r="D191" i="5" l="1"/>
  <c r="C191" i="5"/>
  <c r="F191" i="5" s="1"/>
  <c r="B192" i="5"/>
  <c r="D191" i="3"/>
  <c r="C191" i="3"/>
  <c r="F191" i="3" s="1"/>
  <c r="B192" i="3"/>
  <c r="D192" i="5" l="1"/>
  <c r="C192" i="5"/>
  <c r="F192" i="5" s="1"/>
  <c r="D192" i="3"/>
  <c r="C192" i="3"/>
  <c r="F192" i="3" s="1"/>
  <c r="H16" i="4" l="1"/>
  <c r="I4" i="1" s="1"/>
  <c r="I7" i="1" l="1"/>
  <c r="I10" i="1"/>
  <c r="I11" i="1" s="1"/>
  <c r="I8" i="1"/>
  <c r="I6" i="1"/>
  <c r="I12" i="4"/>
  <c r="I5" i="1" s="1"/>
  <c r="I9" i="1" l="1"/>
  <c r="I12" i="1"/>
  <c r="I22" i="1" s="1"/>
  <c r="I17" i="1"/>
  <c r="H45" i="4"/>
  <c r="R23" i="1" s="1"/>
  <c r="I20" i="1" l="1"/>
  <c r="I19" i="1"/>
  <c r="I21" i="1"/>
  <c r="I45" i="4"/>
  <c r="H43" i="4" l="1"/>
  <c r="R21" i="1" s="1"/>
  <c r="R25" i="1" s="1"/>
  <c r="I43" i="4" l="1"/>
  <c r="E8" i="4" l="1"/>
  <c r="D41" i="4" l="1"/>
  <c r="D41" i="2" l="1"/>
  <c r="E47" i="2" l="1"/>
  <c r="E8" i="2" l="1"/>
  <c r="G7" i="4"/>
  <c r="H18" i="4" l="1"/>
  <c r="H22" i="4" s="1"/>
  <c r="E9" i="2"/>
  <c r="F9" i="2" s="1"/>
  <c r="F9" i="4"/>
  <c r="H33" i="2"/>
  <c r="G7" i="2"/>
  <c r="H14" i="2" l="1"/>
  <c r="H37" i="2"/>
  <c r="H35" i="2"/>
  <c r="H18" i="2" l="1"/>
  <c r="I45" i="2" l="1"/>
  <c r="H45" i="2"/>
  <c r="O23" i="1" s="1"/>
  <c r="H43" i="2" l="1"/>
  <c r="O21" i="1" s="1"/>
  <c r="O25" i="1" s="1"/>
  <c r="I43" i="2" l="1"/>
  <c r="H47" i="2" l="1"/>
  <c r="H49" i="2" s="1"/>
  <c r="H47" i="4" l="1"/>
  <c r="H4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Camargo</author>
  </authors>
  <commentList>
    <comment ref="E14" authorId="0" shapeId="0" xr:uid="{0A0648A2-93F8-4F0F-9194-31FFBFD9A63F}">
      <text>
        <r>
          <rPr>
            <b/>
            <sz val="8"/>
            <color indexed="63"/>
            <rFont val="Aptos"/>
            <family val="2"/>
          </rPr>
          <t>Angela Camargo:</t>
        </r>
        <r>
          <rPr>
            <sz val="8"/>
            <color indexed="63"/>
            <rFont val="Aptos"/>
            <family val="2"/>
          </rPr>
          <t xml:space="preserve">
Aportes a salud, pensión y caja de vivienda
</t>
        </r>
      </text>
    </comment>
    <comment ref="E26" authorId="0" shapeId="0" xr:uid="{C8F0E3C2-5AFE-4D18-82C6-38DAA2A83BFD}">
      <text>
        <r>
          <rPr>
            <b/>
            <sz val="8"/>
            <color indexed="63"/>
            <rFont val="Aptos"/>
            <family val="2"/>
          </rPr>
          <t>Angela Camargo:</t>
        </r>
        <r>
          <rPr>
            <sz val="8"/>
            <color indexed="63"/>
            <rFont val="Aptos"/>
            <family val="2"/>
          </rPr>
          <t xml:space="preserve">
Total deducido sin restar ninguna partida o cuota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Javier Ropero</author>
  </authors>
  <commentList>
    <comment ref="I7" authorId="0" shapeId="0" xr:uid="{A833476D-C1F0-4A74-B79A-B1FC0552555E}">
      <text>
        <r>
          <rPr>
            <b/>
            <sz val="9"/>
            <color indexed="81"/>
            <rFont val="Tahoma"/>
            <family val="2"/>
          </rPr>
          <t>Javier Ropero:</t>
        </r>
        <r>
          <rPr>
            <sz val="9"/>
            <color indexed="81"/>
            <rFont val="Tahoma"/>
            <family val="2"/>
          </rPr>
          <t xml:space="preserve">
condicionante USURA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Camargo</author>
  </authors>
  <commentList>
    <comment ref="H12" authorId="0" shapeId="0" xr:uid="{B89BA025-835F-47C7-8D6A-E4EEE72859F4}">
      <text>
        <r>
          <rPr>
            <b/>
            <sz val="8"/>
            <color indexed="63"/>
            <rFont val="Aptos"/>
            <family val="2"/>
          </rPr>
          <t>Angela Camargo:</t>
        </r>
        <r>
          <rPr>
            <sz val="8"/>
            <color indexed="63"/>
            <rFont val="Aptos"/>
            <family val="2"/>
          </rPr>
          <t xml:space="preserve">
Para Pensionados Mindefensa dejar en cero
</t>
        </r>
      </text>
    </comment>
    <comment ref="E14" authorId="0" shapeId="0" xr:uid="{35549BCE-F522-4580-9334-8774FAC283B0}">
      <text>
        <r>
          <rPr>
            <b/>
            <sz val="8"/>
            <color indexed="63"/>
            <rFont val="Aptos"/>
            <family val="2"/>
          </rPr>
          <t>Angela Camargo:</t>
        </r>
        <r>
          <rPr>
            <sz val="8"/>
            <color indexed="63"/>
            <rFont val="Aptos"/>
            <family val="2"/>
          </rPr>
          <t xml:space="preserve">
Aporte a salud, para Pensionados Mindefensa dejar en cero
</t>
        </r>
      </text>
    </comment>
    <comment ref="E16" authorId="0" shapeId="0" xr:uid="{347346FF-5093-462F-921C-979C48C9809E}">
      <text>
        <r>
          <rPr>
            <b/>
            <sz val="8"/>
            <color indexed="63"/>
            <rFont val="Aptos"/>
            <family val="2"/>
          </rPr>
          <t>Angela Camargo:</t>
        </r>
        <r>
          <rPr>
            <sz val="8"/>
            <color indexed="63"/>
            <rFont val="Aptos"/>
            <family val="2"/>
          </rPr>
          <t xml:space="preserve">
Solo llenar con el valor de la diferencia a incrementar
</t>
        </r>
      </text>
    </comment>
    <comment ref="E18" authorId="0" shapeId="0" xr:uid="{13163021-7EA0-4CE9-8F58-6BE5DDA7AA90}">
      <text>
        <r>
          <rPr>
            <b/>
            <sz val="8"/>
            <color indexed="63"/>
            <rFont val="Aptos"/>
            <family val="2"/>
          </rPr>
          <t>Angela Camargo:</t>
        </r>
        <r>
          <rPr>
            <sz val="8"/>
            <color indexed="63"/>
            <rFont val="Aptos"/>
            <family val="2"/>
          </rPr>
          <t xml:space="preserve">
Solo llenar con el valor de la diferencia a incrementar
</t>
        </r>
      </text>
    </comment>
    <comment ref="E20" authorId="0" shapeId="0" xr:uid="{4FAA3F58-E6B0-4B6C-92DB-60B617D74A32}">
      <text>
        <r>
          <rPr>
            <b/>
            <sz val="8"/>
            <color indexed="63"/>
            <rFont val="Aptos"/>
            <family val="2"/>
          </rPr>
          <t>Angela Camargo:</t>
        </r>
        <r>
          <rPr>
            <sz val="8"/>
            <color indexed="63"/>
            <rFont val="Aptos"/>
            <family val="2"/>
          </rPr>
          <t xml:space="preserve">
Solo llenar con el valor de la diferencia a incrementar
</t>
        </r>
      </text>
    </comment>
    <comment ref="E26" authorId="0" shapeId="0" xr:uid="{92188BF8-6F9E-4CAB-999B-173D02A2BA2D}">
      <text>
        <r>
          <rPr>
            <b/>
            <sz val="8"/>
            <color indexed="63"/>
            <rFont val="Aptos"/>
            <family val="2"/>
          </rPr>
          <t>Angela Camargo:</t>
        </r>
        <r>
          <rPr>
            <sz val="8"/>
            <color indexed="63"/>
            <rFont val="Aptos"/>
            <family val="2"/>
          </rPr>
          <t xml:space="preserve">
Total deducido sin restar ninguna partida o cuota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Javier Ropero</author>
  </authors>
  <commentList>
    <comment ref="I7" authorId="0" shapeId="0" xr:uid="{DB991D9C-0C26-476B-AE1C-40F47ED4FC49}">
      <text>
        <r>
          <rPr>
            <b/>
            <sz val="9"/>
            <color indexed="81"/>
            <rFont val="Tahoma"/>
            <family val="2"/>
          </rPr>
          <t>Javier Ropero:</t>
        </r>
        <r>
          <rPr>
            <sz val="9"/>
            <color indexed="81"/>
            <rFont val="Tahoma"/>
            <family val="2"/>
          </rPr>
          <t xml:space="preserve">
condicionante USURA
</t>
        </r>
      </text>
    </comment>
  </commentList>
</comments>
</file>

<file path=xl/sharedStrings.xml><?xml version="1.0" encoding="utf-8"?>
<sst xmlns="http://schemas.openxmlformats.org/spreadsheetml/2006/main" count="397" uniqueCount="212">
  <si>
    <t>Edad</t>
  </si>
  <si>
    <t>Capacidad</t>
  </si>
  <si>
    <t>Producto</t>
  </si>
  <si>
    <t>Oro</t>
  </si>
  <si>
    <t>Platino</t>
  </si>
  <si>
    <t>Zafiro</t>
  </si>
  <si>
    <t>Seguro</t>
  </si>
  <si>
    <t>Pagadurías</t>
  </si>
  <si>
    <t>días para compras</t>
  </si>
  <si>
    <t>Alfa</t>
  </si>
  <si>
    <t>Fondos privados</t>
  </si>
  <si>
    <t>Fopep - Fiduprevisora</t>
  </si>
  <si>
    <t>Colpensiones</t>
  </si>
  <si>
    <t>Pensionados Mindefensa</t>
  </si>
  <si>
    <t>Cagen</t>
  </si>
  <si>
    <t>Cremil</t>
  </si>
  <si>
    <t>Casur</t>
  </si>
  <si>
    <t>Ejército</t>
  </si>
  <si>
    <t>Policía</t>
  </si>
  <si>
    <t>Forma de desembolso</t>
  </si>
  <si>
    <t>Pago por Ventanilla</t>
  </si>
  <si>
    <t>Transferencia a cuenta</t>
  </si>
  <si>
    <t xml:space="preserve">Modalidad </t>
  </si>
  <si>
    <t>Nuevo</t>
  </si>
  <si>
    <t xml:space="preserve">Refinanciación </t>
  </si>
  <si>
    <t>Compra de cartera</t>
  </si>
  <si>
    <t>Saneamiento</t>
  </si>
  <si>
    <t>Edad máxima</t>
  </si>
  <si>
    <t>Hoy</t>
  </si>
  <si>
    <t>Inicio del crédito</t>
  </si>
  <si>
    <t>Fecha fin</t>
  </si>
  <si>
    <t>Intereses compra</t>
  </si>
  <si>
    <t>Vr compra</t>
  </si>
  <si>
    <t>Tasa crédito</t>
  </si>
  <si>
    <t>Días</t>
  </si>
  <si>
    <t>Valor seguro</t>
  </si>
  <si>
    <t>TOTAL COMPRA</t>
  </si>
  <si>
    <t>DESPRENDIBLE</t>
  </si>
  <si>
    <t>SMLV 2025</t>
  </si>
  <si>
    <t>Vr Pensión / Total devengado</t>
  </si>
  <si>
    <t>alfa 2%</t>
  </si>
  <si>
    <t>8% salud</t>
  </si>
  <si>
    <t>Casur y Cagen - 1% y 4%</t>
  </si>
  <si>
    <t>50% Pensionado Mind</t>
  </si>
  <si>
    <t>Subtotal Pensionado Mind</t>
  </si>
  <si>
    <t>Total deducido (Pens y activos)</t>
  </si>
  <si>
    <t>Partidas activos (no se tienen en cuenta)</t>
  </si>
  <si>
    <t>Prima orden público</t>
  </si>
  <si>
    <t>Partidas alimentación (adic-devo)</t>
  </si>
  <si>
    <t>Adicionales o bonificaciones</t>
  </si>
  <si>
    <t>50% (salario menos dtos ley)</t>
  </si>
  <si>
    <t xml:space="preserve">Vacaciones </t>
  </si>
  <si>
    <t>Colpe - Base</t>
  </si>
  <si>
    <t xml:space="preserve">Fondos privados </t>
  </si>
  <si>
    <t>Ejército - Policía</t>
  </si>
  <si>
    <t>Topes por edad</t>
  </si>
  <si>
    <t>100 SMLV</t>
  </si>
  <si>
    <t>50 SMLV</t>
  </si>
  <si>
    <t>10 SMLV</t>
  </si>
  <si>
    <t>3 SMLV</t>
  </si>
  <si>
    <t>Total Devengado</t>
  </si>
  <si>
    <t>Total descuentos de ley</t>
  </si>
  <si>
    <t>Adicionales /Bonificaciones</t>
  </si>
  <si>
    <t>Vacaciones</t>
  </si>
  <si>
    <t>Pagaduría</t>
  </si>
  <si>
    <t>Capital máximo según capacidad</t>
  </si>
  <si>
    <t>Gastos</t>
  </si>
  <si>
    <t>Capital</t>
  </si>
  <si>
    <t>Aval</t>
  </si>
  <si>
    <t>Estudio</t>
  </si>
  <si>
    <t xml:space="preserve">Comisión bancaria </t>
  </si>
  <si>
    <t>Total gastos bancarios</t>
  </si>
  <si>
    <t>Monto máximo por edad</t>
  </si>
  <si>
    <t>CREDITO A SOLICITAR</t>
  </si>
  <si>
    <t>Modalidad</t>
  </si>
  <si>
    <t>Tasa</t>
  </si>
  <si>
    <t>Producto (tasa)</t>
  </si>
  <si>
    <t>Monto</t>
  </si>
  <si>
    <t>Plazo</t>
  </si>
  <si>
    <t>Valor cuota</t>
  </si>
  <si>
    <t>Valor aval</t>
  </si>
  <si>
    <t>Gastos bancarios</t>
  </si>
  <si>
    <t>Valor estudio de crédito</t>
  </si>
  <si>
    <t>Giro al cliente</t>
  </si>
  <si>
    <t xml:space="preserve">Total deducciones </t>
  </si>
  <si>
    <t>Refinanciación y compra</t>
  </si>
  <si>
    <t>Compra y saneamiento</t>
  </si>
  <si>
    <t>Total saldo Refinanciación</t>
  </si>
  <si>
    <t>Interés aprox. sobre compra</t>
  </si>
  <si>
    <t>Valor compra de cartera 1</t>
  </si>
  <si>
    <t>Valor compra de cartera 2</t>
  </si>
  <si>
    <t>Valor saneamiento pre-aprobación</t>
  </si>
  <si>
    <t>Valor saneamiento aprobado</t>
  </si>
  <si>
    <t>Interés aprox. sobre saneamiento</t>
  </si>
  <si>
    <t>Capital máximo</t>
  </si>
  <si>
    <t>Cuotas a recoger</t>
  </si>
  <si>
    <t>Otros gastos relacionados</t>
  </si>
  <si>
    <t>Tasa de interés E.A.</t>
  </si>
  <si>
    <t>Tasa de interés: mensual fija</t>
  </si>
  <si>
    <t>Valor Aval</t>
  </si>
  <si>
    <t>Valor Estudio de Crédito</t>
  </si>
  <si>
    <t>Seguro de Vida</t>
  </si>
  <si>
    <t>Cédula</t>
  </si>
  <si>
    <t>Valor Desembolsado</t>
  </si>
  <si>
    <t>EA REFINANCIACIONES</t>
  </si>
  <si>
    <t>Nombre Deudor</t>
  </si>
  <si>
    <t xml:space="preserve">Libranza No. </t>
  </si>
  <si>
    <t>Valor Cuota Mensual</t>
  </si>
  <si>
    <t>Cuota mensual</t>
  </si>
  <si>
    <t>Mensual a Efectivo Anual</t>
  </si>
  <si>
    <t>Tasa Mora E.A.</t>
  </si>
  <si>
    <t>Legal Vigente</t>
  </si>
  <si>
    <t>Efectivo Anual a Nominal</t>
  </si>
  <si>
    <t>Línea de crédito: Consumo</t>
  </si>
  <si>
    <t>Tasa Máxima Permitida</t>
  </si>
  <si>
    <t>Cuotas</t>
  </si>
  <si>
    <t>abono a capital</t>
  </si>
  <si>
    <t>intereses</t>
  </si>
  <si>
    <t>seguro</t>
  </si>
  <si>
    <t>saldo capital</t>
  </si>
  <si>
    <t>Tasa de Usura</t>
  </si>
  <si>
    <t>Efectivo Anual</t>
  </si>
  <si>
    <t>Diferencia con Tasa Usura</t>
  </si>
  <si>
    <t>Valor Capital</t>
  </si>
  <si>
    <t>Legal</t>
  </si>
  <si>
    <t>Cobrado</t>
  </si>
  <si>
    <t>Diferencia</t>
  </si>
  <si>
    <t>Aval (incluye iva)</t>
  </si>
  <si>
    <t>Dif Usura</t>
  </si>
  <si>
    <t>Estudio de Crédito (incluye iva)</t>
  </si>
  <si>
    <t>EA a Mensual</t>
  </si>
  <si>
    <t>Comisión Bancaria</t>
  </si>
  <si>
    <t>4 por Mil</t>
  </si>
  <si>
    <t>Estudio de Crédito</t>
  </si>
  <si>
    <t>Valor Base para Cálculo Usura</t>
  </si>
  <si>
    <t>Cobro Seguro</t>
  </si>
  <si>
    <t>Tasa Crédito Tabla Amortización</t>
  </si>
  <si>
    <t>Valor Cuota sin Seguro</t>
  </si>
  <si>
    <t>Tasa Crédito sin Seguro</t>
  </si>
  <si>
    <t>Tasa All-in Cliente</t>
  </si>
  <si>
    <t>Efectivo Annual</t>
  </si>
  <si>
    <t>Tasa All-in Credialianza con/sin Aval</t>
  </si>
  <si>
    <t>Retorno Seguro %</t>
  </si>
  <si>
    <t>Tasa + Gestión Seguro</t>
  </si>
  <si>
    <t>Capital Desembolsado</t>
  </si>
  <si>
    <t>Iva Aval y Estudio</t>
  </si>
  <si>
    <t>Cuota (Sin Seguro)</t>
  </si>
  <si>
    <t>Tasa All--in Credialianza + Aval Corp</t>
  </si>
  <si>
    <t>Tasa All--in Credialianza sin Aval</t>
  </si>
  <si>
    <t>Comisión</t>
  </si>
  <si>
    <t>Valor Comisión</t>
  </si>
  <si>
    <t>Capital Desembolsado + IVAs + Comisión</t>
  </si>
  <si>
    <t>Tasa Credialianza</t>
  </si>
  <si>
    <t>EA</t>
  </si>
  <si>
    <t>Venta de Cartera</t>
  </si>
  <si>
    <t>Tasa de Descuento</t>
  </si>
  <si>
    <t>Tasa de Colocación CA - EA</t>
  </si>
  <si>
    <t>Mínimo Estudio Crédito</t>
  </si>
  <si>
    <t>Firma de recibido cliente</t>
  </si>
  <si>
    <t>CC</t>
  </si>
  <si>
    <t>Huella</t>
  </si>
  <si>
    <t>Ciudad y fecha</t>
  </si>
  <si>
    <t>1,78% Oro</t>
  </si>
  <si>
    <t>1,63% Platino</t>
  </si>
  <si>
    <t>1,52% Zafiro</t>
  </si>
  <si>
    <t>Salud, pensión y caja de vivienda</t>
  </si>
  <si>
    <t>Fopep</t>
  </si>
  <si>
    <t xml:space="preserve">Edad fin </t>
  </si>
  <si>
    <t>Aval nuevo</t>
  </si>
  <si>
    <t>Aval ref</t>
  </si>
  <si>
    <t>Intereses compra 1</t>
  </si>
  <si>
    <t>Intereses compra 2</t>
  </si>
  <si>
    <t>Intereses saneamiento</t>
  </si>
  <si>
    <t>Costos Empresa</t>
  </si>
  <si>
    <t>Banca de Inversión 2%</t>
  </si>
  <si>
    <t xml:space="preserve">Fecha de nacimiento </t>
  </si>
  <si>
    <t>DD/MM/AAAA</t>
  </si>
  <si>
    <t>Valor aval refinanciación</t>
  </si>
  <si>
    <t>TASA</t>
  </si>
  <si>
    <t>Valor Crédito</t>
  </si>
  <si>
    <t>Valor Cuota</t>
  </si>
  <si>
    <t>,</t>
  </si>
  <si>
    <t>Fiduprevisora 1</t>
  </si>
  <si>
    <t>Fiduprevisora 2</t>
  </si>
  <si>
    <t>*Previsora 2: interes sobre compra cuando la incorporación demora 1 día</t>
  </si>
  <si>
    <t xml:space="preserve">*Previsora 1: interes sobre compra cuando demora más de 2 días </t>
  </si>
  <si>
    <t xml:space="preserve">con incremento </t>
  </si>
  <si>
    <t>Más de 1 SMLV 5%</t>
  </si>
  <si>
    <t>SMLV 9%</t>
  </si>
  <si>
    <t>Salud</t>
  </si>
  <si>
    <t>Solo pensonados</t>
  </si>
  <si>
    <t>Devengado con aumento</t>
  </si>
  <si>
    <t>Porcentaje</t>
  </si>
  <si>
    <t>Más de 1 SMLV</t>
  </si>
  <si>
    <t>SMLV ($1´423.500)</t>
  </si>
  <si>
    <t>con incremento</t>
  </si>
  <si>
    <t>no incremento enero / solo plataforma</t>
  </si>
  <si>
    <t>N/A</t>
  </si>
  <si>
    <t>Intereses compra incremento</t>
  </si>
  <si>
    <t>Gastos CON INCREMENTO</t>
  </si>
  <si>
    <t>No aplica</t>
  </si>
  <si>
    <t>Otro incremento 1 (vr a castigar)</t>
  </si>
  <si>
    <t>Otro incremento 2 (vr a castigar)</t>
  </si>
  <si>
    <t>Otro incremento 3 (vr a castigar)</t>
  </si>
  <si>
    <t>Actualización: 1/12/2025</t>
  </si>
  <si>
    <t>Valor cuotas a refinanciar</t>
  </si>
  <si>
    <t>Interes anticipado 30 días</t>
  </si>
  <si>
    <t>tasa simulador 2</t>
  </si>
  <si>
    <t>tasa seguro</t>
  </si>
  <si>
    <t>Intereses anticipados enero</t>
  </si>
  <si>
    <t>A riesgo</t>
  </si>
  <si>
    <t>Contra Incorporación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</si>
</sst>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\ #,##0;\-&quot;$&quot;\ #,##0"/>
    <numFmt numFmtId="6" formatCode="&quot;$&quot;\ #,##0;[Red]\-&quot;$&quot;\ #,##0"/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0.000%"/>
    <numFmt numFmtId="165" formatCode="0.0%"/>
    <numFmt numFmtId="166" formatCode="&quot;$&quot;\ #,##0"/>
    <numFmt numFmtId="167" formatCode="_([$$-240A]\ * #,##0_);_([$$-240A]\ * \(#,##0\);_([$$-240A]\ * &quot;-&quot;??_);_(@_)"/>
    <numFmt numFmtId="168" formatCode="0.0000%"/>
    <numFmt numFmtId="169" formatCode="#,##0;[Red]\(#,##0\)"/>
    <numFmt numFmtId="170" formatCode="mmm\-yyyy"/>
    <numFmt numFmtId="171" formatCode="&quot;$&quot;#,##0.00;[Red]\-&quot;$&quot;#,##0.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theme="1" tint="0.34998626667073579"/>
      <name val="Aptos"/>
      <family val="2"/>
    </font>
    <font>
      <b/>
      <sz val="10"/>
      <color theme="1" tint="0.34998626667073579"/>
      <name val="Aptos"/>
      <family val="2"/>
    </font>
    <font>
      <b/>
      <sz val="8"/>
      <color indexed="63"/>
      <name val="Aptos"/>
      <family val="2"/>
    </font>
    <font>
      <sz val="8"/>
      <color indexed="63"/>
      <name val="Aptos"/>
      <family val="2"/>
    </font>
    <font>
      <sz val="8"/>
      <color theme="1" tint="0.34998626667073579"/>
      <name val="Aptos"/>
      <family val="2"/>
    </font>
    <font>
      <sz val="9"/>
      <name val="Verdana"/>
      <family val="2"/>
    </font>
    <font>
      <b/>
      <sz val="9"/>
      <name val="Arial"/>
      <family val="2"/>
    </font>
    <font>
      <sz val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10"/>
      <name val="Arial"/>
      <family val="2"/>
    </font>
    <font>
      <b/>
      <sz val="11"/>
      <color theme="1" tint="0.34998626667073579"/>
      <name val="Aptos"/>
      <family val="2"/>
    </font>
    <font>
      <b/>
      <sz val="11"/>
      <color theme="1"/>
      <name val="Aptos"/>
      <family val="2"/>
    </font>
    <font>
      <b/>
      <sz val="10"/>
      <color rgb="FFFF0000"/>
      <name val="Aptos"/>
      <family val="2"/>
    </font>
    <font>
      <sz val="10"/>
      <name val="Aptos"/>
      <family val="2"/>
    </font>
    <font>
      <sz val="8"/>
      <color theme="1"/>
      <name val="Aptos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0" tint="-0.34998626667073579"/>
      <name val="Aptos"/>
      <family val="2"/>
    </font>
    <font>
      <sz val="10"/>
      <color theme="0" tint="-0.499984740745262"/>
      <name val="Aptos"/>
      <family val="2"/>
    </font>
    <font>
      <sz val="7"/>
      <color theme="1" tint="0.34998626667073579"/>
      <name val="Aptos"/>
      <family val="2"/>
    </font>
    <font>
      <b/>
      <sz val="8"/>
      <color theme="1" tint="0.34998626667073579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DCFF0"/>
        <bgColor indexed="64"/>
      </patternFill>
    </fill>
    <fill>
      <patternFill patternType="solid">
        <fgColor rgb="FFB3EFD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DEDA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183">
    <xf numFmtId="0" fontId="0" fillId="0" borderId="0" xfId="0"/>
    <xf numFmtId="0" fontId="5" fillId="0" borderId="0" xfId="0" applyFont="1" applyProtection="1">
      <protection hidden="1"/>
    </xf>
    <xf numFmtId="0" fontId="5" fillId="2" borderId="0" xfId="0" applyFont="1" applyFill="1" applyAlignment="1" applyProtection="1">
      <alignment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>
      <alignment vertical="center"/>
    </xf>
    <xf numFmtId="0" fontId="5" fillId="0" borderId="0" xfId="0" applyFont="1" applyAlignment="1" applyProtection="1">
      <alignment vertical="center"/>
      <protection hidden="1"/>
    </xf>
    <xf numFmtId="166" fontId="4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/>
    <xf numFmtId="0" fontId="4" fillId="0" borderId="0" xfId="0" applyFont="1"/>
    <xf numFmtId="14" fontId="4" fillId="0" borderId="0" xfId="0" applyNumberFormat="1" applyFont="1" applyAlignment="1" applyProtection="1">
      <alignment vertical="center"/>
      <protection hidden="1"/>
    </xf>
    <xf numFmtId="166" fontId="5" fillId="2" borderId="0" xfId="0" applyNumberFormat="1" applyFont="1" applyFill="1" applyAlignment="1" applyProtection="1">
      <alignment vertical="center"/>
      <protection hidden="1"/>
    </xf>
    <xf numFmtId="164" fontId="4" fillId="0" borderId="0" xfId="0" applyNumberFormat="1" applyFont="1" applyProtection="1">
      <protection hidden="1"/>
    </xf>
    <xf numFmtId="0" fontId="4" fillId="2" borderId="0" xfId="0" applyFont="1" applyFill="1" applyAlignment="1" applyProtection="1">
      <alignment vertical="center"/>
      <protection hidden="1"/>
    </xf>
    <xf numFmtId="166" fontId="4" fillId="0" borderId="0" xfId="0" applyNumberFormat="1" applyFont="1" applyAlignment="1" applyProtection="1">
      <alignment vertical="center"/>
      <protection locked="0" hidden="1"/>
    </xf>
    <xf numFmtId="9" fontId="4" fillId="2" borderId="0" xfId="0" applyNumberFormat="1" applyFont="1" applyFill="1" applyAlignment="1" applyProtection="1">
      <alignment vertical="center"/>
      <protection hidden="1"/>
    </xf>
    <xf numFmtId="42" fontId="4" fillId="2" borderId="0" xfId="0" applyNumberFormat="1" applyFont="1" applyFill="1" applyAlignment="1" applyProtection="1">
      <alignment vertical="center"/>
      <protection locked="0" hidden="1"/>
    </xf>
    <xf numFmtId="6" fontId="4" fillId="0" borderId="0" xfId="0" applyNumberFormat="1" applyFont="1"/>
    <xf numFmtId="164" fontId="4" fillId="0" borderId="0" xfId="2" applyNumberFormat="1" applyFont="1" applyBorder="1"/>
    <xf numFmtId="0" fontId="4" fillId="0" borderId="0" xfId="0" applyFont="1" applyAlignment="1">
      <alignment vertical="center"/>
    </xf>
    <xf numFmtId="42" fontId="4" fillId="0" borderId="0" xfId="0" applyNumberFormat="1" applyFont="1" applyAlignment="1" applyProtection="1">
      <alignment vertical="center"/>
      <protection locked="0" hidden="1"/>
    </xf>
    <xf numFmtId="5" fontId="5" fillId="2" borderId="0" xfId="1" applyNumberFormat="1" applyFont="1" applyFill="1" applyBorder="1" applyAlignment="1" applyProtection="1">
      <alignment vertical="center"/>
      <protection hidden="1"/>
    </xf>
    <xf numFmtId="167" fontId="21" fillId="0" borderId="0" xfId="0" applyNumberFormat="1" applyFont="1" applyAlignment="1" applyProtection="1">
      <alignment vertical="center"/>
      <protection hidden="1"/>
    </xf>
    <xf numFmtId="166" fontId="4" fillId="0" borderId="0" xfId="0" applyNumberFormat="1" applyFont="1" applyAlignment="1" applyProtection="1">
      <alignment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5" fontId="4" fillId="0" borderId="0" xfId="0" applyNumberFormat="1" applyFont="1" applyAlignment="1" applyProtection="1">
      <alignment vertical="center"/>
      <protection hidden="1"/>
    </xf>
    <xf numFmtId="166" fontId="5" fillId="2" borderId="0" xfId="0" applyNumberFormat="1" applyFont="1" applyFill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vertical="center"/>
      <protection hidden="1"/>
    </xf>
    <xf numFmtId="42" fontId="5" fillId="6" borderId="0" xfId="0" applyNumberFormat="1" applyFont="1" applyFill="1" applyAlignment="1" applyProtection="1">
      <alignment vertical="center"/>
      <protection locked="0" hidden="1"/>
    </xf>
    <xf numFmtId="164" fontId="4" fillId="2" borderId="0" xfId="2" applyNumberFormat="1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166" fontId="4" fillId="2" borderId="0" xfId="1" applyNumberFormat="1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>
      <alignment vertical="center"/>
    </xf>
    <xf numFmtId="5" fontId="4" fillId="2" borderId="0" xfId="1" applyNumberFormat="1" applyFont="1" applyFill="1" applyBorder="1" applyAlignment="1" applyProtection="1">
      <alignment horizontal="center" vertical="center"/>
      <protection locked="0"/>
    </xf>
    <xf numFmtId="166" fontId="4" fillId="2" borderId="0" xfId="1" applyNumberFormat="1" applyFont="1" applyFill="1" applyBorder="1" applyAlignment="1">
      <alignment horizontal="center" vertical="center"/>
    </xf>
    <xf numFmtId="166" fontId="5" fillId="2" borderId="0" xfId="0" applyNumberFormat="1" applyFont="1" applyFill="1" applyAlignment="1">
      <alignment horizontal="center" vertical="center"/>
    </xf>
    <xf numFmtId="0" fontId="4" fillId="7" borderId="0" xfId="0" applyFont="1" applyFill="1" applyProtection="1">
      <protection hidden="1"/>
    </xf>
    <xf numFmtId="0" fontId="6" fillId="7" borderId="0" xfId="0" applyFont="1" applyFill="1" applyProtection="1">
      <protection hidden="1"/>
    </xf>
    <xf numFmtId="0" fontId="7" fillId="7" borderId="0" xfId="0" applyFont="1" applyFill="1" applyAlignment="1" applyProtection="1">
      <alignment horizontal="center"/>
      <protection hidden="1"/>
    </xf>
    <xf numFmtId="166" fontId="7" fillId="7" borderId="0" xfId="0" applyNumberFormat="1" applyFont="1" applyFill="1" applyAlignment="1" applyProtection="1">
      <alignment horizontal="center"/>
      <protection hidden="1"/>
    </xf>
    <xf numFmtId="0" fontId="20" fillId="7" borderId="0" xfId="0" applyFont="1" applyFill="1" applyProtection="1">
      <protection hidden="1"/>
    </xf>
    <xf numFmtId="0" fontId="4" fillId="7" borderId="0" xfId="0" applyFont="1" applyFill="1" applyAlignment="1" applyProtection="1">
      <alignment horizontal="center"/>
      <protection hidden="1"/>
    </xf>
    <xf numFmtId="0" fontId="6" fillId="7" borderId="0" xfId="0" applyFont="1" applyFill="1" applyAlignment="1" applyProtection="1">
      <alignment horizontal="center"/>
      <protection hidden="1"/>
    </xf>
    <xf numFmtId="166" fontId="6" fillId="7" borderId="0" xfId="0" applyNumberFormat="1" applyFont="1" applyFill="1" applyAlignment="1" applyProtection="1">
      <alignment horizontal="center"/>
      <protection hidden="1"/>
    </xf>
    <xf numFmtId="164" fontId="7" fillId="7" borderId="0" xfId="2" applyNumberFormat="1" applyFont="1" applyFill="1" applyAlignment="1" applyProtection="1">
      <alignment horizontal="center"/>
      <protection hidden="1"/>
    </xf>
    <xf numFmtId="165" fontId="7" fillId="7" borderId="0" xfId="2" applyNumberFormat="1" applyFont="1" applyFill="1" applyAlignment="1" applyProtection="1">
      <alignment horizontal="center"/>
      <protection hidden="1"/>
    </xf>
    <xf numFmtId="5" fontId="6" fillId="7" borderId="0" xfId="0" applyNumberFormat="1" applyFont="1" applyFill="1" applyAlignment="1" applyProtection="1">
      <alignment horizontal="center"/>
      <protection hidden="1"/>
    </xf>
    <xf numFmtId="0" fontId="18" fillId="7" borderId="0" xfId="0" applyFont="1" applyFill="1" applyProtection="1">
      <protection hidden="1"/>
    </xf>
    <xf numFmtId="166" fontId="19" fillId="7" borderId="0" xfId="0" applyNumberFormat="1" applyFont="1" applyFill="1" applyAlignment="1" applyProtection="1">
      <alignment horizontal="center"/>
      <protection hidden="1"/>
    </xf>
    <xf numFmtId="0" fontId="6" fillId="5" borderId="5" xfId="0" applyFont="1" applyFill="1" applyBorder="1" applyAlignment="1" applyProtection="1">
      <alignment horizontal="center"/>
      <protection locked="0"/>
    </xf>
    <xf numFmtId="14" fontId="6" fillId="5" borderId="5" xfId="0" applyNumberFormat="1" applyFont="1" applyFill="1" applyBorder="1" applyAlignment="1" applyProtection="1">
      <alignment horizontal="center"/>
      <protection locked="0"/>
    </xf>
    <xf numFmtId="166" fontId="6" fillId="5" borderId="5" xfId="0" applyNumberFormat="1" applyFont="1" applyFill="1" applyBorder="1" applyAlignment="1" applyProtection="1">
      <alignment horizontal="center"/>
      <protection locked="0"/>
    </xf>
    <xf numFmtId="42" fontId="6" fillId="5" borderId="5" xfId="0" applyNumberFormat="1" applyFont="1" applyFill="1" applyBorder="1" applyProtection="1">
      <protection locked="0"/>
    </xf>
    <xf numFmtId="0" fontId="11" fillId="5" borderId="0" xfId="0" applyFont="1" applyFill="1" applyAlignment="1" applyProtection="1">
      <alignment horizontal="justify" vertical="justify"/>
      <protection hidden="1"/>
    </xf>
    <xf numFmtId="0" fontId="12" fillId="5" borderId="1" xfId="0" applyFont="1" applyFill="1" applyBorder="1" applyAlignment="1" applyProtection="1">
      <alignment horizontal="left"/>
      <protection hidden="1"/>
    </xf>
    <xf numFmtId="0" fontId="12" fillId="5" borderId="2" xfId="0" applyFont="1" applyFill="1" applyBorder="1" applyAlignment="1" applyProtection="1">
      <alignment horizontal="left"/>
      <protection hidden="1"/>
    </xf>
    <xf numFmtId="10" fontId="12" fillId="0" borderId="0" xfId="0" applyNumberFormat="1" applyFont="1" applyAlignment="1" applyProtection="1">
      <alignment horizontal="center"/>
      <protection hidden="1"/>
    </xf>
    <xf numFmtId="0" fontId="12" fillId="0" borderId="6" xfId="0" applyFont="1" applyBorder="1" applyProtection="1">
      <protection hidden="1"/>
    </xf>
    <xf numFmtId="10" fontId="12" fillId="0" borderId="2" xfId="0" applyNumberFormat="1" applyFont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164" fontId="12" fillId="0" borderId="2" xfId="0" applyNumberFormat="1" applyFont="1" applyBorder="1" applyAlignment="1" applyProtection="1">
      <alignment horizontal="center"/>
      <protection hidden="1"/>
    </xf>
    <xf numFmtId="168" fontId="12" fillId="3" borderId="2" xfId="0" applyNumberFormat="1" applyFont="1" applyFill="1" applyBorder="1" applyAlignment="1" applyProtection="1">
      <alignment horizontal="center"/>
      <protection hidden="1"/>
    </xf>
    <xf numFmtId="0" fontId="0" fillId="0" borderId="2" xfId="0" applyBorder="1" applyProtection="1">
      <protection hidden="1"/>
    </xf>
    <xf numFmtId="166" fontId="12" fillId="5" borderId="6" xfId="0" applyNumberFormat="1" applyFont="1" applyFill="1" applyBorder="1" applyAlignment="1" applyProtection="1">
      <alignment horizontal="center"/>
      <protection hidden="1"/>
    </xf>
    <xf numFmtId="0" fontId="12" fillId="0" borderId="1" xfId="0" applyFont="1" applyBorder="1" applyProtection="1">
      <protection hidden="1"/>
    </xf>
    <xf numFmtId="169" fontId="14" fillId="2" borderId="1" xfId="0" applyNumberFormat="1" applyFont="1" applyFill="1" applyBorder="1" applyAlignment="1" applyProtection="1">
      <alignment horizontal="left"/>
      <protection locked="0" hidden="1"/>
    </xf>
    <xf numFmtId="0" fontId="12" fillId="5" borderId="9" xfId="0" applyFont="1" applyFill="1" applyBorder="1" applyAlignment="1" applyProtection="1">
      <alignment horizontal="left"/>
      <protection hidden="1"/>
    </xf>
    <xf numFmtId="0" fontId="12" fillId="5" borderId="10" xfId="0" applyFont="1" applyFill="1" applyBorder="1" applyAlignment="1" applyProtection="1">
      <alignment horizontal="left"/>
      <protection hidden="1"/>
    </xf>
    <xf numFmtId="166" fontId="12" fillId="0" borderId="2" xfId="0" applyNumberFormat="1" applyFont="1" applyBorder="1" applyAlignment="1" applyProtection="1">
      <alignment horizontal="center"/>
      <protection hidden="1"/>
    </xf>
    <xf numFmtId="0" fontId="13" fillId="0" borderId="6" xfId="0" applyFont="1" applyBorder="1" applyProtection="1">
      <protection hidden="1"/>
    </xf>
    <xf numFmtId="10" fontId="12" fillId="0" borderId="10" xfId="0" applyNumberFormat="1" applyFont="1" applyBorder="1" applyAlignment="1" applyProtection="1">
      <alignment horizontal="center"/>
      <protection hidden="1"/>
    </xf>
    <xf numFmtId="10" fontId="12" fillId="0" borderId="6" xfId="0" applyNumberFormat="1" applyFont="1" applyBorder="1" applyAlignment="1" applyProtection="1">
      <alignment horizontal="center"/>
      <protection hidden="1"/>
    </xf>
    <xf numFmtId="166" fontId="12" fillId="0" borderId="0" xfId="0" applyNumberFormat="1" applyFont="1" applyAlignment="1" applyProtection="1">
      <alignment horizontal="center"/>
      <protection hidden="1"/>
    </xf>
    <xf numFmtId="169" fontId="15" fillId="0" borderId="0" xfId="0" applyNumberFormat="1" applyFont="1" applyProtection="1">
      <protection hidden="1"/>
    </xf>
    <xf numFmtId="0" fontId="15" fillId="0" borderId="0" xfId="0" applyFont="1" applyProtection="1">
      <protection hidden="1"/>
    </xf>
    <xf numFmtId="0" fontId="16" fillId="2" borderId="6" xfId="0" applyFont="1" applyFill="1" applyBorder="1" applyAlignment="1" applyProtection="1">
      <alignment horizontal="center"/>
      <protection hidden="1"/>
    </xf>
    <xf numFmtId="169" fontId="16" fillId="2" borderId="6" xfId="0" applyNumberFormat="1" applyFont="1" applyFill="1" applyBorder="1" applyAlignment="1" applyProtection="1">
      <alignment horizontal="center"/>
      <protection hidden="1"/>
    </xf>
    <xf numFmtId="165" fontId="12" fillId="5" borderId="6" xfId="2" applyNumberFormat="1" applyFont="1" applyFill="1" applyBorder="1" applyAlignment="1" applyProtection="1">
      <alignment horizontal="center"/>
      <protection hidden="1"/>
    </xf>
    <xf numFmtId="0" fontId="12" fillId="5" borderId="6" xfId="0" applyFont="1" applyFill="1" applyBorder="1" applyAlignment="1" applyProtection="1">
      <alignment horizontal="left"/>
      <protection hidden="1"/>
    </xf>
    <xf numFmtId="164" fontId="12" fillId="5" borderId="6" xfId="0" applyNumberFormat="1" applyFont="1" applyFill="1" applyBorder="1" applyAlignment="1" applyProtection="1">
      <alignment horizontal="center"/>
      <protection hidden="1"/>
    </xf>
    <xf numFmtId="0" fontId="15" fillId="0" borderId="4" xfId="0" applyFont="1" applyBorder="1" applyProtection="1">
      <protection hidden="1"/>
    </xf>
    <xf numFmtId="169" fontId="15" fillId="0" borderId="4" xfId="0" applyNumberFormat="1" applyFont="1" applyBorder="1" applyProtection="1">
      <protection hidden="1"/>
    </xf>
    <xf numFmtId="169" fontId="15" fillId="0" borderId="3" xfId="0" applyNumberFormat="1" applyFont="1" applyBorder="1" applyAlignment="1" applyProtection="1">
      <alignment horizontal="center"/>
      <protection hidden="1"/>
    </xf>
    <xf numFmtId="169" fontId="15" fillId="0" borderId="3" xfId="0" applyNumberFormat="1" applyFont="1" applyBorder="1" applyProtection="1">
      <protection hidden="1"/>
    </xf>
    <xf numFmtId="170" fontId="17" fillId="9" borderId="6" xfId="0" applyNumberFormat="1" applyFont="1" applyFill="1" applyBorder="1" applyAlignment="1" applyProtection="1">
      <alignment horizontal="center"/>
      <protection hidden="1"/>
    </xf>
    <xf numFmtId="0" fontId="12" fillId="5" borderId="11" xfId="0" applyFont="1" applyFill="1" applyBorder="1" applyAlignment="1" applyProtection="1">
      <alignment horizontal="left"/>
      <protection hidden="1"/>
    </xf>
    <xf numFmtId="166" fontId="12" fillId="4" borderId="6" xfId="0" applyNumberFormat="1" applyFont="1" applyFill="1" applyBorder="1" applyAlignment="1" applyProtection="1">
      <alignment horizontal="center"/>
      <protection hidden="1"/>
    </xf>
    <xf numFmtId="0" fontId="17" fillId="0" borderId="6" xfId="0" applyFont="1" applyBorder="1" applyProtection="1">
      <protection hidden="1"/>
    </xf>
    <xf numFmtId="164" fontId="12" fillId="0" borderId="6" xfId="0" applyNumberFormat="1" applyFont="1" applyBorder="1" applyAlignment="1" applyProtection="1">
      <alignment horizontal="center"/>
      <protection hidden="1"/>
    </xf>
    <xf numFmtId="44" fontId="0" fillId="0" borderId="0" xfId="1" applyFont="1" applyProtection="1">
      <protection hidden="1"/>
    </xf>
    <xf numFmtId="9" fontId="12" fillId="4" borderId="6" xfId="0" applyNumberFormat="1" applyFont="1" applyFill="1" applyBorder="1" applyAlignment="1" applyProtection="1">
      <alignment horizontal="center"/>
      <protection hidden="1"/>
    </xf>
    <xf numFmtId="171" fontId="0" fillId="0" borderId="6" xfId="0" applyNumberFormat="1" applyBorder="1" applyProtection="1">
      <protection hidden="1"/>
    </xf>
    <xf numFmtId="9" fontId="12" fillId="5" borderId="6" xfId="0" applyNumberFormat="1" applyFont="1" applyFill="1" applyBorder="1" applyAlignment="1" applyProtection="1">
      <alignment horizontal="center"/>
      <protection hidden="1"/>
    </xf>
    <xf numFmtId="164" fontId="12" fillId="4" borderId="6" xfId="0" applyNumberFormat="1" applyFont="1" applyFill="1" applyBorder="1" applyAlignment="1" applyProtection="1">
      <alignment horizontal="center"/>
      <protection hidden="1"/>
    </xf>
    <xf numFmtId="164" fontId="12" fillId="3" borderId="6" xfId="0" applyNumberFormat="1" applyFont="1" applyFill="1" applyBorder="1" applyAlignment="1" applyProtection="1">
      <alignment horizontal="center"/>
      <protection hidden="1"/>
    </xf>
    <xf numFmtId="0" fontId="12" fillId="5" borderId="12" xfId="0" applyFont="1" applyFill="1" applyBorder="1" applyAlignment="1" applyProtection="1">
      <alignment horizontal="left"/>
      <protection hidden="1"/>
    </xf>
    <xf numFmtId="0" fontId="12" fillId="10" borderId="6" xfId="0" applyFont="1" applyFill="1" applyBorder="1" applyProtection="1">
      <protection hidden="1"/>
    </xf>
    <xf numFmtId="10" fontId="12" fillId="11" borderId="2" xfId="0" applyNumberFormat="1" applyFont="1" applyFill="1" applyBorder="1" applyAlignment="1" applyProtection="1">
      <alignment horizontal="center"/>
      <protection hidden="1"/>
    </xf>
    <xf numFmtId="0" fontId="12" fillId="7" borderId="6" xfId="0" applyFont="1" applyFill="1" applyBorder="1" applyAlignment="1" applyProtection="1">
      <alignment horizontal="left"/>
      <protection hidden="1"/>
    </xf>
    <xf numFmtId="10" fontId="12" fillId="3" borderId="6" xfId="0" applyNumberFormat="1" applyFont="1" applyFill="1" applyBorder="1" applyAlignment="1" applyProtection="1">
      <alignment horizontal="center"/>
      <protection hidden="1"/>
    </xf>
    <xf numFmtId="0" fontId="17" fillId="9" borderId="6" xfId="0" applyFont="1" applyFill="1" applyBorder="1" applyAlignment="1" applyProtection="1">
      <alignment horizontal="center"/>
      <protection hidden="1"/>
    </xf>
    <xf numFmtId="0" fontId="12" fillId="5" borderId="6" xfId="0" applyFont="1" applyFill="1" applyBorder="1" applyProtection="1">
      <protection hidden="1"/>
    </xf>
    <xf numFmtId="10" fontId="12" fillId="5" borderId="6" xfId="0" applyNumberFormat="1" applyFont="1" applyFill="1" applyBorder="1" applyAlignment="1" applyProtection="1">
      <alignment horizontal="center"/>
      <protection hidden="1"/>
    </xf>
    <xf numFmtId="166" fontId="12" fillId="5" borderId="2" xfId="0" applyNumberFormat="1" applyFont="1" applyFill="1" applyBorder="1" applyAlignment="1" applyProtection="1">
      <alignment horizontal="center"/>
      <protection hidden="1"/>
    </xf>
    <xf numFmtId="6" fontId="12" fillId="5" borderId="2" xfId="0" applyNumberFormat="1" applyFont="1" applyFill="1" applyBorder="1" applyAlignment="1" applyProtection="1">
      <alignment horizontal="center"/>
      <protection hidden="1"/>
    </xf>
    <xf numFmtId="0" fontId="12" fillId="10" borderId="13" xfId="0" applyFont="1" applyFill="1" applyBorder="1" applyProtection="1">
      <protection hidden="1"/>
    </xf>
    <xf numFmtId="10" fontId="12" fillId="11" borderId="14" xfId="0" applyNumberFormat="1" applyFont="1" applyFill="1" applyBorder="1" applyAlignment="1" applyProtection="1">
      <alignment horizontal="center"/>
      <protection hidden="1"/>
    </xf>
    <xf numFmtId="0" fontId="12" fillId="5" borderId="11" xfId="0" applyFont="1" applyFill="1" applyBorder="1" applyProtection="1">
      <protection hidden="1"/>
    </xf>
    <xf numFmtId="166" fontId="12" fillId="5" borderId="14" xfId="0" applyNumberFormat="1" applyFont="1" applyFill="1" applyBorder="1" applyAlignment="1" applyProtection="1">
      <alignment horizontal="center"/>
      <protection hidden="1"/>
    </xf>
    <xf numFmtId="0" fontId="12" fillId="5" borderId="13" xfId="0" applyFont="1" applyFill="1" applyBorder="1" applyProtection="1">
      <protection hidden="1"/>
    </xf>
    <xf numFmtId="0" fontId="12" fillId="5" borderId="15" xfId="0" applyFont="1" applyFill="1" applyBorder="1" applyProtection="1">
      <protection hidden="1"/>
    </xf>
    <xf numFmtId="6" fontId="12" fillId="5" borderId="14" xfId="0" applyNumberFormat="1" applyFont="1" applyFill="1" applyBorder="1" applyAlignment="1" applyProtection="1">
      <alignment horizontal="center"/>
      <protection hidden="1"/>
    </xf>
    <xf numFmtId="10" fontId="12" fillId="5" borderId="14" xfId="0" applyNumberFormat="1" applyFont="1" applyFill="1" applyBorder="1" applyAlignment="1" applyProtection="1">
      <alignment horizontal="center"/>
      <protection hidden="1"/>
    </xf>
    <xf numFmtId="10" fontId="12" fillId="3" borderId="14" xfId="0" applyNumberFormat="1" applyFont="1" applyFill="1" applyBorder="1" applyAlignment="1" applyProtection="1">
      <alignment horizontal="center"/>
      <protection hidden="1"/>
    </xf>
    <xf numFmtId="169" fontId="16" fillId="2" borderId="6" xfId="0" applyNumberFormat="1" applyFont="1" applyFill="1" applyBorder="1" applyProtection="1">
      <protection hidden="1"/>
    </xf>
    <xf numFmtId="0" fontId="16" fillId="0" borderId="0" xfId="0" applyFont="1" applyProtection="1">
      <protection hidden="1"/>
    </xf>
    <xf numFmtId="0" fontId="22" fillId="7" borderId="0" xfId="0" applyFont="1" applyFill="1" applyProtection="1">
      <protection hidden="1"/>
    </xf>
    <xf numFmtId="10" fontId="7" fillId="7" borderId="0" xfId="0" applyNumberFormat="1" applyFont="1" applyFill="1" applyAlignment="1" applyProtection="1">
      <alignment horizontal="center"/>
      <protection hidden="1"/>
    </xf>
    <xf numFmtId="0" fontId="10" fillId="7" borderId="0" xfId="0" applyFont="1" applyFill="1" applyAlignment="1" applyProtection="1">
      <alignment horizontal="center"/>
      <protection hidden="1"/>
    </xf>
    <xf numFmtId="0" fontId="23" fillId="0" borderId="6" xfId="0" applyFont="1" applyBorder="1" applyAlignment="1" applyProtection="1">
      <alignment vertical="center"/>
      <protection hidden="1"/>
    </xf>
    <xf numFmtId="164" fontId="24" fillId="12" borderId="2" xfId="2" applyNumberFormat="1" applyFont="1" applyFill="1" applyBorder="1" applyAlignment="1" applyProtection="1">
      <alignment vertical="center"/>
      <protection hidden="1"/>
    </xf>
    <xf numFmtId="164" fontId="24" fillId="0" borderId="16" xfId="2" applyNumberFormat="1" applyFont="1" applyBorder="1" applyAlignment="1" applyProtection="1">
      <alignment vertical="center"/>
      <protection hidden="1"/>
    </xf>
    <xf numFmtId="0" fontId="24" fillId="0" borderId="17" xfId="0" applyFont="1" applyBorder="1" applyAlignment="1" applyProtection="1">
      <alignment vertical="center"/>
      <protection hidden="1"/>
    </xf>
    <xf numFmtId="0" fontId="24" fillId="0" borderId="18" xfId="0" applyFont="1" applyBorder="1" applyAlignment="1" applyProtection="1">
      <alignment vertical="center"/>
      <protection hidden="1"/>
    </xf>
    <xf numFmtId="0" fontId="25" fillId="0" borderId="9" xfId="0" applyFont="1" applyBorder="1" applyAlignment="1" applyProtection="1">
      <alignment vertical="center"/>
      <protection hidden="1"/>
    </xf>
    <xf numFmtId="6" fontId="26" fillId="0" borderId="10" xfId="0" applyNumberFormat="1" applyFont="1" applyBorder="1" applyAlignment="1" applyProtection="1">
      <alignment horizontal="center" vertical="center"/>
      <protection hidden="1"/>
    </xf>
    <xf numFmtId="0" fontId="25" fillId="0" borderId="17" xfId="0" applyFont="1" applyBorder="1" applyAlignment="1" applyProtection="1">
      <alignment vertical="center"/>
      <protection hidden="1"/>
    </xf>
    <xf numFmtId="3" fontId="25" fillId="0" borderId="18" xfId="0" applyNumberFormat="1" applyFont="1" applyBorder="1" applyAlignment="1" applyProtection="1">
      <alignment horizontal="center" vertical="center"/>
      <protection hidden="1"/>
    </xf>
    <xf numFmtId="0" fontId="25" fillId="13" borderId="1" xfId="0" applyFont="1" applyFill="1" applyBorder="1" applyAlignment="1" applyProtection="1">
      <alignment vertical="center"/>
      <protection hidden="1"/>
    </xf>
    <xf numFmtId="6" fontId="26" fillId="14" borderId="2" xfId="0" applyNumberFormat="1" applyFont="1" applyFill="1" applyBorder="1" applyAlignment="1" applyProtection="1">
      <alignment horizontal="center" vertical="center"/>
      <protection hidden="1"/>
    </xf>
    <xf numFmtId="169" fontId="11" fillId="2" borderId="7" xfId="0" applyNumberFormat="1" applyFont="1" applyFill="1" applyBorder="1" applyProtection="1">
      <protection hidden="1"/>
    </xf>
    <xf numFmtId="0" fontId="11" fillId="2" borderId="8" xfId="0" applyFont="1" applyFill="1" applyBorder="1" applyAlignment="1" applyProtection="1">
      <alignment horizontal="justify" vertical="justify"/>
      <protection hidden="1"/>
    </xf>
    <xf numFmtId="170" fontId="14" fillId="2" borderId="1" xfId="0" applyNumberFormat="1" applyFont="1" applyFill="1" applyBorder="1" applyAlignment="1" applyProtection="1">
      <alignment horizontal="left"/>
      <protection locked="0" hidden="1"/>
    </xf>
    <xf numFmtId="1" fontId="12" fillId="4" borderId="6" xfId="0" applyNumberFormat="1" applyFont="1" applyFill="1" applyBorder="1" applyAlignment="1" applyProtection="1">
      <alignment horizontal="center"/>
      <protection locked="0" hidden="1"/>
    </xf>
    <xf numFmtId="1" fontId="12" fillId="0" borderId="6" xfId="0" applyNumberFormat="1" applyFont="1" applyBorder="1" applyAlignment="1" applyProtection="1">
      <alignment horizontal="center"/>
      <protection locked="0" hidden="1"/>
    </xf>
    <xf numFmtId="1" fontId="12" fillId="0" borderId="2" xfId="0" applyNumberFormat="1" applyFont="1" applyBorder="1" applyAlignment="1" applyProtection="1">
      <alignment horizontal="center"/>
      <protection locked="0" hidden="1"/>
    </xf>
    <xf numFmtId="1" fontId="12" fillId="0" borderId="0" xfId="0" applyNumberFormat="1" applyFont="1" applyAlignment="1" applyProtection="1">
      <alignment horizontal="center"/>
      <protection locked="0" hidden="1"/>
    </xf>
    <xf numFmtId="0" fontId="28" fillId="0" borderId="0" xfId="0" applyFont="1" applyProtection="1">
      <protection hidden="1"/>
    </xf>
    <xf numFmtId="9" fontId="4" fillId="0" borderId="0" xfId="0" applyNumberFormat="1" applyFont="1"/>
    <xf numFmtId="166" fontId="4" fillId="0" borderId="0" xfId="0" applyNumberFormat="1" applyFont="1" applyProtection="1">
      <protection hidden="1"/>
    </xf>
    <xf numFmtId="9" fontId="4" fillId="0" borderId="0" xfId="2" applyFont="1"/>
    <xf numFmtId="9" fontId="4" fillId="0" borderId="0" xfId="0" applyNumberFormat="1" applyFont="1" applyProtection="1">
      <protection hidden="1"/>
    </xf>
    <xf numFmtId="0" fontId="4" fillId="7" borderId="0" xfId="0" applyFont="1" applyFill="1"/>
    <xf numFmtId="14" fontId="4" fillId="0" borderId="0" xfId="0" applyNumberFormat="1" applyFont="1"/>
    <xf numFmtId="1" fontId="4" fillId="2" borderId="0" xfId="0" applyNumberFormat="1" applyFont="1" applyFill="1" applyAlignment="1" applyProtection="1">
      <alignment horizontal="center" vertical="center"/>
      <protection locked="0"/>
    </xf>
    <xf numFmtId="9" fontId="6" fillId="5" borderId="5" xfId="2" applyFont="1" applyFill="1" applyBorder="1" applyAlignment="1" applyProtection="1">
      <alignment horizontal="center"/>
      <protection locked="0"/>
    </xf>
    <xf numFmtId="166" fontId="5" fillId="12" borderId="0" xfId="0" applyNumberFormat="1" applyFont="1" applyFill="1" applyAlignment="1" applyProtection="1">
      <alignment vertical="center"/>
      <protection hidden="1"/>
    </xf>
    <xf numFmtId="42" fontId="4" fillId="12" borderId="0" xfId="0" applyNumberFormat="1" applyFont="1" applyFill="1" applyAlignment="1" applyProtection="1">
      <alignment vertical="center"/>
      <protection locked="0" hidden="1"/>
    </xf>
    <xf numFmtId="42" fontId="5" fillId="15" borderId="0" xfId="0" applyNumberFormat="1" applyFont="1" applyFill="1" applyAlignment="1" applyProtection="1">
      <alignment vertical="center"/>
      <protection locked="0" hidden="1"/>
    </xf>
    <xf numFmtId="0" fontId="4" fillId="16" borderId="0" xfId="0" applyFont="1" applyFill="1" applyProtection="1">
      <protection hidden="1"/>
    </xf>
    <xf numFmtId="0" fontId="6" fillId="16" borderId="0" xfId="0" applyFont="1" applyFill="1" applyProtection="1">
      <protection hidden="1"/>
    </xf>
    <xf numFmtId="0" fontId="10" fillId="16" borderId="0" xfId="0" applyFont="1" applyFill="1" applyAlignment="1" applyProtection="1">
      <alignment horizontal="center"/>
      <protection hidden="1"/>
    </xf>
    <xf numFmtId="0" fontId="7" fillId="16" borderId="0" xfId="0" applyFont="1" applyFill="1" applyAlignment="1" applyProtection="1">
      <alignment horizontal="center"/>
      <protection hidden="1"/>
    </xf>
    <xf numFmtId="10" fontId="7" fillId="16" borderId="0" xfId="0" applyNumberFormat="1" applyFont="1" applyFill="1" applyAlignment="1" applyProtection="1">
      <alignment horizontal="center"/>
      <protection hidden="1"/>
    </xf>
    <xf numFmtId="166" fontId="7" fillId="16" borderId="0" xfId="0" applyNumberFormat="1" applyFont="1" applyFill="1" applyAlignment="1" applyProtection="1">
      <alignment horizontal="center"/>
      <protection hidden="1"/>
    </xf>
    <xf numFmtId="0" fontId="22" fillId="16" borderId="0" xfId="0" applyFont="1" applyFill="1" applyProtection="1">
      <protection hidden="1"/>
    </xf>
    <xf numFmtId="0" fontId="20" fillId="16" borderId="0" xfId="0" applyFont="1" applyFill="1" applyProtection="1">
      <protection hidden="1"/>
    </xf>
    <xf numFmtId="166" fontId="6" fillId="16" borderId="0" xfId="2" applyNumberFormat="1" applyFont="1" applyFill="1" applyAlignment="1" applyProtection="1">
      <alignment horizontal="center"/>
      <protection hidden="1"/>
    </xf>
    <xf numFmtId="9" fontId="6" fillId="16" borderId="0" xfId="2" applyFont="1" applyFill="1" applyAlignment="1" applyProtection="1">
      <alignment horizontal="center"/>
      <protection hidden="1"/>
    </xf>
    <xf numFmtId="0" fontId="4" fillId="16" borderId="0" xfId="0" applyFont="1" applyFill="1" applyAlignment="1" applyProtection="1">
      <alignment horizontal="center"/>
      <protection hidden="1"/>
    </xf>
    <xf numFmtId="0" fontId="22" fillId="16" borderId="0" xfId="0" applyFont="1" applyFill="1" applyAlignment="1" applyProtection="1">
      <alignment horizontal="center"/>
      <protection hidden="1"/>
    </xf>
    <xf numFmtId="0" fontId="6" fillId="16" borderId="0" xfId="0" applyFont="1" applyFill="1" applyAlignment="1" applyProtection="1">
      <alignment horizontal="center"/>
      <protection hidden="1"/>
    </xf>
    <xf numFmtId="165" fontId="7" fillId="16" borderId="0" xfId="2" applyNumberFormat="1" applyFont="1" applyFill="1" applyAlignment="1" applyProtection="1">
      <alignment horizontal="center"/>
      <protection hidden="1"/>
    </xf>
    <xf numFmtId="166" fontId="6" fillId="16" borderId="0" xfId="0" applyNumberFormat="1" applyFont="1" applyFill="1" applyAlignment="1" applyProtection="1">
      <alignment horizontal="center"/>
      <protection hidden="1"/>
    </xf>
    <xf numFmtId="0" fontId="29" fillId="16" borderId="0" xfId="0" applyFont="1" applyFill="1" applyProtection="1">
      <protection hidden="1"/>
    </xf>
    <xf numFmtId="164" fontId="7" fillId="16" borderId="0" xfId="2" applyNumberFormat="1" applyFont="1" applyFill="1" applyAlignment="1" applyProtection="1">
      <alignment horizontal="center"/>
      <protection hidden="1"/>
    </xf>
    <xf numFmtId="5" fontId="6" fillId="16" borderId="0" xfId="0" applyNumberFormat="1" applyFont="1" applyFill="1" applyAlignment="1" applyProtection="1">
      <alignment horizontal="center"/>
      <protection hidden="1"/>
    </xf>
    <xf numFmtId="0" fontId="18" fillId="16" borderId="0" xfId="0" applyFont="1" applyFill="1" applyProtection="1">
      <protection hidden="1"/>
    </xf>
    <xf numFmtId="166" fontId="19" fillId="16" borderId="0" xfId="0" applyNumberFormat="1" applyFont="1" applyFill="1" applyAlignment="1" applyProtection="1">
      <alignment horizontal="center"/>
      <protection hidden="1"/>
    </xf>
    <xf numFmtId="166" fontId="12" fillId="2" borderId="2" xfId="3" applyNumberFormat="1" applyFont="1" applyFill="1" applyBorder="1" applyAlignment="1" applyProtection="1">
      <alignment horizontal="center"/>
      <protection hidden="1"/>
    </xf>
    <xf numFmtId="1" fontId="12" fillId="2" borderId="2" xfId="3" applyNumberFormat="1" applyFont="1" applyFill="1" applyBorder="1" applyAlignment="1" applyProtection="1">
      <alignment horizontal="center"/>
      <protection hidden="1"/>
    </xf>
    <xf numFmtId="164" fontId="12" fillId="8" borderId="2" xfId="0" applyNumberFormat="1" applyFont="1" applyFill="1" applyBorder="1" applyAlignment="1" applyProtection="1">
      <alignment horizontal="center"/>
      <protection hidden="1"/>
    </xf>
    <xf numFmtId="0" fontId="6" fillId="16" borderId="0" xfId="0" applyFont="1" applyFill="1" applyAlignment="1" applyProtection="1">
      <alignment vertical="center"/>
      <protection hidden="1"/>
    </xf>
    <xf numFmtId="0" fontId="4" fillId="0" borderId="0" xfId="0" applyFont="1" applyAlignment="1">
      <alignment horizontal="right"/>
    </xf>
    <xf numFmtId="166" fontId="4" fillId="0" borderId="0" xfId="0" applyNumberFormat="1" applyFont="1"/>
    <xf numFmtId="5" fontId="6" fillId="16" borderId="0" xfId="0" applyNumberFormat="1" applyFont="1" applyFill="1" applyAlignment="1" applyProtection="1">
      <alignment horizontal="center" vertical="center"/>
      <protection hidden="1"/>
    </xf>
    <xf numFmtId="42" fontId="30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center"/>
    </xf>
    <xf numFmtId="0" fontId="7" fillId="7" borderId="0" xfId="0" applyFont="1" applyFill="1" applyAlignment="1" applyProtection="1">
      <alignment horizontal="center"/>
      <protection hidden="1"/>
    </xf>
    <xf numFmtId="166" fontId="7" fillId="7" borderId="0" xfId="0" applyNumberFormat="1" applyFont="1" applyFill="1" applyAlignment="1" applyProtection="1">
      <alignment horizontal="center"/>
      <protection hidden="1"/>
    </xf>
    <xf numFmtId="0" fontId="27" fillId="0" borderId="0" xfId="0" applyFont="1" applyAlignment="1" applyProtection="1">
      <alignment horizontal="right"/>
      <protection hidden="1"/>
    </xf>
    <xf numFmtId="0" fontId="7" fillId="16" borderId="0" xfId="0" applyFont="1" applyFill="1" applyAlignment="1" applyProtection="1">
      <alignment horizontal="center"/>
      <protection hidden="1"/>
    </xf>
    <xf numFmtId="166" fontId="7" fillId="16" borderId="0" xfId="0" applyNumberFormat="1" applyFont="1" applyFill="1" applyAlignment="1" applyProtection="1">
      <alignment horizontal="center"/>
      <protection hidden="1"/>
    </xf>
  </cellXfs>
  <cellStyles count="4">
    <cellStyle name="Moneda" xfId="1" builtinId="4"/>
    <cellStyle name="Normal" xfId="0" builtinId="0"/>
    <cellStyle name="Normal 4" xfId="3" xr:uid="{99F4EF61-6801-4927-BAB0-11A37A375380}"/>
    <cellStyle name="Porcentaje" xfId="2" builtinId="5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0DEDA"/>
      <color rgb="FF3D736D"/>
      <color rgb="FFB2D6D2"/>
      <color rgb="FFE1EFED"/>
      <color rgb="FFCAE4E0"/>
      <color rgb="FFE1FFFF"/>
      <color rgb="FFD3F0F1"/>
      <color rgb="FFC2EBEC"/>
      <color rgb="FFACE5E6"/>
      <color rgb="FFBFCF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276225</xdr:colOff>
      <xdr:row>0</xdr:row>
      <xdr:rowOff>57150</xdr:rowOff>
    </xdr:from>
    <xdr:ext cx="2828925" cy="615420"/>
    <xdr:pic>
      <xdr:nvPicPr>
        <xdr:cNvPr id="3" name="Imagen 2">
          <a:extLst>
            <a:ext uri="{FF2B5EF4-FFF2-40B4-BE49-F238E27FC236}">
              <a16:creationId xmlns:a16="http://schemas.microsoft.com/office/drawing/2014/main" id="{7AC6CC33-F472-441B-A34B-5A9A0473B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57150"/>
          <a:ext cx="2828925" cy="615420"/>
        </a:xfrm>
        <a:prstGeom prst="rect">
          <a:avLst/>
        </a:prstGeom>
      </xdr:spPr>
    </xdr:pic>
    <xdr:clientData/>
  </xdr:oneCellAnchor>
  <xdr:twoCellAnchor>
    <xdr:from>
      <xdr:col>7</xdr:col>
      <xdr:colOff>409575</xdr:colOff>
      <xdr:row>1</xdr:row>
      <xdr:rowOff>28575</xdr:rowOff>
    </xdr:from>
    <xdr:to>
      <xdr:col>10</xdr:col>
      <xdr:colOff>0</xdr:colOff>
      <xdr:row>2</xdr:row>
      <xdr:rowOff>19050</xdr:rowOff>
    </xdr:to>
    <xdr:sp macro="[0]!Nuevo_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5256DC7-5932-E360-F648-E772E9EB5D39}"/>
            </a:ext>
          </a:extLst>
        </xdr:cNvPr>
        <xdr:cNvSpPr/>
      </xdr:nvSpPr>
      <xdr:spPr>
        <a:xfrm>
          <a:off x="6819900" y="200025"/>
          <a:ext cx="1504950" cy="3238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 b="1">
              <a:latin typeface="Aptos" panose="020B0004020202020204" pitchFamily="34" charset="0"/>
            </a:rPr>
            <a:t>Nuevo Registro</a:t>
          </a:r>
        </a:p>
      </xdr:txBody>
    </xdr:sp>
    <xdr:clientData/>
  </xdr:twoCellAnchor>
  <xdr:twoCellAnchor>
    <xdr:from>
      <xdr:col>1</xdr:col>
      <xdr:colOff>276225</xdr:colOff>
      <xdr:row>29</xdr:row>
      <xdr:rowOff>76200</xdr:rowOff>
    </xdr:from>
    <xdr:to>
      <xdr:col>9</xdr:col>
      <xdr:colOff>19050</xdr:colOff>
      <xdr:row>39</xdr:row>
      <xdr:rowOff>57150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33C31E3-7B30-5E6F-D547-9BFBA18DFC2F}"/>
            </a:ext>
          </a:extLst>
        </xdr:cNvPr>
        <xdr:cNvSpPr/>
      </xdr:nvSpPr>
      <xdr:spPr>
        <a:xfrm>
          <a:off x="571500" y="4067175"/>
          <a:ext cx="7581900" cy="1085850"/>
        </a:xfrm>
        <a:prstGeom prst="roundRect">
          <a:avLst/>
        </a:prstGeom>
        <a:noFill/>
        <a:ln w="9525" cap="flat" cmpd="sng" algn="ctr">
          <a:solidFill>
            <a:schemeClr val="accent3"/>
          </a:solidFill>
          <a:prstDash val="sys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469900</xdr:colOff>
      <xdr:row>0</xdr:row>
      <xdr:rowOff>101600</xdr:rowOff>
    </xdr:from>
    <xdr:to>
      <xdr:col>2</xdr:col>
      <xdr:colOff>1082676</xdr:colOff>
      <xdr:row>3</xdr:row>
      <xdr:rowOff>9525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D959C9A-ED8A-4910-9A51-05B1E0AB9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900" y="101600"/>
          <a:ext cx="3775076" cy="508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2828925" cy="615420"/>
    <xdr:pic>
      <xdr:nvPicPr>
        <xdr:cNvPr id="2" name="Imagen 1">
          <a:extLst>
            <a:ext uri="{FF2B5EF4-FFF2-40B4-BE49-F238E27FC236}">
              <a16:creationId xmlns:a16="http://schemas.microsoft.com/office/drawing/2014/main" id="{2BEAE627-B130-430F-BCA4-594EE6CC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0"/>
          <a:ext cx="2828925" cy="615420"/>
        </a:xfrm>
        <a:prstGeom prst="rect">
          <a:avLst/>
        </a:prstGeom>
      </xdr:spPr>
    </xdr:pic>
    <xdr:clientData/>
  </xdr:oneCellAnchor>
  <xdr:twoCellAnchor>
    <xdr:from>
      <xdr:col>7</xdr:col>
      <xdr:colOff>409575</xdr:colOff>
      <xdr:row>1</xdr:row>
      <xdr:rowOff>28575</xdr:rowOff>
    </xdr:from>
    <xdr:to>
      <xdr:col>10</xdr:col>
      <xdr:colOff>0</xdr:colOff>
      <xdr:row>2</xdr:row>
      <xdr:rowOff>19050</xdr:rowOff>
    </xdr:to>
    <xdr:sp macro="[0]!Nuevo_regist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9892CA6-7187-415F-A8E6-2819EC218376}"/>
            </a:ext>
          </a:extLst>
        </xdr:cNvPr>
        <xdr:cNvSpPr/>
      </xdr:nvSpPr>
      <xdr:spPr>
        <a:xfrm>
          <a:off x="6724650" y="200025"/>
          <a:ext cx="1466850" cy="323850"/>
        </a:xfrm>
        <a:prstGeom prst="roundRect">
          <a:avLst/>
        </a:prstGeom>
        <a:solidFill>
          <a:srgbClr val="C0DEDA">
            <a:alpha val="53000"/>
          </a:srgb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 b="1">
              <a:latin typeface="Aptos" panose="020B0004020202020204" pitchFamily="34" charset="0"/>
            </a:rPr>
            <a:t>Nuevo Registro</a:t>
          </a:r>
        </a:p>
      </xdr:txBody>
    </xdr:sp>
    <xdr:clientData/>
  </xdr:twoCellAnchor>
  <xdr:twoCellAnchor>
    <xdr:from>
      <xdr:col>1</xdr:col>
      <xdr:colOff>247650</xdr:colOff>
      <xdr:row>29</xdr:row>
      <xdr:rowOff>142875</xdr:rowOff>
    </xdr:from>
    <xdr:to>
      <xdr:col>8</xdr:col>
      <xdr:colOff>857250</xdr:colOff>
      <xdr:row>32</xdr:row>
      <xdr:rowOff>57150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93A4DF2-F69D-4770-B622-BAD0C6B17FD0}"/>
            </a:ext>
          </a:extLst>
        </xdr:cNvPr>
        <xdr:cNvSpPr/>
      </xdr:nvSpPr>
      <xdr:spPr>
        <a:xfrm>
          <a:off x="542925" y="3990975"/>
          <a:ext cx="7581900" cy="323850"/>
        </a:xfrm>
        <a:prstGeom prst="roundRect">
          <a:avLst/>
        </a:prstGeom>
        <a:noFill/>
        <a:ln w="9525" cap="flat" cmpd="sng" algn="ctr">
          <a:solidFill>
            <a:schemeClr val="accent3"/>
          </a:solidFill>
          <a:prstDash val="sys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238125</xdr:colOff>
      <xdr:row>10</xdr:row>
      <xdr:rowOff>114301</xdr:rowOff>
    </xdr:from>
    <xdr:to>
      <xdr:col>13</xdr:col>
      <xdr:colOff>19050</xdr:colOff>
      <xdr:row>15</xdr:row>
      <xdr:rowOff>38101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DB1BC0E-BCD8-C7E0-B60E-A32ADC8A0C79}"/>
            </a:ext>
          </a:extLst>
        </xdr:cNvPr>
        <xdr:cNvSpPr/>
      </xdr:nvSpPr>
      <xdr:spPr>
        <a:xfrm>
          <a:off x="8677275" y="1847851"/>
          <a:ext cx="1552575" cy="495300"/>
        </a:xfrm>
        <a:prstGeom prst="roundRect">
          <a:avLst/>
        </a:prstGeom>
        <a:solidFill>
          <a:srgbClr val="E1EFED">
            <a:alpha val="17255"/>
          </a:srgbClr>
        </a:solidFill>
        <a:ln>
          <a:solidFill>
            <a:srgbClr val="B2D6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28575</xdr:colOff>
      <xdr:row>11</xdr:row>
      <xdr:rowOff>123824</xdr:rowOff>
    </xdr:from>
    <xdr:to>
      <xdr:col>10</xdr:col>
      <xdr:colOff>219075</xdr:colOff>
      <xdr:row>13</xdr:row>
      <xdr:rowOff>38099</xdr:rowOff>
    </xdr:to>
    <xdr:sp macro="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FCC49F1C-5CE5-78F0-9B09-76532B01CE65}"/>
            </a:ext>
          </a:extLst>
        </xdr:cNvPr>
        <xdr:cNvSpPr/>
      </xdr:nvSpPr>
      <xdr:spPr>
        <a:xfrm rot="10800000">
          <a:off x="8467725" y="2028824"/>
          <a:ext cx="190500" cy="114300"/>
        </a:xfrm>
        <a:prstGeom prst="stripedRightArrow">
          <a:avLst/>
        </a:prstGeom>
        <a:solidFill>
          <a:srgbClr val="3D736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527050</xdr:colOff>
      <xdr:row>0</xdr:row>
      <xdr:rowOff>63500</xdr:rowOff>
    </xdr:from>
    <xdr:to>
      <xdr:col>2</xdr:col>
      <xdr:colOff>1139826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E6700C5-5A6A-45EB-9DAB-16E840B0C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7050" y="63500"/>
          <a:ext cx="3775076" cy="536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55F41-16B9-4DC3-AD0D-D89BF0620091}">
  <sheetPr codeName="Hoja1"/>
  <dimension ref="B1:S45"/>
  <sheetViews>
    <sheetView workbookViewId="0">
      <selection activeCell="X19" sqref="X19"/>
    </sheetView>
  </sheetViews>
  <sheetFormatPr baseColWidth="10" defaultRowHeight="13.5" x14ac:dyDescent="0.25"/>
  <cols>
    <col min="1" max="1" width="7.42578125" style="9" customWidth="1"/>
    <col min="2" max="2" width="15" style="9" hidden="1" customWidth="1"/>
    <col min="3" max="3" width="15.140625" style="9" hidden="1" customWidth="1"/>
    <col min="4" max="4" width="14" style="9" hidden="1" customWidth="1"/>
    <col min="5" max="5" width="7.42578125" style="9" hidden="1" customWidth="1"/>
    <col min="6" max="6" width="25.7109375" style="9" hidden="1" customWidth="1"/>
    <col min="7" max="7" width="19.7109375" style="9" hidden="1" customWidth="1"/>
    <col min="8" max="9" width="14.28515625" style="9" hidden="1" customWidth="1"/>
    <col min="10" max="10" width="7.42578125" style="9" hidden="1" customWidth="1"/>
    <col min="11" max="11" width="17" style="9" hidden="1" customWidth="1"/>
    <col min="12" max="12" width="16.42578125" style="9" hidden="1" customWidth="1"/>
    <col min="13" max="13" width="7.42578125" style="9" hidden="1" customWidth="1"/>
    <col min="14" max="14" width="15.42578125" style="9" hidden="1" customWidth="1"/>
    <col min="15" max="15" width="13.140625" style="9" hidden="1" customWidth="1"/>
    <col min="16" max="16" width="11.5703125" style="9" hidden="1" customWidth="1"/>
    <col min="17" max="19" width="11.42578125" style="9" hidden="1" customWidth="1"/>
    <col min="20" max="16384" width="11.42578125" style="9"/>
  </cols>
  <sheetData>
    <row r="1" spans="2:17" x14ac:dyDescent="0.25">
      <c r="D1" s="9" t="s">
        <v>195</v>
      </c>
      <c r="H1" s="177" t="s">
        <v>190</v>
      </c>
      <c r="I1" s="177"/>
    </row>
    <row r="2" spans="2:17" ht="15" customHeight="1" x14ac:dyDescent="0.25">
      <c r="B2" s="6" t="s">
        <v>27</v>
      </c>
      <c r="C2" s="3">
        <v>90</v>
      </c>
      <c r="D2" s="3"/>
      <c r="E2" s="3"/>
      <c r="F2" s="8" t="s">
        <v>1</v>
      </c>
      <c r="G2" s="8"/>
      <c r="H2" s="177" t="s">
        <v>195</v>
      </c>
      <c r="I2" s="177"/>
      <c r="J2" s="8"/>
      <c r="K2" s="8" t="s">
        <v>2</v>
      </c>
      <c r="N2" s="1" t="s">
        <v>7</v>
      </c>
      <c r="O2" s="1" t="s">
        <v>8</v>
      </c>
    </row>
    <row r="3" spans="2:17" x14ac:dyDescent="0.25">
      <c r="B3" s="3" t="s">
        <v>28</v>
      </c>
      <c r="C3" s="10">
        <f ca="1">+TODAY()</f>
        <v>45995</v>
      </c>
      <c r="D3" s="10"/>
      <c r="E3" s="10"/>
      <c r="F3" s="2" t="s">
        <v>38</v>
      </c>
      <c r="G3" s="11">
        <v>1423500</v>
      </c>
      <c r="H3" s="146">
        <v>1423500</v>
      </c>
      <c r="I3" s="146">
        <v>1551615</v>
      </c>
      <c r="J3" s="3"/>
      <c r="K3" s="4" t="s">
        <v>162</v>
      </c>
      <c r="L3" s="12">
        <v>1.78E-2</v>
      </c>
      <c r="N3" s="4" t="s">
        <v>9</v>
      </c>
      <c r="O3" s="4">
        <v>45</v>
      </c>
    </row>
    <row r="4" spans="2:17" x14ac:dyDescent="0.25">
      <c r="B4" s="3" t="s">
        <v>29</v>
      </c>
      <c r="C4" s="10">
        <f ca="1">+EOMONTH(C3,1)</f>
        <v>46053</v>
      </c>
      <c r="D4" s="10"/>
      <c r="E4" s="10"/>
      <c r="F4" s="13" t="s">
        <v>39</v>
      </c>
      <c r="G4" s="14">
        <f>+Simulador!E12</f>
        <v>4500000</v>
      </c>
      <c r="H4" s="14">
        <f>+'Simulador con incremento'!E12</f>
        <v>1350000</v>
      </c>
      <c r="I4" s="14">
        <f>+'Simulador con incremento'!H16</f>
        <v>1417500</v>
      </c>
      <c r="J4" s="3"/>
      <c r="K4" s="4" t="s">
        <v>163</v>
      </c>
      <c r="L4" s="12">
        <v>1.6299999999999999E-2</v>
      </c>
      <c r="N4" s="4" t="s">
        <v>10</v>
      </c>
      <c r="O4" s="4">
        <v>45</v>
      </c>
    </row>
    <row r="5" spans="2:17" x14ac:dyDescent="0.25">
      <c r="B5" s="3" t="s">
        <v>30</v>
      </c>
      <c r="C5" s="10">
        <f ca="1">DATE(YEAR(C4),(MONTH(C4)-1)+Simulador!E45,DAY(C4))</f>
        <v>49674</v>
      </c>
      <c r="D5" s="10">
        <f ca="1">DATE(YEAR(C4),(MONTH(C4)-1)+'Simulador con incremento'!E45,DAY(C4))</f>
        <v>47848</v>
      </c>
      <c r="E5" s="10"/>
      <c r="F5" s="15" t="s">
        <v>165</v>
      </c>
      <c r="G5" s="14">
        <f>+Simulador!E14</f>
        <v>0</v>
      </c>
      <c r="H5" s="14">
        <f>+'Simulador con incremento'!E14</f>
        <v>0</v>
      </c>
      <c r="I5" s="14">
        <f>+'Simulador con incremento'!I12</f>
        <v>113400</v>
      </c>
      <c r="J5" s="3"/>
      <c r="K5" s="4" t="s">
        <v>164</v>
      </c>
      <c r="L5" s="12">
        <v>1.52E-2</v>
      </c>
      <c r="N5" s="4" t="s">
        <v>166</v>
      </c>
      <c r="O5" s="4">
        <v>45</v>
      </c>
    </row>
    <row r="6" spans="2:17" x14ac:dyDescent="0.25">
      <c r="F6" s="15" t="s">
        <v>40</v>
      </c>
      <c r="G6" s="16">
        <f>+G4*2%</f>
        <v>90000</v>
      </c>
      <c r="H6" s="147">
        <f>+H4*2%</f>
        <v>27000</v>
      </c>
      <c r="I6" s="147">
        <f>+I4*2%</f>
        <v>28350</v>
      </c>
      <c r="J6" s="3"/>
      <c r="N6" s="4" t="s">
        <v>182</v>
      </c>
      <c r="O6" s="4">
        <v>45</v>
      </c>
      <c r="P6" s="17"/>
    </row>
    <row r="7" spans="2:17" x14ac:dyDescent="0.25">
      <c r="F7" s="13" t="s">
        <v>41</v>
      </c>
      <c r="G7" s="16">
        <f>+G4*8%</f>
        <v>360000</v>
      </c>
      <c r="H7" s="147">
        <f>+H4*8%</f>
        <v>108000</v>
      </c>
      <c r="I7" s="147">
        <f>+I4*8%</f>
        <v>113400</v>
      </c>
      <c r="J7" s="3"/>
      <c r="N7" s="4" t="s">
        <v>183</v>
      </c>
      <c r="O7" s="4"/>
      <c r="P7" s="23">
        <v>50000</v>
      </c>
    </row>
    <row r="8" spans="2:17" x14ac:dyDescent="0.25">
      <c r="F8" s="13" t="s">
        <v>42</v>
      </c>
      <c r="G8" s="16">
        <f>+G4*5%</f>
        <v>225000</v>
      </c>
      <c r="H8" s="147">
        <f>+H4*5%</f>
        <v>67500</v>
      </c>
      <c r="I8" s="147">
        <f>+I4*5%</f>
        <v>70875</v>
      </c>
      <c r="J8" s="3"/>
      <c r="K8" s="9" t="s">
        <v>6</v>
      </c>
      <c r="N8" s="4" t="s">
        <v>12</v>
      </c>
      <c r="O8" s="4">
        <v>45</v>
      </c>
    </row>
    <row r="9" spans="2:17" x14ac:dyDescent="0.25">
      <c r="B9" s="1" t="s">
        <v>19</v>
      </c>
      <c r="F9" s="15">
        <v>0.5</v>
      </c>
      <c r="G9" s="16">
        <f>+(G4-G5)/2</f>
        <v>2250000</v>
      </c>
      <c r="H9" s="147">
        <f>+(H4-H5)/2</f>
        <v>675000</v>
      </c>
      <c r="I9" s="147">
        <f>+(I4-I5)/2</f>
        <v>652050</v>
      </c>
      <c r="J9" s="3"/>
      <c r="K9" s="18">
        <v>4.4999999999999997E-3</v>
      </c>
      <c r="N9" s="4" t="s">
        <v>13</v>
      </c>
      <c r="O9" s="4">
        <v>60</v>
      </c>
    </row>
    <row r="10" spans="2:17" x14ac:dyDescent="0.25">
      <c r="B10" s="4" t="s">
        <v>20</v>
      </c>
      <c r="F10" s="15" t="s">
        <v>43</v>
      </c>
      <c r="G10" s="16">
        <f>+IF(G4&lt;=(G3*2),"",(G4/2))</f>
        <v>2250000</v>
      </c>
      <c r="H10" s="147" t="str">
        <f>+IF(H4&lt;=(H3*2),"",(H4/2))</f>
        <v/>
      </c>
      <c r="I10" s="147" t="str">
        <f>+IF(I4&lt;=(I3*2),"",(I4/2))</f>
        <v/>
      </c>
      <c r="J10" s="3"/>
      <c r="K10" s="18">
        <v>3.15E-3</v>
      </c>
      <c r="N10" s="36" t="s">
        <v>14</v>
      </c>
      <c r="O10" s="36">
        <v>60</v>
      </c>
    </row>
    <row r="11" spans="2:17" x14ac:dyDescent="0.25">
      <c r="B11" s="4" t="s">
        <v>21</v>
      </c>
      <c r="F11" s="15" t="s">
        <v>44</v>
      </c>
      <c r="G11" s="16">
        <f>+IF(G4&lt;=(G3*2),(G4-G3),G10)</f>
        <v>2250000</v>
      </c>
      <c r="H11" s="147">
        <f>+IF(H4&lt;=(H3*2),(H4-H3),H10)</f>
        <v>-73500</v>
      </c>
      <c r="I11" s="147">
        <f>+IF(I4&lt;=(I3*2),(I4-I3),I10)</f>
        <v>-134115</v>
      </c>
      <c r="J11" s="3"/>
      <c r="N11" s="36" t="s">
        <v>15</v>
      </c>
      <c r="O11" s="36">
        <v>10</v>
      </c>
      <c r="Q11" s="142" t="s">
        <v>196</v>
      </c>
    </row>
    <row r="12" spans="2:17" x14ac:dyDescent="0.25">
      <c r="F12" s="13" t="s">
        <v>45</v>
      </c>
      <c r="G12" s="14">
        <f>+Simulador!E26</f>
        <v>2008421</v>
      </c>
      <c r="H12" s="14">
        <f>+'Simulador con incremento'!E26+H14+H15+H16</f>
        <v>551000</v>
      </c>
      <c r="I12" s="14">
        <f>+H12-H5+I5+I14+I15+I16</f>
        <v>669400</v>
      </c>
      <c r="J12" s="3"/>
      <c r="N12" s="36" t="s">
        <v>16</v>
      </c>
      <c r="O12" s="36">
        <v>10</v>
      </c>
    </row>
    <row r="13" spans="2:17" x14ac:dyDescent="0.25">
      <c r="F13" s="2" t="s">
        <v>46</v>
      </c>
      <c r="G13" s="16"/>
      <c r="H13" s="147"/>
      <c r="I13" s="147"/>
      <c r="J13" s="3"/>
      <c r="K13" s="5" t="s">
        <v>170</v>
      </c>
      <c r="L13" s="19"/>
      <c r="N13" s="36" t="s">
        <v>17</v>
      </c>
      <c r="O13" s="36">
        <v>30</v>
      </c>
    </row>
    <row r="14" spans="2:17" x14ac:dyDescent="0.25">
      <c r="B14" s="1" t="s">
        <v>22</v>
      </c>
      <c r="F14" s="13" t="s">
        <v>47</v>
      </c>
      <c r="G14" s="20">
        <f>+Simulador!E16</f>
        <v>0</v>
      </c>
      <c r="H14" s="20">
        <v>0</v>
      </c>
      <c r="I14" s="20">
        <f>+'Simulador con incremento'!E16</f>
        <v>5000</v>
      </c>
      <c r="J14" s="3"/>
      <c r="K14" s="21" t="s">
        <v>32</v>
      </c>
      <c r="L14" s="33">
        <f>+Simulador!E33</f>
        <v>0</v>
      </c>
      <c r="N14" s="36" t="s">
        <v>18</v>
      </c>
      <c r="O14" s="36">
        <v>15</v>
      </c>
    </row>
    <row r="15" spans="2:17" x14ac:dyDescent="0.25">
      <c r="B15" s="4" t="s">
        <v>23</v>
      </c>
      <c r="F15" s="13" t="s">
        <v>48</v>
      </c>
      <c r="G15" s="20">
        <f>+Simulador!E18</f>
        <v>0</v>
      </c>
      <c r="H15" s="20">
        <v>0</v>
      </c>
      <c r="I15" s="20">
        <f>+'Simulador con incremento'!E18</f>
        <v>0</v>
      </c>
      <c r="J15" s="3"/>
      <c r="K15" s="21" t="s">
        <v>33</v>
      </c>
      <c r="L15" s="29">
        <f>TA!B9</f>
        <v>1.6299999999999999E-2</v>
      </c>
    </row>
    <row r="16" spans="2:17" x14ac:dyDescent="0.25">
      <c r="B16" s="4" t="s">
        <v>24</v>
      </c>
      <c r="F16" s="13" t="s">
        <v>49</v>
      </c>
      <c r="G16" s="20">
        <f>+Simulador!E20</f>
        <v>0</v>
      </c>
      <c r="H16" s="20">
        <v>0</v>
      </c>
      <c r="I16" s="20">
        <f>+'Simulador con incremento'!E20</f>
        <v>0</v>
      </c>
      <c r="J16" s="3"/>
      <c r="K16" s="21" t="s">
        <v>34</v>
      </c>
      <c r="L16" s="30">
        <f>IF(Simulador!E5=Formulas!N3,Formulas!O3,
IF(Simulador!E5=Formulas!N4,Formulas!O4,
IF(Simulador!E5=Formulas!N5,Formulas!O5,
IF(Simulador!E5=Formulas!N6,Formulas!O6,
IF(Simulador!E5=Formulas!N8,Formulas!O8,
IF(Simulador!E5=Formulas!N9,Formulas!O9,
IF(Simulador!E5=Formulas!N10,Formulas!O10,
IF(Simulador!E5=Formulas!N11,Formulas!O11,
IF(Simulador!E5=Formulas!N12,Formulas!O12,
IF(Simulador!E5=Formulas!N13,Formulas!O13,IF(Simulador!E5=Formulas!N14,Formulas!O14,"Error")))))))))))</f>
        <v>60</v>
      </c>
    </row>
    <row r="17" spans="2:18" x14ac:dyDescent="0.25">
      <c r="B17" s="4" t="s">
        <v>25</v>
      </c>
      <c r="F17" s="13" t="s">
        <v>50</v>
      </c>
      <c r="G17" s="16">
        <f>+(G4-G14-G15-G16-G5)/2</f>
        <v>2250000</v>
      </c>
      <c r="H17" s="147">
        <f>+(H4-H14-H15-H16-H5)/2</f>
        <v>675000</v>
      </c>
      <c r="I17" s="147">
        <f>+(I4-I14-I15-I16-I5)/2</f>
        <v>649550</v>
      </c>
      <c r="J17" s="3"/>
      <c r="K17" s="21" t="s">
        <v>35</v>
      </c>
      <c r="L17" s="31">
        <f>MAX(1,ROUNDUP(L16/30,0)) * L14 * K10</f>
        <v>0</v>
      </c>
    </row>
    <row r="18" spans="2:18" x14ac:dyDescent="0.25">
      <c r="B18" s="4" t="s">
        <v>26</v>
      </c>
      <c r="F18" s="13" t="s">
        <v>51</v>
      </c>
      <c r="G18" s="20">
        <f>+Simulador!E22</f>
        <v>0</v>
      </c>
      <c r="H18" s="20">
        <f>+Simulador!F22</f>
        <v>0</v>
      </c>
      <c r="I18" s="20"/>
      <c r="J18" s="3"/>
      <c r="K18" s="32" t="s">
        <v>31</v>
      </c>
      <c r="L18" s="34">
        <f>ROUND(L14 * L15 * L16 / 30 + L17, 0)</f>
        <v>0</v>
      </c>
      <c r="N18" s="6" t="s">
        <v>66</v>
      </c>
      <c r="O18" s="22"/>
      <c r="Q18" s="6" t="s">
        <v>199</v>
      </c>
      <c r="R18" s="22"/>
    </row>
    <row r="19" spans="2:18" x14ac:dyDescent="0.25">
      <c r="B19" s="4" t="s">
        <v>85</v>
      </c>
      <c r="F19" s="27" t="s">
        <v>52</v>
      </c>
      <c r="G19" s="28">
        <f>+G9-G12+G5-5000</f>
        <v>236579</v>
      </c>
      <c r="H19" s="148">
        <f>H9-H12+H5-5000</f>
        <v>119000</v>
      </c>
      <c r="I19" s="148">
        <f>+I9-I12+I5-5000</f>
        <v>91050</v>
      </c>
      <c r="J19" s="3"/>
      <c r="K19" s="32" t="s">
        <v>36</v>
      </c>
      <c r="L19" s="35">
        <f>+L14+L18</f>
        <v>0</v>
      </c>
      <c r="N19" s="6"/>
      <c r="O19" s="22"/>
      <c r="Q19" s="6"/>
      <c r="R19" s="22"/>
    </row>
    <row r="20" spans="2:18" x14ac:dyDescent="0.25">
      <c r="B20" s="4" t="s">
        <v>86</v>
      </c>
      <c r="F20" s="27" t="s">
        <v>53</v>
      </c>
      <c r="G20" s="28">
        <f>+G9-G12+G5</f>
        <v>241579</v>
      </c>
      <c r="H20" s="148">
        <f>+H9-H12+H5</f>
        <v>124000</v>
      </c>
      <c r="I20" s="148">
        <f>+I9-I12+I5</f>
        <v>96050</v>
      </c>
      <c r="J20" s="3"/>
      <c r="N20" s="3" t="s">
        <v>67</v>
      </c>
      <c r="O20" s="23">
        <f>+Simulador!E43</f>
        <v>10000000</v>
      </c>
      <c r="Q20" s="3" t="s">
        <v>67</v>
      </c>
      <c r="R20" s="23">
        <f>+'Simulador con incremento'!E43</f>
        <v>10000000</v>
      </c>
    </row>
    <row r="21" spans="2:18" x14ac:dyDescent="0.25">
      <c r="F21" s="27" t="s">
        <v>11</v>
      </c>
      <c r="G21" s="28">
        <f>+G9-G12+G5</f>
        <v>241579</v>
      </c>
      <c r="H21" s="148">
        <f>+H9-H12+H5</f>
        <v>124000</v>
      </c>
      <c r="I21" s="148">
        <f>+I9-I12+I5</f>
        <v>96050</v>
      </c>
      <c r="J21" s="3"/>
      <c r="N21" s="3" t="s">
        <v>168</v>
      </c>
      <c r="O21" s="23">
        <f>+Simulador!H43</f>
        <v>528901.13420797768</v>
      </c>
      <c r="Q21" s="3" t="s">
        <v>168</v>
      </c>
      <c r="R21" s="23">
        <f>'Simulador con incremento'!H43</f>
        <v>944625.86363206897</v>
      </c>
    </row>
    <row r="22" spans="2:18" x14ac:dyDescent="0.25">
      <c r="F22" s="27" t="s">
        <v>13</v>
      </c>
      <c r="G22" s="28">
        <f>+G11-G12</f>
        <v>241579</v>
      </c>
      <c r="H22" s="148">
        <f>+H11-H12</f>
        <v>-624500</v>
      </c>
      <c r="I22" s="148">
        <f>+I11-I12</f>
        <v>-803515</v>
      </c>
      <c r="J22" s="3"/>
      <c r="K22" s="5" t="s">
        <v>171</v>
      </c>
      <c r="L22" s="19"/>
      <c r="N22" s="3" t="s">
        <v>169</v>
      </c>
      <c r="O22" s="23">
        <f>+Simulador!H31</f>
        <v>0</v>
      </c>
      <c r="Q22" s="3" t="s">
        <v>169</v>
      </c>
      <c r="R22" s="23">
        <f>'Simulador con incremento'!H31</f>
        <v>0</v>
      </c>
    </row>
    <row r="23" spans="2:18" x14ac:dyDescent="0.25">
      <c r="B23" s="6" t="s">
        <v>55</v>
      </c>
      <c r="C23" s="3"/>
      <c r="D23" s="26">
        <v>1423500</v>
      </c>
      <c r="F23" s="27" t="s">
        <v>54</v>
      </c>
      <c r="G23" s="28">
        <f>+G17+G5-G12+G18</f>
        <v>241579</v>
      </c>
      <c r="H23" s="148">
        <f>+H17+H5-H12+H18</f>
        <v>124000</v>
      </c>
      <c r="I23" s="148" t="s">
        <v>200</v>
      </c>
      <c r="J23" s="3"/>
      <c r="K23" s="21" t="s">
        <v>32</v>
      </c>
      <c r="L23" s="33">
        <f>+Simulador!E35</f>
        <v>0</v>
      </c>
      <c r="N23" s="3" t="s">
        <v>69</v>
      </c>
      <c r="O23" s="23">
        <f>+Simulador!H45</f>
        <v>1071098.8657920223</v>
      </c>
      <c r="Q23" s="3" t="s">
        <v>69</v>
      </c>
      <c r="R23" s="23">
        <f>'Simulador con incremento'!H45</f>
        <v>655374.13636793103</v>
      </c>
    </row>
    <row r="24" spans="2:18" x14ac:dyDescent="0.25">
      <c r="B24" s="24">
        <v>18</v>
      </c>
      <c r="C24" s="24" t="s">
        <v>56</v>
      </c>
      <c r="D24" s="7">
        <f>D23*100</f>
        <v>142350000</v>
      </c>
      <c r="F24" s="27" t="s">
        <v>16</v>
      </c>
      <c r="G24" s="28">
        <f>+(G4-G8)/2-(G12-G8)-11000</f>
        <v>343079</v>
      </c>
      <c r="H24" s="148">
        <f>+(H4-H8)/2-(H12-H8)-11000</f>
        <v>146750</v>
      </c>
      <c r="I24" s="148" t="s">
        <v>197</v>
      </c>
      <c r="J24" s="3"/>
      <c r="K24" s="21" t="s">
        <v>33</v>
      </c>
      <c r="L24" s="29">
        <f>TA!B9</f>
        <v>1.6299999999999999E-2</v>
      </c>
      <c r="N24" s="3" t="s">
        <v>70</v>
      </c>
      <c r="O24" s="23">
        <f>+IF(Simulador!E49="Transferencia a cuenta",6854,13645)</f>
        <v>13645</v>
      </c>
      <c r="Q24" s="3" t="s">
        <v>70</v>
      </c>
      <c r="R24" s="23">
        <f>+IF('Simulador con incremento'!E49="Transferencia a cuenta",6854,13645)</f>
        <v>13645</v>
      </c>
    </row>
    <row r="25" spans="2:18" x14ac:dyDescent="0.25">
      <c r="B25" s="24">
        <v>71</v>
      </c>
      <c r="C25" s="24" t="s">
        <v>57</v>
      </c>
      <c r="D25" s="7">
        <f>D23*50</f>
        <v>71175000</v>
      </c>
      <c r="F25" s="27" t="s">
        <v>14</v>
      </c>
      <c r="G25" s="28">
        <f>+(G4-G5)/2-(G12-G5)</f>
        <v>241579</v>
      </c>
      <c r="H25" s="148">
        <f>+(H4-H5)/2-(H12-H5)</f>
        <v>124000</v>
      </c>
      <c r="I25" s="148" t="s">
        <v>197</v>
      </c>
      <c r="J25" s="3"/>
      <c r="K25" s="21" t="s">
        <v>34</v>
      </c>
      <c r="L25" s="30">
        <f>IF(Simulador!E5=Formulas!N3,Formulas!O3,
IF(Simulador!E5=Formulas!N4,Formulas!O4,
IF(Simulador!E5=Formulas!N5,Formulas!O5,
IF(Simulador!E5=Formulas!N6,Formulas!O6,
IF(Simulador!E5=Formulas!N8,Formulas!O8,
IF(Simulador!E5=Formulas!N9,Formulas!O9,
IF(Simulador!E5=Formulas!N10,Formulas!O10,
IF(Simulador!E5=Formulas!N11,Formulas!O11,
IF(Simulador!E5=Formulas!N12,Formulas!O12,
IF(Simulador!E5=Formulas!N13,Formulas!O13,IF(Simulador!E5=Formulas!N14,Formulas!O14,"Error")))))))))))</f>
        <v>60</v>
      </c>
      <c r="N25" s="3" t="s">
        <v>71</v>
      </c>
      <c r="O25" s="25">
        <f>TRUNC(ROUND(((O20-O21-O22-O23-O24-Simulador!E31-Simulador!E33-Simulador!E35-Simulador!E37-Simulador!E39-Simulador!H33-Simulador!H35-Simulador!H37)*4/1000),0))+O24</f>
        <v>47190</v>
      </c>
      <c r="Q25" s="3" t="s">
        <v>71</v>
      </c>
      <c r="R25" s="25">
        <f>TRUNC(ROUND(((R20-R21-R22-R23-R24-R26-'Simulador con incremento'!H31-'Simulador con incremento'!H33-'Simulador con incremento'!H35-'Simulador con incremento'!H37-'Simulador con incremento'!H39-'Simulador con incremento'!K33-'Simulador con incremento'!K35-'Simulador con incremento'!K37)*4/1000),0))+R24</f>
        <v>47190</v>
      </c>
    </row>
    <row r="26" spans="2:18" x14ac:dyDescent="0.25">
      <c r="B26" s="24">
        <v>81</v>
      </c>
      <c r="C26" s="24" t="s">
        <v>58</v>
      </c>
      <c r="D26" s="7">
        <f>D23*10</f>
        <v>14235000</v>
      </c>
      <c r="F26" s="27" t="s">
        <v>15</v>
      </c>
      <c r="G26" s="28">
        <f>+G4/2-G12</f>
        <v>241579</v>
      </c>
      <c r="H26" s="148">
        <f>+H4/2-H12</f>
        <v>124000</v>
      </c>
      <c r="I26" s="148" t="s">
        <v>197</v>
      </c>
      <c r="J26" s="3"/>
      <c r="K26" s="21" t="s">
        <v>35</v>
      </c>
      <c r="L26" s="31">
        <f>MAX(1,ROUNDUP(L16/30,0)) * L14 * K10</f>
        <v>0</v>
      </c>
      <c r="N26" s="3"/>
      <c r="O26" s="3"/>
      <c r="Q26" s="173" t="s">
        <v>206</v>
      </c>
      <c r="R26" s="174">
        <f>IF('Simulador con incremento'!I48="a riesgo", ROUND((R20*R28/(1+R28)) + (R20*R29), 0), 0)</f>
        <v>0</v>
      </c>
    </row>
    <row r="27" spans="2:18" x14ac:dyDescent="0.25">
      <c r="B27" s="24">
        <v>86</v>
      </c>
      <c r="C27" s="24" t="s">
        <v>59</v>
      </c>
      <c r="D27" s="7">
        <f>D23*3</f>
        <v>4270500</v>
      </c>
      <c r="F27" s="27" t="s">
        <v>9</v>
      </c>
      <c r="G27" s="28">
        <f>+((G4-G5-G6)/2)-G12+G5</f>
        <v>196579</v>
      </c>
      <c r="H27" s="148">
        <f>+((H4-H5-H6)/2)-H12+H5</f>
        <v>110500</v>
      </c>
      <c r="I27" s="148" t="s">
        <v>197</v>
      </c>
      <c r="J27" s="3"/>
      <c r="K27" s="32" t="s">
        <v>31</v>
      </c>
      <c r="L27" s="34">
        <f>ROUND(L23 * L24 * L25 / 30 + L26, 0)</f>
        <v>0</v>
      </c>
    </row>
    <row r="28" spans="2:18" x14ac:dyDescent="0.25">
      <c r="J28" s="3"/>
      <c r="K28" s="32" t="s">
        <v>36</v>
      </c>
      <c r="L28" s="35">
        <f>+L23+L27</f>
        <v>0</v>
      </c>
      <c r="Q28" s="9" t="s">
        <v>207</v>
      </c>
      <c r="R28" s="9">
        <f>+'TA+'!B9</f>
        <v>1.6299999999999999E-2</v>
      </c>
    </row>
    <row r="29" spans="2:18" x14ac:dyDescent="0.25">
      <c r="F29" s="9" t="s">
        <v>186</v>
      </c>
      <c r="J29" s="3"/>
      <c r="Q29" s="9" t="s">
        <v>208</v>
      </c>
      <c r="R29" s="9">
        <f>+'TA+'!F6</f>
        <v>3.15E-3</v>
      </c>
    </row>
    <row r="30" spans="2:18" x14ac:dyDescent="0.25">
      <c r="F30" s="138" t="s">
        <v>187</v>
      </c>
      <c r="G30" s="138">
        <v>0.05</v>
      </c>
      <c r="H30" s="138"/>
      <c r="I30" s="138"/>
      <c r="J30" s="3"/>
    </row>
    <row r="31" spans="2:18" ht="14.25" thickBot="1" x14ac:dyDescent="0.3">
      <c r="F31" s="138" t="s">
        <v>188</v>
      </c>
      <c r="G31" s="138">
        <v>0.09</v>
      </c>
      <c r="H31" s="138"/>
      <c r="I31" s="138"/>
      <c r="J31" s="3"/>
      <c r="K31" s="5" t="s">
        <v>172</v>
      </c>
      <c r="L31" s="19"/>
      <c r="Q31" s="9" t="s">
        <v>210</v>
      </c>
    </row>
    <row r="32" spans="2:18" ht="14.25" thickBot="1" x14ac:dyDescent="0.3">
      <c r="K32" s="21" t="s">
        <v>32</v>
      </c>
      <c r="L32" s="33">
        <f>+Simulador!E37</f>
        <v>0</v>
      </c>
      <c r="N32" s="119" t="s">
        <v>178</v>
      </c>
      <c r="O32" s="120">
        <f>+TA!B9</f>
        <v>1.6299999999999999E-2</v>
      </c>
      <c r="Q32" s="9" t="s">
        <v>211</v>
      </c>
    </row>
    <row r="33" spans="6:15" ht="14.25" thickBot="1" x14ac:dyDescent="0.3">
      <c r="F33" s="9" t="s">
        <v>189</v>
      </c>
      <c r="G33" s="138">
        <v>0</v>
      </c>
      <c r="H33" s="138"/>
      <c r="I33" s="138"/>
      <c r="K33" s="21" t="s">
        <v>33</v>
      </c>
      <c r="L33" s="29">
        <f>TA!B9</f>
        <v>1.6299999999999999E-2</v>
      </c>
      <c r="N33" s="119" t="s">
        <v>6</v>
      </c>
      <c r="O33" s="121">
        <v>3.15E-3</v>
      </c>
    </row>
    <row r="34" spans="6:15" ht="14.25" thickBot="1" x14ac:dyDescent="0.3">
      <c r="G34" s="138">
        <v>0.04</v>
      </c>
      <c r="H34" s="138"/>
      <c r="I34" s="138"/>
      <c r="K34" s="21" t="s">
        <v>34</v>
      </c>
      <c r="L34" s="30">
        <f>IF(Simulador!E5=Formulas!N3,Formulas!O3,
IF(Simulador!E5=Formulas!N4,Formulas!O4,
IF(Simulador!E5=Formulas!N5,Formulas!O5,
IF(Simulador!E5=Formulas!N6,Formulas!O6,
IF(Simulador!E5=Formulas!N8,Formulas!O8,
IF(Simulador!E5=Formulas!N9,Formulas!O9,
IF(Simulador!E5=Formulas!N10,Formulas!O10,
IF(Simulador!E5=Formulas!N11,Formulas!O11,
IF(Simulador!E5=Formulas!N12,Formulas!O12,
IF(Simulador!E5=Formulas!N13,Formulas!O13,IF(Simulador!E5=Formulas!N14,Formulas!O14,"Error")))))))))))</f>
        <v>60</v>
      </c>
      <c r="N34" s="122"/>
      <c r="O34" s="123"/>
    </row>
    <row r="35" spans="6:15" x14ac:dyDescent="0.25">
      <c r="G35" s="138">
        <v>0.08</v>
      </c>
      <c r="H35" s="138"/>
      <c r="I35" s="138"/>
      <c r="K35" s="21" t="s">
        <v>35</v>
      </c>
      <c r="L35" s="31">
        <f>MAX(1,ROUNDUP(L16/30,0)) * L14 * K10</f>
        <v>0</v>
      </c>
      <c r="N35" s="124" t="s">
        <v>179</v>
      </c>
      <c r="O35" s="125">
        <f>+Simulador!E43</f>
        <v>10000000</v>
      </c>
    </row>
    <row r="36" spans="6:15" ht="14.25" thickBot="1" x14ac:dyDescent="0.3">
      <c r="G36" s="138">
        <v>0.1</v>
      </c>
      <c r="H36" s="138"/>
      <c r="I36" s="138"/>
      <c r="K36" s="32" t="s">
        <v>31</v>
      </c>
      <c r="L36" s="34">
        <f>ROUND(L32 * L33 * L34 / 30 + L35, 0)</f>
        <v>0</v>
      </c>
      <c r="N36" s="126" t="s">
        <v>78</v>
      </c>
      <c r="O36" s="127">
        <f>+Simulador!E45</f>
        <v>120</v>
      </c>
    </row>
    <row r="37" spans="6:15" ht="14.25" thickBot="1" x14ac:dyDescent="0.3">
      <c r="G37" s="140">
        <v>0.12</v>
      </c>
      <c r="H37" s="140"/>
      <c r="I37" s="140"/>
      <c r="K37" s="32" t="s">
        <v>36</v>
      </c>
      <c r="L37" s="35">
        <f>+L32+L36</f>
        <v>0</v>
      </c>
      <c r="N37" s="128" t="s">
        <v>180</v>
      </c>
      <c r="O37" s="129">
        <f>IF(O36&lt;24,"ERROR",ROUND(-PMT(O32,O36,O35)+(O33*O35),0))</f>
        <v>221847</v>
      </c>
    </row>
    <row r="39" spans="6:15" x14ac:dyDescent="0.25">
      <c r="K39" s="5" t="s">
        <v>198</v>
      </c>
      <c r="L39" s="19"/>
    </row>
    <row r="40" spans="6:15" x14ac:dyDescent="0.25">
      <c r="K40" s="21" t="s">
        <v>32</v>
      </c>
      <c r="L40" s="33">
        <f>+'Simulador con incremento'!E33</f>
        <v>0</v>
      </c>
    </row>
    <row r="41" spans="6:15" x14ac:dyDescent="0.25">
      <c r="K41" s="21" t="s">
        <v>33</v>
      </c>
      <c r="L41" s="29">
        <f>+'TA+'!B9</f>
        <v>1.6299999999999999E-2</v>
      </c>
      <c r="N41" s="143">
        <f>+'Simulador con incremento'!E35</f>
        <v>0</v>
      </c>
    </row>
    <row r="42" spans="6:15" x14ac:dyDescent="0.25">
      <c r="K42" s="21" t="s">
        <v>34</v>
      </c>
      <c r="L42" s="144">
        <f>_xlfn.DAYS(N42,N41)</f>
        <v>46040</v>
      </c>
      <c r="N42" s="143">
        <v>46040</v>
      </c>
    </row>
    <row r="43" spans="6:15" x14ac:dyDescent="0.25">
      <c r="K43" s="21" t="s">
        <v>35</v>
      </c>
      <c r="L43" s="31">
        <f>MAX(1,ROUNDUP(L42/30,0)) * L40* K10</f>
        <v>0</v>
      </c>
    </row>
    <row r="44" spans="6:15" x14ac:dyDescent="0.25">
      <c r="K44" s="32" t="s">
        <v>31</v>
      </c>
      <c r="L44" s="34">
        <f>ROUND(L40 * L41 * L42 / 30 + L43, 0)</f>
        <v>0</v>
      </c>
    </row>
    <row r="45" spans="6:15" x14ac:dyDescent="0.25">
      <c r="K45" s="32" t="s">
        <v>36</v>
      </c>
      <c r="L45" s="35">
        <f>+L40+L44</f>
        <v>0</v>
      </c>
    </row>
  </sheetData>
  <sheetProtection algorithmName="SHA-512" hashValue="8WPu4fLUwHQ/lPHDuNtnfsZ4mhK1fUMosKLTXujtd+xUORmRGw64g7v1STCdU6Rz8rgSOVZ7xl9yVN4qbJsBKw==" saltValue="ss90fKup/bmzJjyHU+FpgA==" spinCount="100000" sheet="1" objects="1" scenarios="1"/>
  <mergeCells count="2">
    <mergeCell ref="H1:I1"/>
    <mergeCell ref="H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1C077-A37F-4157-99C7-5F0276552785}">
  <sheetPr codeName="Hoja2"/>
  <dimension ref="B2:J53"/>
  <sheetViews>
    <sheetView showGridLines="0" workbookViewId="0">
      <selection activeCell="L35" sqref="L35"/>
    </sheetView>
  </sheetViews>
  <sheetFormatPr baseColWidth="10" defaultRowHeight="13.5" x14ac:dyDescent="0.25"/>
  <cols>
    <col min="1" max="1" width="4.42578125" style="4" customWidth="1"/>
    <col min="2" max="2" width="5.28515625" style="4" customWidth="1"/>
    <col min="3" max="3" width="18" style="4" customWidth="1"/>
    <col min="4" max="4" width="14.140625" style="4" customWidth="1"/>
    <col min="5" max="5" width="20.42578125" style="4" customWidth="1"/>
    <col min="6" max="6" width="4.85546875" style="4" customWidth="1"/>
    <col min="7" max="7" width="27.5703125" style="4" customWidth="1"/>
    <col min="8" max="8" width="14.28515625" style="4" customWidth="1"/>
    <col min="9" max="9" width="9.28515625" style="4" customWidth="1"/>
    <col min="10" max="10" width="4.5703125" style="4" customWidth="1"/>
    <col min="11" max="11" width="4.42578125" style="4" customWidth="1"/>
    <col min="12" max="12" width="27" style="4" customWidth="1"/>
    <col min="13" max="13" width="16.85546875" style="4" customWidth="1"/>
    <col min="14" max="16384" width="11.42578125" style="4"/>
  </cols>
  <sheetData>
    <row r="2" spans="2:10" ht="26.25" customHeight="1" x14ac:dyDescent="0.25"/>
    <row r="4" spans="2:10" x14ac:dyDescent="0.25">
      <c r="B4" s="36"/>
      <c r="C4" s="36"/>
      <c r="D4" s="36"/>
      <c r="E4" s="36"/>
      <c r="F4" s="36"/>
      <c r="G4" s="36"/>
      <c r="H4" s="36"/>
      <c r="I4" s="36"/>
      <c r="J4" s="36"/>
    </row>
    <row r="5" spans="2:10" x14ac:dyDescent="0.25">
      <c r="B5" s="36"/>
      <c r="C5" s="37" t="s">
        <v>64</v>
      </c>
      <c r="D5" s="37"/>
      <c r="E5" s="49" t="s">
        <v>13</v>
      </c>
      <c r="F5" s="36"/>
      <c r="G5" s="178" t="s">
        <v>72</v>
      </c>
      <c r="H5" s="178"/>
      <c r="I5" s="36"/>
      <c r="J5" s="36"/>
    </row>
    <row r="6" spans="2:10" ht="2.25" customHeight="1" x14ac:dyDescent="0.25">
      <c r="B6" s="36"/>
      <c r="C6" s="37"/>
      <c r="D6" s="37"/>
      <c r="E6" s="37"/>
      <c r="F6" s="37"/>
      <c r="G6" s="38"/>
      <c r="H6" s="38"/>
      <c r="I6" s="36"/>
      <c r="J6" s="36"/>
    </row>
    <row r="7" spans="2:10" x14ac:dyDescent="0.25">
      <c r="B7" s="36"/>
      <c r="C7" s="37" t="s">
        <v>175</v>
      </c>
      <c r="D7" s="118" t="s">
        <v>176</v>
      </c>
      <c r="E7" s="50">
        <v>29671</v>
      </c>
      <c r="F7" s="116"/>
      <c r="G7" s="179">
        <f ca="1">VLOOKUP(E8,Formulas!B24:D27,3,TRUE)</f>
        <v>142350000</v>
      </c>
      <c r="H7" s="179"/>
      <c r="I7" s="36"/>
      <c r="J7" s="36"/>
    </row>
    <row r="8" spans="2:10" x14ac:dyDescent="0.25">
      <c r="B8" s="36"/>
      <c r="C8" s="37" t="s">
        <v>0</v>
      </c>
      <c r="D8" s="37"/>
      <c r="E8" s="38">
        <f ca="1">IF(E7="", "", DATEDIF(E7,TODAY(),"Y"))</f>
        <v>44</v>
      </c>
      <c r="F8" s="36"/>
      <c r="G8" s="37"/>
      <c r="H8" s="36"/>
      <c r="I8" s="36"/>
      <c r="J8" s="36"/>
    </row>
    <row r="9" spans="2:10" x14ac:dyDescent="0.25">
      <c r="B9" s="36"/>
      <c r="C9" s="37" t="s">
        <v>167</v>
      </c>
      <c r="D9" s="37"/>
      <c r="E9" s="38">
        <f ca="1">+DATEDIF(E7,Formulas!C5,"Y")</f>
        <v>54</v>
      </c>
      <c r="F9" s="40" t="str">
        <f ca="1">IF($E$9&gt;=90,"Plazo no válido, debe terminar de cancelar antes de los 90 años","")</f>
        <v/>
      </c>
      <c r="G9" s="37"/>
      <c r="H9" s="36"/>
      <c r="I9" s="36"/>
      <c r="J9" s="36"/>
    </row>
    <row r="10" spans="2:10" x14ac:dyDescent="0.25">
      <c r="B10" s="36"/>
      <c r="C10" s="37"/>
      <c r="D10" s="37"/>
      <c r="E10" s="36"/>
      <c r="F10" s="36"/>
      <c r="G10" s="37"/>
      <c r="H10" s="36"/>
      <c r="I10" s="36"/>
      <c r="J10" s="36"/>
    </row>
    <row r="11" spans="2:10" x14ac:dyDescent="0.25">
      <c r="B11" s="36"/>
      <c r="C11" s="178" t="s">
        <v>37</v>
      </c>
      <c r="D11" s="178"/>
      <c r="E11" s="36"/>
      <c r="F11" s="36"/>
      <c r="G11" s="178" t="s">
        <v>65</v>
      </c>
      <c r="H11" s="178"/>
      <c r="I11" s="36"/>
      <c r="J11" s="36"/>
    </row>
    <row r="12" spans="2:10" x14ac:dyDescent="0.25">
      <c r="B12" s="36"/>
      <c r="C12" s="37" t="s">
        <v>60</v>
      </c>
      <c r="D12" s="37"/>
      <c r="E12" s="51">
        <v>4500000</v>
      </c>
      <c r="F12" s="36"/>
      <c r="G12" s="37"/>
      <c r="H12" s="36"/>
      <c r="I12" s="36"/>
      <c r="J12" s="36"/>
    </row>
    <row r="13" spans="2:10" ht="2.25" customHeight="1" x14ac:dyDescent="0.25">
      <c r="B13" s="36"/>
      <c r="C13" s="37"/>
      <c r="D13" s="37"/>
      <c r="E13" s="37"/>
      <c r="F13" s="37"/>
      <c r="G13" s="37"/>
      <c r="H13" s="36"/>
      <c r="I13" s="36"/>
      <c r="J13" s="36"/>
    </row>
    <row r="14" spans="2:10" x14ac:dyDescent="0.25">
      <c r="B14" s="36"/>
      <c r="C14" s="37" t="s">
        <v>61</v>
      </c>
      <c r="D14" s="37"/>
      <c r="E14" s="51">
        <v>0</v>
      </c>
      <c r="F14" s="36"/>
      <c r="G14" s="37" t="s">
        <v>1</v>
      </c>
      <c r="H14" s="39">
        <f>IF(E5=Formulas!$N$3,Formulas!$G$27,
IF(E5=Formulas!$N$4,Formulas!$G$20,
IF(E5=Formulas!$N$5,Formulas!$G$21,
IF(E5=Formulas!$N$6,Formulas!$G$21,
IF(E5=Formulas!$N$7,Formulas!$G$21,
IF(E5=Formulas!$N$8,Formulas!$G$19,
IF(E5=Formulas!$N$9,Formulas!$G$22,
IF(E5=Formulas!$N$10,Formulas!$G$25,
IF(E5=Formulas!$N$11,Formulas!$G$26,
IF(E5=Formulas!$N$12,Formulas!$G$24,
IF(E5=Formulas!$N$13,Formulas!$G$23,
IF(E5=Formulas!$N$14,Formulas!$G$23,
"Error"))))))))))))+E24</f>
        <v>241579</v>
      </c>
      <c r="I14" s="36"/>
      <c r="J14" s="36"/>
    </row>
    <row r="15" spans="2:10" ht="2.25" customHeight="1" x14ac:dyDescent="0.25">
      <c r="B15" s="36"/>
      <c r="C15" s="37"/>
      <c r="D15" s="37"/>
      <c r="E15" s="37"/>
      <c r="F15" s="37"/>
      <c r="G15" s="37"/>
      <c r="H15" s="39"/>
      <c r="I15" s="36"/>
      <c r="J15" s="36"/>
    </row>
    <row r="16" spans="2:10" x14ac:dyDescent="0.25">
      <c r="B16" s="36"/>
      <c r="C16" s="37" t="s">
        <v>47</v>
      </c>
      <c r="D16" s="37"/>
      <c r="E16" s="51"/>
      <c r="F16" s="36"/>
      <c r="G16" s="37"/>
      <c r="H16" s="49">
        <v>120</v>
      </c>
      <c r="I16" s="36"/>
      <c r="J16" s="36"/>
    </row>
    <row r="17" spans="2:10" ht="2.25" customHeight="1" x14ac:dyDescent="0.25">
      <c r="B17" s="36"/>
      <c r="C17" s="37"/>
      <c r="D17" s="37"/>
      <c r="E17" s="37"/>
      <c r="F17" s="36"/>
      <c r="G17" s="37"/>
      <c r="H17" s="37"/>
      <c r="I17" s="37"/>
      <c r="J17" s="36"/>
    </row>
    <row r="18" spans="2:10" x14ac:dyDescent="0.25">
      <c r="B18" s="36"/>
      <c r="C18" s="37" t="s">
        <v>48</v>
      </c>
      <c r="D18" s="37"/>
      <c r="E18" s="51"/>
      <c r="F18" s="36"/>
      <c r="G18" s="37" t="s">
        <v>94</v>
      </c>
      <c r="H18" s="39">
        <f>H14*FV(TA!B9,-H16,1)/(1+H41*FV(TA!B9,-H16,1))</f>
        <v>10889422.777916051</v>
      </c>
      <c r="I18" s="36"/>
      <c r="J18" s="36"/>
    </row>
    <row r="19" spans="2:10" ht="2.25" customHeight="1" x14ac:dyDescent="0.25">
      <c r="B19" s="36"/>
      <c r="C19" s="37"/>
      <c r="D19" s="37"/>
      <c r="E19" s="37"/>
      <c r="F19" s="37"/>
      <c r="G19" s="37"/>
      <c r="H19" s="39"/>
      <c r="I19" s="36"/>
      <c r="J19" s="36"/>
    </row>
    <row r="20" spans="2:10" x14ac:dyDescent="0.25">
      <c r="B20" s="36"/>
      <c r="C20" s="37" t="s">
        <v>62</v>
      </c>
      <c r="D20" s="37"/>
      <c r="E20" s="51"/>
      <c r="F20" s="36"/>
      <c r="G20" s="37"/>
      <c r="H20" s="36"/>
      <c r="I20" s="36"/>
      <c r="J20" s="36"/>
    </row>
    <row r="21" spans="2:10" ht="2.25" customHeight="1" x14ac:dyDescent="0.25">
      <c r="B21" s="36"/>
      <c r="C21" s="37"/>
      <c r="D21" s="37"/>
      <c r="E21" s="37"/>
      <c r="F21" s="37"/>
      <c r="G21" s="37"/>
      <c r="H21" s="36"/>
      <c r="I21" s="36"/>
      <c r="J21" s="36"/>
    </row>
    <row r="22" spans="2:10" x14ac:dyDescent="0.25">
      <c r="B22" s="36"/>
      <c r="C22" s="37" t="s">
        <v>63</v>
      </c>
      <c r="D22" s="37"/>
      <c r="E22" s="51"/>
      <c r="F22" s="36"/>
      <c r="G22" s="37"/>
      <c r="H22" s="36"/>
      <c r="I22" s="36"/>
      <c r="J22" s="36"/>
    </row>
    <row r="23" spans="2:10" ht="2.25" customHeight="1" x14ac:dyDescent="0.25">
      <c r="B23" s="36"/>
      <c r="C23" s="37"/>
      <c r="D23" s="37"/>
      <c r="E23" s="37"/>
      <c r="F23" s="36"/>
      <c r="G23" s="37"/>
      <c r="H23" s="36"/>
      <c r="I23" s="36"/>
      <c r="J23" s="36"/>
    </row>
    <row r="24" spans="2:10" x14ac:dyDescent="0.25">
      <c r="B24" s="36"/>
      <c r="C24" s="37" t="s">
        <v>95</v>
      </c>
      <c r="D24" s="37"/>
      <c r="E24" s="51"/>
      <c r="F24" s="36"/>
      <c r="G24" s="37"/>
      <c r="H24" s="36"/>
      <c r="I24" s="36"/>
      <c r="J24" s="36"/>
    </row>
    <row r="25" spans="2:10" ht="2.25" customHeight="1" x14ac:dyDescent="0.25">
      <c r="B25" s="36"/>
      <c r="C25" s="37"/>
      <c r="D25" s="37"/>
      <c r="E25" s="37"/>
      <c r="F25" s="37"/>
      <c r="G25" s="37"/>
      <c r="H25" s="36"/>
      <c r="I25" s="36"/>
      <c r="J25" s="36"/>
    </row>
    <row r="26" spans="2:10" x14ac:dyDescent="0.25">
      <c r="B26" s="36"/>
      <c r="C26" s="37" t="s">
        <v>84</v>
      </c>
      <c r="D26" s="37"/>
      <c r="E26" s="51">
        <v>2008421</v>
      </c>
      <c r="F26" s="36"/>
      <c r="G26" s="37"/>
      <c r="H26" s="36"/>
      <c r="I26" s="36"/>
      <c r="J26" s="36"/>
    </row>
    <row r="27" spans="2:10" x14ac:dyDescent="0.25">
      <c r="B27" s="36"/>
      <c r="C27" s="37"/>
      <c r="D27" s="37"/>
      <c r="E27" s="36"/>
      <c r="F27" s="36"/>
      <c r="G27" s="37"/>
      <c r="H27" s="36"/>
      <c r="I27" s="36"/>
      <c r="J27" s="36"/>
    </row>
    <row r="28" spans="2:10" x14ac:dyDescent="0.25">
      <c r="B28" s="36"/>
      <c r="C28" s="178" t="s">
        <v>73</v>
      </c>
      <c r="D28" s="178"/>
      <c r="E28" s="36"/>
      <c r="F28" s="36"/>
      <c r="G28" s="178" t="s">
        <v>96</v>
      </c>
      <c r="H28" s="178"/>
      <c r="I28" s="36"/>
      <c r="J28" s="36"/>
    </row>
    <row r="29" spans="2:10" x14ac:dyDescent="0.25">
      <c r="B29" s="36"/>
      <c r="C29" s="37" t="s">
        <v>74</v>
      </c>
      <c r="D29" s="37"/>
      <c r="E29" s="49" t="s">
        <v>23</v>
      </c>
      <c r="F29" s="36"/>
      <c r="G29" s="37"/>
      <c r="H29" s="36"/>
      <c r="I29" s="36"/>
      <c r="J29" s="36"/>
    </row>
    <row r="30" spans="2:10" ht="10.5" customHeight="1" x14ac:dyDescent="0.25">
      <c r="B30" s="36"/>
      <c r="C30" s="37"/>
      <c r="D30" s="37"/>
      <c r="E30" s="37"/>
      <c r="F30" s="37"/>
      <c r="G30" s="37"/>
      <c r="H30" s="36"/>
      <c r="I30" s="36"/>
      <c r="J30" s="36"/>
    </row>
    <row r="31" spans="2:10" x14ac:dyDescent="0.25">
      <c r="B31" s="36"/>
      <c r="C31" s="37" t="s">
        <v>87</v>
      </c>
      <c r="D31" s="37"/>
      <c r="E31" s="51"/>
      <c r="F31" s="36"/>
      <c r="G31" s="37" t="s">
        <v>177</v>
      </c>
      <c r="H31" s="52"/>
      <c r="I31" s="41"/>
      <c r="J31" s="36"/>
    </row>
    <row r="32" spans="2:10" ht="2.25" customHeight="1" x14ac:dyDescent="0.25">
      <c r="B32" s="36"/>
      <c r="C32" s="37"/>
      <c r="D32" s="37"/>
      <c r="E32" s="42"/>
      <c r="F32" s="36"/>
      <c r="G32" s="37"/>
      <c r="H32" s="37"/>
      <c r="I32" s="41"/>
      <c r="J32" s="36"/>
    </row>
    <row r="33" spans="2:10" x14ac:dyDescent="0.25">
      <c r="B33" s="36"/>
      <c r="C33" s="37" t="s">
        <v>89</v>
      </c>
      <c r="D33" s="37"/>
      <c r="E33" s="51"/>
      <c r="F33" s="36"/>
      <c r="G33" s="37" t="s">
        <v>88</v>
      </c>
      <c r="H33" s="43" t="str">
        <f>IF(OR(E33="",E33=0),"0",IF(E5="Fiduprevisora 2",Formulas!P7,Formulas!L18))</f>
        <v>0</v>
      </c>
      <c r="I33" s="41"/>
      <c r="J33" s="36"/>
    </row>
    <row r="34" spans="2:10" ht="2.25" customHeight="1" x14ac:dyDescent="0.25">
      <c r="B34" s="36"/>
      <c r="C34" s="37"/>
      <c r="D34" s="37"/>
      <c r="E34" s="42"/>
      <c r="F34" s="36"/>
      <c r="G34" s="37"/>
      <c r="H34" s="43"/>
      <c r="I34" s="41"/>
      <c r="J34" s="36"/>
    </row>
    <row r="35" spans="2:10" x14ac:dyDescent="0.25">
      <c r="B35" s="36"/>
      <c r="C35" s="37" t="s">
        <v>90</v>
      </c>
      <c r="D35" s="37"/>
      <c r="E35" s="51"/>
      <c r="F35" s="36"/>
      <c r="G35" s="37" t="s">
        <v>88</v>
      </c>
      <c r="H35" s="43" t="str">
        <f>IF(OR(E35="",E35=0),"0",IF(E5="Fiduprevisora 2",Formulas!P7,Formulas!L27))</f>
        <v>0</v>
      </c>
      <c r="I35" s="41"/>
      <c r="J35" s="36"/>
    </row>
    <row r="36" spans="2:10" ht="2.25" customHeight="1" x14ac:dyDescent="0.25">
      <c r="B36" s="36"/>
      <c r="C36" s="37"/>
      <c r="D36" s="37"/>
      <c r="E36" s="42"/>
      <c r="F36" s="36"/>
      <c r="G36" s="37"/>
      <c r="H36" s="43" t="s">
        <v>181</v>
      </c>
      <c r="I36" s="41"/>
      <c r="J36" s="36"/>
    </row>
    <row r="37" spans="2:10" x14ac:dyDescent="0.25">
      <c r="B37" s="36"/>
      <c r="C37" s="37" t="s">
        <v>91</v>
      </c>
      <c r="D37" s="37"/>
      <c r="E37" s="51"/>
      <c r="F37" s="36"/>
      <c r="G37" s="37" t="s">
        <v>93</v>
      </c>
      <c r="H37" s="43" t="str">
        <f>IF(OR(E37="",E37=0),"0",IF(E5="Fiduprevisora 2",Formulas!P7,Formulas!L36))</f>
        <v>0</v>
      </c>
      <c r="I37" s="41"/>
      <c r="J37" s="36"/>
    </row>
    <row r="38" spans="2:10" ht="2.25" customHeight="1" x14ac:dyDescent="0.25">
      <c r="B38" s="36"/>
      <c r="C38" s="37"/>
      <c r="D38" s="37"/>
      <c r="E38" s="42"/>
      <c r="F38" s="36"/>
      <c r="G38" s="37"/>
      <c r="H38" s="36"/>
      <c r="I38" s="41"/>
      <c r="J38" s="36"/>
    </row>
    <row r="39" spans="2:10" x14ac:dyDescent="0.25">
      <c r="B39" s="36"/>
      <c r="C39" s="37" t="s">
        <v>92</v>
      </c>
      <c r="D39" s="37"/>
      <c r="E39" s="51"/>
      <c r="F39" s="36"/>
      <c r="G39" s="37"/>
      <c r="H39" s="36"/>
      <c r="I39" s="41"/>
      <c r="J39" s="36"/>
    </row>
    <row r="40" spans="2:10" ht="10.5" customHeight="1" x14ac:dyDescent="0.25">
      <c r="B40" s="36"/>
      <c r="C40" s="37"/>
      <c r="D40" s="37"/>
      <c r="E40" s="36"/>
      <c r="F40" s="36"/>
      <c r="G40" s="178"/>
      <c r="H40" s="178"/>
      <c r="I40" s="41"/>
      <c r="J40" s="36"/>
    </row>
    <row r="41" spans="2:10" x14ac:dyDescent="0.25">
      <c r="B41" s="36"/>
      <c r="C41" s="37" t="s">
        <v>76</v>
      </c>
      <c r="D41" s="117" t="str">
        <f>"E.A. " &amp; TEXT(TA!B8,"0,00%")</f>
        <v>E.A. 21,41%</v>
      </c>
      <c r="E41" s="49" t="s">
        <v>163</v>
      </c>
      <c r="F41" s="36"/>
      <c r="G41" s="37" t="s">
        <v>6</v>
      </c>
      <c r="H41" s="44">
        <v>3.15E-3</v>
      </c>
      <c r="I41" s="42"/>
      <c r="J41" s="36"/>
    </row>
    <row r="42" spans="2:10" ht="2.25" customHeight="1" x14ac:dyDescent="0.25">
      <c r="B42" s="36"/>
      <c r="C42" s="37"/>
      <c r="D42" s="37"/>
      <c r="E42" s="37"/>
      <c r="F42" s="36"/>
      <c r="G42" s="37"/>
      <c r="H42" s="44"/>
      <c r="I42" s="42"/>
      <c r="J42" s="36"/>
    </row>
    <row r="43" spans="2:10" x14ac:dyDescent="0.25">
      <c r="B43" s="36"/>
      <c r="C43" s="37" t="s">
        <v>77</v>
      </c>
      <c r="D43" s="37"/>
      <c r="E43" s="51">
        <v>10000000</v>
      </c>
      <c r="F43" s="36"/>
      <c r="G43" s="37" t="s">
        <v>80</v>
      </c>
      <c r="H43" s="43">
        <f>IF(E29=Formulas!B16,0,TA!F3)</f>
        <v>528901.13420797768</v>
      </c>
      <c r="I43" s="45">
        <f>+TA!I11</f>
        <v>5.2890113420797767E-2</v>
      </c>
      <c r="J43" s="36"/>
    </row>
    <row r="44" spans="2:10" ht="2.25" customHeight="1" x14ac:dyDescent="0.25">
      <c r="B44" s="36"/>
      <c r="C44" s="37"/>
      <c r="D44" s="37"/>
      <c r="E44" s="37"/>
      <c r="F44" s="36"/>
      <c r="G44" s="37"/>
      <c r="H44" s="42"/>
      <c r="I44" s="38"/>
      <c r="J44" s="36"/>
    </row>
    <row r="45" spans="2:10" x14ac:dyDescent="0.25">
      <c r="B45" s="36"/>
      <c r="C45" s="37" t="s">
        <v>78</v>
      </c>
      <c r="D45" s="37"/>
      <c r="E45" s="49">
        <v>120</v>
      </c>
      <c r="F45" s="36"/>
      <c r="G45" s="37" t="s">
        <v>82</v>
      </c>
      <c r="H45" s="43">
        <f>+TA!F4</f>
        <v>1071098.8657920223</v>
      </c>
      <c r="I45" s="45">
        <f>+TA!I12</f>
        <v>0.10710988657920223</v>
      </c>
      <c r="J45" s="36"/>
    </row>
    <row r="46" spans="2:10" ht="2.25" customHeight="1" x14ac:dyDescent="0.25">
      <c r="B46" s="36"/>
      <c r="C46" s="37"/>
      <c r="D46" s="37"/>
      <c r="E46" s="37">
        <v>96</v>
      </c>
      <c r="F46" s="36"/>
      <c r="G46" s="37"/>
      <c r="H46" s="42"/>
      <c r="I46" s="42"/>
      <c r="J46" s="36"/>
    </row>
    <row r="47" spans="2:10" x14ac:dyDescent="0.25">
      <c r="B47" s="36"/>
      <c r="C47" s="37" t="s">
        <v>79</v>
      </c>
      <c r="D47" s="37"/>
      <c r="E47" s="39">
        <f>+Formulas!O37</f>
        <v>221847</v>
      </c>
      <c r="F47" s="36"/>
      <c r="G47" s="37" t="s">
        <v>81</v>
      </c>
      <c r="H47" s="46">
        <f>+IF(E49="","",Formulas!O25)</f>
        <v>47190</v>
      </c>
      <c r="I47" s="42"/>
      <c r="J47" s="36"/>
    </row>
    <row r="48" spans="2:10" ht="2.25" customHeight="1" x14ac:dyDescent="0.25">
      <c r="B48" s="36"/>
      <c r="C48" s="37"/>
      <c r="D48" s="37"/>
      <c r="E48" s="37"/>
      <c r="F48" s="36"/>
      <c r="G48" s="37"/>
      <c r="H48" s="37"/>
      <c r="I48" s="42"/>
      <c r="J48" s="36"/>
    </row>
    <row r="49" spans="2:10" ht="15" x14ac:dyDescent="0.25">
      <c r="B49" s="36"/>
      <c r="C49" s="37" t="s">
        <v>19</v>
      </c>
      <c r="D49" s="37"/>
      <c r="E49" s="49" t="s">
        <v>20</v>
      </c>
      <c r="F49" s="36"/>
      <c r="G49" s="47" t="s">
        <v>83</v>
      </c>
      <c r="H49" s="48">
        <f>+E43-E31-E33-E35-E37-E39-H31-H33-H35-H37-H43-H45-H47</f>
        <v>8352810</v>
      </c>
      <c r="I49" s="41"/>
      <c r="J49" s="36"/>
    </row>
    <row r="50" spans="2:10" x14ac:dyDescent="0.25">
      <c r="B50" s="36"/>
      <c r="C50" s="36"/>
      <c r="D50" s="36"/>
      <c r="E50" s="36"/>
      <c r="F50" s="36"/>
      <c r="G50" s="36"/>
      <c r="H50" s="36"/>
      <c r="I50" s="36"/>
      <c r="J50" s="36"/>
    </row>
    <row r="51" spans="2:10" ht="5.25" customHeight="1" x14ac:dyDescent="0.25"/>
    <row r="52" spans="2:10" x14ac:dyDescent="0.25">
      <c r="C52" s="137" t="s">
        <v>185</v>
      </c>
      <c r="H52" s="180" t="s">
        <v>204</v>
      </c>
      <c r="I52" s="180"/>
      <c r="J52" s="180"/>
    </row>
    <row r="53" spans="2:10" x14ac:dyDescent="0.25">
      <c r="C53" s="137" t="s">
        <v>184</v>
      </c>
    </row>
  </sheetData>
  <sheetProtection algorithmName="SHA-512" hashValue="9YKQZgd2xzRxEP2HU5tRmHCsD8vbIzKqOuLSQyFJ/a3Cu5S6MX22m5g2e/wPjg0i2Ifo+sgYpZi70xkGcW01hA==" saltValue="ICHXCcvtTtBuvorYwg0amQ==" spinCount="100000" sheet="1" objects="1" scenarios="1"/>
  <mergeCells count="8">
    <mergeCell ref="G5:H5"/>
    <mergeCell ref="G7:H7"/>
    <mergeCell ref="H52:J52"/>
    <mergeCell ref="C28:D28"/>
    <mergeCell ref="C11:D11"/>
    <mergeCell ref="G11:H11"/>
    <mergeCell ref="G28:H28"/>
    <mergeCell ref="G40:H40"/>
  </mergeCells>
  <conditionalFormatting sqref="E9">
    <cfRule type="cellIs" dxfId="21" priority="3" operator="greaterThanOrEqual">
      <formula>90</formula>
    </cfRule>
  </conditionalFormatting>
  <conditionalFormatting sqref="E45">
    <cfRule type="expression" dxfId="20" priority="1">
      <formula>$E$9&gt;=90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E664A1-9AD2-485E-9786-BC06D2D54AFD}">
          <x14:formula1>
            <xm:f>Formulas!$B$15:$B$20</xm:f>
          </x14:formula1>
          <xm:sqref>E29</xm:sqref>
        </x14:dataValidation>
        <x14:dataValidation type="list" allowBlank="1" showInputMessage="1" showErrorMessage="1" xr:uid="{EDEFA4FD-1980-4AB8-9594-250B38DC29AC}">
          <x14:formula1>
            <xm:f>Formulas!$K$3:$K$5</xm:f>
          </x14:formula1>
          <xm:sqref>E41</xm:sqref>
        </x14:dataValidation>
        <x14:dataValidation type="list" allowBlank="1" showInputMessage="1" showErrorMessage="1" xr:uid="{25FA4620-D385-44AF-9478-4E51F861757D}">
          <x14:formula1>
            <xm:f>Formulas!$B$10:$B$11</xm:f>
          </x14:formula1>
          <xm:sqref>E49</xm:sqref>
        </x14:dataValidation>
        <x14:dataValidation type="list" allowBlank="1" showInputMessage="1" showErrorMessage="1" xr:uid="{5B49AD3B-4F32-4B38-9ADF-748EEFDE4D23}">
          <x14:formula1>
            <xm:f>Formulas!$N$3:$N$14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94D1A-810A-4CEE-8108-984CBC7C787F}">
  <sheetPr codeName="Hoja3"/>
  <dimension ref="A1:T240"/>
  <sheetViews>
    <sheetView workbookViewId="0">
      <selection activeCell="F1" sqref="F1"/>
    </sheetView>
  </sheetViews>
  <sheetFormatPr baseColWidth="10" defaultRowHeight="15" x14ac:dyDescent="0.25"/>
  <cols>
    <col min="1" max="1" width="27.28515625" style="59" customWidth="1"/>
    <col min="2" max="2" width="20.140625" style="59" customWidth="1"/>
    <col min="3" max="3" width="23.42578125" style="59" customWidth="1"/>
    <col min="4" max="4" width="22.42578125" style="59" customWidth="1"/>
    <col min="5" max="6" width="20" style="59" customWidth="1"/>
    <col min="7" max="7" width="6.7109375" style="59" customWidth="1"/>
    <col min="8" max="8" width="40" style="59" hidden="1" customWidth="1"/>
    <col min="9" max="9" width="22.7109375" style="59" hidden="1" customWidth="1"/>
    <col min="10" max="10" width="16.140625" style="59" hidden="1" customWidth="1"/>
    <col min="11" max="11" width="7.28515625" style="59" hidden="1" customWidth="1"/>
    <col min="12" max="12" width="22.85546875" style="59" hidden="1" customWidth="1"/>
    <col min="13" max="13" width="21" style="59" hidden="1" customWidth="1"/>
    <col min="14" max="14" width="22.7109375" style="59" hidden="1" customWidth="1"/>
    <col min="15" max="16" width="17.28515625" style="59" hidden="1" customWidth="1"/>
    <col min="17" max="17" width="13" style="59" hidden="1" customWidth="1"/>
    <col min="18" max="19" width="14.42578125" style="59" hidden="1" customWidth="1"/>
    <col min="20" max="20" width="14.140625" style="59" hidden="1" customWidth="1"/>
    <col min="21" max="16384" width="11.42578125" style="59"/>
  </cols>
  <sheetData>
    <row r="1" spans="1:16" ht="15.75" thickBot="1" x14ac:dyDescent="0.3">
      <c r="A1" s="53"/>
      <c r="B1" s="53"/>
      <c r="C1" s="53"/>
      <c r="D1" s="54" t="s">
        <v>67</v>
      </c>
      <c r="E1" s="55"/>
      <c r="F1" s="169">
        <f>+Simulador!E43</f>
        <v>10000000</v>
      </c>
      <c r="G1" s="56"/>
      <c r="H1" s="57" t="s">
        <v>97</v>
      </c>
      <c r="I1" s="58"/>
      <c r="L1" s="57" t="s">
        <v>3</v>
      </c>
      <c r="M1" s="60">
        <v>1.78E-2</v>
      </c>
      <c r="N1" s="60">
        <f>+POWER(1+M1,12)-1</f>
        <v>0.23580332236181256</v>
      </c>
      <c r="O1" s="61">
        <f>+ROUND(+POWER(1+(M1+$F$6),12)-1,6)</f>
        <v>0.28248899999999999</v>
      </c>
      <c r="P1" s="60">
        <v>0.17</v>
      </c>
    </row>
    <row r="2" spans="1:16" ht="15.75" thickBot="1" x14ac:dyDescent="0.3">
      <c r="A2" s="53"/>
      <c r="B2" s="53"/>
      <c r="C2" s="53"/>
      <c r="D2" s="54" t="s">
        <v>78</v>
      </c>
      <c r="E2" s="55"/>
      <c r="F2" s="170">
        <f>+Simulador!E45</f>
        <v>120</v>
      </c>
      <c r="G2" s="56"/>
      <c r="H2" s="57" t="s">
        <v>98</v>
      </c>
      <c r="I2" s="60">
        <f>+B9</f>
        <v>1.6299999999999999E-2</v>
      </c>
      <c r="L2" s="57" t="s">
        <v>4</v>
      </c>
      <c r="M2" s="60">
        <v>1.6299999999999999E-2</v>
      </c>
      <c r="N2" s="60">
        <f>+POWER(1+M2,12)-1</f>
        <v>0.2141241758505863</v>
      </c>
      <c r="O2" s="61">
        <f>+ROUND(+POWER(1+(M2+$F$6),12)-1,6)</f>
        <v>0.26006000000000001</v>
      </c>
      <c r="P2" s="60">
        <v>0.16</v>
      </c>
    </row>
    <row r="3" spans="1:16" ht="15.75" thickBot="1" x14ac:dyDescent="0.3">
      <c r="A3" s="53"/>
      <c r="B3" s="53"/>
      <c r="C3" s="53"/>
      <c r="D3" s="54" t="s">
        <v>99</v>
      </c>
      <c r="E3" s="62"/>
      <c r="F3" s="63">
        <f>+VLOOKUP(F2,L21:O177,4,FALSE)</f>
        <v>528901.13420797768</v>
      </c>
      <c r="G3" s="56"/>
      <c r="L3" s="57" t="s">
        <v>5</v>
      </c>
      <c r="M3" s="60">
        <v>1.52E-2</v>
      </c>
      <c r="N3" s="60">
        <f>+POWER(1+M3,12)-1</f>
        <v>0.19844831475233526</v>
      </c>
      <c r="O3" s="61">
        <f>+ROUND(+POWER(1+(M3+$F$6),12)-1,6)</f>
        <v>0.243841</v>
      </c>
      <c r="P3" s="60">
        <v>0.14000000000000001</v>
      </c>
    </row>
    <row r="4" spans="1:16" ht="15.75" thickBot="1" x14ac:dyDescent="0.3">
      <c r="A4" s="53"/>
      <c r="B4" s="53"/>
      <c r="C4" s="53"/>
      <c r="D4" s="54" t="s">
        <v>100</v>
      </c>
      <c r="E4" s="62"/>
      <c r="F4" s="63">
        <f>+VLOOKUP(F2,L21:O177,3,FALSE)</f>
        <v>1071098.8657920223</v>
      </c>
      <c r="G4" s="56"/>
      <c r="H4" s="57" t="s">
        <v>101</v>
      </c>
      <c r="I4" s="60">
        <f>+F6</f>
        <v>3.15E-3</v>
      </c>
    </row>
    <row r="5" spans="1:16" ht="12.75" customHeight="1" thickBot="1" x14ac:dyDescent="0.3">
      <c r="A5" s="64" t="s">
        <v>102</v>
      </c>
      <c r="B5" s="65"/>
      <c r="C5" s="130"/>
      <c r="D5" s="54" t="s">
        <v>103</v>
      </c>
      <c r="E5" s="62"/>
      <c r="F5" s="63">
        <f>+F1-F3-F4</f>
        <v>8400000</v>
      </c>
      <c r="G5" s="56"/>
      <c r="H5" s="57" t="s">
        <v>104</v>
      </c>
      <c r="I5" s="61">
        <f>+ROUND(+POWER(1+(I2),12)-1,6)</f>
        <v>0.21412400000000001</v>
      </c>
    </row>
    <row r="6" spans="1:16" ht="12.75" customHeight="1" thickBot="1" x14ac:dyDescent="0.3">
      <c r="A6" s="57" t="s">
        <v>105</v>
      </c>
      <c r="B6" s="65"/>
      <c r="C6" s="131"/>
      <c r="D6" s="57" t="s">
        <v>101</v>
      </c>
      <c r="E6" s="57"/>
      <c r="F6" s="60">
        <v>3.15E-3</v>
      </c>
      <c r="G6" s="56"/>
      <c r="H6" s="57" t="s">
        <v>75</v>
      </c>
      <c r="I6" s="60">
        <f>+ROUND((+NOMINAL(I5,12))/12,5)</f>
        <v>1.6299999999999999E-2</v>
      </c>
    </row>
    <row r="7" spans="1:16" ht="12.75" customHeight="1" thickBot="1" x14ac:dyDescent="0.3">
      <c r="A7" s="57" t="s">
        <v>106</v>
      </c>
      <c r="B7" s="65"/>
      <c r="C7" s="131"/>
      <c r="D7" s="66" t="s">
        <v>107</v>
      </c>
      <c r="E7" s="67"/>
      <c r="F7" s="68">
        <f>+I7</f>
        <v>221847.38799004711</v>
      </c>
      <c r="G7" s="56"/>
      <c r="H7" s="57" t="s">
        <v>108</v>
      </c>
      <c r="I7" s="63">
        <f t="array" ref="I7">IF(I28-I27&lt;0,error,-PMT(+(I6),+F2,+F1)+(F1*F6))</f>
        <v>221847.38799004711</v>
      </c>
      <c r="L7" s="69" t="s">
        <v>109</v>
      </c>
      <c r="M7" s="60">
        <f>+M1</f>
        <v>1.78E-2</v>
      </c>
      <c r="N7" s="60">
        <f>+POWER(1+M7,12)-1</f>
        <v>0.23580332236181256</v>
      </c>
    </row>
    <row r="8" spans="1:16" ht="12.75" customHeight="1" thickBot="1" x14ac:dyDescent="0.3">
      <c r="A8" s="57" t="s">
        <v>97</v>
      </c>
      <c r="B8" s="58">
        <f>+POWER(1+B9,12)-1</f>
        <v>0.2141241758505863</v>
      </c>
      <c r="C8" s="132">
        <v>45992</v>
      </c>
      <c r="D8" s="66" t="s">
        <v>110</v>
      </c>
      <c r="E8" s="67"/>
      <c r="F8" s="70" t="s">
        <v>111</v>
      </c>
      <c r="G8" s="56"/>
      <c r="L8" s="69" t="s">
        <v>112</v>
      </c>
      <c r="M8" s="71">
        <f>+F9</f>
        <v>0.25019999999999998</v>
      </c>
      <c r="N8" s="60">
        <f>+NOMINAL(M8,12)/12</f>
        <v>1.8782847715679507E-2</v>
      </c>
    </row>
    <row r="9" spans="1:16" ht="12.75" customHeight="1" thickBot="1" x14ac:dyDescent="0.3">
      <c r="A9" s="57" t="s">
        <v>98</v>
      </c>
      <c r="B9" s="171">
        <f>+VLOOKUP(Simulador!E41,Formulas!$K$3:$L$5,2,0)</f>
        <v>1.6299999999999999E-2</v>
      </c>
      <c r="C9" s="54" t="s">
        <v>113</v>
      </c>
      <c r="D9" s="54" t="s">
        <v>114</v>
      </c>
      <c r="E9" s="55"/>
      <c r="F9" s="58">
        <v>0.25019999999999998</v>
      </c>
      <c r="G9" s="72"/>
    </row>
    <row r="10" spans="1:16" ht="5.25" customHeight="1" thickBot="1" x14ac:dyDescent="0.3">
      <c r="D10" s="73"/>
      <c r="E10" s="73"/>
      <c r="F10" s="74"/>
      <c r="G10" s="56"/>
    </row>
    <row r="11" spans="1:16" ht="15.75" thickBot="1" x14ac:dyDescent="0.3">
      <c r="A11" s="75" t="s">
        <v>115</v>
      </c>
      <c r="B11" s="76" t="s">
        <v>79</v>
      </c>
      <c r="C11" s="76" t="s">
        <v>116</v>
      </c>
      <c r="D11" s="76" t="s">
        <v>117</v>
      </c>
      <c r="E11" s="76" t="s">
        <v>118</v>
      </c>
      <c r="F11" s="76" t="s">
        <v>119</v>
      </c>
      <c r="G11" s="56"/>
      <c r="H11" s="57" t="s">
        <v>99</v>
      </c>
      <c r="I11" s="77">
        <f>+F3/F1</f>
        <v>5.2890113420797767E-2</v>
      </c>
      <c r="N11" s="78" t="s">
        <v>120</v>
      </c>
      <c r="O11" s="79">
        <f>+F9</f>
        <v>0.25019999999999998</v>
      </c>
    </row>
    <row r="12" spans="1:16" ht="15.75" thickBot="1" x14ac:dyDescent="0.3">
      <c r="A12" s="80"/>
      <c r="B12" s="81"/>
      <c r="C12" s="81"/>
      <c r="D12" s="81"/>
      <c r="E12" s="81"/>
      <c r="F12" s="81">
        <f>+F1</f>
        <v>10000000</v>
      </c>
      <c r="G12" s="73"/>
      <c r="H12" s="57" t="s">
        <v>100</v>
      </c>
      <c r="I12" s="77">
        <f>+F4/F1</f>
        <v>0.10710988657920223</v>
      </c>
      <c r="N12" s="78" t="s">
        <v>121</v>
      </c>
      <c r="O12" s="79">
        <f>+POWER(1+(+RATE(F2,-I25,(I15-(F4/1.19)-I18-I19))),12)-1</f>
        <v>0.24989999999999957</v>
      </c>
    </row>
    <row r="13" spans="1:16" ht="15.75" thickBot="1" x14ac:dyDescent="0.3">
      <c r="A13" s="82">
        <f t="shared" ref="A13:A76" si="0">IF($F$2&gt;A12,A12+1," ")</f>
        <v>1</v>
      </c>
      <c r="B13" s="83">
        <f>+I7</f>
        <v>221847.38799004711</v>
      </c>
      <c r="C13" s="83">
        <f>+B13-D13-E13</f>
        <v>27347.387990047137</v>
      </c>
      <c r="D13" s="83">
        <f>(F12*$B$9)</f>
        <v>162999.99999999997</v>
      </c>
      <c r="E13" s="83">
        <f>+F12*$F$6</f>
        <v>31500</v>
      </c>
      <c r="F13" s="83">
        <f>+F12-C13</f>
        <v>9972652.6120099537</v>
      </c>
      <c r="G13" s="73"/>
      <c r="I13" s="77">
        <f>+I12+I11</f>
        <v>0.16</v>
      </c>
      <c r="N13" s="78" t="s">
        <v>122</v>
      </c>
      <c r="O13" s="79">
        <f>+O12-O11</f>
        <v>-3.0000000000041105E-4</v>
      </c>
    </row>
    <row r="14" spans="1:16" ht="15.75" thickBot="1" x14ac:dyDescent="0.3">
      <c r="A14" s="82">
        <f t="shared" si="0"/>
        <v>2</v>
      </c>
      <c r="B14" s="83">
        <f t="shared" ref="B14:B77" si="1">IF(A14=" "," ",B13)</f>
        <v>221847.38799004711</v>
      </c>
      <c r="C14" s="83">
        <f t="shared" ref="C14:C77" si="2">IF(A14=" "," ",(B14-D14-E14))</f>
        <v>27793.150414284872</v>
      </c>
      <c r="D14" s="83">
        <f>IF(A14=" "," ",(F13*$B$9))</f>
        <v>162554.23757576224</v>
      </c>
      <c r="E14" s="83">
        <f>IF(A14=" "," ",(+E13))</f>
        <v>31500</v>
      </c>
      <c r="F14" s="83">
        <f t="shared" ref="F14:F77" si="3">IF(A14=" "," ",(+F13-C14))</f>
        <v>9944859.4615956694</v>
      </c>
      <c r="G14" s="73"/>
      <c r="H14" s="84">
        <f>+C8</f>
        <v>45992</v>
      </c>
    </row>
    <row r="15" spans="1:16" ht="15.75" thickBot="1" x14ac:dyDescent="0.3">
      <c r="A15" s="82">
        <f t="shared" si="0"/>
        <v>3</v>
      </c>
      <c r="B15" s="83">
        <f t="shared" si="1"/>
        <v>221847.38799004711</v>
      </c>
      <c r="C15" s="83">
        <f t="shared" si="2"/>
        <v>28246.178766037716</v>
      </c>
      <c r="D15" s="83">
        <f t="shared" ref="D15:D78" si="4">IF(A15=" "," ",(F14*$B$9))</f>
        <v>162101.20922400939</v>
      </c>
      <c r="E15" s="83">
        <f t="shared" ref="E15:E78" si="5">IF(A15=" "," ",(+E14))</f>
        <v>31500</v>
      </c>
      <c r="F15" s="83">
        <f t="shared" si="3"/>
        <v>9916613.2828296311</v>
      </c>
      <c r="G15" s="73"/>
      <c r="H15" s="85" t="s">
        <v>123</v>
      </c>
      <c r="I15" s="86">
        <f>+F1</f>
        <v>10000000</v>
      </c>
      <c r="M15" s="87" t="s">
        <v>124</v>
      </c>
      <c r="N15" s="87" t="s">
        <v>125</v>
      </c>
      <c r="O15" s="87" t="s">
        <v>126</v>
      </c>
    </row>
    <row r="16" spans="1:16" ht="15.75" thickBot="1" x14ac:dyDescent="0.3">
      <c r="A16" s="82">
        <f t="shared" si="0"/>
        <v>4</v>
      </c>
      <c r="B16" s="83">
        <f t="shared" si="1"/>
        <v>221847.38799004711</v>
      </c>
      <c r="C16" s="83">
        <f t="shared" si="2"/>
        <v>28706.591479924129</v>
      </c>
      <c r="D16" s="83">
        <f t="shared" si="4"/>
        <v>161640.79651012298</v>
      </c>
      <c r="E16" s="83">
        <f t="shared" si="5"/>
        <v>31500</v>
      </c>
      <c r="F16" s="83">
        <f t="shared" si="3"/>
        <v>9887906.6913497075</v>
      </c>
      <c r="G16" s="73"/>
      <c r="H16" s="85" t="s">
        <v>127</v>
      </c>
      <c r="I16" s="63">
        <f>+F3</f>
        <v>528901.13420797768</v>
      </c>
      <c r="L16" s="87" t="s">
        <v>128</v>
      </c>
      <c r="M16" s="71">
        <f>+F9</f>
        <v>0.25019999999999998</v>
      </c>
      <c r="N16" s="71">
        <f>+F9-0.0003</f>
        <v>0.24989999999999998</v>
      </c>
      <c r="O16" s="88">
        <f>+M16-N16</f>
        <v>2.9999999999999472E-4</v>
      </c>
    </row>
    <row r="17" spans="1:20" ht="15.75" thickBot="1" x14ac:dyDescent="0.3">
      <c r="A17" s="82">
        <f t="shared" si="0"/>
        <v>5</v>
      </c>
      <c r="B17" s="83">
        <f t="shared" si="1"/>
        <v>221847.38799004711</v>
      </c>
      <c r="C17" s="83">
        <f t="shared" si="2"/>
        <v>29174.508921046887</v>
      </c>
      <c r="D17" s="83">
        <f t="shared" si="4"/>
        <v>161172.87906900022</v>
      </c>
      <c r="E17" s="83">
        <f t="shared" si="5"/>
        <v>31500</v>
      </c>
      <c r="F17" s="83">
        <f t="shared" si="3"/>
        <v>9858732.1824286599</v>
      </c>
      <c r="G17" s="73"/>
      <c r="H17" s="85" t="s">
        <v>129</v>
      </c>
      <c r="I17" s="63">
        <f>+F4</f>
        <v>1071098.8657920223</v>
      </c>
      <c r="L17" s="87" t="s">
        <v>130</v>
      </c>
      <c r="M17" s="60">
        <f>+NOMINAL(M16,12)/12</f>
        <v>1.8782847715679507E-2</v>
      </c>
      <c r="N17" s="60">
        <f>+NOMINAL(N16,12)/12</f>
        <v>1.8762473077359898E-2</v>
      </c>
      <c r="O17" s="88">
        <f>+M17-N17</f>
        <v>2.0374638319609062E-5</v>
      </c>
    </row>
    <row r="18" spans="1:20" ht="15.75" thickBot="1" x14ac:dyDescent="0.3">
      <c r="A18" s="82">
        <f t="shared" si="0"/>
        <v>6</v>
      </c>
      <c r="B18" s="83">
        <f t="shared" si="1"/>
        <v>221847.38799004711</v>
      </c>
      <c r="C18" s="83">
        <f t="shared" si="2"/>
        <v>29650.053416459967</v>
      </c>
      <c r="D18" s="83">
        <f t="shared" si="4"/>
        <v>160697.33457358714</v>
      </c>
      <c r="E18" s="83">
        <f t="shared" si="5"/>
        <v>31500</v>
      </c>
      <c r="F18" s="83">
        <f t="shared" si="3"/>
        <v>9829082.1290121991</v>
      </c>
      <c r="G18" s="73"/>
      <c r="H18" s="85" t="s">
        <v>131</v>
      </c>
      <c r="I18" s="86">
        <v>5000</v>
      </c>
    </row>
    <row r="19" spans="1:20" ht="15.75" thickBot="1" x14ac:dyDescent="0.3">
      <c r="A19" s="82">
        <f t="shared" si="0"/>
        <v>7</v>
      </c>
      <c r="B19" s="83">
        <f t="shared" si="1"/>
        <v>221847.38799004711</v>
      </c>
      <c r="C19" s="83">
        <f t="shared" si="2"/>
        <v>30133.349287148274</v>
      </c>
      <c r="D19" s="83">
        <f t="shared" si="4"/>
        <v>160214.03870289883</v>
      </c>
      <c r="E19" s="83">
        <f t="shared" si="5"/>
        <v>31500</v>
      </c>
      <c r="F19" s="83">
        <f t="shared" si="3"/>
        <v>9798948.7797250506</v>
      </c>
      <c r="G19" s="73"/>
      <c r="H19" s="85" t="s">
        <v>132</v>
      </c>
      <c r="I19" s="86">
        <f>+(I15)*0.004</f>
        <v>40000</v>
      </c>
    </row>
    <row r="20" spans="1:20" ht="15.75" thickBot="1" x14ac:dyDescent="0.3">
      <c r="A20" s="82">
        <f t="shared" si="0"/>
        <v>8</v>
      </c>
      <c r="B20" s="83">
        <f t="shared" si="1"/>
        <v>221847.38799004711</v>
      </c>
      <c r="C20" s="83">
        <f t="shared" si="2"/>
        <v>30624.522880528792</v>
      </c>
      <c r="D20" s="83">
        <f t="shared" si="4"/>
        <v>159722.86510951832</v>
      </c>
      <c r="E20" s="83">
        <f t="shared" si="5"/>
        <v>31500</v>
      </c>
      <c r="F20" s="83">
        <f t="shared" si="3"/>
        <v>9768324.2568445224</v>
      </c>
      <c r="G20" s="73"/>
      <c r="H20" s="85" t="s">
        <v>103</v>
      </c>
      <c r="I20" s="63">
        <f>+I15-I17-I18-I19-I16</f>
        <v>8354999.9999999991</v>
      </c>
      <c r="N20" s="87" t="s">
        <v>133</v>
      </c>
      <c r="O20" s="87" t="s">
        <v>68</v>
      </c>
      <c r="P20" s="89"/>
      <c r="Q20" s="89"/>
      <c r="T20" s="89"/>
    </row>
    <row r="21" spans="1:20" ht="15.75" thickBot="1" x14ac:dyDescent="0.3">
      <c r="A21" s="82">
        <f t="shared" si="0"/>
        <v>9</v>
      </c>
      <c r="B21" s="83">
        <f t="shared" si="1"/>
        <v>221847.38799004711</v>
      </c>
      <c r="C21" s="83">
        <f t="shared" si="2"/>
        <v>31123.702603481419</v>
      </c>
      <c r="D21" s="83">
        <f t="shared" si="4"/>
        <v>159223.68538656569</v>
      </c>
      <c r="E21" s="83">
        <f t="shared" si="5"/>
        <v>31500</v>
      </c>
      <c r="F21" s="83">
        <f t="shared" si="3"/>
        <v>9737200.5542410407</v>
      </c>
      <c r="G21" s="73"/>
      <c r="H21" s="85" t="s">
        <v>134</v>
      </c>
      <c r="I21" s="63">
        <f>+I15-I18-I19-(I17/1.19)</f>
        <v>9054916.9195025023</v>
      </c>
      <c r="L21" s="133">
        <v>180</v>
      </c>
      <c r="M21" s="90">
        <f>+IF(B9=M1,P1,IF(B9=M2,P2,IF(B9=M3,P3)))</f>
        <v>0.16</v>
      </c>
      <c r="N21" s="91">
        <f t="shared" ref="N21:N84" si="6">IF(IF(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&lt;0,"error",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)&lt;=$O$179,0,IF(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&lt;0,"error",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válida")))))</f>
        <v>199046.72065227714</v>
      </c>
      <c r="O21" s="91">
        <f t="shared" ref="O21:O84" si="7">+(($I$15*M21)-IF(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&lt;0,"error",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))+IF(IF(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&lt;0,"error",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)&lt;=$O$179,IF(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&lt;0,"error",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válida")))),0)</f>
        <v>1400953.2793477229</v>
      </c>
      <c r="P21" s="89"/>
      <c r="Q21" s="89"/>
      <c r="T21" s="89"/>
    </row>
    <row r="22" spans="1:20" ht="15.75" thickBot="1" x14ac:dyDescent="0.3">
      <c r="A22" s="82">
        <f t="shared" si="0"/>
        <v>10</v>
      </c>
      <c r="B22" s="83">
        <f t="shared" si="1"/>
        <v>221847.38799004711</v>
      </c>
      <c r="C22" s="83">
        <f t="shared" si="2"/>
        <v>31631.018955918145</v>
      </c>
      <c r="D22" s="83">
        <f t="shared" si="4"/>
        <v>158716.36903412896</v>
      </c>
      <c r="E22" s="83">
        <f t="shared" si="5"/>
        <v>31500</v>
      </c>
      <c r="F22" s="83">
        <f t="shared" si="3"/>
        <v>9705569.5352851227</v>
      </c>
      <c r="G22" s="73"/>
      <c r="H22" s="85" t="s">
        <v>135</v>
      </c>
      <c r="I22" s="88">
        <f>+F6</f>
        <v>3.15E-3</v>
      </c>
      <c r="L22" s="134">
        <v>179</v>
      </c>
      <c r="M22" s="92">
        <f>+M21</f>
        <v>0.16</v>
      </c>
      <c r="N22" s="91">
        <f t="shared" si="6"/>
        <v>207026.02191051727</v>
      </c>
      <c r="O22" s="91">
        <f t="shared" si="7"/>
        <v>1392973.9780894828</v>
      </c>
      <c r="P22" s="89"/>
      <c r="Q22" s="89"/>
    </row>
    <row r="23" spans="1:20" ht="15.75" thickBot="1" x14ac:dyDescent="0.3">
      <c r="A23" s="82">
        <f t="shared" si="0"/>
        <v>11</v>
      </c>
      <c r="B23" s="83">
        <f t="shared" si="1"/>
        <v>221847.38799004711</v>
      </c>
      <c r="C23" s="83">
        <f t="shared" si="2"/>
        <v>32146.604564899608</v>
      </c>
      <c r="D23" s="83">
        <f t="shared" si="4"/>
        <v>158200.7834251475</v>
      </c>
      <c r="E23" s="83">
        <f t="shared" si="5"/>
        <v>31500</v>
      </c>
      <c r="F23" s="83">
        <f t="shared" si="3"/>
        <v>9673422.9307202231</v>
      </c>
      <c r="G23" s="73"/>
      <c r="H23" s="85" t="s">
        <v>136</v>
      </c>
      <c r="I23" s="93">
        <f>+I6</f>
        <v>1.6299999999999999E-2</v>
      </c>
      <c r="L23" s="134">
        <v>178</v>
      </c>
      <c r="M23" s="92">
        <f t="shared" ref="M23:M86" si="8">+M22</f>
        <v>0.16</v>
      </c>
      <c r="N23" s="91">
        <f t="shared" si="6"/>
        <v>215155.03459379409</v>
      </c>
      <c r="O23" s="91">
        <f t="shared" si="7"/>
        <v>1384844.965406206</v>
      </c>
      <c r="P23" s="89"/>
      <c r="Q23" s="89"/>
    </row>
    <row r="24" spans="1:20" ht="15.75" thickBot="1" x14ac:dyDescent="0.3">
      <c r="A24" s="82">
        <f t="shared" si="0"/>
        <v>12</v>
      </c>
      <c r="B24" s="83">
        <f t="shared" si="1"/>
        <v>221847.38799004711</v>
      </c>
      <c r="C24" s="83">
        <f t="shared" si="2"/>
        <v>32670.594219307473</v>
      </c>
      <c r="D24" s="83">
        <f t="shared" si="4"/>
        <v>157676.79377073963</v>
      </c>
      <c r="E24" s="83">
        <f t="shared" si="5"/>
        <v>31500</v>
      </c>
      <c r="F24" s="83">
        <f t="shared" si="3"/>
        <v>9640752.3365009148</v>
      </c>
      <c r="G24" s="73"/>
      <c r="H24" s="78" t="s">
        <v>78</v>
      </c>
      <c r="I24" s="135">
        <f>+F2</f>
        <v>120</v>
      </c>
      <c r="L24" s="134">
        <v>177</v>
      </c>
      <c r="M24" s="92">
        <f t="shared" si="8"/>
        <v>0.16</v>
      </c>
      <c r="N24" s="91">
        <f t="shared" si="6"/>
        <v>223436.56765868422</v>
      </c>
      <c r="O24" s="91">
        <f t="shared" si="7"/>
        <v>1376563.4323413158</v>
      </c>
      <c r="P24" s="89"/>
      <c r="Q24" s="89"/>
    </row>
    <row r="25" spans="1:20" ht="15.75" thickBot="1" x14ac:dyDescent="0.3">
      <c r="A25" s="82">
        <f t="shared" si="0"/>
        <v>13</v>
      </c>
      <c r="B25" s="83">
        <f t="shared" si="1"/>
        <v>221847.38799004711</v>
      </c>
      <c r="C25" s="83">
        <f t="shared" si="2"/>
        <v>33203.124905082223</v>
      </c>
      <c r="D25" s="83">
        <f t="shared" si="4"/>
        <v>157144.26308496488</v>
      </c>
      <c r="E25" s="83">
        <f t="shared" si="5"/>
        <v>31500</v>
      </c>
      <c r="F25" s="83">
        <f t="shared" si="3"/>
        <v>9607549.2115958333</v>
      </c>
      <c r="G25" s="73"/>
      <c r="H25" s="78" t="s">
        <v>137</v>
      </c>
      <c r="I25" s="86">
        <f>-PMT(+(I23),+I24,+I15)</f>
        <v>190347.38799004711</v>
      </c>
      <c r="L25" s="134">
        <v>176</v>
      </c>
      <c r="M25" s="92">
        <f t="shared" si="8"/>
        <v>0.16</v>
      </c>
      <c r="N25" s="91">
        <f t="shared" si="6"/>
        <v>231873.48276474376</v>
      </c>
      <c r="O25" s="91">
        <f t="shared" si="7"/>
        <v>1368126.5172352563</v>
      </c>
      <c r="P25" s="89"/>
      <c r="Q25" s="89"/>
    </row>
    <row r="26" spans="1:20" ht="15.75" thickBot="1" x14ac:dyDescent="0.3">
      <c r="A26" s="82">
        <f t="shared" si="0"/>
        <v>14</v>
      </c>
      <c r="B26" s="83">
        <f t="shared" si="1"/>
        <v>221847.38799004711</v>
      </c>
      <c r="C26" s="83">
        <f t="shared" si="2"/>
        <v>33744.335841035034</v>
      </c>
      <c r="D26" s="83">
        <f t="shared" si="4"/>
        <v>156603.05214901207</v>
      </c>
      <c r="E26" s="83">
        <f t="shared" si="5"/>
        <v>31500</v>
      </c>
      <c r="F26" s="83">
        <f t="shared" si="3"/>
        <v>9573804.8757547978</v>
      </c>
      <c r="G26" s="73"/>
      <c r="H26" s="78" t="s">
        <v>138</v>
      </c>
      <c r="I26" s="94">
        <f>+RATE(I24,-I25,I21)</f>
        <v>1.8762473077359881E-2</v>
      </c>
      <c r="L26" s="134">
        <v>175</v>
      </c>
      <c r="M26" s="92">
        <f t="shared" si="8"/>
        <v>0.16</v>
      </c>
      <c r="N26" s="91">
        <f t="shared" si="6"/>
        <v>240468.69526333676</v>
      </c>
      <c r="O26" s="91">
        <f t="shared" si="7"/>
        <v>1359531.3047366631</v>
      </c>
      <c r="P26" s="89"/>
      <c r="Q26" s="89"/>
    </row>
    <row r="27" spans="1:20" ht="15.75" thickBot="1" x14ac:dyDescent="0.3">
      <c r="A27" s="82">
        <f t="shared" si="0"/>
        <v>15</v>
      </c>
      <c r="B27" s="83">
        <f t="shared" si="1"/>
        <v>221847.38799004711</v>
      </c>
      <c r="C27" s="83">
        <f t="shared" si="2"/>
        <v>34294.368515243928</v>
      </c>
      <c r="D27" s="83">
        <f t="shared" si="4"/>
        <v>156053.01947480318</v>
      </c>
      <c r="E27" s="83">
        <f t="shared" si="5"/>
        <v>31500</v>
      </c>
      <c r="F27" s="83">
        <f t="shared" si="3"/>
        <v>9539510.5072395541</v>
      </c>
      <c r="G27" s="73"/>
      <c r="H27" s="78" t="s">
        <v>121</v>
      </c>
      <c r="I27" s="79">
        <f>+POWER(1+I26,12)-1</f>
        <v>0.24989999999999957</v>
      </c>
      <c r="L27" s="134">
        <v>174</v>
      </c>
      <c r="M27" s="92">
        <f t="shared" si="8"/>
        <v>0.16</v>
      </c>
      <c r="N27" s="91">
        <f t="shared" si="6"/>
        <v>249225.17520502745</v>
      </c>
      <c r="O27" s="91">
        <f t="shared" si="7"/>
        <v>1350774.8247949725</v>
      </c>
      <c r="P27" s="89"/>
      <c r="Q27" s="89"/>
    </row>
    <row r="28" spans="1:20" ht="15.75" thickBot="1" x14ac:dyDescent="0.3">
      <c r="A28" s="82">
        <f t="shared" si="0"/>
        <v>16</v>
      </c>
      <c r="B28" s="83">
        <f t="shared" si="1"/>
        <v>221847.38799004711</v>
      </c>
      <c r="C28" s="83">
        <f t="shared" si="2"/>
        <v>34853.366722042381</v>
      </c>
      <c r="D28" s="83">
        <f t="shared" si="4"/>
        <v>155494.02126800473</v>
      </c>
      <c r="E28" s="83">
        <f t="shared" si="5"/>
        <v>31500</v>
      </c>
      <c r="F28" s="83">
        <f t="shared" si="3"/>
        <v>9504657.1405175123</v>
      </c>
      <c r="G28" s="73"/>
      <c r="H28" s="95" t="s">
        <v>120</v>
      </c>
      <c r="I28" s="79">
        <f>+F9</f>
        <v>0.25019999999999998</v>
      </c>
      <c r="L28" s="134">
        <v>173</v>
      </c>
      <c r="M28" s="92">
        <f t="shared" si="8"/>
        <v>0.16</v>
      </c>
      <c r="N28" s="91">
        <f t="shared" si="6"/>
        <v>258145.94836587936</v>
      </c>
      <c r="O28" s="91">
        <f t="shared" si="7"/>
        <v>1341854.0516341208</v>
      </c>
      <c r="P28" s="89"/>
      <c r="Q28" s="89"/>
    </row>
    <row r="29" spans="1:20" ht="15.75" thickBot="1" x14ac:dyDescent="0.3">
      <c r="A29" s="82">
        <f t="shared" si="0"/>
        <v>17</v>
      </c>
      <c r="B29" s="83">
        <f t="shared" si="1"/>
        <v>221847.38799004711</v>
      </c>
      <c r="C29" s="83">
        <f t="shared" si="2"/>
        <v>35421.476599611662</v>
      </c>
      <c r="D29" s="83">
        <f t="shared" si="4"/>
        <v>154925.91139043545</v>
      </c>
      <c r="E29" s="83">
        <f t="shared" si="5"/>
        <v>31500</v>
      </c>
      <c r="F29" s="83">
        <f t="shared" si="3"/>
        <v>9469235.663917901</v>
      </c>
      <c r="G29" s="73"/>
      <c r="H29" s="78" t="s">
        <v>122</v>
      </c>
      <c r="I29" s="79">
        <f>+I27-I28</f>
        <v>-3.0000000000041105E-4</v>
      </c>
      <c r="L29" s="134">
        <v>172</v>
      </c>
      <c r="M29" s="92">
        <f t="shared" si="8"/>
        <v>0.16</v>
      </c>
      <c r="N29" s="91">
        <f t="shared" si="6"/>
        <v>267234.09729298996</v>
      </c>
      <c r="O29" s="91">
        <f t="shared" si="7"/>
        <v>1332765.90270701</v>
      </c>
      <c r="P29" s="89"/>
      <c r="Q29" s="89"/>
    </row>
    <row r="30" spans="1:20" ht="15.75" thickBot="1" x14ac:dyDescent="0.3">
      <c r="A30" s="82">
        <f t="shared" si="0"/>
        <v>18</v>
      </c>
      <c r="B30" s="83">
        <f t="shared" si="1"/>
        <v>221847.38799004711</v>
      </c>
      <c r="C30" s="83">
        <f t="shared" si="2"/>
        <v>35998.846668185346</v>
      </c>
      <c r="D30" s="83">
        <f t="shared" si="4"/>
        <v>154348.54132186176</v>
      </c>
      <c r="E30" s="83">
        <f t="shared" si="5"/>
        <v>31500</v>
      </c>
      <c r="F30" s="83">
        <f t="shared" si="3"/>
        <v>9433236.8172497153</v>
      </c>
      <c r="G30" s="73"/>
      <c r="L30" s="134">
        <v>171</v>
      </c>
      <c r="M30" s="92">
        <f t="shared" si="8"/>
        <v>0.16</v>
      </c>
      <c r="N30" s="91">
        <f t="shared" si="6"/>
        <v>276492.76236966811</v>
      </c>
      <c r="O30" s="91">
        <f t="shared" si="7"/>
        <v>1323507.2376303319</v>
      </c>
      <c r="P30" s="89"/>
      <c r="Q30" s="89"/>
    </row>
    <row r="31" spans="1:20" ht="15.75" thickBot="1" x14ac:dyDescent="0.3">
      <c r="A31" s="82">
        <f t="shared" si="0"/>
        <v>19</v>
      </c>
      <c r="B31" s="83">
        <f t="shared" si="1"/>
        <v>221847.38799004711</v>
      </c>
      <c r="C31" s="83">
        <f t="shared" si="2"/>
        <v>36585.627868876763</v>
      </c>
      <c r="D31" s="83">
        <f t="shared" si="4"/>
        <v>153761.76012117034</v>
      </c>
      <c r="E31" s="83">
        <f t="shared" si="5"/>
        <v>31500</v>
      </c>
      <c r="F31" s="83">
        <f t="shared" si="3"/>
        <v>9396651.1893808395</v>
      </c>
      <c r="G31" s="73"/>
      <c r="H31" s="96" t="s">
        <v>139</v>
      </c>
      <c r="I31" s="97">
        <f>+RATE(I24,-(I25+(I15*I22)),I20)</f>
        <v>2.521510491807049E-2</v>
      </c>
      <c r="L31" s="134">
        <v>170</v>
      </c>
      <c r="M31" s="92">
        <f t="shared" si="8"/>
        <v>0.16</v>
      </c>
      <c r="N31" s="91">
        <f t="shared" si="6"/>
        <v>285925.14290057821</v>
      </c>
      <c r="O31" s="91">
        <f t="shared" si="7"/>
        <v>1314074.8570994218</v>
      </c>
      <c r="P31" s="89"/>
      <c r="Q31" s="89"/>
    </row>
    <row r="32" spans="1:20" ht="15.75" thickBot="1" x14ac:dyDescent="0.3">
      <c r="A32" s="82">
        <f t="shared" si="0"/>
        <v>20</v>
      </c>
      <c r="B32" s="83">
        <f t="shared" si="1"/>
        <v>221847.38799004711</v>
      </c>
      <c r="C32" s="83">
        <f t="shared" si="2"/>
        <v>37181.973603139428</v>
      </c>
      <c r="D32" s="83">
        <f t="shared" si="4"/>
        <v>153165.41438690768</v>
      </c>
      <c r="E32" s="83">
        <f t="shared" si="5"/>
        <v>31500</v>
      </c>
      <c r="F32" s="83">
        <f t="shared" si="3"/>
        <v>9359469.2157777008</v>
      </c>
      <c r="G32" s="73"/>
      <c r="H32" s="98" t="s">
        <v>140</v>
      </c>
      <c r="I32" s="99">
        <f>+POWER(1+I31,12)-1</f>
        <v>0.34827957165689716</v>
      </c>
      <c r="L32" s="134">
        <v>169</v>
      </c>
      <c r="M32" s="92">
        <f t="shared" si="8"/>
        <v>0.16</v>
      </c>
      <c r="N32" s="91">
        <f t="shared" si="6"/>
        <v>295534.49821725674</v>
      </c>
      <c r="O32" s="91">
        <f t="shared" si="7"/>
        <v>1304465.5017827433</v>
      </c>
      <c r="P32" s="89"/>
      <c r="Q32" s="89"/>
    </row>
    <row r="33" spans="1:17" ht="15.75" thickBot="1" x14ac:dyDescent="0.3">
      <c r="A33" s="82">
        <f t="shared" si="0"/>
        <v>21</v>
      </c>
      <c r="B33" s="83">
        <f t="shared" si="1"/>
        <v>221847.38799004711</v>
      </c>
      <c r="C33" s="83">
        <f t="shared" si="2"/>
        <v>37788.039772870601</v>
      </c>
      <c r="D33" s="83">
        <f t="shared" si="4"/>
        <v>152559.34821717651</v>
      </c>
      <c r="E33" s="83">
        <f t="shared" si="5"/>
        <v>31500</v>
      </c>
      <c r="F33" s="83">
        <f t="shared" si="3"/>
        <v>9321681.1760048307</v>
      </c>
      <c r="G33" s="73"/>
      <c r="L33" s="134">
        <v>168</v>
      </c>
      <c r="M33" s="92">
        <f t="shared" si="8"/>
        <v>0.16</v>
      </c>
      <c r="N33" s="91">
        <f t="shared" si="6"/>
        <v>305324.14880435576</v>
      </c>
      <c r="O33" s="91">
        <f t="shared" si="7"/>
        <v>1294675.8511956441</v>
      </c>
      <c r="P33" s="89"/>
      <c r="Q33" s="89"/>
    </row>
    <row r="34" spans="1:17" ht="15.75" thickBot="1" x14ac:dyDescent="0.3">
      <c r="A34" s="82">
        <f t="shared" si="0"/>
        <v>22</v>
      </c>
      <c r="B34" s="83">
        <f t="shared" si="1"/>
        <v>221847.38799004711</v>
      </c>
      <c r="C34" s="83">
        <f t="shared" si="2"/>
        <v>38403.984821168386</v>
      </c>
      <c r="D34" s="83">
        <f t="shared" si="4"/>
        <v>151943.40316887872</v>
      </c>
      <c r="E34" s="83">
        <f t="shared" si="5"/>
        <v>31500</v>
      </c>
      <c r="F34" s="83">
        <f t="shared" si="3"/>
        <v>9283277.191183662</v>
      </c>
      <c r="G34" s="73"/>
      <c r="H34" s="100" t="s">
        <v>141</v>
      </c>
      <c r="L34" s="134">
        <v>167</v>
      </c>
      <c r="M34" s="92">
        <f t="shared" si="8"/>
        <v>0.16</v>
      </c>
      <c r="N34" s="91">
        <f t="shared" si="6"/>
        <v>315297.47744703194</v>
      </c>
      <c r="O34" s="91">
        <f t="shared" si="7"/>
        <v>1284702.522552968</v>
      </c>
      <c r="P34" s="89"/>
      <c r="Q34" s="89"/>
    </row>
    <row r="35" spans="1:17" ht="15.75" thickBot="1" x14ac:dyDescent="0.3">
      <c r="A35" s="82">
        <f t="shared" si="0"/>
        <v>23</v>
      </c>
      <c r="B35" s="83">
        <f t="shared" si="1"/>
        <v>221847.38799004711</v>
      </c>
      <c r="C35" s="83">
        <f t="shared" si="2"/>
        <v>39029.96977375343</v>
      </c>
      <c r="D35" s="83">
        <f t="shared" si="4"/>
        <v>151317.41821629368</v>
      </c>
      <c r="E35" s="83">
        <f t="shared" si="5"/>
        <v>31500</v>
      </c>
      <c r="F35" s="83">
        <f t="shared" si="3"/>
        <v>9244247.2214099094</v>
      </c>
      <c r="G35" s="73"/>
      <c r="H35" s="101" t="s">
        <v>142</v>
      </c>
      <c r="I35" s="102">
        <v>0.15</v>
      </c>
      <c r="L35" s="134">
        <v>166</v>
      </c>
      <c r="M35" s="92">
        <f t="shared" si="8"/>
        <v>0.16</v>
      </c>
      <c r="N35" s="91">
        <f t="shared" si="6"/>
        <v>325457.93039985659</v>
      </c>
      <c r="O35" s="91">
        <f t="shared" si="7"/>
        <v>1274542.0696001435</v>
      </c>
      <c r="P35" s="89"/>
      <c r="Q35" s="89"/>
    </row>
    <row r="36" spans="1:17" ht="15.75" thickBot="1" x14ac:dyDescent="0.3">
      <c r="A36" s="82">
        <f t="shared" si="0"/>
        <v>24</v>
      </c>
      <c r="B36" s="83">
        <f t="shared" si="1"/>
        <v>221847.38799004711</v>
      </c>
      <c r="C36" s="83">
        <f t="shared" si="2"/>
        <v>39666.158281065611</v>
      </c>
      <c r="D36" s="83">
        <f t="shared" si="4"/>
        <v>150681.2297089815</v>
      </c>
      <c r="E36" s="83">
        <f t="shared" si="5"/>
        <v>31500</v>
      </c>
      <c r="F36" s="83">
        <f t="shared" si="3"/>
        <v>9204581.0631288439</v>
      </c>
      <c r="G36" s="73"/>
      <c r="H36" s="101" t="s">
        <v>143</v>
      </c>
      <c r="I36" s="102">
        <f>+I23+(I22*(I35*1.19))</f>
        <v>1.6862274999999999E-2</v>
      </c>
      <c r="L36" s="134">
        <v>165</v>
      </c>
      <c r="M36" s="92">
        <f t="shared" si="8"/>
        <v>0.16</v>
      </c>
      <c r="N36" s="91">
        <f t="shared" si="6"/>
        <v>335809.01857766451</v>
      </c>
      <c r="O36" s="91">
        <f t="shared" si="7"/>
        <v>1264190.9814223354</v>
      </c>
      <c r="P36" s="89"/>
      <c r="Q36" s="89"/>
    </row>
    <row r="37" spans="1:17" ht="15.75" thickBot="1" x14ac:dyDescent="0.3">
      <c r="A37" s="82">
        <f t="shared" si="0"/>
        <v>25</v>
      </c>
      <c r="B37" s="83">
        <f t="shared" si="1"/>
        <v>221847.38799004711</v>
      </c>
      <c r="C37" s="83">
        <f t="shared" si="2"/>
        <v>40312.716661046958</v>
      </c>
      <c r="D37" s="83">
        <f t="shared" si="4"/>
        <v>150034.67132900015</v>
      </c>
      <c r="E37" s="83">
        <f t="shared" si="5"/>
        <v>31500</v>
      </c>
      <c r="F37" s="83">
        <f t="shared" si="3"/>
        <v>9164268.3464677967</v>
      </c>
      <c r="H37" s="101" t="s">
        <v>144</v>
      </c>
      <c r="I37" s="103">
        <f>I20</f>
        <v>8354999.9999999991</v>
      </c>
      <c r="L37" s="134">
        <v>164</v>
      </c>
      <c r="M37" s="92">
        <f t="shared" si="8"/>
        <v>0.16</v>
      </c>
      <c r="N37" s="91">
        <f t="shared" si="6"/>
        <v>346354.31876872852</v>
      </c>
      <c r="O37" s="91">
        <f t="shared" si="7"/>
        <v>1253645.6812312715</v>
      </c>
      <c r="P37" s="89"/>
      <c r="Q37" s="89"/>
    </row>
    <row r="38" spans="1:17" ht="15.75" thickBot="1" x14ac:dyDescent="0.3">
      <c r="A38" s="82">
        <f t="shared" si="0"/>
        <v>26</v>
      </c>
      <c r="B38" s="83">
        <f t="shared" si="1"/>
        <v>221847.38799004711</v>
      </c>
      <c r="C38" s="83">
        <f t="shared" si="2"/>
        <v>40969.813942622044</v>
      </c>
      <c r="D38" s="83">
        <f t="shared" si="4"/>
        <v>149377.57404742506</v>
      </c>
      <c r="E38" s="83">
        <f t="shared" si="5"/>
        <v>31500</v>
      </c>
      <c r="F38" s="83">
        <f t="shared" si="3"/>
        <v>9123298.5325251743</v>
      </c>
      <c r="G38" s="73"/>
      <c r="H38" s="101" t="s">
        <v>145</v>
      </c>
      <c r="I38" s="103">
        <f>+(I16-(I16/1.19))+(I17-(I17/1.19))</f>
        <v>255462.1848739495</v>
      </c>
      <c r="L38" s="134">
        <v>163</v>
      </c>
      <c r="M38" s="92">
        <f t="shared" si="8"/>
        <v>0.16</v>
      </c>
      <c r="N38" s="91">
        <f t="shared" si="6"/>
        <v>357097.47487071942</v>
      </c>
      <c r="O38" s="91">
        <f t="shared" si="7"/>
        <v>1242902.5251292805</v>
      </c>
      <c r="P38" s="89"/>
      <c r="Q38" s="89"/>
    </row>
    <row r="39" spans="1:17" ht="15.75" thickBot="1" x14ac:dyDescent="0.3">
      <c r="A39" s="82">
        <f t="shared" si="0"/>
        <v>27</v>
      </c>
      <c r="B39" s="83">
        <f t="shared" si="1"/>
        <v>221847.38799004711</v>
      </c>
      <c r="C39" s="83">
        <f t="shared" si="2"/>
        <v>41637.621909886773</v>
      </c>
      <c r="D39" s="83">
        <f t="shared" si="4"/>
        <v>148709.76608016033</v>
      </c>
      <c r="E39" s="83">
        <f t="shared" si="5"/>
        <v>31500</v>
      </c>
      <c r="F39" s="83">
        <f t="shared" si="3"/>
        <v>9081660.9106152877</v>
      </c>
      <c r="G39" s="73"/>
      <c r="H39" s="101" t="s">
        <v>146</v>
      </c>
      <c r="I39" s="104">
        <f>+PMT(I36,I24,-I15)</f>
        <v>194814.53443670386</v>
      </c>
      <c r="L39" s="134">
        <v>162</v>
      </c>
      <c r="M39" s="92">
        <f t="shared" si="8"/>
        <v>0.16</v>
      </c>
      <c r="N39" s="91">
        <f t="shared" si="6"/>
        <v>368042.19914984063</v>
      </c>
      <c r="O39" s="91">
        <f t="shared" si="7"/>
        <v>1231957.8008501595</v>
      </c>
      <c r="P39" s="89"/>
      <c r="Q39" s="89"/>
    </row>
    <row r="40" spans="1:17" ht="15.75" thickBot="1" x14ac:dyDescent="0.3">
      <c r="A40" s="82">
        <f t="shared" si="0"/>
        <v>28</v>
      </c>
      <c r="B40" s="83">
        <f t="shared" si="1"/>
        <v>221847.38799004711</v>
      </c>
      <c r="C40" s="83">
        <f t="shared" si="2"/>
        <v>42316.315147017944</v>
      </c>
      <c r="D40" s="83">
        <f t="shared" si="4"/>
        <v>148031.07284302916</v>
      </c>
      <c r="E40" s="83">
        <f t="shared" si="5"/>
        <v>31500</v>
      </c>
      <c r="F40" s="83">
        <f t="shared" si="3"/>
        <v>9039344.5954682697</v>
      </c>
      <c r="G40" s="73"/>
      <c r="H40" s="105" t="s">
        <v>147</v>
      </c>
      <c r="I40" s="106">
        <f>+RATE(I24,-I39,(I37+I38))</f>
        <v>2.068666742599555E-2</v>
      </c>
      <c r="L40" s="134">
        <v>161</v>
      </c>
      <c r="M40" s="92">
        <f t="shared" si="8"/>
        <v>0.16</v>
      </c>
      <c r="N40" s="91">
        <f t="shared" si="6"/>
        <v>379192.27352358622</v>
      </c>
      <c r="O40" s="91">
        <f t="shared" si="7"/>
        <v>1220807.7264764137</v>
      </c>
      <c r="P40" s="89"/>
      <c r="Q40" s="89"/>
    </row>
    <row r="41" spans="1:17" ht="15.75" thickBot="1" x14ac:dyDescent="0.3">
      <c r="A41" s="82">
        <f t="shared" si="0"/>
        <v>29</v>
      </c>
      <c r="B41" s="83">
        <f t="shared" si="1"/>
        <v>221847.38799004711</v>
      </c>
      <c r="C41" s="83">
        <f t="shared" si="2"/>
        <v>43006.071083914314</v>
      </c>
      <c r="D41" s="83">
        <f t="shared" si="4"/>
        <v>147341.31690613279</v>
      </c>
      <c r="E41" s="83">
        <f t="shared" si="5"/>
        <v>31500</v>
      </c>
      <c r="F41" s="83">
        <f t="shared" si="3"/>
        <v>8996338.5243843552</v>
      </c>
      <c r="G41" s="73"/>
      <c r="H41" s="98" t="s">
        <v>140</v>
      </c>
      <c r="I41" s="99">
        <f>EFFECT(I40*12,12)</f>
        <v>0.27852523031380394</v>
      </c>
      <c r="L41" s="134">
        <v>160</v>
      </c>
      <c r="M41" s="92">
        <f t="shared" si="8"/>
        <v>0.16</v>
      </c>
      <c r="N41" s="91">
        <f t="shared" si="6"/>
        <v>390551.55086758215</v>
      </c>
      <c r="O41" s="91">
        <f t="shared" si="7"/>
        <v>1209448.4491324178</v>
      </c>
      <c r="P41" s="89"/>
      <c r="Q41" s="89"/>
    </row>
    <row r="42" spans="1:17" ht="15.75" thickBot="1" x14ac:dyDescent="0.3">
      <c r="A42" s="82">
        <f t="shared" si="0"/>
        <v>30</v>
      </c>
      <c r="B42" s="83">
        <f t="shared" si="1"/>
        <v>221847.38799004711</v>
      </c>
      <c r="C42" s="83">
        <f t="shared" si="2"/>
        <v>43707.070042582141</v>
      </c>
      <c r="D42" s="83">
        <f t="shared" si="4"/>
        <v>146640.31794746497</v>
      </c>
      <c r="E42" s="83">
        <f t="shared" si="5"/>
        <v>31500</v>
      </c>
      <c r="F42" s="83">
        <f t="shared" si="3"/>
        <v>8952631.4543417729</v>
      </c>
      <c r="G42" s="73"/>
      <c r="H42" s="105" t="s">
        <v>148</v>
      </c>
      <c r="I42" s="106">
        <f>+RATE(I24,-I39,((I20+I19+I18+I16)+I38))</f>
        <v>1.8993276488160189E-2</v>
      </c>
      <c r="L42" s="134">
        <v>159</v>
      </c>
      <c r="M42" s="92">
        <f t="shared" si="8"/>
        <v>0.16</v>
      </c>
      <c r="N42" s="91">
        <f t="shared" si="6"/>
        <v>402123.95634692226</v>
      </c>
      <c r="O42" s="91">
        <f t="shared" si="7"/>
        <v>1197876.0436530777</v>
      </c>
      <c r="P42" s="89"/>
      <c r="Q42" s="89"/>
    </row>
    <row r="43" spans="1:17" ht="15.75" thickBot="1" x14ac:dyDescent="0.3">
      <c r="A43" s="82">
        <f t="shared" si="0"/>
        <v>31</v>
      </c>
      <c r="B43" s="83">
        <f t="shared" si="1"/>
        <v>221847.38799004711</v>
      </c>
      <c r="C43" s="83">
        <f t="shared" si="2"/>
        <v>44419.495284276229</v>
      </c>
      <c r="D43" s="83">
        <f t="shared" si="4"/>
        <v>145927.89270577088</v>
      </c>
      <c r="E43" s="83">
        <f t="shared" si="5"/>
        <v>31500</v>
      </c>
      <c r="F43" s="83">
        <f t="shared" si="3"/>
        <v>8908211.9590574969</v>
      </c>
      <c r="G43" s="73"/>
      <c r="H43" s="98" t="s">
        <v>140</v>
      </c>
      <c r="I43" s="99">
        <f>EFFECT(I42*12,12)</f>
        <v>0.25330225622521163</v>
      </c>
      <c r="L43" s="134">
        <v>158</v>
      </c>
      <c r="M43" s="92">
        <f t="shared" si="8"/>
        <v>0.16</v>
      </c>
      <c r="N43" s="91">
        <f t="shared" si="6"/>
        <v>413913.48877250735</v>
      </c>
      <c r="O43" s="91">
        <f t="shared" si="7"/>
        <v>1186086.5112274927</v>
      </c>
      <c r="P43" s="89"/>
      <c r="Q43" s="89"/>
    </row>
    <row r="44" spans="1:17" ht="15.75" thickBot="1" x14ac:dyDescent="0.3">
      <c r="A44" s="82">
        <f t="shared" si="0"/>
        <v>32</v>
      </c>
      <c r="B44" s="83">
        <f t="shared" si="1"/>
        <v>221847.38799004711</v>
      </c>
      <c r="C44" s="83">
        <f t="shared" si="2"/>
        <v>45143.533057409921</v>
      </c>
      <c r="D44" s="83">
        <f t="shared" si="4"/>
        <v>145203.85493263719</v>
      </c>
      <c r="E44" s="83">
        <f t="shared" si="5"/>
        <v>31500</v>
      </c>
      <c r="F44" s="83">
        <f t="shared" si="3"/>
        <v>8863068.4260000866</v>
      </c>
      <c r="G44" s="73"/>
      <c r="L44" s="134">
        <v>157</v>
      </c>
      <c r="M44" s="92">
        <f t="shared" si="8"/>
        <v>0.16</v>
      </c>
      <c r="N44" s="91">
        <f t="shared" si="6"/>
        <v>425924.22198282514</v>
      </c>
      <c r="O44" s="91">
        <f t="shared" si="7"/>
        <v>1174075.7780171749</v>
      </c>
      <c r="P44" s="89"/>
      <c r="Q44" s="89"/>
    </row>
    <row r="45" spans="1:17" ht="15.75" thickBot="1" x14ac:dyDescent="0.3">
      <c r="A45" s="82">
        <f t="shared" si="0"/>
        <v>33</v>
      </c>
      <c r="B45" s="83">
        <f t="shared" si="1"/>
        <v>221847.38799004711</v>
      </c>
      <c r="C45" s="83">
        <f t="shared" si="2"/>
        <v>45879.372646245698</v>
      </c>
      <c r="D45" s="83">
        <f t="shared" si="4"/>
        <v>144468.01534380141</v>
      </c>
      <c r="E45" s="83">
        <f t="shared" si="5"/>
        <v>31500</v>
      </c>
      <c r="F45" s="83">
        <f t="shared" si="3"/>
        <v>8817189.0533538405</v>
      </c>
      <c r="G45" s="73"/>
      <c r="H45" s="100" t="s">
        <v>149</v>
      </c>
      <c r="I45" s="102">
        <f>+IF(B9=M1,9%,IF(B9=M2,7%,IF(B9=M3,4%,0)))</f>
        <v>7.0000000000000007E-2</v>
      </c>
      <c r="L45" s="134">
        <v>156</v>
      </c>
      <c r="M45" s="92">
        <f t="shared" si="8"/>
        <v>0.16</v>
      </c>
      <c r="N45" s="91">
        <f t="shared" si="6"/>
        <v>438160.30625163799</v>
      </c>
      <c r="O45" s="91">
        <f t="shared" si="7"/>
        <v>1161839.6937483619</v>
      </c>
      <c r="P45" s="89"/>
      <c r="Q45" s="89"/>
    </row>
    <row r="46" spans="1:17" ht="15.75" thickBot="1" x14ac:dyDescent="0.3">
      <c r="A46" s="82">
        <f t="shared" si="0"/>
        <v>34</v>
      </c>
      <c r="B46" s="83">
        <f t="shared" si="1"/>
        <v>221847.38799004711</v>
      </c>
      <c r="C46" s="83">
        <f t="shared" si="2"/>
        <v>46627.206420379516</v>
      </c>
      <c r="D46" s="83">
        <f t="shared" si="4"/>
        <v>143720.18156966759</v>
      </c>
      <c r="E46" s="83">
        <f t="shared" si="5"/>
        <v>31500</v>
      </c>
      <c r="F46" s="83">
        <f t="shared" si="3"/>
        <v>8770561.8469334617</v>
      </c>
      <c r="G46" s="73"/>
      <c r="H46" s="107" t="s">
        <v>150</v>
      </c>
      <c r="I46" s="108">
        <f>+I15*I45</f>
        <v>700000.00000000012</v>
      </c>
      <c r="L46" s="134">
        <v>155</v>
      </c>
      <c r="M46" s="92">
        <f t="shared" si="8"/>
        <v>0.16</v>
      </c>
      <c r="N46" s="91">
        <f t="shared" si="6"/>
        <v>450625.96972211992</v>
      </c>
      <c r="O46" s="91">
        <f t="shared" si="7"/>
        <v>1149374.0302778801</v>
      </c>
      <c r="P46" s="89"/>
      <c r="Q46" s="89"/>
    </row>
    <row r="47" spans="1:17" ht="15.75" thickBot="1" x14ac:dyDescent="0.3">
      <c r="A47" s="82">
        <f t="shared" si="0"/>
        <v>35</v>
      </c>
      <c r="B47" s="83">
        <f t="shared" si="1"/>
        <v>221847.38799004711</v>
      </c>
      <c r="C47" s="83">
        <f t="shared" si="2"/>
        <v>47387.229885031702</v>
      </c>
      <c r="D47" s="83">
        <f t="shared" si="4"/>
        <v>142960.15810501541</v>
      </c>
      <c r="E47" s="83">
        <f t="shared" si="5"/>
        <v>31500</v>
      </c>
      <c r="F47" s="83">
        <f t="shared" si="3"/>
        <v>8723174.6170484293</v>
      </c>
      <c r="G47" s="73"/>
      <c r="H47" s="109" t="s">
        <v>173</v>
      </c>
      <c r="I47" s="102">
        <v>0.15</v>
      </c>
      <c r="L47" s="134">
        <v>154</v>
      </c>
      <c r="M47" s="92">
        <f t="shared" si="8"/>
        <v>0.16</v>
      </c>
      <c r="N47" s="91">
        <f t="shared" si="6"/>
        <v>463325.5198678546</v>
      </c>
      <c r="O47" s="91">
        <f t="shared" si="7"/>
        <v>1136674.4801321453</v>
      </c>
      <c r="P47" s="89"/>
      <c r="Q47" s="89"/>
    </row>
    <row r="48" spans="1:17" ht="15.75" thickBot="1" x14ac:dyDescent="0.3">
      <c r="A48" s="82">
        <f t="shared" si="0"/>
        <v>36</v>
      </c>
      <c r="B48" s="83">
        <f t="shared" si="1"/>
        <v>221847.38799004711</v>
      </c>
      <c r="C48" s="83">
        <f t="shared" si="2"/>
        <v>48159.641732157732</v>
      </c>
      <c r="D48" s="83">
        <f t="shared" si="4"/>
        <v>142187.74625788938</v>
      </c>
      <c r="E48" s="83">
        <f t="shared" si="5"/>
        <v>31500</v>
      </c>
      <c r="F48" s="83">
        <f t="shared" si="3"/>
        <v>8675014.9753162712</v>
      </c>
      <c r="G48" s="73"/>
      <c r="H48" s="109" t="s">
        <v>174</v>
      </c>
      <c r="I48" s="108">
        <f>+(I20+I38+(I15*I47)+(I46*1.19))*(0.02*1.19)</f>
        <v>260454.39999999994</v>
      </c>
      <c r="L48" s="134">
        <v>153</v>
      </c>
      <c r="M48" s="92">
        <f t="shared" si="8"/>
        <v>0.16</v>
      </c>
      <c r="N48" s="91">
        <f t="shared" si="6"/>
        <v>476263.34498129552</v>
      </c>
      <c r="O48" s="91">
        <f t="shared" si="7"/>
        <v>1123736.6550187045</v>
      </c>
      <c r="P48" s="89"/>
      <c r="Q48" s="89"/>
    </row>
    <row r="49" spans="1:17" ht="15.75" thickBot="1" x14ac:dyDescent="0.3">
      <c r="A49" s="82">
        <f t="shared" si="0"/>
        <v>37</v>
      </c>
      <c r="B49" s="83">
        <f t="shared" si="1"/>
        <v>221847.38799004711</v>
      </c>
      <c r="C49" s="83">
        <f t="shared" si="2"/>
        <v>48944.643892391905</v>
      </c>
      <c r="D49" s="83">
        <f t="shared" si="4"/>
        <v>141402.7440976552</v>
      </c>
      <c r="E49" s="83">
        <f t="shared" si="5"/>
        <v>31500</v>
      </c>
      <c r="F49" s="83">
        <f t="shared" si="3"/>
        <v>8626070.3314238787</v>
      </c>
      <c r="G49" s="73"/>
      <c r="H49" s="110" t="s">
        <v>151</v>
      </c>
      <c r="I49" s="108">
        <f>+(I37+I38)+(I46*1.19)+I48+(I15*I47)</f>
        <v>11203916.584873948</v>
      </c>
      <c r="L49" s="134">
        <v>152</v>
      </c>
      <c r="M49" s="92">
        <f t="shared" si="8"/>
        <v>0.16</v>
      </c>
      <c r="N49" s="91">
        <f t="shared" si="6"/>
        <v>489443.91569010651</v>
      </c>
      <c r="O49" s="91">
        <f t="shared" si="7"/>
        <v>1110556.0843098934</v>
      </c>
      <c r="P49" s="89"/>
      <c r="Q49" s="89"/>
    </row>
    <row r="50" spans="1:17" ht="15.75" thickBot="1" x14ac:dyDescent="0.3">
      <c r="A50" s="82">
        <f t="shared" si="0"/>
        <v>38</v>
      </c>
      <c r="B50" s="83">
        <f t="shared" si="1"/>
        <v>221847.38799004711</v>
      </c>
      <c r="C50" s="83">
        <f t="shared" si="2"/>
        <v>49742.441587837908</v>
      </c>
      <c r="D50" s="83">
        <f t="shared" si="4"/>
        <v>140604.9464022092</v>
      </c>
      <c r="E50" s="83">
        <f t="shared" si="5"/>
        <v>31500</v>
      </c>
      <c r="F50" s="83">
        <f t="shared" si="3"/>
        <v>8576327.8898360413</v>
      </c>
      <c r="G50" s="73"/>
      <c r="H50" s="109" t="s">
        <v>146</v>
      </c>
      <c r="I50" s="111">
        <f>+I39</f>
        <v>194814.53443670386</v>
      </c>
      <c r="L50" s="134">
        <v>151</v>
      </c>
      <c r="M50" s="92">
        <f t="shared" si="8"/>
        <v>0.16</v>
      </c>
      <c r="N50" s="91">
        <f t="shared" si="6"/>
        <v>502871.78650198673</v>
      </c>
      <c r="O50" s="91">
        <f t="shared" si="7"/>
        <v>1097128.2134980133</v>
      </c>
      <c r="P50" s="89"/>
      <c r="Q50" s="89"/>
    </row>
    <row r="51" spans="1:17" ht="15.75" thickBot="1" x14ac:dyDescent="0.3">
      <c r="A51" s="82">
        <f t="shared" si="0"/>
        <v>39</v>
      </c>
      <c r="B51" s="83">
        <f t="shared" si="1"/>
        <v>221847.38799004711</v>
      </c>
      <c r="C51" s="83">
        <f t="shared" si="2"/>
        <v>50553.243385719659</v>
      </c>
      <c r="D51" s="83">
        <f t="shared" si="4"/>
        <v>139794.14460432745</v>
      </c>
      <c r="E51" s="83">
        <f t="shared" si="5"/>
        <v>31500</v>
      </c>
      <c r="F51" s="83">
        <f t="shared" si="3"/>
        <v>8525774.6464503221</v>
      </c>
      <c r="G51" s="73"/>
      <c r="H51" s="109" t="s">
        <v>152</v>
      </c>
      <c r="I51" s="112">
        <f>+RATE(I24,-I50,I49)</f>
        <v>1.4177592947050184E-2</v>
      </c>
      <c r="L51" s="134">
        <v>150</v>
      </c>
      <c r="M51" s="92">
        <f t="shared" si="8"/>
        <v>0.16</v>
      </c>
      <c r="N51" s="91">
        <f t="shared" si="6"/>
        <v>516551.59737845755</v>
      </c>
      <c r="O51" s="91">
        <f t="shared" si="7"/>
        <v>1083448.4026215426</v>
      </c>
      <c r="P51" s="89"/>
      <c r="Q51" s="89"/>
    </row>
    <row r="52" spans="1:17" ht="15.75" thickBot="1" x14ac:dyDescent="0.3">
      <c r="A52" s="82">
        <f t="shared" si="0"/>
        <v>40</v>
      </c>
      <c r="B52" s="83">
        <f t="shared" si="1"/>
        <v>221847.38799004711</v>
      </c>
      <c r="C52" s="83">
        <f t="shared" si="2"/>
        <v>51377.261252906872</v>
      </c>
      <c r="D52" s="83">
        <f t="shared" si="4"/>
        <v>138970.12673714024</v>
      </c>
      <c r="E52" s="83">
        <f t="shared" si="5"/>
        <v>31500</v>
      </c>
      <c r="F52" s="83">
        <f t="shared" si="3"/>
        <v>8474397.3851974159</v>
      </c>
      <c r="G52" s="73"/>
      <c r="H52" s="109" t="s">
        <v>153</v>
      </c>
      <c r="I52" s="102">
        <f>EFFECT(I51*12,12)</f>
        <v>0.1840447953827804</v>
      </c>
      <c r="L52" s="134">
        <v>149</v>
      </c>
      <c r="M52" s="92">
        <f t="shared" si="8"/>
        <v>0.16</v>
      </c>
      <c r="N52" s="91">
        <f t="shared" si="6"/>
        <v>530488.07533820404</v>
      </c>
      <c r="O52" s="91">
        <f t="shared" si="7"/>
        <v>1069511.9246617961</v>
      </c>
      <c r="P52" s="89"/>
      <c r="Q52" s="89"/>
    </row>
    <row r="53" spans="1:17" ht="15.75" thickBot="1" x14ac:dyDescent="0.3">
      <c r="A53" s="82">
        <f t="shared" si="0"/>
        <v>41</v>
      </c>
      <c r="B53" s="83">
        <f t="shared" si="1"/>
        <v>221847.38799004711</v>
      </c>
      <c r="C53" s="83">
        <f t="shared" si="2"/>
        <v>52214.710611329239</v>
      </c>
      <c r="D53" s="83">
        <f t="shared" si="4"/>
        <v>138132.67737871787</v>
      </c>
      <c r="E53" s="83">
        <f t="shared" si="5"/>
        <v>31500</v>
      </c>
      <c r="F53" s="83">
        <f t="shared" si="3"/>
        <v>8422182.6745860875</v>
      </c>
      <c r="G53" s="73"/>
      <c r="L53" s="134">
        <v>148</v>
      </c>
      <c r="M53" s="92">
        <f t="shared" si="8"/>
        <v>0.16</v>
      </c>
      <c r="N53" s="91">
        <f t="shared" si="6"/>
        <v>544686.03609046515</v>
      </c>
      <c r="O53" s="91">
        <f t="shared" si="7"/>
        <v>1055313.9639095347</v>
      </c>
      <c r="P53" s="89"/>
      <c r="Q53" s="89"/>
    </row>
    <row r="54" spans="1:17" ht="15.75" thickBot="1" x14ac:dyDescent="0.3">
      <c r="A54" s="82">
        <f t="shared" si="0"/>
        <v>42</v>
      </c>
      <c r="B54" s="83">
        <f t="shared" si="1"/>
        <v>221847.38799004711</v>
      </c>
      <c r="C54" s="83">
        <f t="shared" si="2"/>
        <v>53065.810394293891</v>
      </c>
      <c r="D54" s="83">
        <f t="shared" si="4"/>
        <v>137281.57759575322</v>
      </c>
      <c r="E54" s="83">
        <f t="shared" si="5"/>
        <v>31500</v>
      </c>
      <c r="F54" s="83">
        <f t="shared" si="3"/>
        <v>8369116.8641917938</v>
      </c>
      <c r="G54" s="73"/>
      <c r="H54" s="100" t="s">
        <v>154</v>
      </c>
      <c r="L54" s="134">
        <v>147</v>
      </c>
      <c r="M54" s="92">
        <f t="shared" si="8"/>
        <v>0.16</v>
      </c>
      <c r="N54" s="91">
        <f t="shared" si="6"/>
        <v>559150.38569909311</v>
      </c>
      <c r="O54" s="91">
        <f t="shared" si="7"/>
        <v>1040849.6143009069</v>
      </c>
      <c r="P54" s="89"/>
      <c r="Q54" s="89"/>
    </row>
    <row r="55" spans="1:17" ht="15.75" thickBot="1" x14ac:dyDescent="0.3">
      <c r="A55" s="82">
        <f t="shared" si="0"/>
        <v>43</v>
      </c>
      <c r="B55" s="83">
        <f t="shared" si="1"/>
        <v>221847.38799004711</v>
      </c>
      <c r="C55" s="83">
        <f t="shared" si="2"/>
        <v>53930.783103720867</v>
      </c>
      <c r="D55" s="83">
        <f t="shared" si="4"/>
        <v>136416.60488632624</v>
      </c>
      <c r="E55" s="83">
        <f t="shared" si="5"/>
        <v>31500</v>
      </c>
      <c r="F55" s="83">
        <f t="shared" si="3"/>
        <v>8315186.0810880726</v>
      </c>
      <c r="G55" s="73"/>
      <c r="H55" s="101" t="s">
        <v>155</v>
      </c>
      <c r="I55" s="102">
        <v>0.14599999999999999</v>
      </c>
      <c r="L55" s="134">
        <v>146</v>
      </c>
      <c r="M55" s="92">
        <f t="shared" si="8"/>
        <v>0.16</v>
      </c>
      <c r="N55" s="91">
        <f t="shared" si="6"/>
        <v>573886.12227783352</v>
      </c>
      <c r="O55" s="91">
        <f t="shared" si="7"/>
        <v>1026113.8777221665</v>
      </c>
      <c r="P55" s="89"/>
      <c r="Q55" s="89"/>
    </row>
    <row r="56" spans="1:17" ht="15.75" thickBot="1" x14ac:dyDescent="0.3">
      <c r="A56" s="82">
        <f t="shared" si="0"/>
        <v>44</v>
      </c>
      <c r="B56" s="83">
        <f t="shared" si="1"/>
        <v>221847.38799004711</v>
      </c>
      <c r="C56" s="83">
        <f t="shared" si="2"/>
        <v>54809.854868311522</v>
      </c>
      <c r="D56" s="83">
        <f t="shared" si="4"/>
        <v>135537.53312173559</v>
      </c>
      <c r="E56" s="83">
        <f t="shared" si="5"/>
        <v>31500</v>
      </c>
      <c r="F56" s="83">
        <f t="shared" si="3"/>
        <v>8260376.2262197612</v>
      </c>
      <c r="G56" s="73"/>
      <c r="H56" s="109" t="s">
        <v>156</v>
      </c>
      <c r="I56" s="113">
        <f>+I52-I55</f>
        <v>3.8044795382780411E-2</v>
      </c>
      <c r="L56" s="134">
        <v>145</v>
      </c>
      <c r="M56" s="92">
        <f t="shared" si="8"/>
        <v>0.16</v>
      </c>
      <c r="N56" s="91">
        <f t="shared" si="6"/>
        <v>588898.33771740855</v>
      </c>
      <c r="O56" s="91">
        <f t="shared" si="7"/>
        <v>1011101.6622825915</v>
      </c>
      <c r="P56" s="89"/>
      <c r="Q56" s="89"/>
    </row>
    <row r="57" spans="1:17" ht="15.75" thickBot="1" x14ac:dyDescent="0.3">
      <c r="A57" s="82">
        <f t="shared" si="0"/>
        <v>45</v>
      </c>
      <c r="B57" s="83">
        <f t="shared" si="1"/>
        <v>221847.38799004711</v>
      </c>
      <c r="C57" s="83">
        <f t="shared" si="2"/>
        <v>55703.255502665008</v>
      </c>
      <c r="D57" s="83">
        <f t="shared" si="4"/>
        <v>134644.1324873821</v>
      </c>
      <c r="E57" s="83">
        <f t="shared" si="5"/>
        <v>31500</v>
      </c>
      <c r="F57" s="83">
        <f t="shared" si="3"/>
        <v>8204672.9707170958</v>
      </c>
      <c r="G57" s="73"/>
      <c r="L57" s="134">
        <v>144</v>
      </c>
      <c r="M57" s="92">
        <f t="shared" si="8"/>
        <v>0.16</v>
      </c>
      <c r="N57" s="91">
        <f t="shared" si="6"/>
        <v>604192.21944499691</v>
      </c>
      <c r="O57" s="91">
        <f t="shared" si="7"/>
        <v>995807.78055500309</v>
      </c>
      <c r="P57" s="89"/>
      <c r="Q57" s="89"/>
    </row>
    <row r="58" spans="1:17" ht="15.75" thickBot="1" x14ac:dyDescent="0.3">
      <c r="A58" s="82">
        <f t="shared" si="0"/>
        <v>46</v>
      </c>
      <c r="B58" s="83">
        <f t="shared" si="1"/>
        <v>221847.38799004711</v>
      </c>
      <c r="C58" s="83">
        <f t="shared" si="2"/>
        <v>56611.218567358446</v>
      </c>
      <c r="D58" s="83">
        <f t="shared" si="4"/>
        <v>133736.16942268866</v>
      </c>
      <c r="E58" s="83">
        <f t="shared" si="5"/>
        <v>31500</v>
      </c>
      <c r="F58" s="83">
        <f t="shared" si="3"/>
        <v>8148061.7521497374</v>
      </c>
      <c r="G58" s="73"/>
      <c r="L58" s="134">
        <v>143</v>
      </c>
      <c r="M58" s="92">
        <f t="shared" si="8"/>
        <v>0.16</v>
      </c>
      <c r="N58" s="91">
        <f t="shared" si="6"/>
        <v>619773.05221674929</v>
      </c>
      <c r="O58" s="91">
        <f t="shared" si="7"/>
        <v>980226.94778325071</v>
      </c>
      <c r="P58" s="89"/>
      <c r="Q58" s="89"/>
    </row>
    <row r="59" spans="1:17" ht="15.75" thickBot="1" x14ac:dyDescent="0.3">
      <c r="A59" s="82">
        <f t="shared" si="0"/>
        <v>47</v>
      </c>
      <c r="B59" s="83">
        <f t="shared" si="1"/>
        <v>221847.38799004711</v>
      </c>
      <c r="C59" s="83">
        <f t="shared" si="2"/>
        <v>57533.981430006388</v>
      </c>
      <c r="D59" s="83">
        <f t="shared" si="4"/>
        <v>132813.40656004072</v>
      </c>
      <c r="E59" s="83">
        <f t="shared" si="5"/>
        <v>31500</v>
      </c>
      <c r="F59" s="83">
        <f t="shared" si="3"/>
        <v>8090527.7707197312</v>
      </c>
      <c r="G59" s="73"/>
      <c r="L59" s="134">
        <v>142</v>
      </c>
      <c r="M59" s="92">
        <f t="shared" si="8"/>
        <v>0.16</v>
      </c>
      <c r="N59" s="91">
        <f t="shared" si="6"/>
        <v>635646.21994390886</v>
      </c>
      <c r="O59" s="91">
        <f t="shared" si="7"/>
        <v>964353.78005609114</v>
      </c>
      <c r="P59" s="89"/>
      <c r="Q59" s="89"/>
    </row>
    <row r="60" spans="1:17" ht="15.75" thickBot="1" x14ac:dyDescent="0.3">
      <c r="A60" s="82">
        <f t="shared" si="0"/>
        <v>48</v>
      </c>
      <c r="B60" s="83">
        <f t="shared" si="1"/>
        <v>221847.38799004711</v>
      </c>
      <c r="C60" s="83">
        <f t="shared" si="2"/>
        <v>58471.785327315505</v>
      </c>
      <c r="D60" s="83">
        <f t="shared" si="4"/>
        <v>131875.6026627316</v>
      </c>
      <c r="E60" s="83">
        <f t="shared" si="5"/>
        <v>31500</v>
      </c>
      <c r="F60" s="83">
        <f t="shared" si="3"/>
        <v>8032055.9853924159</v>
      </c>
      <c r="G60" s="73"/>
      <c r="L60" s="134">
        <v>141</v>
      </c>
      <c r="M60" s="92">
        <f t="shared" si="8"/>
        <v>0.16</v>
      </c>
      <c r="N60" s="91">
        <f t="shared" si="6"/>
        <v>651817.20755319565</v>
      </c>
      <c r="O60" s="91">
        <f t="shared" si="7"/>
        <v>948182.79244680435</v>
      </c>
      <c r="P60" s="89"/>
      <c r="Q60" s="89"/>
    </row>
    <row r="61" spans="1:17" ht="15.75" thickBot="1" x14ac:dyDescent="0.3">
      <c r="A61" s="82">
        <f t="shared" si="0"/>
        <v>49</v>
      </c>
      <c r="B61" s="83">
        <f t="shared" si="1"/>
        <v>221847.38799004711</v>
      </c>
      <c r="C61" s="83">
        <f t="shared" si="2"/>
        <v>59424.875428150743</v>
      </c>
      <c r="D61" s="83">
        <f t="shared" si="4"/>
        <v>130922.51256189636</v>
      </c>
      <c r="E61" s="83">
        <f t="shared" si="5"/>
        <v>31500</v>
      </c>
      <c r="F61" s="83">
        <f t="shared" si="3"/>
        <v>7972631.1099642655</v>
      </c>
      <c r="G61" s="73"/>
      <c r="L61" s="134">
        <v>140</v>
      </c>
      <c r="M61" s="92">
        <f t="shared" si="8"/>
        <v>0.16</v>
      </c>
      <c r="N61" s="91">
        <f t="shared" si="6"/>
        <v>668291.6028821381</v>
      </c>
      <c r="O61" s="91">
        <f t="shared" si="7"/>
        <v>931708.3971178619</v>
      </c>
      <c r="P61" s="89"/>
      <c r="Q61" s="89"/>
    </row>
    <row r="62" spans="1:17" ht="15.75" thickBot="1" x14ac:dyDescent="0.3">
      <c r="A62" s="82">
        <f t="shared" si="0"/>
        <v>50</v>
      </c>
      <c r="B62" s="83">
        <f t="shared" si="1"/>
        <v>221847.38799004711</v>
      </c>
      <c r="C62" s="83">
        <f t="shared" si="2"/>
        <v>60393.500897629594</v>
      </c>
      <c r="D62" s="83">
        <f t="shared" si="4"/>
        <v>129953.88709241751</v>
      </c>
      <c r="E62" s="83">
        <f t="shared" si="5"/>
        <v>31500</v>
      </c>
      <c r="F62" s="83">
        <f t="shared" si="3"/>
        <v>7912237.6090666363</v>
      </c>
      <c r="G62" s="73"/>
      <c r="L62" s="134">
        <v>139</v>
      </c>
      <c r="M62" s="92">
        <f t="shared" si="8"/>
        <v>0.16</v>
      </c>
      <c r="N62" s="91">
        <f t="shared" si="6"/>
        <v>685075.09860990627</v>
      </c>
      <c r="O62" s="91">
        <f t="shared" si="7"/>
        <v>914924.90139009373</v>
      </c>
      <c r="P62" s="89"/>
      <c r="Q62" s="89"/>
    </row>
    <row r="63" spans="1:17" ht="15.75" thickBot="1" x14ac:dyDescent="0.3">
      <c r="A63" s="82">
        <f t="shared" si="0"/>
        <v>51</v>
      </c>
      <c r="B63" s="83">
        <f t="shared" si="1"/>
        <v>221847.38799004711</v>
      </c>
      <c r="C63" s="83">
        <f t="shared" si="2"/>
        <v>61377.91496226094</v>
      </c>
      <c r="D63" s="83">
        <f t="shared" si="4"/>
        <v>128969.47302778617</v>
      </c>
      <c r="E63" s="83">
        <f t="shared" si="5"/>
        <v>31500</v>
      </c>
      <c r="F63" s="83">
        <f t="shared" si="3"/>
        <v>7850859.6941043753</v>
      </c>
      <c r="G63" s="73"/>
      <c r="L63" s="134">
        <v>138</v>
      </c>
      <c r="M63" s="92">
        <f t="shared" si="8"/>
        <v>0.16</v>
      </c>
      <c r="N63" s="91">
        <f t="shared" si="6"/>
        <v>702173.49422441144</v>
      </c>
      <c r="O63" s="91">
        <f t="shared" si="7"/>
        <v>897826.50577558856</v>
      </c>
      <c r="P63" s="89"/>
      <c r="Q63" s="89"/>
    </row>
    <row r="64" spans="1:17" ht="15.75" thickBot="1" x14ac:dyDescent="0.3">
      <c r="A64" s="82">
        <f t="shared" si="0"/>
        <v>52</v>
      </c>
      <c r="B64" s="83">
        <f t="shared" si="1"/>
        <v>221847.38799004711</v>
      </c>
      <c r="C64" s="83">
        <f t="shared" si="2"/>
        <v>62378.374976145802</v>
      </c>
      <c r="D64" s="83">
        <f t="shared" si="4"/>
        <v>127969.01301390131</v>
      </c>
      <c r="E64" s="83">
        <f t="shared" si="5"/>
        <v>31500</v>
      </c>
      <c r="F64" s="83">
        <f t="shared" si="3"/>
        <v>7788481.3191282293</v>
      </c>
      <c r="G64" s="73"/>
      <c r="L64" s="134">
        <v>137</v>
      </c>
      <c r="M64" s="92">
        <f t="shared" si="8"/>
        <v>0.16</v>
      </c>
      <c r="N64" s="91">
        <f t="shared" si="6"/>
        <v>719592.69802629959</v>
      </c>
      <c r="O64" s="91">
        <f t="shared" si="7"/>
        <v>880407.30197370041</v>
      </c>
      <c r="P64" s="89"/>
      <c r="Q64" s="89"/>
    </row>
    <row r="65" spans="1:17" ht="15.75" thickBot="1" x14ac:dyDescent="0.3">
      <c r="A65" s="82">
        <f t="shared" si="0"/>
        <v>53</v>
      </c>
      <c r="B65" s="83">
        <f t="shared" si="1"/>
        <v>221847.38799004711</v>
      </c>
      <c r="C65" s="83">
        <f t="shared" si="2"/>
        <v>63395.142488256985</v>
      </c>
      <c r="D65" s="83">
        <f t="shared" si="4"/>
        <v>126952.24550179012</v>
      </c>
      <c r="E65" s="83">
        <f t="shared" si="5"/>
        <v>31500</v>
      </c>
      <c r="F65" s="83">
        <f t="shared" si="3"/>
        <v>7725086.1766399723</v>
      </c>
      <c r="G65" s="73"/>
      <c r="L65" s="134">
        <v>136</v>
      </c>
      <c r="M65" s="92">
        <f t="shared" si="8"/>
        <v>0.16</v>
      </c>
      <c r="N65" s="91">
        <f t="shared" si="6"/>
        <v>737338.72917054547</v>
      </c>
      <c r="O65" s="91">
        <f t="shared" si="7"/>
        <v>862661.27082945453</v>
      </c>
      <c r="P65" s="89"/>
      <c r="Q65" s="89"/>
    </row>
    <row r="66" spans="1:17" ht="15.75" thickBot="1" x14ac:dyDescent="0.3">
      <c r="A66" s="82">
        <f t="shared" si="0"/>
        <v>54</v>
      </c>
      <c r="B66" s="83">
        <f t="shared" si="1"/>
        <v>221847.38799004711</v>
      </c>
      <c r="C66" s="83">
        <f t="shared" si="2"/>
        <v>64428.483310815573</v>
      </c>
      <c r="D66" s="83">
        <f t="shared" si="4"/>
        <v>125918.90467923153</v>
      </c>
      <c r="E66" s="83">
        <f t="shared" si="5"/>
        <v>31500</v>
      </c>
      <c r="F66" s="83">
        <f t="shared" si="3"/>
        <v>7660657.6933291564</v>
      </c>
      <c r="G66" s="73"/>
      <c r="L66" s="134">
        <v>135</v>
      </c>
      <c r="M66" s="92">
        <f t="shared" si="8"/>
        <v>0.16</v>
      </c>
      <c r="N66" s="91">
        <f t="shared" si="6"/>
        <v>755417.71974636964</v>
      </c>
      <c r="O66" s="91">
        <f t="shared" si="7"/>
        <v>844582.28025363036</v>
      </c>
      <c r="P66" s="89"/>
      <c r="Q66" s="89"/>
    </row>
    <row r="67" spans="1:17" ht="15.75" thickBot="1" x14ac:dyDescent="0.3">
      <c r="A67" s="82">
        <f t="shared" si="0"/>
        <v>55</v>
      </c>
      <c r="B67" s="83">
        <f t="shared" si="1"/>
        <v>221847.38799004711</v>
      </c>
      <c r="C67" s="83">
        <f t="shared" si="2"/>
        <v>65478.667588781871</v>
      </c>
      <c r="D67" s="83">
        <f t="shared" si="4"/>
        <v>124868.72040126524</v>
      </c>
      <c r="E67" s="83">
        <f t="shared" si="5"/>
        <v>31500</v>
      </c>
      <c r="F67" s="83">
        <f t="shared" si="3"/>
        <v>7595179.0257403748</v>
      </c>
      <c r="G67" s="73"/>
      <c r="L67" s="134">
        <v>134</v>
      </c>
      <c r="M67" s="92">
        <f t="shared" si="8"/>
        <v>0.16</v>
      </c>
      <c r="N67" s="91">
        <f t="shared" si="6"/>
        <v>773835.91689613904</v>
      </c>
      <c r="O67" s="91">
        <f t="shared" si="7"/>
        <v>826164.08310386096</v>
      </c>
      <c r="P67" s="89"/>
      <c r="Q67" s="89"/>
    </row>
    <row r="68" spans="1:17" ht="15.75" thickBot="1" x14ac:dyDescent="0.3">
      <c r="A68" s="82">
        <f t="shared" si="0"/>
        <v>56</v>
      </c>
      <c r="B68" s="83">
        <f t="shared" si="1"/>
        <v>221847.38799004711</v>
      </c>
      <c r="C68" s="83">
        <f t="shared" si="2"/>
        <v>66545.969870479006</v>
      </c>
      <c r="D68" s="83">
        <f t="shared" si="4"/>
        <v>123801.4181195681</v>
      </c>
      <c r="E68" s="83">
        <f t="shared" si="5"/>
        <v>31500</v>
      </c>
      <c r="F68" s="83">
        <f t="shared" si="3"/>
        <v>7528633.055869896</v>
      </c>
      <c r="G68" s="73"/>
      <c r="L68" s="134">
        <v>133</v>
      </c>
      <c r="M68" s="92">
        <f t="shared" si="8"/>
        <v>0.16</v>
      </c>
      <c r="N68" s="91">
        <f t="shared" si="6"/>
        <v>792599.68497406202</v>
      </c>
      <c r="O68" s="91">
        <f t="shared" si="7"/>
        <v>807400.31502593798</v>
      </c>
      <c r="P68" s="89"/>
      <c r="Q68" s="89"/>
    </row>
    <row r="69" spans="1:17" ht="15.75" thickBot="1" x14ac:dyDescent="0.3">
      <c r="A69" s="82">
        <f t="shared" si="0"/>
        <v>57</v>
      </c>
      <c r="B69" s="83">
        <f t="shared" si="1"/>
        <v>221847.38799004711</v>
      </c>
      <c r="C69" s="83">
        <f t="shared" si="2"/>
        <v>67630.669179367818</v>
      </c>
      <c r="D69" s="83">
        <f t="shared" si="4"/>
        <v>122716.71881067929</v>
      </c>
      <c r="E69" s="83">
        <f t="shared" si="5"/>
        <v>31500</v>
      </c>
      <c r="F69" s="83">
        <f t="shared" si="3"/>
        <v>7461002.3866905281</v>
      </c>
      <c r="G69" s="73"/>
      <c r="L69" s="134">
        <v>132</v>
      </c>
      <c r="M69" s="92">
        <f t="shared" si="8"/>
        <v>0.16</v>
      </c>
      <c r="N69" s="91">
        <f t="shared" si="6"/>
        <v>811715.50774537865</v>
      </c>
      <c r="O69" s="91">
        <f t="shared" si="7"/>
        <v>788284.49225462135</v>
      </c>
      <c r="P69" s="89"/>
      <c r="Q69" s="89"/>
    </row>
    <row r="70" spans="1:17" ht="15.75" thickBot="1" x14ac:dyDescent="0.3">
      <c r="A70" s="82">
        <f t="shared" si="0"/>
        <v>58</v>
      </c>
      <c r="B70" s="83">
        <f t="shared" si="1"/>
        <v>221847.38799004711</v>
      </c>
      <c r="C70" s="83">
        <f t="shared" si="2"/>
        <v>68733.049086991508</v>
      </c>
      <c r="D70" s="83">
        <f t="shared" si="4"/>
        <v>121614.3389030556</v>
      </c>
      <c r="E70" s="83">
        <f t="shared" si="5"/>
        <v>31500</v>
      </c>
      <c r="F70" s="83">
        <f t="shared" si="3"/>
        <v>7392269.3376035364</v>
      </c>
      <c r="G70" s="73"/>
      <c r="L70" s="134">
        <v>131</v>
      </c>
      <c r="M70" s="92">
        <f t="shared" si="8"/>
        <v>0.16</v>
      </c>
      <c r="N70" s="91">
        <f t="shared" si="6"/>
        <v>831189.99062679207</v>
      </c>
      <c r="O70" s="91">
        <f t="shared" si="7"/>
        <v>768810.00937320793</v>
      </c>
      <c r="P70" s="89"/>
      <c r="Q70" s="89"/>
    </row>
    <row r="71" spans="1:17" ht="15.75" thickBot="1" x14ac:dyDescent="0.3">
      <c r="A71" s="82">
        <f t="shared" si="0"/>
        <v>59</v>
      </c>
      <c r="B71" s="83">
        <f t="shared" si="1"/>
        <v>221847.38799004711</v>
      </c>
      <c r="C71" s="83">
        <f t="shared" si="2"/>
        <v>69853.397787109468</v>
      </c>
      <c r="D71" s="83">
        <f t="shared" si="4"/>
        <v>120493.99020293764</v>
      </c>
      <c r="E71" s="83">
        <f t="shared" si="5"/>
        <v>31500</v>
      </c>
      <c r="F71" s="83">
        <f t="shared" si="3"/>
        <v>7322415.9398164274</v>
      </c>
      <c r="G71" s="73"/>
      <c r="L71" s="134">
        <v>130</v>
      </c>
      <c r="M71" s="92">
        <f t="shared" si="8"/>
        <v>0.16</v>
      </c>
      <c r="N71" s="91">
        <f t="shared" si="6"/>
        <v>851029.86296896462</v>
      </c>
      <c r="O71" s="91">
        <f t="shared" si="7"/>
        <v>748970.13703103538</v>
      </c>
      <c r="P71" s="89"/>
      <c r="Q71" s="89"/>
    </row>
    <row r="72" spans="1:17" ht="15.75" thickBot="1" x14ac:dyDescent="0.3">
      <c r="A72" s="82">
        <f t="shared" si="0"/>
        <v>60</v>
      </c>
      <c r="B72" s="83">
        <f t="shared" si="1"/>
        <v>221847.38799004711</v>
      </c>
      <c r="C72" s="83">
        <f t="shared" si="2"/>
        <v>70992.008171039357</v>
      </c>
      <c r="D72" s="83">
        <f t="shared" si="4"/>
        <v>119355.37981900775</v>
      </c>
      <c r="E72" s="83">
        <f t="shared" si="5"/>
        <v>31500</v>
      </c>
      <c r="F72" s="83">
        <f t="shared" si="3"/>
        <v>7251423.9316453878</v>
      </c>
      <c r="G72" s="73"/>
      <c r="L72" s="134">
        <v>129</v>
      </c>
      <c r="M72" s="92">
        <f t="shared" si="8"/>
        <v>0.16</v>
      </c>
      <c r="N72" s="91">
        <f t="shared" si="6"/>
        <v>871241.98038181418</v>
      </c>
      <c r="O72" s="91">
        <f t="shared" si="7"/>
        <v>728758.01961818582</v>
      </c>
      <c r="P72" s="89"/>
      <c r="Q72" s="89"/>
    </row>
    <row r="73" spans="1:17" ht="15.75" thickBot="1" x14ac:dyDescent="0.3">
      <c r="A73" s="82">
        <f t="shared" si="0"/>
        <v>61</v>
      </c>
      <c r="B73" s="83">
        <f t="shared" si="1"/>
        <v>221847.38799004711</v>
      </c>
      <c r="C73" s="83">
        <f t="shared" si="2"/>
        <v>72149.177904227297</v>
      </c>
      <c r="D73" s="83">
        <f t="shared" si="4"/>
        <v>118198.21008581981</v>
      </c>
      <c r="E73" s="83">
        <f t="shared" si="5"/>
        <v>31500</v>
      </c>
      <c r="F73" s="83">
        <f t="shared" si="3"/>
        <v>7179274.75374116</v>
      </c>
      <c r="G73" s="73"/>
      <c r="L73" s="134">
        <v>128</v>
      </c>
      <c r="M73" s="92">
        <f t="shared" si="8"/>
        <v>0.16</v>
      </c>
      <c r="N73" s="91">
        <f t="shared" si="6"/>
        <v>891833.32710345811</v>
      </c>
      <c r="O73" s="91">
        <f t="shared" si="7"/>
        <v>708166.67289654189</v>
      </c>
      <c r="P73" s="89"/>
      <c r="Q73" s="89"/>
    </row>
    <row r="74" spans="1:17" ht="15.75" thickBot="1" x14ac:dyDescent="0.3">
      <c r="A74" s="82">
        <f t="shared" si="0"/>
        <v>62</v>
      </c>
      <c r="B74" s="83">
        <f t="shared" si="1"/>
        <v>221847.38799004711</v>
      </c>
      <c r="C74" s="83">
        <f t="shared" si="2"/>
        <v>73325.20950406621</v>
      </c>
      <c r="D74" s="83">
        <f t="shared" si="4"/>
        <v>117022.1784859809</v>
      </c>
      <c r="E74" s="83">
        <f t="shared" si="5"/>
        <v>31500</v>
      </c>
      <c r="F74" s="83">
        <f t="shared" si="3"/>
        <v>7105949.544237094</v>
      </c>
      <c r="G74" s="73"/>
      <c r="L74" s="134">
        <v>127</v>
      </c>
      <c r="M74" s="92">
        <f t="shared" si="8"/>
        <v>0.16</v>
      </c>
      <c r="N74" s="91">
        <f t="shared" si="6"/>
        <v>912811.01841359749</v>
      </c>
      <c r="O74" s="91">
        <f t="shared" si="7"/>
        <v>687188.98158640251</v>
      </c>
      <c r="P74" s="89"/>
      <c r="Q74" s="89"/>
    </row>
    <row r="75" spans="1:17" ht="15.75" thickBot="1" x14ac:dyDescent="0.3">
      <c r="A75" s="82">
        <f t="shared" si="0"/>
        <v>63</v>
      </c>
      <c r="B75" s="83">
        <f t="shared" si="1"/>
        <v>221847.38799004711</v>
      </c>
      <c r="C75" s="83">
        <f t="shared" si="2"/>
        <v>74520.410418982487</v>
      </c>
      <c r="D75" s="83">
        <f t="shared" si="4"/>
        <v>115826.97757106462</v>
      </c>
      <c r="E75" s="83">
        <f t="shared" si="5"/>
        <v>31500</v>
      </c>
      <c r="F75" s="83">
        <f t="shared" si="3"/>
        <v>7031429.1338181114</v>
      </c>
      <c r="G75" s="73"/>
      <c r="L75" s="134">
        <v>126</v>
      </c>
      <c r="M75" s="92">
        <f t="shared" si="8"/>
        <v>0.16</v>
      </c>
      <c r="N75" s="91">
        <f t="shared" si="6"/>
        <v>934182.3030921648</v>
      </c>
      <c r="O75" s="91">
        <f t="shared" si="7"/>
        <v>665817.6969078352</v>
      </c>
      <c r="P75" s="89"/>
      <c r="Q75" s="89"/>
    </row>
    <row r="76" spans="1:17" ht="15.75" thickBot="1" x14ac:dyDescent="0.3">
      <c r="A76" s="82">
        <f t="shared" si="0"/>
        <v>64</v>
      </c>
      <c r="B76" s="83">
        <f t="shared" si="1"/>
        <v>221847.38799004711</v>
      </c>
      <c r="C76" s="83">
        <f t="shared" si="2"/>
        <v>75735.093108811896</v>
      </c>
      <c r="D76" s="83">
        <f t="shared" si="4"/>
        <v>114612.29488123521</v>
      </c>
      <c r="E76" s="83">
        <f t="shared" si="5"/>
        <v>31500</v>
      </c>
      <c r="F76" s="83">
        <f t="shared" si="3"/>
        <v>6955694.040709299</v>
      </c>
      <c r="G76" s="73"/>
      <c r="L76" s="134">
        <v>125</v>
      </c>
      <c r="M76" s="92">
        <f t="shared" si="8"/>
        <v>0.16</v>
      </c>
      <c r="N76" s="91">
        <f t="shared" si="6"/>
        <v>955954.5659241447</v>
      </c>
      <c r="O76" s="91">
        <f t="shared" si="7"/>
        <v>644045.4340758553</v>
      </c>
      <c r="P76" s="89"/>
      <c r="Q76" s="89"/>
    </row>
    <row r="77" spans="1:17" ht="15.75" thickBot="1" x14ac:dyDescent="0.3">
      <c r="A77" s="82">
        <f t="shared" ref="A77:A140" si="9">IF($F$2&gt;A76,A76+1," ")</f>
        <v>65</v>
      </c>
      <c r="B77" s="83">
        <f t="shared" si="1"/>
        <v>221847.38799004711</v>
      </c>
      <c r="C77" s="83">
        <f t="shared" si="2"/>
        <v>76969.57512648555</v>
      </c>
      <c r="D77" s="83">
        <f t="shared" si="4"/>
        <v>113377.81286356156</v>
      </c>
      <c r="E77" s="83">
        <f t="shared" si="5"/>
        <v>31500</v>
      </c>
      <c r="F77" s="83">
        <f t="shared" si="3"/>
        <v>6878724.4655828131</v>
      </c>
      <c r="G77" s="73"/>
      <c r="L77" s="134">
        <v>124</v>
      </c>
      <c r="M77" s="92">
        <f t="shared" si="8"/>
        <v>0.16</v>
      </c>
      <c r="N77" s="91">
        <f t="shared" si="6"/>
        <v>978135.33025133924</v>
      </c>
      <c r="O77" s="91">
        <f t="shared" si="7"/>
        <v>621864.66974866076</v>
      </c>
      <c r="P77" s="89"/>
      <c r="Q77" s="89"/>
    </row>
    <row r="78" spans="1:17" ht="15.75" thickBot="1" x14ac:dyDescent="0.3">
      <c r="A78" s="82">
        <f t="shared" si="9"/>
        <v>66</v>
      </c>
      <c r="B78" s="83">
        <f t="shared" ref="B78:B141" si="10">IF(A78=" "," ",B77)</f>
        <v>221847.38799004711</v>
      </c>
      <c r="C78" s="83">
        <f t="shared" ref="C78:C141" si="11">IF(A78=" "," ",(B78-D78-E78))</f>
        <v>78224.179201047256</v>
      </c>
      <c r="D78" s="83">
        <f t="shared" si="4"/>
        <v>112123.20878899985</v>
      </c>
      <c r="E78" s="83">
        <f t="shared" si="5"/>
        <v>31500</v>
      </c>
      <c r="F78" s="83">
        <f t="shared" ref="F78:F141" si="12">IF(A78=" "," ",(+F77-C78))</f>
        <v>6800500.2863817662</v>
      </c>
      <c r="G78" s="73"/>
      <c r="L78" s="134">
        <v>123</v>
      </c>
      <c r="M78" s="92">
        <f t="shared" si="8"/>
        <v>0.16</v>
      </c>
      <c r="N78" s="91">
        <f t="shared" si="6"/>
        <v>1000732.2605720614</v>
      </c>
      <c r="O78" s="91">
        <f t="shared" si="7"/>
        <v>599267.73942793859</v>
      </c>
      <c r="P78" s="89"/>
      <c r="Q78" s="89"/>
    </row>
    <row r="79" spans="1:17" ht="15.75" thickBot="1" x14ac:dyDescent="0.3">
      <c r="A79" s="82">
        <f t="shared" si="9"/>
        <v>67</v>
      </c>
      <c r="B79" s="83">
        <f t="shared" si="10"/>
        <v>221847.38799004711</v>
      </c>
      <c r="C79" s="83">
        <f t="shared" si="11"/>
        <v>79499.233322024331</v>
      </c>
      <c r="D79" s="83">
        <f t="shared" ref="D79:D142" si="13">IF(A79=" "," ",(F78*$B$9))</f>
        <v>110848.15466802278</v>
      </c>
      <c r="E79" s="83">
        <f t="shared" ref="E79:E142" si="14">IF(A79=" "," ",(+E78))</f>
        <v>31500</v>
      </c>
      <c r="F79" s="83">
        <f t="shared" si="12"/>
        <v>6721001.0530597419</v>
      </c>
      <c r="G79" s="73"/>
      <c r="L79" s="134">
        <v>122</v>
      </c>
      <c r="M79" s="92">
        <f t="shared" si="8"/>
        <v>0.16</v>
      </c>
      <c r="N79" s="91">
        <f t="shared" si="6"/>
        <v>1023753.1651895571</v>
      </c>
      <c r="O79" s="91">
        <f t="shared" si="7"/>
        <v>576246.83481044287</v>
      </c>
      <c r="P79" s="89"/>
      <c r="Q79" s="89"/>
    </row>
    <row r="80" spans="1:17" ht="15.75" thickBot="1" x14ac:dyDescent="0.3">
      <c r="A80" s="82">
        <f t="shared" si="9"/>
        <v>68</v>
      </c>
      <c r="B80" s="83">
        <f t="shared" si="10"/>
        <v>221847.38799004711</v>
      </c>
      <c r="C80" s="83">
        <f t="shared" si="11"/>
        <v>80795.07082517333</v>
      </c>
      <c r="D80" s="83">
        <f t="shared" si="13"/>
        <v>109552.31716487378</v>
      </c>
      <c r="E80" s="83">
        <f t="shared" si="14"/>
        <v>31500</v>
      </c>
      <c r="F80" s="83">
        <f t="shared" si="12"/>
        <v>6640205.9822345683</v>
      </c>
      <c r="G80" s="73"/>
      <c r="L80" s="134">
        <v>121</v>
      </c>
      <c r="M80" s="92">
        <f t="shared" si="8"/>
        <v>0.16</v>
      </c>
      <c r="N80" s="91">
        <f t="shared" si="6"/>
        <v>1047205.9989101538</v>
      </c>
      <c r="O80" s="91">
        <f t="shared" si="7"/>
        <v>552794.00108984625</v>
      </c>
      <c r="P80" s="89"/>
      <c r="Q80" s="89"/>
    </row>
    <row r="81" spans="1:17" ht="15.75" thickBot="1" x14ac:dyDescent="0.3">
      <c r="A81" s="82">
        <f t="shared" si="9"/>
        <v>69</v>
      </c>
      <c r="B81" s="83">
        <f t="shared" si="10"/>
        <v>221847.38799004711</v>
      </c>
      <c r="C81" s="83">
        <f t="shared" si="11"/>
        <v>82112.03047962366</v>
      </c>
      <c r="D81" s="83">
        <f t="shared" si="13"/>
        <v>108235.35751042345</v>
      </c>
      <c r="E81" s="83">
        <f t="shared" si="14"/>
        <v>31500</v>
      </c>
      <c r="F81" s="83">
        <f t="shared" si="12"/>
        <v>6558093.9517549444</v>
      </c>
      <c r="G81" s="73"/>
      <c r="L81" s="134">
        <v>120</v>
      </c>
      <c r="M81" s="92">
        <f t="shared" si="8"/>
        <v>0.16</v>
      </c>
      <c r="N81" s="91">
        <f t="shared" si="6"/>
        <v>1071098.8657920223</v>
      </c>
      <c r="O81" s="91">
        <f t="shared" si="7"/>
        <v>528901.13420797768</v>
      </c>
      <c r="P81" s="89"/>
      <c r="Q81" s="89"/>
    </row>
    <row r="82" spans="1:17" ht="15.75" thickBot="1" x14ac:dyDescent="0.3">
      <c r="A82" s="82">
        <f t="shared" si="9"/>
        <v>70</v>
      </c>
      <c r="B82" s="83">
        <f t="shared" si="10"/>
        <v>221847.38799004711</v>
      </c>
      <c r="C82" s="83">
        <f t="shared" si="11"/>
        <v>83450.456576441517</v>
      </c>
      <c r="D82" s="83">
        <f t="shared" si="13"/>
        <v>106896.93141360559</v>
      </c>
      <c r="E82" s="83">
        <f t="shared" si="14"/>
        <v>31500</v>
      </c>
      <c r="F82" s="83">
        <f t="shared" si="12"/>
        <v>6474643.495178503</v>
      </c>
      <c r="G82" s="73"/>
      <c r="L82" s="134">
        <v>119</v>
      </c>
      <c r="M82" s="92">
        <f t="shared" si="8"/>
        <v>0.16</v>
      </c>
      <c r="N82" s="91">
        <f t="shared" si="6"/>
        <v>1095440.0219455024</v>
      </c>
      <c r="O82" s="91">
        <f t="shared" si="7"/>
        <v>504559.97805449762</v>
      </c>
      <c r="P82" s="89"/>
      <c r="Q82" s="89"/>
    </row>
    <row r="83" spans="1:17" ht="15.75" thickBot="1" x14ac:dyDescent="0.3">
      <c r="A83" s="82">
        <f t="shared" si="9"/>
        <v>71</v>
      </c>
      <c r="B83" s="83">
        <f t="shared" si="10"/>
        <v>221847.38799004711</v>
      </c>
      <c r="C83" s="83">
        <f t="shared" si="11"/>
        <v>84810.699018637519</v>
      </c>
      <c r="D83" s="83">
        <f t="shared" si="13"/>
        <v>105536.68897140959</v>
      </c>
      <c r="E83" s="83">
        <f t="shared" si="14"/>
        <v>31500</v>
      </c>
      <c r="F83" s="83">
        <f t="shared" si="12"/>
        <v>6389832.7961598653</v>
      </c>
      <c r="G83" s="73"/>
      <c r="L83" s="134">
        <v>118</v>
      </c>
      <c r="M83" s="92">
        <f t="shared" si="8"/>
        <v>0.16</v>
      </c>
      <c r="N83" s="91">
        <f t="shared" si="6"/>
        <v>1120237.8783859813</v>
      </c>
      <c r="O83" s="91">
        <f t="shared" si="7"/>
        <v>479762.12161401869</v>
      </c>
      <c r="P83" s="89"/>
      <c r="Q83" s="89"/>
    </row>
    <row r="84" spans="1:17" ht="15.75" thickBot="1" x14ac:dyDescent="0.3">
      <c r="A84" s="82">
        <f t="shared" si="9"/>
        <v>72</v>
      </c>
      <c r="B84" s="83">
        <f t="shared" si="10"/>
        <v>221847.38799004711</v>
      </c>
      <c r="C84" s="83">
        <f t="shared" si="11"/>
        <v>86193.113412641309</v>
      </c>
      <c r="D84" s="83">
        <f t="shared" si="13"/>
        <v>104154.2745774058</v>
      </c>
      <c r="E84" s="83">
        <f t="shared" si="14"/>
        <v>31500</v>
      </c>
      <c r="F84" s="83">
        <f t="shared" si="12"/>
        <v>6303639.6827472243</v>
      </c>
      <c r="G84" s="73"/>
      <c r="L84" s="134">
        <v>117</v>
      </c>
      <c r="M84" s="92">
        <f t="shared" si="8"/>
        <v>0.16</v>
      </c>
      <c r="N84" s="91">
        <f t="shared" si="6"/>
        <v>1145501.0039403031</v>
      </c>
      <c r="O84" s="91">
        <f t="shared" si="7"/>
        <v>454498.99605969689</v>
      </c>
      <c r="P84" s="89"/>
      <c r="Q84" s="89"/>
    </row>
    <row r="85" spans="1:17" ht="15.75" thickBot="1" x14ac:dyDescent="0.3">
      <c r="A85" s="82">
        <f t="shared" si="9"/>
        <v>73</v>
      </c>
      <c r="B85" s="83">
        <f t="shared" si="10"/>
        <v>221847.38799004711</v>
      </c>
      <c r="C85" s="83">
        <f t="shared" si="11"/>
        <v>87598.061161267353</v>
      </c>
      <c r="D85" s="83">
        <f t="shared" si="13"/>
        <v>102749.32682877975</v>
      </c>
      <c r="E85" s="83">
        <f t="shared" si="14"/>
        <v>31500</v>
      </c>
      <c r="F85" s="83">
        <f t="shared" si="12"/>
        <v>6216041.6215859568</v>
      </c>
      <c r="G85" s="73"/>
      <c r="L85" s="134">
        <v>116</v>
      </c>
      <c r="M85" s="92">
        <f t="shared" si="8"/>
        <v>0.16</v>
      </c>
      <c r="N85" s="91">
        <f t="shared" ref="N85:N148" si="15">IF(IF(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&lt;0,"error",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)&lt;=$O$179,0,IF(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&lt;0,"error",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válida")))))</f>
        <v>1171238.128207688</v>
      </c>
      <c r="O85" s="91">
        <f t="shared" ref="O85:O148" si="16">+(($I$15*M85)-IF(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&lt;0,"error",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))+IF(IF(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&lt;0,"error",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)&lt;=$O$179,IF(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&lt;0,"error",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válida")))),0)</f>
        <v>428761.87179231201</v>
      </c>
      <c r="P85" s="89"/>
      <c r="Q85" s="89"/>
    </row>
    <row r="86" spans="1:17" ht="15.75" thickBot="1" x14ac:dyDescent="0.3">
      <c r="A86" s="82">
        <f t="shared" si="9"/>
        <v>74</v>
      </c>
      <c r="B86" s="83">
        <f t="shared" si="10"/>
        <v>221847.38799004711</v>
      </c>
      <c r="C86" s="83">
        <f t="shared" si="11"/>
        <v>89025.909558196028</v>
      </c>
      <c r="D86" s="83">
        <f t="shared" si="13"/>
        <v>101321.47843185108</v>
      </c>
      <c r="E86" s="83">
        <f t="shared" si="14"/>
        <v>31500</v>
      </c>
      <c r="F86" s="83">
        <f t="shared" si="12"/>
        <v>6127015.7120277612</v>
      </c>
      <c r="G86" s="73"/>
      <c r="L86" s="134">
        <v>115</v>
      </c>
      <c r="M86" s="92">
        <f t="shared" si="8"/>
        <v>0.16</v>
      </c>
      <c r="N86" s="91">
        <f t="shared" si="15"/>
        <v>1197458.1445762289</v>
      </c>
      <c r="O86" s="91">
        <f t="shared" si="16"/>
        <v>402541.85542377108</v>
      </c>
      <c r="P86" s="89"/>
      <c r="Q86" s="89"/>
    </row>
    <row r="87" spans="1:17" ht="15.75" thickBot="1" x14ac:dyDescent="0.3">
      <c r="A87" s="82">
        <f t="shared" si="9"/>
        <v>75</v>
      </c>
      <c r="B87" s="83">
        <f t="shared" si="10"/>
        <v>221847.38799004711</v>
      </c>
      <c r="C87" s="83">
        <f t="shared" si="11"/>
        <v>90477.031883994612</v>
      </c>
      <c r="D87" s="83">
        <f t="shared" si="13"/>
        <v>99870.356106052495</v>
      </c>
      <c r="E87" s="83">
        <f t="shared" si="14"/>
        <v>31500</v>
      </c>
      <c r="F87" s="83">
        <f t="shared" si="12"/>
        <v>6036538.6801437661</v>
      </c>
      <c r="G87" s="73"/>
      <c r="L87" s="134">
        <v>114</v>
      </c>
      <c r="M87" s="92">
        <f t="shared" ref="M87:M150" si="17">+M86</f>
        <v>0.16</v>
      </c>
      <c r="N87" s="91">
        <f t="shared" si="15"/>
        <v>1224170.1132959707</v>
      </c>
      <c r="O87" s="91">
        <f t="shared" si="16"/>
        <v>375829.88670402928</v>
      </c>
      <c r="P87" s="89"/>
      <c r="Q87" s="89"/>
    </row>
    <row r="88" spans="1:17" ht="15.75" thickBot="1" x14ac:dyDescent="0.3">
      <c r="A88" s="82">
        <f t="shared" si="9"/>
        <v>76</v>
      </c>
      <c r="B88" s="83">
        <f t="shared" si="10"/>
        <v>221847.38799004711</v>
      </c>
      <c r="C88" s="83">
        <f t="shared" si="11"/>
        <v>91951.807503703734</v>
      </c>
      <c r="D88" s="83">
        <f t="shared" si="13"/>
        <v>98395.580486343373</v>
      </c>
      <c r="E88" s="83">
        <f t="shared" si="14"/>
        <v>31500</v>
      </c>
      <c r="F88" s="83">
        <f t="shared" si="12"/>
        <v>5944586.8726400621</v>
      </c>
      <c r="G88" s="73"/>
      <c r="L88" s="134">
        <v>113</v>
      </c>
      <c r="M88" s="92">
        <f t="shared" si="17"/>
        <v>0.16</v>
      </c>
      <c r="N88" s="91">
        <f t="shared" si="15"/>
        <v>1251383.2646096605</v>
      </c>
      <c r="O88" s="91">
        <f t="shared" si="16"/>
        <v>348616.73539033951</v>
      </c>
      <c r="P88" s="89"/>
      <c r="Q88" s="89"/>
    </row>
    <row r="89" spans="1:17" ht="15.75" thickBot="1" x14ac:dyDescent="0.3">
      <c r="A89" s="82">
        <f t="shared" si="9"/>
        <v>77</v>
      </c>
      <c r="B89" s="83">
        <f t="shared" si="10"/>
        <v>221847.38799004711</v>
      </c>
      <c r="C89" s="83">
        <f t="shared" si="11"/>
        <v>93450.621966014107</v>
      </c>
      <c r="D89" s="83">
        <f t="shared" si="13"/>
        <v>96896.766024033001</v>
      </c>
      <c r="E89" s="83">
        <f t="shared" si="14"/>
        <v>31500</v>
      </c>
      <c r="F89" s="83">
        <f t="shared" si="12"/>
        <v>5851136.2506740484</v>
      </c>
      <c r="G89" s="73"/>
      <c r="L89" s="134">
        <v>112</v>
      </c>
      <c r="M89" s="92">
        <f t="shared" si="17"/>
        <v>0.16</v>
      </c>
      <c r="N89" s="91">
        <f t="shared" si="15"/>
        <v>1279107.0019422241</v>
      </c>
      <c r="O89" s="91">
        <f t="shared" si="16"/>
        <v>320892.9980577759</v>
      </c>
      <c r="P89" s="89"/>
      <c r="Q89" s="89"/>
    </row>
    <row r="90" spans="1:17" ht="15.75" thickBot="1" x14ac:dyDescent="0.3">
      <c r="A90" s="82">
        <f t="shared" si="9"/>
        <v>78</v>
      </c>
      <c r="B90" s="83">
        <f t="shared" si="10"/>
        <v>221847.38799004711</v>
      </c>
      <c r="C90" s="83">
        <f t="shared" si="11"/>
        <v>94973.867104060133</v>
      </c>
      <c r="D90" s="83">
        <f t="shared" si="13"/>
        <v>95373.520885986974</v>
      </c>
      <c r="E90" s="83">
        <f t="shared" si="14"/>
        <v>31500</v>
      </c>
      <c r="F90" s="83">
        <f t="shared" si="12"/>
        <v>5756162.3835699884</v>
      </c>
      <c r="G90" s="73"/>
      <c r="L90" s="134">
        <v>111</v>
      </c>
      <c r="M90" s="92">
        <f t="shared" si="17"/>
        <v>0.16</v>
      </c>
      <c r="N90" s="91">
        <f t="shared" si="15"/>
        <v>1300000</v>
      </c>
      <c r="O90" s="91">
        <f t="shared" si="16"/>
        <v>300000</v>
      </c>
      <c r="P90" s="89"/>
      <c r="Q90" s="89"/>
    </row>
    <row r="91" spans="1:17" ht="15.75" thickBot="1" x14ac:dyDescent="0.3">
      <c r="A91" s="82">
        <f t="shared" si="9"/>
        <v>79</v>
      </c>
      <c r="B91" s="83">
        <f t="shared" si="10"/>
        <v>221847.38799004711</v>
      </c>
      <c r="C91" s="83">
        <f t="shared" si="11"/>
        <v>96521.941137856309</v>
      </c>
      <c r="D91" s="83">
        <f t="shared" si="13"/>
        <v>93825.446852190798</v>
      </c>
      <c r="E91" s="83">
        <f t="shared" si="14"/>
        <v>31500</v>
      </c>
      <c r="F91" s="83">
        <f t="shared" si="12"/>
        <v>5659640.4424321325</v>
      </c>
      <c r="G91" s="73"/>
      <c r="L91" s="134">
        <v>110</v>
      </c>
      <c r="M91" s="92">
        <f t="shared" si="17"/>
        <v>0.16</v>
      </c>
      <c r="N91" s="91">
        <f t="shared" si="15"/>
        <v>1300000</v>
      </c>
      <c r="O91" s="91">
        <f t="shared" si="16"/>
        <v>300000</v>
      </c>
      <c r="P91" s="89"/>
      <c r="Q91" s="89"/>
    </row>
    <row r="92" spans="1:17" ht="15.75" thickBot="1" x14ac:dyDescent="0.3">
      <c r="A92" s="82">
        <f t="shared" si="9"/>
        <v>80</v>
      </c>
      <c r="B92" s="83">
        <f t="shared" si="10"/>
        <v>221847.38799004711</v>
      </c>
      <c r="C92" s="83">
        <f t="shared" si="11"/>
        <v>98095.248778403358</v>
      </c>
      <c r="D92" s="83">
        <f t="shared" si="13"/>
        <v>92252.139211643749</v>
      </c>
      <c r="E92" s="83">
        <f t="shared" si="14"/>
        <v>31500</v>
      </c>
      <c r="F92" s="83">
        <f t="shared" si="12"/>
        <v>5561545.1936537288</v>
      </c>
      <c r="G92" s="73"/>
      <c r="L92" s="134">
        <v>109</v>
      </c>
      <c r="M92" s="92">
        <f t="shared" si="17"/>
        <v>0.16</v>
      </c>
      <c r="N92" s="91">
        <f t="shared" si="15"/>
        <v>1300000</v>
      </c>
      <c r="O92" s="91">
        <f t="shared" si="16"/>
        <v>300000</v>
      </c>
      <c r="P92" s="89"/>
      <c r="Q92" s="89"/>
    </row>
    <row r="93" spans="1:17" ht="15.75" thickBot="1" x14ac:dyDescent="0.3">
      <c r="A93" s="82">
        <f t="shared" si="9"/>
        <v>81</v>
      </c>
      <c r="B93" s="83">
        <f t="shared" si="10"/>
        <v>221847.38799004711</v>
      </c>
      <c r="C93" s="83">
        <f t="shared" si="11"/>
        <v>99694.201333491335</v>
      </c>
      <c r="D93" s="83">
        <f t="shared" si="13"/>
        <v>90653.186656555772</v>
      </c>
      <c r="E93" s="83">
        <f t="shared" si="14"/>
        <v>31500</v>
      </c>
      <c r="F93" s="83">
        <f t="shared" si="12"/>
        <v>5461850.9923202377</v>
      </c>
      <c r="G93" s="73"/>
      <c r="L93" s="134">
        <v>108</v>
      </c>
      <c r="M93" s="92">
        <f t="shared" si="17"/>
        <v>0.16</v>
      </c>
      <c r="N93" s="91">
        <f t="shared" si="15"/>
        <v>1300000</v>
      </c>
      <c r="O93" s="91">
        <f t="shared" si="16"/>
        <v>300000</v>
      </c>
      <c r="P93" s="89"/>
      <c r="Q93" s="89"/>
    </row>
    <row r="94" spans="1:17" ht="15.75" thickBot="1" x14ac:dyDescent="0.3">
      <c r="A94" s="82">
        <f t="shared" si="9"/>
        <v>82</v>
      </c>
      <c r="B94" s="83">
        <f t="shared" si="10"/>
        <v>221847.38799004711</v>
      </c>
      <c r="C94" s="83">
        <f t="shared" si="11"/>
        <v>101319.21681522724</v>
      </c>
      <c r="D94" s="83">
        <f t="shared" si="13"/>
        <v>89028.171174819872</v>
      </c>
      <c r="E94" s="83">
        <f t="shared" si="14"/>
        <v>31500</v>
      </c>
      <c r="F94" s="83">
        <f t="shared" si="12"/>
        <v>5360531.77550501</v>
      </c>
      <c r="G94" s="73"/>
      <c r="L94" s="134">
        <v>107</v>
      </c>
      <c r="M94" s="92">
        <f t="shared" si="17"/>
        <v>0.16</v>
      </c>
      <c r="N94" s="91">
        <f t="shared" si="15"/>
        <v>1300000</v>
      </c>
      <c r="O94" s="91">
        <f t="shared" si="16"/>
        <v>300000</v>
      </c>
      <c r="P94" s="89"/>
      <c r="Q94" s="89"/>
    </row>
    <row r="95" spans="1:17" ht="15.75" thickBot="1" x14ac:dyDescent="0.3">
      <c r="A95" s="82">
        <f t="shared" si="9"/>
        <v>83</v>
      </c>
      <c r="B95" s="83">
        <f t="shared" si="10"/>
        <v>221847.38799004711</v>
      </c>
      <c r="C95" s="83">
        <f t="shared" si="11"/>
        <v>102970.72004931545</v>
      </c>
      <c r="D95" s="83">
        <f t="shared" si="13"/>
        <v>87376.667940731655</v>
      </c>
      <c r="E95" s="83">
        <f t="shared" si="14"/>
        <v>31500</v>
      </c>
      <c r="F95" s="83">
        <f t="shared" si="12"/>
        <v>5257561.0554556949</v>
      </c>
      <c r="G95" s="73"/>
      <c r="L95" s="134">
        <v>106</v>
      </c>
      <c r="M95" s="92">
        <f t="shared" si="17"/>
        <v>0.16</v>
      </c>
      <c r="N95" s="91">
        <f t="shared" si="15"/>
        <v>1300000</v>
      </c>
      <c r="O95" s="91">
        <f t="shared" si="16"/>
        <v>300000</v>
      </c>
      <c r="P95" s="89"/>
      <c r="Q95" s="89"/>
    </row>
    <row r="96" spans="1:17" ht="15.75" thickBot="1" x14ac:dyDescent="0.3">
      <c r="A96" s="82">
        <f t="shared" si="9"/>
        <v>84</v>
      </c>
      <c r="B96" s="83">
        <f t="shared" si="10"/>
        <v>221847.38799004711</v>
      </c>
      <c r="C96" s="83">
        <f t="shared" si="11"/>
        <v>104649.14278611931</v>
      </c>
      <c r="D96" s="83">
        <f t="shared" si="13"/>
        <v>85698.245203927814</v>
      </c>
      <c r="E96" s="83">
        <f t="shared" si="14"/>
        <v>31500</v>
      </c>
      <c r="F96" s="83">
        <f t="shared" si="12"/>
        <v>5152911.9126695758</v>
      </c>
      <c r="G96" s="73"/>
      <c r="L96" s="134">
        <v>105</v>
      </c>
      <c r="M96" s="92">
        <f t="shared" si="17"/>
        <v>0.16</v>
      </c>
      <c r="N96" s="91">
        <f t="shared" si="15"/>
        <v>1300000</v>
      </c>
      <c r="O96" s="91">
        <f t="shared" si="16"/>
        <v>300000</v>
      </c>
      <c r="P96" s="89"/>
      <c r="Q96" s="89"/>
    </row>
    <row r="97" spans="1:17" ht="15.75" thickBot="1" x14ac:dyDescent="0.3">
      <c r="A97" s="82">
        <f t="shared" si="9"/>
        <v>85</v>
      </c>
      <c r="B97" s="83">
        <f t="shared" si="10"/>
        <v>221847.38799004711</v>
      </c>
      <c r="C97" s="83">
        <f t="shared" si="11"/>
        <v>106354.92381353304</v>
      </c>
      <c r="D97" s="83">
        <f t="shared" si="13"/>
        <v>83992.464176514084</v>
      </c>
      <c r="E97" s="83">
        <f t="shared" si="14"/>
        <v>31500</v>
      </c>
      <c r="F97" s="83">
        <f t="shared" si="12"/>
        <v>5046556.9888560427</v>
      </c>
      <c r="G97" s="73"/>
      <c r="L97" s="134">
        <v>104</v>
      </c>
      <c r="M97" s="92">
        <f t="shared" si="17"/>
        <v>0.16</v>
      </c>
      <c r="N97" s="91">
        <f t="shared" si="15"/>
        <v>1300000</v>
      </c>
      <c r="O97" s="91">
        <f t="shared" si="16"/>
        <v>300000</v>
      </c>
      <c r="P97" s="89"/>
      <c r="Q97" s="89"/>
    </row>
    <row r="98" spans="1:17" ht="15.75" thickBot="1" x14ac:dyDescent="0.3">
      <c r="A98" s="82">
        <f t="shared" si="9"/>
        <v>86</v>
      </c>
      <c r="B98" s="83">
        <f t="shared" si="10"/>
        <v>221847.38799004711</v>
      </c>
      <c r="C98" s="83">
        <f t="shared" si="11"/>
        <v>108088.50907169364</v>
      </c>
      <c r="D98" s="83">
        <f t="shared" si="13"/>
        <v>82258.878918353483</v>
      </c>
      <c r="E98" s="83">
        <f t="shared" si="14"/>
        <v>31500</v>
      </c>
      <c r="F98" s="83">
        <f t="shared" si="12"/>
        <v>4938468.479784349</v>
      </c>
      <c r="G98" s="73"/>
      <c r="L98" s="134">
        <v>103</v>
      </c>
      <c r="M98" s="92">
        <f t="shared" si="17"/>
        <v>0.16</v>
      </c>
      <c r="N98" s="91">
        <f t="shared" si="15"/>
        <v>1300000</v>
      </c>
      <c r="O98" s="91">
        <f t="shared" si="16"/>
        <v>300000</v>
      </c>
      <c r="P98" s="89"/>
      <c r="Q98" s="89"/>
    </row>
    <row r="99" spans="1:17" ht="15.75" thickBot="1" x14ac:dyDescent="0.3">
      <c r="A99" s="82">
        <f t="shared" si="9"/>
        <v>87</v>
      </c>
      <c r="B99" s="83">
        <f t="shared" si="10"/>
        <v>221847.38799004711</v>
      </c>
      <c r="C99" s="83">
        <f t="shared" si="11"/>
        <v>109850.35176956223</v>
      </c>
      <c r="D99" s="83">
        <f t="shared" si="13"/>
        <v>80497.036220484879</v>
      </c>
      <c r="E99" s="83">
        <f t="shared" si="14"/>
        <v>31500</v>
      </c>
      <c r="F99" s="83">
        <f t="shared" si="12"/>
        <v>4828618.1280147871</v>
      </c>
      <c r="G99" s="73"/>
      <c r="L99" s="134">
        <v>102</v>
      </c>
      <c r="M99" s="92">
        <f t="shared" si="17"/>
        <v>0.16</v>
      </c>
      <c r="N99" s="91">
        <f t="shared" si="15"/>
        <v>1300000</v>
      </c>
      <c r="O99" s="91">
        <f t="shared" si="16"/>
        <v>300000</v>
      </c>
      <c r="P99" s="89"/>
      <c r="Q99" s="89"/>
    </row>
    <row r="100" spans="1:17" ht="15.75" thickBot="1" x14ac:dyDescent="0.3">
      <c r="A100" s="82">
        <f t="shared" si="9"/>
        <v>88</v>
      </c>
      <c r="B100" s="83">
        <f t="shared" si="10"/>
        <v>221847.38799004711</v>
      </c>
      <c r="C100" s="83">
        <f t="shared" si="11"/>
        <v>111640.91250340609</v>
      </c>
      <c r="D100" s="83">
        <f t="shared" si="13"/>
        <v>78706.475486641022</v>
      </c>
      <c r="E100" s="83">
        <f t="shared" si="14"/>
        <v>31500</v>
      </c>
      <c r="F100" s="83">
        <f t="shared" si="12"/>
        <v>4716977.2155113807</v>
      </c>
      <c r="G100" s="73"/>
      <c r="L100" s="134">
        <v>101</v>
      </c>
      <c r="M100" s="92">
        <f t="shared" si="17"/>
        <v>0.16</v>
      </c>
      <c r="N100" s="91">
        <f t="shared" si="15"/>
        <v>1300000</v>
      </c>
      <c r="O100" s="91">
        <f t="shared" si="16"/>
        <v>300000</v>
      </c>
      <c r="P100" s="89"/>
      <c r="Q100" s="89"/>
    </row>
    <row r="101" spans="1:17" ht="15.75" thickBot="1" x14ac:dyDescent="0.3">
      <c r="A101" s="82">
        <f t="shared" si="9"/>
        <v>89</v>
      </c>
      <c r="B101" s="83">
        <f t="shared" si="10"/>
        <v>221847.38799004711</v>
      </c>
      <c r="C101" s="83">
        <f t="shared" si="11"/>
        <v>113460.65937721159</v>
      </c>
      <c r="D101" s="83">
        <f t="shared" si="13"/>
        <v>76886.728612835504</v>
      </c>
      <c r="E101" s="83">
        <f t="shared" si="14"/>
        <v>31500</v>
      </c>
      <c r="F101" s="83">
        <f t="shared" si="12"/>
        <v>4603516.556134169</v>
      </c>
      <c r="G101" s="73"/>
      <c r="L101" s="134">
        <v>100</v>
      </c>
      <c r="M101" s="92">
        <f t="shared" si="17"/>
        <v>0.16</v>
      </c>
      <c r="N101" s="91">
        <f t="shared" si="15"/>
        <v>1300000</v>
      </c>
      <c r="O101" s="91">
        <f t="shared" si="16"/>
        <v>300000</v>
      </c>
      <c r="P101" s="89"/>
      <c r="Q101" s="89"/>
    </row>
    <row r="102" spans="1:17" ht="15.75" thickBot="1" x14ac:dyDescent="0.3">
      <c r="A102" s="82">
        <f t="shared" si="9"/>
        <v>90</v>
      </c>
      <c r="B102" s="83">
        <f t="shared" si="10"/>
        <v>221847.38799004711</v>
      </c>
      <c r="C102" s="83">
        <f t="shared" si="11"/>
        <v>115310.06812506018</v>
      </c>
      <c r="D102" s="83">
        <f t="shared" si="13"/>
        <v>75037.319864986945</v>
      </c>
      <c r="E102" s="83">
        <f t="shared" si="14"/>
        <v>31500</v>
      </c>
      <c r="F102" s="83">
        <f t="shared" si="12"/>
        <v>4488206.4880091092</v>
      </c>
      <c r="G102" s="73"/>
      <c r="L102" s="134">
        <v>99</v>
      </c>
      <c r="M102" s="92">
        <f t="shared" si="17"/>
        <v>0.16</v>
      </c>
      <c r="N102" s="91">
        <f t="shared" si="15"/>
        <v>1300000</v>
      </c>
      <c r="O102" s="91">
        <f t="shared" si="16"/>
        <v>300000</v>
      </c>
      <c r="P102" s="89"/>
      <c r="Q102" s="89"/>
    </row>
    <row r="103" spans="1:17" ht="15.75" thickBot="1" x14ac:dyDescent="0.3">
      <c r="A103" s="82">
        <f t="shared" si="9"/>
        <v>91</v>
      </c>
      <c r="B103" s="83">
        <f t="shared" si="10"/>
        <v>221847.38799004711</v>
      </c>
      <c r="C103" s="83">
        <f t="shared" si="11"/>
        <v>117189.62223549862</v>
      </c>
      <c r="D103" s="83">
        <f t="shared" si="13"/>
        <v>73157.765754548469</v>
      </c>
      <c r="E103" s="83">
        <f t="shared" si="14"/>
        <v>31500</v>
      </c>
      <c r="F103" s="83">
        <f t="shared" si="12"/>
        <v>4371016.8657736108</v>
      </c>
      <c r="G103" s="73"/>
      <c r="L103" s="134">
        <v>98</v>
      </c>
      <c r="M103" s="92">
        <f t="shared" si="17"/>
        <v>0.16</v>
      </c>
      <c r="N103" s="91">
        <f t="shared" si="15"/>
        <v>1300000</v>
      </c>
      <c r="O103" s="91">
        <f t="shared" si="16"/>
        <v>300000</v>
      </c>
      <c r="P103" s="89"/>
      <c r="Q103" s="89"/>
    </row>
    <row r="104" spans="1:17" ht="15.75" thickBot="1" x14ac:dyDescent="0.3">
      <c r="A104" s="82">
        <f t="shared" si="9"/>
        <v>92</v>
      </c>
      <c r="B104" s="83">
        <f t="shared" si="10"/>
        <v>221847.38799004711</v>
      </c>
      <c r="C104" s="83">
        <f t="shared" si="11"/>
        <v>119099.81307793726</v>
      </c>
      <c r="D104" s="83">
        <f t="shared" si="13"/>
        <v>71247.574912109849</v>
      </c>
      <c r="E104" s="83">
        <f t="shared" si="14"/>
        <v>31500</v>
      </c>
      <c r="F104" s="83">
        <f t="shared" si="12"/>
        <v>4251917.0526956739</v>
      </c>
      <c r="G104" s="73"/>
      <c r="L104" s="134">
        <v>97</v>
      </c>
      <c r="M104" s="92">
        <f t="shared" si="17"/>
        <v>0.16</v>
      </c>
      <c r="N104" s="91">
        <f t="shared" si="15"/>
        <v>1300000</v>
      </c>
      <c r="O104" s="91">
        <f t="shared" si="16"/>
        <v>300000</v>
      </c>
      <c r="P104" s="89"/>
      <c r="Q104" s="89"/>
    </row>
    <row r="105" spans="1:17" ht="15.75" thickBot="1" x14ac:dyDescent="0.3">
      <c r="A105" s="82">
        <f t="shared" si="9"/>
        <v>93</v>
      </c>
      <c r="B105" s="83">
        <f t="shared" si="10"/>
        <v>221847.38799004711</v>
      </c>
      <c r="C105" s="83">
        <f t="shared" si="11"/>
        <v>121041.14003110764</v>
      </c>
      <c r="D105" s="83">
        <f t="shared" si="13"/>
        <v>69306.247958939479</v>
      </c>
      <c r="E105" s="83">
        <f t="shared" si="14"/>
        <v>31500</v>
      </c>
      <c r="F105" s="83">
        <f t="shared" si="12"/>
        <v>4130875.9126645662</v>
      </c>
      <c r="G105" s="73"/>
      <c r="L105" s="134">
        <v>96</v>
      </c>
      <c r="M105" s="92">
        <f t="shared" si="17"/>
        <v>0.16</v>
      </c>
      <c r="N105" s="91">
        <f t="shared" si="15"/>
        <v>1300000</v>
      </c>
      <c r="O105" s="91">
        <f t="shared" si="16"/>
        <v>300000</v>
      </c>
      <c r="P105" s="89"/>
      <c r="Q105" s="89"/>
    </row>
    <row r="106" spans="1:17" ht="15.75" thickBot="1" x14ac:dyDescent="0.3">
      <c r="A106" s="82">
        <f t="shared" si="9"/>
        <v>94</v>
      </c>
      <c r="B106" s="83">
        <f t="shared" si="10"/>
        <v>221847.38799004711</v>
      </c>
      <c r="C106" s="83">
        <f t="shared" si="11"/>
        <v>123014.11061361467</v>
      </c>
      <c r="D106" s="83">
        <f t="shared" si="13"/>
        <v>67333.277376432423</v>
      </c>
      <c r="E106" s="83">
        <f t="shared" si="14"/>
        <v>31500</v>
      </c>
      <c r="F106" s="83">
        <f t="shared" si="12"/>
        <v>4007861.8020509514</v>
      </c>
      <c r="G106" s="73"/>
      <c r="L106" s="134">
        <v>95</v>
      </c>
      <c r="M106" s="92">
        <f t="shared" si="17"/>
        <v>0.16</v>
      </c>
      <c r="N106" s="91">
        <f t="shared" si="15"/>
        <v>1300000</v>
      </c>
      <c r="O106" s="91">
        <f t="shared" si="16"/>
        <v>300000</v>
      </c>
      <c r="P106" s="89"/>
      <c r="Q106" s="89"/>
    </row>
    <row r="107" spans="1:17" ht="15.75" thickBot="1" x14ac:dyDescent="0.3">
      <c r="A107" s="82">
        <f t="shared" si="9"/>
        <v>95</v>
      </c>
      <c r="B107" s="83">
        <f t="shared" si="10"/>
        <v>221847.38799004711</v>
      </c>
      <c r="C107" s="83">
        <f t="shared" si="11"/>
        <v>125019.24061661662</v>
      </c>
      <c r="D107" s="83">
        <f t="shared" si="13"/>
        <v>65328.147373430504</v>
      </c>
      <c r="E107" s="83">
        <f t="shared" si="14"/>
        <v>31500</v>
      </c>
      <c r="F107" s="83">
        <f t="shared" si="12"/>
        <v>3882842.5614343346</v>
      </c>
      <c r="G107" s="73"/>
      <c r="L107" s="134">
        <v>94</v>
      </c>
      <c r="M107" s="92">
        <f t="shared" si="17"/>
        <v>0.16</v>
      </c>
      <c r="N107" s="91">
        <f t="shared" si="15"/>
        <v>1300000</v>
      </c>
      <c r="O107" s="91">
        <f t="shared" si="16"/>
        <v>300000</v>
      </c>
      <c r="P107" s="89"/>
      <c r="Q107" s="89"/>
    </row>
    <row r="108" spans="1:17" ht="15.75" thickBot="1" x14ac:dyDescent="0.3">
      <c r="A108" s="82">
        <f t="shared" si="9"/>
        <v>96</v>
      </c>
      <c r="B108" s="83">
        <f t="shared" si="10"/>
        <v>221847.38799004711</v>
      </c>
      <c r="C108" s="83">
        <f t="shared" si="11"/>
        <v>127057.05423866745</v>
      </c>
      <c r="D108" s="83">
        <f t="shared" si="13"/>
        <v>63290.33375137965</v>
      </c>
      <c r="E108" s="83">
        <f t="shared" si="14"/>
        <v>31500</v>
      </c>
      <c r="F108" s="83">
        <f t="shared" si="12"/>
        <v>3755785.5071956674</v>
      </c>
      <c r="G108" s="73"/>
      <c r="L108" s="134">
        <v>93</v>
      </c>
      <c r="M108" s="92">
        <f t="shared" si="17"/>
        <v>0.16</v>
      </c>
      <c r="N108" s="91">
        <f t="shared" si="15"/>
        <v>1300000</v>
      </c>
      <c r="O108" s="91">
        <f t="shared" si="16"/>
        <v>300000</v>
      </c>
      <c r="P108" s="89"/>
      <c r="Q108" s="89"/>
    </row>
    <row r="109" spans="1:17" ht="15.75" thickBot="1" x14ac:dyDescent="0.3">
      <c r="A109" s="82">
        <f t="shared" si="9"/>
        <v>97</v>
      </c>
      <c r="B109" s="83">
        <f t="shared" si="10"/>
        <v>221847.38799004711</v>
      </c>
      <c r="C109" s="83">
        <f t="shared" si="11"/>
        <v>129128.08422275772</v>
      </c>
      <c r="D109" s="83">
        <f t="shared" si="13"/>
        <v>61219.30376728937</v>
      </c>
      <c r="E109" s="83">
        <f t="shared" si="14"/>
        <v>31500</v>
      </c>
      <c r="F109" s="83">
        <f t="shared" si="12"/>
        <v>3626657.4229729096</v>
      </c>
      <c r="G109" s="73"/>
      <c r="L109" s="134">
        <v>92</v>
      </c>
      <c r="M109" s="92">
        <f t="shared" si="17"/>
        <v>0.16</v>
      </c>
      <c r="N109" s="91">
        <f t="shared" si="15"/>
        <v>1300000</v>
      </c>
      <c r="O109" s="91">
        <f t="shared" si="16"/>
        <v>300000</v>
      </c>
      <c r="P109" s="89"/>
      <c r="Q109" s="89"/>
    </row>
    <row r="110" spans="1:17" ht="15.75" thickBot="1" x14ac:dyDescent="0.3">
      <c r="A110" s="82">
        <f t="shared" si="9"/>
        <v>98</v>
      </c>
      <c r="B110" s="83">
        <f t="shared" si="10"/>
        <v>221847.38799004711</v>
      </c>
      <c r="C110" s="83">
        <f t="shared" si="11"/>
        <v>131232.87199558868</v>
      </c>
      <c r="D110" s="83">
        <f t="shared" si="13"/>
        <v>59114.515994458423</v>
      </c>
      <c r="E110" s="83">
        <f t="shared" si="14"/>
        <v>31500</v>
      </c>
      <c r="F110" s="83">
        <f t="shared" si="12"/>
        <v>3495424.5509773209</v>
      </c>
      <c r="G110" s="73"/>
      <c r="L110" s="134">
        <v>91</v>
      </c>
      <c r="M110" s="92">
        <f t="shared" si="17"/>
        <v>0.16</v>
      </c>
      <c r="N110" s="91">
        <f t="shared" si="15"/>
        <v>1300000</v>
      </c>
      <c r="O110" s="91">
        <f t="shared" si="16"/>
        <v>300000</v>
      </c>
      <c r="P110" s="89"/>
      <c r="Q110" s="89"/>
    </row>
    <row r="111" spans="1:17" ht="15.75" thickBot="1" x14ac:dyDescent="0.3">
      <c r="A111" s="82">
        <f t="shared" si="9"/>
        <v>99</v>
      </c>
      <c r="B111" s="83">
        <f t="shared" si="10"/>
        <v>221847.38799004711</v>
      </c>
      <c r="C111" s="83">
        <f t="shared" si="11"/>
        <v>133371.96780911679</v>
      </c>
      <c r="D111" s="83">
        <f t="shared" si="13"/>
        <v>56975.420180930327</v>
      </c>
      <c r="E111" s="83">
        <f t="shared" si="14"/>
        <v>31500</v>
      </c>
      <c r="F111" s="83">
        <f t="shared" si="12"/>
        <v>3362052.5831682039</v>
      </c>
      <c r="G111" s="73"/>
      <c r="L111" s="134">
        <v>90</v>
      </c>
      <c r="M111" s="92">
        <f t="shared" si="17"/>
        <v>0.16</v>
      </c>
      <c r="N111" s="91">
        <f t="shared" si="15"/>
        <v>1300000</v>
      </c>
      <c r="O111" s="91">
        <f t="shared" si="16"/>
        <v>300000</v>
      </c>
      <c r="P111" s="89"/>
      <c r="Q111" s="89"/>
    </row>
    <row r="112" spans="1:17" ht="15.75" thickBot="1" x14ac:dyDescent="0.3">
      <c r="A112" s="82">
        <f t="shared" si="9"/>
        <v>100</v>
      </c>
      <c r="B112" s="83">
        <f t="shared" si="10"/>
        <v>221847.38799004711</v>
      </c>
      <c r="C112" s="83">
        <f t="shared" si="11"/>
        <v>135545.93088440539</v>
      </c>
      <c r="D112" s="83">
        <f t="shared" si="13"/>
        <v>54801.457105641719</v>
      </c>
      <c r="E112" s="83">
        <f t="shared" si="14"/>
        <v>31500</v>
      </c>
      <c r="F112" s="83">
        <f t="shared" si="12"/>
        <v>3226506.6522837984</v>
      </c>
      <c r="G112" s="73"/>
      <c r="L112" s="134">
        <v>89</v>
      </c>
      <c r="M112" s="92">
        <f t="shared" si="17"/>
        <v>0.16</v>
      </c>
      <c r="N112" s="91">
        <f t="shared" si="15"/>
        <v>1300000</v>
      </c>
      <c r="O112" s="91">
        <f t="shared" si="16"/>
        <v>300000</v>
      </c>
      <c r="P112" s="89"/>
      <c r="Q112" s="89"/>
    </row>
    <row r="113" spans="1:17" ht="15.75" thickBot="1" x14ac:dyDescent="0.3">
      <c r="A113" s="82">
        <f t="shared" si="9"/>
        <v>101</v>
      </c>
      <c r="B113" s="83">
        <f t="shared" si="10"/>
        <v>221847.38799004711</v>
      </c>
      <c r="C113" s="83">
        <f t="shared" si="11"/>
        <v>137755.32955782121</v>
      </c>
      <c r="D113" s="83">
        <f t="shared" si="13"/>
        <v>52592.058432225909</v>
      </c>
      <c r="E113" s="83">
        <f t="shared" si="14"/>
        <v>31500</v>
      </c>
      <c r="F113" s="83">
        <f t="shared" si="12"/>
        <v>3088751.3227259773</v>
      </c>
      <c r="G113" s="73"/>
      <c r="L113" s="134">
        <v>88</v>
      </c>
      <c r="M113" s="92">
        <f t="shared" si="17"/>
        <v>0.16</v>
      </c>
      <c r="N113" s="91">
        <f t="shared" si="15"/>
        <v>1300000</v>
      </c>
      <c r="O113" s="91">
        <f t="shared" si="16"/>
        <v>300000</v>
      </c>
      <c r="P113" s="89"/>
      <c r="Q113" s="89"/>
    </row>
    <row r="114" spans="1:17" ht="15.75" thickBot="1" x14ac:dyDescent="0.3">
      <c r="A114" s="82">
        <f t="shared" si="9"/>
        <v>102</v>
      </c>
      <c r="B114" s="83">
        <f t="shared" si="10"/>
        <v>221847.38799004711</v>
      </c>
      <c r="C114" s="83">
        <f t="shared" si="11"/>
        <v>140000.74142961367</v>
      </c>
      <c r="D114" s="83">
        <f t="shared" si="13"/>
        <v>50346.646560433423</v>
      </c>
      <c r="E114" s="83">
        <f t="shared" si="14"/>
        <v>31500</v>
      </c>
      <c r="F114" s="83">
        <f t="shared" si="12"/>
        <v>2948750.5812963638</v>
      </c>
      <c r="G114" s="73"/>
      <c r="L114" s="134">
        <v>87</v>
      </c>
      <c r="M114" s="92">
        <f t="shared" si="17"/>
        <v>0.16</v>
      </c>
      <c r="N114" s="91">
        <f t="shared" si="15"/>
        <v>1300000</v>
      </c>
      <c r="O114" s="91">
        <f t="shared" si="16"/>
        <v>300000</v>
      </c>
      <c r="P114" s="89"/>
      <c r="Q114" s="89"/>
    </row>
    <row r="115" spans="1:17" ht="15.75" thickBot="1" x14ac:dyDescent="0.3">
      <c r="A115" s="82">
        <f t="shared" si="9"/>
        <v>103</v>
      </c>
      <c r="B115" s="83">
        <f t="shared" si="10"/>
        <v>221847.38799004711</v>
      </c>
      <c r="C115" s="83">
        <f t="shared" si="11"/>
        <v>142282.75351491637</v>
      </c>
      <c r="D115" s="83">
        <f t="shared" si="13"/>
        <v>48064.634475130726</v>
      </c>
      <c r="E115" s="83">
        <f t="shared" si="14"/>
        <v>31500</v>
      </c>
      <c r="F115" s="83">
        <f t="shared" si="12"/>
        <v>2806467.8277814477</v>
      </c>
      <c r="G115" s="73"/>
      <c r="L115" s="134">
        <v>86</v>
      </c>
      <c r="M115" s="92">
        <f t="shared" si="17"/>
        <v>0.16</v>
      </c>
      <c r="N115" s="91">
        <f t="shared" si="15"/>
        <v>1300000</v>
      </c>
      <c r="O115" s="91">
        <f t="shared" si="16"/>
        <v>300000</v>
      </c>
      <c r="P115" s="89"/>
      <c r="Q115" s="89"/>
    </row>
    <row r="116" spans="1:17" ht="15.75" thickBot="1" x14ac:dyDescent="0.3">
      <c r="A116" s="82">
        <f t="shared" si="9"/>
        <v>104</v>
      </c>
      <c r="B116" s="83">
        <f t="shared" si="10"/>
        <v>221847.38799004711</v>
      </c>
      <c r="C116" s="83">
        <f t="shared" si="11"/>
        <v>144601.96239720951</v>
      </c>
      <c r="D116" s="83">
        <f t="shared" si="13"/>
        <v>45745.425592837593</v>
      </c>
      <c r="E116" s="83">
        <f t="shared" si="14"/>
        <v>31500</v>
      </c>
      <c r="F116" s="83">
        <f t="shared" si="12"/>
        <v>2661865.8653842383</v>
      </c>
      <c r="G116" s="73"/>
      <c r="L116" s="134">
        <v>85</v>
      </c>
      <c r="M116" s="92">
        <f t="shared" si="17"/>
        <v>0.16</v>
      </c>
      <c r="N116" s="91">
        <f t="shared" si="15"/>
        <v>1300000</v>
      </c>
      <c r="O116" s="91">
        <f t="shared" si="16"/>
        <v>300000</v>
      </c>
      <c r="P116" s="89"/>
      <c r="Q116" s="89"/>
    </row>
    <row r="117" spans="1:17" ht="15.75" thickBot="1" x14ac:dyDescent="0.3">
      <c r="A117" s="82">
        <f t="shared" si="9"/>
        <v>105</v>
      </c>
      <c r="B117" s="83">
        <f t="shared" si="10"/>
        <v>221847.38799004711</v>
      </c>
      <c r="C117" s="83">
        <f t="shared" si="11"/>
        <v>146958.97438428403</v>
      </c>
      <c r="D117" s="83">
        <f t="shared" si="13"/>
        <v>43388.413605763082</v>
      </c>
      <c r="E117" s="83">
        <f t="shared" si="14"/>
        <v>31500</v>
      </c>
      <c r="F117" s="83">
        <f t="shared" si="12"/>
        <v>2514906.8909999542</v>
      </c>
      <c r="G117" s="73"/>
      <c r="L117" s="134">
        <v>84</v>
      </c>
      <c r="M117" s="92">
        <f t="shared" si="17"/>
        <v>0.16</v>
      </c>
      <c r="N117" s="91">
        <f t="shared" si="15"/>
        <v>1300000</v>
      </c>
      <c r="O117" s="91">
        <f t="shared" si="16"/>
        <v>300000</v>
      </c>
      <c r="P117" s="89"/>
      <c r="Q117" s="89"/>
    </row>
    <row r="118" spans="1:17" ht="15.75" thickBot="1" x14ac:dyDescent="0.3">
      <c r="A118" s="82">
        <f t="shared" si="9"/>
        <v>106</v>
      </c>
      <c r="B118" s="83">
        <f t="shared" si="10"/>
        <v>221847.38799004711</v>
      </c>
      <c r="C118" s="83">
        <f t="shared" si="11"/>
        <v>149354.40566674786</v>
      </c>
      <c r="D118" s="83">
        <f t="shared" si="13"/>
        <v>40992.982323299249</v>
      </c>
      <c r="E118" s="83">
        <f t="shared" si="14"/>
        <v>31500</v>
      </c>
      <c r="F118" s="83">
        <f t="shared" si="12"/>
        <v>2365552.4853332061</v>
      </c>
      <c r="G118" s="73"/>
      <c r="L118" s="134">
        <v>83</v>
      </c>
      <c r="M118" s="92">
        <f t="shared" si="17"/>
        <v>0.16</v>
      </c>
      <c r="N118" s="91">
        <f t="shared" si="15"/>
        <v>1300000</v>
      </c>
      <c r="O118" s="91">
        <f t="shared" si="16"/>
        <v>300000</v>
      </c>
      <c r="P118" s="89"/>
      <c r="Q118" s="89"/>
    </row>
    <row r="119" spans="1:17" ht="15.75" thickBot="1" x14ac:dyDescent="0.3">
      <c r="A119" s="82">
        <f t="shared" si="9"/>
        <v>107</v>
      </c>
      <c r="B119" s="83">
        <f t="shared" si="10"/>
        <v>221847.38799004711</v>
      </c>
      <c r="C119" s="83">
        <f t="shared" si="11"/>
        <v>151788.88247911585</v>
      </c>
      <c r="D119" s="83">
        <f t="shared" si="13"/>
        <v>38558.50551093126</v>
      </c>
      <c r="E119" s="83">
        <f t="shared" si="14"/>
        <v>31500</v>
      </c>
      <c r="F119" s="83">
        <f t="shared" si="12"/>
        <v>2213763.6028540903</v>
      </c>
      <c r="G119" s="73"/>
      <c r="L119" s="134">
        <v>82</v>
      </c>
      <c r="M119" s="92">
        <f t="shared" si="17"/>
        <v>0.16</v>
      </c>
      <c r="N119" s="91">
        <f t="shared" si="15"/>
        <v>1300000</v>
      </c>
      <c r="O119" s="91">
        <f t="shared" si="16"/>
        <v>300000</v>
      </c>
      <c r="P119" s="89"/>
      <c r="Q119" s="89"/>
    </row>
    <row r="120" spans="1:17" ht="15.75" thickBot="1" x14ac:dyDescent="0.3">
      <c r="A120" s="82">
        <f t="shared" si="9"/>
        <v>108</v>
      </c>
      <c r="B120" s="83">
        <f t="shared" si="10"/>
        <v>221847.38799004711</v>
      </c>
      <c r="C120" s="83">
        <f t="shared" si="11"/>
        <v>154263.04126352543</v>
      </c>
      <c r="D120" s="83">
        <f t="shared" si="13"/>
        <v>36084.346726521668</v>
      </c>
      <c r="E120" s="83">
        <f t="shared" si="14"/>
        <v>31500</v>
      </c>
      <c r="F120" s="83">
        <f t="shared" si="12"/>
        <v>2059500.5615905649</v>
      </c>
      <c r="G120" s="73"/>
      <c r="L120" s="134">
        <v>81</v>
      </c>
      <c r="M120" s="92">
        <f t="shared" si="17"/>
        <v>0.16</v>
      </c>
      <c r="N120" s="91">
        <f t="shared" si="15"/>
        <v>1300000</v>
      </c>
      <c r="O120" s="91">
        <f t="shared" si="16"/>
        <v>300000</v>
      </c>
      <c r="P120" s="89"/>
      <c r="Q120" s="89"/>
    </row>
    <row r="121" spans="1:17" ht="15.75" thickBot="1" x14ac:dyDescent="0.3">
      <c r="A121" s="82">
        <f t="shared" si="9"/>
        <v>109</v>
      </c>
      <c r="B121" s="83">
        <f t="shared" si="10"/>
        <v>221847.38799004711</v>
      </c>
      <c r="C121" s="83">
        <f t="shared" si="11"/>
        <v>156777.52883612091</v>
      </c>
      <c r="D121" s="83">
        <f t="shared" si="13"/>
        <v>33569.859153926205</v>
      </c>
      <c r="E121" s="83">
        <f t="shared" si="14"/>
        <v>31500</v>
      </c>
      <c r="F121" s="83">
        <f t="shared" si="12"/>
        <v>1902723.0327544441</v>
      </c>
      <c r="G121" s="73"/>
      <c r="L121" s="134">
        <v>80</v>
      </c>
      <c r="M121" s="92">
        <f t="shared" si="17"/>
        <v>0.16</v>
      </c>
      <c r="N121" s="91">
        <f t="shared" si="15"/>
        <v>1300000</v>
      </c>
      <c r="O121" s="91">
        <f t="shared" si="16"/>
        <v>300000</v>
      </c>
      <c r="P121" s="89"/>
      <c r="Q121" s="89"/>
    </row>
    <row r="122" spans="1:17" ht="15.75" thickBot="1" x14ac:dyDescent="0.3">
      <c r="A122" s="82">
        <f t="shared" si="9"/>
        <v>110</v>
      </c>
      <c r="B122" s="83">
        <f t="shared" si="10"/>
        <v>221847.38799004711</v>
      </c>
      <c r="C122" s="83">
        <f t="shared" si="11"/>
        <v>159333.00255614967</v>
      </c>
      <c r="D122" s="83">
        <f t="shared" si="13"/>
        <v>31014.385433897434</v>
      </c>
      <c r="E122" s="83">
        <f t="shared" si="14"/>
        <v>31500</v>
      </c>
      <c r="F122" s="83">
        <f t="shared" si="12"/>
        <v>1743390.0301982944</v>
      </c>
      <c r="G122" s="73"/>
      <c r="L122" s="134">
        <v>79</v>
      </c>
      <c r="M122" s="92">
        <f t="shared" si="17"/>
        <v>0.16</v>
      </c>
      <c r="N122" s="91">
        <f t="shared" si="15"/>
        <v>1300000</v>
      </c>
      <c r="O122" s="91">
        <f t="shared" si="16"/>
        <v>300000</v>
      </c>
      <c r="P122" s="89"/>
      <c r="Q122" s="89"/>
    </row>
    <row r="123" spans="1:17" ht="15.75" thickBot="1" x14ac:dyDescent="0.3">
      <c r="A123" s="82">
        <f t="shared" si="9"/>
        <v>111</v>
      </c>
      <c r="B123" s="83">
        <f t="shared" si="10"/>
        <v>221847.38799004711</v>
      </c>
      <c r="C123" s="83">
        <f t="shared" si="11"/>
        <v>161930.13049781491</v>
      </c>
      <c r="D123" s="83">
        <f t="shared" si="13"/>
        <v>28417.257492232198</v>
      </c>
      <c r="E123" s="83">
        <f t="shared" si="14"/>
        <v>31500</v>
      </c>
      <c r="F123" s="83">
        <f t="shared" si="12"/>
        <v>1581459.8997004796</v>
      </c>
      <c r="G123" s="73"/>
      <c r="L123" s="134">
        <v>78</v>
      </c>
      <c r="M123" s="92">
        <f t="shared" si="17"/>
        <v>0.16</v>
      </c>
      <c r="N123" s="91">
        <f t="shared" si="15"/>
        <v>1300000</v>
      </c>
      <c r="O123" s="91">
        <f t="shared" si="16"/>
        <v>300000</v>
      </c>
      <c r="P123" s="89"/>
      <c r="Q123" s="89"/>
    </row>
    <row r="124" spans="1:17" ht="15.75" thickBot="1" x14ac:dyDescent="0.3">
      <c r="A124" s="82">
        <f t="shared" si="9"/>
        <v>112</v>
      </c>
      <c r="B124" s="83">
        <f t="shared" si="10"/>
        <v>221847.38799004711</v>
      </c>
      <c r="C124" s="83">
        <f t="shared" si="11"/>
        <v>164569.59162492928</v>
      </c>
      <c r="D124" s="83">
        <f t="shared" si="13"/>
        <v>25777.796365117814</v>
      </c>
      <c r="E124" s="83">
        <f t="shared" si="14"/>
        <v>31500</v>
      </c>
      <c r="F124" s="83">
        <f t="shared" si="12"/>
        <v>1416890.3080755502</v>
      </c>
      <c r="G124" s="73"/>
      <c r="L124" s="134">
        <v>77</v>
      </c>
      <c r="M124" s="92">
        <f t="shared" si="17"/>
        <v>0.16</v>
      </c>
      <c r="N124" s="91">
        <f t="shared" si="15"/>
        <v>1300000</v>
      </c>
      <c r="O124" s="91">
        <f t="shared" si="16"/>
        <v>300000</v>
      </c>
      <c r="P124" s="89"/>
      <c r="Q124" s="89"/>
    </row>
    <row r="125" spans="1:17" ht="15.75" thickBot="1" x14ac:dyDescent="0.3">
      <c r="A125" s="82">
        <f t="shared" si="9"/>
        <v>113</v>
      </c>
      <c r="B125" s="83">
        <f t="shared" si="10"/>
        <v>221847.38799004711</v>
      </c>
      <c r="C125" s="83">
        <f t="shared" si="11"/>
        <v>167252.07596841565</v>
      </c>
      <c r="D125" s="83">
        <f t="shared" si="13"/>
        <v>23095.312021631467</v>
      </c>
      <c r="E125" s="83">
        <f t="shared" si="14"/>
        <v>31500</v>
      </c>
      <c r="F125" s="83">
        <f t="shared" si="12"/>
        <v>1249638.2321071345</v>
      </c>
      <c r="G125" s="73"/>
      <c r="L125" s="134">
        <v>76</v>
      </c>
      <c r="M125" s="92">
        <f t="shared" si="17"/>
        <v>0.16</v>
      </c>
      <c r="N125" s="91">
        <f t="shared" si="15"/>
        <v>1300000</v>
      </c>
      <c r="O125" s="91">
        <f t="shared" si="16"/>
        <v>300000</v>
      </c>
      <c r="P125" s="89"/>
      <c r="Q125" s="89"/>
    </row>
    <row r="126" spans="1:17" ht="15.75" thickBot="1" x14ac:dyDescent="0.3">
      <c r="A126" s="82">
        <f t="shared" si="9"/>
        <v>114</v>
      </c>
      <c r="B126" s="83">
        <f t="shared" si="10"/>
        <v>221847.38799004711</v>
      </c>
      <c r="C126" s="83">
        <f t="shared" si="11"/>
        <v>169978.28480670083</v>
      </c>
      <c r="D126" s="83">
        <f t="shared" si="13"/>
        <v>20369.103183346291</v>
      </c>
      <c r="E126" s="83">
        <f t="shared" si="14"/>
        <v>31500</v>
      </c>
      <c r="F126" s="83">
        <f t="shared" si="12"/>
        <v>1079659.9473004336</v>
      </c>
      <c r="G126" s="73"/>
      <c r="L126" s="134">
        <v>75</v>
      </c>
      <c r="M126" s="92">
        <f t="shared" si="17"/>
        <v>0.16</v>
      </c>
      <c r="N126" s="91">
        <f t="shared" si="15"/>
        <v>1300000</v>
      </c>
      <c r="O126" s="91">
        <f t="shared" si="16"/>
        <v>300000</v>
      </c>
      <c r="P126" s="89"/>
      <c r="Q126" s="89"/>
    </row>
    <row r="127" spans="1:17" ht="15.75" thickBot="1" x14ac:dyDescent="0.3">
      <c r="A127" s="82">
        <f t="shared" si="9"/>
        <v>115</v>
      </c>
      <c r="B127" s="83">
        <f t="shared" si="10"/>
        <v>221847.38799004711</v>
      </c>
      <c r="C127" s="83">
        <f t="shared" si="11"/>
        <v>172748.93084905006</v>
      </c>
      <c r="D127" s="83">
        <f t="shared" si="13"/>
        <v>17598.457140997067</v>
      </c>
      <c r="E127" s="83">
        <f t="shared" si="14"/>
        <v>31500</v>
      </c>
      <c r="F127" s="83">
        <f t="shared" si="12"/>
        <v>906911.01645138359</v>
      </c>
      <c r="G127" s="73"/>
      <c r="L127" s="134">
        <v>74</v>
      </c>
      <c r="M127" s="92">
        <f t="shared" si="17"/>
        <v>0.16</v>
      </c>
      <c r="N127" s="91">
        <f t="shared" si="15"/>
        <v>1300000</v>
      </c>
      <c r="O127" s="91">
        <f t="shared" si="16"/>
        <v>300000</v>
      </c>
      <c r="P127" s="89"/>
      <c r="Q127" s="89"/>
    </row>
    <row r="128" spans="1:17" ht="15.75" thickBot="1" x14ac:dyDescent="0.3">
      <c r="A128" s="82">
        <f t="shared" si="9"/>
        <v>116</v>
      </c>
      <c r="B128" s="83">
        <f t="shared" si="10"/>
        <v>221847.38799004711</v>
      </c>
      <c r="C128" s="83">
        <f t="shared" si="11"/>
        <v>175564.73842188955</v>
      </c>
      <c r="D128" s="83">
        <f t="shared" si="13"/>
        <v>14782.649568157551</v>
      </c>
      <c r="E128" s="83">
        <f t="shared" si="14"/>
        <v>31500</v>
      </c>
      <c r="F128" s="83">
        <f t="shared" si="12"/>
        <v>731346.27802949399</v>
      </c>
      <c r="G128" s="73"/>
      <c r="L128" s="134">
        <v>73</v>
      </c>
      <c r="M128" s="92">
        <f t="shared" si="17"/>
        <v>0.16</v>
      </c>
      <c r="N128" s="91">
        <f t="shared" si="15"/>
        <v>1300000</v>
      </c>
      <c r="O128" s="91">
        <f t="shared" si="16"/>
        <v>300000</v>
      </c>
      <c r="P128" s="89"/>
      <c r="Q128" s="89"/>
    </row>
    <row r="129" spans="1:17" ht="15.75" thickBot="1" x14ac:dyDescent="0.3">
      <c r="A129" s="82">
        <f t="shared" si="9"/>
        <v>117</v>
      </c>
      <c r="B129" s="83">
        <f t="shared" si="10"/>
        <v>221847.38799004711</v>
      </c>
      <c r="C129" s="83">
        <f t="shared" si="11"/>
        <v>178426.44365816636</v>
      </c>
      <c r="D129" s="83">
        <f t="shared" si="13"/>
        <v>11920.944331880752</v>
      </c>
      <c r="E129" s="83">
        <f t="shared" si="14"/>
        <v>31500</v>
      </c>
      <c r="F129" s="83">
        <f t="shared" si="12"/>
        <v>552919.83437132766</v>
      </c>
      <c r="G129" s="73"/>
      <c r="L129" s="134">
        <v>72</v>
      </c>
      <c r="M129" s="92">
        <f t="shared" si="17"/>
        <v>0.16</v>
      </c>
      <c r="N129" s="91">
        <f t="shared" si="15"/>
        <v>1300000</v>
      </c>
      <c r="O129" s="91">
        <f t="shared" si="16"/>
        <v>300000</v>
      </c>
      <c r="P129" s="89"/>
      <c r="Q129" s="89"/>
    </row>
    <row r="130" spans="1:17" ht="15.75" thickBot="1" x14ac:dyDescent="0.3">
      <c r="A130" s="82">
        <f t="shared" si="9"/>
        <v>118</v>
      </c>
      <c r="B130" s="83">
        <f t="shared" si="10"/>
        <v>221847.38799004711</v>
      </c>
      <c r="C130" s="83">
        <f t="shared" si="11"/>
        <v>181334.79468979448</v>
      </c>
      <c r="D130" s="83">
        <f t="shared" si="13"/>
        <v>9012.5933002526399</v>
      </c>
      <c r="E130" s="83">
        <f t="shared" si="14"/>
        <v>31500</v>
      </c>
      <c r="F130" s="83">
        <f t="shared" si="12"/>
        <v>371585.03968153318</v>
      </c>
      <c r="G130" s="73"/>
      <c r="L130" s="134">
        <v>71</v>
      </c>
      <c r="M130" s="92">
        <f t="shared" si="17"/>
        <v>0.16</v>
      </c>
      <c r="N130" s="91">
        <f t="shared" si="15"/>
        <v>1300000</v>
      </c>
      <c r="O130" s="91">
        <f t="shared" si="16"/>
        <v>300000</v>
      </c>
      <c r="P130" s="89"/>
      <c r="Q130" s="89"/>
    </row>
    <row r="131" spans="1:17" ht="15.75" thickBot="1" x14ac:dyDescent="0.3">
      <c r="A131" s="82">
        <f t="shared" si="9"/>
        <v>119</v>
      </c>
      <c r="B131" s="83">
        <f t="shared" si="10"/>
        <v>221847.38799004711</v>
      </c>
      <c r="C131" s="83">
        <f t="shared" si="11"/>
        <v>184290.55184323812</v>
      </c>
      <c r="D131" s="83">
        <f t="shared" si="13"/>
        <v>6056.8361468089906</v>
      </c>
      <c r="E131" s="83">
        <f t="shared" si="14"/>
        <v>31500</v>
      </c>
      <c r="F131" s="83">
        <f t="shared" si="12"/>
        <v>187294.48783829506</v>
      </c>
      <c r="G131" s="73"/>
      <c r="L131" s="134">
        <v>70</v>
      </c>
      <c r="M131" s="92">
        <f t="shared" si="17"/>
        <v>0.16</v>
      </c>
      <c r="N131" s="91">
        <f t="shared" si="15"/>
        <v>1300000</v>
      </c>
      <c r="O131" s="91">
        <f t="shared" si="16"/>
        <v>300000</v>
      </c>
      <c r="P131" s="89"/>
      <c r="Q131" s="89"/>
    </row>
    <row r="132" spans="1:17" ht="15.75" thickBot="1" x14ac:dyDescent="0.3">
      <c r="A132" s="82">
        <f t="shared" si="9"/>
        <v>120</v>
      </c>
      <c r="B132" s="83">
        <f t="shared" si="10"/>
        <v>221847.38799004711</v>
      </c>
      <c r="C132" s="83">
        <f t="shared" si="11"/>
        <v>187294.48783828289</v>
      </c>
      <c r="D132" s="83">
        <f t="shared" si="13"/>
        <v>3052.9001517642091</v>
      </c>
      <c r="E132" s="83">
        <f t="shared" si="14"/>
        <v>31500</v>
      </c>
      <c r="F132" s="83">
        <f t="shared" si="12"/>
        <v>1.2165401130914688E-8</v>
      </c>
      <c r="G132" s="73"/>
      <c r="L132" s="134">
        <v>69</v>
      </c>
      <c r="M132" s="92">
        <f t="shared" si="17"/>
        <v>0.16</v>
      </c>
      <c r="N132" s="91">
        <f t="shared" si="15"/>
        <v>1300000</v>
      </c>
      <c r="O132" s="91">
        <f t="shared" si="16"/>
        <v>300000</v>
      </c>
      <c r="P132" s="89"/>
      <c r="Q132" s="89"/>
    </row>
    <row r="133" spans="1:17" ht="15.75" thickBot="1" x14ac:dyDescent="0.3">
      <c r="A133" s="82" t="str">
        <f t="shared" si="9"/>
        <v xml:space="preserve"> </v>
      </c>
      <c r="B133" s="83" t="str">
        <f t="shared" si="10"/>
        <v xml:space="preserve"> </v>
      </c>
      <c r="C133" s="83" t="str">
        <f t="shared" si="11"/>
        <v xml:space="preserve"> </v>
      </c>
      <c r="D133" s="83" t="str">
        <f t="shared" si="13"/>
        <v xml:space="preserve"> </v>
      </c>
      <c r="E133" s="83" t="str">
        <f t="shared" si="14"/>
        <v xml:space="preserve"> </v>
      </c>
      <c r="F133" s="83" t="str">
        <f t="shared" si="12"/>
        <v xml:space="preserve"> </v>
      </c>
      <c r="G133" s="73"/>
      <c r="L133" s="134">
        <v>68</v>
      </c>
      <c r="M133" s="92">
        <f t="shared" si="17"/>
        <v>0.16</v>
      </c>
      <c r="N133" s="91">
        <f t="shared" si="15"/>
        <v>1300000</v>
      </c>
      <c r="O133" s="91">
        <f t="shared" si="16"/>
        <v>300000</v>
      </c>
      <c r="P133" s="89"/>
      <c r="Q133" s="89"/>
    </row>
    <row r="134" spans="1:17" ht="15.75" thickBot="1" x14ac:dyDescent="0.3">
      <c r="A134" s="82" t="str">
        <f t="shared" si="9"/>
        <v xml:space="preserve"> </v>
      </c>
      <c r="B134" s="83" t="str">
        <f t="shared" si="10"/>
        <v xml:space="preserve"> </v>
      </c>
      <c r="C134" s="83" t="str">
        <f t="shared" si="11"/>
        <v xml:space="preserve"> </v>
      </c>
      <c r="D134" s="83" t="str">
        <f t="shared" si="13"/>
        <v xml:space="preserve"> </v>
      </c>
      <c r="E134" s="83" t="str">
        <f t="shared" si="14"/>
        <v xml:space="preserve"> </v>
      </c>
      <c r="F134" s="83" t="str">
        <f t="shared" si="12"/>
        <v xml:space="preserve"> </v>
      </c>
      <c r="G134" s="73"/>
      <c r="L134" s="134">
        <v>67</v>
      </c>
      <c r="M134" s="92">
        <f t="shared" si="17"/>
        <v>0.16</v>
      </c>
      <c r="N134" s="91">
        <f t="shared" si="15"/>
        <v>1300000</v>
      </c>
      <c r="O134" s="91">
        <f t="shared" si="16"/>
        <v>300000</v>
      </c>
      <c r="P134" s="89"/>
      <c r="Q134" s="89"/>
    </row>
    <row r="135" spans="1:17" ht="15.75" thickBot="1" x14ac:dyDescent="0.3">
      <c r="A135" s="82" t="str">
        <f t="shared" si="9"/>
        <v xml:space="preserve"> </v>
      </c>
      <c r="B135" s="83" t="str">
        <f t="shared" si="10"/>
        <v xml:space="preserve"> </v>
      </c>
      <c r="C135" s="83" t="str">
        <f t="shared" si="11"/>
        <v xml:space="preserve"> </v>
      </c>
      <c r="D135" s="83" t="str">
        <f t="shared" si="13"/>
        <v xml:space="preserve"> </v>
      </c>
      <c r="E135" s="83" t="str">
        <f t="shared" si="14"/>
        <v xml:space="preserve"> </v>
      </c>
      <c r="F135" s="83" t="str">
        <f t="shared" si="12"/>
        <v xml:space="preserve"> </v>
      </c>
      <c r="G135" s="73"/>
      <c r="L135" s="134">
        <v>66</v>
      </c>
      <c r="M135" s="92">
        <f t="shared" si="17"/>
        <v>0.16</v>
      </c>
      <c r="N135" s="91">
        <f t="shared" si="15"/>
        <v>1300000</v>
      </c>
      <c r="O135" s="91">
        <f t="shared" si="16"/>
        <v>300000</v>
      </c>
      <c r="P135" s="89"/>
      <c r="Q135" s="89"/>
    </row>
    <row r="136" spans="1:17" ht="15.75" thickBot="1" x14ac:dyDescent="0.3">
      <c r="A136" s="82" t="str">
        <f t="shared" si="9"/>
        <v xml:space="preserve"> </v>
      </c>
      <c r="B136" s="83" t="str">
        <f t="shared" si="10"/>
        <v xml:space="preserve"> </v>
      </c>
      <c r="C136" s="83" t="str">
        <f t="shared" si="11"/>
        <v xml:space="preserve"> </v>
      </c>
      <c r="D136" s="83" t="str">
        <f t="shared" si="13"/>
        <v xml:space="preserve"> </v>
      </c>
      <c r="E136" s="83" t="str">
        <f t="shared" si="14"/>
        <v xml:space="preserve"> </v>
      </c>
      <c r="F136" s="83" t="str">
        <f t="shared" si="12"/>
        <v xml:space="preserve"> </v>
      </c>
      <c r="G136" s="73"/>
      <c r="L136" s="134">
        <v>65</v>
      </c>
      <c r="M136" s="92">
        <f t="shared" si="17"/>
        <v>0.16</v>
      </c>
      <c r="N136" s="91">
        <f t="shared" si="15"/>
        <v>1300000</v>
      </c>
      <c r="O136" s="91">
        <f t="shared" si="16"/>
        <v>300000</v>
      </c>
      <c r="P136" s="89"/>
      <c r="Q136" s="89"/>
    </row>
    <row r="137" spans="1:17" ht="15.75" thickBot="1" x14ac:dyDescent="0.3">
      <c r="A137" s="82" t="str">
        <f t="shared" si="9"/>
        <v xml:space="preserve"> </v>
      </c>
      <c r="B137" s="83" t="str">
        <f t="shared" si="10"/>
        <v xml:space="preserve"> </v>
      </c>
      <c r="C137" s="83" t="str">
        <f t="shared" si="11"/>
        <v xml:space="preserve"> </v>
      </c>
      <c r="D137" s="83" t="str">
        <f t="shared" si="13"/>
        <v xml:space="preserve"> </v>
      </c>
      <c r="E137" s="83" t="str">
        <f t="shared" si="14"/>
        <v xml:space="preserve"> </v>
      </c>
      <c r="F137" s="83" t="str">
        <f t="shared" si="12"/>
        <v xml:space="preserve"> </v>
      </c>
      <c r="G137" s="73"/>
      <c r="L137" s="134">
        <v>64</v>
      </c>
      <c r="M137" s="92">
        <f t="shared" si="17"/>
        <v>0.16</v>
      </c>
      <c r="N137" s="91">
        <f t="shared" si="15"/>
        <v>1300000</v>
      </c>
      <c r="O137" s="91">
        <f t="shared" si="16"/>
        <v>300000</v>
      </c>
      <c r="P137" s="89"/>
      <c r="Q137" s="89"/>
    </row>
    <row r="138" spans="1:17" ht="15.75" thickBot="1" x14ac:dyDescent="0.3">
      <c r="A138" s="82" t="str">
        <f t="shared" si="9"/>
        <v xml:space="preserve"> </v>
      </c>
      <c r="B138" s="83" t="str">
        <f t="shared" si="10"/>
        <v xml:space="preserve"> </v>
      </c>
      <c r="C138" s="83" t="str">
        <f t="shared" si="11"/>
        <v xml:space="preserve"> </v>
      </c>
      <c r="D138" s="83" t="str">
        <f t="shared" si="13"/>
        <v xml:space="preserve"> </v>
      </c>
      <c r="E138" s="83" t="str">
        <f t="shared" si="14"/>
        <v xml:space="preserve"> </v>
      </c>
      <c r="F138" s="83" t="str">
        <f t="shared" si="12"/>
        <v xml:space="preserve"> </v>
      </c>
      <c r="G138" s="73"/>
      <c r="L138" s="134">
        <v>63</v>
      </c>
      <c r="M138" s="92">
        <f t="shared" si="17"/>
        <v>0.16</v>
      </c>
      <c r="N138" s="91">
        <f t="shared" si="15"/>
        <v>1300000</v>
      </c>
      <c r="O138" s="91">
        <f t="shared" si="16"/>
        <v>300000</v>
      </c>
      <c r="P138" s="89"/>
      <c r="Q138" s="89"/>
    </row>
    <row r="139" spans="1:17" ht="15.75" thickBot="1" x14ac:dyDescent="0.3">
      <c r="A139" s="82" t="str">
        <f t="shared" si="9"/>
        <v xml:space="preserve"> </v>
      </c>
      <c r="B139" s="83" t="str">
        <f t="shared" si="10"/>
        <v xml:space="preserve"> </v>
      </c>
      <c r="C139" s="83" t="str">
        <f t="shared" si="11"/>
        <v xml:space="preserve"> </v>
      </c>
      <c r="D139" s="83" t="str">
        <f t="shared" si="13"/>
        <v xml:space="preserve"> </v>
      </c>
      <c r="E139" s="83" t="str">
        <f t="shared" si="14"/>
        <v xml:space="preserve"> </v>
      </c>
      <c r="F139" s="83" t="str">
        <f t="shared" si="12"/>
        <v xml:space="preserve"> </v>
      </c>
      <c r="G139" s="73"/>
      <c r="L139" s="134">
        <v>62</v>
      </c>
      <c r="M139" s="92">
        <f t="shared" si="17"/>
        <v>0.16</v>
      </c>
      <c r="N139" s="91">
        <f t="shared" si="15"/>
        <v>1300000</v>
      </c>
      <c r="O139" s="91">
        <f t="shared" si="16"/>
        <v>300000</v>
      </c>
      <c r="P139" s="89"/>
      <c r="Q139" s="89"/>
    </row>
    <row r="140" spans="1:17" ht="15.75" thickBot="1" x14ac:dyDescent="0.3">
      <c r="A140" s="82" t="str">
        <f t="shared" si="9"/>
        <v xml:space="preserve"> </v>
      </c>
      <c r="B140" s="83" t="str">
        <f t="shared" si="10"/>
        <v xml:space="preserve"> </v>
      </c>
      <c r="C140" s="83" t="str">
        <f t="shared" si="11"/>
        <v xml:space="preserve"> </v>
      </c>
      <c r="D140" s="83" t="str">
        <f t="shared" si="13"/>
        <v xml:space="preserve"> </v>
      </c>
      <c r="E140" s="83" t="str">
        <f t="shared" si="14"/>
        <v xml:space="preserve"> </v>
      </c>
      <c r="F140" s="83" t="str">
        <f t="shared" si="12"/>
        <v xml:space="preserve"> </v>
      </c>
      <c r="G140" s="73"/>
      <c r="L140" s="134">
        <v>61</v>
      </c>
      <c r="M140" s="92">
        <f t="shared" si="17"/>
        <v>0.16</v>
      </c>
      <c r="N140" s="91">
        <f t="shared" si="15"/>
        <v>1300000</v>
      </c>
      <c r="O140" s="91">
        <f t="shared" si="16"/>
        <v>300000</v>
      </c>
      <c r="P140" s="89"/>
      <c r="Q140" s="89"/>
    </row>
    <row r="141" spans="1:17" ht="15.75" thickBot="1" x14ac:dyDescent="0.3">
      <c r="A141" s="82" t="str">
        <f t="shared" ref="A141:A192" si="18">IF($F$2&gt;A140,A140+1," ")</f>
        <v xml:space="preserve"> </v>
      </c>
      <c r="B141" s="83" t="str">
        <f t="shared" si="10"/>
        <v xml:space="preserve"> </v>
      </c>
      <c r="C141" s="83" t="str">
        <f t="shared" si="11"/>
        <v xml:space="preserve"> </v>
      </c>
      <c r="D141" s="83" t="str">
        <f t="shared" si="13"/>
        <v xml:space="preserve"> </v>
      </c>
      <c r="E141" s="83" t="str">
        <f t="shared" si="14"/>
        <v xml:space="preserve"> </v>
      </c>
      <c r="F141" s="83" t="str">
        <f t="shared" si="12"/>
        <v xml:space="preserve"> </v>
      </c>
      <c r="G141" s="73"/>
      <c r="L141" s="134">
        <v>60</v>
      </c>
      <c r="M141" s="92">
        <f t="shared" si="17"/>
        <v>0.16</v>
      </c>
      <c r="N141" s="91">
        <f t="shared" si="15"/>
        <v>1300000</v>
      </c>
      <c r="O141" s="91">
        <f t="shared" si="16"/>
        <v>300000</v>
      </c>
      <c r="P141" s="89"/>
      <c r="Q141" s="89"/>
    </row>
    <row r="142" spans="1:17" ht="15.75" thickBot="1" x14ac:dyDescent="0.3">
      <c r="A142" s="82" t="str">
        <f t="shared" si="18"/>
        <v xml:space="preserve"> </v>
      </c>
      <c r="B142" s="83" t="str">
        <f t="shared" ref="B142:B192" si="19">IF(A142=" "," ",B141)</f>
        <v xml:space="preserve"> </v>
      </c>
      <c r="C142" s="83" t="str">
        <f t="shared" ref="C142:C192" si="20">IF(A142=" "," ",(B142-D142-E142))</f>
        <v xml:space="preserve"> </v>
      </c>
      <c r="D142" s="83" t="str">
        <f t="shared" si="13"/>
        <v xml:space="preserve"> </v>
      </c>
      <c r="E142" s="83" t="str">
        <f t="shared" si="14"/>
        <v xml:space="preserve"> </v>
      </c>
      <c r="F142" s="83" t="str">
        <f t="shared" ref="F142:F192" si="21">IF(A142=" "," ",(+F141-C142))</f>
        <v xml:space="preserve"> </v>
      </c>
      <c r="G142" s="73"/>
      <c r="L142" s="134">
        <v>59</v>
      </c>
      <c r="M142" s="92">
        <f t="shared" si="17"/>
        <v>0.16</v>
      </c>
      <c r="N142" s="91">
        <f t="shared" si="15"/>
        <v>1300000</v>
      </c>
      <c r="O142" s="91">
        <f t="shared" si="16"/>
        <v>300000</v>
      </c>
      <c r="P142" s="89"/>
      <c r="Q142" s="89"/>
    </row>
    <row r="143" spans="1:17" ht="15.75" thickBot="1" x14ac:dyDescent="0.3">
      <c r="A143" s="82" t="str">
        <f t="shared" si="18"/>
        <v xml:space="preserve"> </v>
      </c>
      <c r="B143" s="83" t="str">
        <f t="shared" si="19"/>
        <v xml:space="preserve"> </v>
      </c>
      <c r="C143" s="83" t="str">
        <f t="shared" si="20"/>
        <v xml:space="preserve"> </v>
      </c>
      <c r="D143" s="83" t="str">
        <f t="shared" ref="D143:D192" si="22">IF(A143=" "," ",(F142*$B$9))</f>
        <v xml:space="preserve"> </v>
      </c>
      <c r="E143" s="83" t="str">
        <f t="shared" ref="E143:E192" si="23">IF(A143=" "," ",(+E142))</f>
        <v xml:space="preserve"> </v>
      </c>
      <c r="F143" s="83" t="str">
        <f t="shared" si="21"/>
        <v xml:space="preserve"> </v>
      </c>
      <c r="G143" s="73"/>
      <c r="L143" s="134">
        <v>58</v>
      </c>
      <c r="M143" s="92">
        <f t="shared" si="17"/>
        <v>0.16</v>
      </c>
      <c r="N143" s="91">
        <f t="shared" si="15"/>
        <v>1300000</v>
      </c>
      <c r="O143" s="91">
        <f t="shared" si="16"/>
        <v>300000</v>
      </c>
      <c r="P143" s="89"/>
      <c r="Q143" s="89"/>
    </row>
    <row r="144" spans="1:17" ht="15.75" thickBot="1" x14ac:dyDescent="0.3">
      <c r="A144" s="82" t="str">
        <f t="shared" si="18"/>
        <v xml:space="preserve"> </v>
      </c>
      <c r="B144" s="83" t="str">
        <f t="shared" si="19"/>
        <v xml:space="preserve"> </v>
      </c>
      <c r="C144" s="83" t="str">
        <f t="shared" si="20"/>
        <v xml:space="preserve"> </v>
      </c>
      <c r="D144" s="83" t="str">
        <f t="shared" si="22"/>
        <v xml:space="preserve"> </v>
      </c>
      <c r="E144" s="83" t="str">
        <f t="shared" si="23"/>
        <v xml:space="preserve"> </v>
      </c>
      <c r="F144" s="83" t="str">
        <f t="shared" si="21"/>
        <v xml:space="preserve"> </v>
      </c>
      <c r="G144" s="73"/>
      <c r="L144" s="134">
        <v>57</v>
      </c>
      <c r="M144" s="92">
        <f t="shared" si="17"/>
        <v>0.16</v>
      </c>
      <c r="N144" s="91">
        <f t="shared" si="15"/>
        <v>1300000</v>
      </c>
      <c r="O144" s="91">
        <f t="shared" si="16"/>
        <v>300000</v>
      </c>
      <c r="P144" s="89"/>
      <c r="Q144" s="89"/>
    </row>
    <row r="145" spans="1:17" ht="15.75" thickBot="1" x14ac:dyDescent="0.3">
      <c r="A145" s="82" t="str">
        <f t="shared" si="18"/>
        <v xml:space="preserve"> </v>
      </c>
      <c r="B145" s="83" t="str">
        <f t="shared" si="19"/>
        <v xml:space="preserve"> </v>
      </c>
      <c r="C145" s="83" t="str">
        <f t="shared" si="20"/>
        <v xml:space="preserve"> </v>
      </c>
      <c r="D145" s="83" t="str">
        <f t="shared" si="22"/>
        <v xml:space="preserve"> </v>
      </c>
      <c r="E145" s="83" t="str">
        <f t="shared" si="23"/>
        <v xml:space="preserve"> </v>
      </c>
      <c r="F145" s="83" t="str">
        <f t="shared" si="21"/>
        <v xml:space="preserve"> </v>
      </c>
      <c r="G145" s="73"/>
      <c r="L145" s="134">
        <v>56</v>
      </c>
      <c r="M145" s="92">
        <f t="shared" si="17"/>
        <v>0.16</v>
      </c>
      <c r="N145" s="91">
        <f t="shared" si="15"/>
        <v>1300000</v>
      </c>
      <c r="O145" s="91">
        <f t="shared" si="16"/>
        <v>300000</v>
      </c>
      <c r="P145" s="89"/>
      <c r="Q145" s="89"/>
    </row>
    <row r="146" spans="1:17" ht="15.75" thickBot="1" x14ac:dyDescent="0.3">
      <c r="A146" s="82" t="str">
        <f t="shared" si="18"/>
        <v xml:space="preserve"> </v>
      </c>
      <c r="B146" s="83" t="str">
        <f t="shared" si="19"/>
        <v xml:space="preserve"> </v>
      </c>
      <c r="C146" s="83" t="str">
        <f t="shared" si="20"/>
        <v xml:space="preserve"> </v>
      </c>
      <c r="D146" s="83" t="str">
        <f t="shared" si="22"/>
        <v xml:space="preserve"> </v>
      </c>
      <c r="E146" s="83" t="str">
        <f t="shared" si="23"/>
        <v xml:space="preserve"> </v>
      </c>
      <c r="F146" s="83" t="str">
        <f t="shared" si="21"/>
        <v xml:space="preserve"> </v>
      </c>
      <c r="G146" s="73"/>
      <c r="L146" s="134">
        <v>55</v>
      </c>
      <c r="M146" s="92">
        <f t="shared" si="17"/>
        <v>0.16</v>
      </c>
      <c r="N146" s="91">
        <f t="shared" si="15"/>
        <v>1300000</v>
      </c>
      <c r="O146" s="91">
        <f t="shared" si="16"/>
        <v>300000</v>
      </c>
      <c r="P146" s="89"/>
      <c r="Q146" s="89"/>
    </row>
    <row r="147" spans="1:17" ht="15.75" thickBot="1" x14ac:dyDescent="0.3">
      <c r="A147" s="82" t="str">
        <f t="shared" si="18"/>
        <v xml:space="preserve"> </v>
      </c>
      <c r="B147" s="83" t="str">
        <f t="shared" si="19"/>
        <v xml:space="preserve"> </v>
      </c>
      <c r="C147" s="83" t="str">
        <f t="shared" si="20"/>
        <v xml:space="preserve"> </v>
      </c>
      <c r="D147" s="83" t="str">
        <f t="shared" si="22"/>
        <v xml:space="preserve"> </v>
      </c>
      <c r="E147" s="83" t="str">
        <f t="shared" si="23"/>
        <v xml:space="preserve"> </v>
      </c>
      <c r="F147" s="83" t="str">
        <f t="shared" si="21"/>
        <v xml:space="preserve"> </v>
      </c>
      <c r="G147" s="73"/>
      <c r="L147" s="134">
        <v>54</v>
      </c>
      <c r="M147" s="92">
        <f t="shared" si="17"/>
        <v>0.16</v>
      </c>
      <c r="N147" s="91">
        <f t="shared" si="15"/>
        <v>1300000</v>
      </c>
      <c r="O147" s="91">
        <f t="shared" si="16"/>
        <v>300000</v>
      </c>
      <c r="P147" s="89"/>
      <c r="Q147" s="89"/>
    </row>
    <row r="148" spans="1:17" ht="15.75" thickBot="1" x14ac:dyDescent="0.3">
      <c r="A148" s="82" t="str">
        <f t="shared" si="18"/>
        <v xml:space="preserve"> </v>
      </c>
      <c r="B148" s="83" t="str">
        <f t="shared" si="19"/>
        <v xml:space="preserve"> </v>
      </c>
      <c r="C148" s="83" t="str">
        <f t="shared" si="20"/>
        <v xml:space="preserve"> </v>
      </c>
      <c r="D148" s="83" t="str">
        <f t="shared" si="22"/>
        <v xml:space="preserve"> </v>
      </c>
      <c r="E148" s="83" t="str">
        <f t="shared" si="23"/>
        <v xml:space="preserve"> </v>
      </c>
      <c r="F148" s="83" t="str">
        <f t="shared" si="21"/>
        <v xml:space="preserve"> </v>
      </c>
      <c r="G148" s="73"/>
      <c r="L148" s="134">
        <v>53</v>
      </c>
      <c r="M148" s="92">
        <f t="shared" si="17"/>
        <v>0.16</v>
      </c>
      <c r="N148" s="91">
        <f t="shared" si="15"/>
        <v>1300000</v>
      </c>
      <c r="O148" s="91">
        <f t="shared" si="16"/>
        <v>300000</v>
      </c>
      <c r="P148" s="89"/>
      <c r="Q148" s="89"/>
    </row>
    <row r="149" spans="1:17" ht="15.75" thickBot="1" x14ac:dyDescent="0.3">
      <c r="A149" s="82" t="str">
        <f t="shared" si="18"/>
        <v xml:space="preserve"> </v>
      </c>
      <c r="B149" s="83" t="str">
        <f t="shared" si="19"/>
        <v xml:space="preserve"> </v>
      </c>
      <c r="C149" s="83" t="str">
        <f t="shared" si="20"/>
        <v xml:space="preserve"> </v>
      </c>
      <c r="D149" s="83" t="str">
        <f t="shared" si="22"/>
        <v xml:space="preserve"> </v>
      </c>
      <c r="E149" s="83" t="str">
        <f t="shared" si="23"/>
        <v xml:space="preserve"> </v>
      </c>
      <c r="F149" s="83" t="str">
        <f t="shared" si="21"/>
        <v xml:space="preserve"> </v>
      </c>
      <c r="G149" s="73"/>
      <c r="L149" s="134">
        <v>52</v>
      </c>
      <c r="M149" s="92">
        <f t="shared" si="17"/>
        <v>0.16</v>
      </c>
      <c r="N149" s="91">
        <f t="shared" ref="N149:N177" si="24">IF(IF(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&lt;0,"error",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)&lt;=$O$179,0,IF(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&lt;0,"error",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válida")))))</f>
        <v>1300000</v>
      </c>
      <c r="O149" s="91">
        <f t="shared" ref="O149:O177" si="25">+(($I$15*M149)-IF(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&lt;0,"error",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))+IF(IF(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&lt;0,"error",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)&lt;=$O$179,IF(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&lt;0,"error",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válida")))),0)</f>
        <v>300000</v>
      </c>
      <c r="P149" s="89"/>
      <c r="Q149" s="89"/>
    </row>
    <row r="150" spans="1:17" ht="15.75" thickBot="1" x14ac:dyDescent="0.3">
      <c r="A150" s="82" t="str">
        <f t="shared" si="18"/>
        <v xml:space="preserve"> </v>
      </c>
      <c r="B150" s="83" t="str">
        <f t="shared" si="19"/>
        <v xml:space="preserve"> </v>
      </c>
      <c r="C150" s="83" t="str">
        <f t="shared" si="20"/>
        <v xml:space="preserve"> </v>
      </c>
      <c r="D150" s="83" t="str">
        <f t="shared" si="22"/>
        <v xml:space="preserve"> </v>
      </c>
      <c r="E150" s="83" t="str">
        <f t="shared" si="23"/>
        <v xml:space="preserve"> </v>
      </c>
      <c r="F150" s="83" t="str">
        <f t="shared" si="21"/>
        <v xml:space="preserve"> </v>
      </c>
      <c r="G150" s="73"/>
      <c r="L150" s="134">
        <v>51</v>
      </c>
      <c r="M150" s="92">
        <f t="shared" si="17"/>
        <v>0.16</v>
      </c>
      <c r="N150" s="91">
        <f t="shared" si="24"/>
        <v>1300000</v>
      </c>
      <c r="O150" s="91">
        <f t="shared" si="25"/>
        <v>300000</v>
      </c>
      <c r="P150" s="89"/>
      <c r="Q150" s="89"/>
    </row>
    <row r="151" spans="1:17" ht="15.75" thickBot="1" x14ac:dyDescent="0.3">
      <c r="A151" s="82" t="str">
        <f t="shared" si="18"/>
        <v xml:space="preserve"> </v>
      </c>
      <c r="B151" s="83" t="str">
        <f t="shared" si="19"/>
        <v xml:space="preserve"> </v>
      </c>
      <c r="C151" s="83" t="str">
        <f t="shared" si="20"/>
        <v xml:space="preserve"> </v>
      </c>
      <c r="D151" s="83" t="str">
        <f t="shared" si="22"/>
        <v xml:space="preserve"> </v>
      </c>
      <c r="E151" s="83" t="str">
        <f t="shared" si="23"/>
        <v xml:space="preserve"> </v>
      </c>
      <c r="F151" s="83" t="str">
        <f t="shared" si="21"/>
        <v xml:space="preserve"> </v>
      </c>
      <c r="G151" s="73"/>
      <c r="L151" s="134">
        <v>50</v>
      </c>
      <c r="M151" s="92">
        <f t="shared" ref="M151:M177" si="26">+M150</f>
        <v>0.16</v>
      </c>
      <c r="N151" s="91">
        <f t="shared" si="24"/>
        <v>1300000</v>
      </c>
      <c r="O151" s="91">
        <f t="shared" si="25"/>
        <v>300000</v>
      </c>
      <c r="P151" s="89"/>
      <c r="Q151" s="89"/>
    </row>
    <row r="152" spans="1:17" ht="15.75" thickBot="1" x14ac:dyDescent="0.3">
      <c r="A152" s="82" t="str">
        <f t="shared" si="18"/>
        <v xml:space="preserve"> </v>
      </c>
      <c r="B152" s="83" t="str">
        <f t="shared" si="19"/>
        <v xml:space="preserve"> </v>
      </c>
      <c r="C152" s="83" t="str">
        <f t="shared" si="20"/>
        <v xml:space="preserve"> </v>
      </c>
      <c r="D152" s="83" t="str">
        <f t="shared" si="22"/>
        <v xml:space="preserve"> </v>
      </c>
      <c r="E152" s="83" t="str">
        <f t="shared" si="23"/>
        <v xml:space="preserve"> </v>
      </c>
      <c r="F152" s="83" t="str">
        <f t="shared" si="21"/>
        <v xml:space="preserve"> </v>
      </c>
      <c r="G152" s="73"/>
      <c r="L152" s="134">
        <v>49</v>
      </c>
      <c r="M152" s="92">
        <f t="shared" si="26"/>
        <v>0.16</v>
      </c>
      <c r="N152" s="91">
        <f t="shared" si="24"/>
        <v>1300000</v>
      </c>
      <c r="O152" s="91">
        <f t="shared" si="25"/>
        <v>300000</v>
      </c>
      <c r="P152" s="89"/>
      <c r="Q152" s="89"/>
    </row>
    <row r="153" spans="1:17" ht="15.75" thickBot="1" x14ac:dyDescent="0.3">
      <c r="A153" s="82" t="str">
        <f t="shared" si="18"/>
        <v xml:space="preserve"> </v>
      </c>
      <c r="B153" s="83" t="str">
        <f t="shared" si="19"/>
        <v xml:space="preserve"> </v>
      </c>
      <c r="C153" s="83" t="str">
        <f t="shared" si="20"/>
        <v xml:space="preserve"> </v>
      </c>
      <c r="D153" s="83" t="str">
        <f t="shared" si="22"/>
        <v xml:space="preserve"> </v>
      </c>
      <c r="E153" s="83" t="str">
        <f t="shared" si="23"/>
        <v xml:space="preserve"> </v>
      </c>
      <c r="F153" s="83" t="str">
        <f t="shared" si="21"/>
        <v xml:space="preserve"> </v>
      </c>
      <c r="G153" s="73"/>
      <c r="L153" s="134">
        <v>48</v>
      </c>
      <c r="M153" s="92">
        <f t="shared" si="26"/>
        <v>0.16</v>
      </c>
      <c r="N153" s="91">
        <f t="shared" si="24"/>
        <v>1300000</v>
      </c>
      <c r="O153" s="91">
        <f t="shared" si="25"/>
        <v>300000</v>
      </c>
      <c r="P153" s="89"/>
      <c r="Q153" s="89"/>
    </row>
    <row r="154" spans="1:17" ht="15.75" thickBot="1" x14ac:dyDescent="0.3">
      <c r="A154" s="82" t="str">
        <f t="shared" si="18"/>
        <v xml:space="preserve"> </v>
      </c>
      <c r="B154" s="83" t="str">
        <f t="shared" si="19"/>
        <v xml:space="preserve"> </v>
      </c>
      <c r="C154" s="83" t="str">
        <f t="shared" si="20"/>
        <v xml:space="preserve"> </v>
      </c>
      <c r="D154" s="83" t="str">
        <f t="shared" si="22"/>
        <v xml:space="preserve"> </v>
      </c>
      <c r="E154" s="83" t="str">
        <f t="shared" si="23"/>
        <v xml:space="preserve"> </v>
      </c>
      <c r="F154" s="83" t="str">
        <f t="shared" si="21"/>
        <v xml:space="preserve"> </v>
      </c>
      <c r="G154" s="73"/>
      <c r="L154" s="134">
        <v>47</v>
      </c>
      <c r="M154" s="92">
        <f t="shared" si="26"/>
        <v>0.16</v>
      </c>
      <c r="N154" s="91">
        <f t="shared" si="24"/>
        <v>1300000</v>
      </c>
      <c r="O154" s="91">
        <f t="shared" si="25"/>
        <v>300000</v>
      </c>
      <c r="P154" s="89"/>
      <c r="Q154" s="89"/>
    </row>
    <row r="155" spans="1:17" ht="15.75" thickBot="1" x14ac:dyDescent="0.3">
      <c r="A155" s="82" t="str">
        <f t="shared" si="18"/>
        <v xml:space="preserve"> </v>
      </c>
      <c r="B155" s="83" t="str">
        <f t="shared" si="19"/>
        <v xml:space="preserve"> </v>
      </c>
      <c r="C155" s="83" t="str">
        <f t="shared" si="20"/>
        <v xml:space="preserve"> </v>
      </c>
      <c r="D155" s="83" t="str">
        <f t="shared" si="22"/>
        <v xml:space="preserve"> </v>
      </c>
      <c r="E155" s="83" t="str">
        <f t="shared" si="23"/>
        <v xml:space="preserve"> </v>
      </c>
      <c r="F155" s="83" t="str">
        <f t="shared" si="21"/>
        <v xml:space="preserve"> </v>
      </c>
      <c r="G155" s="73"/>
      <c r="L155" s="134">
        <v>46</v>
      </c>
      <c r="M155" s="92">
        <f t="shared" si="26"/>
        <v>0.16</v>
      </c>
      <c r="N155" s="91">
        <f t="shared" si="24"/>
        <v>1300000</v>
      </c>
      <c r="O155" s="91">
        <f t="shared" si="25"/>
        <v>300000</v>
      </c>
      <c r="P155" s="89"/>
      <c r="Q155" s="89"/>
    </row>
    <row r="156" spans="1:17" ht="15.75" thickBot="1" x14ac:dyDescent="0.3">
      <c r="A156" s="82" t="str">
        <f t="shared" si="18"/>
        <v xml:space="preserve"> </v>
      </c>
      <c r="B156" s="83" t="str">
        <f t="shared" si="19"/>
        <v xml:space="preserve"> </v>
      </c>
      <c r="C156" s="83" t="str">
        <f t="shared" si="20"/>
        <v xml:space="preserve"> </v>
      </c>
      <c r="D156" s="83" t="str">
        <f t="shared" si="22"/>
        <v xml:space="preserve"> </v>
      </c>
      <c r="E156" s="83" t="str">
        <f t="shared" si="23"/>
        <v xml:space="preserve"> </v>
      </c>
      <c r="F156" s="83" t="str">
        <f t="shared" si="21"/>
        <v xml:space="preserve"> </v>
      </c>
      <c r="G156" s="73"/>
      <c r="L156" s="134">
        <v>45</v>
      </c>
      <c r="M156" s="92">
        <f t="shared" si="26"/>
        <v>0.16</v>
      </c>
      <c r="N156" s="91">
        <f t="shared" si="24"/>
        <v>1300000</v>
      </c>
      <c r="O156" s="91">
        <f t="shared" si="25"/>
        <v>300000</v>
      </c>
      <c r="P156" s="89"/>
      <c r="Q156" s="89"/>
    </row>
    <row r="157" spans="1:17" ht="15.75" thickBot="1" x14ac:dyDescent="0.3">
      <c r="A157" s="82" t="str">
        <f t="shared" si="18"/>
        <v xml:space="preserve"> </v>
      </c>
      <c r="B157" s="83" t="str">
        <f t="shared" si="19"/>
        <v xml:space="preserve"> </v>
      </c>
      <c r="C157" s="83" t="str">
        <f t="shared" si="20"/>
        <v xml:space="preserve"> </v>
      </c>
      <c r="D157" s="83" t="str">
        <f t="shared" si="22"/>
        <v xml:space="preserve"> </v>
      </c>
      <c r="E157" s="83" t="str">
        <f t="shared" si="23"/>
        <v xml:space="preserve"> </v>
      </c>
      <c r="F157" s="83" t="str">
        <f t="shared" si="21"/>
        <v xml:space="preserve"> </v>
      </c>
      <c r="G157" s="73"/>
      <c r="L157" s="134">
        <v>44</v>
      </c>
      <c r="M157" s="92">
        <f t="shared" si="26"/>
        <v>0.16</v>
      </c>
      <c r="N157" s="91">
        <f t="shared" si="24"/>
        <v>1300000</v>
      </c>
      <c r="O157" s="91">
        <f t="shared" si="25"/>
        <v>300000</v>
      </c>
      <c r="P157" s="89"/>
      <c r="Q157" s="89"/>
    </row>
    <row r="158" spans="1:17" ht="15.75" thickBot="1" x14ac:dyDescent="0.3">
      <c r="A158" s="82" t="str">
        <f t="shared" si="18"/>
        <v xml:space="preserve"> </v>
      </c>
      <c r="B158" s="83" t="str">
        <f t="shared" si="19"/>
        <v xml:space="preserve"> </v>
      </c>
      <c r="C158" s="83" t="str">
        <f t="shared" si="20"/>
        <v xml:space="preserve"> </v>
      </c>
      <c r="D158" s="83" t="str">
        <f t="shared" si="22"/>
        <v xml:space="preserve"> </v>
      </c>
      <c r="E158" s="83" t="str">
        <f t="shared" si="23"/>
        <v xml:space="preserve"> </v>
      </c>
      <c r="F158" s="83" t="str">
        <f t="shared" si="21"/>
        <v xml:space="preserve"> </v>
      </c>
      <c r="G158" s="73"/>
      <c r="L158" s="134">
        <v>43</v>
      </c>
      <c r="M158" s="92">
        <f t="shared" si="26"/>
        <v>0.16</v>
      </c>
      <c r="N158" s="91">
        <f t="shared" si="24"/>
        <v>1300000</v>
      </c>
      <c r="O158" s="91">
        <f t="shared" si="25"/>
        <v>300000</v>
      </c>
      <c r="P158" s="89"/>
      <c r="Q158" s="89"/>
    </row>
    <row r="159" spans="1:17" ht="15.75" thickBot="1" x14ac:dyDescent="0.3">
      <c r="A159" s="82" t="str">
        <f t="shared" si="18"/>
        <v xml:space="preserve"> </v>
      </c>
      <c r="B159" s="83" t="str">
        <f t="shared" si="19"/>
        <v xml:space="preserve"> </v>
      </c>
      <c r="C159" s="83" t="str">
        <f t="shared" si="20"/>
        <v xml:space="preserve"> </v>
      </c>
      <c r="D159" s="83" t="str">
        <f t="shared" si="22"/>
        <v xml:space="preserve"> </v>
      </c>
      <c r="E159" s="83" t="str">
        <f t="shared" si="23"/>
        <v xml:space="preserve"> </v>
      </c>
      <c r="F159" s="83" t="str">
        <f t="shared" si="21"/>
        <v xml:space="preserve"> </v>
      </c>
      <c r="G159" s="73"/>
      <c r="L159" s="134">
        <v>42</v>
      </c>
      <c r="M159" s="92">
        <f t="shared" si="26"/>
        <v>0.16</v>
      </c>
      <c r="N159" s="91">
        <f t="shared" si="24"/>
        <v>1300000</v>
      </c>
      <c r="O159" s="91">
        <f t="shared" si="25"/>
        <v>300000</v>
      </c>
      <c r="P159" s="89"/>
      <c r="Q159" s="89"/>
    </row>
    <row r="160" spans="1:17" ht="15.75" thickBot="1" x14ac:dyDescent="0.3">
      <c r="A160" s="82" t="str">
        <f t="shared" si="18"/>
        <v xml:space="preserve"> </v>
      </c>
      <c r="B160" s="83" t="str">
        <f t="shared" si="19"/>
        <v xml:space="preserve"> </v>
      </c>
      <c r="C160" s="83" t="str">
        <f t="shared" si="20"/>
        <v xml:space="preserve"> </v>
      </c>
      <c r="D160" s="83" t="str">
        <f t="shared" si="22"/>
        <v xml:space="preserve"> </v>
      </c>
      <c r="E160" s="83" t="str">
        <f t="shared" si="23"/>
        <v xml:space="preserve"> </v>
      </c>
      <c r="F160" s="83" t="str">
        <f t="shared" si="21"/>
        <v xml:space="preserve"> </v>
      </c>
      <c r="G160" s="73"/>
      <c r="L160" s="134">
        <v>41</v>
      </c>
      <c r="M160" s="92">
        <f t="shared" si="26"/>
        <v>0.16</v>
      </c>
      <c r="N160" s="91">
        <f t="shared" si="24"/>
        <v>1300000</v>
      </c>
      <c r="O160" s="91">
        <f t="shared" si="25"/>
        <v>300000</v>
      </c>
      <c r="P160" s="89"/>
      <c r="Q160" s="89"/>
    </row>
    <row r="161" spans="1:17" ht="15.75" thickBot="1" x14ac:dyDescent="0.3">
      <c r="A161" s="82" t="str">
        <f t="shared" si="18"/>
        <v xml:space="preserve"> </v>
      </c>
      <c r="B161" s="83" t="str">
        <f t="shared" si="19"/>
        <v xml:space="preserve"> </v>
      </c>
      <c r="C161" s="83" t="str">
        <f t="shared" si="20"/>
        <v xml:space="preserve"> </v>
      </c>
      <c r="D161" s="83" t="str">
        <f t="shared" si="22"/>
        <v xml:space="preserve"> </v>
      </c>
      <c r="E161" s="83" t="str">
        <f t="shared" si="23"/>
        <v xml:space="preserve"> </v>
      </c>
      <c r="F161" s="83" t="str">
        <f t="shared" si="21"/>
        <v xml:space="preserve"> </v>
      </c>
      <c r="G161" s="73"/>
      <c r="L161" s="134">
        <v>40</v>
      </c>
      <c r="M161" s="92">
        <f t="shared" si="26"/>
        <v>0.16</v>
      </c>
      <c r="N161" s="91">
        <f t="shared" si="24"/>
        <v>1300000</v>
      </c>
      <c r="O161" s="91">
        <f t="shared" si="25"/>
        <v>300000</v>
      </c>
      <c r="P161" s="89"/>
      <c r="Q161" s="89"/>
    </row>
    <row r="162" spans="1:17" ht="15.75" thickBot="1" x14ac:dyDescent="0.3">
      <c r="A162" s="82" t="str">
        <f t="shared" si="18"/>
        <v xml:space="preserve"> </v>
      </c>
      <c r="B162" s="83" t="str">
        <f t="shared" si="19"/>
        <v xml:space="preserve"> </v>
      </c>
      <c r="C162" s="83" t="str">
        <f t="shared" si="20"/>
        <v xml:space="preserve"> </v>
      </c>
      <c r="D162" s="83" t="str">
        <f t="shared" si="22"/>
        <v xml:space="preserve"> </v>
      </c>
      <c r="E162" s="83" t="str">
        <f t="shared" si="23"/>
        <v xml:space="preserve"> </v>
      </c>
      <c r="F162" s="83" t="str">
        <f t="shared" si="21"/>
        <v xml:space="preserve"> </v>
      </c>
      <c r="G162" s="73"/>
      <c r="L162" s="134">
        <v>39</v>
      </c>
      <c r="M162" s="92">
        <f t="shared" si="26"/>
        <v>0.16</v>
      </c>
      <c r="N162" s="91">
        <f t="shared" si="24"/>
        <v>1300000</v>
      </c>
      <c r="O162" s="91">
        <f t="shared" si="25"/>
        <v>300000</v>
      </c>
      <c r="P162" s="89"/>
      <c r="Q162" s="89"/>
    </row>
    <row r="163" spans="1:17" ht="15.75" thickBot="1" x14ac:dyDescent="0.3">
      <c r="A163" s="82" t="str">
        <f t="shared" si="18"/>
        <v xml:space="preserve"> </v>
      </c>
      <c r="B163" s="83" t="str">
        <f t="shared" si="19"/>
        <v xml:space="preserve"> </v>
      </c>
      <c r="C163" s="83" t="str">
        <f t="shared" si="20"/>
        <v xml:space="preserve"> </v>
      </c>
      <c r="D163" s="83" t="str">
        <f t="shared" si="22"/>
        <v xml:space="preserve"> </v>
      </c>
      <c r="E163" s="83" t="str">
        <f t="shared" si="23"/>
        <v xml:space="preserve"> </v>
      </c>
      <c r="F163" s="83" t="str">
        <f t="shared" si="21"/>
        <v xml:space="preserve"> </v>
      </c>
      <c r="G163" s="73"/>
      <c r="L163" s="134">
        <v>38</v>
      </c>
      <c r="M163" s="92">
        <f t="shared" si="26"/>
        <v>0.16</v>
      </c>
      <c r="N163" s="91">
        <f t="shared" si="24"/>
        <v>1300000</v>
      </c>
      <c r="O163" s="91">
        <f t="shared" si="25"/>
        <v>300000</v>
      </c>
      <c r="P163" s="89"/>
      <c r="Q163" s="89"/>
    </row>
    <row r="164" spans="1:17" ht="15.75" thickBot="1" x14ac:dyDescent="0.3">
      <c r="A164" s="82" t="str">
        <f t="shared" si="18"/>
        <v xml:space="preserve"> </v>
      </c>
      <c r="B164" s="83" t="str">
        <f t="shared" si="19"/>
        <v xml:space="preserve"> </v>
      </c>
      <c r="C164" s="83" t="str">
        <f t="shared" si="20"/>
        <v xml:space="preserve"> </v>
      </c>
      <c r="D164" s="83" t="str">
        <f t="shared" si="22"/>
        <v xml:space="preserve"> </v>
      </c>
      <c r="E164" s="83" t="str">
        <f t="shared" si="23"/>
        <v xml:space="preserve"> </v>
      </c>
      <c r="F164" s="83" t="str">
        <f t="shared" si="21"/>
        <v xml:space="preserve"> </v>
      </c>
      <c r="G164" s="73"/>
      <c r="L164" s="134">
        <v>37</v>
      </c>
      <c r="M164" s="92">
        <f t="shared" si="26"/>
        <v>0.16</v>
      </c>
      <c r="N164" s="91">
        <f t="shared" si="24"/>
        <v>1300000</v>
      </c>
      <c r="O164" s="91">
        <f t="shared" si="25"/>
        <v>300000</v>
      </c>
      <c r="P164" s="89"/>
      <c r="Q164" s="89"/>
    </row>
    <row r="165" spans="1:17" ht="15.75" thickBot="1" x14ac:dyDescent="0.3">
      <c r="A165" s="82" t="str">
        <f t="shared" si="18"/>
        <v xml:space="preserve"> </v>
      </c>
      <c r="B165" s="83" t="str">
        <f t="shared" si="19"/>
        <v xml:space="preserve"> </v>
      </c>
      <c r="C165" s="83" t="str">
        <f t="shared" si="20"/>
        <v xml:space="preserve"> </v>
      </c>
      <c r="D165" s="83" t="str">
        <f t="shared" si="22"/>
        <v xml:space="preserve"> </v>
      </c>
      <c r="E165" s="83" t="str">
        <f t="shared" si="23"/>
        <v xml:space="preserve"> </v>
      </c>
      <c r="F165" s="83" t="str">
        <f t="shared" si="21"/>
        <v xml:space="preserve"> </v>
      </c>
      <c r="G165" s="73"/>
      <c r="L165" s="134">
        <v>36</v>
      </c>
      <c r="M165" s="92">
        <f t="shared" si="26"/>
        <v>0.16</v>
      </c>
      <c r="N165" s="91">
        <f t="shared" si="24"/>
        <v>1300000</v>
      </c>
      <c r="O165" s="91">
        <f t="shared" si="25"/>
        <v>300000</v>
      </c>
      <c r="P165" s="89"/>
      <c r="Q165" s="89"/>
    </row>
    <row r="166" spans="1:17" ht="15.75" thickBot="1" x14ac:dyDescent="0.3">
      <c r="A166" s="82" t="str">
        <f t="shared" si="18"/>
        <v xml:space="preserve"> </v>
      </c>
      <c r="B166" s="83" t="str">
        <f t="shared" si="19"/>
        <v xml:space="preserve"> </v>
      </c>
      <c r="C166" s="83" t="str">
        <f t="shared" si="20"/>
        <v xml:space="preserve"> </v>
      </c>
      <c r="D166" s="83" t="str">
        <f t="shared" si="22"/>
        <v xml:space="preserve"> </v>
      </c>
      <c r="E166" s="83" t="str">
        <f t="shared" si="23"/>
        <v xml:space="preserve"> </v>
      </c>
      <c r="F166" s="83" t="str">
        <f t="shared" si="21"/>
        <v xml:space="preserve"> </v>
      </c>
      <c r="G166" s="73"/>
      <c r="L166" s="134">
        <v>35</v>
      </c>
      <c r="M166" s="92">
        <f t="shared" si="26"/>
        <v>0.16</v>
      </c>
      <c r="N166" s="91">
        <f t="shared" si="24"/>
        <v>1300000</v>
      </c>
      <c r="O166" s="91">
        <f t="shared" si="25"/>
        <v>300000</v>
      </c>
      <c r="P166" s="89"/>
      <c r="Q166" s="89"/>
    </row>
    <row r="167" spans="1:17" ht="15.75" thickBot="1" x14ac:dyDescent="0.3">
      <c r="A167" s="82" t="str">
        <f t="shared" si="18"/>
        <v xml:space="preserve"> </v>
      </c>
      <c r="B167" s="83" t="str">
        <f t="shared" si="19"/>
        <v xml:space="preserve"> </v>
      </c>
      <c r="C167" s="83" t="str">
        <f t="shared" si="20"/>
        <v xml:space="preserve"> </v>
      </c>
      <c r="D167" s="83" t="str">
        <f t="shared" si="22"/>
        <v xml:space="preserve"> </v>
      </c>
      <c r="E167" s="83" t="str">
        <f t="shared" si="23"/>
        <v xml:space="preserve"> </v>
      </c>
      <c r="F167" s="83" t="str">
        <f t="shared" si="21"/>
        <v xml:space="preserve"> </v>
      </c>
      <c r="G167" s="73"/>
      <c r="L167" s="134">
        <v>34</v>
      </c>
      <c r="M167" s="92">
        <f t="shared" si="26"/>
        <v>0.16</v>
      </c>
      <c r="N167" s="91">
        <f t="shared" si="24"/>
        <v>1300000</v>
      </c>
      <c r="O167" s="91">
        <f t="shared" si="25"/>
        <v>300000</v>
      </c>
      <c r="P167" s="89"/>
      <c r="Q167" s="89"/>
    </row>
    <row r="168" spans="1:17" ht="15.75" thickBot="1" x14ac:dyDescent="0.3">
      <c r="A168" s="82" t="str">
        <f t="shared" si="18"/>
        <v xml:space="preserve"> </v>
      </c>
      <c r="B168" s="83" t="str">
        <f t="shared" si="19"/>
        <v xml:space="preserve"> </v>
      </c>
      <c r="C168" s="83" t="str">
        <f t="shared" si="20"/>
        <v xml:space="preserve"> </v>
      </c>
      <c r="D168" s="83" t="str">
        <f t="shared" si="22"/>
        <v xml:space="preserve"> </v>
      </c>
      <c r="E168" s="83" t="str">
        <f t="shared" si="23"/>
        <v xml:space="preserve"> </v>
      </c>
      <c r="F168" s="83" t="str">
        <f t="shared" si="21"/>
        <v xml:space="preserve"> </v>
      </c>
      <c r="G168" s="73"/>
      <c r="L168" s="134">
        <v>33</v>
      </c>
      <c r="M168" s="92">
        <f t="shared" si="26"/>
        <v>0.16</v>
      </c>
      <c r="N168" s="91">
        <f t="shared" si="24"/>
        <v>1300000</v>
      </c>
      <c r="O168" s="91">
        <f t="shared" si="25"/>
        <v>300000</v>
      </c>
      <c r="P168" s="89"/>
      <c r="Q168" s="89"/>
    </row>
    <row r="169" spans="1:17" ht="15.75" thickBot="1" x14ac:dyDescent="0.3">
      <c r="A169" s="82" t="str">
        <f t="shared" si="18"/>
        <v xml:space="preserve"> </v>
      </c>
      <c r="B169" s="83" t="str">
        <f t="shared" si="19"/>
        <v xml:space="preserve"> </v>
      </c>
      <c r="C169" s="83" t="str">
        <f t="shared" si="20"/>
        <v xml:space="preserve"> </v>
      </c>
      <c r="D169" s="83" t="str">
        <f t="shared" si="22"/>
        <v xml:space="preserve"> </v>
      </c>
      <c r="E169" s="83" t="str">
        <f t="shared" si="23"/>
        <v xml:space="preserve"> </v>
      </c>
      <c r="F169" s="83" t="str">
        <f t="shared" si="21"/>
        <v xml:space="preserve"> </v>
      </c>
      <c r="G169" s="73"/>
      <c r="L169" s="134">
        <v>32</v>
      </c>
      <c r="M169" s="92">
        <f t="shared" si="26"/>
        <v>0.16</v>
      </c>
      <c r="N169" s="91">
        <f t="shared" si="24"/>
        <v>1300000</v>
      </c>
      <c r="O169" s="91">
        <f t="shared" si="25"/>
        <v>300000</v>
      </c>
      <c r="P169" s="89"/>
      <c r="Q169" s="89"/>
    </row>
    <row r="170" spans="1:17" ht="15.75" thickBot="1" x14ac:dyDescent="0.3">
      <c r="A170" s="82" t="str">
        <f t="shared" si="18"/>
        <v xml:space="preserve"> </v>
      </c>
      <c r="B170" s="83" t="str">
        <f t="shared" si="19"/>
        <v xml:space="preserve"> </v>
      </c>
      <c r="C170" s="83" t="str">
        <f t="shared" si="20"/>
        <v xml:space="preserve"> </v>
      </c>
      <c r="D170" s="83" t="str">
        <f t="shared" si="22"/>
        <v xml:space="preserve"> </v>
      </c>
      <c r="E170" s="83" t="str">
        <f t="shared" si="23"/>
        <v xml:space="preserve"> </v>
      </c>
      <c r="F170" s="83" t="str">
        <f t="shared" si="21"/>
        <v xml:space="preserve"> </v>
      </c>
      <c r="G170" s="73"/>
      <c r="L170" s="134">
        <v>31</v>
      </c>
      <c r="M170" s="92">
        <f t="shared" si="26"/>
        <v>0.16</v>
      </c>
      <c r="N170" s="91">
        <f t="shared" si="24"/>
        <v>1300000</v>
      </c>
      <c r="O170" s="91">
        <f t="shared" si="25"/>
        <v>300000</v>
      </c>
      <c r="P170" s="89"/>
      <c r="Q170" s="89"/>
    </row>
    <row r="171" spans="1:17" ht="15.75" thickBot="1" x14ac:dyDescent="0.3">
      <c r="A171" s="82" t="str">
        <f t="shared" si="18"/>
        <v xml:space="preserve"> </v>
      </c>
      <c r="B171" s="83" t="str">
        <f t="shared" si="19"/>
        <v xml:space="preserve"> </v>
      </c>
      <c r="C171" s="83" t="str">
        <f t="shared" si="20"/>
        <v xml:space="preserve"> </v>
      </c>
      <c r="D171" s="83" t="str">
        <f t="shared" si="22"/>
        <v xml:space="preserve"> </v>
      </c>
      <c r="E171" s="83" t="str">
        <f t="shared" si="23"/>
        <v xml:space="preserve"> </v>
      </c>
      <c r="F171" s="83" t="str">
        <f t="shared" si="21"/>
        <v xml:space="preserve"> </v>
      </c>
      <c r="G171" s="73"/>
      <c r="L171" s="134">
        <v>30</v>
      </c>
      <c r="M171" s="92">
        <f t="shared" si="26"/>
        <v>0.16</v>
      </c>
      <c r="N171" s="91">
        <f t="shared" si="24"/>
        <v>1300000</v>
      </c>
      <c r="O171" s="91">
        <f t="shared" si="25"/>
        <v>300000</v>
      </c>
      <c r="P171" s="89"/>
      <c r="Q171" s="89"/>
    </row>
    <row r="172" spans="1:17" ht="15.75" thickBot="1" x14ac:dyDescent="0.3">
      <c r="A172" s="82" t="str">
        <f t="shared" si="18"/>
        <v xml:space="preserve"> </v>
      </c>
      <c r="B172" s="83" t="str">
        <f t="shared" si="19"/>
        <v xml:space="preserve"> </v>
      </c>
      <c r="C172" s="83" t="str">
        <f t="shared" si="20"/>
        <v xml:space="preserve"> </v>
      </c>
      <c r="D172" s="83" t="str">
        <f t="shared" si="22"/>
        <v xml:space="preserve"> </v>
      </c>
      <c r="E172" s="83" t="str">
        <f t="shared" si="23"/>
        <v xml:space="preserve"> </v>
      </c>
      <c r="F172" s="83" t="str">
        <f t="shared" si="21"/>
        <v xml:space="preserve"> </v>
      </c>
      <c r="G172" s="73"/>
      <c r="L172" s="134">
        <v>29</v>
      </c>
      <c r="M172" s="92">
        <f t="shared" si="26"/>
        <v>0.16</v>
      </c>
      <c r="N172" s="91">
        <f t="shared" si="24"/>
        <v>1300000</v>
      </c>
      <c r="O172" s="91">
        <f t="shared" si="25"/>
        <v>300000</v>
      </c>
      <c r="P172" s="89"/>
      <c r="Q172" s="89"/>
    </row>
    <row r="173" spans="1:17" ht="15.75" thickBot="1" x14ac:dyDescent="0.3">
      <c r="A173" s="82" t="str">
        <f t="shared" si="18"/>
        <v xml:space="preserve"> </v>
      </c>
      <c r="B173" s="83" t="str">
        <f t="shared" si="19"/>
        <v xml:space="preserve"> </v>
      </c>
      <c r="C173" s="83" t="str">
        <f t="shared" si="20"/>
        <v xml:space="preserve"> </v>
      </c>
      <c r="D173" s="83" t="str">
        <f t="shared" si="22"/>
        <v xml:space="preserve"> </v>
      </c>
      <c r="E173" s="83" t="str">
        <f t="shared" si="23"/>
        <v xml:space="preserve"> </v>
      </c>
      <c r="F173" s="83" t="str">
        <f t="shared" si="21"/>
        <v xml:space="preserve"> </v>
      </c>
      <c r="G173" s="73"/>
      <c r="L173" s="134">
        <v>28</v>
      </c>
      <c r="M173" s="92">
        <f t="shared" si="26"/>
        <v>0.16</v>
      </c>
      <c r="N173" s="91">
        <f t="shared" si="24"/>
        <v>1300000</v>
      </c>
      <c r="O173" s="91">
        <f t="shared" si="25"/>
        <v>300000</v>
      </c>
      <c r="P173" s="89"/>
      <c r="Q173" s="89"/>
    </row>
    <row r="174" spans="1:17" ht="15.75" thickBot="1" x14ac:dyDescent="0.3">
      <c r="A174" s="82" t="str">
        <f t="shared" si="18"/>
        <v xml:space="preserve"> </v>
      </c>
      <c r="B174" s="83" t="str">
        <f t="shared" si="19"/>
        <v xml:space="preserve"> </v>
      </c>
      <c r="C174" s="83" t="str">
        <f t="shared" si="20"/>
        <v xml:space="preserve"> </v>
      </c>
      <c r="D174" s="83" t="str">
        <f t="shared" si="22"/>
        <v xml:space="preserve"> </v>
      </c>
      <c r="E174" s="83" t="str">
        <f t="shared" si="23"/>
        <v xml:space="preserve"> </v>
      </c>
      <c r="F174" s="83" t="str">
        <f t="shared" si="21"/>
        <v xml:space="preserve"> </v>
      </c>
      <c r="G174" s="73"/>
      <c r="L174" s="134">
        <v>27</v>
      </c>
      <c r="M174" s="92">
        <f t="shared" si="26"/>
        <v>0.16</v>
      </c>
      <c r="N174" s="91">
        <f t="shared" si="24"/>
        <v>1300000</v>
      </c>
      <c r="O174" s="91">
        <f t="shared" si="25"/>
        <v>300000</v>
      </c>
      <c r="P174" s="89"/>
      <c r="Q174" s="89"/>
    </row>
    <row r="175" spans="1:17" ht="15.75" thickBot="1" x14ac:dyDescent="0.3">
      <c r="A175" s="82" t="str">
        <f t="shared" si="18"/>
        <v xml:space="preserve"> </v>
      </c>
      <c r="B175" s="83" t="str">
        <f t="shared" si="19"/>
        <v xml:space="preserve"> </v>
      </c>
      <c r="C175" s="83" t="str">
        <f t="shared" si="20"/>
        <v xml:space="preserve"> </v>
      </c>
      <c r="D175" s="83" t="str">
        <f t="shared" si="22"/>
        <v xml:space="preserve"> </v>
      </c>
      <c r="E175" s="83" t="str">
        <f t="shared" si="23"/>
        <v xml:space="preserve"> </v>
      </c>
      <c r="F175" s="83" t="str">
        <f t="shared" si="21"/>
        <v xml:space="preserve"> </v>
      </c>
      <c r="G175" s="73"/>
      <c r="L175" s="134">
        <v>26</v>
      </c>
      <c r="M175" s="92">
        <f t="shared" si="26"/>
        <v>0.16</v>
      </c>
      <c r="N175" s="91">
        <f t="shared" si="24"/>
        <v>1300000</v>
      </c>
      <c r="O175" s="91">
        <f t="shared" si="25"/>
        <v>300000</v>
      </c>
      <c r="P175" s="89"/>
      <c r="Q175" s="89"/>
    </row>
    <row r="176" spans="1:17" ht="15.75" thickBot="1" x14ac:dyDescent="0.3">
      <c r="A176" s="82" t="str">
        <f t="shared" si="18"/>
        <v xml:space="preserve"> </v>
      </c>
      <c r="B176" s="83" t="str">
        <f t="shared" si="19"/>
        <v xml:space="preserve"> </v>
      </c>
      <c r="C176" s="83" t="str">
        <f t="shared" si="20"/>
        <v xml:space="preserve"> </v>
      </c>
      <c r="D176" s="83" t="str">
        <f t="shared" si="22"/>
        <v xml:space="preserve"> </v>
      </c>
      <c r="E176" s="83" t="str">
        <f t="shared" si="23"/>
        <v xml:space="preserve"> </v>
      </c>
      <c r="F176" s="83" t="str">
        <f t="shared" si="21"/>
        <v xml:space="preserve"> </v>
      </c>
      <c r="G176" s="73"/>
      <c r="L176" s="134">
        <v>25</v>
      </c>
      <c r="M176" s="92">
        <f t="shared" si="26"/>
        <v>0.16</v>
      </c>
      <c r="N176" s="91">
        <f t="shared" si="24"/>
        <v>1300000</v>
      </c>
      <c r="O176" s="91">
        <f t="shared" si="25"/>
        <v>300000</v>
      </c>
      <c r="P176" s="89"/>
      <c r="Q176" s="89"/>
    </row>
    <row r="177" spans="1:17" ht="15.75" thickBot="1" x14ac:dyDescent="0.3">
      <c r="A177" s="82" t="str">
        <f t="shared" si="18"/>
        <v xml:space="preserve"> </v>
      </c>
      <c r="B177" s="83" t="str">
        <f t="shared" si="19"/>
        <v xml:space="preserve"> </v>
      </c>
      <c r="C177" s="83" t="str">
        <f t="shared" si="20"/>
        <v xml:space="preserve"> </v>
      </c>
      <c r="D177" s="83" t="str">
        <f t="shared" si="22"/>
        <v xml:space="preserve"> </v>
      </c>
      <c r="E177" s="83" t="str">
        <f t="shared" si="23"/>
        <v xml:space="preserve"> </v>
      </c>
      <c r="F177" s="83" t="str">
        <f t="shared" si="21"/>
        <v xml:space="preserve"> </v>
      </c>
      <c r="G177" s="73"/>
      <c r="L177" s="134">
        <v>24</v>
      </c>
      <c r="M177" s="92">
        <f t="shared" si="26"/>
        <v>0.16</v>
      </c>
      <c r="N177" s="91">
        <f t="shared" si="24"/>
        <v>1300000</v>
      </c>
      <c r="O177" s="91">
        <f t="shared" si="25"/>
        <v>300000</v>
      </c>
      <c r="P177" s="89"/>
      <c r="Q177" s="89"/>
    </row>
    <row r="178" spans="1:17" ht="15.75" thickBot="1" x14ac:dyDescent="0.3">
      <c r="A178" s="82" t="str">
        <f t="shared" si="18"/>
        <v xml:space="preserve"> </v>
      </c>
      <c r="B178" s="83" t="str">
        <f t="shared" si="19"/>
        <v xml:space="preserve"> </v>
      </c>
      <c r="C178" s="83" t="str">
        <f t="shared" si="20"/>
        <v xml:space="preserve"> </v>
      </c>
      <c r="D178" s="83" t="str">
        <f t="shared" si="22"/>
        <v xml:space="preserve"> </v>
      </c>
      <c r="E178" s="83" t="str">
        <f t="shared" si="23"/>
        <v xml:space="preserve"> </v>
      </c>
      <c r="F178" s="83" t="str">
        <f t="shared" si="21"/>
        <v xml:space="preserve"> </v>
      </c>
      <c r="G178" s="73"/>
      <c r="M178" s="136"/>
      <c r="P178" s="89"/>
      <c r="Q178" s="89"/>
    </row>
    <row r="179" spans="1:17" ht="15.75" thickBot="1" x14ac:dyDescent="0.3">
      <c r="A179" s="82" t="str">
        <f t="shared" si="18"/>
        <v xml:space="preserve"> </v>
      </c>
      <c r="B179" s="83" t="str">
        <f t="shared" si="19"/>
        <v xml:space="preserve"> </v>
      </c>
      <c r="C179" s="83" t="str">
        <f t="shared" si="20"/>
        <v xml:space="preserve"> </v>
      </c>
      <c r="D179" s="83" t="str">
        <f t="shared" si="22"/>
        <v xml:space="preserve"> </v>
      </c>
      <c r="E179" s="83" t="str">
        <f t="shared" si="23"/>
        <v xml:space="preserve"> </v>
      </c>
      <c r="F179" s="83" t="str">
        <f t="shared" si="21"/>
        <v xml:space="preserve"> </v>
      </c>
      <c r="G179" s="73"/>
      <c r="M179" s="136"/>
      <c r="N179" s="59" t="s">
        <v>157</v>
      </c>
      <c r="O179" s="91">
        <v>50000</v>
      </c>
    </row>
    <row r="180" spans="1:17" x14ac:dyDescent="0.25">
      <c r="A180" s="82" t="str">
        <f t="shared" si="18"/>
        <v xml:space="preserve"> </v>
      </c>
      <c r="B180" s="83" t="str">
        <f t="shared" si="19"/>
        <v xml:space="preserve"> </v>
      </c>
      <c r="C180" s="83" t="str">
        <f t="shared" si="20"/>
        <v xml:space="preserve"> </v>
      </c>
      <c r="D180" s="83" t="str">
        <f t="shared" si="22"/>
        <v xml:space="preserve"> </v>
      </c>
      <c r="E180" s="83" t="str">
        <f t="shared" si="23"/>
        <v xml:space="preserve"> </v>
      </c>
      <c r="F180" s="83" t="str">
        <f t="shared" si="21"/>
        <v xml:space="preserve"> </v>
      </c>
      <c r="G180" s="73"/>
      <c r="M180" s="136"/>
    </row>
    <row r="181" spans="1:17" x14ac:dyDescent="0.25">
      <c r="A181" s="82" t="str">
        <f t="shared" si="18"/>
        <v xml:space="preserve"> </v>
      </c>
      <c r="B181" s="83" t="str">
        <f t="shared" si="19"/>
        <v xml:space="preserve"> </v>
      </c>
      <c r="C181" s="83" t="str">
        <f t="shared" si="20"/>
        <v xml:space="preserve"> </v>
      </c>
      <c r="D181" s="83" t="str">
        <f t="shared" si="22"/>
        <v xml:space="preserve"> </v>
      </c>
      <c r="E181" s="83" t="str">
        <f t="shared" si="23"/>
        <v xml:space="preserve"> </v>
      </c>
      <c r="F181" s="83" t="str">
        <f t="shared" si="21"/>
        <v xml:space="preserve"> </v>
      </c>
      <c r="G181" s="73"/>
      <c r="M181" s="136"/>
    </row>
    <row r="182" spans="1:17" x14ac:dyDescent="0.25">
      <c r="A182" s="82" t="str">
        <f t="shared" si="18"/>
        <v xml:space="preserve"> </v>
      </c>
      <c r="B182" s="83" t="str">
        <f t="shared" si="19"/>
        <v xml:space="preserve"> </v>
      </c>
      <c r="C182" s="83" t="str">
        <f t="shared" si="20"/>
        <v xml:space="preserve"> </v>
      </c>
      <c r="D182" s="83" t="str">
        <f t="shared" si="22"/>
        <v xml:space="preserve"> </v>
      </c>
      <c r="E182" s="83" t="str">
        <f t="shared" si="23"/>
        <v xml:space="preserve"> </v>
      </c>
      <c r="F182" s="83" t="str">
        <f t="shared" si="21"/>
        <v xml:space="preserve"> </v>
      </c>
      <c r="G182" s="73"/>
      <c r="M182" s="136"/>
    </row>
    <row r="183" spans="1:17" x14ac:dyDescent="0.25">
      <c r="A183" s="82" t="str">
        <f t="shared" si="18"/>
        <v xml:space="preserve"> </v>
      </c>
      <c r="B183" s="83" t="str">
        <f t="shared" si="19"/>
        <v xml:space="preserve"> </v>
      </c>
      <c r="C183" s="83" t="str">
        <f t="shared" si="20"/>
        <v xml:space="preserve"> </v>
      </c>
      <c r="D183" s="83" t="str">
        <f t="shared" si="22"/>
        <v xml:space="preserve"> </v>
      </c>
      <c r="E183" s="83" t="str">
        <f t="shared" si="23"/>
        <v xml:space="preserve"> </v>
      </c>
      <c r="F183" s="83" t="str">
        <f t="shared" si="21"/>
        <v xml:space="preserve"> </v>
      </c>
      <c r="G183" s="73"/>
      <c r="M183" s="136"/>
    </row>
    <row r="184" spans="1:17" x14ac:dyDescent="0.25">
      <c r="A184" s="82" t="str">
        <f t="shared" si="18"/>
        <v xml:space="preserve"> </v>
      </c>
      <c r="B184" s="83" t="str">
        <f t="shared" si="19"/>
        <v xml:space="preserve"> </v>
      </c>
      <c r="C184" s="83" t="str">
        <f t="shared" si="20"/>
        <v xml:space="preserve"> </v>
      </c>
      <c r="D184" s="83" t="str">
        <f t="shared" si="22"/>
        <v xml:space="preserve"> </v>
      </c>
      <c r="E184" s="83" t="str">
        <f t="shared" si="23"/>
        <v xml:space="preserve"> </v>
      </c>
      <c r="F184" s="83" t="str">
        <f t="shared" si="21"/>
        <v xml:space="preserve"> </v>
      </c>
      <c r="G184" s="73"/>
      <c r="M184" s="136"/>
    </row>
    <row r="185" spans="1:17" x14ac:dyDescent="0.25">
      <c r="A185" s="82" t="str">
        <f t="shared" si="18"/>
        <v xml:space="preserve"> </v>
      </c>
      <c r="B185" s="83" t="str">
        <f t="shared" si="19"/>
        <v xml:space="preserve"> </v>
      </c>
      <c r="C185" s="83" t="str">
        <f t="shared" si="20"/>
        <v xml:space="preserve"> </v>
      </c>
      <c r="D185" s="83" t="str">
        <f t="shared" si="22"/>
        <v xml:space="preserve"> </v>
      </c>
      <c r="E185" s="83" t="str">
        <f t="shared" si="23"/>
        <v xml:space="preserve"> </v>
      </c>
      <c r="F185" s="83" t="str">
        <f t="shared" si="21"/>
        <v xml:space="preserve"> </v>
      </c>
      <c r="G185" s="73"/>
      <c r="M185" s="136"/>
    </row>
    <row r="186" spans="1:17" x14ac:dyDescent="0.25">
      <c r="A186" s="82" t="str">
        <f t="shared" si="18"/>
        <v xml:space="preserve"> </v>
      </c>
      <c r="B186" s="83" t="str">
        <f t="shared" si="19"/>
        <v xml:space="preserve"> </v>
      </c>
      <c r="C186" s="83" t="str">
        <f t="shared" si="20"/>
        <v xml:space="preserve"> </v>
      </c>
      <c r="D186" s="83" t="str">
        <f t="shared" si="22"/>
        <v xml:space="preserve"> </v>
      </c>
      <c r="E186" s="83" t="str">
        <f t="shared" si="23"/>
        <v xml:space="preserve"> </v>
      </c>
      <c r="F186" s="83" t="str">
        <f t="shared" si="21"/>
        <v xml:space="preserve"> </v>
      </c>
      <c r="G186" s="73"/>
      <c r="M186" s="136"/>
    </row>
    <row r="187" spans="1:17" x14ac:dyDescent="0.25">
      <c r="A187" s="82" t="str">
        <f t="shared" si="18"/>
        <v xml:space="preserve"> </v>
      </c>
      <c r="B187" s="83" t="str">
        <f t="shared" si="19"/>
        <v xml:space="preserve"> </v>
      </c>
      <c r="C187" s="83" t="str">
        <f t="shared" si="20"/>
        <v xml:space="preserve"> </v>
      </c>
      <c r="D187" s="83" t="str">
        <f t="shared" si="22"/>
        <v xml:space="preserve"> </v>
      </c>
      <c r="E187" s="83" t="str">
        <f t="shared" si="23"/>
        <v xml:space="preserve"> </v>
      </c>
      <c r="F187" s="83" t="str">
        <f t="shared" si="21"/>
        <v xml:space="preserve"> </v>
      </c>
      <c r="G187" s="73"/>
      <c r="M187" s="136"/>
    </row>
    <row r="188" spans="1:17" x14ac:dyDescent="0.25">
      <c r="A188" s="82" t="str">
        <f t="shared" si="18"/>
        <v xml:space="preserve"> </v>
      </c>
      <c r="B188" s="83" t="str">
        <f t="shared" si="19"/>
        <v xml:space="preserve"> </v>
      </c>
      <c r="C188" s="83" t="str">
        <f t="shared" si="20"/>
        <v xml:space="preserve"> </v>
      </c>
      <c r="D188" s="83" t="str">
        <f t="shared" si="22"/>
        <v xml:space="preserve"> </v>
      </c>
      <c r="E188" s="83" t="str">
        <f t="shared" si="23"/>
        <v xml:space="preserve"> </v>
      </c>
      <c r="F188" s="83" t="str">
        <f t="shared" si="21"/>
        <v xml:space="preserve"> </v>
      </c>
      <c r="G188" s="73"/>
      <c r="M188" s="136"/>
    </row>
    <row r="189" spans="1:17" x14ac:dyDescent="0.25">
      <c r="A189" s="82" t="str">
        <f t="shared" si="18"/>
        <v xml:space="preserve"> </v>
      </c>
      <c r="B189" s="83" t="str">
        <f t="shared" si="19"/>
        <v xml:space="preserve"> </v>
      </c>
      <c r="C189" s="83" t="str">
        <f t="shared" si="20"/>
        <v xml:space="preserve"> </v>
      </c>
      <c r="D189" s="83" t="str">
        <f t="shared" si="22"/>
        <v xml:space="preserve"> </v>
      </c>
      <c r="E189" s="83" t="str">
        <f t="shared" si="23"/>
        <v xml:space="preserve"> </v>
      </c>
      <c r="F189" s="83" t="str">
        <f t="shared" si="21"/>
        <v xml:space="preserve"> </v>
      </c>
      <c r="G189" s="73"/>
      <c r="M189" s="136"/>
    </row>
    <row r="190" spans="1:17" x14ac:dyDescent="0.25">
      <c r="A190" s="82" t="str">
        <f t="shared" si="18"/>
        <v xml:space="preserve"> </v>
      </c>
      <c r="B190" s="83" t="str">
        <f t="shared" si="19"/>
        <v xml:space="preserve"> </v>
      </c>
      <c r="C190" s="83" t="str">
        <f t="shared" si="20"/>
        <v xml:space="preserve"> </v>
      </c>
      <c r="D190" s="83" t="str">
        <f t="shared" si="22"/>
        <v xml:space="preserve"> </v>
      </c>
      <c r="E190" s="83" t="str">
        <f t="shared" si="23"/>
        <v xml:space="preserve"> </v>
      </c>
      <c r="F190" s="83" t="str">
        <f t="shared" si="21"/>
        <v xml:space="preserve"> </v>
      </c>
      <c r="G190" s="73"/>
    </row>
    <row r="191" spans="1:17" x14ac:dyDescent="0.25">
      <c r="A191" s="82" t="str">
        <f t="shared" si="18"/>
        <v xml:space="preserve"> </v>
      </c>
      <c r="B191" s="83" t="str">
        <f t="shared" si="19"/>
        <v xml:space="preserve"> </v>
      </c>
      <c r="C191" s="83" t="str">
        <f t="shared" si="20"/>
        <v xml:space="preserve"> </v>
      </c>
      <c r="D191" s="83" t="str">
        <f t="shared" si="22"/>
        <v xml:space="preserve"> </v>
      </c>
      <c r="E191" s="83" t="str">
        <f t="shared" si="23"/>
        <v xml:space="preserve"> </v>
      </c>
      <c r="F191" s="83" t="str">
        <f t="shared" si="21"/>
        <v xml:space="preserve"> </v>
      </c>
      <c r="G191" s="73"/>
    </row>
    <row r="192" spans="1:17" ht="15.75" thickBot="1" x14ac:dyDescent="0.3">
      <c r="A192" s="82" t="str">
        <f t="shared" si="18"/>
        <v xml:space="preserve"> </v>
      </c>
      <c r="B192" s="83" t="str">
        <f t="shared" si="19"/>
        <v xml:space="preserve"> </v>
      </c>
      <c r="C192" s="83" t="str">
        <f t="shared" si="20"/>
        <v xml:space="preserve"> </v>
      </c>
      <c r="D192" s="83" t="str">
        <f t="shared" si="22"/>
        <v xml:space="preserve"> </v>
      </c>
      <c r="E192" s="83" t="str">
        <f t="shared" si="23"/>
        <v xml:space="preserve"> </v>
      </c>
      <c r="F192" s="83" t="str">
        <f t="shared" si="21"/>
        <v xml:space="preserve"> </v>
      </c>
      <c r="G192" s="73"/>
    </row>
    <row r="193" spans="1:7" ht="15.75" thickBot="1" x14ac:dyDescent="0.3">
      <c r="A193" s="75"/>
      <c r="B193" s="114"/>
      <c r="C193" s="114"/>
      <c r="D193" s="114"/>
      <c r="E193" s="114"/>
      <c r="F193" s="114"/>
      <c r="G193" s="73"/>
    </row>
    <row r="194" spans="1:7" x14ac:dyDescent="0.25">
      <c r="A194" s="115" t="s">
        <v>158</v>
      </c>
      <c r="B194" s="74"/>
      <c r="C194" s="74"/>
      <c r="D194" s="74"/>
      <c r="G194" s="73"/>
    </row>
    <row r="195" spans="1:7" x14ac:dyDescent="0.25">
      <c r="A195" s="74"/>
      <c r="B195" s="74"/>
      <c r="C195" s="74"/>
      <c r="D195" s="74"/>
      <c r="G195" s="73"/>
    </row>
    <row r="196" spans="1:7" x14ac:dyDescent="0.25">
      <c r="G196" s="73"/>
    </row>
    <row r="197" spans="1:7" x14ac:dyDescent="0.25">
      <c r="G197" s="73"/>
    </row>
    <row r="198" spans="1:7" x14ac:dyDescent="0.25">
      <c r="A198" s="115" t="s">
        <v>159</v>
      </c>
      <c r="B198" s="74"/>
      <c r="C198" s="74"/>
      <c r="D198" s="115" t="s">
        <v>160</v>
      </c>
      <c r="E198" s="115" t="s">
        <v>161</v>
      </c>
      <c r="F198" s="74"/>
    </row>
    <row r="199" spans="1:7" x14ac:dyDescent="0.25">
      <c r="G199" s="74"/>
    </row>
    <row r="200" spans="1:7" x14ac:dyDescent="0.25">
      <c r="A200" s="74"/>
      <c r="B200" s="74"/>
      <c r="C200" s="74"/>
      <c r="D200" s="74"/>
      <c r="E200" s="74"/>
      <c r="F200" s="74"/>
    </row>
    <row r="201" spans="1:7" x14ac:dyDescent="0.25">
      <c r="A201" s="74"/>
      <c r="B201" s="74"/>
      <c r="C201" s="74"/>
      <c r="D201" s="74"/>
      <c r="E201" s="74"/>
      <c r="F201" s="74"/>
      <c r="G201" s="74"/>
    </row>
    <row r="202" spans="1:7" x14ac:dyDescent="0.25">
      <c r="A202" s="74"/>
      <c r="B202" s="74"/>
      <c r="C202" s="74"/>
      <c r="D202" s="74"/>
      <c r="E202" s="74"/>
      <c r="F202" s="74"/>
      <c r="G202" s="74"/>
    </row>
    <row r="203" spans="1:7" x14ac:dyDescent="0.25">
      <c r="A203" s="74"/>
      <c r="B203" s="74"/>
      <c r="C203" s="74"/>
      <c r="D203" s="74"/>
      <c r="E203" s="74"/>
      <c r="F203" s="74"/>
      <c r="G203" s="74"/>
    </row>
    <row r="204" spans="1:7" x14ac:dyDescent="0.25">
      <c r="A204" s="74"/>
      <c r="B204" s="74"/>
      <c r="C204" s="74"/>
      <c r="D204" s="74"/>
      <c r="E204" s="74"/>
      <c r="F204" s="74"/>
      <c r="G204" s="74"/>
    </row>
    <row r="205" spans="1:7" x14ac:dyDescent="0.25">
      <c r="A205" s="74"/>
      <c r="B205" s="74"/>
      <c r="C205" s="74"/>
      <c r="D205" s="74"/>
      <c r="E205" s="74"/>
      <c r="F205" s="74"/>
      <c r="G205" s="74"/>
    </row>
    <row r="206" spans="1:7" x14ac:dyDescent="0.25">
      <c r="A206" s="74"/>
      <c r="B206" s="74"/>
      <c r="C206" s="74"/>
      <c r="D206" s="74"/>
      <c r="E206" s="74"/>
      <c r="F206" s="74"/>
      <c r="G206" s="74"/>
    </row>
    <row r="207" spans="1:7" x14ac:dyDescent="0.25">
      <c r="A207" s="74"/>
      <c r="B207" s="74"/>
      <c r="C207" s="74"/>
      <c r="D207" s="74"/>
      <c r="E207" s="74"/>
      <c r="F207" s="74"/>
      <c r="G207" s="74"/>
    </row>
    <row r="208" spans="1:7" x14ac:dyDescent="0.25">
      <c r="A208" s="74"/>
      <c r="B208" s="74"/>
      <c r="C208" s="74"/>
      <c r="D208" s="74"/>
      <c r="E208" s="74"/>
      <c r="F208" s="74"/>
      <c r="G208" s="74"/>
    </row>
    <row r="209" spans="1:7" x14ac:dyDescent="0.25">
      <c r="A209" s="74"/>
      <c r="B209" s="74"/>
      <c r="C209" s="74"/>
      <c r="D209" s="74"/>
      <c r="E209" s="74"/>
      <c r="F209" s="74"/>
      <c r="G209" s="74"/>
    </row>
    <row r="210" spans="1:7" x14ac:dyDescent="0.25">
      <c r="A210" s="74"/>
      <c r="B210" s="74"/>
      <c r="C210" s="74"/>
      <c r="D210" s="74"/>
      <c r="E210" s="74"/>
      <c r="F210" s="74"/>
      <c r="G210" s="74"/>
    </row>
    <row r="211" spans="1:7" x14ac:dyDescent="0.25">
      <c r="A211" s="74"/>
      <c r="B211" s="74"/>
      <c r="C211" s="74"/>
      <c r="D211" s="74"/>
      <c r="E211" s="74"/>
      <c r="F211" s="74"/>
      <c r="G211" s="74"/>
    </row>
    <row r="212" spans="1:7" x14ac:dyDescent="0.25">
      <c r="A212" s="74"/>
      <c r="B212" s="74"/>
      <c r="C212" s="74"/>
      <c r="D212" s="74"/>
      <c r="E212" s="74"/>
      <c r="F212" s="74"/>
      <c r="G212" s="74"/>
    </row>
    <row r="213" spans="1:7" x14ac:dyDescent="0.25">
      <c r="A213" s="74"/>
      <c r="B213" s="74"/>
      <c r="C213" s="74"/>
      <c r="D213" s="74"/>
      <c r="E213" s="74"/>
      <c r="F213" s="74"/>
      <c r="G213" s="74"/>
    </row>
    <row r="214" spans="1:7" x14ac:dyDescent="0.25">
      <c r="A214" s="74"/>
      <c r="B214" s="74"/>
      <c r="C214" s="74"/>
      <c r="D214" s="74"/>
      <c r="E214" s="74"/>
      <c r="F214" s="74"/>
      <c r="G214" s="74"/>
    </row>
    <row r="215" spans="1:7" x14ac:dyDescent="0.25">
      <c r="A215" s="74"/>
      <c r="B215" s="74"/>
      <c r="C215" s="74"/>
      <c r="D215" s="74"/>
      <c r="E215" s="74"/>
      <c r="F215" s="74"/>
      <c r="G215" s="74"/>
    </row>
    <row r="216" spans="1:7" x14ac:dyDescent="0.25">
      <c r="A216" s="74"/>
      <c r="B216" s="74"/>
      <c r="C216" s="74"/>
      <c r="D216" s="74"/>
      <c r="E216" s="74"/>
      <c r="F216" s="74"/>
      <c r="G216" s="74"/>
    </row>
    <row r="217" spans="1:7" x14ac:dyDescent="0.25">
      <c r="A217" s="74"/>
      <c r="B217" s="74"/>
      <c r="C217" s="74"/>
      <c r="D217" s="74"/>
      <c r="E217" s="74"/>
      <c r="F217" s="74"/>
      <c r="G217" s="74"/>
    </row>
    <row r="218" spans="1:7" x14ac:dyDescent="0.25">
      <c r="A218" s="74"/>
      <c r="B218" s="74"/>
      <c r="C218" s="74"/>
      <c r="D218" s="74"/>
      <c r="E218" s="74"/>
      <c r="F218" s="74"/>
      <c r="G218" s="74"/>
    </row>
    <row r="219" spans="1:7" x14ac:dyDescent="0.25">
      <c r="A219" s="74"/>
      <c r="B219" s="74"/>
      <c r="C219" s="74"/>
      <c r="D219" s="74"/>
      <c r="E219" s="74"/>
      <c r="F219" s="74"/>
      <c r="G219" s="74"/>
    </row>
    <row r="220" spans="1:7" x14ac:dyDescent="0.25">
      <c r="A220" s="74"/>
      <c r="B220" s="74"/>
      <c r="C220" s="74"/>
      <c r="D220" s="74"/>
      <c r="E220" s="74"/>
      <c r="F220" s="74"/>
      <c r="G220" s="74"/>
    </row>
    <row r="221" spans="1:7" x14ac:dyDescent="0.25">
      <c r="A221" s="74"/>
      <c r="B221" s="74"/>
      <c r="C221" s="74"/>
      <c r="D221" s="74"/>
      <c r="E221" s="74"/>
      <c r="F221" s="74"/>
      <c r="G221" s="74"/>
    </row>
    <row r="222" spans="1:7" x14ac:dyDescent="0.25">
      <c r="A222" s="74"/>
      <c r="B222" s="74"/>
      <c r="C222" s="74"/>
      <c r="D222" s="74"/>
      <c r="E222" s="74"/>
      <c r="F222" s="74"/>
      <c r="G222" s="74"/>
    </row>
    <row r="223" spans="1:7" x14ac:dyDescent="0.25">
      <c r="A223" s="74"/>
      <c r="B223" s="74"/>
      <c r="C223" s="74"/>
      <c r="D223" s="74"/>
      <c r="E223" s="74"/>
      <c r="F223" s="74"/>
      <c r="G223" s="74"/>
    </row>
    <row r="224" spans="1:7" x14ac:dyDescent="0.25">
      <c r="A224" s="74"/>
      <c r="B224" s="74"/>
      <c r="C224" s="74"/>
      <c r="D224" s="74"/>
      <c r="E224" s="74"/>
      <c r="F224" s="74"/>
      <c r="G224" s="74"/>
    </row>
    <row r="225" spans="1:7" x14ac:dyDescent="0.25">
      <c r="A225" s="74"/>
      <c r="B225" s="74"/>
      <c r="C225" s="74"/>
      <c r="D225" s="74"/>
      <c r="E225" s="74"/>
      <c r="F225" s="74"/>
      <c r="G225" s="74"/>
    </row>
    <row r="226" spans="1:7" x14ac:dyDescent="0.25">
      <c r="A226" s="74"/>
      <c r="B226" s="74"/>
      <c r="C226" s="74"/>
      <c r="D226" s="74"/>
      <c r="E226" s="74"/>
      <c r="F226" s="74"/>
      <c r="G226" s="74"/>
    </row>
    <row r="227" spans="1:7" x14ac:dyDescent="0.25">
      <c r="A227" s="74"/>
      <c r="B227" s="74"/>
      <c r="C227" s="74"/>
      <c r="D227" s="74"/>
      <c r="E227" s="74"/>
      <c r="F227" s="74"/>
      <c r="G227" s="74"/>
    </row>
    <row r="228" spans="1:7" x14ac:dyDescent="0.25">
      <c r="A228" s="74"/>
      <c r="B228" s="74"/>
      <c r="C228" s="74"/>
      <c r="D228" s="74"/>
      <c r="E228" s="74"/>
      <c r="F228" s="74"/>
      <c r="G228" s="74"/>
    </row>
    <row r="229" spans="1:7" x14ac:dyDescent="0.25">
      <c r="A229" s="74"/>
      <c r="B229" s="74"/>
      <c r="C229" s="74"/>
      <c r="D229" s="74"/>
      <c r="E229" s="74"/>
      <c r="F229" s="74"/>
      <c r="G229" s="74"/>
    </row>
    <row r="230" spans="1:7" x14ac:dyDescent="0.25">
      <c r="A230" s="74"/>
      <c r="B230" s="74"/>
      <c r="C230" s="74"/>
      <c r="D230" s="74"/>
      <c r="E230" s="74"/>
      <c r="F230" s="74"/>
      <c r="G230" s="74"/>
    </row>
    <row r="231" spans="1:7" x14ac:dyDescent="0.25">
      <c r="A231" s="74"/>
      <c r="B231" s="74"/>
      <c r="C231" s="74"/>
      <c r="D231" s="74"/>
      <c r="E231" s="74"/>
      <c r="F231" s="74"/>
      <c r="G231" s="74"/>
    </row>
    <row r="232" spans="1:7" x14ac:dyDescent="0.25">
      <c r="A232" s="74"/>
      <c r="B232" s="74"/>
      <c r="C232" s="74"/>
      <c r="D232" s="74"/>
      <c r="E232" s="74"/>
      <c r="F232" s="74"/>
      <c r="G232" s="74"/>
    </row>
    <row r="233" spans="1:7" x14ac:dyDescent="0.25">
      <c r="A233" s="74"/>
      <c r="B233" s="74"/>
      <c r="C233" s="74"/>
      <c r="D233" s="74"/>
      <c r="E233" s="74"/>
      <c r="F233" s="74"/>
      <c r="G233" s="74"/>
    </row>
    <row r="234" spans="1:7" x14ac:dyDescent="0.25">
      <c r="A234" s="74"/>
      <c r="B234" s="74"/>
      <c r="C234" s="74"/>
      <c r="D234" s="74"/>
      <c r="E234" s="74"/>
      <c r="F234" s="74"/>
      <c r="G234" s="74"/>
    </row>
    <row r="235" spans="1:7" x14ac:dyDescent="0.25">
      <c r="A235" s="74"/>
      <c r="B235" s="74"/>
      <c r="C235" s="74"/>
      <c r="D235" s="74"/>
      <c r="E235" s="74"/>
      <c r="F235" s="74"/>
      <c r="G235" s="74"/>
    </row>
    <row r="236" spans="1:7" x14ac:dyDescent="0.25">
      <c r="A236" s="74"/>
      <c r="B236" s="74"/>
      <c r="C236" s="74"/>
      <c r="D236" s="74"/>
      <c r="E236" s="74"/>
      <c r="F236" s="74"/>
      <c r="G236" s="74"/>
    </row>
    <row r="237" spans="1:7" x14ac:dyDescent="0.25">
      <c r="A237" s="74"/>
      <c r="B237" s="74"/>
      <c r="C237" s="74"/>
      <c r="D237" s="74"/>
      <c r="E237" s="74"/>
      <c r="F237" s="74"/>
      <c r="G237" s="74"/>
    </row>
    <row r="238" spans="1:7" x14ac:dyDescent="0.25">
      <c r="A238" s="74"/>
      <c r="B238" s="74"/>
      <c r="C238" s="74"/>
      <c r="D238" s="74"/>
      <c r="E238" s="74"/>
      <c r="F238" s="74"/>
      <c r="G238" s="74"/>
    </row>
    <row r="239" spans="1:7" x14ac:dyDescent="0.25">
      <c r="A239" s="74"/>
      <c r="B239" s="74"/>
      <c r="C239" s="74"/>
      <c r="D239" s="74"/>
      <c r="E239" s="74"/>
      <c r="F239" s="74"/>
      <c r="G239" s="74"/>
    </row>
    <row r="240" spans="1:7" x14ac:dyDescent="0.25">
      <c r="G240" s="74"/>
    </row>
  </sheetData>
  <sheetProtection algorithmName="SHA-512" hashValue="1q8PDL++XreG5DULAfrWT86omeqmuc5zQ5VwVOUKFIsfS5JEMPv4vUgjs9BnrzxGVLaIRbLHr8Dc9fHY8YUeRQ==" saltValue="3ADLtqjfSCEZkj2hSxwW0g==" spinCount="100000" sheet="1" objects="1" scenarios="1"/>
  <conditionalFormatting sqref="I29">
    <cfRule type="cellIs" dxfId="19" priority="8" stopIfTrue="1" operator="greaterThan">
      <formula>0</formula>
    </cfRule>
  </conditionalFormatting>
  <conditionalFormatting sqref="I31">
    <cfRule type="cellIs" dxfId="18" priority="6" operator="lessThan">
      <formula>0</formula>
    </cfRule>
  </conditionalFormatting>
  <conditionalFormatting sqref="I35:I40">
    <cfRule type="cellIs" dxfId="17" priority="2" operator="lessThan">
      <formula>0</formula>
    </cfRule>
  </conditionalFormatting>
  <conditionalFormatting sqref="I42">
    <cfRule type="cellIs" dxfId="16" priority="5" operator="lessThan">
      <formula>0</formula>
    </cfRule>
  </conditionalFormatting>
  <conditionalFormatting sqref="I45:I51">
    <cfRule type="cellIs" dxfId="15" priority="1" operator="lessThan">
      <formula>0</formula>
    </cfRule>
  </conditionalFormatting>
  <conditionalFormatting sqref="I55:I56">
    <cfRule type="cellIs" dxfId="14" priority="4" operator="lessThan">
      <formula>0</formula>
    </cfRule>
  </conditionalFormatting>
  <conditionalFormatting sqref="M21:M177">
    <cfRule type="cellIs" dxfId="13" priority="3" operator="greaterThanOrEqual">
      <formula>$F$9</formula>
    </cfRule>
  </conditionalFormatting>
  <conditionalFormatting sqref="O11:O12 I27:I28">
    <cfRule type="cellIs" dxfId="12" priority="9" operator="greaterThan">
      <formula>$F$9</formula>
    </cfRule>
  </conditionalFormatting>
  <conditionalFormatting sqref="O13">
    <cfRule type="cellIs" dxfId="11" priority="7" stopIfTrue="1" operator="greaterThan">
      <formula>0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ABD67-A9D4-4E3B-89AA-E4C15750618F}">
  <sheetPr codeName="Hoja4"/>
  <dimension ref="B2:M53"/>
  <sheetViews>
    <sheetView showGridLines="0" tabSelected="1" workbookViewId="0">
      <selection activeCell="I48" sqref="I48"/>
    </sheetView>
  </sheetViews>
  <sheetFormatPr baseColWidth="10" defaultRowHeight="13.5" x14ac:dyDescent="0.25"/>
  <cols>
    <col min="1" max="1" width="4.42578125" style="4" customWidth="1"/>
    <col min="2" max="2" width="5.28515625" style="4" customWidth="1"/>
    <col min="3" max="3" width="18" style="4" customWidth="1"/>
    <col min="4" max="4" width="14.140625" style="4" customWidth="1"/>
    <col min="5" max="5" width="20.42578125" style="4" customWidth="1"/>
    <col min="6" max="6" width="4.85546875" style="4" customWidth="1"/>
    <col min="7" max="7" width="27.5703125" style="4" customWidth="1"/>
    <col min="8" max="8" width="14.28515625" style="4" customWidth="1"/>
    <col min="9" max="9" width="13" style="4" customWidth="1"/>
    <col min="10" max="10" width="4.5703125" style="4" customWidth="1"/>
    <col min="11" max="11" width="4.42578125" style="4" customWidth="1"/>
    <col min="12" max="12" width="17.28515625" style="4" customWidth="1"/>
    <col min="13" max="13" width="4.85546875" style="4" customWidth="1"/>
    <col min="14" max="16384" width="11.42578125" style="4"/>
  </cols>
  <sheetData>
    <row r="2" spans="2:13" ht="26.25" customHeight="1" x14ac:dyDescent="0.25"/>
    <row r="4" spans="2:13" x14ac:dyDescent="0.25">
      <c r="B4" s="149"/>
      <c r="C4" s="149"/>
      <c r="D4" s="149"/>
      <c r="E4" s="149"/>
      <c r="F4" s="149"/>
      <c r="G4" s="149"/>
      <c r="H4" s="149"/>
      <c r="I4" s="149"/>
      <c r="J4" s="149"/>
    </row>
    <row r="5" spans="2:13" x14ac:dyDescent="0.25">
      <c r="B5" s="149"/>
      <c r="C5" s="150" t="s">
        <v>64</v>
      </c>
      <c r="D5" s="150"/>
      <c r="E5" s="49" t="s">
        <v>12</v>
      </c>
      <c r="F5" s="149"/>
      <c r="G5" s="181" t="s">
        <v>72</v>
      </c>
      <c r="H5" s="181"/>
      <c r="I5" s="149"/>
      <c r="J5" s="149"/>
    </row>
    <row r="6" spans="2:13" ht="2.25" customHeight="1" x14ac:dyDescent="0.25">
      <c r="B6" s="149"/>
      <c r="C6" s="150"/>
      <c r="D6" s="150"/>
      <c r="E6" s="150"/>
      <c r="F6" s="150"/>
      <c r="G6" s="152"/>
      <c r="H6" s="152"/>
      <c r="I6" s="149"/>
      <c r="J6" s="149"/>
    </row>
    <row r="7" spans="2:13" x14ac:dyDescent="0.25">
      <c r="B7" s="149"/>
      <c r="C7" s="150" t="s">
        <v>175</v>
      </c>
      <c r="D7" s="151" t="s">
        <v>176</v>
      </c>
      <c r="E7" s="50">
        <v>15731</v>
      </c>
      <c r="F7" s="155"/>
      <c r="G7" s="182">
        <f ca="1">VLOOKUP(E8,Formulas!B24:D27,3,TRUE)</f>
        <v>14235000</v>
      </c>
      <c r="H7" s="182"/>
      <c r="I7" s="149"/>
      <c r="J7" s="149"/>
    </row>
    <row r="8" spans="2:13" x14ac:dyDescent="0.25">
      <c r="B8" s="149"/>
      <c r="C8" s="150" t="s">
        <v>0</v>
      </c>
      <c r="D8" s="150"/>
      <c r="E8" s="152">
        <f ca="1">IF(E7="", "", DATEDIF(E7,TODAY(),"Y"))</f>
        <v>82</v>
      </c>
      <c r="F8" s="149"/>
      <c r="G8" s="150"/>
      <c r="H8" s="149"/>
      <c r="I8" s="149"/>
      <c r="J8" s="149"/>
    </row>
    <row r="9" spans="2:13" x14ac:dyDescent="0.25">
      <c r="B9" s="149"/>
      <c r="C9" s="150" t="s">
        <v>167</v>
      </c>
      <c r="D9" s="150"/>
      <c r="E9" s="152">
        <f ca="1">+DATEDIF(E7,Formulas!D5,"Y")</f>
        <v>87</v>
      </c>
      <c r="F9" s="156" t="str">
        <f ca="1">IF($E$9&gt;=90,"Plazo no válido, debe terminar de cancelar antes de los 90 años","")</f>
        <v/>
      </c>
      <c r="G9" s="150"/>
      <c r="H9" s="149"/>
      <c r="I9" s="149"/>
      <c r="J9" s="149"/>
    </row>
    <row r="10" spans="2:13" x14ac:dyDescent="0.25">
      <c r="B10" s="149"/>
      <c r="C10" s="150"/>
      <c r="D10" s="150"/>
      <c r="E10" s="149"/>
      <c r="F10" s="149"/>
      <c r="G10" s="150"/>
      <c r="H10" s="149"/>
      <c r="I10" s="149"/>
      <c r="J10" s="149"/>
    </row>
    <row r="11" spans="2:13" x14ac:dyDescent="0.25">
      <c r="B11" s="149"/>
      <c r="C11" s="181" t="s">
        <v>37</v>
      </c>
      <c r="D11" s="181"/>
      <c r="E11" s="149"/>
      <c r="F11" s="149"/>
      <c r="G11" s="181" t="s">
        <v>65</v>
      </c>
      <c r="H11" s="181"/>
      <c r="I11" s="149"/>
      <c r="J11" s="149"/>
    </row>
    <row r="12" spans="2:13" x14ac:dyDescent="0.25">
      <c r="B12" s="149"/>
      <c r="C12" s="150" t="s">
        <v>60</v>
      </c>
      <c r="D12" s="150"/>
      <c r="E12" s="51">
        <v>1350000</v>
      </c>
      <c r="F12" s="149"/>
      <c r="G12" s="150" t="s">
        <v>189</v>
      </c>
      <c r="H12" s="145">
        <v>0.08</v>
      </c>
      <c r="I12" s="157">
        <f>+H16*H12</f>
        <v>113400</v>
      </c>
      <c r="J12" s="149"/>
      <c r="L12" s="139" t="s">
        <v>194</v>
      </c>
      <c r="M12" s="141">
        <v>0.09</v>
      </c>
    </row>
    <row r="13" spans="2:13" ht="2.25" customHeight="1" x14ac:dyDescent="0.25">
      <c r="B13" s="149"/>
      <c r="C13" s="150"/>
      <c r="D13" s="150"/>
      <c r="E13" s="150"/>
      <c r="F13" s="150"/>
      <c r="G13" s="150"/>
      <c r="H13" s="149"/>
      <c r="I13" s="149"/>
      <c r="J13" s="149"/>
    </row>
    <row r="14" spans="2:13" x14ac:dyDescent="0.25">
      <c r="B14" s="149"/>
      <c r="C14" s="150" t="s">
        <v>61</v>
      </c>
      <c r="D14" s="150"/>
      <c r="E14" s="51">
        <v>0</v>
      </c>
      <c r="F14" s="149"/>
      <c r="G14" s="150" t="s">
        <v>192</v>
      </c>
      <c r="H14" s="145">
        <v>0.05</v>
      </c>
      <c r="I14" s="149"/>
      <c r="J14" s="149"/>
      <c r="L14" s="4" t="s">
        <v>193</v>
      </c>
      <c r="M14" s="141">
        <v>0.05</v>
      </c>
    </row>
    <row r="15" spans="2:13" ht="2.25" customHeight="1" x14ac:dyDescent="0.25">
      <c r="B15" s="149"/>
      <c r="C15" s="150"/>
      <c r="D15" s="150"/>
      <c r="E15" s="150"/>
      <c r="F15" s="150"/>
      <c r="G15" s="150"/>
      <c r="H15" s="158"/>
      <c r="I15" s="149"/>
      <c r="J15" s="149"/>
    </row>
    <row r="16" spans="2:13" x14ac:dyDescent="0.25">
      <c r="B16" s="149"/>
      <c r="C16" s="150" t="s">
        <v>201</v>
      </c>
      <c r="D16" s="150"/>
      <c r="E16" s="51">
        <v>5000</v>
      </c>
      <c r="F16" s="149"/>
      <c r="G16" s="150" t="s">
        <v>191</v>
      </c>
      <c r="H16" s="157">
        <f>+(E12*H14)+E12</f>
        <v>1417500</v>
      </c>
      <c r="I16" s="149"/>
      <c r="J16" s="149"/>
    </row>
    <row r="17" spans="2:10" ht="2.25" customHeight="1" x14ac:dyDescent="0.25">
      <c r="B17" s="149"/>
      <c r="C17" s="150"/>
      <c r="D17" s="150"/>
      <c r="E17" s="150"/>
      <c r="F17" s="149"/>
      <c r="G17" s="150"/>
      <c r="H17" s="158"/>
      <c r="I17" s="150"/>
      <c r="J17" s="149"/>
    </row>
    <row r="18" spans="2:10" x14ac:dyDescent="0.25">
      <c r="B18" s="149"/>
      <c r="C18" s="150" t="s">
        <v>202</v>
      </c>
      <c r="D18" s="150"/>
      <c r="E18" s="51">
        <v>0</v>
      </c>
      <c r="F18" s="149"/>
      <c r="G18" s="150" t="s">
        <v>1</v>
      </c>
      <c r="H18" s="154">
        <f>IF(E5=Formulas!$N$3,Formulas!$I$27,
IF(E5=Formulas!$N$4,Formulas!$I$20,
IF(E5=Formulas!$N$5,Formulas!$I$21,
IF(E5=Formulas!$N$6,Formulas!$I$21,
IF(E5=Formulas!$N$7,Formulas!$I$21,
IF(E5=Formulas!$N$8,Formulas!$I$19,
IF(E5=Formulas!$N$9,Formulas!$I$22,
IF(E5=Formulas!$N$10,Formulas!$I$25,
IF(E5=Formulas!$N$11,Formulas!$I$26,
IF(E5=Formulas!$N$12,Formulas!$I$24,
IF(E5=Formulas!$N$13,Formulas!$I$23,
IF(E5=Formulas!$N$14,Formulas!$I$23,
"Error"))))))))))))+E24</f>
        <v>191050</v>
      </c>
      <c r="I18" s="149"/>
      <c r="J18" s="149"/>
    </row>
    <row r="19" spans="2:10" ht="2.25" customHeight="1" x14ac:dyDescent="0.25">
      <c r="B19" s="149"/>
      <c r="C19" s="150"/>
      <c r="D19" s="150"/>
      <c r="E19" s="150"/>
      <c r="F19" s="150"/>
      <c r="G19" s="150"/>
      <c r="H19" s="154"/>
      <c r="I19" s="149"/>
      <c r="J19" s="149"/>
    </row>
    <row r="20" spans="2:10" x14ac:dyDescent="0.25">
      <c r="B20" s="149"/>
      <c r="C20" s="150" t="s">
        <v>203</v>
      </c>
      <c r="D20" s="150"/>
      <c r="E20" s="51">
        <v>0</v>
      </c>
      <c r="F20" s="149"/>
      <c r="G20" s="150"/>
      <c r="H20" s="49">
        <v>180</v>
      </c>
      <c r="I20" s="149"/>
      <c r="J20" s="149"/>
    </row>
    <row r="21" spans="2:10" ht="2.25" customHeight="1" x14ac:dyDescent="0.25">
      <c r="B21" s="149"/>
      <c r="C21" s="150"/>
      <c r="D21" s="150"/>
      <c r="E21" s="150"/>
      <c r="F21" s="150"/>
      <c r="G21" s="150"/>
      <c r="H21" s="150"/>
      <c r="I21" s="149"/>
      <c r="J21" s="149"/>
    </row>
    <row r="22" spans="2:10" ht="15" customHeight="1" x14ac:dyDescent="0.25">
      <c r="B22" s="149"/>
      <c r="C22" s="150"/>
      <c r="D22" s="150"/>
      <c r="E22" s="150"/>
      <c r="F22" s="149"/>
      <c r="G22" s="150" t="s">
        <v>94</v>
      </c>
      <c r="H22" s="154">
        <f>H18*FV('TA+'!B9,-H20,1)/(1+H41*FV('TA+'!B9,-H20,1))</f>
        <v>9370353.8742582947</v>
      </c>
      <c r="I22" s="149"/>
      <c r="J22" s="149"/>
    </row>
    <row r="23" spans="2:10" ht="3.75" customHeight="1" x14ac:dyDescent="0.25">
      <c r="B23" s="149"/>
      <c r="C23" s="150"/>
      <c r="D23" s="150"/>
      <c r="E23" s="150"/>
      <c r="F23" s="149"/>
      <c r="G23" s="150"/>
      <c r="H23" s="149"/>
      <c r="I23" s="149"/>
      <c r="J23" s="149"/>
    </row>
    <row r="24" spans="2:10" ht="15" customHeight="1" x14ac:dyDescent="0.25">
      <c r="B24" s="149"/>
      <c r="C24" s="150" t="s">
        <v>205</v>
      </c>
      <c r="D24" s="150"/>
      <c r="E24" s="51">
        <v>100000</v>
      </c>
      <c r="F24" s="149"/>
      <c r="G24" s="150"/>
      <c r="H24" s="149"/>
      <c r="I24" s="149"/>
      <c r="J24" s="149"/>
    </row>
    <row r="25" spans="2:10" ht="3.75" customHeight="1" x14ac:dyDescent="0.25">
      <c r="B25" s="149"/>
      <c r="C25" s="150"/>
      <c r="D25" s="150"/>
      <c r="E25" s="150"/>
      <c r="F25" s="150"/>
      <c r="G25" s="150"/>
      <c r="H25" s="149"/>
      <c r="I25" s="149"/>
      <c r="J25" s="149"/>
    </row>
    <row r="26" spans="2:10" ht="15" customHeight="1" x14ac:dyDescent="0.25">
      <c r="B26" s="149"/>
      <c r="C26" s="150" t="s">
        <v>84</v>
      </c>
      <c r="D26" s="150"/>
      <c r="E26" s="51">
        <v>551000</v>
      </c>
      <c r="F26" s="149"/>
      <c r="G26" s="150"/>
      <c r="H26" s="149"/>
      <c r="I26" s="149"/>
      <c r="J26" s="149"/>
    </row>
    <row r="27" spans="2:10" x14ac:dyDescent="0.25">
      <c r="B27" s="149"/>
      <c r="C27" s="150"/>
      <c r="D27" s="150"/>
      <c r="E27" s="149"/>
      <c r="F27" s="149"/>
      <c r="G27" s="150"/>
      <c r="H27" s="149"/>
      <c r="I27" s="149"/>
      <c r="J27" s="149"/>
    </row>
    <row r="28" spans="2:10" x14ac:dyDescent="0.25">
      <c r="B28" s="149"/>
      <c r="C28" s="181" t="s">
        <v>73</v>
      </c>
      <c r="D28" s="181"/>
      <c r="E28" s="149"/>
      <c r="F28" s="149"/>
      <c r="G28" s="181" t="s">
        <v>96</v>
      </c>
      <c r="H28" s="181"/>
      <c r="I28" s="149"/>
      <c r="J28" s="149"/>
    </row>
    <row r="29" spans="2:10" x14ac:dyDescent="0.25">
      <c r="B29" s="149"/>
      <c r="C29" s="150" t="s">
        <v>74</v>
      </c>
      <c r="D29" s="150"/>
      <c r="E29" s="49" t="s">
        <v>23</v>
      </c>
      <c r="F29" s="149"/>
      <c r="G29" s="150"/>
      <c r="H29" s="149"/>
      <c r="I29" s="149"/>
      <c r="J29" s="149"/>
    </row>
    <row r="30" spans="2:10" ht="16.5" customHeight="1" x14ac:dyDescent="0.25">
      <c r="B30" s="149"/>
      <c r="C30" s="150"/>
      <c r="D30" s="150"/>
      <c r="E30" s="150"/>
      <c r="F30" s="150"/>
      <c r="G30" s="150"/>
      <c r="H30" s="149"/>
      <c r="I30" s="149"/>
      <c r="J30" s="149"/>
    </row>
    <row r="31" spans="2:10" x14ac:dyDescent="0.25">
      <c r="B31" s="149"/>
      <c r="C31" s="150" t="s">
        <v>87</v>
      </c>
      <c r="D31" s="150"/>
      <c r="E31" s="51">
        <v>0</v>
      </c>
      <c r="F31" s="149"/>
      <c r="G31" s="150" t="s">
        <v>177</v>
      </c>
      <c r="H31" s="52"/>
      <c r="I31" s="159"/>
      <c r="J31" s="149"/>
    </row>
    <row r="32" spans="2:10" ht="2.25" customHeight="1" x14ac:dyDescent="0.25">
      <c r="B32" s="149"/>
      <c r="C32" s="150"/>
      <c r="D32" s="150"/>
      <c r="E32" s="161"/>
      <c r="F32" s="149"/>
      <c r="G32" s="150"/>
      <c r="H32" s="150"/>
      <c r="I32" s="159"/>
      <c r="J32" s="149"/>
    </row>
    <row r="33" spans="2:10" ht="5.25" customHeight="1" x14ac:dyDescent="0.25">
      <c r="B33" s="149"/>
      <c r="C33" s="150"/>
      <c r="D33" s="150"/>
      <c r="E33" s="150"/>
      <c r="F33" s="150"/>
      <c r="G33" s="150"/>
      <c r="H33" s="163"/>
      <c r="I33" s="160"/>
      <c r="J33" s="149"/>
    </row>
    <row r="34" spans="2:10" ht="2.25" customHeight="1" x14ac:dyDescent="0.25">
      <c r="B34" s="149"/>
      <c r="C34" s="150"/>
      <c r="D34" s="150"/>
      <c r="E34" s="150"/>
      <c r="F34" s="150"/>
      <c r="G34" s="150"/>
      <c r="H34" s="163"/>
      <c r="I34" s="159"/>
      <c r="J34" s="149"/>
    </row>
    <row r="35" spans="2:10" ht="4.5" customHeight="1" x14ac:dyDescent="0.25">
      <c r="B35" s="149"/>
      <c r="C35" s="150"/>
      <c r="D35" s="150"/>
      <c r="E35" s="150"/>
      <c r="F35" s="150"/>
      <c r="G35" s="164"/>
      <c r="H35" s="150"/>
      <c r="I35" s="159"/>
      <c r="J35" s="149"/>
    </row>
    <row r="36" spans="2:10" ht="2.25" customHeight="1" x14ac:dyDescent="0.25">
      <c r="B36" s="149"/>
      <c r="C36" s="150"/>
      <c r="D36" s="150"/>
      <c r="E36" s="150"/>
      <c r="F36" s="150"/>
      <c r="G36" s="150"/>
      <c r="H36" s="163" t="s">
        <v>181</v>
      </c>
      <c r="I36" s="159"/>
      <c r="J36" s="149"/>
    </row>
    <row r="37" spans="2:10" ht="2.25" customHeight="1" x14ac:dyDescent="0.25">
      <c r="B37" s="149"/>
      <c r="C37" s="150"/>
      <c r="D37" s="150"/>
      <c r="E37" s="150"/>
      <c r="F37" s="150"/>
      <c r="G37" s="150"/>
      <c r="H37" s="163"/>
      <c r="I37" s="159"/>
      <c r="J37" s="149"/>
    </row>
    <row r="38" spans="2:10" ht="2.25" customHeight="1" x14ac:dyDescent="0.25">
      <c r="B38" s="149"/>
      <c r="C38" s="150"/>
      <c r="D38" s="150"/>
      <c r="E38" s="150"/>
      <c r="F38" s="150"/>
      <c r="G38" s="150"/>
      <c r="H38" s="149"/>
      <c r="I38" s="159"/>
      <c r="J38" s="149"/>
    </row>
    <row r="39" spans="2:10" ht="2.25" customHeight="1" x14ac:dyDescent="0.25">
      <c r="B39" s="149"/>
      <c r="C39" s="150"/>
      <c r="D39" s="150"/>
      <c r="E39" s="150"/>
      <c r="F39" s="150"/>
      <c r="G39" s="150"/>
      <c r="H39" s="149"/>
      <c r="I39" s="159"/>
      <c r="J39" s="149"/>
    </row>
    <row r="40" spans="2:10" ht="3.75" customHeight="1" x14ac:dyDescent="0.25">
      <c r="B40" s="149"/>
      <c r="C40" s="150"/>
      <c r="D40" s="150"/>
      <c r="E40" s="149"/>
      <c r="F40" s="149"/>
      <c r="G40" s="181"/>
      <c r="H40" s="181"/>
      <c r="I40" s="159"/>
      <c r="J40" s="149"/>
    </row>
    <row r="41" spans="2:10" x14ac:dyDescent="0.25">
      <c r="B41" s="149"/>
      <c r="C41" s="150" t="s">
        <v>76</v>
      </c>
      <c r="D41" s="153" t="str">
        <f>"E.A. " &amp; TEXT(TA!B8,"0,00%")</f>
        <v>E.A. 21,41%</v>
      </c>
      <c r="E41" s="49" t="s">
        <v>163</v>
      </c>
      <c r="F41" s="149"/>
      <c r="G41" s="150" t="s">
        <v>6</v>
      </c>
      <c r="H41" s="165">
        <v>3.15E-3</v>
      </c>
      <c r="I41" s="161"/>
      <c r="J41" s="149"/>
    </row>
    <row r="42" spans="2:10" ht="2.25" customHeight="1" x14ac:dyDescent="0.25">
      <c r="B42" s="149"/>
      <c r="C42" s="150"/>
      <c r="D42" s="150"/>
      <c r="E42" s="150"/>
      <c r="F42" s="149"/>
      <c r="G42" s="150"/>
      <c r="H42" s="165"/>
      <c r="I42" s="161"/>
      <c r="J42" s="149"/>
    </row>
    <row r="43" spans="2:10" x14ac:dyDescent="0.25">
      <c r="B43" s="149"/>
      <c r="C43" s="150" t="s">
        <v>77</v>
      </c>
      <c r="D43" s="150"/>
      <c r="E43" s="51">
        <v>10000000</v>
      </c>
      <c r="F43" s="149"/>
      <c r="G43" s="150" t="s">
        <v>80</v>
      </c>
      <c r="H43" s="163">
        <f>IF(E29=Formulas!B16,0,'TA+'!F3)</f>
        <v>944625.86363206897</v>
      </c>
      <c r="I43" s="162">
        <f>+'TA+'!I11</f>
        <v>9.4462586363206896E-2</v>
      </c>
      <c r="J43" s="149"/>
    </row>
    <row r="44" spans="2:10" ht="2.25" customHeight="1" x14ac:dyDescent="0.25">
      <c r="B44" s="149"/>
      <c r="C44" s="150"/>
      <c r="D44" s="150"/>
      <c r="E44" s="150"/>
      <c r="F44" s="149"/>
      <c r="G44" s="150"/>
      <c r="H44" s="161"/>
      <c r="I44" s="152"/>
      <c r="J44" s="149"/>
    </row>
    <row r="45" spans="2:10" x14ac:dyDescent="0.25">
      <c r="B45" s="149"/>
      <c r="C45" s="150" t="s">
        <v>78</v>
      </c>
      <c r="D45" s="150"/>
      <c r="E45" s="49">
        <v>60</v>
      </c>
      <c r="F45" s="149"/>
      <c r="G45" s="150" t="s">
        <v>82</v>
      </c>
      <c r="H45" s="163">
        <f>'TA+'!F4</f>
        <v>655374.13636793103</v>
      </c>
      <c r="I45" s="162">
        <f>'TA+'!I12</f>
        <v>6.5537413636793107E-2</v>
      </c>
      <c r="J45" s="149"/>
    </row>
    <row r="46" spans="2:10" ht="2.25" customHeight="1" x14ac:dyDescent="0.25">
      <c r="B46" s="149"/>
      <c r="C46" s="150"/>
      <c r="D46" s="150"/>
      <c r="E46" s="150">
        <v>96</v>
      </c>
      <c r="F46" s="149"/>
      <c r="G46" s="150"/>
      <c r="H46" s="161"/>
      <c r="I46" s="161"/>
      <c r="J46" s="149"/>
    </row>
    <row r="47" spans="2:10" x14ac:dyDescent="0.25">
      <c r="B47" s="149"/>
      <c r="C47" s="150" t="s">
        <v>79</v>
      </c>
      <c r="D47" s="150"/>
      <c r="E47" s="154">
        <f>+'TA+'!F7</f>
        <v>293996.56589427451</v>
      </c>
      <c r="F47" s="149"/>
      <c r="G47" s="150" t="s">
        <v>81</v>
      </c>
      <c r="H47" s="166">
        <f>+IF(E49="","",Formulas!R25)</f>
        <v>47190</v>
      </c>
      <c r="I47" s="161"/>
      <c r="J47" s="149"/>
    </row>
    <row r="48" spans="2:10" ht="19.5" customHeight="1" x14ac:dyDescent="0.25">
      <c r="B48" s="149"/>
      <c r="C48" s="150"/>
      <c r="D48" s="150"/>
      <c r="E48" s="150"/>
      <c r="F48" s="149"/>
      <c r="G48" s="172" t="s">
        <v>209</v>
      </c>
      <c r="H48" s="175">
        <f>+Formulas!R26</f>
        <v>0</v>
      </c>
      <c r="I48" s="176" t="s">
        <v>211</v>
      </c>
      <c r="J48" s="149"/>
    </row>
    <row r="49" spans="2:10" ht="15" x14ac:dyDescent="0.25">
      <c r="B49" s="149"/>
      <c r="C49" s="150" t="s">
        <v>19</v>
      </c>
      <c r="D49" s="150"/>
      <c r="E49" s="49" t="s">
        <v>20</v>
      </c>
      <c r="F49" s="149"/>
      <c r="G49" s="167" t="s">
        <v>83</v>
      </c>
      <c r="H49" s="168">
        <f>+E43-E31-E33-E35-E37-E39-H31-H33-H35-H37-H43-H45-H47-H48</f>
        <v>8352810</v>
      </c>
      <c r="I49" s="159"/>
      <c r="J49" s="149"/>
    </row>
    <row r="50" spans="2:10" x14ac:dyDescent="0.25">
      <c r="B50" s="149"/>
      <c r="C50" s="149"/>
      <c r="D50" s="149"/>
      <c r="E50" s="149"/>
      <c r="F50" s="149"/>
      <c r="G50" s="149"/>
      <c r="H50" s="149"/>
      <c r="I50" s="149"/>
      <c r="J50" s="149"/>
    </row>
    <row r="51" spans="2:10" ht="5.25" customHeight="1" x14ac:dyDescent="0.25"/>
    <row r="52" spans="2:10" x14ac:dyDescent="0.25">
      <c r="C52" s="137"/>
      <c r="H52" s="180" t="s">
        <v>204</v>
      </c>
      <c r="I52" s="180"/>
      <c r="J52" s="180"/>
    </row>
    <row r="53" spans="2:10" x14ac:dyDescent="0.25">
      <c r="C53" s="137"/>
    </row>
  </sheetData>
  <sheetProtection algorithmName="SHA-512" hashValue="nm85n0TgZMlBZ7T1cuhUM1CRFzgBzS7VVHA/95Q3IUS4/9p88L97FunJm2oHSAwM3WuuCygdD1UsSvtmSV5mBw==" saltValue="TFikLAK0GCS8VsImJ1eS5Q==" spinCount="100000" sheet="1" objects="1" scenarios="1"/>
  <dataConsolidate/>
  <mergeCells count="8">
    <mergeCell ref="G40:H40"/>
    <mergeCell ref="H52:J52"/>
    <mergeCell ref="G5:H5"/>
    <mergeCell ref="G7:H7"/>
    <mergeCell ref="C11:D11"/>
    <mergeCell ref="G11:H11"/>
    <mergeCell ref="C28:D28"/>
    <mergeCell ref="G28:H28"/>
  </mergeCells>
  <conditionalFormatting sqref="E9">
    <cfRule type="cellIs" dxfId="10" priority="2" operator="greaterThanOrEqual">
      <formula>90</formula>
    </cfRule>
  </conditionalFormatting>
  <conditionalFormatting sqref="E45">
    <cfRule type="expression" dxfId="9" priority="1">
      <formula>$E$9&gt;=90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C5DB2AE-2C23-4593-A83E-FF8B665EFCF7}">
          <x14:formula1>
            <xm:f>Formulas!$N$3:$N$9</xm:f>
          </x14:formula1>
          <xm:sqref>E5</xm:sqref>
        </x14:dataValidation>
        <x14:dataValidation type="list" allowBlank="1" showInputMessage="1" showErrorMessage="1" xr:uid="{853DB7A9-1A51-4D6D-9710-885379F75091}">
          <x14:formula1>
            <xm:f>Formulas!$B$10:$B$11</xm:f>
          </x14:formula1>
          <xm:sqref>E49</xm:sqref>
        </x14:dataValidation>
        <x14:dataValidation type="list" allowBlank="1" showInputMessage="1" showErrorMessage="1" xr:uid="{8D037129-0CF1-4FA7-B797-AEAF5C154233}">
          <x14:formula1>
            <xm:f>Formulas!$K$3:$K$5</xm:f>
          </x14:formula1>
          <xm:sqref>E41</xm:sqref>
        </x14:dataValidation>
        <x14:dataValidation type="list" allowBlank="1" showInputMessage="1" showErrorMessage="1" xr:uid="{18865457-316E-45C3-8439-1D626601612E}">
          <x14:formula1>
            <xm:f>Formulas!$B$15:$B$16</xm:f>
          </x14:formula1>
          <xm:sqref>E29</xm:sqref>
        </x14:dataValidation>
        <x14:dataValidation type="list" allowBlank="1" showInputMessage="1" showErrorMessage="1" xr:uid="{977EA72F-8AA5-44D2-A1F4-95DE64087CA2}">
          <x14:formula1>
            <xm:f>Formulas!$F$30:$F$31</xm:f>
          </x14:formula1>
          <xm:sqref>M11</xm:sqref>
        </x14:dataValidation>
        <x14:dataValidation type="list" allowBlank="1" showInputMessage="1" showErrorMessage="1" xr:uid="{F22FCD61-0351-4BFB-8CBE-65E19D8E9EED}">
          <x14:formula1>
            <xm:f>Formulas!$G$30:$G$31</xm:f>
          </x14:formula1>
          <xm:sqref>H14</xm:sqref>
        </x14:dataValidation>
        <x14:dataValidation type="list" allowBlank="1" showInputMessage="1" showErrorMessage="1" xr:uid="{B83FE4C1-EE06-4B6D-A47D-877169FF70C3}">
          <x14:formula1>
            <xm:f>Formulas!$G$33:$G$37</xm:f>
          </x14:formula1>
          <xm:sqref>H12</xm:sqref>
        </x14:dataValidation>
        <x14:dataValidation type="list" allowBlank="1" showInputMessage="1" showErrorMessage="1" xr:uid="{586D9EDF-72DA-45C6-9A92-F52E7C56E7D7}">
          <x14:formula1>
            <xm:f>Formulas!$Q$31:$Q$32</xm:f>
          </x14:formula1>
          <xm:sqref>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D1485-7EAA-4A09-88A8-A99CE0A788D3}">
  <dimension ref="A1:T240"/>
  <sheetViews>
    <sheetView workbookViewId="0">
      <selection activeCell="A38" sqref="A38"/>
    </sheetView>
  </sheetViews>
  <sheetFormatPr baseColWidth="10" defaultRowHeight="15" x14ac:dyDescent="0.25"/>
  <cols>
    <col min="1" max="1" width="27.28515625" style="59" customWidth="1"/>
    <col min="2" max="2" width="20.140625" style="59" customWidth="1"/>
    <col min="3" max="3" width="23.42578125" style="59" customWidth="1"/>
    <col min="4" max="4" width="22.42578125" style="59" customWidth="1"/>
    <col min="5" max="6" width="20" style="59" customWidth="1"/>
    <col min="7" max="7" width="6.7109375" style="59" customWidth="1"/>
    <col min="8" max="8" width="40" style="59" hidden="1" customWidth="1"/>
    <col min="9" max="9" width="22.7109375" style="59" hidden="1" customWidth="1"/>
    <col min="10" max="10" width="16.140625" style="59" hidden="1" customWidth="1"/>
    <col min="11" max="11" width="7.28515625" style="59" hidden="1" customWidth="1"/>
    <col min="12" max="12" width="22.85546875" style="59" hidden="1" customWidth="1"/>
    <col min="13" max="13" width="21" style="59" hidden="1" customWidth="1"/>
    <col min="14" max="14" width="22.7109375" style="59" hidden="1" customWidth="1"/>
    <col min="15" max="16" width="17.28515625" style="59" hidden="1" customWidth="1"/>
    <col min="17" max="17" width="13" style="59" hidden="1" customWidth="1"/>
    <col min="18" max="19" width="14.42578125" style="59" hidden="1" customWidth="1"/>
    <col min="20" max="20" width="14.140625" style="59" bestFit="1" customWidth="1"/>
    <col min="21" max="16384" width="11.42578125" style="59"/>
  </cols>
  <sheetData>
    <row r="1" spans="1:16" ht="15.75" thickBot="1" x14ac:dyDescent="0.3">
      <c r="A1" s="53"/>
      <c r="B1" s="53"/>
      <c r="C1" s="53"/>
      <c r="D1" s="54" t="s">
        <v>67</v>
      </c>
      <c r="E1" s="55"/>
      <c r="F1" s="169">
        <f>+'Simulador con incremento'!E43</f>
        <v>10000000</v>
      </c>
      <c r="G1" s="56"/>
      <c r="H1" s="57" t="s">
        <v>97</v>
      </c>
      <c r="I1" s="58"/>
      <c r="L1" s="57" t="s">
        <v>3</v>
      </c>
      <c r="M1" s="60">
        <v>1.78E-2</v>
      </c>
      <c r="N1" s="60">
        <f>+POWER(1+M1,12)-1</f>
        <v>0.23580332236181256</v>
      </c>
      <c r="O1" s="61">
        <f>+ROUND(+POWER(1+(M1+$F$6),12)-1,6)</f>
        <v>0.28248899999999999</v>
      </c>
      <c r="P1" s="60">
        <v>0.17</v>
      </c>
    </row>
    <row r="2" spans="1:16" ht="15.75" thickBot="1" x14ac:dyDescent="0.3">
      <c r="A2" s="53"/>
      <c r="B2" s="53"/>
      <c r="C2" s="53"/>
      <c r="D2" s="54" t="s">
        <v>78</v>
      </c>
      <c r="E2" s="55"/>
      <c r="F2" s="170">
        <f>+'Simulador con incremento'!E45</f>
        <v>60</v>
      </c>
      <c r="G2" s="56"/>
      <c r="H2" s="57" t="s">
        <v>98</v>
      </c>
      <c r="I2" s="60">
        <f>+B9</f>
        <v>1.6299999999999999E-2</v>
      </c>
      <c r="L2" s="57" t="s">
        <v>4</v>
      </c>
      <c r="M2" s="60">
        <v>1.6299999999999999E-2</v>
      </c>
      <c r="N2" s="60">
        <f>+POWER(1+M2,12)-1</f>
        <v>0.2141241758505863</v>
      </c>
      <c r="O2" s="61">
        <f>+ROUND(+POWER(1+(M2+$F$6),12)-1,6)</f>
        <v>0.26006000000000001</v>
      </c>
      <c r="P2" s="60">
        <v>0.16</v>
      </c>
    </row>
    <row r="3" spans="1:16" ht="15.75" thickBot="1" x14ac:dyDescent="0.3">
      <c r="A3" s="53"/>
      <c r="B3" s="53"/>
      <c r="C3" s="53"/>
      <c r="D3" s="54" t="s">
        <v>99</v>
      </c>
      <c r="E3" s="62"/>
      <c r="F3" s="63">
        <f>+VLOOKUP(F2,L21:O177,4,FALSE)</f>
        <v>944625.86363206897</v>
      </c>
      <c r="G3" s="56"/>
      <c r="L3" s="57" t="s">
        <v>5</v>
      </c>
      <c r="M3" s="60">
        <v>1.52E-2</v>
      </c>
      <c r="N3" s="60">
        <f>+POWER(1+M3,12)-1</f>
        <v>0.19844831475233526</v>
      </c>
      <c r="O3" s="61">
        <f>+ROUND(+POWER(1+(M3+$F$6),12)-1,6)</f>
        <v>0.243841</v>
      </c>
      <c r="P3" s="60">
        <v>0.14000000000000001</v>
      </c>
    </row>
    <row r="4" spans="1:16" ht="15.75" thickBot="1" x14ac:dyDescent="0.3">
      <c r="A4" s="53"/>
      <c r="B4" s="53"/>
      <c r="C4" s="53"/>
      <c r="D4" s="54" t="s">
        <v>100</v>
      </c>
      <c r="E4" s="62"/>
      <c r="F4" s="63">
        <f>+VLOOKUP(F2,L21:O177,3,FALSE)</f>
        <v>655374.13636793103</v>
      </c>
      <c r="G4" s="56"/>
      <c r="H4" s="57" t="s">
        <v>101</v>
      </c>
      <c r="I4" s="60">
        <f>+F6</f>
        <v>3.15E-3</v>
      </c>
    </row>
    <row r="5" spans="1:16" ht="12.75" customHeight="1" thickBot="1" x14ac:dyDescent="0.3">
      <c r="A5" s="64" t="s">
        <v>102</v>
      </c>
      <c r="B5" s="65"/>
      <c r="C5" s="130"/>
      <c r="D5" s="54" t="s">
        <v>103</v>
      </c>
      <c r="E5" s="62"/>
      <c r="F5" s="63">
        <f>+F1-F3-F4</f>
        <v>8400000</v>
      </c>
      <c r="G5" s="56"/>
      <c r="H5" s="57" t="s">
        <v>104</v>
      </c>
      <c r="I5" s="61">
        <f>+ROUND(+POWER(1+(I2),12)-1,6)</f>
        <v>0.21412400000000001</v>
      </c>
    </row>
    <row r="6" spans="1:16" ht="12.75" customHeight="1" thickBot="1" x14ac:dyDescent="0.3">
      <c r="A6" s="57" t="s">
        <v>105</v>
      </c>
      <c r="B6" s="65"/>
      <c r="C6" s="131"/>
      <c r="D6" s="57" t="s">
        <v>101</v>
      </c>
      <c r="E6" s="57"/>
      <c r="F6" s="60">
        <v>3.15E-3</v>
      </c>
      <c r="G6" s="56"/>
      <c r="H6" s="57" t="s">
        <v>75</v>
      </c>
      <c r="I6" s="60">
        <f>+ROUND((+NOMINAL(I5,12))/12,5)</f>
        <v>1.6299999999999999E-2</v>
      </c>
    </row>
    <row r="7" spans="1:16" ht="12.75" customHeight="1" thickBot="1" x14ac:dyDescent="0.3">
      <c r="A7" s="57" t="s">
        <v>106</v>
      </c>
      <c r="B7" s="65"/>
      <c r="C7" s="131"/>
      <c r="D7" s="66" t="s">
        <v>107</v>
      </c>
      <c r="E7" s="67"/>
      <c r="F7" s="68">
        <f>+I7</f>
        <v>293996.56589427451</v>
      </c>
      <c r="G7" s="56"/>
      <c r="H7" s="57" t="s">
        <v>108</v>
      </c>
      <c r="I7" s="63">
        <f t="array" ref="I7">IF(I28-I27&lt;0,error,-PMT(+(I6),+F2,+F1)+(F1*F6))</f>
        <v>293996.56589427451</v>
      </c>
      <c r="L7" s="69" t="s">
        <v>109</v>
      </c>
      <c r="M7" s="60">
        <f>+M1</f>
        <v>1.78E-2</v>
      </c>
      <c r="N7" s="60">
        <f>+POWER(1+M7,12)-1</f>
        <v>0.23580332236181256</v>
      </c>
    </row>
    <row r="8" spans="1:16" ht="12.75" customHeight="1" thickBot="1" x14ac:dyDescent="0.3">
      <c r="A8" s="57" t="s">
        <v>97</v>
      </c>
      <c r="B8" s="58">
        <f>+POWER(1+B9,12)-1</f>
        <v>0.2141241758505863</v>
      </c>
      <c r="C8" s="132">
        <v>45992</v>
      </c>
      <c r="D8" s="66" t="s">
        <v>110</v>
      </c>
      <c r="E8" s="67"/>
      <c r="F8" s="70" t="s">
        <v>111</v>
      </c>
      <c r="G8" s="56"/>
      <c r="L8" s="69" t="s">
        <v>112</v>
      </c>
      <c r="M8" s="71">
        <f>+F9</f>
        <v>0.25019999999999998</v>
      </c>
      <c r="N8" s="60">
        <f>+NOMINAL(M8,12)/12</f>
        <v>1.8782847715679507E-2</v>
      </c>
    </row>
    <row r="9" spans="1:16" ht="12.75" customHeight="1" thickBot="1" x14ac:dyDescent="0.3">
      <c r="A9" s="57" t="s">
        <v>98</v>
      </c>
      <c r="B9" s="171">
        <f>+VLOOKUP('Simulador con incremento'!E41,Formulas!$K$3:$L$5,2,0)</f>
        <v>1.6299999999999999E-2</v>
      </c>
      <c r="C9" s="54" t="s">
        <v>113</v>
      </c>
      <c r="D9" s="54" t="s">
        <v>114</v>
      </c>
      <c r="E9" s="55"/>
      <c r="F9" s="58">
        <v>0.25019999999999998</v>
      </c>
      <c r="G9" s="72"/>
    </row>
    <row r="10" spans="1:16" ht="5.25" customHeight="1" thickBot="1" x14ac:dyDescent="0.3">
      <c r="D10" s="73"/>
      <c r="E10" s="73"/>
      <c r="F10" s="74"/>
      <c r="G10" s="56"/>
    </row>
    <row r="11" spans="1:16" ht="15.75" thickBot="1" x14ac:dyDescent="0.3">
      <c r="A11" s="75" t="s">
        <v>115</v>
      </c>
      <c r="B11" s="76" t="s">
        <v>79</v>
      </c>
      <c r="C11" s="76" t="s">
        <v>116</v>
      </c>
      <c r="D11" s="76" t="s">
        <v>117</v>
      </c>
      <c r="E11" s="76" t="s">
        <v>118</v>
      </c>
      <c r="F11" s="76" t="s">
        <v>119</v>
      </c>
      <c r="G11" s="56"/>
      <c r="H11" s="57" t="s">
        <v>99</v>
      </c>
      <c r="I11" s="77">
        <f>+F3/F1</f>
        <v>9.4462586363206896E-2</v>
      </c>
      <c r="N11" s="78" t="s">
        <v>120</v>
      </c>
      <c r="O11" s="79">
        <f>+F9</f>
        <v>0.25019999999999998</v>
      </c>
    </row>
    <row r="12" spans="1:16" ht="15.75" thickBot="1" x14ac:dyDescent="0.3">
      <c r="A12" s="80"/>
      <c r="B12" s="81"/>
      <c r="C12" s="81"/>
      <c r="D12" s="81"/>
      <c r="E12" s="81"/>
      <c r="F12" s="81">
        <f>+F1</f>
        <v>10000000</v>
      </c>
      <c r="G12" s="73"/>
      <c r="H12" s="57" t="s">
        <v>100</v>
      </c>
      <c r="I12" s="77">
        <f>+F4/F1</f>
        <v>6.5537413636793107E-2</v>
      </c>
      <c r="N12" s="78" t="s">
        <v>121</v>
      </c>
      <c r="O12" s="79">
        <f>+POWER(1+(+RATE(F2,-I25,(I15-(F4/1.19)-I18-I19))),12)-1</f>
        <v>0.24989999999999957</v>
      </c>
    </row>
    <row r="13" spans="1:16" ht="15.75" thickBot="1" x14ac:dyDescent="0.3">
      <c r="A13" s="82">
        <f t="shared" ref="A13:A76" si="0">IF($F$2&gt;A12,A12+1," ")</f>
        <v>1</v>
      </c>
      <c r="B13" s="83">
        <f>+I7</f>
        <v>293996.56589427451</v>
      </c>
      <c r="C13" s="83">
        <f>+B13-D13-E13</f>
        <v>99496.565894274536</v>
      </c>
      <c r="D13" s="83">
        <f>(F12*$B$9)</f>
        <v>162999.99999999997</v>
      </c>
      <c r="E13" s="83">
        <f>+F12*$F$6</f>
        <v>31500</v>
      </c>
      <c r="F13" s="83">
        <f>+F12-C13</f>
        <v>9900503.434105726</v>
      </c>
      <c r="G13" s="73"/>
      <c r="I13" s="77">
        <f>+I12+I11</f>
        <v>0.16</v>
      </c>
      <c r="N13" s="78" t="s">
        <v>122</v>
      </c>
      <c r="O13" s="79">
        <f>+O12-O11</f>
        <v>-3.0000000000041105E-4</v>
      </c>
    </row>
    <row r="14" spans="1:16" ht="15.75" thickBot="1" x14ac:dyDescent="0.3">
      <c r="A14" s="82">
        <f t="shared" si="0"/>
        <v>2</v>
      </c>
      <c r="B14" s="83">
        <f t="shared" ref="B14:B77" si="1">IF(A14=" "," ",B13)</f>
        <v>293996.56589427451</v>
      </c>
      <c r="C14" s="83">
        <f t="shared" ref="C14:C77" si="2">IF(A14=" "," ",(B14-D14-E14))</f>
        <v>101118.3599183512</v>
      </c>
      <c r="D14" s="83">
        <f>IF(A14=" "," ",(F13*$B$9))</f>
        <v>161378.20597592331</v>
      </c>
      <c r="E14" s="83">
        <f>IF(A14=" "," ",(+E13))</f>
        <v>31500</v>
      </c>
      <c r="F14" s="83">
        <f t="shared" ref="F14:F77" si="3">IF(A14=" "," ",(+F13-C14))</f>
        <v>9799385.0741873756</v>
      </c>
      <c r="G14" s="73"/>
      <c r="H14" s="84">
        <f>+C8</f>
        <v>45992</v>
      </c>
    </row>
    <row r="15" spans="1:16" ht="15.75" thickBot="1" x14ac:dyDescent="0.3">
      <c r="A15" s="82">
        <f t="shared" si="0"/>
        <v>3</v>
      </c>
      <c r="B15" s="83">
        <f t="shared" si="1"/>
        <v>293996.56589427451</v>
      </c>
      <c r="C15" s="83">
        <f t="shared" si="2"/>
        <v>102766.5891850203</v>
      </c>
      <c r="D15" s="83">
        <f t="shared" ref="D15:D78" si="4">IF(A15=" "," ",(F14*$B$9))</f>
        <v>159729.9767092542</v>
      </c>
      <c r="E15" s="83">
        <f t="shared" ref="E15:E78" si="5">IF(A15=" "," ",(+E14))</f>
        <v>31500</v>
      </c>
      <c r="F15" s="83">
        <f t="shared" si="3"/>
        <v>9696618.4850023557</v>
      </c>
      <c r="G15" s="73"/>
      <c r="H15" s="85" t="s">
        <v>123</v>
      </c>
      <c r="I15" s="86">
        <f>+F1</f>
        <v>10000000</v>
      </c>
      <c r="M15" s="87" t="s">
        <v>124</v>
      </c>
      <c r="N15" s="87" t="s">
        <v>125</v>
      </c>
      <c r="O15" s="87" t="s">
        <v>126</v>
      </c>
    </row>
    <row r="16" spans="1:16" ht="15.75" thickBot="1" x14ac:dyDescent="0.3">
      <c r="A16" s="82">
        <f t="shared" si="0"/>
        <v>4</v>
      </c>
      <c r="B16" s="83">
        <f t="shared" si="1"/>
        <v>293996.56589427451</v>
      </c>
      <c r="C16" s="83">
        <f t="shared" si="2"/>
        <v>104441.68458873613</v>
      </c>
      <c r="D16" s="83">
        <f t="shared" si="4"/>
        <v>158054.88130553838</v>
      </c>
      <c r="E16" s="83">
        <f t="shared" si="5"/>
        <v>31500</v>
      </c>
      <c r="F16" s="83">
        <f t="shared" si="3"/>
        <v>9592176.8004136197</v>
      </c>
      <c r="G16" s="73"/>
      <c r="H16" s="85" t="s">
        <v>127</v>
      </c>
      <c r="I16" s="63">
        <f>+F3</f>
        <v>944625.86363206897</v>
      </c>
      <c r="L16" s="87" t="s">
        <v>128</v>
      </c>
      <c r="M16" s="71">
        <f>+F9</f>
        <v>0.25019999999999998</v>
      </c>
      <c r="N16" s="71">
        <f>+F9-0.0003</f>
        <v>0.24989999999999998</v>
      </c>
      <c r="O16" s="88">
        <f>+M16-N16</f>
        <v>2.9999999999999472E-4</v>
      </c>
    </row>
    <row r="17" spans="1:20" ht="15.75" thickBot="1" x14ac:dyDescent="0.3">
      <c r="A17" s="82">
        <f t="shared" si="0"/>
        <v>5</v>
      </c>
      <c r="B17" s="83">
        <f t="shared" si="1"/>
        <v>293996.56589427451</v>
      </c>
      <c r="C17" s="83">
        <f t="shared" si="2"/>
        <v>106144.08404753252</v>
      </c>
      <c r="D17" s="83">
        <f t="shared" si="4"/>
        <v>156352.48184674198</v>
      </c>
      <c r="E17" s="83">
        <f t="shared" si="5"/>
        <v>31500</v>
      </c>
      <c r="F17" s="83">
        <f t="shared" si="3"/>
        <v>9486032.716366088</v>
      </c>
      <c r="G17" s="73"/>
      <c r="H17" s="85" t="s">
        <v>129</v>
      </c>
      <c r="I17" s="63">
        <f>+F4</f>
        <v>655374.13636793103</v>
      </c>
      <c r="L17" s="87" t="s">
        <v>130</v>
      </c>
      <c r="M17" s="60">
        <f>+NOMINAL(M16,12)/12</f>
        <v>1.8782847715679507E-2</v>
      </c>
      <c r="N17" s="60">
        <f>+NOMINAL(N16,12)/12</f>
        <v>1.8762473077359898E-2</v>
      </c>
      <c r="O17" s="88">
        <f>+M17-N17</f>
        <v>2.0374638319609062E-5</v>
      </c>
    </row>
    <row r="18" spans="1:20" ht="15.75" thickBot="1" x14ac:dyDescent="0.3">
      <c r="A18" s="82">
        <f t="shared" si="0"/>
        <v>6</v>
      </c>
      <c r="B18" s="83">
        <f t="shared" si="1"/>
        <v>293996.56589427451</v>
      </c>
      <c r="C18" s="83">
        <f t="shared" si="2"/>
        <v>107874.23261750728</v>
      </c>
      <c r="D18" s="83">
        <f t="shared" si="4"/>
        <v>154622.33327676723</v>
      </c>
      <c r="E18" s="83">
        <f t="shared" si="5"/>
        <v>31500</v>
      </c>
      <c r="F18" s="83">
        <f t="shared" si="3"/>
        <v>9378158.4837485813</v>
      </c>
      <c r="G18" s="73"/>
      <c r="H18" s="85" t="s">
        <v>131</v>
      </c>
      <c r="I18" s="86">
        <v>5000</v>
      </c>
    </row>
    <row r="19" spans="1:20" ht="15.75" thickBot="1" x14ac:dyDescent="0.3">
      <c r="A19" s="82">
        <f t="shared" si="0"/>
        <v>7</v>
      </c>
      <c r="B19" s="83">
        <f t="shared" si="1"/>
        <v>293996.56589427451</v>
      </c>
      <c r="C19" s="83">
        <f t="shared" si="2"/>
        <v>109632.58260917265</v>
      </c>
      <c r="D19" s="83">
        <f t="shared" si="4"/>
        <v>152863.98328510186</v>
      </c>
      <c r="E19" s="83">
        <f t="shared" si="5"/>
        <v>31500</v>
      </c>
      <c r="F19" s="83">
        <f t="shared" si="3"/>
        <v>9268525.9011394083</v>
      </c>
      <c r="G19" s="73"/>
      <c r="H19" s="85" t="s">
        <v>132</v>
      </c>
      <c r="I19" s="86">
        <f>+(I15)*0.004</f>
        <v>40000</v>
      </c>
    </row>
    <row r="20" spans="1:20" ht="15.75" thickBot="1" x14ac:dyDescent="0.3">
      <c r="A20" s="82">
        <f t="shared" si="0"/>
        <v>8</v>
      </c>
      <c r="B20" s="83">
        <f t="shared" si="1"/>
        <v>293996.56589427451</v>
      </c>
      <c r="C20" s="83">
        <f t="shared" si="2"/>
        <v>111419.59370570217</v>
      </c>
      <c r="D20" s="83">
        <f t="shared" si="4"/>
        <v>151076.97218857234</v>
      </c>
      <c r="E20" s="83">
        <f t="shared" si="5"/>
        <v>31500</v>
      </c>
      <c r="F20" s="83">
        <f t="shared" si="3"/>
        <v>9157106.3074337058</v>
      </c>
      <c r="G20" s="73"/>
      <c r="H20" s="85" t="s">
        <v>103</v>
      </c>
      <c r="I20" s="63">
        <f>+I15-I17-I18-I19-I16</f>
        <v>8354999.9999999991</v>
      </c>
      <c r="N20" s="87" t="s">
        <v>133</v>
      </c>
      <c r="O20" s="87" t="s">
        <v>68</v>
      </c>
      <c r="P20" s="89"/>
      <c r="Q20" s="89"/>
      <c r="T20" s="89"/>
    </row>
    <row r="21" spans="1:20" ht="15.75" thickBot="1" x14ac:dyDescent="0.3">
      <c r="A21" s="82">
        <f t="shared" si="0"/>
        <v>9</v>
      </c>
      <c r="B21" s="83">
        <f t="shared" si="1"/>
        <v>293996.56589427451</v>
      </c>
      <c r="C21" s="83">
        <f t="shared" si="2"/>
        <v>113235.73308310512</v>
      </c>
      <c r="D21" s="83">
        <f t="shared" si="4"/>
        <v>149260.83281116938</v>
      </c>
      <c r="E21" s="83">
        <f t="shared" si="5"/>
        <v>31500</v>
      </c>
      <c r="F21" s="83">
        <f t="shared" si="3"/>
        <v>9043870.5743506011</v>
      </c>
      <c r="G21" s="73"/>
      <c r="H21" s="85" t="s">
        <v>134</v>
      </c>
      <c r="I21" s="63">
        <f>+I15-I18-I19-(I17/1.19)</f>
        <v>9404265.4316235874</v>
      </c>
      <c r="L21" s="133">
        <v>180</v>
      </c>
      <c r="M21" s="90">
        <f>+IF(B9=M1,P1,IF(B9=M2,P2,IF(B9=M3,P3)))</f>
        <v>0.16</v>
      </c>
      <c r="N21" s="91">
        <f t="shared" ref="N21:N84" si="6">IF(IF(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&lt;0,"error",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)&lt;=$O$179,0,IF(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&lt;0,"error",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válida")))))</f>
        <v>0</v>
      </c>
      <c r="O21" s="91">
        <f t="shared" ref="O21:O84" si="7">+(($I$15*M21)-IF(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&lt;0,"error",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))+IF(IF(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&lt;0,"error",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)&lt;=$O$179,IF(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&lt;0,"error",IF($I$23=$M$1,MIN($I$15*($P$1)-($I$15*(0.03)),(+MAX(0,$I$15-$I$18-$I$19-($I$25*(1-(1+$N$17)^(-L21))/$N$17))*1.19)),IF($I$23=$M$2,MIN($I$15*($P$2)-($I$15*(0.03)),(+MAX(0,$I$15-$I$18-$I$19-($I$25*(1-(1+$N$17)^(-L21))/$N$17))*1.19)),IF($I$23=$M$3,MIN($I$15*($P$3)-($I$15*(0.03)),(+MAX(0,$I$15-$I$18-$I$19-($I$25*(1-(1+$N$17)^(-L21))/$N$17))*1.19)),"Tasa no válida")))),0)</f>
        <v>1600000</v>
      </c>
      <c r="P21" s="89"/>
      <c r="Q21" s="89"/>
      <c r="T21" s="89"/>
    </row>
    <row r="22" spans="1:20" ht="15.75" thickBot="1" x14ac:dyDescent="0.3">
      <c r="A22" s="82">
        <f t="shared" si="0"/>
        <v>10</v>
      </c>
      <c r="B22" s="83">
        <f t="shared" si="1"/>
        <v>293996.56589427451</v>
      </c>
      <c r="C22" s="83">
        <f t="shared" si="2"/>
        <v>115081.47553235973</v>
      </c>
      <c r="D22" s="83">
        <f t="shared" si="4"/>
        <v>147415.09036191477</v>
      </c>
      <c r="E22" s="83">
        <f t="shared" si="5"/>
        <v>31500</v>
      </c>
      <c r="F22" s="83">
        <f t="shared" si="3"/>
        <v>8928789.0988182407</v>
      </c>
      <c r="G22" s="73"/>
      <c r="H22" s="85" t="s">
        <v>135</v>
      </c>
      <c r="I22" s="88">
        <f>+F6</f>
        <v>3.15E-3</v>
      </c>
      <c r="L22" s="134">
        <v>179</v>
      </c>
      <c r="M22" s="92">
        <f>+M21</f>
        <v>0.16</v>
      </c>
      <c r="N22" s="91">
        <f t="shared" si="6"/>
        <v>0</v>
      </c>
      <c r="O22" s="91">
        <f t="shared" si="7"/>
        <v>1600000</v>
      </c>
      <c r="P22" s="89"/>
      <c r="Q22" s="89"/>
    </row>
    <row r="23" spans="1:20" ht="15.75" thickBot="1" x14ac:dyDescent="0.3">
      <c r="A23" s="82">
        <f t="shared" si="0"/>
        <v>11</v>
      </c>
      <c r="B23" s="83">
        <f t="shared" si="1"/>
        <v>293996.56589427451</v>
      </c>
      <c r="C23" s="83">
        <f t="shared" si="2"/>
        <v>116957.3035835372</v>
      </c>
      <c r="D23" s="83">
        <f t="shared" si="4"/>
        <v>145539.26231073731</v>
      </c>
      <c r="E23" s="83">
        <f t="shared" si="5"/>
        <v>31500</v>
      </c>
      <c r="F23" s="83">
        <f t="shared" si="3"/>
        <v>8811831.7952347044</v>
      </c>
      <c r="G23" s="73"/>
      <c r="H23" s="85" t="s">
        <v>136</v>
      </c>
      <c r="I23" s="93">
        <f>+I6</f>
        <v>1.6299999999999999E-2</v>
      </c>
      <c r="L23" s="134">
        <v>178</v>
      </c>
      <c r="M23" s="92">
        <f t="shared" ref="M23:M86" si="8">+M22</f>
        <v>0.16</v>
      </c>
      <c r="N23" s="91">
        <f t="shared" si="6"/>
        <v>0</v>
      </c>
      <c r="O23" s="91">
        <f t="shared" si="7"/>
        <v>1600000</v>
      </c>
      <c r="P23" s="89"/>
      <c r="Q23" s="89"/>
    </row>
    <row r="24" spans="1:20" ht="15.75" thickBot="1" x14ac:dyDescent="0.3">
      <c r="A24" s="82">
        <f t="shared" si="0"/>
        <v>12</v>
      </c>
      <c r="B24" s="83">
        <f t="shared" si="1"/>
        <v>293996.56589427451</v>
      </c>
      <c r="C24" s="83">
        <f t="shared" si="2"/>
        <v>118863.70763194884</v>
      </c>
      <c r="D24" s="83">
        <f t="shared" si="4"/>
        <v>143632.85826232567</v>
      </c>
      <c r="E24" s="83">
        <f t="shared" si="5"/>
        <v>31500</v>
      </c>
      <c r="F24" s="83">
        <f t="shared" si="3"/>
        <v>8692968.0876027551</v>
      </c>
      <c r="G24" s="73"/>
      <c r="H24" s="78" t="s">
        <v>78</v>
      </c>
      <c r="I24" s="135">
        <f>+F2</f>
        <v>60</v>
      </c>
      <c r="L24" s="134">
        <v>177</v>
      </c>
      <c r="M24" s="92">
        <f t="shared" si="8"/>
        <v>0.16</v>
      </c>
      <c r="N24" s="91">
        <f t="shared" si="6"/>
        <v>0</v>
      </c>
      <c r="O24" s="91">
        <f t="shared" si="7"/>
        <v>1600000</v>
      </c>
      <c r="P24" s="89"/>
      <c r="Q24" s="89"/>
    </row>
    <row r="25" spans="1:20" ht="15.75" thickBot="1" x14ac:dyDescent="0.3">
      <c r="A25" s="82">
        <f t="shared" si="0"/>
        <v>13</v>
      </c>
      <c r="B25" s="83">
        <f t="shared" si="1"/>
        <v>293996.56589427451</v>
      </c>
      <c r="C25" s="83">
        <f t="shared" si="2"/>
        <v>120801.18606634962</v>
      </c>
      <c r="D25" s="83">
        <f t="shared" si="4"/>
        <v>141695.37982792489</v>
      </c>
      <c r="E25" s="83">
        <f t="shared" si="5"/>
        <v>31500</v>
      </c>
      <c r="F25" s="83">
        <f t="shared" si="3"/>
        <v>8572166.9015364051</v>
      </c>
      <c r="G25" s="73"/>
      <c r="H25" s="78" t="s">
        <v>137</v>
      </c>
      <c r="I25" s="86">
        <f>-PMT(+(I23),+I24,+I15)</f>
        <v>262496.56589427451</v>
      </c>
      <c r="L25" s="134">
        <v>176</v>
      </c>
      <c r="M25" s="92">
        <f t="shared" si="8"/>
        <v>0.16</v>
      </c>
      <c r="N25" s="91">
        <f t="shared" si="6"/>
        <v>0</v>
      </c>
      <c r="O25" s="91">
        <f t="shared" si="7"/>
        <v>1600000</v>
      </c>
      <c r="P25" s="89"/>
      <c r="Q25" s="89"/>
    </row>
    <row r="26" spans="1:20" ht="15.75" thickBot="1" x14ac:dyDescent="0.3">
      <c r="A26" s="82">
        <f t="shared" si="0"/>
        <v>14</v>
      </c>
      <c r="B26" s="83">
        <f t="shared" si="1"/>
        <v>293996.56589427451</v>
      </c>
      <c r="C26" s="83">
        <f t="shared" si="2"/>
        <v>122770.24539923112</v>
      </c>
      <c r="D26" s="83">
        <f t="shared" si="4"/>
        <v>139726.32049504339</v>
      </c>
      <c r="E26" s="83">
        <f t="shared" si="5"/>
        <v>31500</v>
      </c>
      <c r="F26" s="83">
        <f t="shared" si="3"/>
        <v>8449396.656137174</v>
      </c>
      <c r="G26" s="73"/>
      <c r="H26" s="78" t="s">
        <v>138</v>
      </c>
      <c r="I26" s="94">
        <f>+RATE(I24,-I25,I21)</f>
        <v>1.8762473077359905E-2</v>
      </c>
      <c r="L26" s="134">
        <v>175</v>
      </c>
      <c r="M26" s="92">
        <f t="shared" si="8"/>
        <v>0.16</v>
      </c>
      <c r="N26" s="91">
        <f t="shared" si="6"/>
        <v>0</v>
      </c>
      <c r="O26" s="91">
        <f t="shared" si="7"/>
        <v>1600000</v>
      </c>
      <c r="P26" s="89"/>
      <c r="Q26" s="89"/>
    </row>
    <row r="27" spans="1:20" ht="15.75" thickBot="1" x14ac:dyDescent="0.3">
      <c r="A27" s="82">
        <f t="shared" si="0"/>
        <v>15</v>
      </c>
      <c r="B27" s="83">
        <f t="shared" si="1"/>
        <v>293996.56589427451</v>
      </c>
      <c r="C27" s="83">
        <f t="shared" si="2"/>
        <v>124771.40039923857</v>
      </c>
      <c r="D27" s="83">
        <f t="shared" si="4"/>
        <v>137725.16549503594</v>
      </c>
      <c r="E27" s="83">
        <f t="shared" si="5"/>
        <v>31500</v>
      </c>
      <c r="F27" s="83">
        <f t="shared" si="3"/>
        <v>8324625.2557379352</v>
      </c>
      <c r="G27" s="73"/>
      <c r="H27" s="78" t="s">
        <v>121</v>
      </c>
      <c r="I27" s="79">
        <f>+POWER(1+I26,12)-1</f>
        <v>0.24989999999999957</v>
      </c>
      <c r="L27" s="134">
        <v>174</v>
      </c>
      <c r="M27" s="92">
        <f t="shared" si="8"/>
        <v>0.16</v>
      </c>
      <c r="N27" s="91">
        <f t="shared" si="6"/>
        <v>0</v>
      </c>
      <c r="O27" s="91">
        <f t="shared" si="7"/>
        <v>1600000</v>
      </c>
      <c r="P27" s="89"/>
      <c r="Q27" s="89"/>
    </row>
    <row r="28" spans="1:20" ht="15.75" thickBot="1" x14ac:dyDescent="0.3">
      <c r="A28" s="82">
        <f t="shared" si="0"/>
        <v>16</v>
      </c>
      <c r="B28" s="83">
        <f t="shared" si="1"/>
        <v>293996.56589427451</v>
      </c>
      <c r="C28" s="83">
        <f t="shared" si="2"/>
        <v>126805.17422574619</v>
      </c>
      <c r="D28" s="83">
        <f t="shared" si="4"/>
        <v>135691.39166852832</v>
      </c>
      <c r="E28" s="83">
        <f t="shared" si="5"/>
        <v>31500</v>
      </c>
      <c r="F28" s="83">
        <f t="shared" si="3"/>
        <v>8197820.0815121885</v>
      </c>
      <c r="G28" s="73"/>
      <c r="H28" s="95" t="s">
        <v>120</v>
      </c>
      <c r="I28" s="79">
        <f>+F9</f>
        <v>0.25019999999999998</v>
      </c>
      <c r="L28" s="134">
        <v>173</v>
      </c>
      <c r="M28" s="92">
        <f t="shared" si="8"/>
        <v>0.16</v>
      </c>
      <c r="N28" s="91">
        <f t="shared" si="6"/>
        <v>0</v>
      </c>
      <c r="O28" s="91">
        <f t="shared" si="7"/>
        <v>1600000</v>
      </c>
      <c r="P28" s="89"/>
      <c r="Q28" s="89"/>
    </row>
    <row r="29" spans="1:20" ht="15.75" thickBot="1" x14ac:dyDescent="0.3">
      <c r="A29" s="82">
        <f t="shared" si="0"/>
        <v>17</v>
      </c>
      <c r="B29" s="83">
        <f t="shared" si="1"/>
        <v>293996.56589427451</v>
      </c>
      <c r="C29" s="83">
        <f t="shared" si="2"/>
        <v>128872.09856562584</v>
      </c>
      <c r="D29" s="83">
        <f t="shared" si="4"/>
        <v>133624.46732864866</v>
      </c>
      <c r="E29" s="83">
        <f t="shared" si="5"/>
        <v>31500</v>
      </c>
      <c r="F29" s="83">
        <f t="shared" si="3"/>
        <v>8068947.9829465626</v>
      </c>
      <c r="G29" s="73"/>
      <c r="H29" s="78" t="s">
        <v>122</v>
      </c>
      <c r="I29" s="79">
        <f>+I27-I28</f>
        <v>-3.0000000000041105E-4</v>
      </c>
      <c r="L29" s="134">
        <v>172</v>
      </c>
      <c r="M29" s="92">
        <f t="shared" si="8"/>
        <v>0.16</v>
      </c>
      <c r="N29" s="91">
        <f t="shared" si="6"/>
        <v>0</v>
      </c>
      <c r="O29" s="91">
        <f t="shared" si="7"/>
        <v>1600000</v>
      </c>
      <c r="P29" s="89"/>
      <c r="Q29" s="89"/>
    </row>
    <row r="30" spans="1:20" ht="15.75" thickBot="1" x14ac:dyDescent="0.3">
      <c r="A30" s="82">
        <f t="shared" si="0"/>
        <v>18</v>
      </c>
      <c r="B30" s="83">
        <f t="shared" si="1"/>
        <v>293996.56589427451</v>
      </c>
      <c r="C30" s="83">
        <f t="shared" si="2"/>
        <v>130972.71377224554</v>
      </c>
      <c r="D30" s="83">
        <f t="shared" si="4"/>
        <v>131523.85212202897</v>
      </c>
      <c r="E30" s="83">
        <f t="shared" si="5"/>
        <v>31500</v>
      </c>
      <c r="F30" s="83">
        <f t="shared" si="3"/>
        <v>7937975.2691743169</v>
      </c>
      <c r="G30" s="73"/>
      <c r="L30" s="134">
        <v>171</v>
      </c>
      <c r="M30" s="92">
        <f t="shared" si="8"/>
        <v>0.16</v>
      </c>
      <c r="N30" s="91">
        <f t="shared" si="6"/>
        <v>0</v>
      </c>
      <c r="O30" s="91">
        <f t="shared" si="7"/>
        <v>1600000</v>
      </c>
      <c r="P30" s="89"/>
      <c r="Q30" s="89"/>
    </row>
    <row r="31" spans="1:20" ht="15.75" thickBot="1" x14ac:dyDescent="0.3">
      <c r="A31" s="82">
        <f t="shared" si="0"/>
        <v>19</v>
      </c>
      <c r="B31" s="83">
        <f t="shared" si="1"/>
        <v>293996.56589427451</v>
      </c>
      <c r="C31" s="83">
        <f t="shared" si="2"/>
        <v>133107.56900673316</v>
      </c>
      <c r="D31" s="83">
        <f t="shared" si="4"/>
        <v>129388.99688754135</v>
      </c>
      <c r="E31" s="83">
        <f t="shared" si="5"/>
        <v>31500</v>
      </c>
      <c r="F31" s="83">
        <f t="shared" si="3"/>
        <v>7804867.7001675833</v>
      </c>
      <c r="G31" s="73"/>
      <c r="H31" s="96" t="s">
        <v>139</v>
      </c>
      <c r="I31" s="97">
        <f>+RATE(I24,-(I25+(I15*I22)),I20)</f>
        <v>2.8772551861834965E-2</v>
      </c>
      <c r="L31" s="134">
        <v>170</v>
      </c>
      <c r="M31" s="92">
        <f t="shared" si="8"/>
        <v>0.16</v>
      </c>
      <c r="N31" s="91">
        <f t="shared" si="6"/>
        <v>0</v>
      </c>
      <c r="O31" s="91">
        <f t="shared" si="7"/>
        <v>1600000</v>
      </c>
      <c r="P31" s="89"/>
      <c r="Q31" s="89"/>
    </row>
    <row r="32" spans="1:20" ht="15.75" thickBot="1" x14ac:dyDescent="0.3">
      <c r="A32" s="82">
        <f t="shared" si="0"/>
        <v>20</v>
      </c>
      <c r="B32" s="83">
        <f t="shared" si="1"/>
        <v>293996.56589427451</v>
      </c>
      <c r="C32" s="83">
        <f t="shared" si="2"/>
        <v>135277.2223815429</v>
      </c>
      <c r="D32" s="83">
        <f t="shared" si="4"/>
        <v>127219.34351273159</v>
      </c>
      <c r="E32" s="83">
        <f t="shared" si="5"/>
        <v>31500</v>
      </c>
      <c r="F32" s="83">
        <f t="shared" si="3"/>
        <v>7669590.4777860399</v>
      </c>
      <c r="G32" s="73"/>
      <c r="H32" s="98" t="s">
        <v>140</v>
      </c>
      <c r="I32" s="99">
        <f>+POWER(1+I31,12)-1</f>
        <v>0.40550508967140741</v>
      </c>
      <c r="L32" s="134">
        <v>169</v>
      </c>
      <c r="M32" s="92">
        <f t="shared" si="8"/>
        <v>0.16</v>
      </c>
      <c r="N32" s="91">
        <f t="shared" si="6"/>
        <v>0</v>
      </c>
      <c r="O32" s="91">
        <f t="shared" si="7"/>
        <v>1600000</v>
      </c>
      <c r="P32" s="89"/>
      <c r="Q32" s="89"/>
    </row>
    <row r="33" spans="1:17" ht="15.75" thickBot="1" x14ac:dyDescent="0.3">
      <c r="A33" s="82">
        <f t="shared" si="0"/>
        <v>21</v>
      </c>
      <c r="B33" s="83">
        <f t="shared" si="1"/>
        <v>293996.56589427451</v>
      </c>
      <c r="C33" s="83">
        <f t="shared" si="2"/>
        <v>137482.24110636208</v>
      </c>
      <c r="D33" s="83">
        <f t="shared" si="4"/>
        <v>125014.32478791244</v>
      </c>
      <c r="E33" s="83">
        <f t="shared" si="5"/>
        <v>31500</v>
      </c>
      <c r="F33" s="83">
        <f t="shared" si="3"/>
        <v>7532108.2366796779</v>
      </c>
      <c r="G33" s="73"/>
      <c r="L33" s="134">
        <v>168</v>
      </c>
      <c r="M33" s="92">
        <f t="shared" si="8"/>
        <v>0.16</v>
      </c>
      <c r="N33" s="91">
        <f t="shared" si="6"/>
        <v>0</v>
      </c>
      <c r="O33" s="91">
        <f t="shared" si="7"/>
        <v>1600000</v>
      </c>
      <c r="P33" s="89"/>
      <c r="Q33" s="89"/>
    </row>
    <row r="34" spans="1:17" ht="15.75" thickBot="1" x14ac:dyDescent="0.3">
      <c r="A34" s="82">
        <f t="shared" si="0"/>
        <v>22</v>
      </c>
      <c r="B34" s="83">
        <f t="shared" si="1"/>
        <v>293996.56589427451</v>
      </c>
      <c r="C34" s="83">
        <f t="shared" si="2"/>
        <v>139723.20163639577</v>
      </c>
      <c r="D34" s="83">
        <f t="shared" si="4"/>
        <v>122773.36425787874</v>
      </c>
      <c r="E34" s="83">
        <f t="shared" si="5"/>
        <v>31500</v>
      </c>
      <c r="F34" s="83">
        <f t="shared" si="3"/>
        <v>7392385.0350432824</v>
      </c>
      <c r="G34" s="73"/>
      <c r="H34" s="100" t="s">
        <v>141</v>
      </c>
      <c r="L34" s="134">
        <v>167</v>
      </c>
      <c r="M34" s="92">
        <f t="shared" si="8"/>
        <v>0.16</v>
      </c>
      <c r="N34" s="91">
        <f t="shared" si="6"/>
        <v>0</v>
      </c>
      <c r="O34" s="91">
        <f t="shared" si="7"/>
        <v>1600000</v>
      </c>
      <c r="P34" s="89"/>
      <c r="Q34" s="89"/>
    </row>
    <row r="35" spans="1:17" ht="15.75" thickBot="1" x14ac:dyDescent="0.3">
      <c r="A35" s="82">
        <f t="shared" si="0"/>
        <v>23</v>
      </c>
      <c r="B35" s="83">
        <f t="shared" si="1"/>
        <v>293996.56589427451</v>
      </c>
      <c r="C35" s="83">
        <f t="shared" si="2"/>
        <v>142000.68982306903</v>
      </c>
      <c r="D35" s="83">
        <f t="shared" si="4"/>
        <v>120495.87607120549</v>
      </c>
      <c r="E35" s="83">
        <f t="shared" si="5"/>
        <v>31500</v>
      </c>
      <c r="F35" s="83">
        <f t="shared" si="3"/>
        <v>7250384.3452202138</v>
      </c>
      <c r="G35" s="73"/>
      <c r="H35" s="101" t="s">
        <v>142</v>
      </c>
      <c r="I35" s="102">
        <v>0.15</v>
      </c>
      <c r="L35" s="134">
        <v>166</v>
      </c>
      <c r="M35" s="92">
        <f t="shared" si="8"/>
        <v>0.16</v>
      </c>
      <c r="N35" s="91">
        <f t="shared" si="6"/>
        <v>0</v>
      </c>
      <c r="O35" s="91">
        <f t="shared" si="7"/>
        <v>1600000</v>
      </c>
      <c r="P35" s="89"/>
      <c r="Q35" s="89"/>
    </row>
    <row r="36" spans="1:17" ht="15.75" thickBot="1" x14ac:dyDescent="0.3">
      <c r="A36" s="82">
        <f t="shared" si="0"/>
        <v>24</v>
      </c>
      <c r="B36" s="83">
        <f t="shared" si="1"/>
        <v>293996.56589427451</v>
      </c>
      <c r="C36" s="83">
        <f t="shared" si="2"/>
        <v>144315.30106718504</v>
      </c>
      <c r="D36" s="83">
        <f t="shared" si="4"/>
        <v>118181.26482708947</v>
      </c>
      <c r="E36" s="83">
        <f t="shared" si="5"/>
        <v>31500</v>
      </c>
      <c r="F36" s="83">
        <f t="shared" si="3"/>
        <v>7106069.0441530291</v>
      </c>
      <c r="G36" s="73"/>
      <c r="H36" s="101" t="s">
        <v>143</v>
      </c>
      <c r="I36" s="102">
        <f>+I23+(I22*(I35*1.19))</f>
        <v>1.6862274999999999E-2</v>
      </c>
      <c r="L36" s="134">
        <v>165</v>
      </c>
      <c r="M36" s="92">
        <f t="shared" si="8"/>
        <v>0.16</v>
      </c>
      <c r="N36" s="91">
        <f t="shared" si="6"/>
        <v>0</v>
      </c>
      <c r="O36" s="91">
        <f t="shared" si="7"/>
        <v>1600000</v>
      </c>
      <c r="P36" s="89"/>
      <c r="Q36" s="89"/>
    </row>
    <row r="37" spans="1:17" ht="15.75" thickBot="1" x14ac:dyDescent="0.3">
      <c r="A37" s="82">
        <f t="shared" si="0"/>
        <v>25</v>
      </c>
      <c r="B37" s="83">
        <f t="shared" si="1"/>
        <v>293996.56589427451</v>
      </c>
      <c r="C37" s="83">
        <f t="shared" si="2"/>
        <v>146667.64047458014</v>
      </c>
      <c r="D37" s="83">
        <f t="shared" si="4"/>
        <v>115828.92541969437</v>
      </c>
      <c r="E37" s="83">
        <f t="shared" si="5"/>
        <v>31500</v>
      </c>
      <c r="F37" s="83">
        <f t="shared" si="3"/>
        <v>6959401.4036784489</v>
      </c>
      <c r="H37" s="101" t="s">
        <v>144</v>
      </c>
      <c r="I37" s="103">
        <f>I20</f>
        <v>8354999.9999999991</v>
      </c>
      <c r="L37" s="134">
        <v>164</v>
      </c>
      <c r="M37" s="92">
        <f t="shared" si="8"/>
        <v>0.16</v>
      </c>
      <c r="N37" s="91">
        <f t="shared" si="6"/>
        <v>0</v>
      </c>
      <c r="O37" s="91">
        <f t="shared" si="7"/>
        <v>1600000</v>
      </c>
      <c r="P37" s="89"/>
      <c r="Q37" s="89"/>
    </row>
    <row r="38" spans="1:17" ht="15.75" thickBot="1" x14ac:dyDescent="0.3">
      <c r="A38" s="82">
        <f t="shared" si="0"/>
        <v>26</v>
      </c>
      <c r="B38" s="83">
        <f t="shared" si="1"/>
        <v>293996.56589427451</v>
      </c>
      <c r="C38" s="83">
        <f t="shared" si="2"/>
        <v>149058.3230143158</v>
      </c>
      <c r="D38" s="83">
        <f t="shared" si="4"/>
        <v>113438.24287995871</v>
      </c>
      <c r="E38" s="83">
        <f t="shared" si="5"/>
        <v>31500</v>
      </c>
      <c r="F38" s="83">
        <f t="shared" si="3"/>
        <v>6810343.0806641327</v>
      </c>
      <c r="G38" s="73"/>
      <c r="H38" s="101" t="s">
        <v>145</v>
      </c>
      <c r="I38" s="103">
        <f>+(I16-(I16/1.19))+(I17-(I17/1.19))</f>
        <v>255462.1848739495</v>
      </c>
      <c r="L38" s="134">
        <v>163</v>
      </c>
      <c r="M38" s="92">
        <f t="shared" si="8"/>
        <v>0.16</v>
      </c>
      <c r="N38" s="91">
        <f t="shared" si="6"/>
        <v>0</v>
      </c>
      <c r="O38" s="91">
        <f t="shared" si="7"/>
        <v>1600000</v>
      </c>
      <c r="P38" s="89"/>
      <c r="Q38" s="89"/>
    </row>
    <row r="39" spans="1:17" ht="15.75" thickBot="1" x14ac:dyDescent="0.3">
      <c r="A39" s="82">
        <f t="shared" si="0"/>
        <v>27</v>
      </c>
      <c r="B39" s="83">
        <f t="shared" si="1"/>
        <v>293996.56589427451</v>
      </c>
      <c r="C39" s="83">
        <f t="shared" si="2"/>
        <v>151487.97367944915</v>
      </c>
      <c r="D39" s="83">
        <f t="shared" si="4"/>
        <v>111008.59221482536</v>
      </c>
      <c r="E39" s="83">
        <f t="shared" si="5"/>
        <v>31500</v>
      </c>
      <c r="F39" s="83">
        <f t="shared" si="3"/>
        <v>6658855.1069846833</v>
      </c>
      <c r="G39" s="73"/>
      <c r="H39" s="101" t="s">
        <v>146</v>
      </c>
      <c r="I39" s="104">
        <f>+PMT(I36,I24,-I15)</f>
        <v>266246.60210314463</v>
      </c>
      <c r="L39" s="134">
        <v>162</v>
      </c>
      <c r="M39" s="92">
        <f t="shared" si="8"/>
        <v>0.16</v>
      </c>
      <c r="N39" s="91">
        <f t="shared" si="6"/>
        <v>0</v>
      </c>
      <c r="O39" s="91">
        <f t="shared" si="7"/>
        <v>1600000</v>
      </c>
      <c r="P39" s="89"/>
      <c r="Q39" s="89"/>
    </row>
    <row r="40" spans="1:17" ht="15.75" thickBot="1" x14ac:dyDescent="0.3">
      <c r="A40" s="82">
        <f t="shared" si="0"/>
        <v>28</v>
      </c>
      <c r="B40" s="83">
        <f t="shared" si="1"/>
        <v>293996.56589427451</v>
      </c>
      <c r="C40" s="83">
        <f t="shared" si="2"/>
        <v>153957.22765042417</v>
      </c>
      <c r="D40" s="83">
        <f t="shared" si="4"/>
        <v>108539.33824385033</v>
      </c>
      <c r="E40" s="83">
        <f t="shared" si="5"/>
        <v>31500</v>
      </c>
      <c r="F40" s="83">
        <f t="shared" si="3"/>
        <v>6504897.8793342588</v>
      </c>
      <c r="G40" s="73"/>
      <c r="H40" s="105" t="s">
        <v>147</v>
      </c>
      <c r="I40" s="106">
        <f>+RATE(I24,-I39,(I37+I38))</f>
        <v>2.3036509218463175E-2</v>
      </c>
      <c r="L40" s="134">
        <v>161</v>
      </c>
      <c r="M40" s="92">
        <f t="shared" si="8"/>
        <v>0.16</v>
      </c>
      <c r="N40" s="91">
        <f t="shared" si="6"/>
        <v>0</v>
      </c>
      <c r="O40" s="91">
        <f t="shared" si="7"/>
        <v>1600000</v>
      </c>
      <c r="P40" s="89"/>
      <c r="Q40" s="89"/>
    </row>
    <row r="41" spans="1:17" ht="15.75" thickBot="1" x14ac:dyDescent="0.3">
      <c r="A41" s="82">
        <f t="shared" si="0"/>
        <v>29</v>
      </c>
      <c r="B41" s="83">
        <f t="shared" si="1"/>
        <v>293996.56589427451</v>
      </c>
      <c r="C41" s="83">
        <f t="shared" si="2"/>
        <v>156466.73046112608</v>
      </c>
      <c r="D41" s="83">
        <f t="shared" si="4"/>
        <v>106029.83543314842</v>
      </c>
      <c r="E41" s="83">
        <f t="shared" si="5"/>
        <v>31500</v>
      </c>
      <c r="F41" s="83">
        <f t="shared" si="3"/>
        <v>6348431.1488731327</v>
      </c>
      <c r="G41" s="73"/>
      <c r="H41" s="98" t="s">
        <v>140</v>
      </c>
      <c r="I41" s="99">
        <f>EFFECT(I40*12,12)</f>
        <v>0.31429722960755924</v>
      </c>
      <c r="L41" s="134">
        <v>160</v>
      </c>
      <c r="M41" s="92">
        <f t="shared" si="8"/>
        <v>0.16</v>
      </c>
      <c r="N41" s="91">
        <f t="shared" si="6"/>
        <v>0</v>
      </c>
      <c r="O41" s="91">
        <f t="shared" si="7"/>
        <v>1600000</v>
      </c>
      <c r="P41" s="89"/>
      <c r="Q41" s="89"/>
    </row>
    <row r="42" spans="1:17" ht="15.75" thickBot="1" x14ac:dyDescent="0.3">
      <c r="A42" s="82">
        <f t="shared" si="0"/>
        <v>30</v>
      </c>
      <c r="B42" s="83">
        <f t="shared" si="1"/>
        <v>293996.56589427451</v>
      </c>
      <c r="C42" s="83">
        <f t="shared" si="2"/>
        <v>159017.13816764246</v>
      </c>
      <c r="D42" s="83">
        <f t="shared" si="4"/>
        <v>103479.42772663206</v>
      </c>
      <c r="E42" s="83">
        <f t="shared" si="5"/>
        <v>31500</v>
      </c>
      <c r="F42" s="83">
        <f t="shared" si="3"/>
        <v>6189414.0107054906</v>
      </c>
      <c r="G42" s="73"/>
      <c r="H42" s="105" t="s">
        <v>148</v>
      </c>
      <c r="I42" s="106">
        <f>+RATE(I24,-I39,((I20+I19+I18+I16)+I38))</f>
        <v>1.8501493482803392E-2</v>
      </c>
      <c r="L42" s="134">
        <v>159</v>
      </c>
      <c r="M42" s="92">
        <f t="shared" si="8"/>
        <v>0.16</v>
      </c>
      <c r="N42" s="91">
        <f t="shared" si="6"/>
        <v>0</v>
      </c>
      <c r="O42" s="91">
        <f t="shared" si="7"/>
        <v>1600000</v>
      </c>
      <c r="P42" s="89"/>
      <c r="Q42" s="89"/>
    </row>
    <row r="43" spans="1:17" ht="15.75" thickBot="1" x14ac:dyDescent="0.3">
      <c r="A43" s="82">
        <f t="shared" si="0"/>
        <v>31</v>
      </c>
      <c r="B43" s="83">
        <f t="shared" si="1"/>
        <v>293996.56589427451</v>
      </c>
      <c r="C43" s="83">
        <f t="shared" si="2"/>
        <v>161609.117519775</v>
      </c>
      <c r="D43" s="83">
        <f t="shared" si="4"/>
        <v>100887.44837449949</v>
      </c>
      <c r="E43" s="83">
        <f t="shared" si="5"/>
        <v>31500</v>
      </c>
      <c r="F43" s="83">
        <f t="shared" si="3"/>
        <v>6027804.8931857152</v>
      </c>
      <c r="G43" s="73"/>
      <c r="H43" s="98" t="s">
        <v>140</v>
      </c>
      <c r="I43" s="99">
        <f>EFFECT(I42*12,12)</f>
        <v>0.24606311910088841</v>
      </c>
      <c r="L43" s="134">
        <v>158</v>
      </c>
      <c r="M43" s="92">
        <f t="shared" si="8"/>
        <v>0.16</v>
      </c>
      <c r="N43" s="91">
        <f t="shared" si="6"/>
        <v>0</v>
      </c>
      <c r="O43" s="91">
        <f t="shared" si="7"/>
        <v>1600000</v>
      </c>
      <c r="P43" s="89"/>
      <c r="Q43" s="89"/>
    </row>
    <row r="44" spans="1:17" ht="15.75" thickBot="1" x14ac:dyDescent="0.3">
      <c r="A44" s="82">
        <f t="shared" si="0"/>
        <v>32</v>
      </c>
      <c r="B44" s="83">
        <f t="shared" si="1"/>
        <v>293996.56589427451</v>
      </c>
      <c r="C44" s="83">
        <f t="shared" si="2"/>
        <v>164243.34613534735</v>
      </c>
      <c r="D44" s="83">
        <f t="shared" si="4"/>
        <v>98253.219758927153</v>
      </c>
      <c r="E44" s="83">
        <f t="shared" si="5"/>
        <v>31500</v>
      </c>
      <c r="F44" s="83">
        <f t="shared" si="3"/>
        <v>5863561.547050368</v>
      </c>
      <c r="G44" s="73"/>
      <c r="L44" s="134">
        <v>157</v>
      </c>
      <c r="M44" s="92">
        <f t="shared" si="8"/>
        <v>0.16</v>
      </c>
      <c r="N44" s="91">
        <f t="shared" si="6"/>
        <v>0</v>
      </c>
      <c r="O44" s="91">
        <f t="shared" si="7"/>
        <v>1600000</v>
      </c>
      <c r="P44" s="89"/>
      <c r="Q44" s="89"/>
    </row>
    <row r="45" spans="1:17" ht="15.75" thickBot="1" x14ac:dyDescent="0.3">
      <c r="A45" s="82">
        <f t="shared" si="0"/>
        <v>33</v>
      </c>
      <c r="B45" s="83">
        <f t="shared" si="1"/>
        <v>293996.56589427451</v>
      </c>
      <c r="C45" s="83">
        <f t="shared" si="2"/>
        <v>166920.51267735352</v>
      </c>
      <c r="D45" s="83">
        <f t="shared" si="4"/>
        <v>95576.053216920991</v>
      </c>
      <c r="E45" s="83">
        <f t="shared" si="5"/>
        <v>31500</v>
      </c>
      <c r="F45" s="83">
        <f t="shared" si="3"/>
        <v>5696641.0343730142</v>
      </c>
      <c r="G45" s="73"/>
      <c r="H45" s="100" t="s">
        <v>149</v>
      </c>
      <c r="I45" s="102">
        <f>+IF(B9=M1,9%,IF(B9=M2,7%,IF(B9=M3,4%,0)))</f>
        <v>7.0000000000000007E-2</v>
      </c>
      <c r="L45" s="134">
        <v>156</v>
      </c>
      <c r="M45" s="92">
        <f t="shared" si="8"/>
        <v>0.16</v>
      </c>
      <c r="N45" s="91">
        <f t="shared" si="6"/>
        <v>0</v>
      </c>
      <c r="O45" s="91">
        <f t="shared" si="7"/>
        <v>1600000</v>
      </c>
      <c r="P45" s="89"/>
      <c r="Q45" s="89"/>
    </row>
    <row r="46" spans="1:17" ht="15.75" thickBot="1" x14ac:dyDescent="0.3">
      <c r="A46" s="82">
        <f t="shared" si="0"/>
        <v>34</v>
      </c>
      <c r="B46" s="83">
        <f t="shared" si="1"/>
        <v>293996.56589427451</v>
      </c>
      <c r="C46" s="83">
        <f t="shared" si="2"/>
        <v>169641.31703399439</v>
      </c>
      <c r="D46" s="83">
        <f t="shared" si="4"/>
        <v>92855.248860280117</v>
      </c>
      <c r="E46" s="83">
        <f t="shared" si="5"/>
        <v>31500</v>
      </c>
      <c r="F46" s="83">
        <f t="shared" si="3"/>
        <v>5526999.7173390202</v>
      </c>
      <c r="G46" s="73"/>
      <c r="H46" s="107" t="s">
        <v>150</v>
      </c>
      <c r="I46" s="108">
        <f>+I15*I45</f>
        <v>700000.00000000012</v>
      </c>
      <c r="L46" s="134">
        <v>155</v>
      </c>
      <c r="M46" s="92">
        <f t="shared" si="8"/>
        <v>0.16</v>
      </c>
      <c r="N46" s="91">
        <f t="shared" si="6"/>
        <v>0</v>
      </c>
      <c r="O46" s="91">
        <f t="shared" si="7"/>
        <v>1600000</v>
      </c>
      <c r="P46" s="89"/>
      <c r="Q46" s="89"/>
    </row>
    <row r="47" spans="1:17" ht="15.75" thickBot="1" x14ac:dyDescent="0.3">
      <c r="A47" s="82">
        <f t="shared" si="0"/>
        <v>35</v>
      </c>
      <c r="B47" s="83">
        <f t="shared" si="1"/>
        <v>293996.56589427451</v>
      </c>
      <c r="C47" s="83">
        <f t="shared" si="2"/>
        <v>172406.47050164849</v>
      </c>
      <c r="D47" s="83">
        <f t="shared" si="4"/>
        <v>90090.095392626026</v>
      </c>
      <c r="E47" s="83">
        <f t="shared" si="5"/>
        <v>31500</v>
      </c>
      <c r="F47" s="83">
        <f t="shared" si="3"/>
        <v>5354593.246837372</v>
      </c>
      <c r="G47" s="73"/>
      <c r="H47" s="109" t="s">
        <v>173</v>
      </c>
      <c r="I47" s="102">
        <v>0.15</v>
      </c>
      <c r="L47" s="134">
        <v>154</v>
      </c>
      <c r="M47" s="92">
        <f t="shared" si="8"/>
        <v>0.16</v>
      </c>
      <c r="N47" s="91">
        <f t="shared" si="6"/>
        <v>0</v>
      </c>
      <c r="O47" s="91">
        <f t="shared" si="7"/>
        <v>1600000</v>
      </c>
      <c r="P47" s="89"/>
      <c r="Q47" s="89"/>
    </row>
    <row r="48" spans="1:17" ht="15.75" thickBot="1" x14ac:dyDescent="0.3">
      <c r="A48" s="82">
        <f t="shared" si="0"/>
        <v>36</v>
      </c>
      <c r="B48" s="83">
        <f t="shared" si="1"/>
        <v>293996.56589427451</v>
      </c>
      <c r="C48" s="83">
        <f t="shared" si="2"/>
        <v>175216.69597082536</v>
      </c>
      <c r="D48" s="83">
        <f t="shared" si="4"/>
        <v>87279.869923449151</v>
      </c>
      <c r="E48" s="83">
        <f t="shared" si="5"/>
        <v>31500</v>
      </c>
      <c r="F48" s="83">
        <f t="shared" si="3"/>
        <v>5179376.550866547</v>
      </c>
      <c r="G48" s="73"/>
      <c r="H48" s="109" t="s">
        <v>174</v>
      </c>
      <c r="I48" s="108">
        <f>+(I20+I38+(I15*I47)+(I46*1.19))*(0.02*1.19)</f>
        <v>260454.39999999994</v>
      </c>
      <c r="L48" s="134">
        <v>153</v>
      </c>
      <c r="M48" s="92">
        <f t="shared" si="8"/>
        <v>0.16</v>
      </c>
      <c r="N48" s="91">
        <f t="shared" si="6"/>
        <v>0</v>
      </c>
      <c r="O48" s="91">
        <f t="shared" si="7"/>
        <v>1600000</v>
      </c>
      <c r="P48" s="89"/>
      <c r="Q48" s="89"/>
    </row>
    <row r="49" spans="1:17" ht="15.75" thickBot="1" x14ac:dyDescent="0.3">
      <c r="A49" s="82">
        <f t="shared" si="0"/>
        <v>37</v>
      </c>
      <c r="B49" s="83">
        <f t="shared" si="1"/>
        <v>293996.56589427451</v>
      </c>
      <c r="C49" s="83">
        <f t="shared" si="2"/>
        <v>178072.7281151498</v>
      </c>
      <c r="D49" s="83">
        <f t="shared" si="4"/>
        <v>84423.837779124704</v>
      </c>
      <c r="E49" s="83">
        <f t="shared" si="5"/>
        <v>31500</v>
      </c>
      <c r="F49" s="83">
        <f t="shared" si="3"/>
        <v>5001303.8227513973</v>
      </c>
      <c r="G49" s="73"/>
      <c r="H49" s="110" t="s">
        <v>151</v>
      </c>
      <c r="I49" s="108">
        <f>+(I37+I38)+(I46*1.19)+I48+(I15*I47)</f>
        <v>11203916.584873948</v>
      </c>
      <c r="L49" s="134">
        <v>152</v>
      </c>
      <c r="M49" s="92">
        <f t="shared" si="8"/>
        <v>0.16</v>
      </c>
      <c r="N49" s="91">
        <f t="shared" si="6"/>
        <v>0</v>
      </c>
      <c r="O49" s="91">
        <f t="shared" si="7"/>
        <v>1600000</v>
      </c>
      <c r="P49" s="89"/>
      <c r="Q49" s="89"/>
    </row>
    <row r="50" spans="1:17" ht="15.75" thickBot="1" x14ac:dyDescent="0.3">
      <c r="A50" s="82">
        <f t="shared" si="0"/>
        <v>38</v>
      </c>
      <c r="B50" s="83">
        <f t="shared" si="1"/>
        <v>293996.56589427451</v>
      </c>
      <c r="C50" s="83">
        <f t="shared" si="2"/>
        <v>180975.31358342676</v>
      </c>
      <c r="D50" s="83">
        <f t="shared" si="4"/>
        <v>81521.252310847762</v>
      </c>
      <c r="E50" s="83">
        <f t="shared" si="5"/>
        <v>31500</v>
      </c>
      <c r="F50" s="83">
        <f t="shared" si="3"/>
        <v>4820328.5091679702</v>
      </c>
      <c r="G50" s="73"/>
      <c r="H50" s="109" t="s">
        <v>146</v>
      </c>
      <c r="I50" s="111">
        <f>+I39</f>
        <v>266246.60210314463</v>
      </c>
      <c r="L50" s="134">
        <v>151</v>
      </c>
      <c r="M50" s="92">
        <f t="shared" si="8"/>
        <v>0.16</v>
      </c>
      <c r="N50" s="91">
        <f t="shared" si="6"/>
        <v>0</v>
      </c>
      <c r="O50" s="91">
        <f t="shared" si="7"/>
        <v>1600000</v>
      </c>
      <c r="P50" s="89"/>
      <c r="Q50" s="89"/>
    </row>
    <row r="51" spans="1:17" ht="15.75" thickBot="1" x14ac:dyDescent="0.3">
      <c r="A51" s="82">
        <f t="shared" si="0"/>
        <v>39</v>
      </c>
      <c r="B51" s="83">
        <f t="shared" si="1"/>
        <v>293996.56589427451</v>
      </c>
      <c r="C51" s="83">
        <f t="shared" si="2"/>
        <v>183925.21119483659</v>
      </c>
      <c r="D51" s="83">
        <f t="shared" si="4"/>
        <v>78571.354699437899</v>
      </c>
      <c r="E51" s="83">
        <f t="shared" si="5"/>
        <v>31500</v>
      </c>
      <c r="F51" s="83">
        <f t="shared" si="3"/>
        <v>4636403.2979731336</v>
      </c>
      <c r="G51" s="73"/>
      <c r="H51" s="109" t="s">
        <v>152</v>
      </c>
      <c r="I51" s="112">
        <f>+RATE(I24,-I50,I49)</f>
        <v>1.2458357892310319E-2</v>
      </c>
      <c r="L51" s="134">
        <v>150</v>
      </c>
      <c r="M51" s="92">
        <f t="shared" si="8"/>
        <v>0.16</v>
      </c>
      <c r="N51" s="91">
        <f t="shared" si="6"/>
        <v>0</v>
      </c>
      <c r="O51" s="91">
        <f t="shared" si="7"/>
        <v>1600000</v>
      </c>
      <c r="P51" s="89"/>
      <c r="Q51" s="89"/>
    </row>
    <row r="52" spans="1:17" ht="15.75" thickBot="1" x14ac:dyDescent="0.3">
      <c r="A52" s="82">
        <f t="shared" si="0"/>
        <v>40</v>
      </c>
      <c r="B52" s="83">
        <f t="shared" si="1"/>
        <v>293996.56589427451</v>
      </c>
      <c r="C52" s="83">
        <f t="shared" si="2"/>
        <v>186923.19213731244</v>
      </c>
      <c r="D52" s="83">
        <f t="shared" si="4"/>
        <v>75573.373756962072</v>
      </c>
      <c r="E52" s="83">
        <f t="shared" si="5"/>
        <v>31500</v>
      </c>
      <c r="F52" s="83">
        <f t="shared" si="3"/>
        <v>4449480.1058358215</v>
      </c>
      <c r="G52" s="73"/>
      <c r="H52" s="109" t="s">
        <v>153</v>
      </c>
      <c r="I52" s="102">
        <f>EFFECT(I51*12,12)</f>
        <v>0.16018177304425896</v>
      </c>
      <c r="L52" s="134">
        <v>149</v>
      </c>
      <c r="M52" s="92">
        <f t="shared" si="8"/>
        <v>0.16</v>
      </c>
      <c r="N52" s="91">
        <f t="shared" si="6"/>
        <v>0</v>
      </c>
      <c r="O52" s="91">
        <f t="shared" si="7"/>
        <v>1600000</v>
      </c>
      <c r="P52" s="89"/>
      <c r="Q52" s="89"/>
    </row>
    <row r="53" spans="1:17" ht="15.75" thickBot="1" x14ac:dyDescent="0.3">
      <c r="A53" s="82">
        <f t="shared" si="0"/>
        <v>41</v>
      </c>
      <c r="B53" s="83">
        <f t="shared" si="1"/>
        <v>293996.56589427451</v>
      </c>
      <c r="C53" s="83">
        <f t="shared" si="2"/>
        <v>189970.04016915063</v>
      </c>
      <c r="D53" s="83">
        <f t="shared" si="4"/>
        <v>72526.52572512388</v>
      </c>
      <c r="E53" s="83">
        <f t="shared" si="5"/>
        <v>31500</v>
      </c>
      <c r="F53" s="83">
        <f t="shared" si="3"/>
        <v>4259510.0656666709</v>
      </c>
      <c r="G53" s="73"/>
      <c r="L53" s="134">
        <v>148</v>
      </c>
      <c r="M53" s="92">
        <f t="shared" si="8"/>
        <v>0.16</v>
      </c>
      <c r="N53" s="91">
        <f t="shared" si="6"/>
        <v>0</v>
      </c>
      <c r="O53" s="91">
        <f t="shared" si="7"/>
        <v>1600000</v>
      </c>
      <c r="P53" s="89"/>
      <c r="Q53" s="89"/>
    </row>
    <row r="54" spans="1:17" ht="15.75" thickBot="1" x14ac:dyDescent="0.3">
      <c r="A54" s="82">
        <f t="shared" si="0"/>
        <v>42</v>
      </c>
      <c r="B54" s="83">
        <f t="shared" si="1"/>
        <v>293996.56589427451</v>
      </c>
      <c r="C54" s="83">
        <f t="shared" si="2"/>
        <v>193066.55182390776</v>
      </c>
      <c r="D54" s="83">
        <f t="shared" si="4"/>
        <v>69430.014070366728</v>
      </c>
      <c r="E54" s="83">
        <f t="shared" si="5"/>
        <v>31500</v>
      </c>
      <c r="F54" s="83">
        <f t="shared" si="3"/>
        <v>4066443.5138427634</v>
      </c>
      <c r="G54" s="73"/>
      <c r="H54" s="100" t="s">
        <v>154</v>
      </c>
      <c r="L54" s="134">
        <v>147</v>
      </c>
      <c r="M54" s="92">
        <f t="shared" si="8"/>
        <v>0.16</v>
      </c>
      <c r="N54" s="91">
        <f t="shared" si="6"/>
        <v>0</v>
      </c>
      <c r="O54" s="91">
        <f t="shared" si="7"/>
        <v>1600000</v>
      </c>
      <c r="P54" s="89"/>
      <c r="Q54" s="89"/>
    </row>
    <row r="55" spans="1:17" ht="15.75" thickBot="1" x14ac:dyDescent="0.3">
      <c r="A55" s="82">
        <f t="shared" si="0"/>
        <v>43</v>
      </c>
      <c r="B55" s="83">
        <f t="shared" si="1"/>
        <v>293996.56589427451</v>
      </c>
      <c r="C55" s="83">
        <f t="shared" si="2"/>
        <v>196213.53661863747</v>
      </c>
      <c r="D55" s="83">
        <f t="shared" si="4"/>
        <v>66283.029275637033</v>
      </c>
      <c r="E55" s="83">
        <f t="shared" si="5"/>
        <v>31500</v>
      </c>
      <c r="F55" s="83">
        <f t="shared" si="3"/>
        <v>3870229.977224126</v>
      </c>
      <c r="G55" s="73"/>
      <c r="H55" s="101" t="s">
        <v>155</v>
      </c>
      <c r="I55" s="102">
        <v>0.14599999999999999</v>
      </c>
      <c r="L55" s="134">
        <v>146</v>
      </c>
      <c r="M55" s="92">
        <f t="shared" si="8"/>
        <v>0.16</v>
      </c>
      <c r="N55" s="91">
        <f t="shared" si="6"/>
        <v>0</v>
      </c>
      <c r="O55" s="91">
        <f t="shared" si="7"/>
        <v>1600000</v>
      </c>
      <c r="P55" s="89"/>
      <c r="Q55" s="89"/>
    </row>
    <row r="56" spans="1:17" ht="15.75" thickBot="1" x14ac:dyDescent="0.3">
      <c r="A56" s="82">
        <f t="shared" si="0"/>
        <v>44</v>
      </c>
      <c r="B56" s="83">
        <f t="shared" si="1"/>
        <v>293996.56589427451</v>
      </c>
      <c r="C56" s="83">
        <f t="shared" si="2"/>
        <v>199411.81726552127</v>
      </c>
      <c r="D56" s="83">
        <f t="shared" si="4"/>
        <v>63084.748628753245</v>
      </c>
      <c r="E56" s="83">
        <f t="shared" si="5"/>
        <v>31500</v>
      </c>
      <c r="F56" s="83">
        <f t="shared" si="3"/>
        <v>3670818.1599586047</v>
      </c>
      <c r="G56" s="73"/>
      <c r="H56" s="109" t="s">
        <v>156</v>
      </c>
      <c r="I56" s="113">
        <f>+I52-I55</f>
        <v>1.4181773044258966E-2</v>
      </c>
      <c r="L56" s="134">
        <v>145</v>
      </c>
      <c r="M56" s="92">
        <f t="shared" si="8"/>
        <v>0.16</v>
      </c>
      <c r="N56" s="91">
        <f t="shared" si="6"/>
        <v>0</v>
      </c>
      <c r="O56" s="91">
        <f t="shared" si="7"/>
        <v>1600000</v>
      </c>
      <c r="P56" s="89"/>
      <c r="Q56" s="89"/>
    </row>
    <row r="57" spans="1:17" ht="15.75" thickBot="1" x14ac:dyDescent="0.3">
      <c r="A57" s="82">
        <f t="shared" si="0"/>
        <v>45</v>
      </c>
      <c r="B57" s="83">
        <f t="shared" si="1"/>
        <v>293996.56589427451</v>
      </c>
      <c r="C57" s="83">
        <f t="shared" si="2"/>
        <v>202662.22988694927</v>
      </c>
      <c r="D57" s="83">
        <f t="shared" si="4"/>
        <v>59834.336007325248</v>
      </c>
      <c r="E57" s="83">
        <f t="shared" si="5"/>
        <v>31500</v>
      </c>
      <c r="F57" s="83">
        <f t="shared" si="3"/>
        <v>3468155.9300716557</v>
      </c>
      <c r="G57" s="73"/>
      <c r="L57" s="134">
        <v>144</v>
      </c>
      <c r="M57" s="92">
        <f t="shared" si="8"/>
        <v>0.16</v>
      </c>
      <c r="N57" s="91">
        <f t="shared" si="6"/>
        <v>0</v>
      </c>
      <c r="O57" s="91">
        <f t="shared" si="7"/>
        <v>1600000</v>
      </c>
      <c r="P57" s="89"/>
      <c r="Q57" s="89"/>
    </row>
    <row r="58" spans="1:17" ht="15.75" thickBot="1" x14ac:dyDescent="0.3">
      <c r="A58" s="82">
        <f t="shared" si="0"/>
        <v>46</v>
      </c>
      <c r="B58" s="83">
        <f t="shared" si="1"/>
        <v>293996.56589427451</v>
      </c>
      <c r="C58" s="83">
        <f t="shared" si="2"/>
        <v>205965.62423410651</v>
      </c>
      <c r="D58" s="83">
        <f t="shared" si="4"/>
        <v>56530.941660167984</v>
      </c>
      <c r="E58" s="83">
        <f t="shared" si="5"/>
        <v>31500</v>
      </c>
      <c r="F58" s="83">
        <f t="shared" si="3"/>
        <v>3262190.3058375493</v>
      </c>
      <c r="G58" s="73"/>
      <c r="L58" s="134">
        <v>143</v>
      </c>
      <c r="M58" s="92">
        <f t="shared" si="8"/>
        <v>0.16</v>
      </c>
      <c r="N58" s="91">
        <f t="shared" si="6"/>
        <v>0</v>
      </c>
      <c r="O58" s="91">
        <f t="shared" si="7"/>
        <v>1600000</v>
      </c>
      <c r="P58" s="89"/>
      <c r="Q58" s="89"/>
    </row>
    <row r="59" spans="1:17" ht="15.75" thickBot="1" x14ac:dyDescent="0.3">
      <c r="A59" s="82">
        <f t="shared" si="0"/>
        <v>47</v>
      </c>
      <c r="B59" s="83">
        <f t="shared" si="1"/>
        <v>293996.56589427451</v>
      </c>
      <c r="C59" s="83">
        <f t="shared" si="2"/>
        <v>209322.86390912248</v>
      </c>
      <c r="D59" s="83">
        <f t="shared" si="4"/>
        <v>53173.701985152045</v>
      </c>
      <c r="E59" s="83">
        <f t="shared" si="5"/>
        <v>31500</v>
      </c>
      <c r="F59" s="83">
        <f t="shared" si="3"/>
        <v>3052867.4419284267</v>
      </c>
      <c r="G59" s="73"/>
      <c r="L59" s="134">
        <v>142</v>
      </c>
      <c r="M59" s="92">
        <f t="shared" si="8"/>
        <v>0.16</v>
      </c>
      <c r="N59" s="91">
        <f t="shared" si="6"/>
        <v>0</v>
      </c>
      <c r="O59" s="91">
        <f t="shared" si="7"/>
        <v>1600000</v>
      </c>
      <c r="P59" s="89"/>
      <c r="Q59" s="89"/>
    </row>
    <row r="60" spans="1:17" ht="15.75" thickBot="1" x14ac:dyDescent="0.3">
      <c r="A60" s="82">
        <f t="shared" si="0"/>
        <v>48</v>
      </c>
      <c r="B60" s="83">
        <f t="shared" si="1"/>
        <v>293996.56589427451</v>
      </c>
      <c r="C60" s="83">
        <f t="shared" si="2"/>
        <v>212734.82659084117</v>
      </c>
      <c r="D60" s="83">
        <f t="shared" si="4"/>
        <v>49761.739303433351</v>
      </c>
      <c r="E60" s="83">
        <f t="shared" si="5"/>
        <v>31500</v>
      </c>
      <c r="F60" s="83">
        <f t="shared" si="3"/>
        <v>2840132.6153375856</v>
      </c>
      <c r="G60" s="73"/>
      <c r="L60" s="134">
        <v>141</v>
      </c>
      <c r="M60" s="92">
        <f t="shared" si="8"/>
        <v>0.16</v>
      </c>
      <c r="N60" s="91">
        <f t="shared" si="6"/>
        <v>0</v>
      </c>
      <c r="O60" s="91">
        <f t="shared" si="7"/>
        <v>1600000</v>
      </c>
      <c r="P60" s="89"/>
      <c r="Q60" s="89"/>
    </row>
    <row r="61" spans="1:17" ht="15.75" thickBot="1" x14ac:dyDescent="0.3">
      <c r="A61" s="82">
        <f t="shared" si="0"/>
        <v>49</v>
      </c>
      <c r="B61" s="83">
        <f t="shared" si="1"/>
        <v>293996.56589427451</v>
      </c>
      <c r="C61" s="83">
        <f t="shared" si="2"/>
        <v>216202.40426427187</v>
      </c>
      <c r="D61" s="83">
        <f t="shared" si="4"/>
        <v>46294.161630002644</v>
      </c>
      <c r="E61" s="83">
        <f t="shared" si="5"/>
        <v>31500</v>
      </c>
      <c r="F61" s="83">
        <f t="shared" si="3"/>
        <v>2623930.2110733138</v>
      </c>
      <c r="G61" s="73"/>
      <c r="L61" s="134">
        <v>140</v>
      </c>
      <c r="M61" s="92">
        <f t="shared" si="8"/>
        <v>0.16</v>
      </c>
      <c r="N61" s="91">
        <f t="shared" si="6"/>
        <v>0</v>
      </c>
      <c r="O61" s="91">
        <f t="shared" si="7"/>
        <v>1600000</v>
      </c>
      <c r="P61" s="89"/>
      <c r="Q61" s="89"/>
    </row>
    <row r="62" spans="1:17" ht="15.75" thickBot="1" x14ac:dyDescent="0.3">
      <c r="A62" s="82">
        <f t="shared" si="0"/>
        <v>50</v>
      </c>
      <c r="B62" s="83">
        <f t="shared" si="1"/>
        <v>293996.56589427451</v>
      </c>
      <c r="C62" s="83">
        <f t="shared" si="2"/>
        <v>219726.5034537795</v>
      </c>
      <c r="D62" s="83">
        <f t="shared" si="4"/>
        <v>42770.062440495014</v>
      </c>
      <c r="E62" s="83">
        <f t="shared" si="5"/>
        <v>31500</v>
      </c>
      <c r="F62" s="83">
        <f t="shared" si="3"/>
        <v>2404203.7076195343</v>
      </c>
      <c r="G62" s="73"/>
      <c r="L62" s="134">
        <v>139</v>
      </c>
      <c r="M62" s="92">
        <f t="shared" si="8"/>
        <v>0.16</v>
      </c>
      <c r="N62" s="91">
        <f t="shared" si="6"/>
        <v>0</v>
      </c>
      <c r="O62" s="91">
        <f t="shared" si="7"/>
        <v>1600000</v>
      </c>
      <c r="P62" s="89"/>
      <c r="Q62" s="89"/>
    </row>
    <row r="63" spans="1:17" ht="15.75" thickBot="1" x14ac:dyDescent="0.3">
      <c r="A63" s="82">
        <f t="shared" si="0"/>
        <v>51</v>
      </c>
      <c r="B63" s="83">
        <f t="shared" si="1"/>
        <v>293996.56589427451</v>
      </c>
      <c r="C63" s="83">
        <f t="shared" si="2"/>
        <v>223308.0454600761</v>
      </c>
      <c r="D63" s="83">
        <f t="shared" si="4"/>
        <v>39188.520434198406</v>
      </c>
      <c r="E63" s="83">
        <f t="shared" si="5"/>
        <v>31500</v>
      </c>
      <c r="F63" s="83">
        <f t="shared" si="3"/>
        <v>2180895.6621594583</v>
      </c>
      <c r="G63" s="73"/>
      <c r="L63" s="134">
        <v>138</v>
      </c>
      <c r="M63" s="92">
        <f t="shared" si="8"/>
        <v>0.16</v>
      </c>
      <c r="N63" s="91">
        <f t="shared" si="6"/>
        <v>0</v>
      </c>
      <c r="O63" s="91">
        <f t="shared" si="7"/>
        <v>1600000</v>
      </c>
      <c r="P63" s="89"/>
      <c r="Q63" s="89"/>
    </row>
    <row r="64" spans="1:17" ht="15.75" thickBot="1" x14ac:dyDescent="0.3">
      <c r="A64" s="82">
        <f t="shared" si="0"/>
        <v>52</v>
      </c>
      <c r="B64" s="83">
        <f t="shared" si="1"/>
        <v>293996.56589427451</v>
      </c>
      <c r="C64" s="83">
        <f t="shared" si="2"/>
        <v>226947.96660107534</v>
      </c>
      <c r="D64" s="83">
        <f t="shared" si="4"/>
        <v>35548.599293199164</v>
      </c>
      <c r="E64" s="83">
        <f t="shared" si="5"/>
        <v>31500</v>
      </c>
      <c r="F64" s="83">
        <f t="shared" si="3"/>
        <v>1953947.6955583829</v>
      </c>
      <c r="G64" s="73"/>
      <c r="L64" s="134">
        <v>137</v>
      </c>
      <c r="M64" s="92">
        <f t="shared" si="8"/>
        <v>0.16</v>
      </c>
      <c r="N64" s="91">
        <f t="shared" si="6"/>
        <v>0</v>
      </c>
      <c r="O64" s="91">
        <f t="shared" si="7"/>
        <v>1600000</v>
      </c>
      <c r="P64" s="89"/>
      <c r="Q64" s="89"/>
    </row>
    <row r="65" spans="1:17" ht="15.75" thickBot="1" x14ac:dyDescent="0.3">
      <c r="A65" s="82">
        <f t="shared" si="0"/>
        <v>53</v>
      </c>
      <c r="B65" s="83">
        <f t="shared" si="1"/>
        <v>293996.56589427451</v>
      </c>
      <c r="C65" s="83">
        <f t="shared" si="2"/>
        <v>230647.21845667285</v>
      </c>
      <c r="D65" s="83">
        <f t="shared" si="4"/>
        <v>31849.347437601638</v>
      </c>
      <c r="E65" s="83">
        <f t="shared" si="5"/>
        <v>31500</v>
      </c>
      <c r="F65" s="83">
        <f t="shared" si="3"/>
        <v>1723300.4771017102</v>
      </c>
      <c r="G65" s="73"/>
      <c r="L65" s="134">
        <v>136</v>
      </c>
      <c r="M65" s="92">
        <f t="shared" si="8"/>
        <v>0.16</v>
      </c>
      <c r="N65" s="91">
        <f t="shared" si="6"/>
        <v>0</v>
      </c>
      <c r="O65" s="91">
        <f t="shared" si="7"/>
        <v>1600000</v>
      </c>
      <c r="P65" s="89"/>
      <c r="Q65" s="89"/>
    </row>
    <row r="66" spans="1:17" ht="15.75" thickBot="1" x14ac:dyDescent="0.3">
      <c r="A66" s="82">
        <f t="shared" si="0"/>
        <v>54</v>
      </c>
      <c r="B66" s="83">
        <f t="shared" si="1"/>
        <v>293996.56589427451</v>
      </c>
      <c r="C66" s="83">
        <f t="shared" si="2"/>
        <v>234406.76811751665</v>
      </c>
      <c r="D66" s="83">
        <f t="shared" si="4"/>
        <v>28089.797776757874</v>
      </c>
      <c r="E66" s="83">
        <f t="shared" si="5"/>
        <v>31500</v>
      </c>
      <c r="F66" s="83">
        <f t="shared" si="3"/>
        <v>1488893.7089841934</v>
      </c>
      <c r="G66" s="73"/>
      <c r="L66" s="134">
        <v>135</v>
      </c>
      <c r="M66" s="92">
        <f t="shared" si="8"/>
        <v>0.16</v>
      </c>
      <c r="N66" s="91">
        <f t="shared" si="6"/>
        <v>0</v>
      </c>
      <c r="O66" s="91">
        <f t="shared" si="7"/>
        <v>1600000</v>
      </c>
      <c r="P66" s="89"/>
      <c r="Q66" s="89"/>
    </row>
    <row r="67" spans="1:17" ht="15.75" thickBot="1" x14ac:dyDescent="0.3">
      <c r="A67" s="82">
        <f t="shared" si="0"/>
        <v>55</v>
      </c>
      <c r="B67" s="83">
        <f t="shared" si="1"/>
        <v>293996.56589427451</v>
      </c>
      <c r="C67" s="83">
        <f t="shared" si="2"/>
        <v>238227.59843783214</v>
      </c>
      <c r="D67" s="83">
        <f t="shared" si="4"/>
        <v>24268.967456442351</v>
      </c>
      <c r="E67" s="83">
        <f t="shared" si="5"/>
        <v>31500</v>
      </c>
      <c r="F67" s="83">
        <f t="shared" si="3"/>
        <v>1250666.1105463612</v>
      </c>
      <c r="G67" s="73"/>
      <c r="L67" s="134">
        <v>134</v>
      </c>
      <c r="M67" s="92">
        <f t="shared" si="8"/>
        <v>0.16</v>
      </c>
      <c r="N67" s="91">
        <f t="shared" si="6"/>
        <v>0</v>
      </c>
      <c r="O67" s="91">
        <f t="shared" si="7"/>
        <v>1600000</v>
      </c>
      <c r="P67" s="89"/>
      <c r="Q67" s="89"/>
    </row>
    <row r="68" spans="1:17" ht="15.75" thickBot="1" x14ac:dyDescent="0.3">
      <c r="A68" s="82">
        <f t="shared" si="0"/>
        <v>56</v>
      </c>
      <c r="B68" s="83">
        <f t="shared" si="1"/>
        <v>293996.56589427451</v>
      </c>
      <c r="C68" s="83">
        <f t="shared" si="2"/>
        <v>242110.7082923688</v>
      </c>
      <c r="D68" s="83">
        <f t="shared" si="4"/>
        <v>20385.857601905685</v>
      </c>
      <c r="E68" s="83">
        <f t="shared" si="5"/>
        <v>31500</v>
      </c>
      <c r="F68" s="83">
        <f t="shared" si="3"/>
        <v>1008555.4022539924</v>
      </c>
      <c r="G68" s="73"/>
      <c r="L68" s="134">
        <v>133</v>
      </c>
      <c r="M68" s="92">
        <f t="shared" si="8"/>
        <v>0.16</v>
      </c>
      <c r="N68" s="91">
        <f t="shared" si="6"/>
        <v>0</v>
      </c>
      <c r="O68" s="91">
        <f t="shared" si="7"/>
        <v>1600000</v>
      </c>
      <c r="P68" s="89"/>
      <c r="Q68" s="89"/>
    </row>
    <row r="69" spans="1:17" ht="15.75" thickBot="1" x14ac:dyDescent="0.3">
      <c r="A69" s="82">
        <f t="shared" si="0"/>
        <v>57</v>
      </c>
      <c r="B69" s="83">
        <f t="shared" si="1"/>
        <v>293996.56589427451</v>
      </c>
      <c r="C69" s="83">
        <f t="shared" si="2"/>
        <v>246057.11283753446</v>
      </c>
      <c r="D69" s="83">
        <f t="shared" si="4"/>
        <v>16439.453056740076</v>
      </c>
      <c r="E69" s="83">
        <f t="shared" si="5"/>
        <v>31500</v>
      </c>
      <c r="F69" s="83">
        <f t="shared" si="3"/>
        <v>762498.28941645799</v>
      </c>
      <c r="G69" s="73"/>
      <c r="L69" s="134">
        <v>132</v>
      </c>
      <c r="M69" s="92">
        <f t="shared" si="8"/>
        <v>0.16</v>
      </c>
      <c r="N69" s="91">
        <f t="shared" si="6"/>
        <v>0</v>
      </c>
      <c r="O69" s="91">
        <f t="shared" si="7"/>
        <v>1600000</v>
      </c>
      <c r="P69" s="89"/>
      <c r="Q69" s="89"/>
    </row>
    <row r="70" spans="1:17" ht="15.75" thickBot="1" x14ac:dyDescent="0.3">
      <c r="A70" s="82">
        <f t="shared" si="0"/>
        <v>58</v>
      </c>
      <c r="B70" s="83">
        <f t="shared" si="1"/>
        <v>293996.56589427451</v>
      </c>
      <c r="C70" s="83">
        <f t="shared" si="2"/>
        <v>250067.84377678623</v>
      </c>
      <c r="D70" s="83">
        <f t="shared" si="4"/>
        <v>12428.722117488263</v>
      </c>
      <c r="E70" s="83">
        <f t="shared" si="5"/>
        <v>31500</v>
      </c>
      <c r="F70" s="83">
        <f t="shared" si="3"/>
        <v>512430.44563967176</v>
      </c>
      <c r="G70" s="73"/>
      <c r="L70" s="134">
        <v>131</v>
      </c>
      <c r="M70" s="92">
        <f t="shared" si="8"/>
        <v>0.16</v>
      </c>
      <c r="N70" s="91">
        <f t="shared" si="6"/>
        <v>0</v>
      </c>
      <c r="O70" s="91">
        <f t="shared" si="7"/>
        <v>1600000</v>
      </c>
      <c r="P70" s="89"/>
      <c r="Q70" s="89"/>
    </row>
    <row r="71" spans="1:17" ht="15.75" thickBot="1" x14ac:dyDescent="0.3">
      <c r="A71" s="82">
        <f t="shared" si="0"/>
        <v>59</v>
      </c>
      <c r="B71" s="83">
        <f t="shared" si="1"/>
        <v>293996.56589427451</v>
      </c>
      <c r="C71" s="83">
        <f t="shared" si="2"/>
        <v>254143.94963034784</v>
      </c>
      <c r="D71" s="83">
        <f t="shared" si="4"/>
        <v>8352.6162639266495</v>
      </c>
      <c r="E71" s="83">
        <f t="shared" si="5"/>
        <v>31500</v>
      </c>
      <c r="F71" s="83">
        <f t="shared" si="3"/>
        <v>258286.49600932392</v>
      </c>
      <c r="G71" s="73"/>
      <c r="L71" s="134">
        <v>130</v>
      </c>
      <c r="M71" s="92">
        <f t="shared" si="8"/>
        <v>0.16</v>
      </c>
      <c r="N71" s="91">
        <f t="shared" si="6"/>
        <v>0</v>
      </c>
      <c r="O71" s="91">
        <f t="shared" si="7"/>
        <v>1600000</v>
      </c>
      <c r="P71" s="89"/>
      <c r="Q71" s="89"/>
    </row>
    <row r="72" spans="1:17" ht="15.75" thickBot="1" x14ac:dyDescent="0.3">
      <c r="A72" s="82">
        <f t="shared" si="0"/>
        <v>60</v>
      </c>
      <c r="B72" s="83">
        <f t="shared" si="1"/>
        <v>293996.56589427451</v>
      </c>
      <c r="C72" s="83">
        <f t="shared" si="2"/>
        <v>258286.49600932252</v>
      </c>
      <c r="D72" s="83">
        <f t="shared" si="4"/>
        <v>4210.0698849519795</v>
      </c>
      <c r="E72" s="83">
        <f t="shared" si="5"/>
        <v>31500</v>
      </c>
      <c r="F72" s="83">
        <f t="shared" si="3"/>
        <v>1.3969838619232178E-9</v>
      </c>
      <c r="G72" s="73"/>
      <c r="L72" s="134">
        <v>129</v>
      </c>
      <c r="M72" s="92">
        <f t="shared" si="8"/>
        <v>0.16</v>
      </c>
      <c r="N72" s="91">
        <f t="shared" si="6"/>
        <v>0</v>
      </c>
      <c r="O72" s="91">
        <f t="shared" si="7"/>
        <v>1600000</v>
      </c>
      <c r="P72" s="89"/>
      <c r="Q72" s="89"/>
    </row>
    <row r="73" spans="1:17" ht="15.75" thickBot="1" x14ac:dyDescent="0.3">
      <c r="A73" s="82" t="str">
        <f t="shared" si="0"/>
        <v xml:space="preserve"> </v>
      </c>
      <c r="B73" s="83" t="str">
        <f t="shared" si="1"/>
        <v xml:space="preserve"> </v>
      </c>
      <c r="C73" s="83" t="str">
        <f t="shared" si="2"/>
        <v xml:space="preserve"> </v>
      </c>
      <c r="D73" s="83" t="str">
        <f t="shared" si="4"/>
        <v xml:space="preserve"> </v>
      </c>
      <c r="E73" s="83" t="str">
        <f t="shared" si="5"/>
        <v xml:space="preserve"> </v>
      </c>
      <c r="F73" s="83" t="str">
        <f t="shared" si="3"/>
        <v xml:space="preserve"> </v>
      </c>
      <c r="G73" s="73"/>
      <c r="L73" s="134">
        <v>128</v>
      </c>
      <c r="M73" s="92">
        <f t="shared" si="8"/>
        <v>0.16</v>
      </c>
      <c r="N73" s="91">
        <f t="shared" si="6"/>
        <v>0</v>
      </c>
      <c r="O73" s="91">
        <f t="shared" si="7"/>
        <v>1600000</v>
      </c>
      <c r="P73" s="89"/>
      <c r="Q73" s="89"/>
    </row>
    <row r="74" spans="1:17" ht="15.75" thickBot="1" x14ac:dyDescent="0.3">
      <c r="A74" s="82" t="str">
        <f t="shared" si="0"/>
        <v xml:space="preserve"> </v>
      </c>
      <c r="B74" s="83" t="str">
        <f t="shared" si="1"/>
        <v xml:space="preserve"> </v>
      </c>
      <c r="C74" s="83" t="str">
        <f t="shared" si="2"/>
        <v xml:space="preserve"> </v>
      </c>
      <c r="D74" s="83" t="str">
        <f t="shared" si="4"/>
        <v xml:space="preserve"> </v>
      </c>
      <c r="E74" s="83" t="str">
        <f t="shared" si="5"/>
        <v xml:space="preserve"> </v>
      </c>
      <c r="F74" s="83" t="str">
        <f t="shared" si="3"/>
        <v xml:space="preserve"> </v>
      </c>
      <c r="G74" s="73"/>
      <c r="L74" s="134">
        <v>127</v>
      </c>
      <c r="M74" s="92">
        <f t="shared" si="8"/>
        <v>0.16</v>
      </c>
      <c r="N74" s="91">
        <f t="shared" si="6"/>
        <v>0</v>
      </c>
      <c r="O74" s="91">
        <f t="shared" si="7"/>
        <v>1600000</v>
      </c>
      <c r="P74" s="89"/>
      <c r="Q74" s="89"/>
    </row>
    <row r="75" spans="1:17" ht="15.75" thickBot="1" x14ac:dyDescent="0.3">
      <c r="A75" s="82" t="str">
        <f t="shared" si="0"/>
        <v xml:space="preserve"> </v>
      </c>
      <c r="B75" s="83" t="str">
        <f t="shared" si="1"/>
        <v xml:space="preserve"> </v>
      </c>
      <c r="C75" s="83" t="str">
        <f t="shared" si="2"/>
        <v xml:space="preserve"> </v>
      </c>
      <c r="D75" s="83" t="str">
        <f t="shared" si="4"/>
        <v xml:space="preserve"> </v>
      </c>
      <c r="E75" s="83" t="str">
        <f t="shared" si="5"/>
        <v xml:space="preserve"> </v>
      </c>
      <c r="F75" s="83" t="str">
        <f t="shared" si="3"/>
        <v xml:space="preserve"> </v>
      </c>
      <c r="G75" s="73"/>
      <c r="L75" s="134">
        <v>126</v>
      </c>
      <c r="M75" s="92">
        <f t="shared" si="8"/>
        <v>0.16</v>
      </c>
      <c r="N75" s="91">
        <f t="shared" si="6"/>
        <v>0</v>
      </c>
      <c r="O75" s="91">
        <f t="shared" si="7"/>
        <v>1600000</v>
      </c>
      <c r="P75" s="89"/>
      <c r="Q75" s="89"/>
    </row>
    <row r="76" spans="1:17" ht="15.75" thickBot="1" x14ac:dyDescent="0.3">
      <c r="A76" s="82" t="str">
        <f t="shared" si="0"/>
        <v xml:space="preserve"> </v>
      </c>
      <c r="B76" s="83" t="str">
        <f t="shared" si="1"/>
        <v xml:space="preserve"> </v>
      </c>
      <c r="C76" s="83" t="str">
        <f t="shared" si="2"/>
        <v xml:space="preserve"> </v>
      </c>
      <c r="D76" s="83" t="str">
        <f t="shared" si="4"/>
        <v xml:space="preserve"> </v>
      </c>
      <c r="E76" s="83" t="str">
        <f t="shared" si="5"/>
        <v xml:space="preserve"> </v>
      </c>
      <c r="F76" s="83" t="str">
        <f t="shared" si="3"/>
        <v xml:space="preserve"> </v>
      </c>
      <c r="G76" s="73"/>
      <c r="L76" s="134">
        <v>125</v>
      </c>
      <c r="M76" s="92">
        <f t="shared" si="8"/>
        <v>0.16</v>
      </c>
      <c r="N76" s="91">
        <f t="shared" si="6"/>
        <v>0</v>
      </c>
      <c r="O76" s="91">
        <f t="shared" si="7"/>
        <v>1600000</v>
      </c>
      <c r="P76" s="89"/>
      <c r="Q76" s="89"/>
    </row>
    <row r="77" spans="1:17" ht="15.75" thickBot="1" x14ac:dyDescent="0.3">
      <c r="A77" s="82" t="str">
        <f t="shared" ref="A77:A140" si="9">IF($F$2&gt;A76,A76+1," ")</f>
        <v xml:space="preserve"> </v>
      </c>
      <c r="B77" s="83" t="str">
        <f t="shared" si="1"/>
        <v xml:space="preserve"> </v>
      </c>
      <c r="C77" s="83" t="str">
        <f t="shared" si="2"/>
        <v xml:space="preserve"> </v>
      </c>
      <c r="D77" s="83" t="str">
        <f t="shared" si="4"/>
        <v xml:space="preserve"> </v>
      </c>
      <c r="E77" s="83" t="str">
        <f t="shared" si="5"/>
        <v xml:space="preserve"> </v>
      </c>
      <c r="F77" s="83" t="str">
        <f t="shared" si="3"/>
        <v xml:space="preserve"> </v>
      </c>
      <c r="G77" s="73"/>
      <c r="L77" s="134">
        <v>124</v>
      </c>
      <c r="M77" s="92">
        <f t="shared" si="8"/>
        <v>0.16</v>
      </c>
      <c r="N77" s="91">
        <f t="shared" si="6"/>
        <v>0</v>
      </c>
      <c r="O77" s="91">
        <f t="shared" si="7"/>
        <v>1600000</v>
      </c>
      <c r="P77" s="89"/>
      <c r="Q77" s="89"/>
    </row>
    <row r="78" spans="1:17" ht="15.75" thickBot="1" x14ac:dyDescent="0.3">
      <c r="A78" s="82" t="str">
        <f t="shared" si="9"/>
        <v xml:space="preserve"> </v>
      </c>
      <c r="B78" s="83" t="str">
        <f t="shared" ref="B78:B141" si="10">IF(A78=" "," ",B77)</f>
        <v xml:space="preserve"> </v>
      </c>
      <c r="C78" s="83" t="str">
        <f t="shared" ref="C78:C141" si="11">IF(A78=" "," ",(B78-D78-E78))</f>
        <v xml:space="preserve"> </v>
      </c>
      <c r="D78" s="83" t="str">
        <f t="shared" si="4"/>
        <v xml:space="preserve"> </v>
      </c>
      <c r="E78" s="83" t="str">
        <f t="shared" si="5"/>
        <v xml:space="preserve"> </v>
      </c>
      <c r="F78" s="83" t="str">
        <f t="shared" ref="F78:F141" si="12">IF(A78=" "," ",(+F77-C78))</f>
        <v xml:space="preserve"> </v>
      </c>
      <c r="G78" s="73"/>
      <c r="L78" s="134">
        <v>123</v>
      </c>
      <c r="M78" s="92">
        <f t="shared" si="8"/>
        <v>0.16</v>
      </c>
      <c r="N78" s="91">
        <f t="shared" si="6"/>
        <v>0</v>
      </c>
      <c r="O78" s="91">
        <f t="shared" si="7"/>
        <v>1600000</v>
      </c>
      <c r="P78" s="89"/>
      <c r="Q78" s="89"/>
    </row>
    <row r="79" spans="1:17" ht="15.75" thickBot="1" x14ac:dyDescent="0.3">
      <c r="A79" s="82" t="str">
        <f t="shared" si="9"/>
        <v xml:space="preserve"> </v>
      </c>
      <c r="B79" s="83" t="str">
        <f t="shared" si="10"/>
        <v xml:space="preserve"> </v>
      </c>
      <c r="C79" s="83" t="str">
        <f t="shared" si="11"/>
        <v xml:space="preserve"> </v>
      </c>
      <c r="D79" s="83" t="str">
        <f t="shared" ref="D79:D142" si="13">IF(A79=" "," ",(F78*$B$9))</f>
        <v xml:space="preserve"> </v>
      </c>
      <c r="E79" s="83" t="str">
        <f t="shared" ref="E79:E142" si="14">IF(A79=" "," ",(+E78))</f>
        <v xml:space="preserve"> </v>
      </c>
      <c r="F79" s="83" t="str">
        <f t="shared" si="12"/>
        <v xml:space="preserve"> </v>
      </c>
      <c r="G79" s="73"/>
      <c r="L79" s="134">
        <v>122</v>
      </c>
      <c r="M79" s="92">
        <f t="shared" si="8"/>
        <v>0.16</v>
      </c>
      <c r="N79" s="91">
        <f t="shared" si="6"/>
        <v>0</v>
      </c>
      <c r="O79" s="91">
        <f t="shared" si="7"/>
        <v>1600000</v>
      </c>
      <c r="P79" s="89"/>
      <c r="Q79" s="89"/>
    </row>
    <row r="80" spans="1:17" ht="15.75" thickBot="1" x14ac:dyDescent="0.3">
      <c r="A80" s="82" t="str">
        <f t="shared" si="9"/>
        <v xml:space="preserve"> </v>
      </c>
      <c r="B80" s="83" t="str">
        <f t="shared" si="10"/>
        <v xml:space="preserve"> </v>
      </c>
      <c r="C80" s="83" t="str">
        <f t="shared" si="11"/>
        <v xml:space="preserve"> </v>
      </c>
      <c r="D80" s="83" t="str">
        <f t="shared" si="13"/>
        <v xml:space="preserve"> </v>
      </c>
      <c r="E80" s="83" t="str">
        <f t="shared" si="14"/>
        <v xml:space="preserve"> </v>
      </c>
      <c r="F80" s="83" t="str">
        <f t="shared" si="12"/>
        <v xml:space="preserve"> </v>
      </c>
      <c r="G80" s="73"/>
      <c r="L80" s="134">
        <v>121</v>
      </c>
      <c r="M80" s="92">
        <f t="shared" si="8"/>
        <v>0.16</v>
      </c>
      <c r="N80" s="91">
        <f t="shared" si="6"/>
        <v>0</v>
      </c>
      <c r="O80" s="91">
        <f t="shared" si="7"/>
        <v>1600000</v>
      </c>
      <c r="P80" s="89"/>
      <c r="Q80" s="89"/>
    </row>
    <row r="81" spans="1:17" ht="15.75" thickBot="1" x14ac:dyDescent="0.3">
      <c r="A81" s="82" t="str">
        <f t="shared" si="9"/>
        <v xml:space="preserve"> </v>
      </c>
      <c r="B81" s="83" t="str">
        <f t="shared" si="10"/>
        <v xml:space="preserve"> </v>
      </c>
      <c r="C81" s="83" t="str">
        <f t="shared" si="11"/>
        <v xml:space="preserve"> </v>
      </c>
      <c r="D81" s="83" t="str">
        <f t="shared" si="13"/>
        <v xml:space="preserve"> </v>
      </c>
      <c r="E81" s="83" t="str">
        <f t="shared" si="14"/>
        <v xml:space="preserve"> </v>
      </c>
      <c r="F81" s="83" t="str">
        <f t="shared" si="12"/>
        <v xml:space="preserve"> </v>
      </c>
      <c r="G81" s="73"/>
      <c r="L81" s="134">
        <v>120</v>
      </c>
      <c r="M81" s="92">
        <f t="shared" si="8"/>
        <v>0.16</v>
      </c>
      <c r="N81" s="91">
        <f t="shared" si="6"/>
        <v>0</v>
      </c>
      <c r="O81" s="91">
        <f t="shared" si="7"/>
        <v>1600000</v>
      </c>
      <c r="P81" s="89"/>
      <c r="Q81" s="89"/>
    </row>
    <row r="82" spans="1:17" ht="15.75" thickBot="1" x14ac:dyDescent="0.3">
      <c r="A82" s="82" t="str">
        <f t="shared" si="9"/>
        <v xml:space="preserve"> </v>
      </c>
      <c r="B82" s="83" t="str">
        <f t="shared" si="10"/>
        <v xml:space="preserve"> </v>
      </c>
      <c r="C82" s="83" t="str">
        <f t="shared" si="11"/>
        <v xml:space="preserve"> </v>
      </c>
      <c r="D82" s="83" t="str">
        <f t="shared" si="13"/>
        <v xml:space="preserve"> </v>
      </c>
      <c r="E82" s="83" t="str">
        <f t="shared" si="14"/>
        <v xml:space="preserve"> </v>
      </c>
      <c r="F82" s="83" t="str">
        <f t="shared" si="12"/>
        <v xml:space="preserve"> </v>
      </c>
      <c r="G82" s="73"/>
      <c r="L82" s="134">
        <v>119</v>
      </c>
      <c r="M82" s="92">
        <f t="shared" si="8"/>
        <v>0.16</v>
      </c>
      <c r="N82" s="91">
        <f t="shared" si="6"/>
        <v>0</v>
      </c>
      <c r="O82" s="91">
        <f t="shared" si="7"/>
        <v>1600000</v>
      </c>
      <c r="P82" s="89"/>
      <c r="Q82" s="89"/>
    </row>
    <row r="83" spans="1:17" ht="15.75" thickBot="1" x14ac:dyDescent="0.3">
      <c r="A83" s="82" t="str">
        <f t="shared" si="9"/>
        <v xml:space="preserve"> </v>
      </c>
      <c r="B83" s="83" t="str">
        <f t="shared" si="10"/>
        <v xml:space="preserve"> </v>
      </c>
      <c r="C83" s="83" t="str">
        <f t="shared" si="11"/>
        <v xml:space="preserve"> </v>
      </c>
      <c r="D83" s="83" t="str">
        <f t="shared" si="13"/>
        <v xml:space="preserve"> </v>
      </c>
      <c r="E83" s="83" t="str">
        <f t="shared" si="14"/>
        <v xml:space="preserve"> </v>
      </c>
      <c r="F83" s="83" t="str">
        <f t="shared" si="12"/>
        <v xml:space="preserve"> </v>
      </c>
      <c r="G83" s="73"/>
      <c r="L83" s="134">
        <v>118</v>
      </c>
      <c r="M83" s="92">
        <f t="shared" si="8"/>
        <v>0.16</v>
      </c>
      <c r="N83" s="91">
        <f t="shared" si="6"/>
        <v>0</v>
      </c>
      <c r="O83" s="91">
        <f t="shared" si="7"/>
        <v>1600000</v>
      </c>
      <c r="P83" s="89"/>
      <c r="Q83" s="89"/>
    </row>
    <row r="84" spans="1:17" ht="15.75" thickBot="1" x14ac:dyDescent="0.3">
      <c r="A84" s="82" t="str">
        <f t="shared" si="9"/>
        <v xml:space="preserve"> </v>
      </c>
      <c r="B84" s="83" t="str">
        <f t="shared" si="10"/>
        <v xml:space="preserve"> </v>
      </c>
      <c r="C84" s="83" t="str">
        <f t="shared" si="11"/>
        <v xml:space="preserve"> </v>
      </c>
      <c r="D84" s="83" t="str">
        <f t="shared" si="13"/>
        <v xml:space="preserve"> </v>
      </c>
      <c r="E84" s="83" t="str">
        <f t="shared" si="14"/>
        <v xml:space="preserve"> </v>
      </c>
      <c r="F84" s="83" t="str">
        <f t="shared" si="12"/>
        <v xml:space="preserve"> </v>
      </c>
      <c r="G84" s="73"/>
      <c r="L84" s="134">
        <v>117</v>
      </c>
      <c r="M84" s="92">
        <f t="shared" si="8"/>
        <v>0.16</v>
      </c>
      <c r="N84" s="91">
        <f t="shared" si="6"/>
        <v>0</v>
      </c>
      <c r="O84" s="91">
        <f t="shared" si="7"/>
        <v>1600000</v>
      </c>
      <c r="P84" s="89"/>
      <c r="Q84" s="89"/>
    </row>
    <row r="85" spans="1:17" ht="15.75" thickBot="1" x14ac:dyDescent="0.3">
      <c r="A85" s="82" t="str">
        <f t="shared" si="9"/>
        <v xml:space="preserve"> </v>
      </c>
      <c r="B85" s="83" t="str">
        <f t="shared" si="10"/>
        <v xml:space="preserve"> </v>
      </c>
      <c r="C85" s="83" t="str">
        <f t="shared" si="11"/>
        <v xml:space="preserve"> </v>
      </c>
      <c r="D85" s="83" t="str">
        <f t="shared" si="13"/>
        <v xml:space="preserve"> </v>
      </c>
      <c r="E85" s="83" t="str">
        <f t="shared" si="14"/>
        <v xml:space="preserve"> </v>
      </c>
      <c r="F85" s="83" t="str">
        <f t="shared" si="12"/>
        <v xml:space="preserve"> </v>
      </c>
      <c r="G85" s="73"/>
      <c r="L85" s="134">
        <v>116</v>
      </c>
      <c r="M85" s="92">
        <f t="shared" si="8"/>
        <v>0.16</v>
      </c>
      <c r="N85" s="91">
        <f t="shared" ref="N85:N148" si="15">IF(IF(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&lt;0,"error",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)&lt;=$O$179,0,IF(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&lt;0,"error",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válida")))))</f>
        <v>0</v>
      </c>
      <c r="O85" s="91">
        <f t="shared" ref="O85:O148" si="16">+(($I$15*M85)-IF(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&lt;0,"error",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))+IF(IF(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&lt;0,"error",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)&lt;=$O$179,IF(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&lt;0,"error",IF($I$23=$M$1,MIN($I$15*($P$1)-($I$15*(0.03)),(+MAX(0,$I$15-$I$18-$I$19-($I$25*(1-(1+$N$17)^(-L85))/$N$17))*1.19)),IF($I$23=$M$2,MIN($I$15*($P$2)-($I$15*(0.03)),(+MAX(0,$I$15-$I$18-$I$19-($I$25*(1-(1+$N$17)^(-L85))/$N$17))*1.19)),IF($I$23=$M$3,MIN($I$15*($P$3)-($I$15*(0.03)),(+MAX(0,$I$15-$I$18-$I$19-($I$25*(1-(1+$N$17)^(-L85))/$N$17))*1.19)),"Tasa no válida")))),0)</f>
        <v>1600000</v>
      </c>
      <c r="P85" s="89"/>
      <c r="Q85" s="89"/>
    </row>
    <row r="86" spans="1:17" ht="15.75" thickBot="1" x14ac:dyDescent="0.3">
      <c r="A86" s="82" t="str">
        <f t="shared" si="9"/>
        <v xml:space="preserve"> </v>
      </c>
      <c r="B86" s="83" t="str">
        <f t="shared" si="10"/>
        <v xml:space="preserve"> </v>
      </c>
      <c r="C86" s="83" t="str">
        <f t="shared" si="11"/>
        <v xml:space="preserve"> </v>
      </c>
      <c r="D86" s="83" t="str">
        <f t="shared" si="13"/>
        <v xml:space="preserve"> </v>
      </c>
      <c r="E86" s="83" t="str">
        <f t="shared" si="14"/>
        <v xml:space="preserve"> </v>
      </c>
      <c r="F86" s="83" t="str">
        <f t="shared" si="12"/>
        <v xml:space="preserve"> </v>
      </c>
      <c r="G86" s="73"/>
      <c r="L86" s="134">
        <v>115</v>
      </c>
      <c r="M86" s="92">
        <f t="shared" si="8"/>
        <v>0.16</v>
      </c>
      <c r="N86" s="91">
        <f t="shared" si="15"/>
        <v>0</v>
      </c>
      <c r="O86" s="91">
        <f t="shared" si="16"/>
        <v>1600000</v>
      </c>
      <c r="P86" s="89"/>
      <c r="Q86" s="89"/>
    </row>
    <row r="87" spans="1:17" ht="15.75" thickBot="1" x14ac:dyDescent="0.3">
      <c r="A87" s="82" t="str">
        <f t="shared" si="9"/>
        <v xml:space="preserve"> </v>
      </c>
      <c r="B87" s="83" t="str">
        <f t="shared" si="10"/>
        <v xml:space="preserve"> </v>
      </c>
      <c r="C87" s="83" t="str">
        <f t="shared" si="11"/>
        <v xml:space="preserve"> </v>
      </c>
      <c r="D87" s="83" t="str">
        <f t="shared" si="13"/>
        <v xml:space="preserve"> </v>
      </c>
      <c r="E87" s="83" t="str">
        <f t="shared" si="14"/>
        <v xml:space="preserve"> </v>
      </c>
      <c r="F87" s="83" t="str">
        <f t="shared" si="12"/>
        <v xml:space="preserve"> </v>
      </c>
      <c r="G87" s="73"/>
      <c r="L87" s="134">
        <v>114</v>
      </c>
      <c r="M87" s="92">
        <f t="shared" ref="M87:M150" si="17">+M86</f>
        <v>0.16</v>
      </c>
      <c r="N87" s="91">
        <f t="shared" si="15"/>
        <v>0</v>
      </c>
      <c r="O87" s="91">
        <f t="shared" si="16"/>
        <v>1600000</v>
      </c>
      <c r="P87" s="89"/>
      <c r="Q87" s="89"/>
    </row>
    <row r="88" spans="1:17" ht="15.75" thickBot="1" x14ac:dyDescent="0.3">
      <c r="A88" s="82" t="str">
        <f t="shared" si="9"/>
        <v xml:space="preserve"> </v>
      </c>
      <c r="B88" s="83" t="str">
        <f t="shared" si="10"/>
        <v xml:space="preserve"> </v>
      </c>
      <c r="C88" s="83" t="str">
        <f t="shared" si="11"/>
        <v xml:space="preserve"> </v>
      </c>
      <c r="D88" s="83" t="str">
        <f t="shared" si="13"/>
        <v xml:space="preserve"> </v>
      </c>
      <c r="E88" s="83" t="str">
        <f t="shared" si="14"/>
        <v xml:space="preserve"> </v>
      </c>
      <c r="F88" s="83" t="str">
        <f t="shared" si="12"/>
        <v xml:space="preserve"> </v>
      </c>
      <c r="G88" s="73"/>
      <c r="L88" s="134">
        <v>113</v>
      </c>
      <c r="M88" s="92">
        <f t="shared" si="17"/>
        <v>0.16</v>
      </c>
      <c r="N88" s="91">
        <f t="shared" si="15"/>
        <v>0</v>
      </c>
      <c r="O88" s="91">
        <f t="shared" si="16"/>
        <v>1600000</v>
      </c>
      <c r="P88" s="89"/>
      <c r="Q88" s="89"/>
    </row>
    <row r="89" spans="1:17" ht="15.75" thickBot="1" x14ac:dyDescent="0.3">
      <c r="A89" s="82" t="str">
        <f t="shared" si="9"/>
        <v xml:space="preserve"> </v>
      </c>
      <c r="B89" s="83" t="str">
        <f t="shared" si="10"/>
        <v xml:space="preserve"> </v>
      </c>
      <c r="C89" s="83" t="str">
        <f t="shared" si="11"/>
        <v xml:space="preserve"> </v>
      </c>
      <c r="D89" s="83" t="str">
        <f t="shared" si="13"/>
        <v xml:space="preserve"> </v>
      </c>
      <c r="E89" s="83" t="str">
        <f t="shared" si="14"/>
        <v xml:space="preserve"> </v>
      </c>
      <c r="F89" s="83" t="str">
        <f t="shared" si="12"/>
        <v xml:space="preserve"> </v>
      </c>
      <c r="G89" s="73"/>
      <c r="L89" s="134">
        <v>112</v>
      </c>
      <c r="M89" s="92">
        <f t="shared" si="17"/>
        <v>0.16</v>
      </c>
      <c r="N89" s="91">
        <f t="shared" si="15"/>
        <v>0</v>
      </c>
      <c r="O89" s="91">
        <f t="shared" si="16"/>
        <v>1600000</v>
      </c>
      <c r="P89" s="89"/>
      <c r="Q89" s="89"/>
    </row>
    <row r="90" spans="1:17" ht="15.75" thickBot="1" x14ac:dyDescent="0.3">
      <c r="A90" s="82" t="str">
        <f t="shared" si="9"/>
        <v xml:space="preserve"> </v>
      </c>
      <c r="B90" s="83" t="str">
        <f t="shared" si="10"/>
        <v xml:space="preserve"> </v>
      </c>
      <c r="C90" s="83" t="str">
        <f t="shared" si="11"/>
        <v xml:space="preserve"> </v>
      </c>
      <c r="D90" s="83" t="str">
        <f t="shared" si="13"/>
        <v xml:space="preserve"> </v>
      </c>
      <c r="E90" s="83" t="str">
        <f t="shared" si="14"/>
        <v xml:space="preserve"> </v>
      </c>
      <c r="F90" s="83" t="str">
        <f t="shared" si="12"/>
        <v xml:space="preserve"> </v>
      </c>
      <c r="G90" s="73"/>
      <c r="L90" s="134">
        <v>111</v>
      </c>
      <c r="M90" s="92">
        <f t="shared" si="17"/>
        <v>0.16</v>
      </c>
      <c r="N90" s="91">
        <f t="shared" si="15"/>
        <v>0</v>
      </c>
      <c r="O90" s="91">
        <f t="shared" si="16"/>
        <v>1600000</v>
      </c>
      <c r="P90" s="89"/>
      <c r="Q90" s="89"/>
    </row>
    <row r="91" spans="1:17" ht="15.75" thickBot="1" x14ac:dyDescent="0.3">
      <c r="A91" s="82" t="str">
        <f t="shared" si="9"/>
        <v xml:space="preserve"> </v>
      </c>
      <c r="B91" s="83" t="str">
        <f t="shared" si="10"/>
        <v xml:space="preserve"> </v>
      </c>
      <c r="C91" s="83" t="str">
        <f t="shared" si="11"/>
        <v xml:space="preserve"> </v>
      </c>
      <c r="D91" s="83" t="str">
        <f t="shared" si="13"/>
        <v xml:space="preserve"> </v>
      </c>
      <c r="E91" s="83" t="str">
        <f t="shared" si="14"/>
        <v xml:space="preserve"> </v>
      </c>
      <c r="F91" s="83" t="str">
        <f t="shared" si="12"/>
        <v xml:space="preserve"> </v>
      </c>
      <c r="G91" s="73"/>
      <c r="L91" s="134">
        <v>110</v>
      </c>
      <c r="M91" s="92">
        <f t="shared" si="17"/>
        <v>0.16</v>
      </c>
      <c r="N91" s="91">
        <f t="shared" si="15"/>
        <v>0</v>
      </c>
      <c r="O91" s="91">
        <f t="shared" si="16"/>
        <v>1600000</v>
      </c>
      <c r="P91" s="89"/>
      <c r="Q91" s="89"/>
    </row>
    <row r="92" spans="1:17" ht="15.75" thickBot="1" x14ac:dyDescent="0.3">
      <c r="A92" s="82" t="str">
        <f t="shared" si="9"/>
        <v xml:space="preserve"> </v>
      </c>
      <c r="B92" s="83" t="str">
        <f t="shared" si="10"/>
        <v xml:space="preserve"> </v>
      </c>
      <c r="C92" s="83" t="str">
        <f t="shared" si="11"/>
        <v xml:space="preserve"> </v>
      </c>
      <c r="D92" s="83" t="str">
        <f t="shared" si="13"/>
        <v xml:space="preserve"> </v>
      </c>
      <c r="E92" s="83" t="str">
        <f t="shared" si="14"/>
        <v xml:space="preserve"> </v>
      </c>
      <c r="F92" s="83" t="str">
        <f t="shared" si="12"/>
        <v xml:space="preserve"> </v>
      </c>
      <c r="G92" s="73"/>
      <c r="L92" s="134">
        <v>109</v>
      </c>
      <c r="M92" s="92">
        <f t="shared" si="17"/>
        <v>0.16</v>
      </c>
      <c r="N92" s="91">
        <f t="shared" si="15"/>
        <v>0</v>
      </c>
      <c r="O92" s="91">
        <f t="shared" si="16"/>
        <v>1600000</v>
      </c>
      <c r="P92" s="89"/>
      <c r="Q92" s="89"/>
    </row>
    <row r="93" spans="1:17" ht="15.75" thickBot="1" x14ac:dyDescent="0.3">
      <c r="A93" s="82" t="str">
        <f t="shared" si="9"/>
        <v xml:space="preserve"> </v>
      </c>
      <c r="B93" s="83" t="str">
        <f t="shared" si="10"/>
        <v xml:space="preserve"> </v>
      </c>
      <c r="C93" s="83" t="str">
        <f t="shared" si="11"/>
        <v xml:space="preserve"> </v>
      </c>
      <c r="D93" s="83" t="str">
        <f t="shared" si="13"/>
        <v xml:space="preserve"> </v>
      </c>
      <c r="E93" s="83" t="str">
        <f t="shared" si="14"/>
        <v xml:space="preserve"> </v>
      </c>
      <c r="F93" s="83" t="str">
        <f t="shared" si="12"/>
        <v xml:space="preserve"> </v>
      </c>
      <c r="G93" s="73"/>
      <c r="L93" s="134">
        <v>108</v>
      </c>
      <c r="M93" s="92">
        <f t="shared" si="17"/>
        <v>0.16</v>
      </c>
      <c r="N93" s="91">
        <f t="shared" si="15"/>
        <v>0</v>
      </c>
      <c r="O93" s="91">
        <f t="shared" si="16"/>
        <v>1600000</v>
      </c>
      <c r="P93" s="89"/>
      <c r="Q93" s="89"/>
    </row>
    <row r="94" spans="1:17" ht="15.75" thickBot="1" x14ac:dyDescent="0.3">
      <c r="A94" s="82" t="str">
        <f t="shared" si="9"/>
        <v xml:space="preserve"> </v>
      </c>
      <c r="B94" s="83" t="str">
        <f t="shared" si="10"/>
        <v xml:space="preserve"> </v>
      </c>
      <c r="C94" s="83" t="str">
        <f t="shared" si="11"/>
        <v xml:space="preserve"> </v>
      </c>
      <c r="D94" s="83" t="str">
        <f t="shared" si="13"/>
        <v xml:space="preserve"> </v>
      </c>
      <c r="E94" s="83" t="str">
        <f t="shared" si="14"/>
        <v xml:space="preserve"> </v>
      </c>
      <c r="F94" s="83" t="str">
        <f t="shared" si="12"/>
        <v xml:space="preserve"> </v>
      </c>
      <c r="G94" s="73"/>
      <c r="L94" s="134">
        <v>107</v>
      </c>
      <c r="M94" s="92">
        <f t="shared" si="17"/>
        <v>0.16</v>
      </c>
      <c r="N94" s="91">
        <f t="shared" si="15"/>
        <v>0</v>
      </c>
      <c r="O94" s="91">
        <f t="shared" si="16"/>
        <v>1600000</v>
      </c>
      <c r="P94" s="89"/>
      <c r="Q94" s="89"/>
    </row>
    <row r="95" spans="1:17" ht="15.75" thickBot="1" x14ac:dyDescent="0.3">
      <c r="A95" s="82" t="str">
        <f t="shared" si="9"/>
        <v xml:space="preserve"> </v>
      </c>
      <c r="B95" s="83" t="str">
        <f t="shared" si="10"/>
        <v xml:space="preserve"> </v>
      </c>
      <c r="C95" s="83" t="str">
        <f t="shared" si="11"/>
        <v xml:space="preserve"> </v>
      </c>
      <c r="D95" s="83" t="str">
        <f t="shared" si="13"/>
        <v xml:space="preserve"> </v>
      </c>
      <c r="E95" s="83" t="str">
        <f t="shared" si="14"/>
        <v xml:space="preserve"> </v>
      </c>
      <c r="F95" s="83" t="str">
        <f t="shared" si="12"/>
        <v xml:space="preserve"> </v>
      </c>
      <c r="G95" s="73"/>
      <c r="L95" s="134">
        <v>106</v>
      </c>
      <c r="M95" s="92">
        <f t="shared" si="17"/>
        <v>0.16</v>
      </c>
      <c r="N95" s="91">
        <f t="shared" si="15"/>
        <v>0</v>
      </c>
      <c r="O95" s="91">
        <f t="shared" si="16"/>
        <v>1600000</v>
      </c>
      <c r="P95" s="89"/>
      <c r="Q95" s="89"/>
    </row>
    <row r="96" spans="1:17" ht="15.75" thickBot="1" x14ac:dyDescent="0.3">
      <c r="A96" s="82" t="str">
        <f t="shared" si="9"/>
        <v xml:space="preserve"> </v>
      </c>
      <c r="B96" s="83" t="str">
        <f t="shared" si="10"/>
        <v xml:space="preserve"> </v>
      </c>
      <c r="C96" s="83" t="str">
        <f t="shared" si="11"/>
        <v xml:space="preserve"> </v>
      </c>
      <c r="D96" s="83" t="str">
        <f t="shared" si="13"/>
        <v xml:space="preserve"> </v>
      </c>
      <c r="E96" s="83" t="str">
        <f t="shared" si="14"/>
        <v xml:space="preserve"> </v>
      </c>
      <c r="F96" s="83" t="str">
        <f t="shared" si="12"/>
        <v xml:space="preserve"> </v>
      </c>
      <c r="G96" s="73"/>
      <c r="L96" s="134">
        <v>105</v>
      </c>
      <c r="M96" s="92">
        <f t="shared" si="17"/>
        <v>0.16</v>
      </c>
      <c r="N96" s="91">
        <f t="shared" si="15"/>
        <v>0</v>
      </c>
      <c r="O96" s="91">
        <f t="shared" si="16"/>
        <v>1600000</v>
      </c>
      <c r="P96" s="89"/>
      <c r="Q96" s="89"/>
    </row>
    <row r="97" spans="1:17" ht="15.75" thickBot="1" x14ac:dyDescent="0.3">
      <c r="A97" s="82" t="str">
        <f t="shared" si="9"/>
        <v xml:space="preserve"> </v>
      </c>
      <c r="B97" s="83" t="str">
        <f t="shared" si="10"/>
        <v xml:space="preserve"> </v>
      </c>
      <c r="C97" s="83" t="str">
        <f t="shared" si="11"/>
        <v xml:space="preserve"> </v>
      </c>
      <c r="D97" s="83" t="str">
        <f t="shared" si="13"/>
        <v xml:space="preserve"> </v>
      </c>
      <c r="E97" s="83" t="str">
        <f t="shared" si="14"/>
        <v xml:space="preserve"> </v>
      </c>
      <c r="F97" s="83" t="str">
        <f t="shared" si="12"/>
        <v xml:space="preserve"> </v>
      </c>
      <c r="G97" s="73"/>
      <c r="L97" s="134">
        <v>104</v>
      </c>
      <c r="M97" s="92">
        <f t="shared" si="17"/>
        <v>0.16</v>
      </c>
      <c r="N97" s="91">
        <f t="shared" si="15"/>
        <v>0</v>
      </c>
      <c r="O97" s="91">
        <f t="shared" si="16"/>
        <v>1600000</v>
      </c>
      <c r="P97" s="89"/>
      <c r="Q97" s="89"/>
    </row>
    <row r="98" spans="1:17" ht="15.75" thickBot="1" x14ac:dyDescent="0.3">
      <c r="A98" s="82" t="str">
        <f t="shared" si="9"/>
        <v xml:space="preserve"> </v>
      </c>
      <c r="B98" s="83" t="str">
        <f t="shared" si="10"/>
        <v xml:space="preserve"> </v>
      </c>
      <c r="C98" s="83" t="str">
        <f t="shared" si="11"/>
        <v xml:space="preserve"> </v>
      </c>
      <c r="D98" s="83" t="str">
        <f t="shared" si="13"/>
        <v xml:space="preserve"> </v>
      </c>
      <c r="E98" s="83" t="str">
        <f t="shared" si="14"/>
        <v xml:space="preserve"> </v>
      </c>
      <c r="F98" s="83" t="str">
        <f t="shared" si="12"/>
        <v xml:space="preserve"> </v>
      </c>
      <c r="G98" s="73"/>
      <c r="L98" s="134">
        <v>103</v>
      </c>
      <c r="M98" s="92">
        <f t="shared" si="17"/>
        <v>0.16</v>
      </c>
      <c r="N98" s="91">
        <f t="shared" si="15"/>
        <v>0</v>
      </c>
      <c r="O98" s="91">
        <f t="shared" si="16"/>
        <v>1600000</v>
      </c>
      <c r="P98" s="89"/>
      <c r="Q98" s="89"/>
    </row>
    <row r="99" spans="1:17" ht="15.75" thickBot="1" x14ac:dyDescent="0.3">
      <c r="A99" s="82" t="str">
        <f t="shared" si="9"/>
        <v xml:space="preserve"> </v>
      </c>
      <c r="B99" s="83" t="str">
        <f t="shared" si="10"/>
        <v xml:space="preserve"> </v>
      </c>
      <c r="C99" s="83" t="str">
        <f t="shared" si="11"/>
        <v xml:space="preserve"> </v>
      </c>
      <c r="D99" s="83" t="str">
        <f t="shared" si="13"/>
        <v xml:space="preserve"> </v>
      </c>
      <c r="E99" s="83" t="str">
        <f t="shared" si="14"/>
        <v xml:space="preserve"> </v>
      </c>
      <c r="F99" s="83" t="str">
        <f t="shared" si="12"/>
        <v xml:space="preserve"> </v>
      </c>
      <c r="G99" s="73"/>
      <c r="L99" s="134">
        <v>102</v>
      </c>
      <c r="M99" s="92">
        <f t="shared" si="17"/>
        <v>0.16</v>
      </c>
      <c r="N99" s="91">
        <f t="shared" si="15"/>
        <v>0</v>
      </c>
      <c r="O99" s="91">
        <f t="shared" si="16"/>
        <v>1600000</v>
      </c>
      <c r="P99" s="89"/>
      <c r="Q99" s="89"/>
    </row>
    <row r="100" spans="1:17" ht="15.75" thickBot="1" x14ac:dyDescent="0.3">
      <c r="A100" s="82" t="str">
        <f t="shared" si="9"/>
        <v xml:space="preserve"> </v>
      </c>
      <c r="B100" s="83" t="str">
        <f t="shared" si="10"/>
        <v xml:space="preserve"> </v>
      </c>
      <c r="C100" s="83" t="str">
        <f t="shared" si="11"/>
        <v xml:space="preserve"> </v>
      </c>
      <c r="D100" s="83" t="str">
        <f t="shared" si="13"/>
        <v xml:space="preserve"> </v>
      </c>
      <c r="E100" s="83" t="str">
        <f t="shared" si="14"/>
        <v xml:space="preserve"> </v>
      </c>
      <c r="F100" s="83" t="str">
        <f t="shared" si="12"/>
        <v xml:space="preserve"> </v>
      </c>
      <c r="G100" s="73"/>
      <c r="L100" s="134">
        <v>101</v>
      </c>
      <c r="M100" s="92">
        <f t="shared" si="17"/>
        <v>0.16</v>
      </c>
      <c r="N100" s="91">
        <f t="shared" si="15"/>
        <v>0</v>
      </c>
      <c r="O100" s="91">
        <f t="shared" si="16"/>
        <v>1600000</v>
      </c>
      <c r="P100" s="89"/>
      <c r="Q100" s="89"/>
    </row>
    <row r="101" spans="1:17" ht="15.75" thickBot="1" x14ac:dyDescent="0.3">
      <c r="A101" s="82" t="str">
        <f t="shared" si="9"/>
        <v xml:space="preserve"> </v>
      </c>
      <c r="B101" s="83" t="str">
        <f t="shared" si="10"/>
        <v xml:space="preserve"> </v>
      </c>
      <c r="C101" s="83" t="str">
        <f t="shared" si="11"/>
        <v xml:space="preserve"> </v>
      </c>
      <c r="D101" s="83" t="str">
        <f t="shared" si="13"/>
        <v xml:space="preserve"> </v>
      </c>
      <c r="E101" s="83" t="str">
        <f t="shared" si="14"/>
        <v xml:space="preserve"> </v>
      </c>
      <c r="F101" s="83" t="str">
        <f t="shared" si="12"/>
        <v xml:space="preserve"> </v>
      </c>
      <c r="G101" s="73"/>
      <c r="L101" s="134">
        <v>100</v>
      </c>
      <c r="M101" s="92">
        <f t="shared" si="17"/>
        <v>0.16</v>
      </c>
      <c r="N101" s="91">
        <f t="shared" si="15"/>
        <v>0</v>
      </c>
      <c r="O101" s="91">
        <f t="shared" si="16"/>
        <v>1600000</v>
      </c>
      <c r="P101" s="89"/>
      <c r="Q101" s="89"/>
    </row>
    <row r="102" spans="1:17" ht="15.75" thickBot="1" x14ac:dyDescent="0.3">
      <c r="A102" s="82" t="str">
        <f t="shared" si="9"/>
        <v xml:space="preserve"> </v>
      </c>
      <c r="B102" s="83" t="str">
        <f t="shared" si="10"/>
        <v xml:space="preserve"> </v>
      </c>
      <c r="C102" s="83" t="str">
        <f t="shared" si="11"/>
        <v xml:space="preserve"> </v>
      </c>
      <c r="D102" s="83" t="str">
        <f t="shared" si="13"/>
        <v xml:space="preserve"> </v>
      </c>
      <c r="E102" s="83" t="str">
        <f t="shared" si="14"/>
        <v xml:space="preserve"> </v>
      </c>
      <c r="F102" s="83" t="str">
        <f t="shared" si="12"/>
        <v xml:space="preserve"> </v>
      </c>
      <c r="G102" s="73"/>
      <c r="L102" s="134">
        <v>99</v>
      </c>
      <c r="M102" s="92">
        <f t="shared" si="17"/>
        <v>0.16</v>
      </c>
      <c r="N102" s="91">
        <f t="shared" si="15"/>
        <v>0</v>
      </c>
      <c r="O102" s="91">
        <f t="shared" si="16"/>
        <v>1600000</v>
      </c>
      <c r="P102" s="89"/>
      <c r="Q102" s="89"/>
    </row>
    <row r="103" spans="1:17" ht="15.75" thickBot="1" x14ac:dyDescent="0.3">
      <c r="A103" s="82" t="str">
        <f t="shared" si="9"/>
        <v xml:space="preserve"> </v>
      </c>
      <c r="B103" s="83" t="str">
        <f t="shared" si="10"/>
        <v xml:space="preserve"> </v>
      </c>
      <c r="C103" s="83" t="str">
        <f t="shared" si="11"/>
        <v xml:space="preserve"> </v>
      </c>
      <c r="D103" s="83" t="str">
        <f t="shared" si="13"/>
        <v xml:space="preserve"> </v>
      </c>
      <c r="E103" s="83" t="str">
        <f t="shared" si="14"/>
        <v xml:space="preserve"> </v>
      </c>
      <c r="F103" s="83" t="str">
        <f t="shared" si="12"/>
        <v xml:space="preserve"> </v>
      </c>
      <c r="G103" s="73"/>
      <c r="L103" s="134">
        <v>98</v>
      </c>
      <c r="M103" s="92">
        <f t="shared" si="17"/>
        <v>0.16</v>
      </c>
      <c r="N103" s="91">
        <f t="shared" si="15"/>
        <v>0</v>
      </c>
      <c r="O103" s="91">
        <f t="shared" si="16"/>
        <v>1600000</v>
      </c>
      <c r="P103" s="89"/>
      <c r="Q103" s="89"/>
    </row>
    <row r="104" spans="1:17" ht="15.75" thickBot="1" x14ac:dyDescent="0.3">
      <c r="A104" s="82" t="str">
        <f t="shared" si="9"/>
        <v xml:space="preserve"> </v>
      </c>
      <c r="B104" s="83" t="str">
        <f t="shared" si="10"/>
        <v xml:space="preserve"> </v>
      </c>
      <c r="C104" s="83" t="str">
        <f t="shared" si="11"/>
        <v xml:space="preserve"> </v>
      </c>
      <c r="D104" s="83" t="str">
        <f t="shared" si="13"/>
        <v xml:space="preserve"> </v>
      </c>
      <c r="E104" s="83" t="str">
        <f t="shared" si="14"/>
        <v xml:space="preserve"> </v>
      </c>
      <c r="F104" s="83" t="str">
        <f t="shared" si="12"/>
        <v xml:space="preserve"> </v>
      </c>
      <c r="G104" s="73"/>
      <c r="L104" s="134">
        <v>97</v>
      </c>
      <c r="M104" s="92">
        <f t="shared" si="17"/>
        <v>0.16</v>
      </c>
      <c r="N104" s="91">
        <f t="shared" si="15"/>
        <v>0</v>
      </c>
      <c r="O104" s="91">
        <f t="shared" si="16"/>
        <v>1600000</v>
      </c>
      <c r="P104" s="89"/>
      <c r="Q104" s="89"/>
    </row>
    <row r="105" spans="1:17" ht="15.75" thickBot="1" x14ac:dyDescent="0.3">
      <c r="A105" s="82" t="str">
        <f t="shared" si="9"/>
        <v xml:space="preserve"> </v>
      </c>
      <c r="B105" s="83" t="str">
        <f t="shared" si="10"/>
        <v xml:space="preserve"> </v>
      </c>
      <c r="C105" s="83" t="str">
        <f t="shared" si="11"/>
        <v xml:space="preserve"> </v>
      </c>
      <c r="D105" s="83" t="str">
        <f t="shared" si="13"/>
        <v xml:space="preserve"> </v>
      </c>
      <c r="E105" s="83" t="str">
        <f t="shared" si="14"/>
        <v xml:space="preserve"> </v>
      </c>
      <c r="F105" s="83" t="str">
        <f t="shared" si="12"/>
        <v xml:space="preserve"> </v>
      </c>
      <c r="G105" s="73"/>
      <c r="L105" s="134">
        <v>96</v>
      </c>
      <c r="M105" s="92">
        <f t="shared" si="17"/>
        <v>0.16</v>
      </c>
      <c r="N105" s="91">
        <f t="shared" si="15"/>
        <v>0</v>
      </c>
      <c r="O105" s="91">
        <f t="shared" si="16"/>
        <v>1600000</v>
      </c>
      <c r="P105" s="89"/>
      <c r="Q105" s="89"/>
    </row>
    <row r="106" spans="1:17" ht="15.75" thickBot="1" x14ac:dyDescent="0.3">
      <c r="A106" s="82" t="str">
        <f t="shared" si="9"/>
        <v xml:space="preserve"> </v>
      </c>
      <c r="B106" s="83" t="str">
        <f t="shared" si="10"/>
        <v xml:space="preserve"> </v>
      </c>
      <c r="C106" s="83" t="str">
        <f t="shared" si="11"/>
        <v xml:space="preserve"> </v>
      </c>
      <c r="D106" s="83" t="str">
        <f t="shared" si="13"/>
        <v xml:space="preserve"> </v>
      </c>
      <c r="E106" s="83" t="str">
        <f t="shared" si="14"/>
        <v xml:space="preserve"> </v>
      </c>
      <c r="F106" s="83" t="str">
        <f t="shared" si="12"/>
        <v xml:space="preserve"> </v>
      </c>
      <c r="G106" s="73"/>
      <c r="L106" s="134">
        <v>95</v>
      </c>
      <c r="M106" s="92">
        <f t="shared" si="17"/>
        <v>0.16</v>
      </c>
      <c r="N106" s="91">
        <f t="shared" si="15"/>
        <v>0</v>
      </c>
      <c r="O106" s="91">
        <f t="shared" si="16"/>
        <v>1600000</v>
      </c>
      <c r="P106" s="89"/>
      <c r="Q106" s="89"/>
    </row>
    <row r="107" spans="1:17" ht="15.75" thickBot="1" x14ac:dyDescent="0.3">
      <c r="A107" s="82" t="str">
        <f t="shared" si="9"/>
        <v xml:space="preserve"> </v>
      </c>
      <c r="B107" s="83" t="str">
        <f t="shared" si="10"/>
        <v xml:space="preserve"> </v>
      </c>
      <c r="C107" s="83" t="str">
        <f t="shared" si="11"/>
        <v xml:space="preserve"> </v>
      </c>
      <c r="D107" s="83" t="str">
        <f t="shared" si="13"/>
        <v xml:space="preserve"> </v>
      </c>
      <c r="E107" s="83" t="str">
        <f t="shared" si="14"/>
        <v xml:space="preserve"> </v>
      </c>
      <c r="F107" s="83" t="str">
        <f t="shared" si="12"/>
        <v xml:space="preserve"> </v>
      </c>
      <c r="G107" s="73"/>
      <c r="L107" s="134">
        <v>94</v>
      </c>
      <c r="M107" s="92">
        <f t="shared" si="17"/>
        <v>0.16</v>
      </c>
      <c r="N107" s="91">
        <f t="shared" si="15"/>
        <v>0</v>
      </c>
      <c r="O107" s="91">
        <f t="shared" si="16"/>
        <v>1600000</v>
      </c>
      <c r="P107" s="89"/>
      <c r="Q107" s="89"/>
    </row>
    <row r="108" spans="1:17" ht="15.75" thickBot="1" x14ac:dyDescent="0.3">
      <c r="A108" s="82" t="str">
        <f t="shared" si="9"/>
        <v xml:space="preserve"> </v>
      </c>
      <c r="B108" s="83" t="str">
        <f t="shared" si="10"/>
        <v xml:space="preserve"> </v>
      </c>
      <c r="C108" s="83" t="str">
        <f t="shared" si="11"/>
        <v xml:space="preserve"> </v>
      </c>
      <c r="D108" s="83" t="str">
        <f t="shared" si="13"/>
        <v xml:space="preserve"> </v>
      </c>
      <c r="E108" s="83" t="str">
        <f t="shared" si="14"/>
        <v xml:space="preserve"> </v>
      </c>
      <c r="F108" s="83" t="str">
        <f t="shared" si="12"/>
        <v xml:space="preserve"> </v>
      </c>
      <c r="G108" s="73"/>
      <c r="L108" s="134">
        <v>93</v>
      </c>
      <c r="M108" s="92">
        <f t="shared" si="17"/>
        <v>0.16</v>
      </c>
      <c r="N108" s="91">
        <f t="shared" si="15"/>
        <v>0</v>
      </c>
      <c r="O108" s="91">
        <f t="shared" si="16"/>
        <v>1600000</v>
      </c>
      <c r="P108" s="89"/>
      <c r="Q108" s="89"/>
    </row>
    <row r="109" spans="1:17" ht="15.75" thickBot="1" x14ac:dyDescent="0.3">
      <c r="A109" s="82" t="str">
        <f t="shared" si="9"/>
        <v xml:space="preserve"> </v>
      </c>
      <c r="B109" s="83" t="str">
        <f t="shared" si="10"/>
        <v xml:space="preserve"> </v>
      </c>
      <c r="C109" s="83" t="str">
        <f t="shared" si="11"/>
        <v xml:space="preserve"> </v>
      </c>
      <c r="D109" s="83" t="str">
        <f t="shared" si="13"/>
        <v xml:space="preserve"> </v>
      </c>
      <c r="E109" s="83" t="str">
        <f t="shared" si="14"/>
        <v xml:space="preserve"> </v>
      </c>
      <c r="F109" s="83" t="str">
        <f t="shared" si="12"/>
        <v xml:space="preserve"> </v>
      </c>
      <c r="G109" s="73"/>
      <c r="L109" s="134">
        <v>92</v>
      </c>
      <c r="M109" s="92">
        <f t="shared" si="17"/>
        <v>0.16</v>
      </c>
      <c r="N109" s="91">
        <f t="shared" si="15"/>
        <v>0</v>
      </c>
      <c r="O109" s="91">
        <f t="shared" si="16"/>
        <v>1600000</v>
      </c>
      <c r="P109" s="89"/>
      <c r="Q109" s="89"/>
    </row>
    <row r="110" spans="1:17" ht="15.75" thickBot="1" x14ac:dyDescent="0.3">
      <c r="A110" s="82" t="str">
        <f t="shared" si="9"/>
        <v xml:space="preserve"> </v>
      </c>
      <c r="B110" s="83" t="str">
        <f t="shared" si="10"/>
        <v xml:space="preserve"> </v>
      </c>
      <c r="C110" s="83" t="str">
        <f t="shared" si="11"/>
        <v xml:space="preserve"> </v>
      </c>
      <c r="D110" s="83" t="str">
        <f t="shared" si="13"/>
        <v xml:space="preserve"> </v>
      </c>
      <c r="E110" s="83" t="str">
        <f t="shared" si="14"/>
        <v xml:space="preserve"> </v>
      </c>
      <c r="F110" s="83" t="str">
        <f t="shared" si="12"/>
        <v xml:space="preserve"> </v>
      </c>
      <c r="G110" s="73"/>
      <c r="L110" s="134">
        <v>91</v>
      </c>
      <c r="M110" s="92">
        <f t="shared" si="17"/>
        <v>0.16</v>
      </c>
      <c r="N110" s="91">
        <f t="shared" si="15"/>
        <v>0</v>
      </c>
      <c r="O110" s="91">
        <f t="shared" si="16"/>
        <v>1600000</v>
      </c>
      <c r="P110" s="89"/>
      <c r="Q110" s="89"/>
    </row>
    <row r="111" spans="1:17" ht="15.75" thickBot="1" x14ac:dyDescent="0.3">
      <c r="A111" s="82" t="str">
        <f t="shared" si="9"/>
        <v xml:space="preserve"> </v>
      </c>
      <c r="B111" s="83" t="str">
        <f t="shared" si="10"/>
        <v xml:space="preserve"> </v>
      </c>
      <c r="C111" s="83" t="str">
        <f t="shared" si="11"/>
        <v xml:space="preserve"> </v>
      </c>
      <c r="D111" s="83" t="str">
        <f t="shared" si="13"/>
        <v xml:space="preserve"> </v>
      </c>
      <c r="E111" s="83" t="str">
        <f t="shared" si="14"/>
        <v xml:space="preserve"> </v>
      </c>
      <c r="F111" s="83" t="str">
        <f t="shared" si="12"/>
        <v xml:space="preserve"> </v>
      </c>
      <c r="G111" s="73"/>
      <c r="L111" s="134">
        <v>90</v>
      </c>
      <c r="M111" s="92">
        <f t="shared" si="17"/>
        <v>0.16</v>
      </c>
      <c r="N111" s="91">
        <f t="shared" si="15"/>
        <v>0</v>
      </c>
      <c r="O111" s="91">
        <f t="shared" si="16"/>
        <v>1600000</v>
      </c>
      <c r="P111" s="89"/>
      <c r="Q111" s="89"/>
    </row>
    <row r="112" spans="1:17" ht="15.75" thickBot="1" x14ac:dyDescent="0.3">
      <c r="A112" s="82" t="str">
        <f t="shared" si="9"/>
        <v xml:space="preserve"> </v>
      </c>
      <c r="B112" s="83" t="str">
        <f t="shared" si="10"/>
        <v xml:space="preserve"> </v>
      </c>
      <c r="C112" s="83" t="str">
        <f t="shared" si="11"/>
        <v xml:space="preserve"> </v>
      </c>
      <c r="D112" s="83" t="str">
        <f t="shared" si="13"/>
        <v xml:space="preserve"> </v>
      </c>
      <c r="E112" s="83" t="str">
        <f t="shared" si="14"/>
        <v xml:space="preserve"> </v>
      </c>
      <c r="F112" s="83" t="str">
        <f t="shared" si="12"/>
        <v xml:space="preserve"> </v>
      </c>
      <c r="G112" s="73"/>
      <c r="L112" s="134">
        <v>89</v>
      </c>
      <c r="M112" s="92">
        <f t="shared" si="17"/>
        <v>0.16</v>
      </c>
      <c r="N112" s="91">
        <f t="shared" si="15"/>
        <v>0</v>
      </c>
      <c r="O112" s="91">
        <f t="shared" si="16"/>
        <v>1600000</v>
      </c>
      <c r="P112" s="89"/>
      <c r="Q112" s="89"/>
    </row>
    <row r="113" spans="1:17" ht="15.75" thickBot="1" x14ac:dyDescent="0.3">
      <c r="A113" s="82" t="str">
        <f t="shared" si="9"/>
        <v xml:space="preserve"> </v>
      </c>
      <c r="B113" s="83" t="str">
        <f t="shared" si="10"/>
        <v xml:space="preserve"> </v>
      </c>
      <c r="C113" s="83" t="str">
        <f t="shared" si="11"/>
        <v xml:space="preserve"> </v>
      </c>
      <c r="D113" s="83" t="str">
        <f t="shared" si="13"/>
        <v xml:space="preserve"> </v>
      </c>
      <c r="E113" s="83" t="str">
        <f t="shared" si="14"/>
        <v xml:space="preserve"> </v>
      </c>
      <c r="F113" s="83" t="str">
        <f t="shared" si="12"/>
        <v xml:space="preserve"> </v>
      </c>
      <c r="G113" s="73"/>
      <c r="L113" s="134">
        <v>88</v>
      </c>
      <c r="M113" s="92">
        <f t="shared" si="17"/>
        <v>0.16</v>
      </c>
      <c r="N113" s="91">
        <f t="shared" si="15"/>
        <v>0</v>
      </c>
      <c r="O113" s="91">
        <f t="shared" si="16"/>
        <v>1600000</v>
      </c>
      <c r="P113" s="89"/>
      <c r="Q113" s="89"/>
    </row>
    <row r="114" spans="1:17" ht="15.75" thickBot="1" x14ac:dyDescent="0.3">
      <c r="A114" s="82" t="str">
        <f t="shared" si="9"/>
        <v xml:space="preserve"> </v>
      </c>
      <c r="B114" s="83" t="str">
        <f t="shared" si="10"/>
        <v xml:space="preserve"> </v>
      </c>
      <c r="C114" s="83" t="str">
        <f t="shared" si="11"/>
        <v xml:space="preserve"> </v>
      </c>
      <c r="D114" s="83" t="str">
        <f t="shared" si="13"/>
        <v xml:space="preserve"> </v>
      </c>
      <c r="E114" s="83" t="str">
        <f t="shared" si="14"/>
        <v xml:space="preserve"> </v>
      </c>
      <c r="F114" s="83" t="str">
        <f t="shared" si="12"/>
        <v xml:space="preserve"> </v>
      </c>
      <c r="G114" s="73"/>
      <c r="L114" s="134">
        <v>87</v>
      </c>
      <c r="M114" s="92">
        <f t="shared" si="17"/>
        <v>0.16</v>
      </c>
      <c r="N114" s="91">
        <f t="shared" si="15"/>
        <v>0</v>
      </c>
      <c r="O114" s="91">
        <f t="shared" si="16"/>
        <v>1600000</v>
      </c>
      <c r="P114" s="89"/>
      <c r="Q114" s="89"/>
    </row>
    <row r="115" spans="1:17" ht="15.75" thickBot="1" x14ac:dyDescent="0.3">
      <c r="A115" s="82" t="str">
        <f t="shared" si="9"/>
        <v xml:space="preserve"> </v>
      </c>
      <c r="B115" s="83" t="str">
        <f t="shared" si="10"/>
        <v xml:space="preserve"> </v>
      </c>
      <c r="C115" s="83" t="str">
        <f t="shared" si="11"/>
        <v xml:space="preserve"> </v>
      </c>
      <c r="D115" s="83" t="str">
        <f t="shared" si="13"/>
        <v xml:space="preserve"> </v>
      </c>
      <c r="E115" s="83" t="str">
        <f t="shared" si="14"/>
        <v xml:space="preserve"> </v>
      </c>
      <c r="F115" s="83" t="str">
        <f t="shared" si="12"/>
        <v xml:space="preserve"> </v>
      </c>
      <c r="G115" s="73"/>
      <c r="L115" s="134">
        <v>86</v>
      </c>
      <c r="M115" s="92">
        <f t="shared" si="17"/>
        <v>0.16</v>
      </c>
      <c r="N115" s="91">
        <f t="shared" si="15"/>
        <v>0</v>
      </c>
      <c r="O115" s="91">
        <f t="shared" si="16"/>
        <v>1600000</v>
      </c>
      <c r="P115" s="89"/>
      <c r="Q115" s="89"/>
    </row>
    <row r="116" spans="1:17" ht="15.75" thickBot="1" x14ac:dyDescent="0.3">
      <c r="A116" s="82" t="str">
        <f t="shared" si="9"/>
        <v xml:space="preserve"> </v>
      </c>
      <c r="B116" s="83" t="str">
        <f t="shared" si="10"/>
        <v xml:space="preserve"> </v>
      </c>
      <c r="C116" s="83" t="str">
        <f t="shared" si="11"/>
        <v xml:space="preserve"> </v>
      </c>
      <c r="D116" s="83" t="str">
        <f t="shared" si="13"/>
        <v xml:space="preserve"> </v>
      </c>
      <c r="E116" s="83" t="str">
        <f t="shared" si="14"/>
        <v xml:space="preserve"> </v>
      </c>
      <c r="F116" s="83" t="str">
        <f t="shared" si="12"/>
        <v xml:space="preserve"> </v>
      </c>
      <c r="G116" s="73"/>
      <c r="L116" s="134">
        <v>85</v>
      </c>
      <c r="M116" s="92">
        <f t="shared" si="17"/>
        <v>0.16</v>
      </c>
      <c r="N116" s="91">
        <f t="shared" si="15"/>
        <v>0</v>
      </c>
      <c r="O116" s="91">
        <f t="shared" si="16"/>
        <v>1600000</v>
      </c>
      <c r="P116" s="89"/>
      <c r="Q116" s="89"/>
    </row>
    <row r="117" spans="1:17" ht="15.75" thickBot="1" x14ac:dyDescent="0.3">
      <c r="A117" s="82" t="str">
        <f t="shared" si="9"/>
        <v xml:space="preserve"> </v>
      </c>
      <c r="B117" s="83" t="str">
        <f t="shared" si="10"/>
        <v xml:space="preserve"> </v>
      </c>
      <c r="C117" s="83" t="str">
        <f t="shared" si="11"/>
        <v xml:space="preserve"> </v>
      </c>
      <c r="D117" s="83" t="str">
        <f t="shared" si="13"/>
        <v xml:space="preserve"> </v>
      </c>
      <c r="E117" s="83" t="str">
        <f t="shared" si="14"/>
        <v xml:space="preserve"> </v>
      </c>
      <c r="F117" s="83" t="str">
        <f t="shared" si="12"/>
        <v xml:space="preserve"> </v>
      </c>
      <c r="G117" s="73"/>
      <c r="L117" s="134">
        <v>84</v>
      </c>
      <c r="M117" s="92">
        <f t="shared" si="17"/>
        <v>0.16</v>
      </c>
      <c r="N117" s="91">
        <f t="shared" si="15"/>
        <v>0</v>
      </c>
      <c r="O117" s="91">
        <f t="shared" si="16"/>
        <v>1600000</v>
      </c>
      <c r="P117" s="89"/>
      <c r="Q117" s="89"/>
    </row>
    <row r="118" spans="1:17" ht="15.75" thickBot="1" x14ac:dyDescent="0.3">
      <c r="A118" s="82" t="str">
        <f t="shared" si="9"/>
        <v xml:space="preserve"> </v>
      </c>
      <c r="B118" s="83" t="str">
        <f t="shared" si="10"/>
        <v xml:space="preserve"> </v>
      </c>
      <c r="C118" s="83" t="str">
        <f t="shared" si="11"/>
        <v xml:space="preserve"> </v>
      </c>
      <c r="D118" s="83" t="str">
        <f t="shared" si="13"/>
        <v xml:space="preserve"> </v>
      </c>
      <c r="E118" s="83" t="str">
        <f t="shared" si="14"/>
        <v xml:space="preserve"> </v>
      </c>
      <c r="F118" s="83" t="str">
        <f t="shared" si="12"/>
        <v xml:space="preserve"> </v>
      </c>
      <c r="G118" s="73"/>
      <c r="L118" s="134">
        <v>83</v>
      </c>
      <c r="M118" s="92">
        <f t="shared" si="17"/>
        <v>0.16</v>
      </c>
      <c r="N118" s="91">
        <f t="shared" si="15"/>
        <v>0</v>
      </c>
      <c r="O118" s="91">
        <f t="shared" si="16"/>
        <v>1600000</v>
      </c>
      <c r="P118" s="89"/>
      <c r="Q118" s="89"/>
    </row>
    <row r="119" spans="1:17" ht="15.75" thickBot="1" x14ac:dyDescent="0.3">
      <c r="A119" s="82" t="str">
        <f t="shared" si="9"/>
        <v xml:space="preserve"> </v>
      </c>
      <c r="B119" s="83" t="str">
        <f t="shared" si="10"/>
        <v xml:space="preserve"> </v>
      </c>
      <c r="C119" s="83" t="str">
        <f t="shared" si="11"/>
        <v xml:space="preserve"> </v>
      </c>
      <c r="D119" s="83" t="str">
        <f t="shared" si="13"/>
        <v xml:space="preserve"> </v>
      </c>
      <c r="E119" s="83" t="str">
        <f t="shared" si="14"/>
        <v xml:space="preserve"> </v>
      </c>
      <c r="F119" s="83" t="str">
        <f t="shared" si="12"/>
        <v xml:space="preserve"> </v>
      </c>
      <c r="G119" s="73"/>
      <c r="L119" s="134">
        <v>82</v>
      </c>
      <c r="M119" s="92">
        <f t="shared" si="17"/>
        <v>0.16</v>
      </c>
      <c r="N119" s="91">
        <f t="shared" si="15"/>
        <v>0</v>
      </c>
      <c r="O119" s="91">
        <f t="shared" si="16"/>
        <v>1600000</v>
      </c>
      <c r="P119" s="89"/>
      <c r="Q119" s="89"/>
    </row>
    <row r="120" spans="1:17" ht="15.75" thickBot="1" x14ac:dyDescent="0.3">
      <c r="A120" s="82" t="str">
        <f t="shared" si="9"/>
        <v xml:space="preserve"> </v>
      </c>
      <c r="B120" s="83" t="str">
        <f t="shared" si="10"/>
        <v xml:space="preserve"> </v>
      </c>
      <c r="C120" s="83" t="str">
        <f t="shared" si="11"/>
        <v xml:space="preserve"> </v>
      </c>
      <c r="D120" s="83" t="str">
        <f t="shared" si="13"/>
        <v xml:space="preserve"> </v>
      </c>
      <c r="E120" s="83" t="str">
        <f t="shared" si="14"/>
        <v xml:space="preserve"> </v>
      </c>
      <c r="F120" s="83" t="str">
        <f t="shared" si="12"/>
        <v xml:space="preserve"> </v>
      </c>
      <c r="G120" s="73"/>
      <c r="L120" s="134">
        <v>81</v>
      </c>
      <c r="M120" s="92">
        <f t="shared" si="17"/>
        <v>0.16</v>
      </c>
      <c r="N120" s="91">
        <f t="shared" si="15"/>
        <v>0</v>
      </c>
      <c r="O120" s="91">
        <f t="shared" si="16"/>
        <v>1600000</v>
      </c>
      <c r="P120" s="89"/>
      <c r="Q120" s="89"/>
    </row>
    <row r="121" spans="1:17" ht="15.75" thickBot="1" x14ac:dyDescent="0.3">
      <c r="A121" s="82" t="str">
        <f t="shared" si="9"/>
        <v xml:space="preserve"> </v>
      </c>
      <c r="B121" s="83" t="str">
        <f t="shared" si="10"/>
        <v xml:space="preserve"> </v>
      </c>
      <c r="C121" s="83" t="str">
        <f t="shared" si="11"/>
        <v xml:space="preserve"> </v>
      </c>
      <c r="D121" s="83" t="str">
        <f t="shared" si="13"/>
        <v xml:space="preserve"> </v>
      </c>
      <c r="E121" s="83" t="str">
        <f t="shared" si="14"/>
        <v xml:space="preserve"> </v>
      </c>
      <c r="F121" s="83" t="str">
        <f t="shared" si="12"/>
        <v xml:space="preserve"> </v>
      </c>
      <c r="G121" s="73"/>
      <c r="L121" s="134">
        <v>80</v>
      </c>
      <c r="M121" s="92">
        <f t="shared" si="17"/>
        <v>0.16</v>
      </c>
      <c r="N121" s="91">
        <f t="shared" si="15"/>
        <v>0</v>
      </c>
      <c r="O121" s="91">
        <f t="shared" si="16"/>
        <v>1600000</v>
      </c>
      <c r="P121" s="89"/>
      <c r="Q121" s="89"/>
    </row>
    <row r="122" spans="1:17" ht="15.75" thickBot="1" x14ac:dyDescent="0.3">
      <c r="A122" s="82" t="str">
        <f t="shared" si="9"/>
        <v xml:space="preserve"> </v>
      </c>
      <c r="B122" s="83" t="str">
        <f t="shared" si="10"/>
        <v xml:space="preserve"> </v>
      </c>
      <c r="C122" s="83" t="str">
        <f t="shared" si="11"/>
        <v xml:space="preserve"> </v>
      </c>
      <c r="D122" s="83" t="str">
        <f t="shared" si="13"/>
        <v xml:space="preserve"> </v>
      </c>
      <c r="E122" s="83" t="str">
        <f t="shared" si="14"/>
        <v xml:space="preserve"> </v>
      </c>
      <c r="F122" s="83" t="str">
        <f t="shared" si="12"/>
        <v xml:space="preserve"> </v>
      </c>
      <c r="G122" s="73"/>
      <c r="L122" s="134">
        <v>79</v>
      </c>
      <c r="M122" s="92">
        <f t="shared" si="17"/>
        <v>0.16</v>
      </c>
      <c r="N122" s="91">
        <f t="shared" si="15"/>
        <v>0</v>
      </c>
      <c r="O122" s="91">
        <f t="shared" si="16"/>
        <v>1600000</v>
      </c>
      <c r="P122" s="89"/>
      <c r="Q122" s="89"/>
    </row>
    <row r="123" spans="1:17" ht="15.75" thickBot="1" x14ac:dyDescent="0.3">
      <c r="A123" s="82" t="str">
        <f t="shared" si="9"/>
        <v xml:space="preserve"> </v>
      </c>
      <c r="B123" s="83" t="str">
        <f t="shared" si="10"/>
        <v xml:space="preserve"> </v>
      </c>
      <c r="C123" s="83" t="str">
        <f t="shared" si="11"/>
        <v xml:space="preserve"> </v>
      </c>
      <c r="D123" s="83" t="str">
        <f t="shared" si="13"/>
        <v xml:space="preserve"> </v>
      </c>
      <c r="E123" s="83" t="str">
        <f t="shared" si="14"/>
        <v xml:space="preserve"> </v>
      </c>
      <c r="F123" s="83" t="str">
        <f t="shared" si="12"/>
        <v xml:space="preserve"> </v>
      </c>
      <c r="G123" s="73"/>
      <c r="L123" s="134">
        <v>78</v>
      </c>
      <c r="M123" s="92">
        <f t="shared" si="17"/>
        <v>0.16</v>
      </c>
      <c r="N123" s="91">
        <f t="shared" si="15"/>
        <v>0</v>
      </c>
      <c r="O123" s="91">
        <f t="shared" si="16"/>
        <v>1600000</v>
      </c>
      <c r="P123" s="89"/>
      <c r="Q123" s="89"/>
    </row>
    <row r="124" spans="1:17" ht="15.75" thickBot="1" x14ac:dyDescent="0.3">
      <c r="A124" s="82" t="str">
        <f t="shared" si="9"/>
        <v xml:space="preserve"> </v>
      </c>
      <c r="B124" s="83" t="str">
        <f t="shared" si="10"/>
        <v xml:space="preserve"> </v>
      </c>
      <c r="C124" s="83" t="str">
        <f t="shared" si="11"/>
        <v xml:space="preserve"> </v>
      </c>
      <c r="D124" s="83" t="str">
        <f t="shared" si="13"/>
        <v xml:space="preserve"> </v>
      </c>
      <c r="E124" s="83" t="str">
        <f t="shared" si="14"/>
        <v xml:space="preserve"> </v>
      </c>
      <c r="F124" s="83" t="str">
        <f t="shared" si="12"/>
        <v xml:space="preserve"> </v>
      </c>
      <c r="G124" s="73"/>
      <c r="L124" s="134">
        <v>77</v>
      </c>
      <c r="M124" s="92">
        <f t="shared" si="17"/>
        <v>0.16</v>
      </c>
      <c r="N124" s="91">
        <f t="shared" si="15"/>
        <v>0</v>
      </c>
      <c r="O124" s="91">
        <f t="shared" si="16"/>
        <v>1600000</v>
      </c>
      <c r="P124" s="89"/>
      <c r="Q124" s="89"/>
    </row>
    <row r="125" spans="1:17" ht="15.75" thickBot="1" x14ac:dyDescent="0.3">
      <c r="A125" s="82" t="str">
        <f t="shared" si="9"/>
        <v xml:space="preserve"> </v>
      </c>
      <c r="B125" s="83" t="str">
        <f t="shared" si="10"/>
        <v xml:space="preserve"> </v>
      </c>
      <c r="C125" s="83" t="str">
        <f t="shared" si="11"/>
        <v xml:space="preserve"> </v>
      </c>
      <c r="D125" s="83" t="str">
        <f t="shared" si="13"/>
        <v xml:space="preserve"> </v>
      </c>
      <c r="E125" s="83" t="str">
        <f t="shared" si="14"/>
        <v xml:space="preserve"> </v>
      </c>
      <c r="F125" s="83" t="str">
        <f t="shared" si="12"/>
        <v xml:space="preserve"> </v>
      </c>
      <c r="G125" s="73"/>
      <c r="L125" s="134">
        <v>76</v>
      </c>
      <c r="M125" s="92">
        <f t="shared" si="17"/>
        <v>0.16</v>
      </c>
      <c r="N125" s="91">
        <f t="shared" si="15"/>
        <v>0</v>
      </c>
      <c r="O125" s="91">
        <f t="shared" si="16"/>
        <v>1600000</v>
      </c>
      <c r="P125" s="89"/>
      <c r="Q125" s="89"/>
    </row>
    <row r="126" spans="1:17" ht="15.75" thickBot="1" x14ac:dyDescent="0.3">
      <c r="A126" s="82" t="str">
        <f t="shared" si="9"/>
        <v xml:space="preserve"> </v>
      </c>
      <c r="B126" s="83" t="str">
        <f t="shared" si="10"/>
        <v xml:space="preserve"> </v>
      </c>
      <c r="C126" s="83" t="str">
        <f t="shared" si="11"/>
        <v xml:space="preserve"> </v>
      </c>
      <c r="D126" s="83" t="str">
        <f t="shared" si="13"/>
        <v xml:space="preserve"> </v>
      </c>
      <c r="E126" s="83" t="str">
        <f t="shared" si="14"/>
        <v xml:space="preserve"> </v>
      </c>
      <c r="F126" s="83" t="str">
        <f t="shared" si="12"/>
        <v xml:space="preserve"> </v>
      </c>
      <c r="G126" s="73"/>
      <c r="L126" s="134">
        <v>75</v>
      </c>
      <c r="M126" s="92">
        <f t="shared" si="17"/>
        <v>0.16</v>
      </c>
      <c r="N126" s="91">
        <f t="shared" si="15"/>
        <v>0</v>
      </c>
      <c r="O126" s="91">
        <f t="shared" si="16"/>
        <v>1600000</v>
      </c>
      <c r="P126" s="89"/>
      <c r="Q126" s="89"/>
    </row>
    <row r="127" spans="1:17" ht="15.75" thickBot="1" x14ac:dyDescent="0.3">
      <c r="A127" s="82" t="str">
        <f t="shared" si="9"/>
        <v xml:space="preserve"> </v>
      </c>
      <c r="B127" s="83" t="str">
        <f t="shared" si="10"/>
        <v xml:space="preserve"> </v>
      </c>
      <c r="C127" s="83" t="str">
        <f t="shared" si="11"/>
        <v xml:space="preserve"> </v>
      </c>
      <c r="D127" s="83" t="str">
        <f t="shared" si="13"/>
        <v xml:space="preserve"> </v>
      </c>
      <c r="E127" s="83" t="str">
        <f t="shared" si="14"/>
        <v xml:space="preserve"> </v>
      </c>
      <c r="F127" s="83" t="str">
        <f t="shared" si="12"/>
        <v xml:space="preserve"> </v>
      </c>
      <c r="G127" s="73"/>
      <c r="L127" s="134">
        <v>74</v>
      </c>
      <c r="M127" s="92">
        <f t="shared" si="17"/>
        <v>0.16</v>
      </c>
      <c r="N127" s="91">
        <f t="shared" si="15"/>
        <v>0</v>
      </c>
      <c r="O127" s="91">
        <f t="shared" si="16"/>
        <v>1600000</v>
      </c>
      <c r="P127" s="89"/>
      <c r="Q127" s="89"/>
    </row>
    <row r="128" spans="1:17" ht="15.75" thickBot="1" x14ac:dyDescent="0.3">
      <c r="A128" s="82" t="str">
        <f t="shared" si="9"/>
        <v xml:space="preserve"> </v>
      </c>
      <c r="B128" s="83" t="str">
        <f t="shared" si="10"/>
        <v xml:space="preserve"> </v>
      </c>
      <c r="C128" s="83" t="str">
        <f t="shared" si="11"/>
        <v xml:space="preserve"> </v>
      </c>
      <c r="D128" s="83" t="str">
        <f t="shared" si="13"/>
        <v xml:space="preserve"> </v>
      </c>
      <c r="E128" s="83" t="str">
        <f t="shared" si="14"/>
        <v xml:space="preserve"> </v>
      </c>
      <c r="F128" s="83" t="str">
        <f t="shared" si="12"/>
        <v xml:space="preserve"> </v>
      </c>
      <c r="G128" s="73"/>
      <c r="L128" s="134">
        <v>73</v>
      </c>
      <c r="M128" s="92">
        <f t="shared" si="17"/>
        <v>0.16</v>
      </c>
      <c r="N128" s="91">
        <f t="shared" si="15"/>
        <v>0</v>
      </c>
      <c r="O128" s="91">
        <f t="shared" si="16"/>
        <v>1600000</v>
      </c>
      <c r="P128" s="89"/>
      <c r="Q128" s="89"/>
    </row>
    <row r="129" spans="1:17" ht="15.75" thickBot="1" x14ac:dyDescent="0.3">
      <c r="A129" s="82" t="str">
        <f t="shared" si="9"/>
        <v xml:space="preserve"> </v>
      </c>
      <c r="B129" s="83" t="str">
        <f t="shared" si="10"/>
        <v xml:space="preserve"> </v>
      </c>
      <c r="C129" s="83" t="str">
        <f t="shared" si="11"/>
        <v xml:space="preserve"> </v>
      </c>
      <c r="D129" s="83" t="str">
        <f t="shared" si="13"/>
        <v xml:space="preserve"> </v>
      </c>
      <c r="E129" s="83" t="str">
        <f t="shared" si="14"/>
        <v xml:space="preserve"> </v>
      </c>
      <c r="F129" s="83" t="str">
        <f t="shared" si="12"/>
        <v xml:space="preserve"> </v>
      </c>
      <c r="G129" s="73"/>
      <c r="L129" s="134">
        <v>72</v>
      </c>
      <c r="M129" s="92">
        <f t="shared" si="17"/>
        <v>0.16</v>
      </c>
      <c r="N129" s="91">
        <f t="shared" si="15"/>
        <v>0</v>
      </c>
      <c r="O129" s="91">
        <f t="shared" si="16"/>
        <v>1600000</v>
      </c>
      <c r="P129" s="89"/>
      <c r="Q129" s="89"/>
    </row>
    <row r="130" spans="1:17" ht="15.75" thickBot="1" x14ac:dyDescent="0.3">
      <c r="A130" s="82" t="str">
        <f t="shared" si="9"/>
        <v xml:space="preserve"> </v>
      </c>
      <c r="B130" s="83" t="str">
        <f t="shared" si="10"/>
        <v xml:space="preserve"> </v>
      </c>
      <c r="C130" s="83" t="str">
        <f t="shared" si="11"/>
        <v xml:space="preserve"> </v>
      </c>
      <c r="D130" s="83" t="str">
        <f t="shared" si="13"/>
        <v xml:space="preserve"> </v>
      </c>
      <c r="E130" s="83" t="str">
        <f t="shared" si="14"/>
        <v xml:space="preserve"> </v>
      </c>
      <c r="F130" s="83" t="str">
        <f t="shared" si="12"/>
        <v xml:space="preserve"> </v>
      </c>
      <c r="G130" s="73"/>
      <c r="L130" s="134">
        <v>71</v>
      </c>
      <c r="M130" s="92">
        <f t="shared" si="17"/>
        <v>0.16</v>
      </c>
      <c r="N130" s="91">
        <f t="shared" si="15"/>
        <v>0</v>
      </c>
      <c r="O130" s="91">
        <f t="shared" si="16"/>
        <v>1600000</v>
      </c>
      <c r="P130" s="89"/>
      <c r="Q130" s="89"/>
    </row>
    <row r="131" spans="1:17" ht="15.75" thickBot="1" x14ac:dyDescent="0.3">
      <c r="A131" s="82" t="str">
        <f t="shared" si="9"/>
        <v xml:space="preserve"> </v>
      </c>
      <c r="B131" s="83" t="str">
        <f t="shared" si="10"/>
        <v xml:space="preserve"> </v>
      </c>
      <c r="C131" s="83" t="str">
        <f t="shared" si="11"/>
        <v xml:space="preserve"> </v>
      </c>
      <c r="D131" s="83" t="str">
        <f t="shared" si="13"/>
        <v xml:space="preserve"> </v>
      </c>
      <c r="E131" s="83" t="str">
        <f t="shared" si="14"/>
        <v xml:space="preserve"> </v>
      </c>
      <c r="F131" s="83" t="str">
        <f t="shared" si="12"/>
        <v xml:space="preserve"> </v>
      </c>
      <c r="G131" s="73"/>
      <c r="L131" s="134">
        <v>70</v>
      </c>
      <c r="M131" s="92">
        <f t="shared" si="17"/>
        <v>0.16</v>
      </c>
      <c r="N131" s="91">
        <f t="shared" si="15"/>
        <v>0</v>
      </c>
      <c r="O131" s="91">
        <f t="shared" si="16"/>
        <v>1600000</v>
      </c>
      <c r="P131" s="89"/>
      <c r="Q131" s="89"/>
    </row>
    <row r="132" spans="1:17" ht="15.75" thickBot="1" x14ac:dyDescent="0.3">
      <c r="A132" s="82" t="str">
        <f t="shared" si="9"/>
        <v xml:space="preserve"> </v>
      </c>
      <c r="B132" s="83" t="str">
        <f t="shared" si="10"/>
        <v xml:space="preserve"> </v>
      </c>
      <c r="C132" s="83" t="str">
        <f t="shared" si="11"/>
        <v xml:space="preserve"> </v>
      </c>
      <c r="D132" s="83" t="str">
        <f t="shared" si="13"/>
        <v xml:space="preserve"> </v>
      </c>
      <c r="E132" s="83" t="str">
        <f t="shared" si="14"/>
        <v xml:space="preserve"> </v>
      </c>
      <c r="F132" s="83" t="str">
        <f t="shared" si="12"/>
        <v xml:space="preserve"> </v>
      </c>
      <c r="G132" s="73"/>
      <c r="L132" s="134">
        <v>69</v>
      </c>
      <c r="M132" s="92">
        <f t="shared" si="17"/>
        <v>0.16</v>
      </c>
      <c r="N132" s="91">
        <f t="shared" si="15"/>
        <v>0</v>
      </c>
      <c r="O132" s="91">
        <f t="shared" si="16"/>
        <v>1600000</v>
      </c>
      <c r="P132" s="89"/>
      <c r="Q132" s="89"/>
    </row>
    <row r="133" spans="1:17" ht="15.75" thickBot="1" x14ac:dyDescent="0.3">
      <c r="A133" s="82" t="str">
        <f t="shared" si="9"/>
        <v xml:space="preserve"> </v>
      </c>
      <c r="B133" s="83" t="str">
        <f t="shared" si="10"/>
        <v xml:space="preserve"> </v>
      </c>
      <c r="C133" s="83" t="str">
        <f t="shared" si="11"/>
        <v xml:space="preserve"> </v>
      </c>
      <c r="D133" s="83" t="str">
        <f t="shared" si="13"/>
        <v xml:space="preserve"> </v>
      </c>
      <c r="E133" s="83" t="str">
        <f t="shared" si="14"/>
        <v xml:space="preserve"> </v>
      </c>
      <c r="F133" s="83" t="str">
        <f t="shared" si="12"/>
        <v xml:space="preserve"> </v>
      </c>
      <c r="G133" s="73"/>
      <c r="L133" s="134">
        <v>68</v>
      </c>
      <c r="M133" s="92">
        <f t="shared" si="17"/>
        <v>0.16</v>
      </c>
      <c r="N133" s="91">
        <f t="shared" si="15"/>
        <v>0</v>
      </c>
      <c r="O133" s="91">
        <f t="shared" si="16"/>
        <v>1600000</v>
      </c>
      <c r="P133" s="89"/>
      <c r="Q133" s="89"/>
    </row>
    <row r="134" spans="1:17" ht="15.75" thickBot="1" x14ac:dyDescent="0.3">
      <c r="A134" s="82" t="str">
        <f t="shared" si="9"/>
        <v xml:space="preserve"> </v>
      </c>
      <c r="B134" s="83" t="str">
        <f t="shared" si="10"/>
        <v xml:space="preserve"> </v>
      </c>
      <c r="C134" s="83" t="str">
        <f t="shared" si="11"/>
        <v xml:space="preserve"> </v>
      </c>
      <c r="D134" s="83" t="str">
        <f t="shared" si="13"/>
        <v xml:space="preserve"> </v>
      </c>
      <c r="E134" s="83" t="str">
        <f t="shared" si="14"/>
        <v xml:space="preserve"> </v>
      </c>
      <c r="F134" s="83" t="str">
        <f t="shared" si="12"/>
        <v xml:space="preserve"> </v>
      </c>
      <c r="G134" s="73"/>
      <c r="L134" s="134">
        <v>67</v>
      </c>
      <c r="M134" s="92">
        <f t="shared" si="17"/>
        <v>0.16</v>
      </c>
      <c r="N134" s="91">
        <f t="shared" si="15"/>
        <v>0</v>
      </c>
      <c r="O134" s="91">
        <f t="shared" si="16"/>
        <v>1600000</v>
      </c>
      <c r="P134" s="89"/>
      <c r="Q134" s="89"/>
    </row>
    <row r="135" spans="1:17" ht="15.75" thickBot="1" x14ac:dyDescent="0.3">
      <c r="A135" s="82" t="str">
        <f t="shared" si="9"/>
        <v xml:space="preserve"> </v>
      </c>
      <c r="B135" s="83" t="str">
        <f t="shared" si="10"/>
        <v xml:space="preserve"> </v>
      </c>
      <c r="C135" s="83" t="str">
        <f t="shared" si="11"/>
        <v xml:space="preserve"> </v>
      </c>
      <c r="D135" s="83" t="str">
        <f t="shared" si="13"/>
        <v xml:space="preserve"> </v>
      </c>
      <c r="E135" s="83" t="str">
        <f t="shared" si="14"/>
        <v xml:space="preserve"> </v>
      </c>
      <c r="F135" s="83" t="str">
        <f t="shared" si="12"/>
        <v xml:space="preserve"> </v>
      </c>
      <c r="G135" s="73"/>
      <c r="L135" s="134">
        <v>66</v>
      </c>
      <c r="M135" s="92">
        <f t="shared" si="17"/>
        <v>0.16</v>
      </c>
      <c r="N135" s="91">
        <f t="shared" si="15"/>
        <v>79391.976063330585</v>
      </c>
      <c r="O135" s="91">
        <f t="shared" si="16"/>
        <v>1520608.0239366693</v>
      </c>
      <c r="P135" s="89"/>
      <c r="Q135" s="89"/>
    </row>
    <row r="136" spans="1:17" ht="15.75" thickBot="1" x14ac:dyDescent="0.3">
      <c r="A136" s="82" t="str">
        <f t="shared" si="9"/>
        <v xml:space="preserve"> </v>
      </c>
      <c r="B136" s="83" t="str">
        <f t="shared" si="10"/>
        <v xml:space="preserve"> </v>
      </c>
      <c r="C136" s="83" t="str">
        <f t="shared" si="11"/>
        <v xml:space="preserve"> </v>
      </c>
      <c r="D136" s="83" t="str">
        <f t="shared" si="13"/>
        <v xml:space="preserve"> </v>
      </c>
      <c r="E136" s="83" t="str">
        <f t="shared" si="14"/>
        <v xml:space="preserve"> </v>
      </c>
      <c r="F136" s="83" t="str">
        <f t="shared" si="12"/>
        <v xml:space="preserve"> </v>
      </c>
      <c r="G136" s="73"/>
      <c r="L136" s="134">
        <v>65</v>
      </c>
      <c r="M136" s="92">
        <f t="shared" si="17"/>
        <v>0.16</v>
      </c>
      <c r="N136" s="91">
        <f t="shared" si="15"/>
        <v>170983.78010367643</v>
      </c>
      <c r="O136" s="91">
        <f t="shared" si="16"/>
        <v>1429016.2198963235</v>
      </c>
      <c r="P136" s="89"/>
      <c r="Q136" s="89"/>
    </row>
    <row r="137" spans="1:17" ht="15.75" thickBot="1" x14ac:dyDescent="0.3">
      <c r="A137" s="82" t="str">
        <f t="shared" si="9"/>
        <v xml:space="preserve"> </v>
      </c>
      <c r="B137" s="83" t="str">
        <f t="shared" si="10"/>
        <v xml:space="preserve"> </v>
      </c>
      <c r="C137" s="83" t="str">
        <f t="shared" si="11"/>
        <v xml:space="preserve"> </v>
      </c>
      <c r="D137" s="83" t="str">
        <f t="shared" si="13"/>
        <v xml:space="preserve"> </v>
      </c>
      <c r="E137" s="83" t="str">
        <f t="shared" si="14"/>
        <v xml:space="preserve"> </v>
      </c>
      <c r="F137" s="83" t="str">
        <f t="shared" si="12"/>
        <v xml:space="preserve"> </v>
      </c>
      <c r="G137" s="73"/>
      <c r="L137" s="134">
        <v>64</v>
      </c>
      <c r="M137" s="92">
        <f t="shared" si="17"/>
        <v>0.16</v>
      </c>
      <c r="N137" s="91">
        <f t="shared" si="15"/>
        <v>264294.07290142897</v>
      </c>
      <c r="O137" s="91">
        <f t="shared" si="16"/>
        <v>1335705.9270985711</v>
      </c>
      <c r="P137" s="89"/>
      <c r="Q137" s="89"/>
    </row>
    <row r="138" spans="1:17" ht="15.75" thickBot="1" x14ac:dyDescent="0.3">
      <c r="A138" s="82" t="str">
        <f t="shared" si="9"/>
        <v xml:space="preserve"> </v>
      </c>
      <c r="B138" s="83" t="str">
        <f t="shared" si="10"/>
        <v xml:space="preserve"> </v>
      </c>
      <c r="C138" s="83" t="str">
        <f t="shared" si="11"/>
        <v xml:space="preserve"> </v>
      </c>
      <c r="D138" s="83" t="str">
        <f t="shared" si="13"/>
        <v xml:space="preserve"> </v>
      </c>
      <c r="E138" s="83" t="str">
        <f t="shared" si="14"/>
        <v xml:space="preserve"> </v>
      </c>
      <c r="F138" s="83" t="str">
        <f t="shared" si="12"/>
        <v xml:space="preserve"> </v>
      </c>
      <c r="G138" s="73"/>
      <c r="L138" s="134">
        <v>63</v>
      </c>
      <c r="M138" s="92">
        <f t="shared" si="17"/>
        <v>0.16</v>
      </c>
      <c r="N138" s="91">
        <f t="shared" si="15"/>
        <v>359355.09755564784</v>
      </c>
      <c r="O138" s="91">
        <f t="shared" si="16"/>
        <v>1240644.9024443522</v>
      </c>
      <c r="P138" s="89"/>
      <c r="Q138" s="89"/>
    </row>
    <row r="139" spans="1:17" ht="15.75" thickBot="1" x14ac:dyDescent="0.3">
      <c r="A139" s="82" t="str">
        <f t="shared" si="9"/>
        <v xml:space="preserve"> </v>
      </c>
      <c r="B139" s="83" t="str">
        <f t="shared" si="10"/>
        <v xml:space="preserve"> </v>
      </c>
      <c r="C139" s="83" t="str">
        <f t="shared" si="11"/>
        <v xml:space="preserve"> </v>
      </c>
      <c r="D139" s="83" t="str">
        <f t="shared" si="13"/>
        <v xml:space="preserve"> </v>
      </c>
      <c r="E139" s="83" t="str">
        <f t="shared" si="14"/>
        <v xml:space="preserve"> </v>
      </c>
      <c r="F139" s="83" t="str">
        <f t="shared" si="12"/>
        <v xml:space="preserve"> </v>
      </c>
      <c r="G139" s="73"/>
      <c r="L139" s="134">
        <v>62</v>
      </c>
      <c r="M139" s="92">
        <f t="shared" si="17"/>
        <v>0.16</v>
      </c>
      <c r="N139" s="91">
        <f t="shared" si="15"/>
        <v>456199.70212564053</v>
      </c>
      <c r="O139" s="91">
        <f t="shared" si="16"/>
        <v>1143800.2978743594</v>
      </c>
      <c r="P139" s="89"/>
      <c r="Q139" s="89"/>
    </row>
    <row r="140" spans="1:17" ht="15.75" thickBot="1" x14ac:dyDescent="0.3">
      <c r="A140" s="82" t="str">
        <f t="shared" si="9"/>
        <v xml:space="preserve"> </v>
      </c>
      <c r="B140" s="83" t="str">
        <f t="shared" si="10"/>
        <v xml:space="preserve"> </v>
      </c>
      <c r="C140" s="83" t="str">
        <f t="shared" si="11"/>
        <v xml:space="preserve"> </v>
      </c>
      <c r="D140" s="83" t="str">
        <f t="shared" si="13"/>
        <v xml:space="preserve"> </v>
      </c>
      <c r="E140" s="83" t="str">
        <f t="shared" si="14"/>
        <v xml:space="preserve"> </v>
      </c>
      <c r="F140" s="83" t="str">
        <f t="shared" si="12"/>
        <v xml:space="preserve"> </v>
      </c>
      <c r="G140" s="73"/>
      <c r="L140" s="134">
        <v>61</v>
      </c>
      <c r="M140" s="92">
        <f t="shared" si="17"/>
        <v>0.16</v>
      </c>
      <c r="N140" s="91">
        <f t="shared" si="15"/>
        <v>554861.35098157299</v>
      </c>
      <c r="O140" s="91">
        <f t="shared" si="16"/>
        <v>1045138.649018427</v>
      </c>
      <c r="P140" s="89"/>
      <c r="Q140" s="89"/>
    </row>
    <row r="141" spans="1:17" ht="15.75" thickBot="1" x14ac:dyDescent="0.3">
      <c r="A141" s="82" t="str">
        <f t="shared" ref="A141:A192" si="18">IF($F$2&gt;A140,A140+1," ")</f>
        <v xml:space="preserve"> </v>
      </c>
      <c r="B141" s="83" t="str">
        <f t="shared" si="10"/>
        <v xml:space="preserve"> </v>
      </c>
      <c r="C141" s="83" t="str">
        <f t="shared" si="11"/>
        <v xml:space="preserve"> </v>
      </c>
      <c r="D141" s="83" t="str">
        <f t="shared" si="13"/>
        <v xml:space="preserve"> </v>
      </c>
      <c r="E141" s="83" t="str">
        <f t="shared" si="14"/>
        <v xml:space="preserve"> </v>
      </c>
      <c r="F141" s="83" t="str">
        <f t="shared" si="12"/>
        <v xml:space="preserve"> </v>
      </c>
      <c r="G141" s="73"/>
      <c r="L141" s="134">
        <v>60</v>
      </c>
      <c r="M141" s="92">
        <f t="shared" si="17"/>
        <v>0.16</v>
      </c>
      <c r="N141" s="91">
        <f t="shared" si="15"/>
        <v>655374.13636793103</v>
      </c>
      <c r="O141" s="91">
        <f t="shared" si="16"/>
        <v>944625.86363206897</v>
      </c>
      <c r="P141" s="89"/>
      <c r="Q141" s="89"/>
    </row>
    <row r="142" spans="1:17" ht="15.75" thickBot="1" x14ac:dyDescent="0.3">
      <c r="A142" s="82" t="str">
        <f t="shared" si="18"/>
        <v xml:space="preserve"> </v>
      </c>
      <c r="B142" s="83" t="str">
        <f t="shared" ref="B142:B192" si="19">IF(A142=" "," ",B141)</f>
        <v xml:space="preserve"> </v>
      </c>
      <c r="C142" s="83" t="str">
        <f t="shared" ref="C142:C192" si="20">IF(A142=" "," ",(B142-D142-E142))</f>
        <v xml:space="preserve"> </v>
      </c>
      <c r="D142" s="83" t="str">
        <f t="shared" si="13"/>
        <v xml:space="preserve"> </v>
      </c>
      <c r="E142" s="83" t="str">
        <f t="shared" si="14"/>
        <v xml:space="preserve"> </v>
      </c>
      <c r="F142" s="83" t="str">
        <f t="shared" ref="F142:F192" si="21">IF(A142=" "," ",(+F141-C142))</f>
        <v xml:space="preserve"> </v>
      </c>
      <c r="G142" s="73"/>
      <c r="L142" s="134">
        <v>59</v>
      </c>
      <c r="M142" s="92">
        <f t="shared" si="17"/>
        <v>0.16</v>
      </c>
      <c r="N142" s="91">
        <f t="shared" si="15"/>
        <v>757772.79018402786</v>
      </c>
      <c r="O142" s="91">
        <f t="shared" si="16"/>
        <v>842227.20981597214</v>
      </c>
      <c r="P142" s="89"/>
      <c r="Q142" s="89"/>
    </row>
    <row r="143" spans="1:17" ht="15.75" thickBot="1" x14ac:dyDescent="0.3">
      <c r="A143" s="82" t="str">
        <f t="shared" si="18"/>
        <v xml:space="preserve"> </v>
      </c>
      <c r="B143" s="83" t="str">
        <f t="shared" si="19"/>
        <v xml:space="preserve"> </v>
      </c>
      <c r="C143" s="83" t="str">
        <f t="shared" si="20"/>
        <v xml:space="preserve"> </v>
      </c>
      <c r="D143" s="83" t="str">
        <f t="shared" ref="D143:D192" si="22">IF(A143=" "," ",(F142*$B$9))</f>
        <v xml:space="preserve"> </v>
      </c>
      <c r="E143" s="83" t="str">
        <f t="shared" ref="E143:E192" si="23">IF(A143=" "," ",(+E142))</f>
        <v xml:space="preserve"> </v>
      </c>
      <c r="F143" s="83" t="str">
        <f t="shared" si="21"/>
        <v xml:space="preserve"> </v>
      </c>
      <c r="G143" s="73"/>
      <c r="L143" s="134">
        <v>58</v>
      </c>
      <c r="M143" s="92">
        <f t="shared" si="17"/>
        <v>0.16</v>
      </c>
      <c r="N143" s="91">
        <f t="shared" si="15"/>
        <v>862092.69598550687</v>
      </c>
      <c r="O143" s="91">
        <f t="shared" si="16"/>
        <v>737907.30401449313</v>
      </c>
      <c r="P143" s="89"/>
      <c r="Q143" s="89"/>
    </row>
    <row r="144" spans="1:17" ht="15.75" thickBot="1" x14ac:dyDescent="0.3">
      <c r="A144" s="82" t="str">
        <f t="shared" si="18"/>
        <v xml:space="preserve"> </v>
      </c>
      <c r="B144" s="83" t="str">
        <f t="shared" si="19"/>
        <v xml:space="preserve"> </v>
      </c>
      <c r="C144" s="83" t="str">
        <f t="shared" si="20"/>
        <v xml:space="preserve"> </v>
      </c>
      <c r="D144" s="83" t="str">
        <f t="shared" si="22"/>
        <v xml:space="preserve"> </v>
      </c>
      <c r="E144" s="83" t="str">
        <f t="shared" si="23"/>
        <v xml:space="preserve"> </v>
      </c>
      <c r="F144" s="83" t="str">
        <f t="shared" si="21"/>
        <v xml:space="preserve"> </v>
      </c>
      <c r="G144" s="73"/>
      <c r="L144" s="134">
        <v>57</v>
      </c>
      <c r="M144" s="92">
        <f t="shared" si="17"/>
        <v>0.16</v>
      </c>
      <c r="N144" s="91">
        <f t="shared" si="15"/>
        <v>968369.90121101972</v>
      </c>
      <c r="O144" s="91">
        <f t="shared" si="16"/>
        <v>631630.09878898028</v>
      </c>
      <c r="P144" s="89"/>
      <c r="Q144" s="89"/>
    </row>
    <row r="145" spans="1:17" ht="15.75" thickBot="1" x14ac:dyDescent="0.3">
      <c r="A145" s="82" t="str">
        <f t="shared" si="18"/>
        <v xml:space="preserve"> </v>
      </c>
      <c r="B145" s="83" t="str">
        <f t="shared" si="19"/>
        <v xml:space="preserve"> </v>
      </c>
      <c r="C145" s="83" t="str">
        <f t="shared" si="20"/>
        <v xml:space="preserve"> </v>
      </c>
      <c r="D145" s="83" t="str">
        <f t="shared" si="22"/>
        <v xml:space="preserve"> </v>
      </c>
      <c r="E145" s="83" t="str">
        <f t="shared" si="23"/>
        <v xml:space="preserve"> </v>
      </c>
      <c r="F145" s="83" t="str">
        <f t="shared" si="21"/>
        <v xml:space="preserve"> </v>
      </c>
      <c r="G145" s="73"/>
      <c r="L145" s="134">
        <v>56</v>
      </c>
      <c r="M145" s="92">
        <f t="shared" si="17"/>
        <v>0.16</v>
      </c>
      <c r="N145" s="91">
        <f t="shared" si="15"/>
        <v>1076641.1296383142</v>
      </c>
      <c r="O145" s="91">
        <f t="shared" si="16"/>
        <v>523358.87036168575</v>
      </c>
      <c r="P145" s="89"/>
      <c r="Q145" s="89"/>
    </row>
    <row r="146" spans="1:17" ht="15.75" thickBot="1" x14ac:dyDescent="0.3">
      <c r="A146" s="82" t="str">
        <f t="shared" si="18"/>
        <v xml:space="preserve"> </v>
      </c>
      <c r="B146" s="83" t="str">
        <f t="shared" si="19"/>
        <v xml:space="preserve"> </v>
      </c>
      <c r="C146" s="83" t="str">
        <f t="shared" si="20"/>
        <v xml:space="preserve"> </v>
      </c>
      <c r="D146" s="83" t="str">
        <f t="shared" si="22"/>
        <v xml:space="preserve"> </v>
      </c>
      <c r="E146" s="83" t="str">
        <f t="shared" si="23"/>
        <v xml:space="preserve"> </v>
      </c>
      <c r="F146" s="83" t="str">
        <f t="shared" si="21"/>
        <v xml:space="preserve"> </v>
      </c>
      <c r="G146" s="73"/>
      <c r="L146" s="134">
        <v>55</v>
      </c>
      <c r="M146" s="92">
        <f t="shared" si="17"/>
        <v>0.16</v>
      </c>
      <c r="N146" s="91">
        <f t="shared" si="15"/>
        <v>1186943.7940740297</v>
      </c>
      <c r="O146" s="91">
        <f t="shared" si="16"/>
        <v>413056.20592597034</v>
      </c>
      <c r="P146" s="89"/>
      <c r="Q146" s="89"/>
    </row>
    <row r="147" spans="1:17" ht="15.75" thickBot="1" x14ac:dyDescent="0.3">
      <c r="A147" s="82" t="str">
        <f t="shared" si="18"/>
        <v xml:space="preserve"> </v>
      </c>
      <c r="B147" s="83" t="str">
        <f t="shared" si="19"/>
        <v xml:space="preserve"> </v>
      </c>
      <c r="C147" s="83" t="str">
        <f t="shared" si="20"/>
        <v xml:space="preserve"> </v>
      </c>
      <c r="D147" s="83" t="str">
        <f t="shared" si="22"/>
        <v xml:space="preserve"> </v>
      </c>
      <c r="E147" s="83" t="str">
        <f t="shared" si="23"/>
        <v xml:space="preserve"> </v>
      </c>
      <c r="F147" s="83" t="str">
        <f t="shared" si="21"/>
        <v xml:space="preserve"> </v>
      </c>
      <c r="G147" s="73"/>
      <c r="L147" s="134">
        <v>54</v>
      </c>
      <c r="M147" s="92">
        <f t="shared" si="17"/>
        <v>0.16</v>
      </c>
      <c r="N147" s="91">
        <f t="shared" si="15"/>
        <v>1299316.0092815787</v>
      </c>
      <c r="O147" s="91">
        <f t="shared" si="16"/>
        <v>300683.99071842129</v>
      </c>
      <c r="P147" s="89"/>
      <c r="Q147" s="89"/>
    </row>
    <row r="148" spans="1:17" ht="15.75" thickBot="1" x14ac:dyDescent="0.3">
      <c r="A148" s="82" t="str">
        <f t="shared" si="18"/>
        <v xml:space="preserve"> </v>
      </c>
      <c r="B148" s="83" t="str">
        <f t="shared" si="19"/>
        <v xml:space="preserve"> </v>
      </c>
      <c r="C148" s="83" t="str">
        <f t="shared" si="20"/>
        <v xml:space="preserve"> </v>
      </c>
      <c r="D148" s="83" t="str">
        <f t="shared" si="22"/>
        <v xml:space="preserve"> </v>
      </c>
      <c r="E148" s="83" t="str">
        <f t="shared" si="23"/>
        <v xml:space="preserve"> </v>
      </c>
      <c r="F148" s="83" t="str">
        <f t="shared" si="21"/>
        <v xml:space="preserve"> </v>
      </c>
      <c r="G148" s="73"/>
      <c r="L148" s="134">
        <v>53</v>
      </c>
      <c r="M148" s="92">
        <f t="shared" si="17"/>
        <v>0.16</v>
      </c>
      <c r="N148" s="91">
        <f t="shared" si="15"/>
        <v>1300000</v>
      </c>
      <c r="O148" s="91">
        <f t="shared" si="16"/>
        <v>300000</v>
      </c>
      <c r="P148" s="89"/>
      <c r="Q148" s="89"/>
    </row>
    <row r="149" spans="1:17" ht="15.75" thickBot="1" x14ac:dyDescent="0.3">
      <c r="A149" s="82" t="str">
        <f t="shared" si="18"/>
        <v xml:space="preserve"> </v>
      </c>
      <c r="B149" s="83" t="str">
        <f t="shared" si="19"/>
        <v xml:space="preserve"> </v>
      </c>
      <c r="C149" s="83" t="str">
        <f t="shared" si="20"/>
        <v xml:space="preserve"> </v>
      </c>
      <c r="D149" s="83" t="str">
        <f t="shared" si="22"/>
        <v xml:space="preserve"> </v>
      </c>
      <c r="E149" s="83" t="str">
        <f t="shared" si="23"/>
        <v xml:space="preserve"> </v>
      </c>
      <c r="F149" s="83" t="str">
        <f t="shared" si="21"/>
        <v xml:space="preserve"> </v>
      </c>
      <c r="G149" s="73"/>
      <c r="L149" s="134">
        <v>52</v>
      </c>
      <c r="M149" s="92">
        <f t="shared" si="17"/>
        <v>0.16</v>
      </c>
      <c r="N149" s="91">
        <f t="shared" ref="N149:N177" si="24">IF(IF(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&lt;0,"error",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)&lt;=$O$179,0,IF(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&lt;0,"error",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válida")))))</f>
        <v>1300000</v>
      </c>
      <c r="O149" s="91">
        <f t="shared" ref="O149:O177" si="25">+(($I$15*M149)-IF(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&lt;0,"error",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))+IF(IF(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&lt;0,"error",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)&lt;=$O$179,IF(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&lt;0,"error",IF($I$23=$M$1,MIN($I$15*($P$1)-($I$15*(0.03)),(+MAX(0,$I$15-$I$18-$I$19-($I$25*(1-(1+$N$17)^(-L149))/$N$17))*1.19)),IF($I$23=$M$2,MIN($I$15*($P$2)-($I$15*(0.03)),(+MAX(0,$I$15-$I$18-$I$19-($I$25*(1-(1+$N$17)^(-L149))/$N$17))*1.19)),IF($I$23=$M$3,MIN($I$15*($P$3)-($I$15*(0.03)),(+MAX(0,$I$15-$I$18-$I$19-($I$25*(1-(1+$N$17)^(-L149))/$N$17))*1.19)),"Tasa no válida")))),0)</f>
        <v>300000</v>
      </c>
      <c r="P149" s="89"/>
      <c r="Q149" s="89"/>
    </row>
    <row r="150" spans="1:17" ht="15.75" thickBot="1" x14ac:dyDescent="0.3">
      <c r="A150" s="82" t="str">
        <f t="shared" si="18"/>
        <v xml:space="preserve"> </v>
      </c>
      <c r="B150" s="83" t="str">
        <f t="shared" si="19"/>
        <v xml:space="preserve"> </v>
      </c>
      <c r="C150" s="83" t="str">
        <f t="shared" si="20"/>
        <v xml:space="preserve"> </v>
      </c>
      <c r="D150" s="83" t="str">
        <f t="shared" si="22"/>
        <v xml:space="preserve"> </v>
      </c>
      <c r="E150" s="83" t="str">
        <f t="shared" si="23"/>
        <v xml:space="preserve"> </v>
      </c>
      <c r="F150" s="83" t="str">
        <f t="shared" si="21"/>
        <v xml:space="preserve"> </v>
      </c>
      <c r="G150" s="73"/>
      <c r="L150" s="134">
        <v>51</v>
      </c>
      <c r="M150" s="92">
        <f t="shared" si="17"/>
        <v>0.16</v>
      </c>
      <c r="N150" s="91">
        <f t="shared" si="24"/>
        <v>1300000</v>
      </c>
      <c r="O150" s="91">
        <f t="shared" si="25"/>
        <v>300000</v>
      </c>
      <c r="P150" s="89"/>
      <c r="Q150" s="89"/>
    </row>
    <row r="151" spans="1:17" ht="15.75" thickBot="1" x14ac:dyDescent="0.3">
      <c r="A151" s="82" t="str">
        <f t="shared" si="18"/>
        <v xml:space="preserve"> </v>
      </c>
      <c r="B151" s="83" t="str">
        <f t="shared" si="19"/>
        <v xml:space="preserve"> </v>
      </c>
      <c r="C151" s="83" t="str">
        <f t="shared" si="20"/>
        <v xml:space="preserve"> </v>
      </c>
      <c r="D151" s="83" t="str">
        <f t="shared" si="22"/>
        <v xml:space="preserve"> </v>
      </c>
      <c r="E151" s="83" t="str">
        <f t="shared" si="23"/>
        <v xml:space="preserve"> </v>
      </c>
      <c r="F151" s="83" t="str">
        <f t="shared" si="21"/>
        <v xml:space="preserve"> </v>
      </c>
      <c r="G151" s="73"/>
      <c r="L151" s="134">
        <v>50</v>
      </c>
      <c r="M151" s="92">
        <f t="shared" ref="M151:M177" si="26">+M150</f>
        <v>0.16</v>
      </c>
      <c r="N151" s="91">
        <f t="shared" si="24"/>
        <v>1300000</v>
      </c>
      <c r="O151" s="91">
        <f t="shared" si="25"/>
        <v>300000</v>
      </c>
      <c r="P151" s="89"/>
      <c r="Q151" s="89"/>
    </row>
    <row r="152" spans="1:17" ht="15.75" thickBot="1" x14ac:dyDescent="0.3">
      <c r="A152" s="82" t="str">
        <f t="shared" si="18"/>
        <v xml:space="preserve"> </v>
      </c>
      <c r="B152" s="83" t="str">
        <f t="shared" si="19"/>
        <v xml:space="preserve"> </v>
      </c>
      <c r="C152" s="83" t="str">
        <f t="shared" si="20"/>
        <v xml:space="preserve"> </v>
      </c>
      <c r="D152" s="83" t="str">
        <f t="shared" si="22"/>
        <v xml:space="preserve"> </v>
      </c>
      <c r="E152" s="83" t="str">
        <f t="shared" si="23"/>
        <v xml:space="preserve"> </v>
      </c>
      <c r="F152" s="83" t="str">
        <f t="shared" si="21"/>
        <v xml:space="preserve"> </v>
      </c>
      <c r="G152" s="73"/>
      <c r="L152" s="134">
        <v>49</v>
      </c>
      <c r="M152" s="92">
        <f t="shared" si="26"/>
        <v>0.16</v>
      </c>
      <c r="N152" s="91">
        <f t="shared" si="24"/>
        <v>1300000</v>
      </c>
      <c r="O152" s="91">
        <f t="shared" si="25"/>
        <v>300000</v>
      </c>
      <c r="P152" s="89"/>
      <c r="Q152" s="89"/>
    </row>
    <row r="153" spans="1:17" ht="15.75" thickBot="1" x14ac:dyDescent="0.3">
      <c r="A153" s="82" t="str">
        <f t="shared" si="18"/>
        <v xml:space="preserve"> </v>
      </c>
      <c r="B153" s="83" t="str">
        <f t="shared" si="19"/>
        <v xml:space="preserve"> </v>
      </c>
      <c r="C153" s="83" t="str">
        <f t="shared" si="20"/>
        <v xml:space="preserve"> </v>
      </c>
      <c r="D153" s="83" t="str">
        <f t="shared" si="22"/>
        <v xml:space="preserve"> </v>
      </c>
      <c r="E153" s="83" t="str">
        <f t="shared" si="23"/>
        <v xml:space="preserve"> </v>
      </c>
      <c r="F153" s="83" t="str">
        <f t="shared" si="21"/>
        <v xml:space="preserve"> </v>
      </c>
      <c r="G153" s="73"/>
      <c r="L153" s="134">
        <v>48</v>
      </c>
      <c r="M153" s="92">
        <f t="shared" si="26"/>
        <v>0.16</v>
      </c>
      <c r="N153" s="91">
        <f t="shared" si="24"/>
        <v>1300000</v>
      </c>
      <c r="O153" s="91">
        <f t="shared" si="25"/>
        <v>300000</v>
      </c>
      <c r="P153" s="89"/>
      <c r="Q153" s="89"/>
    </row>
    <row r="154" spans="1:17" ht="15.75" thickBot="1" x14ac:dyDescent="0.3">
      <c r="A154" s="82" t="str">
        <f t="shared" si="18"/>
        <v xml:space="preserve"> </v>
      </c>
      <c r="B154" s="83" t="str">
        <f t="shared" si="19"/>
        <v xml:space="preserve"> </v>
      </c>
      <c r="C154" s="83" t="str">
        <f t="shared" si="20"/>
        <v xml:space="preserve"> </v>
      </c>
      <c r="D154" s="83" t="str">
        <f t="shared" si="22"/>
        <v xml:space="preserve"> </v>
      </c>
      <c r="E154" s="83" t="str">
        <f t="shared" si="23"/>
        <v xml:space="preserve"> </v>
      </c>
      <c r="F154" s="83" t="str">
        <f t="shared" si="21"/>
        <v xml:space="preserve"> </v>
      </c>
      <c r="G154" s="73"/>
      <c r="L154" s="134">
        <v>47</v>
      </c>
      <c r="M154" s="92">
        <f t="shared" si="26"/>
        <v>0.16</v>
      </c>
      <c r="N154" s="91">
        <f t="shared" si="24"/>
        <v>1300000</v>
      </c>
      <c r="O154" s="91">
        <f t="shared" si="25"/>
        <v>300000</v>
      </c>
      <c r="P154" s="89"/>
      <c r="Q154" s="89"/>
    </row>
    <row r="155" spans="1:17" ht="15.75" thickBot="1" x14ac:dyDescent="0.3">
      <c r="A155" s="82" t="str">
        <f t="shared" si="18"/>
        <v xml:space="preserve"> </v>
      </c>
      <c r="B155" s="83" t="str">
        <f t="shared" si="19"/>
        <v xml:space="preserve"> </v>
      </c>
      <c r="C155" s="83" t="str">
        <f t="shared" si="20"/>
        <v xml:space="preserve"> </v>
      </c>
      <c r="D155" s="83" t="str">
        <f t="shared" si="22"/>
        <v xml:space="preserve"> </v>
      </c>
      <c r="E155" s="83" t="str">
        <f t="shared" si="23"/>
        <v xml:space="preserve"> </v>
      </c>
      <c r="F155" s="83" t="str">
        <f t="shared" si="21"/>
        <v xml:space="preserve"> </v>
      </c>
      <c r="G155" s="73"/>
      <c r="L155" s="134">
        <v>46</v>
      </c>
      <c r="M155" s="92">
        <f t="shared" si="26"/>
        <v>0.16</v>
      </c>
      <c r="N155" s="91">
        <f t="shared" si="24"/>
        <v>1300000</v>
      </c>
      <c r="O155" s="91">
        <f t="shared" si="25"/>
        <v>300000</v>
      </c>
      <c r="P155" s="89"/>
      <c r="Q155" s="89"/>
    </row>
    <row r="156" spans="1:17" ht="15.75" thickBot="1" x14ac:dyDescent="0.3">
      <c r="A156" s="82" t="str">
        <f t="shared" si="18"/>
        <v xml:space="preserve"> </v>
      </c>
      <c r="B156" s="83" t="str">
        <f t="shared" si="19"/>
        <v xml:space="preserve"> </v>
      </c>
      <c r="C156" s="83" t="str">
        <f t="shared" si="20"/>
        <v xml:space="preserve"> </v>
      </c>
      <c r="D156" s="83" t="str">
        <f t="shared" si="22"/>
        <v xml:space="preserve"> </v>
      </c>
      <c r="E156" s="83" t="str">
        <f t="shared" si="23"/>
        <v xml:space="preserve"> </v>
      </c>
      <c r="F156" s="83" t="str">
        <f t="shared" si="21"/>
        <v xml:space="preserve"> </v>
      </c>
      <c r="G156" s="73"/>
      <c r="L156" s="134">
        <v>45</v>
      </c>
      <c r="M156" s="92">
        <f t="shared" si="26"/>
        <v>0.16</v>
      </c>
      <c r="N156" s="91">
        <f t="shared" si="24"/>
        <v>1300000</v>
      </c>
      <c r="O156" s="91">
        <f t="shared" si="25"/>
        <v>300000</v>
      </c>
      <c r="P156" s="89"/>
      <c r="Q156" s="89"/>
    </row>
    <row r="157" spans="1:17" ht="15.75" thickBot="1" x14ac:dyDescent="0.3">
      <c r="A157" s="82" t="str">
        <f t="shared" si="18"/>
        <v xml:space="preserve"> </v>
      </c>
      <c r="B157" s="83" t="str">
        <f t="shared" si="19"/>
        <v xml:space="preserve"> </v>
      </c>
      <c r="C157" s="83" t="str">
        <f t="shared" si="20"/>
        <v xml:space="preserve"> </v>
      </c>
      <c r="D157" s="83" t="str">
        <f t="shared" si="22"/>
        <v xml:space="preserve"> </v>
      </c>
      <c r="E157" s="83" t="str">
        <f t="shared" si="23"/>
        <v xml:space="preserve"> </v>
      </c>
      <c r="F157" s="83" t="str">
        <f t="shared" si="21"/>
        <v xml:space="preserve"> </v>
      </c>
      <c r="G157" s="73"/>
      <c r="L157" s="134">
        <v>44</v>
      </c>
      <c r="M157" s="92">
        <f t="shared" si="26"/>
        <v>0.16</v>
      </c>
      <c r="N157" s="91">
        <f t="shared" si="24"/>
        <v>1300000</v>
      </c>
      <c r="O157" s="91">
        <f t="shared" si="25"/>
        <v>300000</v>
      </c>
      <c r="P157" s="89"/>
      <c r="Q157" s="89"/>
    </row>
    <row r="158" spans="1:17" ht="15.75" thickBot="1" x14ac:dyDescent="0.3">
      <c r="A158" s="82" t="str">
        <f t="shared" si="18"/>
        <v xml:space="preserve"> </v>
      </c>
      <c r="B158" s="83" t="str">
        <f t="shared" si="19"/>
        <v xml:space="preserve"> </v>
      </c>
      <c r="C158" s="83" t="str">
        <f t="shared" si="20"/>
        <v xml:space="preserve"> </v>
      </c>
      <c r="D158" s="83" t="str">
        <f t="shared" si="22"/>
        <v xml:space="preserve"> </v>
      </c>
      <c r="E158" s="83" t="str">
        <f t="shared" si="23"/>
        <v xml:space="preserve"> </v>
      </c>
      <c r="F158" s="83" t="str">
        <f t="shared" si="21"/>
        <v xml:space="preserve"> </v>
      </c>
      <c r="G158" s="73"/>
      <c r="L158" s="134">
        <v>43</v>
      </c>
      <c r="M158" s="92">
        <f t="shared" si="26"/>
        <v>0.16</v>
      </c>
      <c r="N158" s="91">
        <f t="shared" si="24"/>
        <v>1300000</v>
      </c>
      <c r="O158" s="91">
        <f t="shared" si="25"/>
        <v>300000</v>
      </c>
      <c r="P158" s="89"/>
      <c r="Q158" s="89"/>
    </row>
    <row r="159" spans="1:17" ht="15.75" thickBot="1" x14ac:dyDescent="0.3">
      <c r="A159" s="82" t="str">
        <f t="shared" si="18"/>
        <v xml:space="preserve"> </v>
      </c>
      <c r="B159" s="83" t="str">
        <f t="shared" si="19"/>
        <v xml:space="preserve"> </v>
      </c>
      <c r="C159" s="83" t="str">
        <f t="shared" si="20"/>
        <v xml:space="preserve"> </v>
      </c>
      <c r="D159" s="83" t="str">
        <f t="shared" si="22"/>
        <v xml:space="preserve"> </v>
      </c>
      <c r="E159" s="83" t="str">
        <f t="shared" si="23"/>
        <v xml:space="preserve"> </v>
      </c>
      <c r="F159" s="83" t="str">
        <f t="shared" si="21"/>
        <v xml:space="preserve"> </v>
      </c>
      <c r="G159" s="73"/>
      <c r="L159" s="134">
        <v>42</v>
      </c>
      <c r="M159" s="92">
        <f t="shared" si="26"/>
        <v>0.16</v>
      </c>
      <c r="N159" s="91">
        <f t="shared" si="24"/>
        <v>1300000</v>
      </c>
      <c r="O159" s="91">
        <f t="shared" si="25"/>
        <v>300000</v>
      </c>
      <c r="P159" s="89"/>
      <c r="Q159" s="89"/>
    </row>
    <row r="160" spans="1:17" ht="15.75" thickBot="1" x14ac:dyDescent="0.3">
      <c r="A160" s="82" t="str">
        <f t="shared" si="18"/>
        <v xml:space="preserve"> </v>
      </c>
      <c r="B160" s="83" t="str">
        <f t="shared" si="19"/>
        <v xml:space="preserve"> </v>
      </c>
      <c r="C160" s="83" t="str">
        <f t="shared" si="20"/>
        <v xml:space="preserve"> </v>
      </c>
      <c r="D160" s="83" t="str">
        <f t="shared" si="22"/>
        <v xml:space="preserve"> </v>
      </c>
      <c r="E160" s="83" t="str">
        <f t="shared" si="23"/>
        <v xml:space="preserve"> </v>
      </c>
      <c r="F160" s="83" t="str">
        <f t="shared" si="21"/>
        <v xml:space="preserve"> </v>
      </c>
      <c r="G160" s="73"/>
      <c r="L160" s="134">
        <v>41</v>
      </c>
      <c r="M160" s="92">
        <f t="shared" si="26"/>
        <v>0.16</v>
      </c>
      <c r="N160" s="91">
        <f t="shared" si="24"/>
        <v>1300000</v>
      </c>
      <c r="O160" s="91">
        <f t="shared" si="25"/>
        <v>300000</v>
      </c>
      <c r="P160" s="89"/>
      <c r="Q160" s="89"/>
    </row>
    <row r="161" spans="1:17" ht="15.75" thickBot="1" x14ac:dyDescent="0.3">
      <c r="A161" s="82" t="str">
        <f t="shared" si="18"/>
        <v xml:space="preserve"> </v>
      </c>
      <c r="B161" s="83" t="str">
        <f t="shared" si="19"/>
        <v xml:space="preserve"> </v>
      </c>
      <c r="C161" s="83" t="str">
        <f t="shared" si="20"/>
        <v xml:space="preserve"> </v>
      </c>
      <c r="D161" s="83" t="str">
        <f t="shared" si="22"/>
        <v xml:space="preserve"> </v>
      </c>
      <c r="E161" s="83" t="str">
        <f t="shared" si="23"/>
        <v xml:space="preserve"> </v>
      </c>
      <c r="F161" s="83" t="str">
        <f t="shared" si="21"/>
        <v xml:space="preserve"> </v>
      </c>
      <c r="G161" s="73"/>
      <c r="L161" s="134">
        <v>40</v>
      </c>
      <c r="M161" s="92">
        <f t="shared" si="26"/>
        <v>0.16</v>
      </c>
      <c r="N161" s="91">
        <f t="shared" si="24"/>
        <v>1300000</v>
      </c>
      <c r="O161" s="91">
        <f t="shared" si="25"/>
        <v>300000</v>
      </c>
      <c r="P161" s="89"/>
      <c r="Q161" s="89"/>
    </row>
    <row r="162" spans="1:17" ht="15.75" thickBot="1" x14ac:dyDescent="0.3">
      <c r="A162" s="82" t="str">
        <f t="shared" si="18"/>
        <v xml:space="preserve"> </v>
      </c>
      <c r="B162" s="83" t="str">
        <f t="shared" si="19"/>
        <v xml:space="preserve"> </v>
      </c>
      <c r="C162" s="83" t="str">
        <f t="shared" si="20"/>
        <v xml:space="preserve"> </v>
      </c>
      <c r="D162" s="83" t="str">
        <f t="shared" si="22"/>
        <v xml:space="preserve"> </v>
      </c>
      <c r="E162" s="83" t="str">
        <f t="shared" si="23"/>
        <v xml:space="preserve"> </v>
      </c>
      <c r="F162" s="83" t="str">
        <f t="shared" si="21"/>
        <v xml:space="preserve"> </v>
      </c>
      <c r="G162" s="73"/>
      <c r="L162" s="134">
        <v>39</v>
      </c>
      <c r="M162" s="92">
        <f t="shared" si="26"/>
        <v>0.16</v>
      </c>
      <c r="N162" s="91">
        <f t="shared" si="24"/>
        <v>1300000</v>
      </c>
      <c r="O162" s="91">
        <f t="shared" si="25"/>
        <v>300000</v>
      </c>
      <c r="P162" s="89"/>
      <c r="Q162" s="89"/>
    </row>
    <row r="163" spans="1:17" ht="15.75" thickBot="1" x14ac:dyDescent="0.3">
      <c r="A163" s="82" t="str">
        <f t="shared" si="18"/>
        <v xml:space="preserve"> </v>
      </c>
      <c r="B163" s="83" t="str">
        <f t="shared" si="19"/>
        <v xml:space="preserve"> </v>
      </c>
      <c r="C163" s="83" t="str">
        <f t="shared" si="20"/>
        <v xml:space="preserve"> </v>
      </c>
      <c r="D163" s="83" t="str">
        <f t="shared" si="22"/>
        <v xml:space="preserve"> </v>
      </c>
      <c r="E163" s="83" t="str">
        <f t="shared" si="23"/>
        <v xml:space="preserve"> </v>
      </c>
      <c r="F163" s="83" t="str">
        <f t="shared" si="21"/>
        <v xml:space="preserve"> </v>
      </c>
      <c r="G163" s="73"/>
      <c r="L163" s="134">
        <v>38</v>
      </c>
      <c r="M163" s="92">
        <f t="shared" si="26"/>
        <v>0.16</v>
      </c>
      <c r="N163" s="91">
        <f t="shared" si="24"/>
        <v>1300000</v>
      </c>
      <c r="O163" s="91">
        <f t="shared" si="25"/>
        <v>300000</v>
      </c>
      <c r="P163" s="89"/>
      <c r="Q163" s="89"/>
    </row>
    <row r="164" spans="1:17" ht="15.75" thickBot="1" x14ac:dyDescent="0.3">
      <c r="A164" s="82" t="str">
        <f t="shared" si="18"/>
        <v xml:space="preserve"> </v>
      </c>
      <c r="B164" s="83" t="str">
        <f t="shared" si="19"/>
        <v xml:space="preserve"> </v>
      </c>
      <c r="C164" s="83" t="str">
        <f t="shared" si="20"/>
        <v xml:space="preserve"> </v>
      </c>
      <c r="D164" s="83" t="str">
        <f t="shared" si="22"/>
        <v xml:space="preserve"> </v>
      </c>
      <c r="E164" s="83" t="str">
        <f t="shared" si="23"/>
        <v xml:space="preserve"> </v>
      </c>
      <c r="F164" s="83" t="str">
        <f t="shared" si="21"/>
        <v xml:space="preserve"> </v>
      </c>
      <c r="G164" s="73"/>
      <c r="L164" s="134">
        <v>37</v>
      </c>
      <c r="M164" s="92">
        <f t="shared" si="26"/>
        <v>0.16</v>
      </c>
      <c r="N164" s="91">
        <f t="shared" si="24"/>
        <v>1300000</v>
      </c>
      <c r="O164" s="91">
        <f t="shared" si="25"/>
        <v>300000</v>
      </c>
      <c r="P164" s="89"/>
      <c r="Q164" s="89"/>
    </row>
    <row r="165" spans="1:17" ht="15.75" thickBot="1" x14ac:dyDescent="0.3">
      <c r="A165" s="82" t="str">
        <f t="shared" si="18"/>
        <v xml:space="preserve"> </v>
      </c>
      <c r="B165" s="83" t="str">
        <f t="shared" si="19"/>
        <v xml:space="preserve"> </v>
      </c>
      <c r="C165" s="83" t="str">
        <f t="shared" si="20"/>
        <v xml:space="preserve"> </v>
      </c>
      <c r="D165" s="83" t="str">
        <f t="shared" si="22"/>
        <v xml:space="preserve"> </v>
      </c>
      <c r="E165" s="83" t="str">
        <f t="shared" si="23"/>
        <v xml:space="preserve"> </v>
      </c>
      <c r="F165" s="83" t="str">
        <f t="shared" si="21"/>
        <v xml:space="preserve"> </v>
      </c>
      <c r="G165" s="73"/>
      <c r="L165" s="134">
        <v>36</v>
      </c>
      <c r="M165" s="92">
        <f t="shared" si="26"/>
        <v>0.16</v>
      </c>
      <c r="N165" s="91">
        <f t="shared" si="24"/>
        <v>1300000</v>
      </c>
      <c r="O165" s="91">
        <f t="shared" si="25"/>
        <v>300000</v>
      </c>
      <c r="P165" s="89"/>
      <c r="Q165" s="89"/>
    </row>
    <row r="166" spans="1:17" ht="15.75" thickBot="1" x14ac:dyDescent="0.3">
      <c r="A166" s="82" t="str">
        <f t="shared" si="18"/>
        <v xml:space="preserve"> </v>
      </c>
      <c r="B166" s="83" t="str">
        <f t="shared" si="19"/>
        <v xml:space="preserve"> </v>
      </c>
      <c r="C166" s="83" t="str">
        <f t="shared" si="20"/>
        <v xml:space="preserve"> </v>
      </c>
      <c r="D166" s="83" t="str">
        <f t="shared" si="22"/>
        <v xml:space="preserve"> </v>
      </c>
      <c r="E166" s="83" t="str">
        <f t="shared" si="23"/>
        <v xml:space="preserve"> </v>
      </c>
      <c r="F166" s="83" t="str">
        <f t="shared" si="21"/>
        <v xml:space="preserve"> </v>
      </c>
      <c r="G166" s="73"/>
      <c r="L166" s="134">
        <v>35</v>
      </c>
      <c r="M166" s="92">
        <f t="shared" si="26"/>
        <v>0.16</v>
      </c>
      <c r="N166" s="91">
        <f t="shared" si="24"/>
        <v>1300000</v>
      </c>
      <c r="O166" s="91">
        <f t="shared" si="25"/>
        <v>300000</v>
      </c>
      <c r="P166" s="89"/>
      <c r="Q166" s="89"/>
    </row>
    <row r="167" spans="1:17" ht="15.75" thickBot="1" x14ac:dyDescent="0.3">
      <c r="A167" s="82" t="str">
        <f t="shared" si="18"/>
        <v xml:space="preserve"> </v>
      </c>
      <c r="B167" s="83" t="str">
        <f t="shared" si="19"/>
        <v xml:space="preserve"> </v>
      </c>
      <c r="C167" s="83" t="str">
        <f t="shared" si="20"/>
        <v xml:space="preserve"> </v>
      </c>
      <c r="D167" s="83" t="str">
        <f t="shared" si="22"/>
        <v xml:space="preserve"> </v>
      </c>
      <c r="E167" s="83" t="str">
        <f t="shared" si="23"/>
        <v xml:space="preserve"> </v>
      </c>
      <c r="F167" s="83" t="str">
        <f t="shared" si="21"/>
        <v xml:space="preserve"> </v>
      </c>
      <c r="G167" s="73"/>
      <c r="L167" s="134">
        <v>34</v>
      </c>
      <c r="M167" s="92">
        <f t="shared" si="26"/>
        <v>0.16</v>
      </c>
      <c r="N167" s="91">
        <f t="shared" si="24"/>
        <v>1300000</v>
      </c>
      <c r="O167" s="91">
        <f t="shared" si="25"/>
        <v>300000</v>
      </c>
      <c r="P167" s="89"/>
      <c r="Q167" s="89"/>
    </row>
    <row r="168" spans="1:17" ht="15.75" thickBot="1" x14ac:dyDescent="0.3">
      <c r="A168" s="82" t="str">
        <f t="shared" si="18"/>
        <v xml:space="preserve"> </v>
      </c>
      <c r="B168" s="83" t="str">
        <f t="shared" si="19"/>
        <v xml:space="preserve"> </v>
      </c>
      <c r="C168" s="83" t="str">
        <f t="shared" si="20"/>
        <v xml:space="preserve"> </v>
      </c>
      <c r="D168" s="83" t="str">
        <f t="shared" si="22"/>
        <v xml:space="preserve"> </v>
      </c>
      <c r="E168" s="83" t="str">
        <f t="shared" si="23"/>
        <v xml:space="preserve"> </v>
      </c>
      <c r="F168" s="83" t="str">
        <f t="shared" si="21"/>
        <v xml:space="preserve"> </v>
      </c>
      <c r="G168" s="73"/>
      <c r="L168" s="134">
        <v>33</v>
      </c>
      <c r="M168" s="92">
        <f t="shared" si="26"/>
        <v>0.16</v>
      </c>
      <c r="N168" s="91">
        <f t="shared" si="24"/>
        <v>1300000</v>
      </c>
      <c r="O168" s="91">
        <f t="shared" si="25"/>
        <v>300000</v>
      </c>
      <c r="P168" s="89"/>
      <c r="Q168" s="89"/>
    </row>
    <row r="169" spans="1:17" ht="15.75" thickBot="1" x14ac:dyDescent="0.3">
      <c r="A169" s="82" t="str">
        <f t="shared" si="18"/>
        <v xml:space="preserve"> </v>
      </c>
      <c r="B169" s="83" t="str">
        <f t="shared" si="19"/>
        <v xml:space="preserve"> </v>
      </c>
      <c r="C169" s="83" t="str">
        <f t="shared" si="20"/>
        <v xml:space="preserve"> </v>
      </c>
      <c r="D169" s="83" t="str">
        <f t="shared" si="22"/>
        <v xml:space="preserve"> </v>
      </c>
      <c r="E169" s="83" t="str">
        <f t="shared" si="23"/>
        <v xml:space="preserve"> </v>
      </c>
      <c r="F169" s="83" t="str">
        <f t="shared" si="21"/>
        <v xml:space="preserve"> </v>
      </c>
      <c r="G169" s="73"/>
      <c r="L169" s="134">
        <v>32</v>
      </c>
      <c r="M169" s="92">
        <f t="shared" si="26"/>
        <v>0.16</v>
      </c>
      <c r="N169" s="91">
        <f t="shared" si="24"/>
        <v>1300000</v>
      </c>
      <c r="O169" s="91">
        <f t="shared" si="25"/>
        <v>300000</v>
      </c>
      <c r="P169" s="89"/>
      <c r="Q169" s="89"/>
    </row>
    <row r="170" spans="1:17" ht="15.75" thickBot="1" x14ac:dyDescent="0.3">
      <c r="A170" s="82" t="str">
        <f t="shared" si="18"/>
        <v xml:space="preserve"> </v>
      </c>
      <c r="B170" s="83" t="str">
        <f t="shared" si="19"/>
        <v xml:space="preserve"> </v>
      </c>
      <c r="C170" s="83" t="str">
        <f t="shared" si="20"/>
        <v xml:space="preserve"> </v>
      </c>
      <c r="D170" s="83" t="str">
        <f t="shared" si="22"/>
        <v xml:space="preserve"> </v>
      </c>
      <c r="E170" s="83" t="str">
        <f t="shared" si="23"/>
        <v xml:space="preserve"> </v>
      </c>
      <c r="F170" s="83" t="str">
        <f t="shared" si="21"/>
        <v xml:space="preserve"> </v>
      </c>
      <c r="G170" s="73"/>
      <c r="L170" s="134">
        <v>31</v>
      </c>
      <c r="M170" s="92">
        <f t="shared" si="26"/>
        <v>0.16</v>
      </c>
      <c r="N170" s="91">
        <f t="shared" si="24"/>
        <v>1300000</v>
      </c>
      <c r="O170" s="91">
        <f t="shared" si="25"/>
        <v>300000</v>
      </c>
      <c r="P170" s="89"/>
      <c r="Q170" s="89"/>
    </row>
    <row r="171" spans="1:17" ht="15.75" thickBot="1" x14ac:dyDescent="0.3">
      <c r="A171" s="82" t="str">
        <f t="shared" si="18"/>
        <v xml:space="preserve"> </v>
      </c>
      <c r="B171" s="83" t="str">
        <f t="shared" si="19"/>
        <v xml:space="preserve"> </v>
      </c>
      <c r="C171" s="83" t="str">
        <f t="shared" si="20"/>
        <v xml:space="preserve"> </v>
      </c>
      <c r="D171" s="83" t="str">
        <f t="shared" si="22"/>
        <v xml:space="preserve"> </v>
      </c>
      <c r="E171" s="83" t="str">
        <f t="shared" si="23"/>
        <v xml:space="preserve"> </v>
      </c>
      <c r="F171" s="83" t="str">
        <f t="shared" si="21"/>
        <v xml:space="preserve"> </v>
      </c>
      <c r="G171" s="73"/>
      <c r="L171" s="134">
        <v>30</v>
      </c>
      <c r="M171" s="92">
        <f t="shared" si="26"/>
        <v>0.16</v>
      </c>
      <c r="N171" s="91">
        <f t="shared" si="24"/>
        <v>1300000</v>
      </c>
      <c r="O171" s="91">
        <f t="shared" si="25"/>
        <v>300000</v>
      </c>
      <c r="P171" s="89"/>
      <c r="Q171" s="89"/>
    </row>
    <row r="172" spans="1:17" ht="15.75" thickBot="1" x14ac:dyDescent="0.3">
      <c r="A172" s="82" t="str">
        <f t="shared" si="18"/>
        <v xml:space="preserve"> </v>
      </c>
      <c r="B172" s="83" t="str">
        <f t="shared" si="19"/>
        <v xml:space="preserve"> </v>
      </c>
      <c r="C172" s="83" t="str">
        <f t="shared" si="20"/>
        <v xml:space="preserve"> </v>
      </c>
      <c r="D172" s="83" t="str">
        <f t="shared" si="22"/>
        <v xml:space="preserve"> </v>
      </c>
      <c r="E172" s="83" t="str">
        <f t="shared" si="23"/>
        <v xml:space="preserve"> </v>
      </c>
      <c r="F172" s="83" t="str">
        <f t="shared" si="21"/>
        <v xml:space="preserve"> </v>
      </c>
      <c r="G172" s="73"/>
      <c r="L172" s="134">
        <v>29</v>
      </c>
      <c r="M172" s="92">
        <f t="shared" si="26"/>
        <v>0.16</v>
      </c>
      <c r="N172" s="91">
        <f t="shared" si="24"/>
        <v>1300000</v>
      </c>
      <c r="O172" s="91">
        <f t="shared" si="25"/>
        <v>300000</v>
      </c>
      <c r="P172" s="89"/>
      <c r="Q172" s="89"/>
    </row>
    <row r="173" spans="1:17" ht="15.75" thickBot="1" x14ac:dyDescent="0.3">
      <c r="A173" s="82" t="str">
        <f t="shared" si="18"/>
        <v xml:space="preserve"> </v>
      </c>
      <c r="B173" s="83" t="str">
        <f t="shared" si="19"/>
        <v xml:space="preserve"> </v>
      </c>
      <c r="C173" s="83" t="str">
        <f t="shared" si="20"/>
        <v xml:space="preserve"> </v>
      </c>
      <c r="D173" s="83" t="str">
        <f t="shared" si="22"/>
        <v xml:space="preserve"> </v>
      </c>
      <c r="E173" s="83" t="str">
        <f t="shared" si="23"/>
        <v xml:space="preserve"> </v>
      </c>
      <c r="F173" s="83" t="str">
        <f t="shared" si="21"/>
        <v xml:space="preserve"> </v>
      </c>
      <c r="G173" s="73"/>
      <c r="L173" s="134">
        <v>28</v>
      </c>
      <c r="M173" s="92">
        <f t="shared" si="26"/>
        <v>0.16</v>
      </c>
      <c r="N173" s="91">
        <f t="shared" si="24"/>
        <v>1300000</v>
      </c>
      <c r="O173" s="91">
        <f t="shared" si="25"/>
        <v>300000</v>
      </c>
      <c r="P173" s="89"/>
      <c r="Q173" s="89"/>
    </row>
    <row r="174" spans="1:17" ht="15.75" thickBot="1" x14ac:dyDescent="0.3">
      <c r="A174" s="82" t="str">
        <f t="shared" si="18"/>
        <v xml:space="preserve"> </v>
      </c>
      <c r="B174" s="83" t="str">
        <f t="shared" si="19"/>
        <v xml:space="preserve"> </v>
      </c>
      <c r="C174" s="83" t="str">
        <f t="shared" si="20"/>
        <v xml:space="preserve"> </v>
      </c>
      <c r="D174" s="83" t="str">
        <f t="shared" si="22"/>
        <v xml:space="preserve"> </v>
      </c>
      <c r="E174" s="83" t="str">
        <f t="shared" si="23"/>
        <v xml:space="preserve"> </v>
      </c>
      <c r="F174" s="83" t="str">
        <f t="shared" si="21"/>
        <v xml:space="preserve"> </v>
      </c>
      <c r="G174" s="73"/>
      <c r="L174" s="134">
        <v>27</v>
      </c>
      <c r="M174" s="92">
        <f t="shared" si="26"/>
        <v>0.16</v>
      </c>
      <c r="N174" s="91">
        <f t="shared" si="24"/>
        <v>1300000</v>
      </c>
      <c r="O174" s="91">
        <f t="shared" si="25"/>
        <v>300000</v>
      </c>
      <c r="P174" s="89"/>
      <c r="Q174" s="89"/>
    </row>
    <row r="175" spans="1:17" ht="15.75" thickBot="1" x14ac:dyDescent="0.3">
      <c r="A175" s="82" t="str">
        <f t="shared" si="18"/>
        <v xml:space="preserve"> </v>
      </c>
      <c r="B175" s="83" t="str">
        <f t="shared" si="19"/>
        <v xml:space="preserve"> </v>
      </c>
      <c r="C175" s="83" t="str">
        <f t="shared" si="20"/>
        <v xml:space="preserve"> </v>
      </c>
      <c r="D175" s="83" t="str">
        <f t="shared" si="22"/>
        <v xml:space="preserve"> </v>
      </c>
      <c r="E175" s="83" t="str">
        <f t="shared" si="23"/>
        <v xml:space="preserve"> </v>
      </c>
      <c r="F175" s="83" t="str">
        <f t="shared" si="21"/>
        <v xml:space="preserve"> </v>
      </c>
      <c r="G175" s="73"/>
      <c r="L175" s="134">
        <v>26</v>
      </c>
      <c r="M175" s="92">
        <f t="shared" si="26"/>
        <v>0.16</v>
      </c>
      <c r="N175" s="91">
        <f t="shared" si="24"/>
        <v>1300000</v>
      </c>
      <c r="O175" s="91">
        <f t="shared" si="25"/>
        <v>300000</v>
      </c>
      <c r="P175" s="89"/>
      <c r="Q175" s="89"/>
    </row>
    <row r="176" spans="1:17" ht="15.75" thickBot="1" x14ac:dyDescent="0.3">
      <c r="A176" s="82" t="str">
        <f t="shared" si="18"/>
        <v xml:space="preserve"> </v>
      </c>
      <c r="B176" s="83" t="str">
        <f t="shared" si="19"/>
        <v xml:space="preserve"> </v>
      </c>
      <c r="C176" s="83" t="str">
        <f t="shared" si="20"/>
        <v xml:space="preserve"> </v>
      </c>
      <c r="D176" s="83" t="str">
        <f t="shared" si="22"/>
        <v xml:space="preserve"> </v>
      </c>
      <c r="E176" s="83" t="str">
        <f t="shared" si="23"/>
        <v xml:space="preserve"> </v>
      </c>
      <c r="F176" s="83" t="str">
        <f t="shared" si="21"/>
        <v xml:space="preserve"> </v>
      </c>
      <c r="G176" s="73"/>
      <c r="L176" s="134">
        <v>25</v>
      </c>
      <c r="M176" s="92">
        <f t="shared" si="26"/>
        <v>0.16</v>
      </c>
      <c r="N176" s="91">
        <f t="shared" si="24"/>
        <v>1300000</v>
      </c>
      <c r="O176" s="91">
        <f t="shared" si="25"/>
        <v>300000</v>
      </c>
      <c r="P176" s="89"/>
      <c r="Q176" s="89"/>
    </row>
    <row r="177" spans="1:17" ht="15.75" thickBot="1" x14ac:dyDescent="0.3">
      <c r="A177" s="82" t="str">
        <f t="shared" si="18"/>
        <v xml:space="preserve"> </v>
      </c>
      <c r="B177" s="83" t="str">
        <f t="shared" si="19"/>
        <v xml:space="preserve"> </v>
      </c>
      <c r="C177" s="83" t="str">
        <f t="shared" si="20"/>
        <v xml:space="preserve"> </v>
      </c>
      <c r="D177" s="83" t="str">
        <f t="shared" si="22"/>
        <v xml:space="preserve"> </v>
      </c>
      <c r="E177" s="83" t="str">
        <f t="shared" si="23"/>
        <v xml:space="preserve"> </v>
      </c>
      <c r="F177" s="83" t="str">
        <f t="shared" si="21"/>
        <v xml:space="preserve"> </v>
      </c>
      <c r="G177" s="73"/>
      <c r="L177" s="134">
        <v>24</v>
      </c>
      <c r="M177" s="92">
        <f t="shared" si="26"/>
        <v>0.16</v>
      </c>
      <c r="N177" s="91">
        <f t="shared" si="24"/>
        <v>1300000</v>
      </c>
      <c r="O177" s="91">
        <f t="shared" si="25"/>
        <v>300000</v>
      </c>
      <c r="P177" s="89"/>
      <c r="Q177" s="89"/>
    </row>
    <row r="178" spans="1:17" ht="15.75" thickBot="1" x14ac:dyDescent="0.3">
      <c r="A178" s="82" t="str">
        <f t="shared" si="18"/>
        <v xml:space="preserve"> </v>
      </c>
      <c r="B178" s="83" t="str">
        <f t="shared" si="19"/>
        <v xml:space="preserve"> </v>
      </c>
      <c r="C178" s="83" t="str">
        <f t="shared" si="20"/>
        <v xml:space="preserve"> </v>
      </c>
      <c r="D178" s="83" t="str">
        <f t="shared" si="22"/>
        <v xml:space="preserve"> </v>
      </c>
      <c r="E178" s="83" t="str">
        <f t="shared" si="23"/>
        <v xml:space="preserve"> </v>
      </c>
      <c r="F178" s="83" t="str">
        <f t="shared" si="21"/>
        <v xml:space="preserve"> </v>
      </c>
      <c r="G178" s="73"/>
      <c r="M178" s="136"/>
      <c r="P178" s="89"/>
      <c r="Q178" s="89"/>
    </row>
    <row r="179" spans="1:17" ht="15.75" thickBot="1" x14ac:dyDescent="0.3">
      <c r="A179" s="82" t="str">
        <f t="shared" si="18"/>
        <v xml:space="preserve"> </v>
      </c>
      <c r="B179" s="83" t="str">
        <f t="shared" si="19"/>
        <v xml:space="preserve"> </v>
      </c>
      <c r="C179" s="83" t="str">
        <f t="shared" si="20"/>
        <v xml:space="preserve"> </v>
      </c>
      <c r="D179" s="83" t="str">
        <f t="shared" si="22"/>
        <v xml:space="preserve"> </v>
      </c>
      <c r="E179" s="83" t="str">
        <f t="shared" si="23"/>
        <v xml:space="preserve"> </v>
      </c>
      <c r="F179" s="83" t="str">
        <f t="shared" si="21"/>
        <v xml:space="preserve"> </v>
      </c>
      <c r="G179" s="73"/>
      <c r="M179" s="136"/>
      <c r="N179" s="59" t="s">
        <v>157</v>
      </c>
      <c r="O179" s="91">
        <v>50000</v>
      </c>
    </row>
    <row r="180" spans="1:17" x14ac:dyDescent="0.25">
      <c r="A180" s="82" t="str">
        <f t="shared" si="18"/>
        <v xml:space="preserve"> </v>
      </c>
      <c r="B180" s="83" t="str">
        <f t="shared" si="19"/>
        <v xml:space="preserve"> </v>
      </c>
      <c r="C180" s="83" t="str">
        <f t="shared" si="20"/>
        <v xml:space="preserve"> </v>
      </c>
      <c r="D180" s="83" t="str">
        <f t="shared" si="22"/>
        <v xml:space="preserve"> </v>
      </c>
      <c r="E180" s="83" t="str">
        <f t="shared" si="23"/>
        <v xml:space="preserve"> </v>
      </c>
      <c r="F180" s="83" t="str">
        <f t="shared" si="21"/>
        <v xml:space="preserve"> </v>
      </c>
      <c r="G180" s="73"/>
      <c r="M180" s="136"/>
    </row>
    <row r="181" spans="1:17" x14ac:dyDescent="0.25">
      <c r="A181" s="82" t="str">
        <f t="shared" si="18"/>
        <v xml:space="preserve"> </v>
      </c>
      <c r="B181" s="83" t="str">
        <f t="shared" si="19"/>
        <v xml:space="preserve"> </v>
      </c>
      <c r="C181" s="83" t="str">
        <f t="shared" si="20"/>
        <v xml:space="preserve"> </v>
      </c>
      <c r="D181" s="83" t="str">
        <f t="shared" si="22"/>
        <v xml:space="preserve"> </v>
      </c>
      <c r="E181" s="83" t="str">
        <f t="shared" si="23"/>
        <v xml:space="preserve"> </v>
      </c>
      <c r="F181" s="83" t="str">
        <f t="shared" si="21"/>
        <v xml:space="preserve"> </v>
      </c>
      <c r="G181" s="73"/>
      <c r="M181" s="136"/>
    </row>
    <row r="182" spans="1:17" x14ac:dyDescent="0.25">
      <c r="A182" s="82" t="str">
        <f t="shared" si="18"/>
        <v xml:space="preserve"> </v>
      </c>
      <c r="B182" s="83" t="str">
        <f t="shared" si="19"/>
        <v xml:space="preserve"> </v>
      </c>
      <c r="C182" s="83" t="str">
        <f t="shared" si="20"/>
        <v xml:space="preserve"> </v>
      </c>
      <c r="D182" s="83" t="str">
        <f t="shared" si="22"/>
        <v xml:space="preserve"> </v>
      </c>
      <c r="E182" s="83" t="str">
        <f t="shared" si="23"/>
        <v xml:space="preserve"> </v>
      </c>
      <c r="F182" s="83" t="str">
        <f t="shared" si="21"/>
        <v xml:space="preserve"> </v>
      </c>
      <c r="G182" s="73"/>
      <c r="M182" s="136"/>
    </row>
    <row r="183" spans="1:17" x14ac:dyDescent="0.25">
      <c r="A183" s="82" t="str">
        <f t="shared" si="18"/>
        <v xml:space="preserve"> </v>
      </c>
      <c r="B183" s="83" t="str">
        <f t="shared" si="19"/>
        <v xml:space="preserve"> </v>
      </c>
      <c r="C183" s="83" t="str">
        <f t="shared" si="20"/>
        <v xml:space="preserve"> </v>
      </c>
      <c r="D183" s="83" t="str">
        <f t="shared" si="22"/>
        <v xml:space="preserve"> </v>
      </c>
      <c r="E183" s="83" t="str">
        <f t="shared" si="23"/>
        <v xml:space="preserve"> </v>
      </c>
      <c r="F183" s="83" t="str">
        <f t="shared" si="21"/>
        <v xml:space="preserve"> </v>
      </c>
      <c r="G183" s="73"/>
      <c r="M183" s="136"/>
    </row>
    <row r="184" spans="1:17" x14ac:dyDescent="0.25">
      <c r="A184" s="82" t="str">
        <f t="shared" si="18"/>
        <v xml:space="preserve"> </v>
      </c>
      <c r="B184" s="83" t="str">
        <f t="shared" si="19"/>
        <v xml:space="preserve"> </v>
      </c>
      <c r="C184" s="83" t="str">
        <f t="shared" si="20"/>
        <v xml:space="preserve"> </v>
      </c>
      <c r="D184" s="83" t="str">
        <f t="shared" si="22"/>
        <v xml:space="preserve"> </v>
      </c>
      <c r="E184" s="83" t="str">
        <f t="shared" si="23"/>
        <v xml:space="preserve"> </v>
      </c>
      <c r="F184" s="83" t="str">
        <f t="shared" si="21"/>
        <v xml:space="preserve"> </v>
      </c>
      <c r="G184" s="73"/>
      <c r="M184" s="136"/>
    </row>
    <row r="185" spans="1:17" x14ac:dyDescent="0.25">
      <c r="A185" s="82" t="str">
        <f t="shared" si="18"/>
        <v xml:space="preserve"> </v>
      </c>
      <c r="B185" s="83" t="str">
        <f t="shared" si="19"/>
        <v xml:space="preserve"> </v>
      </c>
      <c r="C185" s="83" t="str">
        <f t="shared" si="20"/>
        <v xml:space="preserve"> </v>
      </c>
      <c r="D185" s="83" t="str">
        <f t="shared" si="22"/>
        <v xml:space="preserve"> </v>
      </c>
      <c r="E185" s="83" t="str">
        <f t="shared" si="23"/>
        <v xml:space="preserve"> </v>
      </c>
      <c r="F185" s="83" t="str">
        <f t="shared" si="21"/>
        <v xml:space="preserve"> </v>
      </c>
      <c r="G185" s="73"/>
      <c r="M185" s="136"/>
    </row>
    <row r="186" spans="1:17" x14ac:dyDescent="0.25">
      <c r="A186" s="82" t="str">
        <f t="shared" si="18"/>
        <v xml:space="preserve"> </v>
      </c>
      <c r="B186" s="83" t="str">
        <f t="shared" si="19"/>
        <v xml:space="preserve"> </v>
      </c>
      <c r="C186" s="83" t="str">
        <f t="shared" si="20"/>
        <v xml:space="preserve"> </v>
      </c>
      <c r="D186" s="83" t="str">
        <f t="shared" si="22"/>
        <v xml:space="preserve"> </v>
      </c>
      <c r="E186" s="83" t="str">
        <f t="shared" si="23"/>
        <v xml:space="preserve"> </v>
      </c>
      <c r="F186" s="83" t="str">
        <f t="shared" si="21"/>
        <v xml:space="preserve"> </v>
      </c>
      <c r="G186" s="73"/>
      <c r="M186" s="136"/>
    </row>
    <row r="187" spans="1:17" x14ac:dyDescent="0.25">
      <c r="A187" s="82" t="str">
        <f t="shared" si="18"/>
        <v xml:space="preserve"> </v>
      </c>
      <c r="B187" s="83" t="str">
        <f t="shared" si="19"/>
        <v xml:space="preserve"> </v>
      </c>
      <c r="C187" s="83" t="str">
        <f t="shared" si="20"/>
        <v xml:space="preserve"> </v>
      </c>
      <c r="D187" s="83" t="str">
        <f t="shared" si="22"/>
        <v xml:space="preserve"> </v>
      </c>
      <c r="E187" s="83" t="str">
        <f t="shared" si="23"/>
        <v xml:space="preserve"> </v>
      </c>
      <c r="F187" s="83" t="str">
        <f t="shared" si="21"/>
        <v xml:space="preserve"> </v>
      </c>
      <c r="G187" s="73"/>
      <c r="M187" s="136"/>
    </row>
    <row r="188" spans="1:17" x14ac:dyDescent="0.25">
      <c r="A188" s="82" t="str">
        <f t="shared" si="18"/>
        <v xml:space="preserve"> </v>
      </c>
      <c r="B188" s="83" t="str">
        <f t="shared" si="19"/>
        <v xml:space="preserve"> </v>
      </c>
      <c r="C188" s="83" t="str">
        <f t="shared" si="20"/>
        <v xml:space="preserve"> </v>
      </c>
      <c r="D188" s="83" t="str">
        <f t="shared" si="22"/>
        <v xml:space="preserve"> </v>
      </c>
      <c r="E188" s="83" t="str">
        <f t="shared" si="23"/>
        <v xml:space="preserve"> </v>
      </c>
      <c r="F188" s="83" t="str">
        <f t="shared" si="21"/>
        <v xml:space="preserve"> </v>
      </c>
      <c r="G188" s="73"/>
      <c r="M188" s="136"/>
    </row>
    <row r="189" spans="1:17" x14ac:dyDescent="0.25">
      <c r="A189" s="82" t="str">
        <f t="shared" si="18"/>
        <v xml:space="preserve"> </v>
      </c>
      <c r="B189" s="83" t="str">
        <f t="shared" si="19"/>
        <v xml:space="preserve"> </v>
      </c>
      <c r="C189" s="83" t="str">
        <f t="shared" si="20"/>
        <v xml:space="preserve"> </v>
      </c>
      <c r="D189" s="83" t="str">
        <f t="shared" si="22"/>
        <v xml:space="preserve"> </v>
      </c>
      <c r="E189" s="83" t="str">
        <f t="shared" si="23"/>
        <v xml:space="preserve"> </v>
      </c>
      <c r="F189" s="83" t="str">
        <f t="shared" si="21"/>
        <v xml:space="preserve"> </v>
      </c>
      <c r="G189" s="73"/>
      <c r="M189" s="136"/>
    </row>
    <row r="190" spans="1:17" x14ac:dyDescent="0.25">
      <c r="A190" s="82" t="str">
        <f t="shared" si="18"/>
        <v xml:space="preserve"> </v>
      </c>
      <c r="B190" s="83" t="str">
        <f t="shared" si="19"/>
        <v xml:space="preserve"> </v>
      </c>
      <c r="C190" s="83" t="str">
        <f t="shared" si="20"/>
        <v xml:space="preserve"> </v>
      </c>
      <c r="D190" s="83" t="str">
        <f t="shared" si="22"/>
        <v xml:space="preserve"> </v>
      </c>
      <c r="E190" s="83" t="str">
        <f t="shared" si="23"/>
        <v xml:space="preserve"> </v>
      </c>
      <c r="F190" s="83" t="str">
        <f t="shared" si="21"/>
        <v xml:space="preserve"> </v>
      </c>
      <c r="G190" s="73"/>
    </row>
    <row r="191" spans="1:17" x14ac:dyDescent="0.25">
      <c r="A191" s="82" t="str">
        <f t="shared" si="18"/>
        <v xml:space="preserve"> </v>
      </c>
      <c r="B191" s="83" t="str">
        <f t="shared" si="19"/>
        <v xml:space="preserve"> </v>
      </c>
      <c r="C191" s="83" t="str">
        <f t="shared" si="20"/>
        <v xml:space="preserve"> </v>
      </c>
      <c r="D191" s="83" t="str">
        <f t="shared" si="22"/>
        <v xml:space="preserve"> </v>
      </c>
      <c r="E191" s="83" t="str">
        <f t="shared" si="23"/>
        <v xml:space="preserve"> </v>
      </c>
      <c r="F191" s="83" t="str">
        <f t="shared" si="21"/>
        <v xml:space="preserve"> </v>
      </c>
      <c r="G191" s="73"/>
    </row>
    <row r="192" spans="1:17" ht="15.75" thickBot="1" x14ac:dyDescent="0.3">
      <c r="A192" s="82" t="str">
        <f t="shared" si="18"/>
        <v xml:space="preserve"> </v>
      </c>
      <c r="B192" s="83" t="str">
        <f t="shared" si="19"/>
        <v xml:space="preserve"> </v>
      </c>
      <c r="C192" s="83" t="str">
        <f t="shared" si="20"/>
        <v xml:space="preserve"> </v>
      </c>
      <c r="D192" s="83" t="str">
        <f t="shared" si="22"/>
        <v xml:space="preserve"> </v>
      </c>
      <c r="E192" s="83" t="str">
        <f t="shared" si="23"/>
        <v xml:space="preserve"> </v>
      </c>
      <c r="F192" s="83" t="str">
        <f t="shared" si="21"/>
        <v xml:space="preserve"> </v>
      </c>
      <c r="G192" s="73"/>
    </row>
    <row r="193" spans="1:7" ht="15.75" thickBot="1" x14ac:dyDescent="0.3">
      <c r="A193" s="75"/>
      <c r="B193" s="114"/>
      <c r="C193" s="114"/>
      <c r="D193" s="114"/>
      <c r="E193" s="114"/>
      <c r="F193" s="114"/>
      <c r="G193" s="73"/>
    </row>
    <row r="194" spans="1:7" x14ac:dyDescent="0.25">
      <c r="A194" s="115" t="s">
        <v>158</v>
      </c>
      <c r="B194" s="74"/>
      <c r="C194" s="74"/>
      <c r="D194" s="74"/>
      <c r="G194" s="73"/>
    </row>
    <row r="195" spans="1:7" x14ac:dyDescent="0.25">
      <c r="A195" s="74"/>
      <c r="B195" s="74"/>
      <c r="C195" s="74"/>
      <c r="D195" s="74"/>
      <c r="G195" s="73"/>
    </row>
    <row r="196" spans="1:7" x14ac:dyDescent="0.25">
      <c r="G196" s="73"/>
    </row>
    <row r="197" spans="1:7" x14ac:dyDescent="0.25">
      <c r="G197" s="73"/>
    </row>
    <row r="198" spans="1:7" x14ac:dyDescent="0.25">
      <c r="A198" s="115" t="s">
        <v>159</v>
      </c>
      <c r="B198" s="74"/>
      <c r="C198" s="74"/>
      <c r="D198" s="115" t="s">
        <v>160</v>
      </c>
      <c r="E198" s="115" t="s">
        <v>161</v>
      </c>
      <c r="F198" s="74"/>
    </row>
    <row r="199" spans="1:7" x14ac:dyDescent="0.25">
      <c r="G199" s="74"/>
    </row>
    <row r="200" spans="1:7" x14ac:dyDescent="0.25">
      <c r="A200" s="74"/>
      <c r="B200" s="74"/>
      <c r="C200" s="74"/>
      <c r="D200" s="74"/>
      <c r="E200" s="74"/>
      <c r="F200" s="74"/>
    </row>
    <row r="201" spans="1:7" x14ac:dyDescent="0.25">
      <c r="A201" s="74"/>
      <c r="B201" s="74"/>
      <c r="C201" s="74"/>
      <c r="D201" s="74"/>
      <c r="E201" s="74"/>
      <c r="F201" s="74"/>
      <c r="G201" s="74"/>
    </row>
    <row r="202" spans="1:7" x14ac:dyDescent="0.25">
      <c r="A202" s="74"/>
      <c r="B202" s="74"/>
      <c r="C202" s="74"/>
      <c r="D202" s="74"/>
      <c r="E202" s="74"/>
      <c r="F202" s="74"/>
      <c r="G202" s="74"/>
    </row>
    <row r="203" spans="1:7" x14ac:dyDescent="0.25">
      <c r="A203" s="74"/>
      <c r="B203" s="74"/>
      <c r="C203" s="74"/>
      <c r="D203" s="74"/>
      <c r="E203" s="74"/>
      <c r="F203" s="74"/>
      <c r="G203" s="74"/>
    </row>
    <row r="204" spans="1:7" x14ac:dyDescent="0.25">
      <c r="A204" s="74"/>
      <c r="B204" s="74"/>
      <c r="C204" s="74"/>
      <c r="D204" s="74"/>
      <c r="E204" s="74"/>
      <c r="F204" s="74"/>
      <c r="G204" s="74"/>
    </row>
    <row r="205" spans="1:7" x14ac:dyDescent="0.25">
      <c r="A205" s="74"/>
      <c r="B205" s="74"/>
      <c r="C205" s="74"/>
      <c r="D205" s="74"/>
      <c r="E205" s="74"/>
      <c r="F205" s="74"/>
      <c r="G205" s="74"/>
    </row>
    <row r="206" spans="1:7" x14ac:dyDescent="0.25">
      <c r="A206" s="74"/>
      <c r="B206" s="74"/>
      <c r="C206" s="74"/>
      <c r="D206" s="74"/>
      <c r="E206" s="74"/>
      <c r="F206" s="74"/>
      <c r="G206" s="74"/>
    </row>
    <row r="207" spans="1:7" x14ac:dyDescent="0.25">
      <c r="A207" s="74"/>
      <c r="B207" s="74"/>
      <c r="C207" s="74"/>
      <c r="D207" s="74"/>
      <c r="E207" s="74"/>
      <c r="F207" s="74"/>
      <c r="G207" s="74"/>
    </row>
    <row r="208" spans="1:7" x14ac:dyDescent="0.25">
      <c r="A208" s="74"/>
      <c r="B208" s="74"/>
      <c r="C208" s="74"/>
      <c r="D208" s="74"/>
      <c r="E208" s="74"/>
      <c r="F208" s="74"/>
      <c r="G208" s="74"/>
    </row>
    <row r="209" spans="1:7" x14ac:dyDescent="0.25">
      <c r="A209" s="74"/>
      <c r="B209" s="74"/>
      <c r="C209" s="74"/>
      <c r="D209" s="74"/>
      <c r="E209" s="74"/>
      <c r="F209" s="74"/>
      <c r="G209" s="74"/>
    </row>
    <row r="210" spans="1:7" x14ac:dyDescent="0.25">
      <c r="A210" s="74"/>
      <c r="B210" s="74"/>
      <c r="C210" s="74"/>
      <c r="D210" s="74"/>
      <c r="E210" s="74"/>
      <c r="F210" s="74"/>
      <c r="G210" s="74"/>
    </row>
    <row r="211" spans="1:7" x14ac:dyDescent="0.25">
      <c r="A211" s="74"/>
      <c r="B211" s="74"/>
      <c r="C211" s="74"/>
      <c r="D211" s="74"/>
      <c r="E211" s="74"/>
      <c r="F211" s="74"/>
      <c r="G211" s="74"/>
    </row>
    <row r="212" spans="1:7" x14ac:dyDescent="0.25">
      <c r="A212" s="74"/>
      <c r="B212" s="74"/>
      <c r="C212" s="74"/>
      <c r="D212" s="74"/>
      <c r="E212" s="74"/>
      <c r="F212" s="74"/>
      <c r="G212" s="74"/>
    </row>
    <row r="213" spans="1:7" x14ac:dyDescent="0.25">
      <c r="A213" s="74"/>
      <c r="B213" s="74"/>
      <c r="C213" s="74"/>
      <c r="D213" s="74"/>
      <c r="E213" s="74"/>
      <c r="F213" s="74"/>
      <c r="G213" s="74"/>
    </row>
    <row r="214" spans="1:7" x14ac:dyDescent="0.25">
      <c r="A214" s="74"/>
      <c r="B214" s="74"/>
      <c r="C214" s="74"/>
      <c r="D214" s="74"/>
      <c r="E214" s="74"/>
      <c r="F214" s="74"/>
      <c r="G214" s="74"/>
    </row>
    <row r="215" spans="1:7" x14ac:dyDescent="0.25">
      <c r="A215" s="74"/>
      <c r="B215" s="74"/>
      <c r="C215" s="74"/>
      <c r="D215" s="74"/>
      <c r="E215" s="74"/>
      <c r="F215" s="74"/>
      <c r="G215" s="74"/>
    </row>
    <row r="216" spans="1:7" x14ac:dyDescent="0.25">
      <c r="A216" s="74"/>
      <c r="B216" s="74"/>
      <c r="C216" s="74"/>
      <c r="D216" s="74"/>
      <c r="E216" s="74"/>
      <c r="F216" s="74"/>
      <c r="G216" s="74"/>
    </row>
    <row r="217" spans="1:7" x14ac:dyDescent="0.25">
      <c r="A217" s="74"/>
      <c r="B217" s="74"/>
      <c r="C217" s="74"/>
      <c r="D217" s="74"/>
      <c r="E217" s="74"/>
      <c r="F217" s="74"/>
      <c r="G217" s="74"/>
    </row>
    <row r="218" spans="1:7" x14ac:dyDescent="0.25">
      <c r="A218" s="74"/>
      <c r="B218" s="74"/>
      <c r="C218" s="74"/>
      <c r="D218" s="74"/>
      <c r="E218" s="74"/>
      <c r="F218" s="74"/>
      <c r="G218" s="74"/>
    </row>
    <row r="219" spans="1:7" x14ac:dyDescent="0.25">
      <c r="A219" s="74"/>
      <c r="B219" s="74"/>
      <c r="C219" s="74"/>
      <c r="D219" s="74"/>
      <c r="E219" s="74"/>
      <c r="F219" s="74"/>
      <c r="G219" s="74"/>
    </row>
    <row r="220" spans="1:7" x14ac:dyDescent="0.25">
      <c r="A220" s="74"/>
      <c r="B220" s="74"/>
      <c r="C220" s="74"/>
      <c r="D220" s="74"/>
      <c r="E220" s="74"/>
      <c r="F220" s="74"/>
      <c r="G220" s="74"/>
    </row>
    <row r="221" spans="1:7" x14ac:dyDescent="0.25">
      <c r="A221" s="74"/>
      <c r="B221" s="74"/>
      <c r="C221" s="74"/>
      <c r="D221" s="74"/>
      <c r="E221" s="74"/>
      <c r="F221" s="74"/>
      <c r="G221" s="74"/>
    </row>
    <row r="222" spans="1:7" x14ac:dyDescent="0.25">
      <c r="A222" s="74"/>
      <c r="B222" s="74"/>
      <c r="C222" s="74"/>
      <c r="D222" s="74"/>
      <c r="E222" s="74"/>
      <c r="F222" s="74"/>
      <c r="G222" s="74"/>
    </row>
    <row r="223" spans="1:7" x14ac:dyDescent="0.25">
      <c r="A223" s="74"/>
      <c r="B223" s="74"/>
      <c r="C223" s="74"/>
      <c r="D223" s="74"/>
      <c r="E223" s="74"/>
      <c r="F223" s="74"/>
      <c r="G223" s="74"/>
    </row>
    <row r="224" spans="1:7" x14ac:dyDescent="0.25">
      <c r="A224" s="74"/>
      <c r="B224" s="74"/>
      <c r="C224" s="74"/>
      <c r="D224" s="74"/>
      <c r="E224" s="74"/>
      <c r="F224" s="74"/>
      <c r="G224" s="74"/>
    </row>
    <row r="225" spans="1:7" x14ac:dyDescent="0.25">
      <c r="A225" s="74"/>
      <c r="B225" s="74"/>
      <c r="C225" s="74"/>
      <c r="D225" s="74"/>
      <c r="E225" s="74"/>
      <c r="F225" s="74"/>
      <c r="G225" s="74"/>
    </row>
    <row r="226" spans="1:7" x14ac:dyDescent="0.25">
      <c r="A226" s="74"/>
      <c r="B226" s="74"/>
      <c r="C226" s="74"/>
      <c r="D226" s="74"/>
      <c r="E226" s="74"/>
      <c r="F226" s="74"/>
      <c r="G226" s="74"/>
    </row>
    <row r="227" spans="1:7" x14ac:dyDescent="0.25">
      <c r="A227" s="74"/>
      <c r="B227" s="74"/>
      <c r="C227" s="74"/>
      <c r="D227" s="74"/>
      <c r="E227" s="74"/>
      <c r="F227" s="74"/>
      <c r="G227" s="74"/>
    </row>
    <row r="228" spans="1:7" x14ac:dyDescent="0.25">
      <c r="A228" s="74"/>
      <c r="B228" s="74"/>
      <c r="C228" s="74"/>
      <c r="D228" s="74"/>
      <c r="E228" s="74"/>
      <c r="F228" s="74"/>
      <c r="G228" s="74"/>
    </row>
    <row r="229" spans="1:7" x14ac:dyDescent="0.25">
      <c r="A229" s="74"/>
      <c r="B229" s="74"/>
      <c r="C229" s="74"/>
      <c r="D229" s="74"/>
      <c r="E229" s="74"/>
      <c r="F229" s="74"/>
      <c r="G229" s="74"/>
    </row>
    <row r="230" spans="1:7" x14ac:dyDescent="0.25">
      <c r="A230" s="74"/>
      <c r="B230" s="74"/>
      <c r="C230" s="74"/>
      <c r="D230" s="74"/>
      <c r="E230" s="74"/>
      <c r="F230" s="74"/>
      <c r="G230" s="74"/>
    </row>
    <row r="231" spans="1:7" x14ac:dyDescent="0.25">
      <c r="A231" s="74"/>
      <c r="B231" s="74"/>
      <c r="C231" s="74"/>
      <c r="D231" s="74"/>
      <c r="E231" s="74"/>
      <c r="F231" s="74"/>
      <c r="G231" s="74"/>
    </row>
    <row r="232" spans="1:7" x14ac:dyDescent="0.25">
      <c r="A232" s="74"/>
      <c r="B232" s="74"/>
      <c r="C232" s="74"/>
      <c r="D232" s="74"/>
      <c r="E232" s="74"/>
      <c r="F232" s="74"/>
      <c r="G232" s="74"/>
    </row>
    <row r="233" spans="1:7" x14ac:dyDescent="0.25">
      <c r="A233" s="74"/>
      <c r="B233" s="74"/>
      <c r="C233" s="74"/>
      <c r="D233" s="74"/>
      <c r="E233" s="74"/>
      <c r="F233" s="74"/>
      <c r="G233" s="74"/>
    </row>
    <row r="234" spans="1:7" x14ac:dyDescent="0.25">
      <c r="A234" s="74"/>
      <c r="B234" s="74"/>
      <c r="C234" s="74"/>
      <c r="D234" s="74"/>
      <c r="E234" s="74"/>
      <c r="F234" s="74"/>
      <c r="G234" s="74"/>
    </row>
    <row r="235" spans="1:7" x14ac:dyDescent="0.25">
      <c r="A235" s="74"/>
      <c r="B235" s="74"/>
      <c r="C235" s="74"/>
      <c r="D235" s="74"/>
      <c r="E235" s="74"/>
      <c r="F235" s="74"/>
      <c r="G235" s="74"/>
    </row>
    <row r="236" spans="1:7" x14ac:dyDescent="0.25">
      <c r="A236" s="74"/>
      <c r="B236" s="74"/>
      <c r="C236" s="74"/>
      <c r="D236" s="74"/>
      <c r="E236" s="74"/>
      <c r="F236" s="74"/>
      <c r="G236" s="74"/>
    </row>
    <row r="237" spans="1:7" x14ac:dyDescent="0.25">
      <c r="A237" s="74"/>
      <c r="B237" s="74"/>
      <c r="C237" s="74"/>
      <c r="D237" s="74"/>
      <c r="E237" s="74"/>
      <c r="F237" s="74"/>
      <c r="G237" s="74"/>
    </row>
    <row r="238" spans="1:7" x14ac:dyDescent="0.25">
      <c r="A238" s="74"/>
      <c r="B238" s="74"/>
      <c r="C238" s="74"/>
      <c r="D238" s="74"/>
      <c r="E238" s="74"/>
      <c r="F238" s="74"/>
      <c r="G238" s="74"/>
    </row>
    <row r="239" spans="1:7" x14ac:dyDescent="0.25">
      <c r="A239" s="74"/>
      <c r="B239" s="74"/>
      <c r="C239" s="74"/>
      <c r="D239" s="74"/>
      <c r="E239" s="74"/>
      <c r="F239" s="74"/>
      <c r="G239" s="74"/>
    </row>
    <row r="240" spans="1:7" x14ac:dyDescent="0.25">
      <c r="G240" s="74"/>
    </row>
  </sheetData>
  <sheetProtection algorithmName="SHA-512" hashValue="YRSQ7aOoldnN/90b9Ryma3gCUniMUy/oQQ3xUhG3WkrfL8mrHVAL8V/YtMmZ8CJFlvzDtkgG9HSFTjh6P1Un2w==" saltValue="YuGcCWzOG8XM6RSnzkxuaw==" spinCount="100000" sheet="1" objects="1" scenarios="1"/>
  <conditionalFormatting sqref="I29">
    <cfRule type="cellIs" dxfId="8" priority="8" stopIfTrue="1" operator="greaterThan">
      <formula>0</formula>
    </cfRule>
  </conditionalFormatting>
  <conditionalFormatting sqref="I31">
    <cfRule type="cellIs" dxfId="7" priority="6" operator="lessThan">
      <formula>0</formula>
    </cfRule>
  </conditionalFormatting>
  <conditionalFormatting sqref="I35:I40">
    <cfRule type="cellIs" dxfId="6" priority="2" operator="lessThan">
      <formula>0</formula>
    </cfRule>
  </conditionalFormatting>
  <conditionalFormatting sqref="I42">
    <cfRule type="cellIs" dxfId="5" priority="5" operator="lessThan">
      <formula>0</formula>
    </cfRule>
  </conditionalFormatting>
  <conditionalFormatting sqref="I45:I51">
    <cfRule type="cellIs" dxfId="4" priority="1" operator="lessThan">
      <formula>0</formula>
    </cfRule>
  </conditionalFormatting>
  <conditionalFormatting sqref="I55:I56">
    <cfRule type="cellIs" dxfId="3" priority="4" operator="lessThan">
      <formula>0</formula>
    </cfRule>
  </conditionalFormatting>
  <conditionalFormatting sqref="M21:M177">
    <cfRule type="cellIs" dxfId="2" priority="3" operator="greaterThanOrEqual">
      <formula>$F$9</formula>
    </cfRule>
  </conditionalFormatting>
  <conditionalFormatting sqref="O11:O12 I27:I28">
    <cfRule type="cellIs" dxfId="1" priority="9" operator="greaterThan">
      <formula>$F$9</formula>
    </cfRule>
  </conditionalFormatting>
  <conditionalFormatting sqref="O13">
    <cfRule type="cellIs" dxfId="0" priority="7" stopIfTrue="1" operator="greaterThan">
      <formula>0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Formulas</vt:lpstr>
      <vt:lpstr>Simulador</vt:lpstr>
      <vt:lpstr>TA</vt:lpstr>
      <vt:lpstr>Simulador con incremento</vt:lpstr>
      <vt:lpstr>TA+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Camargo</dc:creator>
  <cp:lastModifiedBy>Angela Camargo</cp:lastModifiedBy>
  <dcterms:created xsi:type="dcterms:W3CDTF">2025-09-30T13:14:54Z</dcterms:created>
  <dcterms:modified xsi:type="dcterms:W3CDTF">2025-12-04T15:04:59Z</dcterms:modified>
</cp:coreProperties>
</file>