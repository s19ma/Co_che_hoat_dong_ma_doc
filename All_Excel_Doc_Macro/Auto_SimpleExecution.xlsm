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mware-host\Shared Folders\git\excel4-tests\samples\Auto\"/>
    </mc:Choice>
  </mc:AlternateContent>
  <xr:revisionPtr revIDLastSave="0" documentId="13_ncr:1_{5CE77D42-01BD-404F-9B82-A818FCA15A26}" xr6:coauthVersionLast="46" xr6:coauthVersionMax="46" xr10:uidLastSave="{00000000-0000-0000-0000-000000000000}"/>
  <bookViews>
    <workbookView xWindow="2850" yWindow="2850" windowWidth="21600" windowHeight="11385" xr2:uid="{BAD1F546-FFB9-488D-B4D5-D17B7A6B1702}"/>
  </bookViews>
  <sheets>
    <sheet name="SecureDocument" sheetId="1" r:id="rId1"/>
    <sheet name="SecureDocument1" sheetId="2" state="hidden" r:id="rId2"/>
  </sheets>
  <definedNames>
    <definedName name="e">1</definedName>
    <definedName name="n">45</definedName>
    <definedName name="p">1</definedName>
    <definedName name="Stuffy">SecureDocument1!$A$1</definedName>
    <definedName name="v">2</definedName>
    <definedName name="WCGW">SecureDocument1!$CM$1</definedName>
    <definedName name="x">1000</definedName>
    <definedName name="y">1000</definedName>
    <definedName name="z">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01" i="1" l="1" a="1"/>
  <c r="N701" i="1" s="1"/>
  <c r="M701" i="1" a="1"/>
  <c r="M701" i="1" s="1"/>
  <c r="L701" i="1" a="1"/>
  <c r="L701" i="1" s="1"/>
  <c r="K701" i="1" a="1"/>
  <c r="K701" i="1" s="1"/>
  <c r="J701" i="1" a="1"/>
  <c r="J701" i="1" s="1"/>
  <c r="I701" i="1" a="1"/>
  <c r="I701" i="1" s="1"/>
  <c r="H701" i="1" a="1"/>
  <c r="H701" i="1" s="1"/>
  <c r="G701" i="1" a="1"/>
  <c r="G701" i="1" s="1"/>
  <c r="F701" i="1" a="1"/>
  <c r="F701" i="1" s="1"/>
  <c r="E701" i="1" a="1"/>
  <c r="E701" i="1" s="1"/>
  <c r="D701" i="1" a="1"/>
  <c r="D701" i="1" s="1"/>
  <c r="C701" i="1" a="1"/>
  <c r="C701" i="1" s="1"/>
  <c r="B701" i="1" a="1"/>
  <c r="B701" i="1" s="1"/>
  <c r="N700" i="1" a="1"/>
  <c r="N700" i="1" s="1"/>
  <c r="M700" i="1" a="1"/>
  <c r="M700" i="1" s="1"/>
  <c r="L700" i="1" a="1"/>
  <c r="L700" i="1" s="1"/>
  <c r="K700" i="1" a="1"/>
  <c r="K700" i="1" s="1"/>
  <c r="J700" i="1" a="1"/>
  <c r="J700" i="1" s="1"/>
  <c r="I700" i="1" a="1"/>
  <c r="I700" i="1" s="1"/>
  <c r="H700" i="1" a="1"/>
  <c r="H700" i="1" s="1"/>
  <c r="G700" i="1" a="1"/>
  <c r="G700" i="1" s="1"/>
  <c r="F700" i="1" a="1"/>
  <c r="F700" i="1" s="1"/>
  <c r="E700" i="1" a="1"/>
  <c r="E700" i="1" s="1"/>
  <c r="D700" i="1" a="1"/>
  <c r="D700" i="1" s="1"/>
  <c r="C700" i="1" a="1"/>
  <c r="C700" i="1" s="1"/>
  <c r="B700" i="1" a="1"/>
  <c r="B700" i="1" s="1"/>
  <c r="N699" i="1" a="1"/>
  <c r="N699" i="1" s="1"/>
  <c r="M699" i="1" a="1"/>
  <c r="M699" i="1" s="1"/>
  <c r="L699" i="1" a="1"/>
  <c r="L699" i="1" s="1"/>
  <c r="K699" i="1" a="1"/>
  <c r="K699" i="1" s="1"/>
  <c r="J699" i="1" a="1"/>
  <c r="J699" i="1" s="1"/>
  <c r="I699" i="1" a="1"/>
  <c r="I699" i="1" s="1"/>
  <c r="H699" i="1" a="1"/>
  <c r="H699" i="1" s="1"/>
  <c r="G699" i="1" a="1"/>
  <c r="G699" i="1" s="1"/>
  <c r="F699" i="1" a="1"/>
  <c r="F699" i="1" s="1"/>
  <c r="E699" i="1" a="1"/>
  <c r="E699" i="1" s="1"/>
  <c r="D699" i="1" a="1"/>
  <c r="D699" i="1" s="1"/>
  <c r="C699" i="1" a="1"/>
  <c r="C699" i="1" s="1"/>
  <c r="B699" i="1" a="1"/>
  <c r="B699" i="1" s="1"/>
  <c r="N698" i="1" a="1"/>
  <c r="N698" i="1" s="1"/>
  <c r="M698" i="1" a="1"/>
  <c r="M698" i="1" s="1"/>
  <c r="L698" i="1" a="1"/>
  <c r="L698" i="1" s="1"/>
  <c r="K698" i="1" a="1"/>
  <c r="K698" i="1" s="1"/>
  <c r="J698" i="1" a="1"/>
  <c r="J698" i="1" s="1"/>
  <c r="I698" i="1" a="1"/>
  <c r="I698" i="1" s="1"/>
  <c r="H698" i="1" a="1"/>
  <c r="H698" i="1" s="1"/>
  <c r="G698" i="1" a="1"/>
  <c r="G698" i="1" s="1"/>
  <c r="F698" i="1" a="1"/>
  <c r="F698" i="1" s="1"/>
  <c r="E698" i="1" a="1"/>
  <c r="E698" i="1" s="1"/>
  <c r="D698" i="1" a="1"/>
  <c r="D698" i="1" s="1"/>
  <c r="C698" i="1" a="1"/>
  <c r="C698" i="1" s="1"/>
  <c r="B698" i="1" a="1"/>
  <c r="B698" i="1" s="1"/>
  <c r="N697" i="1" a="1"/>
  <c r="N697" i="1" s="1"/>
  <c r="M697" i="1" a="1"/>
  <c r="M697" i="1" s="1"/>
  <c r="L697" i="1" a="1"/>
  <c r="L697" i="1" s="1"/>
  <c r="K697" i="1" a="1"/>
  <c r="K697" i="1" s="1"/>
  <c r="J697" i="1" a="1"/>
  <c r="J697" i="1" s="1"/>
  <c r="I697" i="1" a="1"/>
  <c r="I697" i="1" s="1"/>
  <c r="H697" i="1" a="1"/>
  <c r="H697" i="1" s="1"/>
  <c r="G697" i="1" a="1"/>
  <c r="G697" i="1" s="1"/>
  <c r="F697" i="1" a="1"/>
  <c r="F697" i="1" s="1"/>
  <c r="E697" i="1" a="1"/>
  <c r="E697" i="1" s="1"/>
  <c r="D697" i="1" a="1"/>
  <c r="D697" i="1" s="1"/>
  <c r="C697" i="1" a="1"/>
  <c r="C697" i="1" s="1"/>
  <c r="B697" i="1" a="1"/>
  <c r="B697" i="1" s="1"/>
  <c r="N696" i="1" a="1"/>
  <c r="N696" i="1" s="1"/>
  <c r="M696" i="1" a="1"/>
  <c r="M696" i="1" s="1"/>
  <c r="L696" i="1" a="1"/>
  <c r="L696" i="1" s="1"/>
  <c r="K696" i="1" a="1"/>
  <c r="K696" i="1" s="1"/>
  <c r="J696" i="1" a="1"/>
  <c r="J696" i="1" s="1"/>
  <c r="I696" i="1" a="1"/>
  <c r="I696" i="1" s="1"/>
  <c r="H696" i="1" a="1"/>
  <c r="H696" i="1" s="1"/>
  <c r="G696" i="1" a="1"/>
  <c r="G696" i="1" s="1"/>
  <c r="F696" i="1" a="1"/>
  <c r="F696" i="1" s="1"/>
  <c r="E696" i="1" a="1"/>
  <c r="E696" i="1" s="1"/>
  <c r="D696" i="1" a="1"/>
  <c r="D696" i="1" s="1"/>
  <c r="C696" i="1" a="1"/>
  <c r="C696" i="1" s="1"/>
  <c r="B696" i="1" a="1"/>
  <c r="B696" i="1" s="1"/>
  <c r="N695" i="1" a="1"/>
  <c r="N695" i="1" s="1"/>
  <c r="M695" i="1" a="1"/>
  <c r="M695" i="1" s="1"/>
  <c r="L695" i="1" a="1"/>
  <c r="L695" i="1" s="1"/>
  <c r="K695" i="1" a="1"/>
  <c r="K695" i="1" s="1"/>
  <c r="J695" i="1" a="1"/>
  <c r="J695" i="1" s="1"/>
  <c r="I695" i="1" a="1"/>
  <c r="I695" i="1" s="1"/>
  <c r="H695" i="1" a="1"/>
  <c r="H695" i="1" s="1"/>
  <c r="G695" i="1"/>
  <c r="G695" i="1" a="1"/>
  <c r="F695" i="1"/>
  <c r="F695" i="1" a="1"/>
  <c r="E695" i="1"/>
  <c r="E695" i="1" a="1"/>
  <c r="D695" i="1"/>
  <c r="D695" i="1" a="1"/>
  <c r="C695" i="1"/>
  <c r="C695" i="1" a="1"/>
  <c r="B695" i="1"/>
  <c r="B695" i="1" a="1"/>
  <c r="N694" i="1"/>
  <c r="N694" i="1" a="1"/>
  <c r="M694" i="1"/>
  <c r="M694" i="1" a="1"/>
  <c r="L694" i="1"/>
  <c r="L694" i="1" a="1"/>
  <c r="K694" i="1"/>
  <c r="K694" i="1" a="1"/>
  <c r="J694" i="1"/>
  <c r="J694" i="1" a="1"/>
  <c r="I694" i="1"/>
  <c r="I694" i="1" a="1"/>
  <c r="H694" i="1"/>
  <c r="H694" i="1" a="1"/>
  <c r="G694" i="1"/>
  <c r="G694" i="1" a="1"/>
  <c r="F694" i="1"/>
  <c r="F694" i="1" a="1"/>
  <c r="E694" i="1"/>
  <c r="E694" i="1" a="1"/>
  <c r="D694" i="1"/>
  <c r="D694" i="1" a="1"/>
  <c r="C694" i="1"/>
  <c r="C694" i="1" a="1"/>
  <c r="B694" i="1"/>
  <c r="B694" i="1" a="1"/>
  <c r="N693" i="1"/>
  <c r="N693" i="1" a="1"/>
  <c r="M693" i="1"/>
  <c r="M693" i="1" a="1"/>
  <c r="L693" i="1"/>
  <c r="L693" i="1" a="1"/>
  <c r="K693" i="1"/>
  <c r="K693" i="1" a="1"/>
  <c r="J693" i="1"/>
  <c r="J693" i="1" a="1"/>
  <c r="I693" i="1"/>
  <c r="I693" i="1" a="1"/>
  <c r="H693" i="1"/>
  <c r="H693" i="1" a="1"/>
  <c r="G693" i="1"/>
  <c r="G693" i="1" a="1"/>
  <c r="F693" i="1"/>
  <c r="F693" i="1" a="1"/>
  <c r="E693" i="1"/>
  <c r="E693" i="1" a="1"/>
  <c r="D693" i="1"/>
  <c r="D693" i="1" a="1"/>
  <c r="C693" i="1"/>
  <c r="C693" i="1" a="1"/>
  <c r="B693" i="1"/>
  <c r="B693" i="1" a="1"/>
  <c r="N692" i="1"/>
  <c r="N692" i="1" a="1"/>
  <c r="M692" i="1"/>
  <c r="M692" i="1" a="1"/>
  <c r="L692" i="1"/>
  <c r="L692" i="1" a="1"/>
  <c r="K692" i="1"/>
  <c r="K692" i="1" a="1"/>
  <c r="J692" i="1"/>
  <c r="J692" i="1" a="1"/>
  <c r="I692" i="1"/>
  <c r="I692" i="1" a="1"/>
  <c r="H692" i="1"/>
  <c r="H692" i="1" a="1"/>
  <c r="G692" i="1"/>
  <c r="G692" i="1" a="1"/>
  <c r="F692" i="1"/>
  <c r="F692" i="1" a="1"/>
  <c r="E692" i="1"/>
  <c r="E692" i="1" a="1"/>
  <c r="D692" i="1"/>
  <c r="D692" i="1" a="1"/>
  <c r="C692" i="1"/>
  <c r="C692" i="1" a="1"/>
  <c r="B692" i="1"/>
  <c r="B692" i="1" a="1"/>
  <c r="N691" i="1"/>
  <c r="N691" i="1" a="1"/>
  <c r="M691" i="1"/>
  <c r="M691" i="1" a="1"/>
  <c r="L691" i="1"/>
  <c r="L691" i="1" a="1"/>
  <c r="K691" i="1" a="1"/>
  <c r="K691" i="1" s="1"/>
  <c r="J691" i="1"/>
  <c r="J691" i="1" a="1"/>
  <c r="I691" i="1" a="1"/>
  <c r="I691" i="1" s="1"/>
  <c r="H691" i="1" a="1"/>
  <c r="H691" i="1" s="1"/>
  <c r="G691" i="1" a="1"/>
  <c r="G691" i="1" s="1"/>
  <c r="F691" i="1" a="1"/>
  <c r="F691" i="1" s="1"/>
  <c r="E691" i="1" a="1"/>
  <c r="E691" i="1" s="1"/>
  <c r="D691" i="1" a="1"/>
  <c r="D691" i="1" s="1"/>
  <c r="C691" i="1" a="1"/>
  <c r="C691" i="1" s="1"/>
  <c r="B691" i="1" a="1"/>
  <c r="B691" i="1" s="1"/>
  <c r="N690" i="1" a="1"/>
  <c r="N690" i="1" s="1"/>
  <c r="M690" i="1" a="1"/>
  <c r="M690" i="1" s="1"/>
  <c r="L690" i="1" a="1"/>
  <c r="L690" i="1" s="1"/>
  <c r="K690" i="1" a="1"/>
  <c r="K690" i="1" s="1"/>
  <c r="J690" i="1" a="1"/>
  <c r="J690" i="1" s="1"/>
  <c r="I690" i="1" a="1"/>
  <c r="I690" i="1" s="1"/>
  <c r="H690" i="1" a="1"/>
  <c r="H690" i="1" s="1"/>
  <c r="G690" i="1" a="1"/>
  <c r="G690" i="1" s="1"/>
  <c r="F690" i="1" a="1"/>
  <c r="F690" i="1" s="1"/>
  <c r="E690" i="1" a="1"/>
  <c r="E690" i="1" s="1"/>
  <c r="D690" i="1" a="1"/>
  <c r="D690" i="1" s="1"/>
  <c r="C690" i="1" a="1"/>
  <c r="C690" i="1" s="1"/>
  <c r="B690" i="1" a="1"/>
  <c r="B690" i="1" s="1"/>
  <c r="N689" i="1" a="1"/>
  <c r="N689" i="1" s="1"/>
  <c r="M689" i="1" a="1"/>
  <c r="M689" i="1" s="1"/>
  <c r="L689" i="1" a="1"/>
  <c r="L689" i="1" s="1"/>
  <c r="K689" i="1" a="1"/>
  <c r="K689" i="1" s="1"/>
  <c r="J689" i="1" a="1"/>
  <c r="J689" i="1" s="1"/>
  <c r="I689" i="1" a="1"/>
  <c r="I689" i="1" s="1"/>
  <c r="H689" i="1" a="1"/>
  <c r="H689" i="1" s="1"/>
  <c r="G689" i="1" a="1"/>
  <c r="G689" i="1" s="1"/>
  <c r="F689" i="1" a="1"/>
  <c r="F689" i="1" s="1"/>
  <c r="E689" i="1" a="1"/>
  <c r="E689" i="1" s="1"/>
  <c r="D689" i="1" a="1"/>
  <c r="D689" i="1" s="1"/>
  <c r="C689" i="1" a="1"/>
  <c r="C689" i="1" s="1"/>
  <c r="B689" i="1" a="1"/>
  <c r="B689" i="1" s="1"/>
  <c r="N688" i="1" a="1"/>
  <c r="N688" i="1" s="1"/>
  <c r="M688" i="1" a="1"/>
  <c r="M688" i="1" s="1"/>
  <c r="L688" i="1" a="1"/>
  <c r="L688" i="1" s="1"/>
  <c r="K688" i="1" a="1"/>
  <c r="K688" i="1" s="1"/>
  <c r="J688" i="1" a="1"/>
  <c r="J688" i="1" s="1"/>
  <c r="I688" i="1" a="1"/>
  <c r="I688" i="1" s="1"/>
  <c r="H688" i="1" a="1"/>
  <c r="H688" i="1" s="1"/>
  <c r="G688" i="1" a="1"/>
  <c r="G688" i="1" s="1"/>
  <c r="F688" i="1" a="1"/>
  <c r="F688" i="1" s="1"/>
  <c r="E688" i="1" a="1"/>
  <c r="E688" i="1" s="1"/>
  <c r="D688" i="1" a="1"/>
  <c r="D688" i="1" s="1"/>
  <c r="C688" i="1" a="1"/>
  <c r="C688" i="1" s="1"/>
  <c r="B688" i="1" a="1"/>
  <c r="B688" i="1" s="1"/>
  <c r="N687" i="1" a="1"/>
  <c r="N687" i="1" s="1"/>
  <c r="M687" i="1" a="1"/>
  <c r="M687" i="1" s="1"/>
  <c r="L687" i="1" a="1"/>
  <c r="L687" i="1" s="1"/>
  <c r="K687" i="1" a="1"/>
  <c r="K687" i="1" s="1"/>
  <c r="J687" i="1" a="1"/>
  <c r="J687" i="1" s="1"/>
  <c r="I687" i="1" a="1"/>
  <c r="I687" i="1" s="1"/>
  <c r="H687" i="1" a="1"/>
  <c r="H687" i="1" s="1"/>
  <c r="G687" i="1" a="1"/>
  <c r="G687" i="1" s="1"/>
  <c r="F687" i="1" a="1"/>
  <c r="F687" i="1" s="1"/>
  <c r="E687" i="1" a="1"/>
  <c r="E687" i="1" s="1"/>
  <c r="D687" i="1" a="1"/>
  <c r="D687" i="1" s="1"/>
  <c r="C687" i="1" a="1"/>
  <c r="C687" i="1" s="1"/>
  <c r="B687" i="1" a="1"/>
  <c r="B687" i="1" s="1"/>
  <c r="N686" i="1" a="1"/>
  <c r="N686" i="1" s="1"/>
  <c r="M686" i="1" a="1"/>
  <c r="M686" i="1" s="1"/>
  <c r="L686" i="1" a="1"/>
  <c r="L686" i="1" s="1"/>
  <c r="K686" i="1" a="1"/>
  <c r="K686" i="1" s="1"/>
  <c r="J686" i="1" a="1"/>
  <c r="J686" i="1" s="1"/>
  <c r="I686" i="1" a="1"/>
  <c r="I686" i="1" s="1"/>
  <c r="H686" i="1" a="1"/>
  <c r="H686" i="1" s="1"/>
  <c r="G686" i="1" a="1"/>
  <c r="G686" i="1" s="1"/>
  <c r="F686" i="1" a="1"/>
  <c r="F686" i="1" s="1"/>
  <c r="E686" i="1" a="1"/>
  <c r="E686" i="1" s="1"/>
  <c r="D686" i="1" a="1"/>
  <c r="D686" i="1" s="1"/>
  <c r="C686" i="1" a="1"/>
  <c r="C686" i="1" s="1"/>
  <c r="B686" i="1" a="1"/>
  <c r="B686" i="1" s="1"/>
  <c r="N685" i="1" a="1"/>
  <c r="N685" i="1" s="1"/>
  <c r="M685" i="1" a="1"/>
  <c r="M685" i="1" s="1"/>
  <c r="L685" i="1" a="1"/>
  <c r="L685" i="1" s="1"/>
  <c r="K685" i="1" a="1"/>
  <c r="K685" i="1" s="1"/>
  <c r="J685" i="1" a="1"/>
  <c r="J685" i="1" s="1"/>
  <c r="I685" i="1" a="1"/>
  <c r="I685" i="1" s="1"/>
  <c r="H685" i="1" a="1"/>
  <c r="H685" i="1" s="1"/>
  <c r="G685" i="1" a="1"/>
  <c r="G685" i="1" s="1"/>
  <c r="F685" i="1" a="1"/>
  <c r="F685" i="1" s="1"/>
  <c r="E685" i="1" a="1"/>
  <c r="E685" i="1" s="1"/>
  <c r="D685" i="1" a="1"/>
  <c r="D685" i="1" s="1"/>
  <c r="C685" i="1" a="1"/>
  <c r="C685" i="1" s="1"/>
  <c r="B685" i="1" a="1"/>
  <c r="B685" i="1" s="1"/>
  <c r="N684" i="1" a="1"/>
  <c r="N684" i="1" s="1"/>
  <c r="M684" i="1" a="1"/>
  <c r="M684" i="1" s="1"/>
  <c r="L684" i="1" a="1"/>
  <c r="L684" i="1" s="1"/>
  <c r="K684" i="1" a="1"/>
  <c r="K684" i="1" s="1"/>
  <c r="J684" i="1" a="1"/>
  <c r="J684" i="1" s="1"/>
  <c r="I684" i="1" a="1"/>
  <c r="I684" i="1" s="1"/>
  <c r="H684" i="1" a="1"/>
  <c r="H684" i="1" s="1"/>
  <c r="G684" i="1" a="1"/>
  <c r="G684" i="1" s="1"/>
  <c r="F684" i="1" a="1"/>
  <c r="F684" i="1" s="1"/>
  <c r="E684" i="1" a="1"/>
  <c r="E684" i="1" s="1"/>
  <c r="D684" i="1" a="1"/>
  <c r="D684" i="1" s="1"/>
  <c r="C684" i="1" a="1"/>
  <c r="C684" i="1" s="1"/>
  <c r="B684" i="1" a="1"/>
  <c r="B684" i="1" s="1"/>
  <c r="N683" i="1" a="1"/>
  <c r="N683" i="1" s="1"/>
  <c r="M683" i="1" a="1"/>
  <c r="M683" i="1" s="1"/>
  <c r="L683" i="1" a="1"/>
  <c r="L683" i="1" s="1"/>
  <c r="K683" i="1" a="1"/>
  <c r="K683" i="1" s="1"/>
  <c r="J683" i="1" a="1"/>
  <c r="J683" i="1" s="1"/>
  <c r="I683" i="1" a="1"/>
  <c r="I683" i="1" s="1"/>
  <c r="H683" i="1" a="1"/>
  <c r="H683" i="1" s="1"/>
  <c r="G683" i="1" a="1"/>
  <c r="G683" i="1" s="1"/>
  <c r="F683" i="1" a="1"/>
  <c r="F683" i="1" s="1"/>
  <c r="E683" i="1" a="1"/>
  <c r="E683" i="1" s="1"/>
  <c r="D683" i="1" a="1"/>
  <c r="D683" i="1" s="1"/>
  <c r="C683" i="1" a="1"/>
  <c r="C683" i="1" s="1"/>
  <c r="B683" i="1" a="1"/>
  <c r="B683" i="1" s="1"/>
  <c r="N682" i="1" a="1"/>
  <c r="N682" i="1" s="1"/>
  <c r="M682" i="1" a="1"/>
  <c r="M682" i="1" s="1"/>
  <c r="L682" i="1" a="1"/>
  <c r="L682" i="1" s="1"/>
  <c r="K682" i="1" a="1"/>
  <c r="K682" i="1" s="1"/>
  <c r="J682" i="1" a="1"/>
  <c r="J682" i="1" s="1"/>
  <c r="I682" i="1" a="1"/>
  <c r="I682" i="1" s="1"/>
  <c r="H682" i="1" a="1"/>
  <c r="H682" i="1" s="1"/>
  <c r="G682" i="1" a="1"/>
  <c r="G682" i="1" s="1"/>
  <c r="F682" i="1" a="1"/>
  <c r="F682" i="1" s="1"/>
  <c r="E682" i="1" a="1"/>
  <c r="E682" i="1" s="1"/>
  <c r="D682" i="1" a="1"/>
  <c r="D682" i="1" s="1"/>
  <c r="C682" i="1" a="1"/>
  <c r="C682" i="1" s="1"/>
  <c r="B682" i="1" a="1"/>
  <c r="B682" i="1" s="1"/>
  <c r="N681" i="1" a="1"/>
  <c r="N681" i="1" s="1"/>
  <c r="M681" i="1" a="1"/>
  <c r="M681" i="1" s="1"/>
  <c r="L681" i="1" a="1"/>
  <c r="L681" i="1" s="1"/>
  <c r="K681" i="1" a="1"/>
  <c r="K681" i="1" s="1"/>
  <c r="J681" i="1" a="1"/>
  <c r="J681" i="1" s="1"/>
  <c r="I681" i="1" a="1"/>
  <c r="I681" i="1" s="1"/>
  <c r="H681" i="1" a="1"/>
  <c r="H681" i="1" s="1"/>
  <c r="G681" i="1" a="1"/>
  <c r="G681" i="1" s="1"/>
  <c r="F681" i="1" a="1"/>
  <c r="F681" i="1" s="1"/>
  <c r="E681" i="1" a="1"/>
  <c r="E681" i="1" s="1"/>
  <c r="D681" i="1" a="1"/>
  <c r="D681" i="1" s="1"/>
  <c r="C681" i="1" a="1"/>
  <c r="C681" i="1" s="1"/>
  <c r="B681" i="1" a="1"/>
  <c r="B681" i="1" s="1"/>
  <c r="N680" i="1" a="1"/>
  <c r="N680" i="1" s="1"/>
  <c r="M680" i="1" a="1"/>
  <c r="M680" i="1" s="1"/>
  <c r="L680" i="1" a="1"/>
  <c r="L680" i="1" s="1"/>
  <c r="K680" i="1" a="1"/>
  <c r="K680" i="1" s="1"/>
  <c r="J680" i="1" a="1"/>
  <c r="J680" i="1" s="1"/>
  <c r="I680" i="1" a="1"/>
  <c r="I680" i="1" s="1"/>
  <c r="H680" i="1" a="1"/>
  <c r="H680" i="1" s="1"/>
  <c r="G680" i="1" a="1"/>
  <c r="G680" i="1" s="1"/>
  <c r="F680" i="1" a="1"/>
  <c r="F680" i="1" s="1"/>
  <c r="E680" i="1" a="1"/>
  <c r="E680" i="1" s="1"/>
  <c r="D680" i="1" a="1"/>
  <c r="D680" i="1" s="1"/>
  <c r="C680" i="1" a="1"/>
  <c r="C680" i="1" s="1"/>
  <c r="B680" i="1" a="1"/>
  <c r="B680" i="1" s="1"/>
  <c r="N679" i="1" a="1"/>
  <c r="N679" i="1" s="1"/>
  <c r="M679" i="1" a="1"/>
  <c r="M679" i="1" s="1"/>
  <c r="L679" i="1" a="1"/>
  <c r="L679" i="1" s="1"/>
  <c r="K679" i="1" a="1"/>
  <c r="K679" i="1" s="1"/>
  <c r="J679" i="1" a="1"/>
  <c r="J679" i="1" s="1"/>
  <c r="I679" i="1" a="1"/>
  <c r="I679" i="1" s="1"/>
  <c r="H679" i="1" a="1"/>
  <c r="H679" i="1" s="1"/>
  <c r="G679" i="1" a="1"/>
  <c r="G679" i="1" s="1"/>
  <c r="F679" i="1" a="1"/>
  <c r="F679" i="1" s="1"/>
  <c r="E679" i="1" a="1"/>
  <c r="E679" i="1" s="1"/>
  <c r="D679" i="1" a="1"/>
  <c r="D679" i="1" s="1"/>
  <c r="C679" i="1" a="1"/>
  <c r="C679" i="1" s="1"/>
  <c r="B679" i="1" a="1"/>
  <c r="B679" i="1" s="1"/>
  <c r="N678" i="1" a="1"/>
  <c r="N678" i="1" s="1"/>
  <c r="M678" i="1" a="1"/>
  <c r="M678" i="1" s="1"/>
  <c r="L678" i="1" a="1"/>
  <c r="L678" i="1" s="1"/>
  <c r="K678" i="1" a="1"/>
  <c r="K678" i="1" s="1"/>
  <c r="J678" i="1" a="1"/>
  <c r="J678" i="1" s="1"/>
  <c r="I678" i="1" a="1"/>
  <c r="I678" i="1" s="1"/>
  <c r="H678" i="1" a="1"/>
  <c r="H678" i="1" s="1"/>
  <c r="G678" i="1" a="1"/>
  <c r="G678" i="1" s="1"/>
  <c r="F678" i="1" a="1"/>
  <c r="F678" i="1" s="1"/>
  <c r="E678" i="1" a="1"/>
  <c r="E678" i="1" s="1"/>
  <c r="D678" i="1" a="1"/>
  <c r="D678" i="1" s="1"/>
  <c r="C678" i="1" a="1"/>
  <c r="C678" i="1" s="1"/>
  <c r="B678" i="1" a="1"/>
  <c r="B678" i="1" s="1"/>
  <c r="N677" i="1" a="1"/>
  <c r="N677" i="1" s="1"/>
  <c r="M677" i="1" a="1"/>
  <c r="M677" i="1" s="1"/>
  <c r="L677" i="1" a="1"/>
  <c r="L677" i="1" s="1"/>
  <c r="K677" i="1" a="1"/>
  <c r="K677" i="1" s="1"/>
  <c r="J677" i="1" a="1"/>
  <c r="J677" i="1" s="1"/>
  <c r="I677" i="1" a="1"/>
  <c r="I677" i="1" s="1"/>
  <c r="H677" i="1" a="1"/>
  <c r="H677" i="1" s="1"/>
  <c r="G677" i="1" a="1"/>
  <c r="G677" i="1" s="1"/>
  <c r="F677" i="1" a="1"/>
  <c r="F677" i="1" s="1"/>
  <c r="E677" i="1" a="1"/>
  <c r="E677" i="1" s="1"/>
  <c r="D677" i="1" a="1"/>
  <c r="D677" i="1" s="1"/>
  <c r="C677" i="1" a="1"/>
  <c r="C677" i="1" s="1"/>
  <c r="B677" i="1" a="1"/>
  <c r="B677" i="1" s="1"/>
  <c r="N676" i="1" a="1"/>
  <c r="N676" i="1" s="1"/>
  <c r="M676" i="1" a="1"/>
  <c r="M676" i="1" s="1"/>
  <c r="L676" i="1" a="1"/>
  <c r="L676" i="1" s="1"/>
  <c r="K676" i="1" a="1"/>
  <c r="K676" i="1" s="1"/>
  <c r="J676" i="1" a="1"/>
  <c r="J676" i="1" s="1"/>
  <c r="I676" i="1" a="1"/>
  <c r="I676" i="1" s="1"/>
  <c r="H676" i="1" a="1"/>
  <c r="H676" i="1" s="1"/>
  <c r="G676" i="1" a="1"/>
  <c r="G676" i="1" s="1"/>
  <c r="F676" i="1" a="1"/>
  <c r="F676" i="1" s="1"/>
  <c r="E676" i="1" a="1"/>
  <c r="E676" i="1" s="1"/>
  <c r="D676" i="1" a="1"/>
  <c r="D676" i="1" s="1"/>
  <c r="C676" i="1" a="1"/>
  <c r="C676" i="1" s="1"/>
  <c r="B676" i="1" a="1"/>
  <c r="B676" i="1" s="1"/>
  <c r="N675" i="1" a="1"/>
  <c r="N675" i="1" s="1"/>
  <c r="M675" i="1" a="1"/>
  <c r="M675" i="1" s="1"/>
  <c r="L675" i="1" a="1"/>
  <c r="L675" i="1" s="1"/>
  <c r="K675" i="1" a="1"/>
  <c r="K675" i="1" s="1"/>
  <c r="J675" i="1" a="1"/>
  <c r="J675" i="1" s="1"/>
  <c r="I675" i="1" a="1"/>
  <c r="I675" i="1" s="1"/>
  <c r="H675" i="1" a="1"/>
  <c r="H675" i="1" s="1"/>
  <c r="G675" i="1" a="1"/>
  <c r="G675" i="1" s="1"/>
  <c r="F675" i="1" a="1"/>
  <c r="F675" i="1" s="1"/>
  <c r="E675" i="1" a="1"/>
  <c r="E675" i="1" s="1"/>
  <c r="D675" i="1" a="1"/>
  <c r="D675" i="1" s="1"/>
  <c r="C675" i="1" a="1"/>
  <c r="C675" i="1" s="1"/>
  <c r="B675" i="1" a="1"/>
  <c r="B675" i="1" s="1"/>
  <c r="N674" i="1" a="1"/>
  <c r="N674" i="1" s="1"/>
  <c r="M674" i="1" a="1"/>
  <c r="M674" i="1" s="1"/>
  <c r="L674" i="1" a="1"/>
  <c r="L674" i="1" s="1"/>
  <c r="K674" i="1" a="1"/>
  <c r="K674" i="1" s="1"/>
  <c r="J674" i="1" a="1"/>
  <c r="J674" i="1" s="1"/>
  <c r="I674" i="1" a="1"/>
  <c r="I674" i="1" s="1"/>
  <c r="H674" i="1" a="1"/>
  <c r="H674" i="1" s="1"/>
  <c r="G674" i="1" a="1"/>
  <c r="G674" i="1" s="1"/>
  <c r="F674" i="1" a="1"/>
  <c r="F674" i="1" s="1"/>
  <c r="E674" i="1" a="1"/>
  <c r="E674" i="1" s="1"/>
  <c r="D674" i="1" a="1"/>
  <c r="D674" i="1" s="1"/>
  <c r="C674" i="1" a="1"/>
  <c r="C674" i="1" s="1"/>
  <c r="B674" i="1" a="1"/>
  <c r="B674" i="1" s="1"/>
  <c r="N673" i="1" a="1"/>
  <c r="N673" i="1" s="1"/>
  <c r="M673" i="1" a="1"/>
  <c r="M673" i="1" s="1"/>
  <c r="L673" i="1" a="1"/>
  <c r="L673" i="1" s="1"/>
  <c r="K673" i="1" a="1"/>
  <c r="K673" i="1" s="1"/>
  <c r="J673" i="1" a="1"/>
  <c r="J673" i="1" s="1"/>
  <c r="I673" i="1" a="1"/>
  <c r="I673" i="1" s="1"/>
  <c r="H673" i="1" a="1"/>
  <c r="H673" i="1" s="1"/>
  <c r="G673" i="1" a="1"/>
  <c r="G673" i="1" s="1"/>
  <c r="F673" i="1" a="1"/>
  <c r="F673" i="1" s="1"/>
  <c r="E673" i="1" a="1"/>
  <c r="E673" i="1" s="1"/>
  <c r="D673" i="1" a="1"/>
  <c r="D673" i="1" s="1"/>
  <c r="C673" i="1" a="1"/>
  <c r="C673" i="1" s="1"/>
  <c r="B673" i="1" a="1"/>
  <c r="B673" i="1" s="1"/>
  <c r="N672" i="1" a="1"/>
  <c r="N672" i="1" s="1"/>
  <c r="M672" i="1" a="1"/>
  <c r="M672" i="1" s="1"/>
  <c r="L672" i="1" a="1"/>
  <c r="L672" i="1" s="1"/>
  <c r="K672" i="1" a="1"/>
  <c r="K672" i="1" s="1"/>
  <c r="J672" i="1" a="1"/>
  <c r="J672" i="1" s="1"/>
  <c r="I672" i="1" a="1"/>
  <c r="I672" i="1" s="1"/>
  <c r="H672" i="1" a="1"/>
  <c r="H672" i="1" s="1"/>
  <c r="G672" i="1" a="1"/>
  <c r="G672" i="1" s="1"/>
  <c r="F672" i="1" a="1"/>
  <c r="F672" i="1" s="1"/>
  <c r="E672" i="1" a="1"/>
  <c r="E672" i="1" s="1"/>
  <c r="D672" i="1" a="1"/>
  <c r="D672" i="1" s="1"/>
  <c r="C672" i="1" a="1"/>
  <c r="C672" i="1" s="1"/>
  <c r="B672" i="1"/>
  <c r="B672" i="1" a="1"/>
  <c r="N671" i="1"/>
  <c r="N671" i="1" a="1"/>
  <c r="M671" i="1"/>
  <c r="M671" i="1" a="1"/>
  <c r="L671" i="1"/>
  <c r="L671" i="1" a="1"/>
  <c r="K671" i="1"/>
  <c r="K671" i="1" a="1"/>
  <c r="J671" i="1"/>
  <c r="J671" i="1" a="1"/>
  <c r="I671" i="1"/>
  <c r="I671" i="1" a="1"/>
  <c r="H671" i="1"/>
  <c r="H671" i="1" a="1"/>
  <c r="G671" i="1"/>
  <c r="G671" i="1" a="1"/>
  <c r="F671" i="1"/>
  <c r="F671" i="1" a="1"/>
  <c r="E671" i="1"/>
  <c r="E671" i="1" a="1"/>
  <c r="D671" i="1"/>
  <c r="D671" i="1" a="1"/>
  <c r="C671" i="1"/>
  <c r="C671" i="1" a="1"/>
  <c r="B671" i="1"/>
  <c r="B671" i="1" a="1"/>
  <c r="N670" i="1" a="1"/>
  <c r="N670" i="1" s="1"/>
  <c r="M670" i="1" a="1"/>
  <c r="M670" i="1" s="1"/>
  <c r="L670" i="1" a="1"/>
  <c r="L670" i="1" s="1"/>
  <c r="K670" i="1" a="1"/>
  <c r="K670" i="1" s="1"/>
  <c r="J670" i="1" a="1"/>
  <c r="J670" i="1" s="1"/>
  <c r="I670" i="1" a="1"/>
  <c r="I670" i="1" s="1"/>
  <c r="H670" i="1" a="1"/>
  <c r="H670" i="1" s="1"/>
  <c r="G670" i="1" a="1"/>
  <c r="G670" i="1" s="1"/>
  <c r="F670" i="1" a="1"/>
  <c r="F670" i="1" s="1"/>
  <c r="E670" i="1" a="1"/>
  <c r="E670" i="1" s="1"/>
  <c r="D670" i="1" a="1"/>
  <c r="D670" i="1" s="1"/>
  <c r="C670" i="1" a="1"/>
  <c r="C670" i="1" s="1"/>
  <c r="B670" i="1" a="1"/>
  <c r="B670" i="1" s="1"/>
  <c r="N669" i="1" a="1"/>
  <c r="N669" i="1" s="1"/>
  <c r="M669" i="1" a="1"/>
  <c r="M669" i="1" s="1"/>
  <c r="L669" i="1" a="1"/>
  <c r="L669" i="1" s="1"/>
  <c r="K669" i="1" a="1"/>
  <c r="K669" i="1" s="1"/>
  <c r="J669" i="1" a="1"/>
  <c r="J669" i="1" s="1"/>
  <c r="I669" i="1" a="1"/>
  <c r="I669" i="1" s="1"/>
  <c r="H669" i="1" a="1"/>
  <c r="H669" i="1" s="1"/>
  <c r="G669" i="1" a="1"/>
  <c r="G669" i="1" s="1"/>
  <c r="F669" i="1" a="1"/>
  <c r="F669" i="1" s="1"/>
  <c r="E669" i="1" a="1"/>
  <c r="E669" i="1" s="1"/>
  <c r="D669" i="1" a="1"/>
  <c r="D669" i="1" s="1"/>
  <c r="C669" i="1" a="1"/>
  <c r="C669" i="1" s="1"/>
  <c r="B669" i="1" a="1"/>
  <c r="B669" i="1" s="1"/>
  <c r="N668" i="1" a="1"/>
  <c r="N668" i="1" s="1"/>
  <c r="M668" i="1" a="1"/>
  <c r="M668" i="1" s="1"/>
  <c r="L668" i="1" a="1"/>
  <c r="L668" i="1" s="1"/>
  <c r="K668" i="1" a="1"/>
  <c r="K668" i="1" s="1"/>
  <c r="J668" i="1" a="1"/>
  <c r="J668" i="1" s="1"/>
  <c r="I668" i="1" a="1"/>
  <c r="I668" i="1" s="1"/>
  <c r="H668" i="1" a="1"/>
  <c r="H668" i="1" s="1"/>
  <c r="G668" i="1" a="1"/>
  <c r="G668" i="1" s="1"/>
  <c r="F668" i="1" a="1"/>
  <c r="F668" i="1" s="1"/>
  <c r="E668" i="1" a="1"/>
  <c r="E668" i="1" s="1"/>
  <c r="D668" i="1" a="1"/>
  <c r="D668" i="1" s="1"/>
  <c r="C668" i="1" a="1"/>
  <c r="C668" i="1" s="1"/>
  <c r="B668" i="1" a="1"/>
  <c r="B668" i="1" s="1"/>
  <c r="N667" i="1" a="1"/>
  <c r="N667" i="1" s="1"/>
  <c r="M667" i="1" a="1"/>
  <c r="M667" i="1" s="1"/>
  <c r="L667" i="1" a="1"/>
  <c r="L667" i="1" s="1"/>
  <c r="K667" i="1" a="1"/>
  <c r="K667" i="1" s="1"/>
  <c r="J667" i="1" a="1"/>
  <c r="J667" i="1" s="1"/>
  <c r="I667" i="1" a="1"/>
  <c r="I667" i="1" s="1"/>
  <c r="H667" i="1" a="1"/>
  <c r="H667" i="1" s="1"/>
  <c r="G667" i="1" a="1"/>
  <c r="G667" i="1" s="1"/>
  <c r="F667" i="1" a="1"/>
  <c r="F667" i="1" s="1"/>
  <c r="E667" i="1" a="1"/>
  <c r="E667" i="1" s="1"/>
  <c r="D667" i="1" a="1"/>
  <c r="D667" i="1" s="1"/>
  <c r="C667" i="1" a="1"/>
  <c r="C667" i="1" s="1"/>
  <c r="B667" i="1" a="1"/>
  <c r="B667" i="1" s="1"/>
  <c r="N666" i="1" a="1"/>
  <c r="N666" i="1" s="1"/>
  <c r="M666" i="1" a="1"/>
  <c r="M666" i="1" s="1"/>
  <c r="L666" i="1" a="1"/>
  <c r="L666" i="1" s="1"/>
  <c r="K666" i="1" a="1"/>
  <c r="K666" i="1" s="1"/>
  <c r="J666" i="1" a="1"/>
  <c r="J666" i="1" s="1"/>
  <c r="I666" i="1" a="1"/>
  <c r="I666" i="1" s="1"/>
  <c r="H666" i="1" a="1"/>
  <c r="H666" i="1" s="1"/>
  <c r="G666" i="1" a="1"/>
  <c r="G666" i="1" s="1"/>
  <c r="F666" i="1" a="1"/>
  <c r="F666" i="1" s="1"/>
  <c r="E666" i="1" a="1"/>
  <c r="E666" i="1" s="1"/>
  <c r="D666" i="1" a="1"/>
  <c r="D666" i="1" s="1"/>
  <c r="C666" i="1" a="1"/>
  <c r="C666" i="1" s="1"/>
  <c r="B666" i="1" a="1"/>
  <c r="B666" i="1" s="1"/>
  <c r="N665" i="1" a="1"/>
  <c r="N665" i="1" s="1"/>
  <c r="M665" i="1" a="1"/>
  <c r="M665" i="1" s="1"/>
  <c r="L665" i="1" a="1"/>
  <c r="L665" i="1" s="1"/>
  <c r="K665" i="1" a="1"/>
  <c r="K665" i="1" s="1"/>
  <c r="J665" i="1" a="1"/>
  <c r="J665" i="1" s="1"/>
  <c r="I665" i="1" a="1"/>
  <c r="I665" i="1" s="1"/>
  <c r="H665" i="1" a="1"/>
  <c r="H665" i="1" s="1"/>
  <c r="G665" i="1" a="1"/>
  <c r="G665" i="1" s="1"/>
  <c r="F665" i="1" a="1"/>
  <c r="F665" i="1" s="1"/>
  <c r="E665" i="1" a="1"/>
  <c r="E665" i="1" s="1"/>
  <c r="D665" i="1" a="1"/>
  <c r="D665" i="1" s="1"/>
  <c r="C665" i="1" a="1"/>
  <c r="C665" i="1" s="1"/>
  <c r="B665" i="1" a="1"/>
  <c r="B665" i="1" s="1"/>
  <c r="N664" i="1" a="1"/>
  <c r="N664" i="1" s="1"/>
  <c r="M664" i="1" a="1"/>
  <c r="M664" i="1" s="1"/>
  <c r="L664" i="1" a="1"/>
  <c r="L664" i="1" s="1"/>
  <c r="K664" i="1" a="1"/>
  <c r="K664" i="1" s="1"/>
  <c r="J664" i="1" a="1"/>
  <c r="J664" i="1" s="1"/>
  <c r="I664" i="1" a="1"/>
  <c r="I664" i="1" s="1"/>
  <c r="H664" i="1" a="1"/>
  <c r="H664" i="1" s="1"/>
  <c r="G664" i="1" a="1"/>
  <c r="G664" i="1" s="1"/>
  <c r="F664" i="1" a="1"/>
  <c r="F664" i="1" s="1"/>
  <c r="E664" i="1" a="1"/>
  <c r="E664" i="1" s="1"/>
  <c r="D664" i="1" a="1"/>
  <c r="D664" i="1" s="1"/>
  <c r="C664" i="1" a="1"/>
  <c r="C664" i="1" s="1"/>
  <c r="B664" i="1" a="1"/>
  <c r="B664" i="1" s="1"/>
  <c r="N663" i="1" a="1"/>
  <c r="N663" i="1" s="1"/>
  <c r="M663" i="1" a="1"/>
  <c r="M663" i="1" s="1"/>
  <c r="L663" i="1" a="1"/>
  <c r="L663" i="1" s="1"/>
  <c r="K663" i="1" a="1"/>
  <c r="K663" i="1" s="1"/>
  <c r="J663" i="1" a="1"/>
  <c r="J663" i="1" s="1"/>
  <c r="I663" i="1" a="1"/>
  <c r="I663" i="1" s="1"/>
  <c r="H663" i="1" a="1"/>
  <c r="H663" i="1" s="1"/>
  <c r="G663" i="1" a="1"/>
  <c r="G663" i="1" s="1"/>
  <c r="F663" i="1" a="1"/>
  <c r="F663" i="1" s="1"/>
  <c r="E663" i="1" a="1"/>
  <c r="E663" i="1" s="1"/>
  <c r="D663" i="1" a="1"/>
  <c r="D663" i="1" s="1"/>
  <c r="C663" i="1" a="1"/>
  <c r="C663" i="1" s="1"/>
  <c r="B663" i="1" a="1"/>
  <c r="B663" i="1" s="1"/>
  <c r="N662" i="1" a="1"/>
  <c r="N662" i="1" s="1"/>
  <c r="M662" i="1" a="1"/>
  <c r="M662" i="1" s="1"/>
  <c r="L662" i="1" a="1"/>
  <c r="L662" i="1" s="1"/>
  <c r="K662" i="1" a="1"/>
  <c r="K662" i="1" s="1"/>
  <c r="J662" i="1" a="1"/>
  <c r="J662" i="1" s="1"/>
  <c r="I662" i="1" a="1"/>
  <c r="I662" i="1" s="1"/>
  <c r="H662" i="1" a="1"/>
  <c r="H662" i="1" s="1"/>
  <c r="G662" i="1" a="1"/>
  <c r="G662" i="1" s="1"/>
  <c r="F662" i="1" a="1"/>
  <c r="F662" i="1" s="1"/>
  <c r="E662" i="1" a="1"/>
  <c r="E662" i="1" s="1"/>
  <c r="D662" i="1" a="1"/>
  <c r="D662" i="1" s="1"/>
  <c r="C662" i="1" a="1"/>
  <c r="C662" i="1" s="1"/>
  <c r="B662" i="1" a="1"/>
  <c r="B662" i="1" s="1"/>
  <c r="N661" i="1" a="1"/>
  <c r="N661" i="1" s="1"/>
  <c r="M661" i="1" a="1"/>
  <c r="M661" i="1" s="1"/>
  <c r="L661" i="1" a="1"/>
  <c r="L661" i="1" s="1"/>
  <c r="K661" i="1" a="1"/>
  <c r="K661" i="1" s="1"/>
  <c r="J661" i="1" a="1"/>
  <c r="J661" i="1" s="1"/>
  <c r="I661" i="1" a="1"/>
  <c r="I661" i="1" s="1"/>
  <c r="H661" i="1" a="1"/>
  <c r="H661" i="1" s="1"/>
  <c r="G661" i="1" a="1"/>
  <c r="G661" i="1" s="1"/>
  <c r="F661" i="1" a="1"/>
  <c r="F661" i="1" s="1"/>
  <c r="E661" i="1" a="1"/>
  <c r="E661" i="1" s="1"/>
  <c r="D661" i="1" a="1"/>
  <c r="D661" i="1" s="1"/>
  <c r="C661" i="1" a="1"/>
  <c r="C661" i="1" s="1"/>
  <c r="B661" i="1" a="1"/>
  <c r="B661" i="1" s="1"/>
  <c r="N660" i="1" a="1"/>
  <c r="N660" i="1" s="1"/>
  <c r="M660" i="1" a="1"/>
  <c r="M660" i="1" s="1"/>
  <c r="L660" i="1" a="1"/>
  <c r="L660" i="1" s="1"/>
  <c r="K660" i="1" a="1"/>
  <c r="K660" i="1" s="1"/>
  <c r="J660" i="1" a="1"/>
  <c r="J660" i="1" s="1"/>
  <c r="I660" i="1" a="1"/>
  <c r="I660" i="1" s="1"/>
  <c r="H660" i="1" a="1"/>
  <c r="H660" i="1" s="1"/>
  <c r="G660" i="1" a="1"/>
  <c r="G660" i="1" s="1"/>
  <c r="F660" i="1" a="1"/>
  <c r="F660" i="1" s="1"/>
  <c r="E660" i="1" a="1"/>
  <c r="E660" i="1" s="1"/>
  <c r="D660" i="1" a="1"/>
  <c r="D660" i="1" s="1"/>
  <c r="C660" i="1" a="1"/>
  <c r="C660" i="1" s="1"/>
  <c r="B660" i="1" a="1"/>
  <c r="B660" i="1" s="1"/>
  <c r="N659" i="1" a="1"/>
  <c r="N659" i="1" s="1"/>
  <c r="M659" i="1" a="1"/>
  <c r="M659" i="1" s="1"/>
  <c r="L659" i="1" a="1"/>
  <c r="L659" i="1" s="1"/>
  <c r="K659" i="1" a="1"/>
  <c r="K659" i="1" s="1"/>
  <c r="J659" i="1" a="1"/>
  <c r="J659" i="1" s="1"/>
  <c r="I659" i="1" a="1"/>
  <c r="I659" i="1" s="1"/>
  <c r="H659" i="1" a="1"/>
  <c r="H659" i="1" s="1"/>
  <c r="G659" i="1" a="1"/>
  <c r="G659" i="1" s="1"/>
  <c r="F659" i="1" a="1"/>
  <c r="F659" i="1" s="1"/>
  <c r="E659" i="1" a="1"/>
  <c r="E659" i="1" s="1"/>
  <c r="D659" i="1" a="1"/>
  <c r="D659" i="1" s="1"/>
  <c r="C659" i="1" a="1"/>
  <c r="C659" i="1" s="1"/>
  <c r="B659" i="1" a="1"/>
  <c r="B659" i="1" s="1"/>
  <c r="N658" i="1" a="1"/>
  <c r="N658" i="1" s="1"/>
  <c r="M658" i="1" a="1"/>
  <c r="M658" i="1" s="1"/>
  <c r="L658" i="1" a="1"/>
  <c r="L658" i="1" s="1"/>
  <c r="K658" i="1" a="1"/>
  <c r="K658" i="1" s="1"/>
  <c r="J658" i="1" a="1"/>
  <c r="J658" i="1" s="1"/>
  <c r="I658" i="1" a="1"/>
  <c r="I658" i="1" s="1"/>
  <c r="H658" i="1" a="1"/>
  <c r="H658" i="1" s="1"/>
  <c r="G658" i="1" a="1"/>
  <c r="G658" i="1" s="1"/>
  <c r="F658" i="1" a="1"/>
  <c r="F658" i="1" s="1"/>
  <c r="E658" i="1" a="1"/>
  <c r="E658" i="1" s="1"/>
  <c r="D658" i="1" a="1"/>
  <c r="D658" i="1" s="1"/>
  <c r="C658" i="1" a="1"/>
  <c r="C658" i="1" s="1"/>
  <c r="B658" i="1" a="1"/>
  <c r="B658" i="1" s="1"/>
  <c r="N657" i="1" a="1"/>
  <c r="N657" i="1" s="1"/>
  <c r="M657" i="1" a="1"/>
  <c r="M657" i="1" s="1"/>
  <c r="L657" i="1" a="1"/>
  <c r="L657" i="1" s="1"/>
  <c r="K657" i="1" a="1"/>
  <c r="K657" i="1" s="1"/>
  <c r="J657" i="1" a="1"/>
  <c r="J657" i="1" s="1"/>
  <c r="I657" i="1" a="1"/>
  <c r="I657" i="1" s="1"/>
  <c r="H657" i="1" a="1"/>
  <c r="H657" i="1" s="1"/>
  <c r="G657" i="1" a="1"/>
  <c r="G657" i="1" s="1"/>
  <c r="F657" i="1" a="1"/>
  <c r="F657" i="1" s="1"/>
  <c r="E657" i="1" a="1"/>
  <c r="E657" i="1" s="1"/>
  <c r="D657" i="1" a="1"/>
  <c r="D657" i="1" s="1"/>
  <c r="C657" i="1" a="1"/>
  <c r="C657" i="1" s="1"/>
  <c r="B657" i="1" a="1"/>
  <c r="B657" i="1" s="1"/>
  <c r="N656" i="1" a="1"/>
  <c r="N656" i="1" s="1"/>
  <c r="M656" i="1" a="1"/>
  <c r="M656" i="1" s="1"/>
  <c r="L656" i="1" a="1"/>
  <c r="L656" i="1" s="1"/>
  <c r="K656" i="1" a="1"/>
  <c r="K656" i="1" s="1"/>
  <c r="J656" i="1" a="1"/>
  <c r="J656" i="1" s="1"/>
  <c r="I656" i="1" a="1"/>
  <c r="I656" i="1" s="1"/>
  <c r="H656" i="1" a="1"/>
  <c r="H656" i="1" s="1"/>
  <c r="G656" i="1" a="1"/>
  <c r="G656" i="1" s="1"/>
  <c r="F656" i="1" a="1"/>
  <c r="F656" i="1" s="1"/>
  <c r="E656" i="1" a="1"/>
  <c r="E656" i="1" s="1"/>
  <c r="D656" i="1" a="1"/>
  <c r="D656" i="1" s="1"/>
  <c r="C656" i="1" a="1"/>
  <c r="C656" i="1" s="1"/>
  <c r="B656" i="1" a="1"/>
  <c r="B656" i="1" s="1"/>
  <c r="N655" i="1" a="1"/>
  <c r="N655" i="1" s="1"/>
  <c r="M655" i="1" a="1"/>
  <c r="M655" i="1" s="1"/>
  <c r="L655" i="1" a="1"/>
  <c r="L655" i="1" s="1"/>
  <c r="K655" i="1" a="1"/>
  <c r="K655" i="1" s="1"/>
  <c r="J655" i="1" a="1"/>
  <c r="J655" i="1" s="1"/>
  <c r="I655" i="1" a="1"/>
  <c r="I655" i="1" s="1"/>
  <c r="H655" i="1" a="1"/>
  <c r="H655" i="1" s="1"/>
  <c r="G655" i="1" a="1"/>
  <c r="G655" i="1" s="1"/>
  <c r="F655" i="1" a="1"/>
  <c r="F655" i="1" s="1"/>
  <c r="E655" i="1" a="1"/>
  <c r="E655" i="1" s="1"/>
  <c r="D655" i="1" a="1"/>
  <c r="D655" i="1" s="1"/>
  <c r="C655" i="1" a="1"/>
  <c r="C655" i="1" s="1"/>
  <c r="B655" i="1" a="1"/>
  <c r="B655" i="1" s="1"/>
  <c r="N654" i="1" a="1"/>
  <c r="N654" i="1" s="1"/>
  <c r="M654" i="1" a="1"/>
  <c r="M654" i="1" s="1"/>
  <c r="L654" i="1" a="1"/>
  <c r="L654" i="1" s="1"/>
  <c r="K654" i="1" a="1"/>
  <c r="K654" i="1" s="1"/>
  <c r="J654" i="1" a="1"/>
  <c r="J654" i="1" s="1"/>
  <c r="I654" i="1" a="1"/>
  <c r="I654" i="1" s="1"/>
  <c r="H654" i="1" a="1"/>
  <c r="H654" i="1" s="1"/>
  <c r="G654" i="1" a="1"/>
  <c r="G654" i="1" s="1"/>
  <c r="F654" i="1" a="1"/>
  <c r="F654" i="1" s="1"/>
  <c r="E654" i="1" a="1"/>
  <c r="E654" i="1" s="1"/>
  <c r="D654" i="1" a="1"/>
  <c r="D654" i="1" s="1"/>
  <c r="C654" i="1" a="1"/>
  <c r="C654" i="1" s="1"/>
  <c r="B654" i="1" a="1"/>
  <c r="B654" i="1" s="1"/>
  <c r="N653" i="1" a="1"/>
  <c r="N653" i="1" s="1"/>
  <c r="M653" i="1" a="1"/>
  <c r="M653" i="1" s="1"/>
  <c r="L653" i="1" a="1"/>
  <c r="L653" i="1" s="1"/>
  <c r="K653" i="1" a="1"/>
  <c r="K653" i="1" s="1"/>
  <c r="J653" i="1" a="1"/>
  <c r="J653" i="1" s="1"/>
  <c r="I653" i="1" a="1"/>
  <c r="I653" i="1" s="1"/>
  <c r="H653" i="1" a="1"/>
  <c r="H653" i="1" s="1"/>
  <c r="G653" i="1" a="1"/>
  <c r="G653" i="1" s="1"/>
  <c r="F653" i="1" a="1"/>
  <c r="F653" i="1" s="1"/>
  <c r="E653" i="1" a="1"/>
  <c r="E653" i="1" s="1"/>
  <c r="D653" i="1" a="1"/>
  <c r="D653" i="1" s="1"/>
  <c r="C653" i="1" a="1"/>
  <c r="C653" i="1" s="1"/>
  <c r="B653" i="1" a="1"/>
  <c r="B653" i="1" s="1"/>
  <c r="N652" i="1" a="1"/>
  <c r="N652" i="1" s="1"/>
  <c r="M652" i="1" a="1"/>
  <c r="M652" i="1" s="1"/>
  <c r="L652" i="1" a="1"/>
  <c r="L652" i="1" s="1"/>
  <c r="K652" i="1" a="1"/>
  <c r="K652" i="1" s="1"/>
  <c r="J652" i="1" a="1"/>
  <c r="J652" i="1" s="1"/>
  <c r="I652" i="1" a="1"/>
  <c r="I652" i="1" s="1"/>
  <c r="H652" i="1" a="1"/>
  <c r="H652" i="1" s="1"/>
  <c r="G652" i="1" a="1"/>
  <c r="G652" i="1" s="1"/>
  <c r="F652" i="1" a="1"/>
  <c r="F652" i="1" s="1"/>
  <c r="E652" i="1" a="1"/>
  <c r="E652" i="1" s="1"/>
  <c r="D652" i="1" a="1"/>
  <c r="D652" i="1" s="1"/>
  <c r="C652" i="1" a="1"/>
  <c r="C652" i="1" s="1"/>
  <c r="B652" i="1" a="1"/>
  <c r="B652" i="1" s="1"/>
  <c r="N651" i="1" a="1"/>
  <c r="N651" i="1" s="1"/>
  <c r="M651" i="1" a="1"/>
  <c r="M651" i="1" s="1"/>
  <c r="L651" i="1" a="1"/>
  <c r="L651" i="1" s="1"/>
  <c r="K651" i="1" a="1"/>
  <c r="K651" i="1" s="1"/>
  <c r="J651" i="1" a="1"/>
  <c r="J651" i="1" s="1"/>
  <c r="I651" i="1" a="1"/>
  <c r="I651" i="1" s="1"/>
  <c r="H651" i="1" a="1"/>
  <c r="H651" i="1" s="1"/>
  <c r="G651" i="1" a="1"/>
  <c r="G651" i="1" s="1"/>
  <c r="F651" i="1" a="1"/>
  <c r="F651" i="1" s="1"/>
  <c r="E651" i="1" a="1"/>
  <c r="E651" i="1" s="1"/>
  <c r="D651" i="1" a="1"/>
  <c r="D651" i="1" s="1"/>
  <c r="C651" i="1" a="1"/>
  <c r="C651" i="1" s="1"/>
  <c r="B651" i="1" a="1"/>
  <c r="B651" i="1" s="1"/>
  <c r="N650" i="1" a="1"/>
  <c r="N650" i="1" s="1"/>
  <c r="M650" i="1" a="1"/>
  <c r="M650" i="1" s="1"/>
  <c r="L650" i="1" a="1"/>
  <c r="L650" i="1" s="1"/>
  <c r="K650" i="1" a="1"/>
  <c r="K650" i="1" s="1"/>
  <c r="J650" i="1" a="1"/>
  <c r="J650" i="1" s="1"/>
  <c r="I650" i="1" a="1"/>
  <c r="I650" i="1" s="1"/>
  <c r="H650" i="1" a="1"/>
  <c r="H650" i="1" s="1"/>
  <c r="G650" i="1" a="1"/>
  <c r="G650" i="1" s="1"/>
  <c r="F650" i="1" a="1"/>
  <c r="F650" i="1" s="1"/>
  <c r="E650" i="1" a="1"/>
  <c r="E650" i="1" s="1"/>
  <c r="D650" i="1" a="1"/>
  <c r="D650" i="1" s="1"/>
  <c r="C650" i="1" a="1"/>
  <c r="C650" i="1" s="1"/>
  <c r="B650" i="1" a="1"/>
  <c r="B650" i="1" s="1"/>
  <c r="N649" i="1" a="1"/>
  <c r="N649" i="1" s="1"/>
  <c r="M649" i="1" a="1"/>
  <c r="M649" i="1" s="1"/>
  <c r="L649" i="1" a="1"/>
  <c r="L649" i="1" s="1"/>
  <c r="K649" i="1" a="1"/>
  <c r="K649" i="1" s="1"/>
  <c r="J649" i="1" a="1"/>
  <c r="J649" i="1" s="1"/>
  <c r="I649" i="1" a="1"/>
  <c r="I649" i="1" s="1"/>
  <c r="H649" i="1" a="1"/>
  <c r="H649" i="1" s="1"/>
  <c r="G649" i="1" a="1"/>
  <c r="G649" i="1" s="1"/>
  <c r="F649" i="1" a="1"/>
  <c r="F649" i="1" s="1"/>
  <c r="E649" i="1" a="1"/>
  <c r="E649" i="1" s="1"/>
  <c r="D649" i="1" a="1"/>
  <c r="D649" i="1" s="1"/>
  <c r="C649" i="1" a="1"/>
  <c r="C649" i="1" s="1"/>
  <c r="B649" i="1" a="1"/>
  <c r="B649" i="1" s="1"/>
  <c r="N648" i="1" a="1"/>
  <c r="N648" i="1" s="1"/>
  <c r="M648" i="1" a="1"/>
  <c r="M648" i="1" s="1"/>
  <c r="L648" i="1" a="1"/>
  <c r="L648" i="1" s="1"/>
  <c r="K648" i="1" a="1"/>
  <c r="K648" i="1" s="1"/>
  <c r="J648" i="1" a="1"/>
  <c r="J648" i="1" s="1"/>
  <c r="I648" i="1" a="1"/>
  <c r="I648" i="1" s="1"/>
  <c r="H648" i="1" a="1"/>
  <c r="H648" i="1" s="1"/>
  <c r="G648" i="1" a="1"/>
  <c r="G648" i="1" s="1"/>
  <c r="F648" i="1" a="1"/>
  <c r="F648" i="1" s="1"/>
  <c r="E648" i="1" a="1"/>
  <c r="E648" i="1" s="1"/>
  <c r="D648" i="1" a="1"/>
  <c r="D648" i="1" s="1"/>
  <c r="C648" i="1" a="1"/>
  <c r="C648" i="1" s="1"/>
  <c r="B648" i="1" a="1"/>
  <c r="B648" i="1" s="1"/>
  <c r="N647" i="1" a="1"/>
  <c r="N647" i="1" s="1"/>
  <c r="M647" i="1" a="1"/>
  <c r="M647" i="1" s="1"/>
  <c r="L647" i="1" a="1"/>
  <c r="L647" i="1" s="1"/>
  <c r="K647" i="1" a="1"/>
  <c r="K647" i="1" s="1"/>
  <c r="J647" i="1" a="1"/>
  <c r="J647" i="1" s="1"/>
  <c r="I647" i="1" a="1"/>
  <c r="I647" i="1" s="1"/>
  <c r="H647" i="1" a="1"/>
  <c r="H647" i="1" s="1"/>
  <c r="G647" i="1" a="1"/>
  <c r="G647" i="1" s="1"/>
  <c r="F647" i="1" a="1"/>
  <c r="F647" i="1" s="1"/>
  <c r="E647" i="1" a="1"/>
  <c r="E647" i="1" s="1"/>
  <c r="D647" i="1" a="1"/>
  <c r="D647" i="1" s="1"/>
  <c r="C647" i="1" a="1"/>
  <c r="C647" i="1" s="1"/>
  <c r="B647" i="1" a="1"/>
  <c r="B647" i="1" s="1"/>
  <c r="N646" i="1" a="1"/>
  <c r="N646" i="1" s="1"/>
  <c r="M646" i="1" a="1"/>
  <c r="M646" i="1" s="1"/>
  <c r="L646" i="1" a="1"/>
  <c r="L646" i="1" s="1"/>
  <c r="K646" i="1" a="1"/>
  <c r="K646" i="1" s="1"/>
  <c r="J646" i="1" a="1"/>
  <c r="J646" i="1" s="1"/>
  <c r="I646" i="1" a="1"/>
  <c r="I646" i="1" s="1"/>
  <c r="H646" i="1" a="1"/>
  <c r="H646" i="1" s="1"/>
  <c r="G646" i="1" a="1"/>
  <c r="G646" i="1" s="1"/>
  <c r="F646" i="1" a="1"/>
  <c r="F646" i="1" s="1"/>
  <c r="E646" i="1" a="1"/>
  <c r="E646" i="1" s="1"/>
  <c r="D646" i="1" a="1"/>
  <c r="D646" i="1" s="1"/>
  <c r="C646" i="1" a="1"/>
  <c r="C646" i="1" s="1"/>
  <c r="B646" i="1" a="1"/>
  <c r="B646" i="1" s="1"/>
  <c r="N645" i="1" a="1"/>
  <c r="N645" i="1" s="1"/>
  <c r="M645" i="1" a="1"/>
  <c r="M645" i="1" s="1"/>
  <c r="L645" i="1" a="1"/>
  <c r="L645" i="1" s="1"/>
  <c r="K645" i="1" a="1"/>
  <c r="K645" i="1" s="1"/>
  <c r="J645" i="1" a="1"/>
  <c r="J645" i="1" s="1"/>
  <c r="I645" i="1" a="1"/>
  <c r="I645" i="1" s="1"/>
  <c r="H645" i="1" a="1"/>
  <c r="H645" i="1" s="1"/>
  <c r="G645" i="1" a="1"/>
  <c r="G645" i="1" s="1"/>
  <c r="F645" i="1" a="1"/>
  <c r="F645" i="1" s="1"/>
  <c r="E645" i="1" a="1"/>
  <c r="E645" i="1" s="1"/>
  <c r="D645" i="1" a="1"/>
  <c r="D645" i="1" s="1"/>
  <c r="C645" i="1" a="1"/>
  <c r="C645" i="1" s="1"/>
  <c r="B645" i="1" a="1"/>
  <c r="B645" i="1" s="1"/>
  <c r="N644" i="1" a="1"/>
  <c r="N644" i="1" s="1"/>
  <c r="M644" i="1" a="1"/>
  <c r="M644" i="1" s="1"/>
  <c r="L644" i="1" a="1"/>
  <c r="L644" i="1" s="1"/>
  <c r="K644" i="1" a="1"/>
  <c r="K644" i="1" s="1"/>
  <c r="J644" i="1" a="1"/>
  <c r="J644" i="1" s="1"/>
  <c r="I644" i="1" a="1"/>
  <c r="I644" i="1" s="1"/>
  <c r="H644" i="1" a="1"/>
  <c r="H644" i="1" s="1"/>
  <c r="G644" i="1" a="1"/>
  <c r="G644" i="1" s="1"/>
  <c r="F644" i="1" a="1"/>
  <c r="F644" i="1" s="1"/>
  <c r="E644" i="1" a="1"/>
  <c r="E644" i="1" s="1"/>
  <c r="D644" i="1" a="1"/>
  <c r="D644" i="1" s="1"/>
  <c r="C644" i="1" a="1"/>
  <c r="C644" i="1" s="1"/>
  <c r="B644" i="1" a="1"/>
  <c r="B644" i="1" s="1"/>
  <c r="N643" i="1" a="1"/>
  <c r="N643" i="1" s="1"/>
  <c r="M643" i="1" a="1"/>
  <c r="M643" i="1" s="1"/>
  <c r="L643" i="1" a="1"/>
  <c r="L643" i="1" s="1"/>
  <c r="K643" i="1" a="1"/>
  <c r="K643" i="1" s="1"/>
  <c r="J643" i="1" a="1"/>
  <c r="J643" i="1" s="1"/>
  <c r="I643" i="1" a="1"/>
  <c r="I643" i="1" s="1"/>
  <c r="H643" i="1" a="1"/>
  <c r="H643" i="1" s="1"/>
  <c r="G643" i="1" a="1"/>
  <c r="G643" i="1" s="1"/>
  <c r="F643" i="1" a="1"/>
  <c r="F643" i="1" s="1"/>
  <c r="E643" i="1" a="1"/>
  <c r="E643" i="1" s="1"/>
  <c r="D643" i="1" a="1"/>
  <c r="D643" i="1" s="1"/>
  <c r="C643" i="1" a="1"/>
  <c r="C643" i="1" s="1"/>
  <c r="B643" i="1" a="1"/>
  <c r="B643" i="1" s="1"/>
  <c r="N642" i="1" a="1"/>
  <c r="N642" i="1" s="1"/>
  <c r="M642" i="1" a="1"/>
  <c r="M642" i="1" s="1"/>
  <c r="L642" i="1" a="1"/>
  <c r="L642" i="1" s="1"/>
  <c r="K642" i="1" a="1"/>
  <c r="K642" i="1" s="1"/>
  <c r="J642" i="1" a="1"/>
  <c r="J642" i="1" s="1"/>
  <c r="I642" i="1" a="1"/>
  <c r="I642" i="1" s="1"/>
  <c r="H642" i="1" a="1"/>
  <c r="H642" i="1" s="1"/>
  <c r="G642" i="1" a="1"/>
  <c r="G642" i="1" s="1"/>
  <c r="F642" i="1" a="1"/>
  <c r="F642" i="1" s="1"/>
  <c r="E642" i="1" a="1"/>
  <c r="E642" i="1" s="1"/>
  <c r="D642" i="1" a="1"/>
  <c r="D642" i="1" s="1"/>
  <c r="C642" i="1" a="1"/>
  <c r="C642" i="1" s="1"/>
  <c r="B642" i="1" a="1"/>
  <c r="B642" i="1" s="1"/>
  <c r="N641" i="1" a="1"/>
  <c r="N641" i="1" s="1"/>
  <c r="M641" i="1" a="1"/>
  <c r="M641" i="1" s="1"/>
  <c r="L641" i="1" a="1"/>
  <c r="L641" i="1" s="1"/>
  <c r="K641" i="1" a="1"/>
  <c r="K641" i="1" s="1"/>
  <c r="J641" i="1" a="1"/>
  <c r="J641" i="1" s="1"/>
  <c r="I641" i="1" a="1"/>
  <c r="I641" i="1" s="1"/>
  <c r="H641" i="1" a="1"/>
  <c r="H641" i="1" s="1"/>
  <c r="G641" i="1" a="1"/>
  <c r="G641" i="1" s="1"/>
  <c r="F641" i="1" a="1"/>
  <c r="F641" i="1" s="1"/>
  <c r="E641" i="1" a="1"/>
  <c r="E641" i="1" s="1"/>
  <c r="D641" i="1" a="1"/>
  <c r="D641" i="1" s="1"/>
  <c r="C641" i="1" a="1"/>
  <c r="C641" i="1" s="1"/>
  <c r="B641" i="1" a="1"/>
  <c r="B641" i="1" s="1"/>
  <c r="N640" i="1" a="1"/>
  <c r="N640" i="1" s="1"/>
  <c r="M640" i="1" a="1"/>
  <c r="M640" i="1" s="1"/>
  <c r="L640" i="1" a="1"/>
  <c r="L640" i="1" s="1"/>
  <c r="K640" i="1" a="1"/>
  <c r="K640" i="1" s="1"/>
  <c r="J640" i="1" a="1"/>
  <c r="J640" i="1" s="1"/>
  <c r="I640" i="1" a="1"/>
  <c r="I640" i="1" s="1"/>
  <c r="H640" i="1" a="1"/>
  <c r="H640" i="1" s="1"/>
  <c r="G640" i="1" a="1"/>
  <c r="G640" i="1" s="1"/>
  <c r="F640" i="1" a="1"/>
  <c r="F640" i="1" s="1"/>
  <c r="E640" i="1" a="1"/>
  <c r="E640" i="1" s="1"/>
  <c r="D640" i="1" a="1"/>
  <c r="D640" i="1" s="1"/>
  <c r="C640" i="1" a="1"/>
  <c r="C640" i="1" s="1"/>
  <c r="B640" i="1" a="1"/>
  <c r="B640" i="1" s="1"/>
  <c r="N639" i="1" a="1"/>
  <c r="N639" i="1" s="1"/>
  <c r="M639" i="1" a="1"/>
  <c r="M639" i="1" s="1"/>
  <c r="L639" i="1" a="1"/>
  <c r="L639" i="1" s="1"/>
  <c r="K639" i="1" a="1"/>
  <c r="K639" i="1" s="1"/>
  <c r="J639" i="1" a="1"/>
  <c r="J639" i="1" s="1"/>
  <c r="I639" i="1" a="1"/>
  <c r="I639" i="1" s="1"/>
  <c r="H639" i="1" a="1"/>
  <c r="H639" i="1" s="1"/>
  <c r="G639" i="1" a="1"/>
  <c r="G639" i="1" s="1"/>
  <c r="F639" i="1" a="1"/>
  <c r="F639" i="1" s="1"/>
  <c r="E639" i="1" a="1"/>
  <c r="E639" i="1" s="1"/>
  <c r="D639" i="1" a="1"/>
  <c r="D639" i="1" s="1"/>
  <c r="C639" i="1" a="1"/>
  <c r="C639" i="1" s="1"/>
  <c r="B639" i="1" a="1"/>
  <c r="B639" i="1" s="1"/>
  <c r="N638" i="1" a="1"/>
  <c r="N638" i="1" s="1"/>
  <c r="M638" i="1" a="1"/>
  <c r="M638" i="1" s="1"/>
  <c r="L638" i="1" a="1"/>
  <c r="L638" i="1" s="1"/>
  <c r="K638" i="1" a="1"/>
  <c r="K638" i="1" s="1"/>
  <c r="J638" i="1" a="1"/>
  <c r="J638" i="1" s="1"/>
  <c r="I638" i="1" a="1"/>
  <c r="I638" i="1" s="1"/>
  <c r="H638" i="1" a="1"/>
  <c r="H638" i="1" s="1"/>
  <c r="G638" i="1" a="1"/>
  <c r="G638" i="1" s="1"/>
  <c r="F638" i="1" a="1"/>
  <c r="F638" i="1" s="1"/>
  <c r="E638" i="1" a="1"/>
  <c r="E638" i="1" s="1"/>
  <c r="D638" i="1" a="1"/>
  <c r="D638" i="1" s="1"/>
  <c r="C638" i="1" a="1"/>
  <c r="C638" i="1" s="1"/>
  <c r="B638" i="1" a="1"/>
  <c r="B638" i="1" s="1"/>
  <c r="N637" i="1" a="1"/>
  <c r="N637" i="1" s="1"/>
  <c r="M637" i="1" a="1"/>
  <c r="M637" i="1" s="1"/>
  <c r="L637" i="1" a="1"/>
  <c r="L637" i="1" s="1"/>
  <c r="K637" i="1" a="1"/>
  <c r="K637" i="1" s="1"/>
  <c r="J637" i="1" a="1"/>
  <c r="J637" i="1" s="1"/>
  <c r="I637" i="1" a="1"/>
  <c r="I637" i="1" s="1"/>
  <c r="H637" i="1" a="1"/>
  <c r="H637" i="1" s="1"/>
  <c r="G637" i="1" a="1"/>
  <c r="G637" i="1" s="1"/>
  <c r="F637" i="1" a="1"/>
  <c r="F637" i="1" s="1"/>
  <c r="E637" i="1" a="1"/>
  <c r="E637" i="1" s="1"/>
  <c r="D637" i="1" a="1"/>
  <c r="D637" i="1" s="1"/>
  <c r="C637" i="1" a="1"/>
  <c r="C637" i="1" s="1"/>
  <c r="B637" i="1" a="1"/>
  <c r="B637" i="1" s="1"/>
  <c r="N636" i="1" a="1"/>
  <c r="N636" i="1" s="1"/>
  <c r="M636" i="1" a="1"/>
  <c r="M636" i="1" s="1"/>
  <c r="L636" i="1" a="1"/>
  <c r="L636" i="1" s="1"/>
  <c r="K636" i="1" a="1"/>
  <c r="K636" i="1" s="1"/>
  <c r="J636" i="1" a="1"/>
  <c r="J636" i="1" s="1"/>
  <c r="I636" i="1" a="1"/>
  <c r="I636" i="1" s="1"/>
  <c r="H636" i="1" a="1"/>
  <c r="H636" i="1" s="1"/>
  <c r="G636" i="1" a="1"/>
  <c r="G636" i="1" s="1"/>
  <c r="F636" i="1" a="1"/>
  <c r="F636" i="1" s="1"/>
  <c r="E636" i="1" a="1"/>
  <c r="E636" i="1" s="1"/>
  <c r="D636" i="1" a="1"/>
  <c r="D636" i="1" s="1"/>
  <c r="C636" i="1" a="1"/>
  <c r="C636" i="1" s="1"/>
  <c r="B636" i="1" a="1"/>
  <c r="B636" i="1" s="1"/>
  <c r="N635" i="1" a="1"/>
  <c r="N635" i="1" s="1"/>
  <c r="M635" i="1" a="1"/>
  <c r="M635" i="1" s="1"/>
  <c r="L635" i="1" a="1"/>
  <c r="L635" i="1" s="1"/>
  <c r="K635" i="1" a="1"/>
  <c r="K635" i="1" s="1"/>
  <c r="J635" i="1" a="1"/>
  <c r="J635" i="1" s="1"/>
  <c r="I635" i="1" a="1"/>
  <c r="I635" i="1" s="1"/>
  <c r="H635" i="1" a="1"/>
  <c r="H635" i="1" s="1"/>
  <c r="G635" i="1" a="1"/>
  <c r="G635" i="1" s="1"/>
  <c r="F635" i="1" a="1"/>
  <c r="F635" i="1" s="1"/>
  <c r="E635" i="1" a="1"/>
  <c r="E635" i="1" s="1"/>
  <c r="D635" i="1" a="1"/>
  <c r="D635" i="1" s="1"/>
  <c r="C635" i="1" a="1"/>
  <c r="C635" i="1" s="1"/>
  <c r="B635" i="1" a="1"/>
  <c r="B635" i="1" s="1"/>
  <c r="N634" i="1" a="1"/>
  <c r="N634" i="1" s="1"/>
  <c r="M634" i="1" a="1"/>
  <c r="M634" i="1" s="1"/>
  <c r="L634" i="1" a="1"/>
  <c r="L634" i="1" s="1"/>
  <c r="K634" i="1" a="1"/>
  <c r="K634" i="1" s="1"/>
  <c r="J634" i="1" a="1"/>
  <c r="J634" i="1" s="1"/>
  <c r="I634" i="1" a="1"/>
  <c r="I634" i="1" s="1"/>
  <c r="H634" i="1" a="1"/>
  <c r="H634" i="1" s="1"/>
  <c r="G634" i="1" a="1"/>
  <c r="G634" i="1" s="1"/>
  <c r="F634" i="1" a="1"/>
  <c r="F634" i="1" s="1"/>
  <c r="E634" i="1" a="1"/>
  <c r="E634" i="1" s="1"/>
  <c r="D634" i="1" a="1"/>
  <c r="D634" i="1" s="1"/>
  <c r="C634" i="1" a="1"/>
  <c r="C634" i="1" s="1"/>
  <c r="B634" i="1" a="1"/>
  <c r="B634" i="1" s="1"/>
  <c r="N633" i="1" a="1"/>
  <c r="N633" i="1" s="1"/>
  <c r="M633" i="1" a="1"/>
  <c r="M633" i="1" s="1"/>
  <c r="L633" i="1" a="1"/>
  <c r="L633" i="1" s="1"/>
  <c r="K633" i="1" a="1"/>
  <c r="K633" i="1" s="1"/>
  <c r="J633" i="1" a="1"/>
  <c r="J633" i="1" s="1"/>
  <c r="I633" i="1" a="1"/>
  <c r="I633" i="1" s="1"/>
  <c r="H633" i="1" a="1"/>
  <c r="H633" i="1" s="1"/>
  <c r="G633" i="1" a="1"/>
  <c r="G633" i="1" s="1"/>
  <c r="F633" i="1" a="1"/>
  <c r="F633" i="1" s="1"/>
  <c r="E633" i="1" a="1"/>
  <c r="E633" i="1" s="1"/>
  <c r="D633" i="1" a="1"/>
  <c r="D633" i="1" s="1"/>
  <c r="C633" i="1" a="1"/>
  <c r="C633" i="1" s="1"/>
  <c r="B633" i="1" a="1"/>
  <c r="B633" i="1" s="1"/>
  <c r="N632" i="1" a="1"/>
  <c r="N632" i="1" s="1"/>
  <c r="M632" i="1" a="1"/>
  <c r="M632" i="1" s="1"/>
  <c r="L632" i="1" a="1"/>
  <c r="L632" i="1" s="1"/>
  <c r="K632" i="1" a="1"/>
  <c r="K632" i="1" s="1"/>
  <c r="J632" i="1" a="1"/>
  <c r="J632" i="1" s="1"/>
  <c r="I632" i="1" a="1"/>
  <c r="I632" i="1" s="1"/>
  <c r="H632" i="1" a="1"/>
  <c r="H632" i="1" s="1"/>
  <c r="G632" i="1" a="1"/>
  <c r="G632" i="1" s="1"/>
  <c r="F632" i="1" a="1"/>
  <c r="F632" i="1" s="1"/>
  <c r="E632" i="1" a="1"/>
  <c r="E632" i="1" s="1"/>
  <c r="D632" i="1" a="1"/>
  <c r="D632" i="1" s="1"/>
  <c r="C632" i="1" a="1"/>
  <c r="C632" i="1" s="1"/>
  <c r="B632" i="1" a="1"/>
  <c r="B632" i="1" s="1"/>
  <c r="N631" i="1" a="1"/>
  <c r="N631" i="1" s="1"/>
  <c r="M631" i="1" a="1"/>
  <c r="M631" i="1" s="1"/>
  <c r="L631" i="1" a="1"/>
  <c r="L631" i="1" s="1"/>
  <c r="K631" i="1" a="1"/>
  <c r="K631" i="1" s="1"/>
  <c r="J631" i="1"/>
  <c r="J631" i="1" a="1"/>
  <c r="I631" i="1"/>
  <c r="I631" i="1" a="1"/>
  <c r="H631" i="1"/>
  <c r="H631" i="1" a="1"/>
  <c r="G631" i="1" a="1"/>
  <c r="G631" i="1" s="1"/>
  <c r="F631" i="1" a="1"/>
  <c r="F631" i="1" s="1"/>
  <c r="E631" i="1" a="1"/>
  <c r="E631" i="1" s="1"/>
  <c r="D631" i="1" a="1"/>
  <c r="D631" i="1" s="1"/>
  <c r="C631" i="1" a="1"/>
  <c r="C631" i="1" s="1"/>
  <c r="B631" i="1" a="1"/>
  <c r="B631" i="1" s="1"/>
  <c r="N630" i="1" a="1"/>
  <c r="N630" i="1" s="1"/>
  <c r="M630" i="1" a="1"/>
  <c r="M630" i="1" s="1"/>
  <c r="L630" i="1" a="1"/>
  <c r="L630" i="1" s="1"/>
  <c r="K630" i="1" a="1"/>
  <c r="K630" i="1" s="1"/>
  <c r="J630" i="1" a="1"/>
  <c r="J630" i="1" s="1"/>
  <c r="I630" i="1" a="1"/>
  <c r="I630" i="1" s="1"/>
  <c r="H630" i="1" a="1"/>
  <c r="H630" i="1" s="1"/>
  <c r="G630" i="1" a="1"/>
  <c r="G630" i="1" s="1"/>
  <c r="F630" i="1" a="1"/>
  <c r="F630" i="1" s="1"/>
  <c r="E630" i="1" a="1"/>
  <c r="E630" i="1" s="1"/>
  <c r="D630" i="1" a="1"/>
  <c r="D630" i="1" s="1"/>
  <c r="C630" i="1" a="1"/>
  <c r="C630" i="1" s="1"/>
  <c r="B630" i="1" a="1"/>
  <c r="B630" i="1" s="1"/>
  <c r="N629" i="1" a="1"/>
  <c r="N629" i="1" s="1"/>
  <c r="M629" i="1" a="1"/>
  <c r="M629" i="1" s="1"/>
  <c r="L629" i="1" a="1"/>
  <c r="L629" i="1" s="1"/>
  <c r="K629" i="1" a="1"/>
  <c r="K629" i="1" s="1"/>
  <c r="J629" i="1" a="1"/>
  <c r="J629" i="1" s="1"/>
  <c r="I629" i="1" a="1"/>
  <c r="I629" i="1" s="1"/>
  <c r="H629" i="1" a="1"/>
  <c r="H629" i="1" s="1"/>
  <c r="G629" i="1" a="1"/>
  <c r="G629" i="1" s="1"/>
  <c r="F629" i="1" a="1"/>
  <c r="F629" i="1" s="1"/>
  <c r="E629" i="1" a="1"/>
  <c r="E629" i="1" s="1"/>
  <c r="D629" i="1" a="1"/>
  <c r="D629" i="1" s="1"/>
  <c r="C629" i="1" a="1"/>
  <c r="C629" i="1" s="1"/>
  <c r="B629" i="1" a="1"/>
  <c r="B629" i="1" s="1"/>
  <c r="N628" i="1" a="1"/>
  <c r="N628" i="1" s="1"/>
  <c r="M628" i="1" a="1"/>
  <c r="M628" i="1" s="1"/>
  <c r="L628" i="1" a="1"/>
  <c r="L628" i="1" s="1"/>
  <c r="K628" i="1" a="1"/>
  <c r="K628" i="1" s="1"/>
  <c r="J628" i="1" a="1"/>
  <c r="J628" i="1" s="1"/>
  <c r="I628" i="1" a="1"/>
  <c r="I628" i="1" s="1"/>
  <c r="H628" i="1" a="1"/>
  <c r="H628" i="1" s="1"/>
  <c r="G628" i="1" a="1"/>
  <c r="G628" i="1" s="1"/>
  <c r="F628" i="1" a="1"/>
  <c r="F628" i="1" s="1"/>
  <c r="E628" i="1" a="1"/>
  <c r="E628" i="1" s="1"/>
  <c r="D628" i="1" a="1"/>
  <c r="D628" i="1" s="1"/>
  <c r="C628" i="1" a="1"/>
  <c r="C628" i="1" s="1"/>
  <c r="B628" i="1" a="1"/>
  <c r="B628" i="1" s="1"/>
  <c r="N627" i="1" a="1"/>
  <c r="N627" i="1" s="1"/>
  <c r="M627" i="1" a="1"/>
  <c r="M627" i="1" s="1"/>
  <c r="L627" i="1" a="1"/>
  <c r="L627" i="1" s="1"/>
  <c r="K627" i="1" a="1"/>
  <c r="K627" i="1" s="1"/>
  <c r="J627" i="1" a="1"/>
  <c r="J627" i="1" s="1"/>
  <c r="I627" i="1" a="1"/>
  <c r="I627" i="1" s="1"/>
  <c r="H627" i="1" a="1"/>
  <c r="H627" i="1" s="1"/>
  <c r="G627" i="1" a="1"/>
  <c r="G627" i="1" s="1"/>
  <c r="F627" i="1" a="1"/>
  <c r="F627" i="1" s="1"/>
  <c r="E627" i="1" a="1"/>
  <c r="E627" i="1" s="1"/>
  <c r="D627" i="1" a="1"/>
  <c r="D627" i="1" s="1"/>
  <c r="C627" i="1" a="1"/>
  <c r="C627" i="1" s="1"/>
  <c r="B627" i="1" a="1"/>
  <c r="B627" i="1" s="1"/>
  <c r="N626" i="1" a="1"/>
  <c r="N626" i="1" s="1"/>
  <c r="M626" i="1" a="1"/>
  <c r="M626" i="1" s="1"/>
  <c r="L626" i="1" a="1"/>
  <c r="L626" i="1" s="1"/>
  <c r="K626" i="1" a="1"/>
  <c r="K626" i="1" s="1"/>
  <c r="J626" i="1" a="1"/>
  <c r="J626" i="1" s="1"/>
  <c r="I626" i="1" a="1"/>
  <c r="I626" i="1" s="1"/>
  <c r="H626" i="1" a="1"/>
  <c r="H626" i="1" s="1"/>
  <c r="G626" i="1" a="1"/>
  <c r="G626" i="1" s="1"/>
  <c r="F626" i="1" a="1"/>
  <c r="F626" i="1" s="1"/>
  <c r="E626" i="1" a="1"/>
  <c r="E626" i="1" s="1"/>
  <c r="D626" i="1" a="1"/>
  <c r="D626" i="1" s="1"/>
  <c r="C626" i="1" a="1"/>
  <c r="C626" i="1" s="1"/>
  <c r="B626" i="1" a="1"/>
  <c r="B626" i="1" s="1"/>
  <c r="N625" i="1" a="1"/>
  <c r="N625" i="1" s="1"/>
  <c r="M625" i="1" a="1"/>
  <c r="M625" i="1" s="1"/>
  <c r="L625" i="1" a="1"/>
  <c r="L625" i="1" s="1"/>
  <c r="K625" i="1" a="1"/>
  <c r="K625" i="1" s="1"/>
  <c r="J625" i="1" a="1"/>
  <c r="J625" i="1" s="1"/>
  <c r="I625" i="1" a="1"/>
  <c r="I625" i="1" s="1"/>
  <c r="H625" i="1" a="1"/>
  <c r="H625" i="1" s="1"/>
  <c r="G625" i="1" a="1"/>
  <c r="G625" i="1" s="1"/>
  <c r="F625" i="1" a="1"/>
  <c r="F625" i="1" s="1"/>
  <c r="E625" i="1" a="1"/>
  <c r="E625" i="1" s="1"/>
  <c r="D625" i="1" a="1"/>
  <c r="D625" i="1" s="1"/>
  <c r="C625" i="1" a="1"/>
  <c r="C625" i="1" s="1"/>
  <c r="B625" i="1" a="1"/>
  <c r="B625" i="1" s="1"/>
  <c r="N624" i="1" a="1"/>
  <c r="N624" i="1" s="1"/>
  <c r="M624" i="1" a="1"/>
  <c r="M624" i="1" s="1"/>
  <c r="L624" i="1" a="1"/>
  <c r="L624" i="1" s="1"/>
  <c r="K624" i="1" a="1"/>
  <c r="K624" i="1" s="1"/>
  <c r="J624" i="1" a="1"/>
  <c r="J624" i="1" s="1"/>
  <c r="I624" i="1" a="1"/>
  <c r="I624" i="1" s="1"/>
  <c r="H624" i="1" a="1"/>
  <c r="H624" i="1" s="1"/>
  <c r="G624" i="1" a="1"/>
  <c r="G624" i="1" s="1"/>
  <c r="F624" i="1" a="1"/>
  <c r="F624" i="1" s="1"/>
  <c r="E624" i="1" a="1"/>
  <c r="E624" i="1" s="1"/>
  <c r="D624" i="1" a="1"/>
  <c r="D624" i="1" s="1"/>
  <c r="C624" i="1" a="1"/>
  <c r="C624" i="1" s="1"/>
  <c r="B624" i="1" a="1"/>
  <c r="B624" i="1" s="1"/>
  <c r="N623" i="1" a="1"/>
  <c r="N623" i="1" s="1"/>
  <c r="M623" i="1" a="1"/>
  <c r="M623" i="1" s="1"/>
  <c r="L623" i="1" a="1"/>
  <c r="L623" i="1" s="1"/>
  <c r="K623" i="1" a="1"/>
  <c r="K623" i="1" s="1"/>
  <c r="J623" i="1" a="1"/>
  <c r="J623" i="1" s="1"/>
  <c r="I623" i="1" a="1"/>
  <c r="I623" i="1" s="1"/>
  <c r="H623" i="1" a="1"/>
  <c r="H623" i="1" s="1"/>
  <c r="G623" i="1" a="1"/>
  <c r="G623" i="1" s="1"/>
  <c r="F623" i="1" a="1"/>
  <c r="F623" i="1" s="1"/>
  <c r="E623" i="1" a="1"/>
  <c r="E623" i="1" s="1"/>
  <c r="D623" i="1" a="1"/>
  <c r="D623" i="1" s="1"/>
  <c r="C623" i="1" a="1"/>
  <c r="C623" i="1" s="1"/>
  <c r="B623" i="1" a="1"/>
  <c r="B623" i="1" s="1"/>
  <c r="N622" i="1" a="1"/>
  <c r="N622" i="1" s="1"/>
  <c r="M622" i="1" a="1"/>
  <c r="M622" i="1" s="1"/>
  <c r="L622" i="1" a="1"/>
  <c r="L622" i="1" s="1"/>
  <c r="K622" i="1" a="1"/>
  <c r="K622" i="1" s="1"/>
  <c r="J622" i="1" a="1"/>
  <c r="J622" i="1" s="1"/>
  <c r="I622" i="1" a="1"/>
  <c r="I622" i="1" s="1"/>
  <c r="H622" i="1" a="1"/>
  <c r="H622" i="1" s="1"/>
  <c r="G622" i="1" a="1"/>
  <c r="G622" i="1" s="1"/>
  <c r="F622" i="1" a="1"/>
  <c r="F622" i="1" s="1"/>
  <c r="E622" i="1" a="1"/>
  <c r="E622" i="1" s="1"/>
  <c r="D622" i="1" a="1"/>
  <c r="D622" i="1" s="1"/>
  <c r="C622" i="1" a="1"/>
  <c r="C622" i="1" s="1"/>
  <c r="B622" i="1" a="1"/>
  <c r="B622" i="1" s="1"/>
  <c r="N621" i="1" a="1"/>
  <c r="N621" i="1" s="1"/>
  <c r="M621" i="1" a="1"/>
  <c r="M621" i="1" s="1"/>
  <c r="L621" i="1" a="1"/>
  <c r="L621" i="1" s="1"/>
  <c r="K621" i="1" a="1"/>
  <c r="K621" i="1" s="1"/>
  <c r="J621" i="1" a="1"/>
  <c r="J621" i="1" s="1"/>
  <c r="I621" i="1" a="1"/>
  <c r="I621" i="1" s="1"/>
  <c r="H621" i="1" a="1"/>
  <c r="H621" i="1" s="1"/>
  <c r="G621" i="1" a="1"/>
  <c r="G621" i="1" s="1"/>
  <c r="F621" i="1" a="1"/>
  <c r="F621" i="1" s="1"/>
  <c r="E621" i="1" a="1"/>
  <c r="E621" i="1" s="1"/>
  <c r="D621" i="1" a="1"/>
  <c r="D621" i="1" s="1"/>
  <c r="C621" i="1" a="1"/>
  <c r="C621" i="1" s="1"/>
  <c r="B621" i="1" a="1"/>
  <c r="B621" i="1" s="1"/>
  <c r="N620" i="1" a="1"/>
  <c r="N620" i="1" s="1"/>
  <c r="M620" i="1" a="1"/>
  <c r="M620" i="1" s="1"/>
  <c r="L620" i="1" a="1"/>
  <c r="L620" i="1" s="1"/>
  <c r="K620" i="1" a="1"/>
  <c r="K620" i="1" s="1"/>
  <c r="J620" i="1" a="1"/>
  <c r="J620" i="1" s="1"/>
  <c r="I620" i="1" a="1"/>
  <c r="I620" i="1" s="1"/>
  <c r="H620" i="1" a="1"/>
  <c r="H620" i="1" s="1"/>
  <c r="G620" i="1" a="1"/>
  <c r="G620" i="1" s="1"/>
  <c r="F620" i="1" a="1"/>
  <c r="F620" i="1" s="1"/>
  <c r="E620" i="1" a="1"/>
  <c r="E620" i="1" s="1"/>
  <c r="D620" i="1" a="1"/>
  <c r="D620" i="1" s="1"/>
  <c r="C620" i="1" a="1"/>
  <c r="C620" i="1" s="1"/>
  <c r="B620" i="1" a="1"/>
  <c r="B620" i="1" s="1"/>
  <c r="N619" i="1" a="1"/>
  <c r="N619" i="1" s="1"/>
  <c r="M619" i="1" a="1"/>
  <c r="M619" i="1" s="1"/>
  <c r="L619" i="1" a="1"/>
  <c r="L619" i="1" s="1"/>
  <c r="K619" i="1" a="1"/>
  <c r="K619" i="1" s="1"/>
  <c r="J619" i="1" a="1"/>
  <c r="J619" i="1" s="1"/>
  <c r="I619" i="1" a="1"/>
  <c r="I619" i="1" s="1"/>
  <c r="H619" i="1" a="1"/>
  <c r="H619" i="1" s="1"/>
  <c r="G619" i="1" a="1"/>
  <c r="G619" i="1" s="1"/>
  <c r="F619" i="1" a="1"/>
  <c r="F619" i="1" s="1"/>
  <c r="E619" i="1" a="1"/>
  <c r="E619" i="1" s="1"/>
  <c r="D619" i="1" a="1"/>
  <c r="D619" i="1" s="1"/>
  <c r="C619" i="1" a="1"/>
  <c r="C619" i="1" s="1"/>
  <c r="B619" i="1" a="1"/>
  <c r="B619" i="1" s="1"/>
  <c r="N618" i="1" a="1"/>
  <c r="N618" i="1" s="1"/>
  <c r="M618" i="1" a="1"/>
  <c r="M618" i="1" s="1"/>
  <c r="L618" i="1" a="1"/>
  <c r="L618" i="1" s="1"/>
  <c r="K618" i="1" a="1"/>
  <c r="K618" i="1" s="1"/>
  <c r="J618" i="1" a="1"/>
  <c r="J618" i="1" s="1"/>
  <c r="I618" i="1" a="1"/>
  <c r="I618" i="1" s="1"/>
  <c r="H618" i="1" a="1"/>
  <c r="H618" i="1" s="1"/>
  <c r="G618" i="1" a="1"/>
  <c r="G618" i="1" s="1"/>
  <c r="F618" i="1" a="1"/>
  <c r="F618" i="1" s="1"/>
  <c r="E618" i="1" a="1"/>
  <c r="E618" i="1" s="1"/>
  <c r="D618" i="1" a="1"/>
  <c r="D618" i="1" s="1"/>
  <c r="C618" i="1" a="1"/>
  <c r="C618" i="1" s="1"/>
  <c r="B618" i="1" a="1"/>
  <c r="B618" i="1" s="1"/>
  <c r="N617" i="1" a="1"/>
  <c r="N617" i="1" s="1"/>
  <c r="M617" i="1" a="1"/>
  <c r="M617" i="1" s="1"/>
  <c r="L617" i="1" a="1"/>
  <c r="L617" i="1" s="1"/>
  <c r="K617" i="1" a="1"/>
  <c r="K617" i="1" s="1"/>
  <c r="J617" i="1" a="1"/>
  <c r="J617" i="1" s="1"/>
  <c r="I617" i="1" a="1"/>
  <c r="I617" i="1" s="1"/>
  <c r="H617" i="1" a="1"/>
  <c r="H617" i="1" s="1"/>
  <c r="G617" i="1" a="1"/>
  <c r="G617" i="1" s="1"/>
  <c r="F617" i="1" a="1"/>
  <c r="F617" i="1" s="1"/>
  <c r="E617" i="1" a="1"/>
  <c r="E617" i="1" s="1"/>
  <c r="D617" i="1" a="1"/>
  <c r="D617" i="1" s="1"/>
  <c r="C617" i="1" a="1"/>
  <c r="C617" i="1" s="1"/>
  <c r="B617" i="1" a="1"/>
  <c r="B617" i="1" s="1"/>
  <c r="N616" i="1" a="1"/>
  <c r="N616" i="1" s="1"/>
  <c r="M616" i="1" a="1"/>
  <c r="M616" i="1" s="1"/>
  <c r="L616" i="1" a="1"/>
  <c r="L616" i="1" s="1"/>
  <c r="K616" i="1" a="1"/>
  <c r="K616" i="1" s="1"/>
  <c r="J616" i="1" a="1"/>
  <c r="J616" i="1" s="1"/>
  <c r="I616" i="1" a="1"/>
  <c r="I616" i="1" s="1"/>
  <c r="H616" i="1" a="1"/>
  <c r="H616" i="1" s="1"/>
  <c r="G616" i="1" a="1"/>
  <c r="G616" i="1" s="1"/>
  <c r="F616" i="1" a="1"/>
  <c r="F616" i="1" s="1"/>
  <c r="E616" i="1" a="1"/>
  <c r="E616" i="1" s="1"/>
  <c r="D616" i="1" a="1"/>
  <c r="D616" i="1" s="1"/>
  <c r="C616" i="1" a="1"/>
  <c r="C616" i="1" s="1"/>
  <c r="B616" i="1" a="1"/>
  <c r="B616" i="1" s="1"/>
  <c r="N615" i="1" a="1"/>
  <c r="N615" i="1" s="1"/>
  <c r="M615" i="1" a="1"/>
  <c r="M615" i="1" s="1"/>
  <c r="L615" i="1" a="1"/>
  <c r="L615" i="1" s="1"/>
  <c r="K615" i="1" a="1"/>
  <c r="K615" i="1" s="1"/>
  <c r="J615" i="1" a="1"/>
  <c r="J615" i="1" s="1"/>
  <c r="I615" i="1" a="1"/>
  <c r="I615" i="1" s="1"/>
  <c r="H615" i="1" a="1"/>
  <c r="H615" i="1" s="1"/>
  <c r="G615" i="1" a="1"/>
  <c r="G615" i="1" s="1"/>
  <c r="F615" i="1" a="1"/>
  <c r="F615" i="1" s="1"/>
  <c r="E615" i="1" a="1"/>
  <c r="E615" i="1" s="1"/>
  <c r="D615" i="1" a="1"/>
  <c r="D615" i="1" s="1"/>
  <c r="C615" i="1" a="1"/>
  <c r="C615" i="1" s="1"/>
  <c r="B615" i="1" a="1"/>
  <c r="B615" i="1" s="1"/>
  <c r="N614" i="1" a="1"/>
  <c r="N614" i="1" s="1"/>
  <c r="M614" i="1" a="1"/>
  <c r="M614" i="1" s="1"/>
  <c r="L614" i="1" a="1"/>
  <c r="L614" i="1" s="1"/>
  <c r="K614" i="1" a="1"/>
  <c r="K614" i="1" s="1"/>
  <c r="J614" i="1" a="1"/>
  <c r="J614" i="1" s="1"/>
  <c r="I614" i="1" a="1"/>
  <c r="I614" i="1" s="1"/>
  <c r="H614" i="1" a="1"/>
  <c r="H614" i="1" s="1"/>
  <c r="G614" i="1" a="1"/>
  <c r="G614" i="1" s="1"/>
  <c r="F614" i="1" a="1"/>
  <c r="F614" i="1" s="1"/>
  <c r="E614" i="1" a="1"/>
  <c r="E614" i="1" s="1"/>
  <c r="D614" i="1" a="1"/>
  <c r="D614" i="1" s="1"/>
  <c r="C614" i="1" a="1"/>
  <c r="C614" i="1" s="1"/>
  <c r="B614" i="1" a="1"/>
  <c r="B614" i="1" s="1"/>
  <c r="N613" i="1" a="1"/>
  <c r="N613" i="1" s="1"/>
  <c r="M613" i="1" a="1"/>
  <c r="M613" i="1" s="1"/>
  <c r="L613" i="1" a="1"/>
  <c r="L613" i="1" s="1"/>
  <c r="K613" i="1" a="1"/>
  <c r="K613" i="1" s="1"/>
  <c r="J613" i="1" a="1"/>
  <c r="J613" i="1" s="1"/>
  <c r="I613" i="1" a="1"/>
  <c r="I613" i="1" s="1"/>
  <c r="H613" i="1" a="1"/>
  <c r="H613" i="1" s="1"/>
  <c r="G613" i="1" a="1"/>
  <c r="G613" i="1" s="1"/>
  <c r="F613" i="1" a="1"/>
  <c r="F613" i="1" s="1"/>
  <c r="E613" i="1" a="1"/>
  <c r="E613" i="1" s="1"/>
  <c r="D613" i="1" a="1"/>
  <c r="D613" i="1" s="1"/>
  <c r="C613" i="1" a="1"/>
  <c r="C613" i="1" s="1"/>
  <c r="B613" i="1" a="1"/>
  <c r="B613" i="1" s="1"/>
  <c r="N612" i="1" a="1"/>
  <c r="N612" i="1" s="1"/>
  <c r="M612" i="1" a="1"/>
  <c r="M612" i="1" s="1"/>
  <c r="L612" i="1" a="1"/>
  <c r="L612" i="1" s="1"/>
  <c r="K612" i="1" a="1"/>
  <c r="K612" i="1" s="1"/>
  <c r="J612" i="1" a="1"/>
  <c r="J612" i="1" s="1"/>
  <c r="I612" i="1" a="1"/>
  <c r="I612" i="1" s="1"/>
  <c r="H612" i="1" a="1"/>
  <c r="H612" i="1" s="1"/>
  <c r="G612" i="1" a="1"/>
  <c r="G612" i="1" s="1"/>
  <c r="F612" i="1" a="1"/>
  <c r="F612" i="1" s="1"/>
  <c r="E612" i="1" a="1"/>
  <c r="E612" i="1" s="1"/>
  <c r="D612" i="1" a="1"/>
  <c r="D612" i="1" s="1"/>
  <c r="C612" i="1" a="1"/>
  <c r="C612" i="1" s="1"/>
  <c r="B612" i="1" a="1"/>
  <c r="B612" i="1" s="1"/>
  <c r="N611" i="1" a="1"/>
  <c r="N611" i="1" s="1"/>
  <c r="M611" i="1" a="1"/>
  <c r="M611" i="1" s="1"/>
  <c r="L611" i="1" a="1"/>
  <c r="L611" i="1" s="1"/>
  <c r="K611" i="1" a="1"/>
  <c r="K611" i="1" s="1"/>
  <c r="J611" i="1" a="1"/>
  <c r="J611" i="1" s="1"/>
  <c r="I611" i="1" a="1"/>
  <c r="I611" i="1" s="1"/>
  <c r="H611" i="1" a="1"/>
  <c r="H611" i="1" s="1"/>
  <c r="G611" i="1" a="1"/>
  <c r="G611" i="1" s="1"/>
  <c r="F611" i="1" a="1"/>
  <c r="F611" i="1" s="1"/>
  <c r="E611" i="1" a="1"/>
  <c r="E611" i="1" s="1"/>
  <c r="D611" i="1" a="1"/>
  <c r="D611" i="1" s="1"/>
  <c r="C611" i="1" a="1"/>
  <c r="C611" i="1" s="1"/>
  <c r="B611" i="1" a="1"/>
  <c r="B611" i="1" s="1"/>
  <c r="N610" i="1" a="1"/>
  <c r="N610" i="1" s="1"/>
  <c r="M610" i="1" a="1"/>
  <c r="M610" i="1" s="1"/>
  <c r="L610" i="1" a="1"/>
  <c r="L610" i="1" s="1"/>
  <c r="K610" i="1" a="1"/>
  <c r="K610" i="1" s="1"/>
  <c r="J610" i="1" a="1"/>
  <c r="J610" i="1" s="1"/>
  <c r="I610" i="1" a="1"/>
  <c r="I610" i="1" s="1"/>
  <c r="H610" i="1" a="1"/>
  <c r="H610" i="1" s="1"/>
  <c r="G610" i="1" a="1"/>
  <c r="G610" i="1" s="1"/>
  <c r="F610" i="1" a="1"/>
  <c r="F610" i="1" s="1"/>
  <c r="E610" i="1" a="1"/>
  <c r="E610" i="1" s="1"/>
  <c r="D610" i="1" a="1"/>
  <c r="D610" i="1" s="1"/>
  <c r="C610" i="1" a="1"/>
  <c r="C610" i="1" s="1"/>
  <c r="B610" i="1" a="1"/>
  <c r="B610" i="1" s="1"/>
  <c r="N609" i="1" a="1"/>
  <c r="N609" i="1" s="1"/>
  <c r="M609" i="1" a="1"/>
  <c r="M609" i="1" s="1"/>
  <c r="L609" i="1" a="1"/>
  <c r="L609" i="1" s="1"/>
  <c r="K609" i="1" a="1"/>
  <c r="K609" i="1" s="1"/>
  <c r="J609" i="1" a="1"/>
  <c r="J609" i="1" s="1"/>
  <c r="I609" i="1" a="1"/>
  <c r="I609" i="1" s="1"/>
  <c r="H609" i="1" a="1"/>
  <c r="H609" i="1" s="1"/>
  <c r="G609" i="1" a="1"/>
  <c r="G609" i="1" s="1"/>
  <c r="F609" i="1" a="1"/>
  <c r="F609" i="1" s="1"/>
  <c r="E609" i="1" a="1"/>
  <c r="E609" i="1" s="1"/>
  <c r="D609" i="1" a="1"/>
  <c r="D609" i="1" s="1"/>
  <c r="C609" i="1" a="1"/>
  <c r="C609" i="1" s="1"/>
  <c r="B609" i="1" a="1"/>
  <c r="B609" i="1" s="1"/>
  <c r="N608" i="1" a="1"/>
  <c r="N608" i="1" s="1"/>
  <c r="M608" i="1" a="1"/>
  <c r="M608" i="1" s="1"/>
  <c r="L608" i="1" a="1"/>
  <c r="L608" i="1" s="1"/>
  <c r="K608" i="1" a="1"/>
  <c r="K608" i="1" s="1"/>
  <c r="J608" i="1" a="1"/>
  <c r="J608" i="1" s="1"/>
  <c r="I608" i="1" a="1"/>
  <c r="I608" i="1" s="1"/>
  <c r="H608" i="1" a="1"/>
  <c r="H608" i="1" s="1"/>
  <c r="G608" i="1" a="1"/>
  <c r="G608" i="1" s="1"/>
  <c r="F608" i="1" a="1"/>
  <c r="F608" i="1" s="1"/>
  <c r="E608" i="1" a="1"/>
  <c r="E608" i="1" s="1"/>
  <c r="D608" i="1" a="1"/>
  <c r="D608" i="1" s="1"/>
  <c r="C608" i="1" a="1"/>
  <c r="C608" i="1" s="1"/>
  <c r="B608" i="1" a="1"/>
  <c r="B608" i="1" s="1"/>
  <c r="N607" i="1" a="1"/>
  <c r="N607" i="1" s="1"/>
  <c r="M607" i="1" a="1"/>
  <c r="M607" i="1" s="1"/>
  <c r="L607" i="1" a="1"/>
  <c r="L607" i="1" s="1"/>
  <c r="K607" i="1" a="1"/>
  <c r="K607" i="1" s="1"/>
  <c r="J607" i="1" a="1"/>
  <c r="J607" i="1" s="1"/>
  <c r="I607" i="1" a="1"/>
  <c r="I607" i="1" s="1"/>
  <c r="H607" i="1" a="1"/>
  <c r="H607" i="1" s="1"/>
  <c r="G607" i="1" a="1"/>
  <c r="G607" i="1" s="1"/>
  <c r="F607" i="1" a="1"/>
  <c r="F607" i="1" s="1"/>
  <c r="E607" i="1" a="1"/>
  <c r="E607" i="1" s="1"/>
  <c r="D607" i="1" a="1"/>
  <c r="D607" i="1" s="1"/>
  <c r="C607" i="1" a="1"/>
  <c r="C607" i="1" s="1"/>
  <c r="B607" i="1" a="1"/>
  <c r="B607" i="1" s="1"/>
  <c r="N606" i="1" a="1"/>
  <c r="N606" i="1" s="1"/>
  <c r="M606" i="1" a="1"/>
  <c r="M606" i="1" s="1"/>
  <c r="L606" i="1" a="1"/>
  <c r="L606" i="1" s="1"/>
  <c r="K606" i="1" a="1"/>
  <c r="K606" i="1" s="1"/>
  <c r="J606" i="1" a="1"/>
  <c r="J606" i="1" s="1"/>
  <c r="I606" i="1" a="1"/>
  <c r="I606" i="1" s="1"/>
  <c r="H606" i="1" a="1"/>
  <c r="H606" i="1" s="1"/>
  <c r="G606" i="1" a="1"/>
  <c r="G606" i="1" s="1"/>
  <c r="F606" i="1" a="1"/>
  <c r="F606" i="1" s="1"/>
  <c r="E606" i="1" a="1"/>
  <c r="E606" i="1" s="1"/>
  <c r="D606" i="1" a="1"/>
  <c r="D606" i="1" s="1"/>
  <c r="C606" i="1" a="1"/>
  <c r="C606" i="1" s="1"/>
  <c r="B606" i="1" a="1"/>
  <c r="B606" i="1" s="1"/>
  <c r="N605" i="1" a="1"/>
  <c r="N605" i="1" s="1"/>
  <c r="M605" i="1" a="1"/>
  <c r="M605" i="1" s="1"/>
  <c r="L605" i="1" a="1"/>
  <c r="L605" i="1" s="1"/>
  <c r="K605" i="1" a="1"/>
  <c r="K605" i="1" s="1"/>
  <c r="J605" i="1" a="1"/>
  <c r="J605" i="1" s="1"/>
  <c r="I605" i="1" a="1"/>
  <c r="I605" i="1" s="1"/>
  <c r="H605" i="1" a="1"/>
  <c r="H605" i="1" s="1"/>
  <c r="G605" i="1" a="1"/>
  <c r="G605" i="1" s="1"/>
  <c r="F605" i="1" a="1"/>
  <c r="F605" i="1" s="1"/>
  <c r="E605" i="1" a="1"/>
  <c r="E605" i="1" s="1"/>
  <c r="D605" i="1"/>
  <c r="D605" i="1" a="1"/>
  <c r="C605" i="1"/>
  <c r="C605" i="1" a="1"/>
  <c r="B605" i="1"/>
  <c r="B605" i="1" a="1"/>
  <c r="N604" i="1"/>
  <c r="N604" i="1" a="1"/>
  <c r="M604" i="1"/>
  <c r="M604" i="1" a="1"/>
  <c r="L604" i="1"/>
  <c r="L604" i="1" a="1"/>
  <c r="K604" i="1"/>
  <c r="K604" i="1" a="1"/>
  <c r="J604" i="1"/>
  <c r="J604" i="1" a="1"/>
  <c r="I604" i="1"/>
  <c r="I604" i="1" a="1"/>
  <c r="H604" i="1"/>
  <c r="H604" i="1" a="1"/>
  <c r="G604" i="1"/>
  <c r="G604" i="1" a="1"/>
  <c r="F604" i="1"/>
  <c r="F604" i="1" a="1"/>
  <c r="E604" i="1"/>
  <c r="E604" i="1" a="1"/>
  <c r="D604" i="1"/>
  <c r="D604" i="1" a="1"/>
  <c r="C604" i="1"/>
  <c r="C604" i="1" a="1"/>
  <c r="B604" i="1"/>
  <c r="B604" i="1" a="1"/>
  <c r="N603" i="1"/>
  <c r="N603" i="1" a="1"/>
  <c r="M603" i="1"/>
  <c r="M603" i="1" a="1"/>
  <c r="L603" i="1"/>
  <c r="L603" i="1" a="1"/>
  <c r="K603" i="1"/>
  <c r="K603" i="1" a="1"/>
  <c r="J603" i="1"/>
  <c r="J603" i="1" a="1"/>
  <c r="I603" i="1"/>
  <c r="I603" i="1" a="1"/>
  <c r="H603" i="1"/>
  <c r="H603" i="1" a="1"/>
  <c r="G603" i="1"/>
  <c r="G603" i="1" a="1"/>
  <c r="F603" i="1"/>
  <c r="F603" i="1" a="1"/>
  <c r="E603" i="1"/>
  <c r="E603" i="1" a="1"/>
  <c r="D603" i="1"/>
  <c r="D603" i="1" a="1"/>
  <c r="C603" i="1" a="1"/>
  <c r="C603" i="1" s="1"/>
  <c r="B603" i="1" a="1"/>
  <c r="B603" i="1" s="1"/>
  <c r="N602" i="1" a="1"/>
  <c r="N602" i="1" s="1"/>
  <c r="M602" i="1" a="1"/>
  <c r="M602" i="1" s="1"/>
  <c r="L602" i="1" a="1"/>
  <c r="L602" i="1" s="1"/>
  <c r="K602" i="1" a="1"/>
  <c r="K602" i="1" s="1"/>
  <c r="J602" i="1" a="1"/>
  <c r="J602" i="1" s="1"/>
  <c r="I602" i="1" a="1"/>
  <c r="I602" i="1" s="1"/>
  <c r="H602" i="1" a="1"/>
  <c r="H602" i="1" s="1"/>
  <c r="G602" i="1" a="1"/>
  <c r="G602" i="1" s="1"/>
  <c r="F602" i="1" a="1"/>
  <c r="F602" i="1" s="1"/>
  <c r="E602" i="1" a="1"/>
  <c r="E602" i="1" s="1"/>
  <c r="D602" i="1" a="1"/>
  <c r="D602" i="1" s="1"/>
  <c r="C602" i="1" a="1"/>
  <c r="C602" i="1" s="1"/>
  <c r="B602" i="1" a="1"/>
  <c r="B602" i="1" s="1"/>
  <c r="N601" i="1" a="1"/>
  <c r="N601" i="1" s="1"/>
  <c r="M601" i="1" a="1"/>
  <c r="M601" i="1" s="1"/>
  <c r="L601" i="1" a="1"/>
  <c r="L601" i="1" s="1"/>
  <c r="K601" i="1" a="1"/>
  <c r="K601" i="1" s="1"/>
  <c r="J601" i="1" a="1"/>
  <c r="J601" i="1" s="1"/>
  <c r="I601" i="1" a="1"/>
  <c r="I601" i="1" s="1"/>
  <c r="H601" i="1" a="1"/>
  <c r="H601" i="1" s="1"/>
  <c r="G601" i="1" a="1"/>
  <c r="G601" i="1" s="1"/>
  <c r="F601" i="1" a="1"/>
  <c r="F601" i="1" s="1"/>
  <c r="E601" i="1" a="1"/>
  <c r="E601" i="1" s="1"/>
  <c r="D601" i="1" a="1"/>
  <c r="D601" i="1" s="1"/>
  <c r="C601" i="1" a="1"/>
  <c r="C601" i="1" s="1"/>
  <c r="B601" i="1" a="1"/>
  <c r="B601" i="1" s="1"/>
  <c r="N600" i="1" a="1"/>
  <c r="N600" i="1" s="1"/>
  <c r="M600" i="1" a="1"/>
  <c r="M600" i="1" s="1"/>
  <c r="L600" i="1" a="1"/>
  <c r="L600" i="1" s="1"/>
  <c r="K600" i="1" a="1"/>
  <c r="K600" i="1" s="1"/>
  <c r="J600" i="1" a="1"/>
  <c r="J600" i="1" s="1"/>
  <c r="I600" i="1" a="1"/>
  <c r="I600" i="1" s="1"/>
  <c r="H600" i="1" a="1"/>
  <c r="H600" i="1" s="1"/>
  <c r="G600" i="1" a="1"/>
  <c r="G600" i="1" s="1"/>
  <c r="F600" i="1" a="1"/>
  <c r="F600" i="1" s="1"/>
  <c r="E600" i="1" a="1"/>
  <c r="E600" i="1" s="1"/>
  <c r="D600" i="1" a="1"/>
  <c r="D600" i="1" s="1"/>
  <c r="C600" i="1" a="1"/>
  <c r="C600" i="1" s="1"/>
  <c r="B600" i="1" a="1"/>
  <c r="B600" i="1" s="1"/>
  <c r="N599" i="1" a="1"/>
  <c r="N599" i="1" s="1"/>
  <c r="M599" i="1" a="1"/>
  <c r="M599" i="1" s="1"/>
  <c r="L599" i="1" a="1"/>
  <c r="L599" i="1" s="1"/>
  <c r="K599" i="1" a="1"/>
  <c r="K599" i="1" s="1"/>
  <c r="J599" i="1" a="1"/>
  <c r="J599" i="1" s="1"/>
  <c r="I599" i="1" a="1"/>
  <c r="I599" i="1" s="1"/>
  <c r="H599" i="1" a="1"/>
  <c r="H599" i="1" s="1"/>
  <c r="G599" i="1" a="1"/>
  <c r="G599" i="1" s="1"/>
  <c r="F599" i="1" a="1"/>
  <c r="F599" i="1" s="1"/>
  <c r="E599" i="1" a="1"/>
  <c r="E599" i="1" s="1"/>
  <c r="D599" i="1" a="1"/>
  <c r="D599" i="1" s="1"/>
  <c r="C599" i="1" a="1"/>
  <c r="C599" i="1" s="1"/>
  <c r="B599" i="1" a="1"/>
  <c r="B599" i="1" s="1"/>
  <c r="N598" i="1" a="1"/>
  <c r="N598" i="1" s="1"/>
  <c r="M598" i="1" a="1"/>
  <c r="M598" i="1" s="1"/>
  <c r="L598" i="1" a="1"/>
  <c r="L598" i="1" s="1"/>
  <c r="K598" i="1" a="1"/>
  <c r="K598" i="1" s="1"/>
  <c r="J598" i="1" a="1"/>
  <c r="J598" i="1" s="1"/>
  <c r="I598" i="1" a="1"/>
  <c r="I598" i="1" s="1"/>
  <c r="H598" i="1" a="1"/>
  <c r="H598" i="1" s="1"/>
  <c r="G598" i="1" a="1"/>
  <c r="G598" i="1" s="1"/>
  <c r="F598" i="1" a="1"/>
  <c r="F598" i="1" s="1"/>
  <c r="E598" i="1" a="1"/>
  <c r="E598" i="1" s="1"/>
  <c r="D598" i="1" a="1"/>
  <c r="D598" i="1" s="1"/>
  <c r="C598" i="1" a="1"/>
  <c r="C598" i="1" s="1"/>
  <c r="B598" i="1" a="1"/>
  <c r="B598" i="1" s="1"/>
  <c r="N597" i="1" a="1"/>
  <c r="N597" i="1" s="1"/>
  <c r="M597" i="1" a="1"/>
  <c r="M597" i="1" s="1"/>
  <c r="L597" i="1" a="1"/>
  <c r="L597" i="1" s="1"/>
  <c r="K597" i="1" a="1"/>
  <c r="K597" i="1" s="1"/>
  <c r="J597" i="1" a="1"/>
  <c r="J597" i="1" s="1"/>
  <c r="I597" i="1" a="1"/>
  <c r="I597" i="1" s="1"/>
  <c r="H597" i="1" a="1"/>
  <c r="H597" i="1" s="1"/>
  <c r="G597" i="1" a="1"/>
  <c r="G597" i="1" s="1"/>
  <c r="F597" i="1" a="1"/>
  <c r="F597" i="1" s="1"/>
  <c r="E597" i="1" a="1"/>
  <c r="E597" i="1" s="1"/>
  <c r="D597" i="1" a="1"/>
  <c r="D597" i="1" s="1"/>
  <c r="C597" i="1" a="1"/>
  <c r="C597" i="1" s="1"/>
  <c r="B597" i="1" a="1"/>
  <c r="B597" i="1" s="1"/>
  <c r="N596" i="1" a="1"/>
  <c r="N596" i="1" s="1"/>
  <c r="M596" i="1" a="1"/>
  <c r="M596" i="1" s="1"/>
  <c r="L596" i="1" a="1"/>
  <c r="L596" i="1" s="1"/>
  <c r="K596" i="1" a="1"/>
  <c r="K596" i="1" s="1"/>
  <c r="J596" i="1" a="1"/>
  <c r="J596" i="1" s="1"/>
  <c r="I596" i="1" a="1"/>
  <c r="I596" i="1" s="1"/>
  <c r="H596" i="1" a="1"/>
  <c r="H596" i="1" s="1"/>
  <c r="G596" i="1" a="1"/>
  <c r="G596" i="1" s="1"/>
  <c r="F596" i="1" a="1"/>
  <c r="F596" i="1" s="1"/>
  <c r="E596" i="1" a="1"/>
  <c r="E596" i="1" s="1"/>
  <c r="D596" i="1" a="1"/>
  <c r="D596" i="1" s="1"/>
  <c r="C596" i="1" a="1"/>
  <c r="C596" i="1" s="1"/>
  <c r="B596" i="1" a="1"/>
  <c r="B596" i="1" s="1"/>
  <c r="N595" i="1" a="1"/>
  <c r="N595" i="1" s="1"/>
  <c r="M595" i="1" a="1"/>
  <c r="M595" i="1" s="1"/>
  <c r="L595" i="1" a="1"/>
  <c r="L595" i="1" s="1"/>
  <c r="K595" i="1" a="1"/>
  <c r="K595" i="1" s="1"/>
  <c r="J595" i="1" a="1"/>
  <c r="J595" i="1" s="1"/>
  <c r="I595" i="1" a="1"/>
  <c r="I595" i="1" s="1"/>
  <c r="H595" i="1" a="1"/>
  <c r="H595" i="1" s="1"/>
  <c r="G595" i="1" a="1"/>
  <c r="G595" i="1" s="1"/>
  <c r="F595" i="1" a="1"/>
  <c r="F595" i="1" s="1"/>
  <c r="E595" i="1" a="1"/>
  <c r="E595" i="1" s="1"/>
  <c r="D595" i="1" a="1"/>
  <c r="D595" i="1" s="1"/>
  <c r="C595" i="1" a="1"/>
  <c r="C595" i="1" s="1"/>
  <c r="B595" i="1" a="1"/>
  <c r="B595" i="1" s="1"/>
  <c r="N594" i="1" a="1"/>
  <c r="N594" i="1" s="1"/>
  <c r="M594" i="1" a="1"/>
  <c r="M594" i="1" s="1"/>
  <c r="L594" i="1" a="1"/>
  <c r="L594" i="1" s="1"/>
  <c r="K594" i="1" a="1"/>
  <c r="K594" i="1" s="1"/>
  <c r="J594" i="1" a="1"/>
  <c r="J594" i="1" s="1"/>
  <c r="I594" i="1" a="1"/>
  <c r="I594" i="1" s="1"/>
  <c r="H594" i="1" a="1"/>
  <c r="H594" i="1" s="1"/>
  <c r="G594" i="1" a="1"/>
  <c r="G594" i="1" s="1"/>
  <c r="F594" i="1" a="1"/>
  <c r="F594" i="1" s="1"/>
  <c r="E594" i="1" a="1"/>
  <c r="E594" i="1" s="1"/>
  <c r="D594" i="1" a="1"/>
  <c r="D594" i="1" s="1"/>
  <c r="C594" i="1" a="1"/>
  <c r="C594" i="1" s="1"/>
  <c r="B594" i="1" a="1"/>
  <c r="B594" i="1" s="1"/>
  <c r="N593" i="1" a="1"/>
  <c r="N593" i="1" s="1"/>
  <c r="M593" i="1" a="1"/>
  <c r="M593" i="1" s="1"/>
  <c r="L593" i="1" a="1"/>
  <c r="L593" i="1" s="1"/>
  <c r="K593" i="1" a="1"/>
  <c r="K593" i="1" s="1"/>
  <c r="J593" i="1" a="1"/>
  <c r="J593" i="1" s="1"/>
  <c r="I593" i="1" a="1"/>
  <c r="I593" i="1" s="1"/>
  <c r="H593" i="1" a="1"/>
  <c r="H593" i="1" s="1"/>
  <c r="G593" i="1" a="1"/>
  <c r="G593" i="1" s="1"/>
  <c r="F593" i="1" a="1"/>
  <c r="F593" i="1" s="1"/>
  <c r="E593" i="1" a="1"/>
  <c r="E593" i="1" s="1"/>
  <c r="D593" i="1" a="1"/>
  <c r="D593" i="1" s="1"/>
  <c r="C593" i="1" a="1"/>
  <c r="C593" i="1" s="1"/>
  <c r="B593" i="1" a="1"/>
  <c r="B593" i="1" s="1"/>
  <c r="N592" i="1" a="1"/>
  <c r="N592" i="1" s="1"/>
  <c r="M592" i="1" a="1"/>
  <c r="M592" i="1" s="1"/>
  <c r="L592" i="1" a="1"/>
  <c r="L592" i="1" s="1"/>
  <c r="K592" i="1" a="1"/>
  <c r="K592" i="1" s="1"/>
  <c r="J592" i="1" a="1"/>
  <c r="J592" i="1" s="1"/>
  <c r="I592" i="1" a="1"/>
  <c r="I592" i="1" s="1"/>
  <c r="H592" i="1" a="1"/>
  <c r="H592" i="1" s="1"/>
  <c r="G592" i="1" a="1"/>
  <c r="G592" i="1" s="1"/>
  <c r="F592" i="1" a="1"/>
  <c r="F592" i="1" s="1"/>
  <c r="E592" i="1" a="1"/>
  <c r="E592" i="1" s="1"/>
  <c r="D592" i="1" a="1"/>
  <c r="D592" i="1" s="1"/>
  <c r="C592" i="1" a="1"/>
  <c r="C592" i="1" s="1"/>
  <c r="B592" i="1" a="1"/>
  <c r="B592" i="1" s="1"/>
  <c r="N591" i="1" a="1"/>
  <c r="N591" i="1" s="1"/>
  <c r="M591" i="1" a="1"/>
  <c r="M591" i="1" s="1"/>
  <c r="L591" i="1" a="1"/>
  <c r="L591" i="1" s="1"/>
  <c r="K591" i="1" a="1"/>
  <c r="K591" i="1" s="1"/>
  <c r="J591" i="1" a="1"/>
  <c r="J591" i="1" s="1"/>
  <c r="I591" i="1" a="1"/>
  <c r="I591" i="1" s="1"/>
  <c r="H591" i="1" a="1"/>
  <c r="H591" i="1" s="1"/>
  <c r="G591" i="1" a="1"/>
  <c r="G591" i="1" s="1"/>
  <c r="F591" i="1" a="1"/>
  <c r="F591" i="1" s="1"/>
  <c r="E591" i="1" a="1"/>
  <c r="E591" i="1" s="1"/>
  <c r="D591" i="1" a="1"/>
  <c r="D591" i="1" s="1"/>
  <c r="C591" i="1" a="1"/>
  <c r="C591" i="1" s="1"/>
  <c r="B591" i="1" a="1"/>
  <c r="B591" i="1" s="1"/>
  <c r="N590" i="1" a="1"/>
  <c r="N590" i="1" s="1"/>
  <c r="M590" i="1" a="1"/>
  <c r="M590" i="1" s="1"/>
  <c r="L590" i="1" a="1"/>
  <c r="L590" i="1" s="1"/>
  <c r="K590" i="1" a="1"/>
  <c r="K590" i="1" s="1"/>
  <c r="J590" i="1" a="1"/>
  <c r="J590" i="1" s="1"/>
  <c r="I590" i="1" a="1"/>
  <c r="I590" i="1" s="1"/>
  <c r="H590" i="1" a="1"/>
  <c r="H590" i="1" s="1"/>
  <c r="G590" i="1" a="1"/>
  <c r="G590" i="1" s="1"/>
  <c r="F590" i="1" a="1"/>
  <c r="F590" i="1" s="1"/>
  <c r="E590" i="1" a="1"/>
  <c r="E590" i="1" s="1"/>
  <c r="D590" i="1" a="1"/>
  <c r="D590" i="1" s="1"/>
  <c r="C590" i="1" a="1"/>
  <c r="C590" i="1" s="1"/>
  <c r="B590" i="1" a="1"/>
  <c r="B590" i="1" s="1"/>
  <c r="N589" i="1" a="1"/>
  <c r="N589" i="1" s="1"/>
  <c r="M589" i="1" a="1"/>
  <c r="M589" i="1" s="1"/>
  <c r="L589" i="1" a="1"/>
  <c r="L589" i="1" s="1"/>
  <c r="K589" i="1" a="1"/>
  <c r="K589" i="1" s="1"/>
  <c r="J589" i="1" a="1"/>
  <c r="J589" i="1" s="1"/>
  <c r="I589" i="1" a="1"/>
  <c r="I589" i="1" s="1"/>
  <c r="H589" i="1" a="1"/>
  <c r="H589" i="1" s="1"/>
  <c r="G589" i="1" a="1"/>
  <c r="G589" i="1" s="1"/>
  <c r="F589" i="1" a="1"/>
  <c r="F589" i="1" s="1"/>
  <c r="E589" i="1" a="1"/>
  <c r="E589" i="1" s="1"/>
  <c r="D589" i="1" a="1"/>
  <c r="D589" i="1" s="1"/>
  <c r="C589" i="1" a="1"/>
  <c r="C589" i="1" s="1"/>
  <c r="B589" i="1" a="1"/>
  <c r="B589" i="1" s="1"/>
  <c r="N588" i="1" a="1"/>
  <c r="N588" i="1" s="1"/>
  <c r="M588" i="1" a="1"/>
  <c r="M588" i="1" s="1"/>
  <c r="L588" i="1" a="1"/>
  <c r="L588" i="1" s="1"/>
  <c r="K588" i="1" a="1"/>
  <c r="K588" i="1" s="1"/>
  <c r="J588" i="1" a="1"/>
  <c r="J588" i="1" s="1"/>
  <c r="I588" i="1" a="1"/>
  <c r="I588" i="1" s="1"/>
  <c r="H588" i="1" a="1"/>
  <c r="H588" i="1" s="1"/>
  <c r="G588" i="1" a="1"/>
  <c r="G588" i="1" s="1"/>
  <c r="F588" i="1" a="1"/>
  <c r="F588" i="1" s="1"/>
  <c r="E588" i="1" a="1"/>
  <c r="E588" i="1" s="1"/>
  <c r="D588" i="1" a="1"/>
  <c r="D588" i="1" s="1"/>
  <c r="C588" i="1" a="1"/>
  <c r="C588" i="1" s="1"/>
  <c r="B588" i="1" a="1"/>
  <c r="B588" i="1" s="1"/>
  <c r="N587" i="1" a="1"/>
  <c r="N587" i="1" s="1"/>
  <c r="M587" i="1" a="1"/>
  <c r="M587" i="1" s="1"/>
  <c r="L587" i="1" a="1"/>
  <c r="L587" i="1" s="1"/>
  <c r="K587" i="1" a="1"/>
  <c r="K587" i="1" s="1"/>
  <c r="J587" i="1" a="1"/>
  <c r="J587" i="1" s="1"/>
  <c r="I587" i="1" a="1"/>
  <c r="I587" i="1" s="1"/>
  <c r="H587" i="1" a="1"/>
  <c r="H587" i="1" s="1"/>
  <c r="G587" i="1" a="1"/>
  <c r="G587" i="1" s="1"/>
  <c r="F587" i="1" a="1"/>
  <c r="F587" i="1" s="1"/>
  <c r="E587" i="1" a="1"/>
  <c r="E587" i="1" s="1"/>
  <c r="D587" i="1" a="1"/>
  <c r="D587" i="1" s="1"/>
  <c r="C587" i="1" a="1"/>
  <c r="C587" i="1" s="1"/>
  <c r="B587" i="1" a="1"/>
  <c r="B587" i="1" s="1"/>
  <c r="N586" i="1" a="1"/>
  <c r="N586" i="1" s="1"/>
  <c r="M586" i="1" a="1"/>
  <c r="M586" i="1" s="1"/>
  <c r="L586" i="1" a="1"/>
  <c r="L586" i="1" s="1"/>
  <c r="K586" i="1" a="1"/>
  <c r="K586" i="1" s="1"/>
  <c r="J586" i="1" a="1"/>
  <c r="J586" i="1" s="1"/>
  <c r="I586" i="1" a="1"/>
  <c r="I586" i="1" s="1"/>
  <c r="H586" i="1" a="1"/>
  <c r="H586" i="1" s="1"/>
  <c r="G586" i="1" a="1"/>
  <c r="G586" i="1" s="1"/>
  <c r="F586" i="1" a="1"/>
  <c r="F586" i="1" s="1"/>
  <c r="E586" i="1" a="1"/>
  <c r="E586" i="1" s="1"/>
  <c r="D586" i="1" a="1"/>
  <c r="D586" i="1" s="1"/>
  <c r="C586" i="1" a="1"/>
  <c r="C586" i="1" s="1"/>
  <c r="B586" i="1" a="1"/>
  <c r="B586" i="1" s="1"/>
  <c r="N585" i="1" a="1"/>
  <c r="N585" i="1" s="1"/>
  <c r="M585" i="1" a="1"/>
  <c r="M585" i="1" s="1"/>
  <c r="L585" i="1" a="1"/>
  <c r="L585" i="1" s="1"/>
  <c r="K585" i="1" a="1"/>
  <c r="K585" i="1" s="1"/>
  <c r="J585" i="1" a="1"/>
  <c r="J585" i="1" s="1"/>
  <c r="I585" i="1" a="1"/>
  <c r="I585" i="1" s="1"/>
  <c r="H585" i="1" a="1"/>
  <c r="H585" i="1" s="1"/>
  <c r="G585" i="1" a="1"/>
  <c r="G585" i="1" s="1"/>
  <c r="F585" i="1" a="1"/>
  <c r="F585" i="1" s="1"/>
  <c r="E585" i="1" a="1"/>
  <c r="E585" i="1" s="1"/>
  <c r="D585" i="1" a="1"/>
  <c r="D585" i="1" s="1"/>
  <c r="C585" i="1" a="1"/>
  <c r="C585" i="1" s="1"/>
  <c r="B585" i="1" a="1"/>
  <c r="B585" i="1" s="1"/>
  <c r="N584" i="1" a="1"/>
  <c r="N584" i="1" s="1"/>
  <c r="M584" i="1" a="1"/>
  <c r="M584" i="1" s="1"/>
  <c r="L584" i="1" a="1"/>
  <c r="L584" i="1" s="1"/>
  <c r="K584" i="1" a="1"/>
  <c r="K584" i="1" s="1"/>
  <c r="J584" i="1" a="1"/>
  <c r="J584" i="1" s="1"/>
  <c r="I584" i="1" a="1"/>
  <c r="I584" i="1" s="1"/>
  <c r="H584" i="1" a="1"/>
  <c r="H584" i="1" s="1"/>
  <c r="G584" i="1" a="1"/>
  <c r="G584" i="1" s="1"/>
  <c r="F584" i="1" a="1"/>
  <c r="F584" i="1" s="1"/>
  <c r="E584" i="1" a="1"/>
  <c r="E584" i="1" s="1"/>
  <c r="D584" i="1" a="1"/>
  <c r="D584" i="1" s="1"/>
  <c r="C584" i="1" a="1"/>
  <c r="C584" i="1" s="1"/>
  <c r="B584" i="1" a="1"/>
  <c r="B584" i="1" s="1"/>
  <c r="N583" i="1" a="1"/>
  <c r="N583" i="1" s="1"/>
  <c r="M583" i="1" a="1"/>
  <c r="M583" i="1" s="1"/>
  <c r="L583" i="1" a="1"/>
  <c r="L583" i="1" s="1"/>
  <c r="K583" i="1" a="1"/>
  <c r="K583" i="1" s="1"/>
  <c r="J583" i="1" a="1"/>
  <c r="J583" i="1" s="1"/>
  <c r="I583" i="1" a="1"/>
  <c r="I583" i="1" s="1"/>
  <c r="H583" i="1" a="1"/>
  <c r="H583" i="1" s="1"/>
  <c r="G583" i="1" a="1"/>
  <c r="G583" i="1" s="1"/>
  <c r="F583" i="1" a="1"/>
  <c r="F583" i="1" s="1"/>
  <c r="E583" i="1" a="1"/>
  <c r="E583" i="1" s="1"/>
  <c r="D583" i="1" a="1"/>
  <c r="D583" i="1" s="1"/>
  <c r="C583" i="1" a="1"/>
  <c r="C583" i="1" s="1"/>
  <c r="B583" i="1" a="1"/>
  <c r="B583" i="1" s="1"/>
  <c r="N582" i="1" a="1"/>
  <c r="N582" i="1" s="1"/>
  <c r="M582" i="1" a="1"/>
  <c r="M582" i="1" s="1"/>
  <c r="L582" i="1" a="1"/>
  <c r="L582" i="1" s="1"/>
  <c r="K582" i="1" a="1"/>
  <c r="K582" i="1" s="1"/>
  <c r="J582" i="1" a="1"/>
  <c r="J582" i="1" s="1"/>
  <c r="I582" i="1" a="1"/>
  <c r="I582" i="1" s="1"/>
  <c r="H582" i="1" a="1"/>
  <c r="H582" i="1" s="1"/>
  <c r="G582" i="1" a="1"/>
  <c r="G582" i="1" s="1"/>
  <c r="F582" i="1" a="1"/>
  <c r="F582" i="1" s="1"/>
  <c r="E582" i="1" a="1"/>
  <c r="E582" i="1" s="1"/>
  <c r="D582" i="1" a="1"/>
  <c r="D582" i="1" s="1"/>
  <c r="C582" i="1" a="1"/>
  <c r="C582" i="1" s="1"/>
  <c r="B582" i="1" a="1"/>
  <c r="B582" i="1" s="1"/>
  <c r="N581" i="1" a="1"/>
  <c r="N581" i="1" s="1"/>
  <c r="M581" i="1" a="1"/>
  <c r="M581" i="1" s="1"/>
  <c r="L581" i="1" a="1"/>
  <c r="L581" i="1" s="1"/>
  <c r="K581" i="1" a="1"/>
  <c r="K581" i="1" s="1"/>
  <c r="J581" i="1" a="1"/>
  <c r="J581" i="1" s="1"/>
  <c r="I581" i="1" a="1"/>
  <c r="I581" i="1" s="1"/>
  <c r="H581" i="1" a="1"/>
  <c r="H581" i="1" s="1"/>
  <c r="G581" i="1" a="1"/>
  <c r="G581" i="1" s="1"/>
  <c r="F581" i="1" a="1"/>
  <c r="F581" i="1" s="1"/>
  <c r="E581" i="1" a="1"/>
  <c r="E581" i="1" s="1"/>
  <c r="D581" i="1" a="1"/>
  <c r="D581" i="1" s="1"/>
  <c r="C581" i="1" a="1"/>
  <c r="C581" i="1" s="1"/>
  <c r="B581" i="1" a="1"/>
  <c r="B581" i="1" s="1"/>
  <c r="N580" i="1" a="1"/>
  <c r="N580" i="1" s="1"/>
  <c r="M580" i="1" a="1"/>
  <c r="M580" i="1" s="1"/>
  <c r="L580" i="1" a="1"/>
  <c r="L580" i="1" s="1"/>
  <c r="K580" i="1" a="1"/>
  <c r="K580" i="1" s="1"/>
  <c r="J580" i="1" a="1"/>
  <c r="J580" i="1" s="1"/>
  <c r="I580" i="1" a="1"/>
  <c r="I580" i="1" s="1"/>
  <c r="H580" i="1" a="1"/>
  <c r="H580" i="1" s="1"/>
  <c r="G580" i="1" a="1"/>
  <c r="G580" i="1" s="1"/>
  <c r="F580" i="1" a="1"/>
  <c r="F580" i="1" s="1"/>
  <c r="E580" i="1" a="1"/>
  <c r="E580" i="1" s="1"/>
  <c r="D580" i="1" a="1"/>
  <c r="D580" i="1" s="1"/>
  <c r="C580" i="1" a="1"/>
  <c r="C580" i="1" s="1"/>
  <c r="B580" i="1" a="1"/>
  <c r="B580" i="1" s="1"/>
  <c r="N579" i="1" a="1"/>
  <c r="N579" i="1" s="1"/>
  <c r="M579" i="1" a="1"/>
  <c r="M579" i="1" s="1"/>
  <c r="L579" i="1" a="1"/>
  <c r="L579" i="1" s="1"/>
  <c r="K579" i="1" a="1"/>
  <c r="K579" i="1" s="1"/>
  <c r="J579" i="1" a="1"/>
  <c r="J579" i="1" s="1"/>
  <c r="I579" i="1" a="1"/>
  <c r="I579" i="1" s="1"/>
  <c r="H579" i="1" a="1"/>
  <c r="H579" i="1" s="1"/>
  <c r="G579" i="1" a="1"/>
  <c r="G579" i="1" s="1"/>
  <c r="F579" i="1" a="1"/>
  <c r="F579" i="1" s="1"/>
  <c r="E579" i="1" a="1"/>
  <c r="E579" i="1" s="1"/>
  <c r="D579" i="1" a="1"/>
  <c r="D579" i="1" s="1"/>
  <c r="C579" i="1" a="1"/>
  <c r="C579" i="1" s="1"/>
  <c r="B579" i="1" a="1"/>
  <c r="B579" i="1" s="1"/>
  <c r="N578" i="1" a="1"/>
  <c r="N578" i="1" s="1"/>
  <c r="M578" i="1" a="1"/>
  <c r="M578" i="1" s="1"/>
  <c r="L578" i="1" a="1"/>
  <c r="L578" i="1" s="1"/>
  <c r="K578" i="1" a="1"/>
  <c r="K578" i="1" s="1"/>
  <c r="J578" i="1" a="1"/>
  <c r="J578" i="1" s="1"/>
  <c r="I578" i="1" a="1"/>
  <c r="I578" i="1" s="1"/>
  <c r="H578" i="1" a="1"/>
  <c r="H578" i="1" s="1"/>
  <c r="G578" i="1" a="1"/>
  <c r="G578" i="1" s="1"/>
  <c r="F578" i="1" a="1"/>
  <c r="F578" i="1" s="1"/>
  <c r="E578" i="1" a="1"/>
  <c r="E578" i="1" s="1"/>
  <c r="D578" i="1" a="1"/>
  <c r="D578" i="1" s="1"/>
  <c r="C578" i="1" a="1"/>
  <c r="C578" i="1" s="1"/>
  <c r="B578" i="1" a="1"/>
  <c r="B578" i="1" s="1"/>
  <c r="N577" i="1" a="1"/>
  <c r="N577" i="1" s="1"/>
  <c r="M577" i="1" a="1"/>
  <c r="M577" i="1" s="1"/>
  <c r="L577" i="1" a="1"/>
  <c r="L577" i="1" s="1"/>
  <c r="K577" i="1" a="1"/>
  <c r="K577" i="1" s="1"/>
  <c r="J577" i="1" a="1"/>
  <c r="J577" i="1" s="1"/>
  <c r="I577" i="1" a="1"/>
  <c r="I577" i="1" s="1"/>
  <c r="H577" i="1" a="1"/>
  <c r="H577" i="1" s="1"/>
  <c r="G577" i="1" a="1"/>
  <c r="G577" i="1" s="1"/>
  <c r="F577" i="1" a="1"/>
  <c r="F577" i="1" s="1"/>
  <c r="E577" i="1" a="1"/>
  <c r="E577" i="1" s="1"/>
  <c r="D577" i="1" a="1"/>
  <c r="D577" i="1" s="1"/>
  <c r="C577" i="1" a="1"/>
  <c r="C577" i="1" s="1"/>
  <c r="B577" i="1" a="1"/>
  <c r="B577" i="1" s="1"/>
  <c r="N576" i="1" a="1"/>
  <c r="N576" i="1" s="1"/>
  <c r="M576" i="1" a="1"/>
  <c r="M576" i="1" s="1"/>
  <c r="L576" i="1" a="1"/>
  <c r="L576" i="1" s="1"/>
  <c r="K576" i="1" a="1"/>
  <c r="K576" i="1" s="1"/>
  <c r="J576" i="1" a="1"/>
  <c r="J576" i="1" s="1"/>
  <c r="I576" i="1" a="1"/>
  <c r="I576" i="1" s="1"/>
  <c r="H576" i="1" a="1"/>
  <c r="H576" i="1" s="1"/>
  <c r="G576" i="1" a="1"/>
  <c r="G576" i="1" s="1"/>
  <c r="F576" i="1" a="1"/>
  <c r="F576" i="1" s="1"/>
  <c r="E576" i="1" a="1"/>
  <c r="E576" i="1" s="1"/>
  <c r="D576" i="1" a="1"/>
  <c r="D576" i="1" s="1"/>
  <c r="C576" i="1" a="1"/>
  <c r="C576" i="1" s="1"/>
  <c r="B576" i="1" a="1"/>
  <c r="B576" i="1" s="1"/>
  <c r="N575" i="1" a="1"/>
  <c r="N575" i="1" s="1"/>
  <c r="M575" i="1" a="1"/>
  <c r="M575" i="1" s="1"/>
  <c r="L575" i="1" a="1"/>
  <c r="L575" i="1" s="1"/>
  <c r="K575" i="1" a="1"/>
  <c r="K575" i="1" s="1"/>
  <c r="J575" i="1" a="1"/>
  <c r="J575" i="1" s="1"/>
  <c r="I575" i="1" a="1"/>
  <c r="I575" i="1" s="1"/>
  <c r="H575" i="1" a="1"/>
  <c r="H575" i="1" s="1"/>
  <c r="G575" i="1" a="1"/>
  <c r="G575" i="1" s="1"/>
  <c r="F575" i="1" a="1"/>
  <c r="F575" i="1" s="1"/>
  <c r="E575" i="1" a="1"/>
  <c r="E575" i="1" s="1"/>
  <c r="D575" i="1" a="1"/>
  <c r="D575" i="1" s="1"/>
  <c r="C575" i="1" a="1"/>
  <c r="C575" i="1" s="1"/>
  <c r="B575" i="1" a="1"/>
  <c r="B575" i="1" s="1"/>
  <c r="N574" i="1" a="1"/>
  <c r="N574" i="1" s="1"/>
  <c r="M574" i="1" a="1"/>
  <c r="M574" i="1" s="1"/>
  <c r="L574" i="1" a="1"/>
  <c r="L574" i="1" s="1"/>
  <c r="K574" i="1" a="1"/>
  <c r="K574" i="1" s="1"/>
  <c r="J574" i="1" a="1"/>
  <c r="J574" i="1" s="1"/>
  <c r="I574" i="1" a="1"/>
  <c r="I574" i="1" s="1"/>
  <c r="H574" i="1" a="1"/>
  <c r="H574" i="1" s="1"/>
  <c r="G574" i="1" a="1"/>
  <c r="G574" i="1" s="1"/>
  <c r="F574" i="1" a="1"/>
  <c r="F574" i="1" s="1"/>
  <c r="E574" i="1" a="1"/>
  <c r="E574" i="1" s="1"/>
  <c r="D574" i="1" a="1"/>
  <c r="D574" i="1" s="1"/>
  <c r="C574" i="1" a="1"/>
  <c r="C574" i="1" s="1"/>
  <c r="B574" i="1" a="1"/>
  <c r="B574" i="1" s="1"/>
  <c r="N573" i="1" a="1"/>
  <c r="N573" i="1" s="1"/>
  <c r="M573" i="1" a="1"/>
  <c r="M573" i="1" s="1"/>
  <c r="L573" i="1" a="1"/>
  <c r="L573" i="1" s="1"/>
  <c r="K573" i="1" a="1"/>
  <c r="K573" i="1" s="1"/>
  <c r="J573" i="1" a="1"/>
  <c r="J573" i="1" s="1"/>
  <c r="I573" i="1" a="1"/>
  <c r="I573" i="1" s="1"/>
  <c r="H573" i="1" a="1"/>
  <c r="H573" i="1" s="1"/>
  <c r="G573" i="1" a="1"/>
  <c r="G573" i="1" s="1"/>
  <c r="F573" i="1" a="1"/>
  <c r="F573" i="1" s="1"/>
  <c r="E573" i="1" a="1"/>
  <c r="E573" i="1" s="1"/>
  <c r="D573" i="1" a="1"/>
  <c r="D573" i="1" s="1"/>
  <c r="C573" i="1" a="1"/>
  <c r="C573" i="1" s="1"/>
  <c r="B573" i="1" a="1"/>
  <c r="B573" i="1" s="1"/>
  <c r="N572" i="1" a="1"/>
  <c r="N572" i="1" s="1"/>
  <c r="M572" i="1" a="1"/>
  <c r="M572" i="1" s="1"/>
  <c r="L572" i="1" a="1"/>
  <c r="L572" i="1" s="1"/>
  <c r="K572" i="1" a="1"/>
  <c r="K572" i="1" s="1"/>
  <c r="J572" i="1" a="1"/>
  <c r="J572" i="1" s="1"/>
  <c r="I572" i="1" a="1"/>
  <c r="I572" i="1" s="1"/>
  <c r="H572" i="1" a="1"/>
  <c r="H572" i="1" s="1"/>
  <c r="G572" i="1" a="1"/>
  <c r="G572" i="1" s="1"/>
  <c r="F572" i="1" a="1"/>
  <c r="F572" i="1" s="1"/>
  <c r="E572" i="1" a="1"/>
  <c r="E572" i="1" s="1"/>
  <c r="D572" i="1" a="1"/>
  <c r="D572" i="1" s="1"/>
  <c r="C572" i="1" a="1"/>
  <c r="C572" i="1" s="1"/>
  <c r="B572" i="1" a="1"/>
  <c r="B572" i="1" s="1"/>
  <c r="N571" i="1" a="1"/>
  <c r="N571" i="1" s="1"/>
  <c r="M571" i="1" a="1"/>
  <c r="M571" i="1" s="1"/>
  <c r="L571" i="1" a="1"/>
  <c r="L571" i="1" s="1"/>
  <c r="K571" i="1" a="1"/>
  <c r="K571" i="1" s="1"/>
  <c r="J571" i="1" a="1"/>
  <c r="J571" i="1" s="1"/>
  <c r="I571" i="1" a="1"/>
  <c r="I571" i="1" s="1"/>
  <c r="H571" i="1" a="1"/>
  <c r="H571" i="1" s="1"/>
  <c r="G571" i="1" a="1"/>
  <c r="G571" i="1" s="1"/>
  <c r="F571" i="1" a="1"/>
  <c r="F571" i="1" s="1"/>
  <c r="E571" i="1" a="1"/>
  <c r="E571" i="1" s="1"/>
  <c r="D571" i="1" a="1"/>
  <c r="D571" i="1" s="1"/>
  <c r="C571" i="1" a="1"/>
  <c r="C571" i="1" s="1"/>
  <c r="B571" i="1" a="1"/>
  <c r="B571" i="1" s="1"/>
  <c r="N570" i="1" a="1"/>
  <c r="N570" i="1" s="1"/>
  <c r="M570" i="1" a="1"/>
  <c r="M570" i="1" s="1"/>
  <c r="L570" i="1" a="1"/>
  <c r="L570" i="1" s="1"/>
  <c r="K570" i="1" a="1"/>
  <c r="K570" i="1" s="1"/>
  <c r="J570" i="1" a="1"/>
  <c r="J570" i="1" s="1"/>
  <c r="I570" i="1" a="1"/>
  <c r="I570" i="1" s="1"/>
  <c r="H570" i="1" a="1"/>
  <c r="H570" i="1" s="1"/>
  <c r="G570" i="1" a="1"/>
  <c r="G570" i="1" s="1"/>
  <c r="F570" i="1" a="1"/>
  <c r="F570" i="1" s="1"/>
  <c r="E570" i="1" a="1"/>
  <c r="E570" i="1" s="1"/>
  <c r="D570" i="1" a="1"/>
  <c r="D570" i="1" s="1"/>
  <c r="C570" i="1" a="1"/>
  <c r="C570" i="1" s="1"/>
  <c r="B570" i="1" a="1"/>
  <c r="B570" i="1" s="1"/>
  <c r="N569" i="1" a="1"/>
  <c r="N569" i="1" s="1"/>
  <c r="M569" i="1" a="1"/>
  <c r="M569" i="1" s="1"/>
  <c r="L569" i="1" a="1"/>
  <c r="L569" i="1" s="1"/>
  <c r="K569" i="1" a="1"/>
  <c r="K569" i="1" s="1"/>
  <c r="J569" i="1" a="1"/>
  <c r="J569" i="1" s="1"/>
  <c r="I569" i="1" a="1"/>
  <c r="I569" i="1" s="1"/>
  <c r="H569" i="1" a="1"/>
  <c r="H569" i="1" s="1"/>
  <c r="G569" i="1" a="1"/>
  <c r="G569" i="1" s="1"/>
  <c r="F569" i="1" a="1"/>
  <c r="F569" i="1" s="1"/>
  <c r="E569" i="1" a="1"/>
  <c r="E569" i="1" s="1"/>
  <c r="D569" i="1" a="1"/>
  <c r="D569" i="1" s="1"/>
  <c r="C569" i="1" a="1"/>
  <c r="C569" i="1" s="1"/>
  <c r="B569" i="1" a="1"/>
  <c r="B569" i="1" s="1"/>
  <c r="N568" i="1" a="1"/>
  <c r="N568" i="1" s="1"/>
  <c r="M568" i="1" a="1"/>
  <c r="M568" i="1" s="1"/>
  <c r="L568" i="1" a="1"/>
  <c r="L568" i="1" s="1"/>
  <c r="K568" i="1" a="1"/>
  <c r="K568" i="1" s="1"/>
  <c r="J568" i="1" a="1"/>
  <c r="J568" i="1" s="1"/>
  <c r="I568" i="1" a="1"/>
  <c r="I568" i="1" s="1"/>
  <c r="H568" i="1" a="1"/>
  <c r="H568" i="1" s="1"/>
  <c r="G568" i="1" a="1"/>
  <c r="G568" i="1" s="1"/>
  <c r="F568" i="1" a="1"/>
  <c r="F568" i="1" s="1"/>
  <c r="E568" i="1" a="1"/>
  <c r="E568" i="1" s="1"/>
  <c r="D568" i="1" a="1"/>
  <c r="D568" i="1" s="1"/>
  <c r="C568" i="1" a="1"/>
  <c r="C568" i="1" s="1"/>
  <c r="B568" i="1" a="1"/>
  <c r="B568" i="1" s="1"/>
  <c r="N567" i="1" a="1"/>
  <c r="N567" i="1" s="1"/>
  <c r="M567" i="1" a="1"/>
  <c r="M567" i="1" s="1"/>
  <c r="L567" i="1" a="1"/>
  <c r="L567" i="1" s="1"/>
  <c r="K567" i="1" a="1"/>
  <c r="K567" i="1" s="1"/>
  <c r="J567" i="1" a="1"/>
  <c r="J567" i="1" s="1"/>
  <c r="I567" i="1" a="1"/>
  <c r="I567" i="1" s="1"/>
  <c r="H567" i="1" a="1"/>
  <c r="H567" i="1" s="1"/>
  <c r="G567" i="1" a="1"/>
  <c r="G567" i="1" s="1"/>
  <c r="F567" i="1" a="1"/>
  <c r="F567" i="1" s="1"/>
  <c r="E567" i="1" a="1"/>
  <c r="E567" i="1" s="1"/>
  <c r="D567" i="1" a="1"/>
  <c r="D567" i="1" s="1"/>
  <c r="C567" i="1" a="1"/>
  <c r="C567" i="1" s="1"/>
  <c r="B567" i="1" a="1"/>
  <c r="B567" i="1" s="1"/>
  <c r="N566" i="1" a="1"/>
  <c r="N566" i="1" s="1"/>
  <c r="M566" i="1" a="1"/>
  <c r="M566" i="1" s="1"/>
  <c r="L566" i="1" a="1"/>
  <c r="L566" i="1" s="1"/>
  <c r="K566" i="1" a="1"/>
  <c r="K566" i="1" s="1"/>
  <c r="J566" i="1" a="1"/>
  <c r="J566" i="1" s="1"/>
  <c r="I566" i="1" a="1"/>
  <c r="I566" i="1" s="1"/>
  <c r="H566" i="1" a="1"/>
  <c r="H566" i="1" s="1"/>
  <c r="G566" i="1" a="1"/>
  <c r="G566" i="1" s="1"/>
  <c r="F566" i="1" a="1"/>
  <c r="F566" i="1" s="1"/>
  <c r="E566" i="1" a="1"/>
  <c r="E566" i="1" s="1"/>
  <c r="D566" i="1" a="1"/>
  <c r="D566" i="1" s="1"/>
  <c r="C566" i="1" a="1"/>
  <c r="C566" i="1" s="1"/>
  <c r="B566" i="1" a="1"/>
  <c r="B566" i="1" s="1"/>
  <c r="N565" i="1" a="1"/>
  <c r="N565" i="1" s="1"/>
  <c r="M565" i="1" a="1"/>
  <c r="M565" i="1" s="1"/>
  <c r="L565" i="1" a="1"/>
  <c r="L565" i="1" s="1"/>
  <c r="K565" i="1" a="1"/>
  <c r="K565" i="1" s="1"/>
  <c r="J565" i="1" a="1"/>
  <c r="J565" i="1" s="1"/>
  <c r="I565" i="1" a="1"/>
  <c r="I565" i="1" s="1"/>
  <c r="H565" i="1" a="1"/>
  <c r="H565" i="1" s="1"/>
  <c r="G565" i="1" a="1"/>
  <c r="G565" i="1" s="1"/>
  <c r="F565" i="1" a="1"/>
  <c r="F565" i="1" s="1"/>
  <c r="E565" i="1" a="1"/>
  <c r="E565" i="1" s="1"/>
  <c r="D565" i="1" a="1"/>
  <c r="D565" i="1" s="1"/>
  <c r="C565" i="1" a="1"/>
  <c r="C565" i="1" s="1"/>
  <c r="B565" i="1" a="1"/>
  <c r="B565" i="1" s="1"/>
  <c r="N564" i="1" a="1"/>
  <c r="N564" i="1" s="1"/>
  <c r="M564" i="1" a="1"/>
  <c r="M564" i="1" s="1"/>
  <c r="L564" i="1" a="1"/>
  <c r="L564" i="1" s="1"/>
  <c r="K564" i="1" a="1"/>
  <c r="K564" i="1" s="1"/>
  <c r="J564" i="1" a="1"/>
  <c r="J564" i="1" s="1"/>
  <c r="I564" i="1" a="1"/>
  <c r="I564" i="1" s="1"/>
  <c r="H564" i="1" a="1"/>
  <c r="H564" i="1" s="1"/>
  <c r="G564" i="1" a="1"/>
  <c r="G564" i="1" s="1"/>
  <c r="F564" i="1" a="1"/>
  <c r="F564" i="1" s="1"/>
  <c r="E564" i="1" a="1"/>
  <c r="E564" i="1" s="1"/>
  <c r="D564" i="1" a="1"/>
  <c r="D564" i="1" s="1"/>
  <c r="C564" i="1" a="1"/>
  <c r="C564" i="1" s="1"/>
  <c r="B564" i="1" a="1"/>
  <c r="B564" i="1" s="1"/>
  <c r="N563" i="1" a="1"/>
  <c r="N563" i="1" s="1"/>
  <c r="M563" i="1" a="1"/>
  <c r="M563" i="1" s="1"/>
  <c r="L563" i="1" a="1"/>
  <c r="L563" i="1" s="1"/>
  <c r="K563" i="1" a="1"/>
  <c r="K563" i="1" s="1"/>
  <c r="J563" i="1" a="1"/>
  <c r="J563" i="1" s="1"/>
  <c r="I563" i="1" a="1"/>
  <c r="I563" i="1" s="1"/>
  <c r="H563" i="1" a="1"/>
  <c r="H563" i="1" s="1"/>
  <c r="G563" i="1" a="1"/>
  <c r="G563" i="1" s="1"/>
  <c r="F563" i="1" a="1"/>
  <c r="F563" i="1" s="1"/>
  <c r="E563" i="1" a="1"/>
  <c r="E563" i="1" s="1"/>
  <c r="D563" i="1" a="1"/>
  <c r="D563" i="1" s="1"/>
  <c r="C563" i="1" a="1"/>
  <c r="C563" i="1" s="1"/>
  <c r="B563" i="1" a="1"/>
  <c r="B563" i="1" s="1"/>
  <c r="N562" i="1" a="1"/>
  <c r="N562" i="1" s="1"/>
  <c r="M562" i="1" a="1"/>
  <c r="M562" i="1" s="1"/>
  <c r="L562" i="1" a="1"/>
  <c r="L562" i="1" s="1"/>
  <c r="K562" i="1" a="1"/>
  <c r="K562" i="1" s="1"/>
  <c r="J562" i="1" a="1"/>
  <c r="J562" i="1" s="1"/>
  <c r="I562" i="1" a="1"/>
  <c r="I562" i="1" s="1"/>
  <c r="H562" i="1" a="1"/>
  <c r="H562" i="1" s="1"/>
  <c r="G562" i="1" a="1"/>
  <c r="G562" i="1" s="1"/>
  <c r="F562" i="1" a="1"/>
  <c r="F562" i="1" s="1"/>
  <c r="E562" i="1" a="1"/>
  <c r="E562" i="1" s="1"/>
  <c r="D562" i="1" a="1"/>
  <c r="D562" i="1" s="1"/>
  <c r="C562" i="1" a="1"/>
  <c r="C562" i="1" s="1"/>
  <c r="B562" i="1" a="1"/>
  <c r="B562" i="1" s="1"/>
  <c r="N561" i="1" a="1"/>
  <c r="N561" i="1" s="1"/>
  <c r="M561" i="1" a="1"/>
  <c r="M561" i="1" s="1"/>
  <c r="L561" i="1" a="1"/>
  <c r="L561" i="1" s="1"/>
  <c r="K561" i="1" a="1"/>
  <c r="K561" i="1" s="1"/>
  <c r="J561" i="1" a="1"/>
  <c r="J561" i="1" s="1"/>
  <c r="I561" i="1" a="1"/>
  <c r="I561" i="1" s="1"/>
  <c r="H561" i="1" a="1"/>
  <c r="H561" i="1" s="1"/>
  <c r="G561" i="1" a="1"/>
  <c r="G561" i="1" s="1"/>
  <c r="F561" i="1" a="1"/>
  <c r="F561" i="1" s="1"/>
  <c r="E561" i="1" a="1"/>
  <c r="E561" i="1" s="1"/>
  <c r="D561" i="1" a="1"/>
  <c r="D561" i="1" s="1"/>
  <c r="C561" i="1" a="1"/>
  <c r="C561" i="1" s="1"/>
  <c r="B561" i="1" a="1"/>
  <c r="B561" i="1" s="1"/>
  <c r="N560" i="1" a="1"/>
  <c r="N560" i="1" s="1"/>
  <c r="M560" i="1" a="1"/>
  <c r="M560" i="1" s="1"/>
  <c r="L560" i="1" a="1"/>
  <c r="L560" i="1" s="1"/>
  <c r="K560" i="1" a="1"/>
  <c r="K560" i="1" s="1"/>
  <c r="J560" i="1" a="1"/>
  <c r="J560" i="1" s="1"/>
  <c r="I560" i="1" a="1"/>
  <c r="I560" i="1" s="1"/>
  <c r="H560" i="1" a="1"/>
  <c r="H560" i="1" s="1"/>
  <c r="G560" i="1" a="1"/>
  <c r="G560" i="1" s="1"/>
  <c r="F560" i="1" a="1"/>
  <c r="F560" i="1" s="1"/>
  <c r="E560" i="1" a="1"/>
  <c r="E560" i="1" s="1"/>
  <c r="D560" i="1" a="1"/>
  <c r="D560" i="1" s="1"/>
  <c r="C560" i="1" a="1"/>
  <c r="C560" i="1" s="1"/>
  <c r="B560" i="1" a="1"/>
  <c r="B560" i="1" s="1"/>
  <c r="N559" i="1" a="1"/>
  <c r="N559" i="1" s="1"/>
  <c r="M559" i="1" a="1"/>
  <c r="M559" i="1" s="1"/>
  <c r="L559" i="1" a="1"/>
  <c r="L559" i="1" s="1"/>
  <c r="K559" i="1" a="1"/>
  <c r="K559" i="1" s="1"/>
  <c r="J559" i="1" a="1"/>
  <c r="J559" i="1" s="1"/>
  <c r="I559" i="1" a="1"/>
  <c r="I559" i="1" s="1"/>
  <c r="H559" i="1" a="1"/>
  <c r="H559" i="1" s="1"/>
  <c r="G559" i="1" a="1"/>
  <c r="G559" i="1" s="1"/>
  <c r="F559" i="1" a="1"/>
  <c r="F559" i="1" s="1"/>
  <c r="E559" i="1" a="1"/>
  <c r="E559" i="1" s="1"/>
  <c r="D559" i="1" a="1"/>
  <c r="D559" i="1" s="1"/>
  <c r="C559" i="1" a="1"/>
  <c r="C559" i="1" s="1"/>
  <c r="B559" i="1" a="1"/>
  <c r="B559" i="1" s="1"/>
  <c r="N558" i="1" a="1"/>
  <c r="N558" i="1" s="1"/>
  <c r="M558" i="1" a="1"/>
  <c r="M558" i="1" s="1"/>
  <c r="L558" i="1" a="1"/>
  <c r="L558" i="1" s="1"/>
  <c r="K558" i="1" a="1"/>
  <c r="K558" i="1" s="1"/>
  <c r="J558" i="1" a="1"/>
  <c r="J558" i="1" s="1"/>
  <c r="I558" i="1" a="1"/>
  <c r="I558" i="1" s="1"/>
  <c r="H558" i="1" a="1"/>
  <c r="H558" i="1" s="1"/>
  <c r="G558" i="1" a="1"/>
  <c r="G558" i="1" s="1"/>
  <c r="F558" i="1" a="1"/>
  <c r="F558" i="1" s="1"/>
  <c r="E558" i="1" a="1"/>
  <c r="E558" i="1" s="1"/>
  <c r="D558" i="1" a="1"/>
  <c r="D558" i="1" s="1"/>
  <c r="C558" i="1" a="1"/>
  <c r="C558" i="1" s="1"/>
  <c r="B558" i="1" a="1"/>
  <c r="B558" i="1" s="1"/>
  <c r="N557" i="1" a="1"/>
  <c r="N557" i="1" s="1"/>
  <c r="M557" i="1" a="1"/>
  <c r="M557" i="1" s="1"/>
  <c r="L557" i="1" a="1"/>
  <c r="L557" i="1" s="1"/>
  <c r="K557" i="1" a="1"/>
  <c r="K557" i="1" s="1"/>
  <c r="J557" i="1" a="1"/>
  <c r="J557" i="1" s="1"/>
  <c r="I557" i="1" a="1"/>
  <c r="I557" i="1" s="1"/>
  <c r="H557" i="1" a="1"/>
  <c r="H557" i="1" s="1"/>
  <c r="G557" i="1" a="1"/>
  <c r="G557" i="1" s="1"/>
  <c r="F557" i="1" a="1"/>
  <c r="F557" i="1" s="1"/>
  <c r="E557" i="1" a="1"/>
  <c r="E557" i="1" s="1"/>
  <c r="D557" i="1" a="1"/>
  <c r="D557" i="1" s="1"/>
  <c r="C557" i="1" a="1"/>
  <c r="C557" i="1" s="1"/>
  <c r="B557" i="1" a="1"/>
  <c r="B557" i="1" s="1"/>
  <c r="N556" i="1" a="1"/>
  <c r="N556" i="1" s="1"/>
  <c r="M556" i="1" a="1"/>
  <c r="M556" i="1" s="1"/>
  <c r="L556" i="1" a="1"/>
  <c r="L556" i="1" s="1"/>
  <c r="K556" i="1" a="1"/>
  <c r="K556" i="1" s="1"/>
  <c r="J556" i="1" a="1"/>
  <c r="J556" i="1" s="1"/>
  <c r="I556" i="1" a="1"/>
  <c r="I556" i="1" s="1"/>
  <c r="H556" i="1" a="1"/>
  <c r="H556" i="1" s="1"/>
  <c r="G556" i="1" a="1"/>
  <c r="G556" i="1" s="1"/>
  <c r="F556" i="1" a="1"/>
  <c r="F556" i="1" s="1"/>
  <c r="E556" i="1" a="1"/>
  <c r="E556" i="1" s="1"/>
  <c r="D556" i="1" a="1"/>
  <c r="D556" i="1" s="1"/>
  <c r="C556" i="1" a="1"/>
  <c r="C556" i="1" s="1"/>
  <c r="B556" i="1" a="1"/>
  <c r="B556" i="1" s="1"/>
  <c r="N555" i="1" a="1"/>
  <c r="N555" i="1" s="1"/>
  <c r="M555" i="1" a="1"/>
  <c r="M555" i="1" s="1"/>
  <c r="L555" i="1" a="1"/>
  <c r="L555" i="1" s="1"/>
  <c r="K555" i="1" a="1"/>
  <c r="K555" i="1" s="1"/>
  <c r="J555" i="1" a="1"/>
  <c r="J555" i="1" s="1"/>
  <c r="I555" i="1" a="1"/>
  <c r="I555" i="1" s="1"/>
  <c r="H555" i="1" a="1"/>
  <c r="H555" i="1" s="1"/>
  <c r="G555" i="1" a="1"/>
  <c r="G555" i="1" s="1"/>
  <c r="F555" i="1" a="1"/>
  <c r="F555" i="1" s="1"/>
  <c r="E555" i="1" a="1"/>
  <c r="E555" i="1" s="1"/>
  <c r="D555" i="1" a="1"/>
  <c r="D555" i="1" s="1"/>
  <c r="C555" i="1" a="1"/>
  <c r="C555" i="1" s="1"/>
  <c r="B555" i="1" a="1"/>
  <c r="B555" i="1" s="1"/>
  <c r="N554" i="1" a="1"/>
  <c r="N554" i="1" s="1"/>
  <c r="M554" i="1" a="1"/>
  <c r="M554" i="1" s="1"/>
  <c r="L554" i="1" a="1"/>
  <c r="L554" i="1" s="1"/>
  <c r="K554" i="1" a="1"/>
  <c r="K554" i="1" s="1"/>
  <c r="J554" i="1" a="1"/>
  <c r="J554" i="1" s="1"/>
  <c r="I554" i="1" a="1"/>
  <c r="I554" i="1" s="1"/>
  <c r="H554" i="1" a="1"/>
  <c r="H554" i="1" s="1"/>
  <c r="G554" i="1" a="1"/>
  <c r="G554" i="1" s="1"/>
  <c r="F554" i="1" a="1"/>
  <c r="F554" i="1" s="1"/>
  <c r="E554" i="1" a="1"/>
  <c r="E554" i="1" s="1"/>
  <c r="D554" i="1" a="1"/>
  <c r="D554" i="1" s="1"/>
  <c r="C554" i="1" a="1"/>
  <c r="C554" i="1" s="1"/>
  <c r="B554" i="1" a="1"/>
  <c r="B554" i="1" s="1"/>
  <c r="N553" i="1" a="1"/>
  <c r="N553" i="1" s="1"/>
  <c r="M553" i="1" a="1"/>
  <c r="M553" i="1" s="1"/>
  <c r="L553" i="1" a="1"/>
  <c r="L553" i="1" s="1"/>
  <c r="K553" i="1" a="1"/>
  <c r="K553" i="1" s="1"/>
  <c r="J553" i="1" a="1"/>
  <c r="J553" i="1" s="1"/>
  <c r="I553" i="1" a="1"/>
  <c r="I553" i="1" s="1"/>
  <c r="H553" i="1" a="1"/>
  <c r="H553" i="1" s="1"/>
  <c r="G553" i="1" a="1"/>
  <c r="G553" i="1" s="1"/>
  <c r="F553" i="1" a="1"/>
  <c r="F553" i="1" s="1"/>
  <c r="E553" i="1" a="1"/>
  <c r="E553" i="1" s="1"/>
  <c r="D553" i="1" a="1"/>
  <c r="D553" i="1" s="1"/>
  <c r="C553" i="1" a="1"/>
  <c r="C553" i="1" s="1"/>
  <c r="B553" i="1" a="1"/>
  <c r="B553" i="1" s="1"/>
  <c r="N552" i="1" a="1"/>
  <c r="N552" i="1" s="1"/>
  <c r="M552" i="1" a="1"/>
  <c r="M552" i="1" s="1"/>
  <c r="L552" i="1" a="1"/>
  <c r="L552" i="1" s="1"/>
  <c r="K552" i="1" a="1"/>
  <c r="K552" i="1" s="1"/>
  <c r="J552" i="1" a="1"/>
  <c r="J552" i="1" s="1"/>
  <c r="I552" i="1" a="1"/>
  <c r="I552" i="1" s="1"/>
  <c r="H552" i="1" a="1"/>
  <c r="H552" i="1" s="1"/>
  <c r="G552" i="1" a="1"/>
  <c r="G552" i="1" s="1"/>
  <c r="F552" i="1" a="1"/>
  <c r="F552" i="1" s="1"/>
  <c r="E552" i="1" a="1"/>
  <c r="E552" i="1" s="1"/>
  <c r="D552" i="1" a="1"/>
  <c r="D552" i="1" s="1"/>
  <c r="C552" i="1" a="1"/>
  <c r="C552" i="1" s="1"/>
  <c r="B552" i="1" a="1"/>
  <c r="B552" i="1" s="1"/>
  <c r="N551" i="1" a="1"/>
  <c r="N551" i="1" s="1"/>
  <c r="M551" i="1" a="1"/>
  <c r="M551" i="1" s="1"/>
  <c r="L551" i="1" a="1"/>
  <c r="L551" i="1" s="1"/>
  <c r="K551" i="1" a="1"/>
  <c r="K551" i="1" s="1"/>
  <c r="J551" i="1" a="1"/>
  <c r="J551" i="1" s="1"/>
  <c r="I551" i="1" a="1"/>
  <c r="I551" i="1" s="1"/>
  <c r="H551" i="1" a="1"/>
  <c r="H551" i="1" s="1"/>
  <c r="G551" i="1" a="1"/>
  <c r="G551" i="1" s="1"/>
  <c r="F551" i="1" a="1"/>
  <c r="F551" i="1" s="1"/>
  <c r="E551" i="1" a="1"/>
  <c r="E551" i="1" s="1"/>
  <c r="D551" i="1" a="1"/>
  <c r="D551" i="1" s="1"/>
  <c r="C551" i="1" a="1"/>
  <c r="C551" i="1" s="1"/>
  <c r="B551" i="1" a="1"/>
  <c r="B551" i="1" s="1"/>
  <c r="N550" i="1" a="1"/>
  <c r="N550" i="1" s="1"/>
  <c r="M550" i="1" a="1"/>
  <c r="M550" i="1" s="1"/>
  <c r="L550" i="1" a="1"/>
  <c r="L550" i="1" s="1"/>
  <c r="K550" i="1" a="1"/>
  <c r="K550" i="1" s="1"/>
  <c r="J550" i="1"/>
  <c r="J550" i="1" a="1"/>
  <c r="I550" i="1"/>
  <c r="I550" i="1" a="1"/>
  <c r="H550" i="1"/>
  <c r="H550" i="1" a="1"/>
  <c r="G550" i="1"/>
  <c r="G550" i="1" a="1"/>
  <c r="F550" i="1"/>
  <c r="F550" i="1" a="1"/>
  <c r="E550" i="1"/>
  <c r="E550" i="1" a="1"/>
  <c r="D550" i="1"/>
  <c r="D550" i="1" a="1"/>
  <c r="C550" i="1"/>
  <c r="C550" i="1" a="1"/>
  <c r="B550" i="1"/>
  <c r="B550" i="1" a="1"/>
  <c r="N549" i="1"/>
  <c r="N549" i="1" a="1"/>
  <c r="M549" i="1"/>
  <c r="M549" i="1" a="1"/>
  <c r="L549" i="1"/>
  <c r="L549" i="1" a="1"/>
  <c r="K549" i="1"/>
  <c r="K549" i="1" a="1"/>
  <c r="J549" i="1"/>
  <c r="J549" i="1" a="1"/>
  <c r="I549" i="1"/>
  <c r="I549" i="1" a="1"/>
  <c r="H549" i="1"/>
  <c r="H549" i="1" a="1"/>
  <c r="G549" i="1"/>
  <c r="G549" i="1" a="1"/>
  <c r="F549" i="1"/>
  <c r="F549" i="1" a="1"/>
  <c r="E549" i="1"/>
  <c r="E549" i="1" a="1"/>
  <c r="D549" i="1"/>
  <c r="D549" i="1" a="1"/>
  <c r="C549" i="1"/>
  <c r="C549" i="1" a="1"/>
  <c r="B549" i="1"/>
  <c r="B549" i="1" a="1"/>
  <c r="N548" i="1"/>
  <c r="N548" i="1" a="1"/>
  <c r="M548" i="1"/>
  <c r="M548" i="1" a="1"/>
  <c r="L548" i="1"/>
  <c r="L548" i="1" a="1"/>
  <c r="K548" i="1"/>
  <c r="K548" i="1" a="1"/>
  <c r="J548" i="1"/>
  <c r="J548" i="1" a="1"/>
  <c r="I548" i="1"/>
  <c r="I548" i="1" a="1"/>
  <c r="H548" i="1"/>
  <c r="H548" i="1" a="1"/>
  <c r="G548" i="1"/>
  <c r="G548" i="1" a="1"/>
  <c r="F548" i="1"/>
  <c r="F548" i="1" a="1"/>
  <c r="E548" i="1"/>
  <c r="E548" i="1" a="1"/>
  <c r="D548" i="1"/>
  <c r="D548" i="1" a="1"/>
  <c r="C548" i="1"/>
  <c r="C548" i="1" a="1"/>
  <c r="B548" i="1"/>
  <c r="B548" i="1" a="1"/>
  <c r="N547" i="1"/>
  <c r="N547" i="1" a="1"/>
  <c r="M547" i="1"/>
  <c r="M547" i="1" a="1"/>
  <c r="L547" i="1"/>
  <c r="L547" i="1" a="1"/>
  <c r="K547" i="1"/>
  <c r="K547" i="1" a="1"/>
  <c r="J547" i="1"/>
  <c r="J547" i="1" a="1"/>
  <c r="I547" i="1"/>
  <c r="I547" i="1" a="1"/>
  <c r="H547" i="1"/>
  <c r="H547" i="1" a="1"/>
  <c r="G547" i="1"/>
  <c r="G547" i="1" a="1"/>
  <c r="F547" i="1"/>
  <c r="F547" i="1" a="1"/>
  <c r="E547" i="1"/>
  <c r="E547" i="1" a="1"/>
  <c r="D547" i="1"/>
  <c r="D547" i="1" a="1"/>
  <c r="C547" i="1"/>
  <c r="C547" i="1" a="1"/>
  <c r="B547" i="1"/>
  <c r="B547" i="1" a="1"/>
  <c r="N546" i="1"/>
  <c r="N546" i="1" a="1"/>
  <c r="M546" i="1"/>
  <c r="M546" i="1" a="1"/>
  <c r="L546" i="1"/>
  <c r="L546" i="1" a="1"/>
  <c r="K546" i="1"/>
  <c r="K546" i="1" a="1"/>
  <c r="J546" i="1"/>
  <c r="J546" i="1" a="1"/>
  <c r="I546" i="1"/>
  <c r="I546" i="1" a="1"/>
  <c r="H546" i="1"/>
  <c r="H546" i="1" a="1"/>
  <c r="G546" i="1"/>
  <c r="G546" i="1" a="1"/>
  <c r="F546" i="1"/>
  <c r="F546" i="1" a="1"/>
  <c r="E546" i="1"/>
  <c r="E546" i="1" a="1"/>
  <c r="D546" i="1"/>
  <c r="D546" i="1" a="1"/>
  <c r="C546" i="1"/>
  <c r="C546" i="1" a="1"/>
  <c r="B546" i="1"/>
  <c r="B546" i="1" a="1"/>
  <c r="N545" i="1"/>
  <c r="N545" i="1" a="1"/>
  <c r="M545" i="1"/>
  <c r="M545" i="1" a="1"/>
  <c r="L545" i="1"/>
  <c r="L545" i="1" a="1"/>
  <c r="K545" i="1"/>
  <c r="K545" i="1" a="1"/>
  <c r="J545" i="1"/>
  <c r="J545" i="1" a="1"/>
  <c r="I545" i="1"/>
  <c r="I545" i="1" a="1"/>
  <c r="H545" i="1"/>
  <c r="H545" i="1" a="1"/>
  <c r="G545" i="1"/>
  <c r="G545" i="1" a="1"/>
  <c r="F545" i="1"/>
  <c r="F545" i="1" a="1"/>
  <c r="E545" i="1"/>
  <c r="E545" i="1" a="1"/>
  <c r="D545" i="1"/>
  <c r="D545" i="1" a="1"/>
  <c r="C545" i="1"/>
  <c r="C545" i="1" a="1"/>
  <c r="B545" i="1"/>
  <c r="B545" i="1" a="1"/>
  <c r="N544" i="1" a="1"/>
  <c r="N544" i="1" s="1"/>
  <c r="M544" i="1" a="1"/>
  <c r="M544" i="1" s="1"/>
  <c r="L544" i="1" a="1"/>
  <c r="L544" i="1" s="1"/>
  <c r="K544" i="1" a="1"/>
  <c r="K544" i="1" s="1"/>
  <c r="J544" i="1" a="1"/>
  <c r="J544" i="1" s="1"/>
  <c r="I544" i="1" a="1"/>
  <c r="I544" i="1" s="1"/>
  <c r="H544" i="1" a="1"/>
  <c r="H544" i="1" s="1"/>
  <c r="G544" i="1" a="1"/>
  <c r="G544" i="1" s="1"/>
  <c r="F544" i="1" a="1"/>
  <c r="F544" i="1" s="1"/>
  <c r="E544" i="1" a="1"/>
  <c r="E544" i="1" s="1"/>
  <c r="D544" i="1" a="1"/>
  <c r="D544" i="1" s="1"/>
  <c r="C544" i="1" a="1"/>
  <c r="C544" i="1" s="1"/>
  <c r="B544" i="1" a="1"/>
  <c r="B544" i="1" s="1"/>
  <c r="N543" i="1" a="1"/>
  <c r="N543" i="1" s="1"/>
  <c r="M543" i="1" a="1"/>
  <c r="M543" i="1" s="1"/>
  <c r="L543" i="1" a="1"/>
  <c r="L543" i="1" s="1"/>
  <c r="K543" i="1" a="1"/>
  <c r="K543" i="1" s="1"/>
  <c r="J543" i="1" a="1"/>
  <c r="J543" i="1" s="1"/>
  <c r="I543" i="1" a="1"/>
  <c r="I543" i="1" s="1"/>
  <c r="H543" i="1" a="1"/>
  <c r="H543" i="1" s="1"/>
  <c r="G543" i="1" a="1"/>
  <c r="G543" i="1" s="1"/>
  <c r="F543" i="1" a="1"/>
  <c r="F543" i="1" s="1"/>
  <c r="E543" i="1" a="1"/>
  <c r="E543" i="1" s="1"/>
  <c r="D543" i="1" a="1"/>
  <c r="D543" i="1" s="1"/>
  <c r="C543" i="1" a="1"/>
  <c r="C543" i="1" s="1"/>
  <c r="B543" i="1" a="1"/>
  <c r="B543" i="1" s="1"/>
  <c r="N542" i="1" a="1"/>
  <c r="N542" i="1" s="1"/>
  <c r="M542" i="1" a="1"/>
  <c r="M542" i="1" s="1"/>
  <c r="L542" i="1" a="1"/>
  <c r="L542" i="1" s="1"/>
  <c r="K542" i="1" a="1"/>
  <c r="K542" i="1" s="1"/>
  <c r="J542" i="1" a="1"/>
  <c r="J542" i="1" s="1"/>
  <c r="I542" i="1" a="1"/>
  <c r="I542" i="1" s="1"/>
  <c r="H542" i="1" a="1"/>
  <c r="H542" i="1" s="1"/>
  <c r="G542" i="1" a="1"/>
  <c r="G542" i="1" s="1"/>
  <c r="F542" i="1" a="1"/>
  <c r="F542" i="1" s="1"/>
  <c r="E542" i="1" a="1"/>
  <c r="E542" i="1" s="1"/>
  <c r="D542" i="1" a="1"/>
  <c r="D542" i="1" s="1"/>
  <c r="C542" i="1" a="1"/>
  <c r="C542" i="1" s="1"/>
  <c r="B542" i="1" a="1"/>
  <c r="B542" i="1" s="1"/>
  <c r="N541" i="1" a="1"/>
  <c r="N541" i="1" s="1"/>
  <c r="M541" i="1" a="1"/>
  <c r="M541" i="1" s="1"/>
  <c r="L541" i="1" a="1"/>
  <c r="L541" i="1" s="1"/>
  <c r="K541" i="1" a="1"/>
  <c r="K541" i="1" s="1"/>
  <c r="J541" i="1" a="1"/>
  <c r="J541" i="1" s="1"/>
  <c r="I541" i="1" a="1"/>
  <c r="I541" i="1" s="1"/>
  <c r="H541" i="1" a="1"/>
  <c r="H541" i="1" s="1"/>
  <c r="G541" i="1" a="1"/>
  <c r="G541" i="1" s="1"/>
  <c r="F541" i="1" a="1"/>
  <c r="F541" i="1" s="1"/>
  <c r="E541" i="1" a="1"/>
  <c r="E541" i="1" s="1"/>
  <c r="D541" i="1" a="1"/>
  <c r="D541" i="1" s="1"/>
  <c r="C541" i="1" a="1"/>
  <c r="C541" i="1" s="1"/>
  <c r="B541" i="1" a="1"/>
  <c r="B541" i="1" s="1"/>
  <c r="N540" i="1" a="1"/>
  <c r="N540" i="1" s="1"/>
  <c r="M540" i="1" a="1"/>
  <c r="M540" i="1" s="1"/>
  <c r="L540" i="1" a="1"/>
  <c r="L540" i="1" s="1"/>
  <c r="K540" i="1" a="1"/>
  <c r="K540" i="1" s="1"/>
  <c r="J540" i="1" a="1"/>
  <c r="J540" i="1" s="1"/>
  <c r="I540" i="1" a="1"/>
  <c r="I540" i="1" s="1"/>
  <c r="H540" i="1" a="1"/>
  <c r="H540" i="1" s="1"/>
  <c r="G540" i="1" a="1"/>
  <c r="G540" i="1" s="1"/>
  <c r="F540" i="1" a="1"/>
  <c r="F540" i="1" s="1"/>
  <c r="E540" i="1" a="1"/>
  <c r="E540" i="1" s="1"/>
  <c r="D540" i="1" a="1"/>
  <c r="D540" i="1" s="1"/>
  <c r="C540" i="1" a="1"/>
  <c r="C540" i="1" s="1"/>
  <c r="B540" i="1" a="1"/>
  <c r="B540" i="1" s="1"/>
  <c r="N539" i="1" a="1"/>
  <c r="N539" i="1" s="1"/>
  <c r="M539" i="1" a="1"/>
  <c r="M539" i="1" s="1"/>
  <c r="L539" i="1" a="1"/>
  <c r="L539" i="1" s="1"/>
  <c r="K539" i="1" a="1"/>
  <c r="K539" i="1" s="1"/>
  <c r="J539" i="1" a="1"/>
  <c r="J539" i="1" s="1"/>
  <c r="I539" i="1" a="1"/>
  <c r="I539" i="1" s="1"/>
  <c r="H539" i="1" a="1"/>
  <c r="H539" i="1" s="1"/>
  <c r="G539" i="1" a="1"/>
  <c r="G539" i="1" s="1"/>
  <c r="F539" i="1" a="1"/>
  <c r="F539" i="1" s="1"/>
  <c r="E539" i="1" a="1"/>
  <c r="E539" i="1" s="1"/>
  <c r="D539" i="1" a="1"/>
  <c r="D539" i="1" s="1"/>
  <c r="C539" i="1" a="1"/>
  <c r="C539" i="1" s="1"/>
  <c r="B539" i="1" a="1"/>
  <c r="B539" i="1" s="1"/>
  <c r="N538" i="1" a="1"/>
  <c r="N538" i="1" s="1"/>
  <c r="M538" i="1" a="1"/>
  <c r="M538" i="1" s="1"/>
  <c r="L538" i="1" a="1"/>
  <c r="L538" i="1" s="1"/>
  <c r="K538" i="1" a="1"/>
  <c r="K538" i="1" s="1"/>
  <c r="J538" i="1" a="1"/>
  <c r="J538" i="1" s="1"/>
  <c r="I538" i="1" a="1"/>
  <c r="I538" i="1" s="1"/>
  <c r="H538" i="1" a="1"/>
  <c r="H538" i="1" s="1"/>
  <c r="G538" i="1" a="1"/>
  <c r="G538" i="1" s="1"/>
  <c r="F538" i="1" a="1"/>
  <c r="F538" i="1" s="1"/>
  <c r="E538" i="1" a="1"/>
  <c r="E538" i="1" s="1"/>
  <c r="D538" i="1" a="1"/>
  <c r="D538" i="1" s="1"/>
  <c r="C538" i="1" a="1"/>
  <c r="C538" i="1" s="1"/>
  <c r="B538" i="1" a="1"/>
  <c r="B538" i="1" s="1"/>
  <c r="N537" i="1" a="1"/>
  <c r="N537" i="1" s="1"/>
  <c r="M537" i="1" a="1"/>
  <c r="M537" i="1" s="1"/>
  <c r="L537" i="1" a="1"/>
  <c r="L537" i="1" s="1"/>
  <c r="K537" i="1" a="1"/>
  <c r="K537" i="1" s="1"/>
  <c r="J537" i="1" a="1"/>
  <c r="J537" i="1" s="1"/>
  <c r="I537" i="1" a="1"/>
  <c r="I537" i="1" s="1"/>
  <c r="H537" i="1" a="1"/>
  <c r="H537" i="1" s="1"/>
  <c r="G537" i="1" a="1"/>
  <c r="G537" i="1" s="1"/>
  <c r="F537" i="1" a="1"/>
  <c r="F537" i="1" s="1"/>
  <c r="E537" i="1" a="1"/>
  <c r="E537" i="1" s="1"/>
  <c r="D537" i="1" a="1"/>
  <c r="D537" i="1" s="1"/>
  <c r="C537" i="1" a="1"/>
  <c r="C537" i="1" s="1"/>
  <c r="B537" i="1" a="1"/>
  <c r="B537" i="1" s="1"/>
  <c r="N536" i="1" a="1"/>
  <c r="N536" i="1" s="1"/>
  <c r="M536" i="1" a="1"/>
  <c r="M536" i="1" s="1"/>
  <c r="L536" i="1" a="1"/>
  <c r="L536" i="1" s="1"/>
  <c r="K536" i="1" a="1"/>
  <c r="K536" i="1" s="1"/>
  <c r="J536" i="1" a="1"/>
  <c r="J536" i="1" s="1"/>
  <c r="I536" i="1" a="1"/>
  <c r="I536" i="1" s="1"/>
  <c r="H536" i="1" a="1"/>
  <c r="H536" i="1" s="1"/>
  <c r="G536" i="1" a="1"/>
  <c r="G536" i="1" s="1"/>
  <c r="F536" i="1" a="1"/>
  <c r="F536" i="1" s="1"/>
  <c r="E536" i="1" a="1"/>
  <c r="E536" i="1" s="1"/>
  <c r="D536" i="1" a="1"/>
  <c r="D536" i="1" s="1"/>
  <c r="C536" i="1" a="1"/>
  <c r="C536" i="1" s="1"/>
  <c r="B536" i="1" a="1"/>
  <c r="B536" i="1" s="1"/>
  <c r="N535" i="1" a="1"/>
  <c r="N535" i="1" s="1"/>
  <c r="M535" i="1" a="1"/>
  <c r="M535" i="1" s="1"/>
  <c r="L535" i="1" a="1"/>
  <c r="L535" i="1" s="1"/>
  <c r="K535" i="1" a="1"/>
  <c r="K535" i="1" s="1"/>
  <c r="J535" i="1" a="1"/>
  <c r="J535" i="1" s="1"/>
  <c r="I535" i="1" a="1"/>
  <c r="I535" i="1" s="1"/>
  <c r="H535" i="1" a="1"/>
  <c r="H535" i="1" s="1"/>
  <c r="G535" i="1" a="1"/>
  <c r="G535" i="1" s="1"/>
  <c r="F535" i="1" a="1"/>
  <c r="F535" i="1" s="1"/>
  <c r="E535" i="1" a="1"/>
  <c r="E535" i="1" s="1"/>
  <c r="D535" i="1" a="1"/>
  <c r="D535" i="1" s="1"/>
  <c r="C535" i="1" a="1"/>
  <c r="C535" i="1" s="1"/>
  <c r="B535" i="1" a="1"/>
  <c r="B535" i="1" s="1"/>
  <c r="N534" i="1" a="1"/>
  <c r="N534" i="1" s="1"/>
  <c r="M534" i="1" a="1"/>
  <c r="M534" i="1" s="1"/>
  <c r="L534" i="1" a="1"/>
  <c r="L534" i="1" s="1"/>
  <c r="K534" i="1" a="1"/>
  <c r="K534" i="1" s="1"/>
  <c r="J534" i="1" a="1"/>
  <c r="J534" i="1" s="1"/>
  <c r="I534" i="1" a="1"/>
  <c r="I534" i="1" s="1"/>
  <c r="H534" i="1" a="1"/>
  <c r="H534" i="1" s="1"/>
  <c r="G534" i="1" a="1"/>
  <c r="G534" i="1" s="1"/>
  <c r="F534" i="1" a="1"/>
  <c r="F534" i="1" s="1"/>
  <c r="E534" i="1" a="1"/>
  <c r="E534" i="1" s="1"/>
  <c r="D534" i="1" a="1"/>
  <c r="D534" i="1" s="1"/>
  <c r="C534" i="1" a="1"/>
  <c r="C534" i="1" s="1"/>
  <c r="B534" i="1" a="1"/>
  <c r="B534" i="1" s="1"/>
  <c r="N533" i="1" a="1"/>
  <c r="N533" i="1" s="1"/>
  <c r="M533" i="1" a="1"/>
  <c r="M533" i="1" s="1"/>
  <c r="L533" i="1" a="1"/>
  <c r="L533" i="1" s="1"/>
  <c r="K533" i="1" a="1"/>
  <c r="K533" i="1" s="1"/>
  <c r="J533" i="1" a="1"/>
  <c r="J533" i="1" s="1"/>
  <c r="I533" i="1" a="1"/>
  <c r="I533" i="1" s="1"/>
  <c r="H533" i="1" a="1"/>
  <c r="H533" i="1" s="1"/>
  <c r="G533" i="1" a="1"/>
  <c r="G533" i="1" s="1"/>
  <c r="F533" i="1" a="1"/>
  <c r="F533" i="1" s="1"/>
  <c r="E533" i="1" a="1"/>
  <c r="E533" i="1" s="1"/>
  <c r="D533" i="1" a="1"/>
  <c r="D533" i="1" s="1"/>
  <c r="C533" i="1" a="1"/>
  <c r="C533" i="1" s="1"/>
  <c r="B533" i="1" a="1"/>
  <c r="B533" i="1" s="1"/>
  <c r="N532" i="1" a="1"/>
  <c r="N532" i="1" s="1"/>
  <c r="M532" i="1" a="1"/>
  <c r="M532" i="1" s="1"/>
  <c r="L532" i="1" a="1"/>
  <c r="L532" i="1" s="1"/>
  <c r="K532" i="1" a="1"/>
  <c r="K532" i="1" s="1"/>
  <c r="J532" i="1" a="1"/>
  <c r="J532" i="1" s="1"/>
  <c r="I532" i="1" a="1"/>
  <c r="I532" i="1" s="1"/>
  <c r="H532" i="1" a="1"/>
  <c r="H532" i="1" s="1"/>
  <c r="G532" i="1" a="1"/>
  <c r="G532" i="1" s="1"/>
  <c r="F532" i="1" a="1"/>
  <c r="F532" i="1" s="1"/>
  <c r="E532" i="1" a="1"/>
  <c r="E532" i="1" s="1"/>
  <c r="D532" i="1" a="1"/>
  <c r="D532" i="1" s="1"/>
  <c r="C532" i="1" a="1"/>
  <c r="C532" i="1" s="1"/>
  <c r="B532" i="1" a="1"/>
  <c r="B532" i="1" s="1"/>
  <c r="N531" i="1" a="1"/>
  <c r="N531" i="1" s="1"/>
  <c r="M531" i="1" a="1"/>
  <c r="M531" i="1" s="1"/>
  <c r="L531" i="1" a="1"/>
  <c r="L531" i="1" s="1"/>
  <c r="K531" i="1" a="1"/>
  <c r="K531" i="1" s="1"/>
  <c r="J531" i="1" a="1"/>
  <c r="J531" i="1" s="1"/>
  <c r="I531" i="1" a="1"/>
  <c r="I531" i="1" s="1"/>
  <c r="H531" i="1" a="1"/>
  <c r="H531" i="1" s="1"/>
  <c r="G531" i="1" a="1"/>
  <c r="G531" i="1" s="1"/>
  <c r="F531" i="1" a="1"/>
  <c r="F531" i="1" s="1"/>
  <c r="E531" i="1" a="1"/>
  <c r="E531" i="1" s="1"/>
  <c r="D531" i="1" a="1"/>
  <c r="D531" i="1" s="1"/>
  <c r="C531" i="1" a="1"/>
  <c r="C531" i="1" s="1"/>
  <c r="B531" i="1" a="1"/>
  <c r="B531" i="1" s="1"/>
  <c r="N530" i="1" a="1"/>
  <c r="N530" i="1" s="1"/>
  <c r="M530" i="1" a="1"/>
  <c r="M530" i="1" s="1"/>
  <c r="L530" i="1" a="1"/>
  <c r="L530" i="1" s="1"/>
  <c r="K530" i="1" a="1"/>
  <c r="K530" i="1" s="1"/>
  <c r="J530" i="1" a="1"/>
  <c r="J530" i="1" s="1"/>
  <c r="I530" i="1" a="1"/>
  <c r="I530" i="1" s="1"/>
  <c r="H530" i="1" a="1"/>
  <c r="H530" i="1" s="1"/>
  <c r="G530" i="1" a="1"/>
  <c r="G530" i="1" s="1"/>
  <c r="F530" i="1" a="1"/>
  <c r="F530" i="1" s="1"/>
  <c r="E530" i="1" a="1"/>
  <c r="E530" i="1" s="1"/>
  <c r="D530" i="1" a="1"/>
  <c r="D530" i="1" s="1"/>
  <c r="C530" i="1" a="1"/>
  <c r="C530" i="1" s="1"/>
  <c r="B530" i="1" a="1"/>
  <c r="B530" i="1" s="1"/>
  <c r="N529" i="1" a="1"/>
  <c r="N529" i="1" s="1"/>
  <c r="M529" i="1" a="1"/>
  <c r="M529" i="1" s="1"/>
  <c r="L529" i="1" a="1"/>
  <c r="L529" i="1" s="1"/>
  <c r="K529" i="1" a="1"/>
  <c r="K529" i="1" s="1"/>
  <c r="J529" i="1" a="1"/>
  <c r="J529" i="1" s="1"/>
  <c r="I529" i="1" a="1"/>
  <c r="I529" i="1" s="1"/>
  <c r="H529" i="1" a="1"/>
  <c r="H529" i="1" s="1"/>
  <c r="G529" i="1" a="1"/>
  <c r="G529" i="1" s="1"/>
  <c r="F529" i="1" a="1"/>
  <c r="F529" i="1" s="1"/>
  <c r="E529" i="1" a="1"/>
  <c r="E529" i="1" s="1"/>
  <c r="D529" i="1" a="1"/>
  <c r="D529" i="1" s="1"/>
  <c r="C529" i="1" a="1"/>
  <c r="C529" i="1" s="1"/>
  <c r="B529" i="1" a="1"/>
  <c r="B529" i="1" s="1"/>
  <c r="N528" i="1" a="1"/>
  <c r="N528" i="1" s="1"/>
  <c r="M528" i="1" a="1"/>
  <c r="M528" i="1" s="1"/>
  <c r="L528" i="1" a="1"/>
  <c r="L528" i="1" s="1"/>
  <c r="K528" i="1" a="1"/>
  <c r="K528" i="1" s="1"/>
  <c r="J528" i="1" a="1"/>
  <c r="J528" i="1" s="1"/>
  <c r="I528" i="1" a="1"/>
  <c r="I528" i="1" s="1"/>
  <c r="H528" i="1" a="1"/>
  <c r="H528" i="1" s="1"/>
  <c r="G528" i="1" a="1"/>
  <c r="G528" i="1" s="1"/>
  <c r="F528" i="1" a="1"/>
  <c r="F528" i="1" s="1"/>
  <c r="E528" i="1" a="1"/>
  <c r="E528" i="1" s="1"/>
  <c r="D528" i="1" a="1"/>
  <c r="D528" i="1" s="1"/>
  <c r="C528" i="1" a="1"/>
  <c r="C528" i="1" s="1"/>
  <c r="B528" i="1" a="1"/>
  <c r="B528" i="1" s="1"/>
  <c r="N527" i="1" a="1"/>
  <c r="N527" i="1" s="1"/>
  <c r="M527" i="1" a="1"/>
  <c r="M527" i="1" s="1"/>
  <c r="L527" i="1" a="1"/>
  <c r="L527" i="1" s="1"/>
  <c r="K527" i="1" a="1"/>
  <c r="K527" i="1" s="1"/>
  <c r="J527" i="1" a="1"/>
  <c r="J527" i="1" s="1"/>
  <c r="I527" i="1" a="1"/>
  <c r="I527" i="1" s="1"/>
  <c r="H527" i="1" a="1"/>
  <c r="H527" i="1" s="1"/>
  <c r="G527" i="1" a="1"/>
  <c r="G527" i="1" s="1"/>
  <c r="F527" i="1" a="1"/>
  <c r="F527" i="1" s="1"/>
  <c r="E527" i="1" a="1"/>
  <c r="E527" i="1" s="1"/>
  <c r="D527" i="1" a="1"/>
  <c r="D527" i="1" s="1"/>
  <c r="C527" i="1" a="1"/>
  <c r="C527" i="1" s="1"/>
  <c r="B527" i="1" a="1"/>
  <c r="B527" i="1" s="1"/>
  <c r="N526" i="1" a="1"/>
  <c r="N526" i="1" s="1"/>
  <c r="M526" i="1" a="1"/>
  <c r="M526" i="1" s="1"/>
  <c r="L526" i="1" a="1"/>
  <c r="L526" i="1" s="1"/>
  <c r="K526" i="1" a="1"/>
  <c r="K526" i="1" s="1"/>
  <c r="J526" i="1" a="1"/>
  <c r="J526" i="1" s="1"/>
  <c r="I526" i="1" a="1"/>
  <c r="I526" i="1" s="1"/>
  <c r="H526" i="1" a="1"/>
  <c r="H526" i="1" s="1"/>
  <c r="G526" i="1" a="1"/>
  <c r="G526" i="1" s="1"/>
  <c r="F526" i="1" a="1"/>
  <c r="F526" i="1" s="1"/>
  <c r="E526" i="1" a="1"/>
  <c r="E526" i="1" s="1"/>
  <c r="D526" i="1" a="1"/>
  <c r="D526" i="1" s="1"/>
  <c r="C526" i="1" a="1"/>
  <c r="C526" i="1" s="1"/>
  <c r="B526" i="1" a="1"/>
  <c r="B526" i="1" s="1"/>
  <c r="N525" i="1" a="1"/>
  <c r="N525" i="1" s="1"/>
  <c r="M525" i="1" a="1"/>
  <c r="M525" i="1" s="1"/>
  <c r="L525" i="1" a="1"/>
  <c r="L525" i="1" s="1"/>
  <c r="K525" i="1" a="1"/>
  <c r="K525" i="1" s="1"/>
  <c r="J525" i="1" a="1"/>
  <c r="J525" i="1" s="1"/>
  <c r="I525" i="1" a="1"/>
  <c r="I525" i="1" s="1"/>
  <c r="H525" i="1" a="1"/>
  <c r="H525" i="1" s="1"/>
  <c r="G525" i="1" a="1"/>
  <c r="G525" i="1" s="1"/>
  <c r="F525" i="1" a="1"/>
  <c r="F525" i="1" s="1"/>
  <c r="E525" i="1" a="1"/>
  <c r="E525" i="1" s="1"/>
  <c r="D525" i="1" a="1"/>
  <c r="D525" i="1" s="1"/>
  <c r="C525" i="1" a="1"/>
  <c r="C525" i="1" s="1"/>
  <c r="B525" i="1" a="1"/>
  <c r="B525" i="1" s="1"/>
  <c r="N524" i="1" a="1"/>
  <c r="N524" i="1" s="1"/>
  <c r="M524" i="1" a="1"/>
  <c r="M524" i="1" s="1"/>
  <c r="L524" i="1" a="1"/>
  <c r="L524" i="1" s="1"/>
  <c r="K524" i="1" a="1"/>
  <c r="K524" i="1" s="1"/>
  <c r="J524" i="1" a="1"/>
  <c r="J524" i="1" s="1"/>
  <c r="I524" i="1" a="1"/>
  <c r="I524" i="1" s="1"/>
  <c r="H524" i="1" a="1"/>
  <c r="H524" i="1" s="1"/>
  <c r="G524" i="1" a="1"/>
  <c r="G524" i="1" s="1"/>
  <c r="F524" i="1" a="1"/>
  <c r="F524" i="1" s="1"/>
  <c r="E524" i="1" a="1"/>
  <c r="E524" i="1" s="1"/>
  <c r="D524" i="1" a="1"/>
  <c r="D524" i="1" s="1"/>
  <c r="C524" i="1" a="1"/>
  <c r="C524" i="1" s="1"/>
  <c r="B524" i="1" a="1"/>
  <c r="B524" i="1" s="1"/>
  <c r="N523" i="1" a="1"/>
  <c r="N523" i="1" s="1"/>
  <c r="M523" i="1" a="1"/>
  <c r="M523" i="1" s="1"/>
  <c r="L523" i="1" a="1"/>
  <c r="L523" i="1" s="1"/>
  <c r="K523" i="1" a="1"/>
  <c r="K523" i="1" s="1"/>
  <c r="J523" i="1" a="1"/>
  <c r="J523" i="1" s="1"/>
  <c r="I523" i="1" a="1"/>
  <c r="I523" i="1" s="1"/>
  <c r="H523" i="1" a="1"/>
  <c r="H523" i="1" s="1"/>
  <c r="G523" i="1" a="1"/>
  <c r="G523" i="1" s="1"/>
  <c r="F523" i="1" a="1"/>
  <c r="F523" i="1" s="1"/>
  <c r="E523" i="1" a="1"/>
  <c r="E523" i="1" s="1"/>
  <c r="D523" i="1" a="1"/>
  <c r="D523" i="1" s="1"/>
  <c r="C523" i="1" a="1"/>
  <c r="C523" i="1" s="1"/>
  <c r="B523" i="1" a="1"/>
  <c r="B523" i="1" s="1"/>
  <c r="N522" i="1" a="1"/>
  <c r="N522" i="1" s="1"/>
  <c r="M522" i="1" a="1"/>
  <c r="M522" i="1" s="1"/>
  <c r="L522" i="1" a="1"/>
  <c r="L522" i="1" s="1"/>
  <c r="K522" i="1" a="1"/>
  <c r="K522" i="1" s="1"/>
  <c r="J522" i="1" a="1"/>
  <c r="J522" i="1" s="1"/>
  <c r="I522" i="1" a="1"/>
  <c r="I522" i="1" s="1"/>
  <c r="H522" i="1" a="1"/>
  <c r="H522" i="1" s="1"/>
  <c r="G522" i="1" a="1"/>
  <c r="G522" i="1" s="1"/>
  <c r="F522" i="1" a="1"/>
  <c r="F522" i="1" s="1"/>
  <c r="E522" i="1" a="1"/>
  <c r="E522" i="1" s="1"/>
  <c r="D522" i="1" a="1"/>
  <c r="D522" i="1" s="1"/>
  <c r="C522" i="1" a="1"/>
  <c r="C522" i="1" s="1"/>
  <c r="B522" i="1" a="1"/>
  <c r="B522" i="1" s="1"/>
  <c r="N521" i="1" a="1"/>
  <c r="N521" i="1" s="1"/>
  <c r="M521" i="1" a="1"/>
  <c r="M521" i="1" s="1"/>
  <c r="L521" i="1" a="1"/>
  <c r="L521" i="1" s="1"/>
  <c r="K521" i="1" a="1"/>
  <c r="K521" i="1" s="1"/>
  <c r="J521" i="1" a="1"/>
  <c r="J521" i="1" s="1"/>
  <c r="I521" i="1" a="1"/>
  <c r="I521" i="1" s="1"/>
  <c r="H521" i="1" a="1"/>
  <c r="H521" i="1" s="1"/>
  <c r="G521" i="1" a="1"/>
  <c r="G521" i="1" s="1"/>
  <c r="F521" i="1" a="1"/>
  <c r="F521" i="1" s="1"/>
  <c r="E521" i="1" a="1"/>
  <c r="E521" i="1" s="1"/>
  <c r="D521" i="1" a="1"/>
  <c r="D521" i="1" s="1"/>
  <c r="C521" i="1" a="1"/>
  <c r="C521" i="1" s="1"/>
  <c r="B521" i="1" a="1"/>
  <c r="B521" i="1" s="1"/>
  <c r="N520" i="1" a="1"/>
  <c r="N520" i="1" s="1"/>
  <c r="M520" i="1" a="1"/>
  <c r="M520" i="1" s="1"/>
  <c r="L520" i="1" a="1"/>
  <c r="L520" i="1" s="1"/>
  <c r="K520" i="1" a="1"/>
  <c r="K520" i="1" s="1"/>
  <c r="J520" i="1" a="1"/>
  <c r="J520" i="1" s="1"/>
  <c r="I520" i="1" a="1"/>
  <c r="I520" i="1" s="1"/>
  <c r="H520" i="1" a="1"/>
  <c r="H520" i="1" s="1"/>
  <c r="G520" i="1" a="1"/>
  <c r="G520" i="1" s="1"/>
  <c r="F520" i="1" a="1"/>
  <c r="F520" i="1" s="1"/>
  <c r="E520" i="1" a="1"/>
  <c r="E520" i="1" s="1"/>
  <c r="D520" i="1" a="1"/>
  <c r="D520" i="1" s="1"/>
  <c r="C520" i="1" a="1"/>
  <c r="C520" i="1" s="1"/>
  <c r="B520" i="1" a="1"/>
  <c r="B520" i="1" s="1"/>
  <c r="N519" i="1" a="1"/>
  <c r="N519" i="1" s="1"/>
  <c r="M519" i="1" a="1"/>
  <c r="M519" i="1" s="1"/>
  <c r="L519" i="1" a="1"/>
  <c r="L519" i="1" s="1"/>
  <c r="K519" i="1" a="1"/>
  <c r="K519" i="1" s="1"/>
  <c r="J519" i="1" a="1"/>
  <c r="J519" i="1" s="1"/>
  <c r="I519" i="1" a="1"/>
  <c r="I519" i="1" s="1"/>
  <c r="H519" i="1" a="1"/>
  <c r="H519" i="1" s="1"/>
  <c r="G519" i="1" a="1"/>
  <c r="G519" i="1" s="1"/>
  <c r="F519" i="1" a="1"/>
  <c r="F519" i="1" s="1"/>
  <c r="E519" i="1" a="1"/>
  <c r="E519" i="1" s="1"/>
  <c r="D519" i="1" a="1"/>
  <c r="D519" i="1" s="1"/>
  <c r="C519" i="1" a="1"/>
  <c r="C519" i="1" s="1"/>
  <c r="B519" i="1" a="1"/>
  <c r="B519" i="1" s="1"/>
  <c r="N518" i="1" a="1"/>
  <c r="N518" i="1" s="1"/>
  <c r="M518" i="1" a="1"/>
  <c r="M518" i="1" s="1"/>
  <c r="L518" i="1" a="1"/>
  <c r="L518" i="1" s="1"/>
  <c r="K518" i="1" a="1"/>
  <c r="K518" i="1" s="1"/>
  <c r="J518" i="1" a="1"/>
  <c r="J518" i="1" s="1"/>
  <c r="I518" i="1" a="1"/>
  <c r="I518" i="1" s="1"/>
  <c r="H518" i="1" a="1"/>
  <c r="H518" i="1" s="1"/>
  <c r="G518" i="1" a="1"/>
  <c r="G518" i="1" s="1"/>
  <c r="F518" i="1" a="1"/>
  <c r="F518" i="1" s="1"/>
  <c r="E518" i="1" a="1"/>
  <c r="E518" i="1" s="1"/>
  <c r="D518" i="1" a="1"/>
  <c r="D518" i="1" s="1"/>
  <c r="C518" i="1" a="1"/>
  <c r="C518" i="1" s="1"/>
  <c r="B518" i="1" a="1"/>
  <c r="B518" i="1" s="1"/>
  <c r="N517" i="1" a="1"/>
  <c r="N517" i="1" s="1"/>
  <c r="M517" i="1" a="1"/>
  <c r="M517" i="1" s="1"/>
  <c r="L517" i="1" a="1"/>
  <c r="L517" i="1" s="1"/>
  <c r="K517" i="1" a="1"/>
  <c r="K517" i="1" s="1"/>
  <c r="J517" i="1" a="1"/>
  <c r="J517" i="1" s="1"/>
  <c r="I517" i="1" a="1"/>
  <c r="I517" i="1" s="1"/>
  <c r="H517" i="1" a="1"/>
  <c r="H517" i="1" s="1"/>
  <c r="G517" i="1" a="1"/>
  <c r="G517" i="1" s="1"/>
  <c r="F517" i="1" a="1"/>
  <c r="F517" i="1" s="1"/>
  <c r="E517" i="1" a="1"/>
  <c r="E517" i="1" s="1"/>
  <c r="D517" i="1" a="1"/>
  <c r="D517" i="1" s="1"/>
  <c r="C517" i="1" a="1"/>
  <c r="C517" i="1" s="1"/>
  <c r="B517" i="1" a="1"/>
  <c r="B517" i="1" s="1"/>
  <c r="N516" i="1" a="1"/>
  <c r="N516" i="1" s="1"/>
  <c r="M516" i="1" a="1"/>
  <c r="M516" i="1" s="1"/>
  <c r="L516" i="1" a="1"/>
  <c r="L516" i="1" s="1"/>
  <c r="K516" i="1" a="1"/>
  <c r="K516" i="1" s="1"/>
  <c r="J516" i="1" a="1"/>
  <c r="J516" i="1" s="1"/>
  <c r="I516" i="1" a="1"/>
  <c r="I516" i="1" s="1"/>
  <c r="H516" i="1" a="1"/>
  <c r="H516" i="1" s="1"/>
  <c r="G516" i="1" a="1"/>
  <c r="G516" i="1" s="1"/>
  <c r="F516" i="1" a="1"/>
  <c r="F516" i="1" s="1"/>
  <c r="E516" i="1" a="1"/>
  <c r="E516" i="1" s="1"/>
  <c r="D516" i="1" a="1"/>
  <c r="D516" i="1" s="1"/>
  <c r="C516" i="1" a="1"/>
  <c r="C516" i="1" s="1"/>
  <c r="B516" i="1" a="1"/>
  <c r="B516" i="1" s="1"/>
  <c r="N515" i="1" a="1"/>
  <c r="N515" i="1" s="1"/>
  <c r="M515" i="1" a="1"/>
  <c r="M515" i="1" s="1"/>
  <c r="L515" i="1" a="1"/>
  <c r="L515" i="1" s="1"/>
  <c r="K515" i="1" a="1"/>
  <c r="K515" i="1" s="1"/>
  <c r="J515" i="1" a="1"/>
  <c r="J515" i="1" s="1"/>
  <c r="I515" i="1" a="1"/>
  <c r="I515" i="1" s="1"/>
  <c r="H515" i="1" a="1"/>
  <c r="H515" i="1" s="1"/>
  <c r="G515" i="1" a="1"/>
  <c r="G515" i="1" s="1"/>
  <c r="F515" i="1" a="1"/>
  <c r="F515" i="1" s="1"/>
  <c r="E515" i="1" a="1"/>
  <c r="E515" i="1" s="1"/>
  <c r="D515" i="1" a="1"/>
  <c r="D515" i="1" s="1"/>
  <c r="C515" i="1" a="1"/>
  <c r="C515" i="1" s="1"/>
  <c r="B515" i="1" a="1"/>
  <c r="B515" i="1" s="1"/>
  <c r="N514" i="1" a="1"/>
  <c r="N514" i="1" s="1"/>
  <c r="M514" i="1" a="1"/>
  <c r="M514" i="1" s="1"/>
  <c r="L514" i="1" a="1"/>
  <c r="L514" i="1" s="1"/>
  <c r="K514" i="1" a="1"/>
  <c r="K514" i="1" s="1"/>
  <c r="J514" i="1" a="1"/>
  <c r="J514" i="1" s="1"/>
  <c r="I514" i="1" a="1"/>
  <c r="I514" i="1" s="1"/>
  <c r="H514" i="1" a="1"/>
  <c r="H514" i="1" s="1"/>
  <c r="G514" i="1" a="1"/>
  <c r="G514" i="1" s="1"/>
  <c r="F514" i="1" a="1"/>
  <c r="F514" i="1" s="1"/>
  <c r="E514" i="1" a="1"/>
  <c r="E514" i="1" s="1"/>
  <c r="D514" i="1" a="1"/>
  <c r="D514" i="1" s="1"/>
  <c r="C514" i="1" a="1"/>
  <c r="C514" i="1" s="1"/>
  <c r="B514" i="1" a="1"/>
  <c r="B514" i="1" s="1"/>
  <c r="N513" i="1" a="1"/>
  <c r="N513" i="1" s="1"/>
  <c r="M513" i="1" a="1"/>
  <c r="M513" i="1" s="1"/>
  <c r="L513" i="1" a="1"/>
  <c r="L513" i="1" s="1"/>
  <c r="K513" i="1" a="1"/>
  <c r="K513" i="1" s="1"/>
  <c r="J513" i="1" a="1"/>
  <c r="J513" i="1" s="1"/>
  <c r="I513" i="1" a="1"/>
  <c r="I513" i="1" s="1"/>
  <c r="H513" i="1" a="1"/>
  <c r="H513" i="1" s="1"/>
  <c r="G513" i="1" a="1"/>
  <c r="G513" i="1" s="1"/>
  <c r="F513" i="1" a="1"/>
  <c r="F513" i="1" s="1"/>
  <c r="E513" i="1" a="1"/>
  <c r="E513" i="1" s="1"/>
  <c r="D513" i="1" a="1"/>
  <c r="D513" i="1" s="1"/>
  <c r="C513" i="1" a="1"/>
  <c r="C513" i="1" s="1"/>
  <c r="B513" i="1" a="1"/>
  <c r="B513" i="1" s="1"/>
  <c r="N512" i="1" a="1"/>
  <c r="N512" i="1" s="1"/>
  <c r="M512" i="1" a="1"/>
  <c r="M512" i="1" s="1"/>
  <c r="L512" i="1" a="1"/>
  <c r="L512" i="1" s="1"/>
  <c r="K512" i="1" a="1"/>
  <c r="K512" i="1" s="1"/>
  <c r="J512" i="1" a="1"/>
  <c r="J512" i="1" s="1"/>
  <c r="I512" i="1" a="1"/>
  <c r="I512" i="1" s="1"/>
  <c r="H512" i="1" a="1"/>
  <c r="H512" i="1" s="1"/>
  <c r="G512" i="1" a="1"/>
  <c r="G512" i="1" s="1"/>
  <c r="F512" i="1" a="1"/>
  <c r="F512" i="1" s="1"/>
  <c r="E512" i="1" a="1"/>
  <c r="E512" i="1" s="1"/>
  <c r="D512" i="1" a="1"/>
  <c r="D512" i="1" s="1"/>
  <c r="C512" i="1" a="1"/>
  <c r="C512" i="1" s="1"/>
  <c r="B512" i="1" a="1"/>
  <c r="B512" i="1" s="1"/>
  <c r="N511" i="1" a="1"/>
  <c r="N511" i="1" s="1"/>
  <c r="M511" i="1" a="1"/>
  <c r="M511" i="1" s="1"/>
  <c r="L511" i="1" a="1"/>
  <c r="L511" i="1" s="1"/>
  <c r="K511" i="1" a="1"/>
  <c r="K511" i="1" s="1"/>
  <c r="J511" i="1" a="1"/>
  <c r="J511" i="1" s="1"/>
  <c r="I511" i="1" a="1"/>
  <c r="I511" i="1" s="1"/>
  <c r="H511" i="1" a="1"/>
  <c r="H511" i="1" s="1"/>
  <c r="G511" i="1" a="1"/>
  <c r="G511" i="1" s="1"/>
  <c r="F511" i="1" a="1"/>
  <c r="F511" i="1" s="1"/>
  <c r="E511" i="1" a="1"/>
  <c r="E511" i="1" s="1"/>
  <c r="D511" i="1" a="1"/>
  <c r="D511" i="1" s="1"/>
  <c r="C511" i="1" a="1"/>
  <c r="C511" i="1" s="1"/>
  <c r="B511" i="1" a="1"/>
  <c r="B511" i="1" s="1"/>
  <c r="N510" i="1" a="1"/>
  <c r="N510" i="1" s="1"/>
  <c r="M510" i="1" a="1"/>
  <c r="M510" i="1" s="1"/>
  <c r="L510" i="1" a="1"/>
  <c r="L510" i="1" s="1"/>
  <c r="K510" i="1" a="1"/>
  <c r="K510" i="1" s="1"/>
  <c r="J510" i="1" a="1"/>
  <c r="J510" i="1" s="1"/>
  <c r="I510" i="1" a="1"/>
  <c r="I510" i="1" s="1"/>
  <c r="H510" i="1" a="1"/>
  <c r="H510" i="1" s="1"/>
  <c r="G510" i="1" a="1"/>
  <c r="G510" i="1" s="1"/>
  <c r="F510" i="1" a="1"/>
  <c r="F510" i="1" s="1"/>
  <c r="E510" i="1" a="1"/>
  <c r="E510" i="1" s="1"/>
  <c r="D510" i="1" a="1"/>
  <c r="D510" i="1" s="1"/>
  <c r="C510" i="1" a="1"/>
  <c r="C510" i="1" s="1"/>
  <c r="B510" i="1" a="1"/>
  <c r="B510" i="1" s="1"/>
  <c r="N509" i="1" a="1"/>
  <c r="N509" i="1" s="1"/>
  <c r="M509" i="1" a="1"/>
  <c r="M509" i="1" s="1"/>
  <c r="L509" i="1" a="1"/>
  <c r="L509" i="1" s="1"/>
  <c r="K509" i="1" a="1"/>
  <c r="K509" i="1" s="1"/>
  <c r="J509" i="1" a="1"/>
  <c r="J509" i="1" s="1"/>
  <c r="I509" i="1" a="1"/>
  <c r="I509" i="1" s="1"/>
  <c r="H509" i="1" a="1"/>
  <c r="H509" i="1" s="1"/>
  <c r="G509" i="1" a="1"/>
  <c r="G509" i="1" s="1"/>
  <c r="F509" i="1" a="1"/>
  <c r="F509" i="1" s="1"/>
  <c r="E509" i="1" a="1"/>
  <c r="E509" i="1" s="1"/>
  <c r="D509" i="1" a="1"/>
  <c r="D509" i="1" s="1"/>
  <c r="C509" i="1" a="1"/>
  <c r="C509" i="1" s="1"/>
  <c r="B509" i="1" a="1"/>
  <c r="B509" i="1" s="1"/>
  <c r="N508" i="1" a="1"/>
  <c r="N508" i="1" s="1"/>
  <c r="M508" i="1" a="1"/>
  <c r="M508" i="1" s="1"/>
  <c r="L508" i="1" a="1"/>
  <c r="L508" i="1" s="1"/>
  <c r="K508" i="1" a="1"/>
  <c r="K508" i="1" s="1"/>
  <c r="J508" i="1" a="1"/>
  <c r="J508" i="1" s="1"/>
  <c r="I508" i="1" a="1"/>
  <c r="I508" i="1" s="1"/>
  <c r="H508" i="1" a="1"/>
  <c r="H508" i="1" s="1"/>
  <c r="G508" i="1" a="1"/>
  <c r="G508" i="1" s="1"/>
  <c r="F508" i="1" a="1"/>
  <c r="F508" i="1" s="1"/>
  <c r="E508" i="1" a="1"/>
  <c r="E508" i="1" s="1"/>
  <c r="D508" i="1" a="1"/>
  <c r="D508" i="1" s="1"/>
  <c r="C508" i="1" a="1"/>
  <c r="C508" i="1" s="1"/>
  <c r="B508" i="1" a="1"/>
  <c r="B508" i="1" s="1"/>
  <c r="N507" i="1" a="1"/>
  <c r="N507" i="1" s="1"/>
  <c r="M507" i="1" a="1"/>
  <c r="M507" i="1" s="1"/>
  <c r="L507" i="1" a="1"/>
  <c r="L507" i="1" s="1"/>
  <c r="K507" i="1" a="1"/>
  <c r="K507" i="1" s="1"/>
  <c r="J507" i="1" a="1"/>
  <c r="J507" i="1" s="1"/>
  <c r="I507" i="1" a="1"/>
  <c r="I507" i="1" s="1"/>
  <c r="H507" i="1" a="1"/>
  <c r="H507" i="1" s="1"/>
  <c r="G507" i="1" a="1"/>
  <c r="G507" i="1" s="1"/>
  <c r="F507" i="1" a="1"/>
  <c r="F507" i="1" s="1"/>
  <c r="E507" i="1" a="1"/>
  <c r="E507" i="1" s="1"/>
  <c r="D507" i="1" a="1"/>
  <c r="D507" i="1" s="1"/>
  <c r="C507" i="1" a="1"/>
  <c r="C507" i="1" s="1"/>
  <c r="B507" i="1" a="1"/>
  <c r="B507" i="1" s="1"/>
  <c r="N506" i="1" a="1"/>
  <c r="N506" i="1" s="1"/>
  <c r="M506" i="1" a="1"/>
  <c r="M506" i="1" s="1"/>
  <c r="L506" i="1" a="1"/>
  <c r="L506" i="1" s="1"/>
  <c r="K506" i="1" a="1"/>
  <c r="K506" i="1" s="1"/>
  <c r="J506" i="1" a="1"/>
  <c r="J506" i="1" s="1"/>
  <c r="I506" i="1" a="1"/>
  <c r="I506" i="1" s="1"/>
  <c r="H506" i="1" a="1"/>
  <c r="H506" i="1" s="1"/>
  <c r="G506" i="1" a="1"/>
  <c r="G506" i="1" s="1"/>
  <c r="F506" i="1" a="1"/>
  <c r="F506" i="1" s="1"/>
  <c r="E506" i="1" a="1"/>
  <c r="E506" i="1" s="1"/>
  <c r="D506" i="1" a="1"/>
  <c r="D506" i="1" s="1"/>
  <c r="C506" i="1" a="1"/>
  <c r="C506" i="1" s="1"/>
  <c r="B506" i="1" a="1"/>
  <c r="B506" i="1" s="1"/>
  <c r="N505" i="1" a="1"/>
  <c r="N505" i="1" s="1"/>
  <c r="M505" i="1" a="1"/>
  <c r="M505" i="1" s="1"/>
  <c r="L505" i="1" a="1"/>
  <c r="L505" i="1" s="1"/>
  <c r="K505" i="1" a="1"/>
  <c r="K505" i="1" s="1"/>
  <c r="J505" i="1" a="1"/>
  <c r="J505" i="1" s="1"/>
  <c r="I505" i="1" a="1"/>
  <c r="I505" i="1" s="1"/>
  <c r="H505" i="1" a="1"/>
  <c r="H505" i="1" s="1"/>
  <c r="G505" i="1" a="1"/>
  <c r="G505" i="1" s="1"/>
  <c r="F505" i="1" a="1"/>
  <c r="F505" i="1" s="1"/>
  <c r="E505" i="1" a="1"/>
  <c r="E505" i="1" s="1"/>
  <c r="D505" i="1" a="1"/>
  <c r="D505" i="1" s="1"/>
  <c r="C505" i="1" a="1"/>
  <c r="C505" i="1" s="1"/>
  <c r="B505" i="1" a="1"/>
  <c r="B505" i="1" s="1"/>
  <c r="N504" i="1" a="1"/>
  <c r="N504" i="1" s="1"/>
  <c r="M504" i="1" a="1"/>
  <c r="M504" i="1" s="1"/>
  <c r="L504" i="1" a="1"/>
  <c r="L504" i="1" s="1"/>
  <c r="K504" i="1" a="1"/>
  <c r="K504" i="1" s="1"/>
  <c r="J504" i="1" a="1"/>
  <c r="J504" i="1" s="1"/>
  <c r="I504" i="1" a="1"/>
  <c r="I504" i="1" s="1"/>
  <c r="H504" i="1" a="1"/>
  <c r="H504" i="1" s="1"/>
  <c r="G504" i="1" a="1"/>
  <c r="G504" i="1" s="1"/>
  <c r="F504" i="1" a="1"/>
  <c r="F504" i="1" s="1"/>
  <c r="E504" i="1" a="1"/>
  <c r="E504" i="1" s="1"/>
  <c r="D504" i="1" a="1"/>
  <c r="D504" i="1" s="1"/>
  <c r="C504" i="1" a="1"/>
  <c r="C504" i="1" s="1"/>
  <c r="B504" i="1" a="1"/>
  <c r="B504" i="1" s="1"/>
  <c r="N503" i="1" a="1"/>
  <c r="N503" i="1" s="1"/>
  <c r="M503" i="1" a="1"/>
  <c r="M503" i="1" s="1"/>
  <c r="L503" i="1" a="1"/>
  <c r="L503" i="1" s="1"/>
  <c r="K503" i="1" a="1"/>
  <c r="K503" i="1" s="1"/>
  <c r="J503" i="1" a="1"/>
  <c r="J503" i="1" s="1"/>
  <c r="I503" i="1" a="1"/>
  <c r="I503" i="1" s="1"/>
  <c r="H503" i="1" a="1"/>
  <c r="H503" i="1" s="1"/>
  <c r="G503" i="1" a="1"/>
  <c r="G503" i="1" s="1"/>
  <c r="F503" i="1" a="1"/>
  <c r="F503" i="1" s="1"/>
  <c r="E503" i="1" a="1"/>
  <c r="E503" i="1" s="1"/>
  <c r="D503" i="1" a="1"/>
  <c r="D503" i="1" s="1"/>
  <c r="C503" i="1" a="1"/>
  <c r="C503" i="1" s="1"/>
  <c r="B503" i="1" a="1"/>
  <c r="B503" i="1" s="1"/>
  <c r="N502" i="1" a="1"/>
  <c r="N502" i="1" s="1"/>
  <c r="M502" i="1" a="1"/>
  <c r="M502" i="1" s="1"/>
  <c r="L502" i="1" a="1"/>
  <c r="L502" i="1" s="1"/>
  <c r="K502" i="1" a="1"/>
  <c r="K502" i="1" s="1"/>
  <c r="J502" i="1" a="1"/>
  <c r="J502" i="1" s="1"/>
  <c r="I502" i="1" a="1"/>
  <c r="I502" i="1" s="1"/>
  <c r="H502" i="1" a="1"/>
  <c r="H502" i="1" s="1"/>
  <c r="G502" i="1" a="1"/>
  <c r="G502" i="1" s="1"/>
  <c r="F502" i="1" a="1"/>
  <c r="F502" i="1" s="1"/>
  <c r="E502" i="1" a="1"/>
  <c r="E502" i="1" s="1"/>
  <c r="D502" i="1" a="1"/>
  <c r="D502" i="1" s="1"/>
  <c r="C502" i="1" a="1"/>
  <c r="C502" i="1" s="1"/>
  <c r="B502" i="1" a="1"/>
  <c r="B502" i="1" s="1"/>
  <c r="N501" i="1" a="1"/>
  <c r="N501" i="1" s="1"/>
  <c r="M501" i="1" a="1"/>
  <c r="M501" i="1" s="1"/>
  <c r="L501" i="1" a="1"/>
  <c r="L501" i="1" s="1"/>
  <c r="K501" i="1" a="1"/>
  <c r="K501" i="1" s="1"/>
  <c r="J501" i="1" a="1"/>
  <c r="J501" i="1" s="1"/>
  <c r="I501" i="1" a="1"/>
  <c r="I501" i="1" s="1"/>
  <c r="H501" i="1" a="1"/>
  <c r="H501" i="1" s="1"/>
  <c r="G501" i="1" a="1"/>
  <c r="G501" i="1" s="1"/>
  <c r="F501" i="1" a="1"/>
  <c r="F501" i="1" s="1"/>
  <c r="E501" i="1" a="1"/>
  <c r="E501" i="1" s="1"/>
  <c r="D501" i="1" a="1"/>
  <c r="D501" i="1" s="1"/>
  <c r="C501" i="1" a="1"/>
  <c r="C501" i="1" s="1"/>
  <c r="B501" i="1" a="1"/>
  <c r="B501" i="1" s="1"/>
  <c r="N500" i="1" a="1"/>
  <c r="N500" i="1" s="1"/>
  <c r="M500" i="1" a="1"/>
  <c r="M500" i="1" s="1"/>
  <c r="L500" i="1" a="1"/>
  <c r="L500" i="1" s="1"/>
  <c r="K500" i="1" a="1"/>
  <c r="K500" i="1" s="1"/>
  <c r="J500" i="1" a="1"/>
  <c r="J500" i="1" s="1"/>
  <c r="I500" i="1" a="1"/>
  <c r="I500" i="1" s="1"/>
  <c r="H500" i="1" a="1"/>
  <c r="H500" i="1" s="1"/>
  <c r="G500" i="1" a="1"/>
  <c r="G500" i="1" s="1"/>
  <c r="F500" i="1" a="1"/>
  <c r="F500" i="1" s="1"/>
  <c r="E500" i="1" a="1"/>
  <c r="E500" i="1" s="1"/>
  <c r="D500" i="1" a="1"/>
  <c r="D500" i="1" s="1"/>
  <c r="C500" i="1" a="1"/>
  <c r="C500" i="1" s="1"/>
  <c r="B500" i="1" a="1"/>
  <c r="B500" i="1" s="1"/>
  <c r="N499" i="1" a="1"/>
  <c r="N499" i="1" s="1"/>
  <c r="M499" i="1" a="1"/>
  <c r="M499" i="1" s="1"/>
  <c r="L499" i="1" a="1"/>
  <c r="L499" i="1" s="1"/>
  <c r="K499" i="1" a="1"/>
  <c r="K499" i="1" s="1"/>
  <c r="J499" i="1" a="1"/>
  <c r="J499" i="1" s="1"/>
  <c r="I499" i="1" a="1"/>
  <c r="I499" i="1" s="1"/>
  <c r="H499" i="1" a="1"/>
  <c r="H499" i="1" s="1"/>
  <c r="G499" i="1" a="1"/>
  <c r="G499" i="1" s="1"/>
  <c r="F499" i="1" a="1"/>
  <c r="F499" i="1" s="1"/>
  <c r="E499" i="1" a="1"/>
  <c r="E499" i="1" s="1"/>
  <c r="D499" i="1" a="1"/>
  <c r="D499" i="1" s="1"/>
  <c r="C499" i="1" a="1"/>
  <c r="C499" i="1" s="1"/>
  <c r="B499" i="1" a="1"/>
  <c r="B499" i="1" s="1"/>
  <c r="N498" i="1" a="1"/>
  <c r="N498" i="1" s="1"/>
  <c r="M498" i="1" a="1"/>
  <c r="M498" i="1" s="1"/>
  <c r="L498" i="1" a="1"/>
  <c r="L498" i="1" s="1"/>
  <c r="K498" i="1" a="1"/>
  <c r="K498" i="1" s="1"/>
  <c r="J498" i="1" a="1"/>
  <c r="J498" i="1" s="1"/>
  <c r="I498" i="1" a="1"/>
  <c r="I498" i="1" s="1"/>
  <c r="H498" i="1" a="1"/>
  <c r="H498" i="1" s="1"/>
  <c r="G498" i="1" a="1"/>
  <c r="G498" i="1" s="1"/>
  <c r="F498" i="1" a="1"/>
  <c r="F498" i="1" s="1"/>
  <c r="E498" i="1" a="1"/>
  <c r="E498" i="1" s="1"/>
  <c r="D498" i="1" a="1"/>
  <c r="D498" i="1" s="1"/>
  <c r="C498" i="1" a="1"/>
  <c r="C498" i="1" s="1"/>
  <c r="B498" i="1" a="1"/>
  <c r="B498" i="1" s="1"/>
  <c r="N497" i="1" a="1"/>
  <c r="N497" i="1" s="1"/>
  <c r="M497" i="1" a="1"/>
  <c r="M497" i="1" s="1"/>
  <c r="L497" i="1" a="1"/>
  <c r="L497" i="1" s="1"/>
  <c r="K497" i="1" a="1"/>
  <c r="K497" i="1" s="1"/>
  <c r="J497" i="1" a="1"/>
  <c r="J497" i="1" s="1"/>
  <c r="I497" i="1" a="1"/>
  <c r="I497" i="1" s="1"/>
  <c r="H497" i="1" a="1"/>
  <c r="H497" i="1" s="1"/>
  <c r="G497" i="1" a="1"/>
  <c r="G497" i="1" s="1"/>
  <c r="F497" i="1" a="1"/>
  <c r="F497" i="1" s="1"/>
  <c r="E497" i="1" a="1"/>
  <c r="E497" i="1" s="1"/>
  <c r="D497" i="1" a="1"/>
  <c r="D497" i="1" s="1"/>
  <c r="C497" i="1" a="1"/>
  <c r="C497" i="1" s="1"/>
  <c r="B497" i="1" a="1"/>
  <c r="B497" i="1" s="1"/>
  <c r="N496" i="1" a="1"/>
  <c r="N496" i="1" s="1"/>
  <c r="M496" i="1" a="1"/>
  <c r="M496" i="1" s="1"/>
  <c r="L496" i="1" a="1"/>
  <c r="L496" i="1" s="1"/>
  <c r="K496" i="1" a="1"/>
  <c r="K496" i="1" s="1"/>
  <c r="J496" i="1" a="1"/>
  <c r="J496" i="1" s="1"/>
  <c r="I496" i="1" a="1"/>
  <c r="I496" i="1" s="1"/>
  <c r="H496" i="1" a="1"/>
  <c r="H496" i="1" s="1"/>
  <c r="G496" i="1" a="1"/>
  <c r="G496" i="1" s="1"/>
  <c r="F496" i="1" a="1"/>
  <c r="F496" i="1" s="1"/>
  <c r="E496" i="1" a="1"/>
  <c r="E496" i="1" s="1"/>
  <c r="D496" i="1" a="1"/>
  <c r="D496" i="1" s="1"/>
  <c r="C496" i="1" a="1"/>
  <c r="C496" i="1" s="1"/>
  <c r="B496" i="1" a="1"/>
  <c r="B496" i="1" s="1"/>
  <c r="N495" i="1" a="1"/>
  <c r="N495" i="1" s="1"/>
  <c r="M495" i="1" a="1"/>
  <c r="M495" i="1" s="1"/>
  <c r="L495" i="1" a="1"/>
  <c r="L495" i="1" s="1"/>
  <c r="K495" i="1" a="1"/>
  <c r="K495" i="1" s="1"/>
  <c r="J495" i="1" a="1"/>
  <c r="J495" i="1" s="1"/>
  <c r="I495" i="1" a="1"/>
  <c r="I495" i="1" s="1"/>
  <c r="H495" i="1" a="1"/>
  <c r="H495" i="1" s="1"/>
  <c r="G495" i="1" a="1"/>
  <c r="G495" i="1" s="1"/>
  <c r="F495" i="1" a="1"/>
  <c r="F495" i="1" s="1"/>
  <c r="E495" i="1" a="1"/>
  <c r="E495" i="1" s="1"/>
  <c r="D495" i="1" a="1"/>
  <c r="D495" i="1" s="1"/>
  <c r="C495" i="1" a="1"/>
  <c r="C495" i="1" s="1"/>
  <c r="B495" i="1" a="1"/>
  <c r="B495" i="1" s="1"/>
  <c r="N494" i="1" a="1"/>
  <c r="N494" i="1" s="1"/>
  <c r="M494" i="1" a="1"/>
  <c r="M494" i="1" s="1"/>
  <c r="L494" i="1" a="1"/>
  <c r="L494" i="1" s="1"/>
  <c r="K494" i="1" a="1"/>
  <c r="K494" i="1" s="1"/>
  <c r="J494" i="1" a="1"/>
  <c r="J494" i="1" s="1"/>
  <c r="I494" i="1" a="1"/>
  <c r="I494" i="1" s="1"/>
  <c r="H494" i="1" a="1"/>
  <c r="H494" i="1" s="1"/>
  <c r="G494" i="1" a="1"/>
  <c r="G494" i="1" s="1"/>
  <c r="F494" i="1" a="1"/>
  <c r="F494" i="1" s="1"/>
  <c r="E494" i="1" a="1"/>
  <c r="E494" i="1" s="1"/>
  <c r="D494" i="1" a="1"/>
  <c r="D494" i="1" s="1"/>
  <c r="C494" i="1" a="1"/>
  <c r="C494" i="1" s="1"/>
  <c r="B494" i="1" a="1"/>
  <c r="B494" i="1" s="1"/>
  <c r="N493" i="1" a="1"/>
  <c r="N493" i="1" s="1"/>
  <c r="M493" i="1" a="1"/>
  <c r="M493" i="1" s="1"/>
  <c r="L493" i="1" a="1"/>
  <c r="L493" i="1" s="1"/>
  <c r="K493" i="1" a="1"/>
  <c r="K493" i="1" s="1"/>
  <c r="J493" i="1" a="1"/>
  <c r="J493" i="1" s="1"/>
  <c r="I493" i="1" a="1"/>
  <c r="I493" i="1" s="1"/>
  <c r="H493" i="1" a="1"/>
  <c r="H493" i="1" s="1"/>
  <c r="G493" i="1" a="1"/>
  <c r="G493" i="1" s="1"/>
  <c r="F493" i="1" a="1"/>
  <c r="F493" i="1" s="1"/>
  <c r="E493" i="1" a="1"/>
  <c r="E493" i="1" s="1"/>
  <c r="D493" i="1" a="1"/>
  <c r="D493" i="1" s="1"/>
  <c r="C493" i="1" a="1"/>
  <c r="C493" i="1" s="1"/>
  <c r="B493" i="1" a="1"/>
  <c r="B493" i="1" s="1"/>
  <c r="N492" i="1" a="1"/>
  <c r="N492" i="1" s="1"/>
  <c r="M492" i="1" a="1"/>
  <c r="M492" i="1" s="1"/>
  <c r="L492" i="1" a="1"/>
  <c r="L492" i="1" s="1"/>
  <c r="K492" i="1" a="1"/>
  <c r="K492" i="1" s="1"/>
  <c r="J492" i="1" a="1"/>
  <c r="J492" i="1" s="1"/>
  <c r="I492" i="1" a="1"/>
  <c r="I492" i="1" s="1"/>
  <c r="H492" i="1" a="1"/>
  <c r="H492" i="1" s="1"/>
  <c r="G492" i="1" a="1"/>
  <c r="G492" i="1" s="1"/>
  <c r="F492" i="1" a="1"/>
  <c r="F492" i="1" s="1"/>
  <c r="E492" i="1" a="1"/>
  <c r="E492" i="1" s="1"/>
  <c r="D492" i="1" a="1"/>
  <c r="D492" i="1" s="1"/>
  <c r="C492" i="1" a="1"/>
  <c r="C492" i="1" s="1"/>
  <c r="B492" i="1" a="1"/>
  <c r="B492" i="1" s="1"/>
  <c r="N491" i="1" a="1"/>
  <c r="N491" i="1" s="1"/>
  <c r="M491" i="1" a="1"/>
  <c r="M491" i="1" s="1"/>
  <c r="L491" i="1" a="1"/>
  <c r="L491" i="1" s="1"/>
  <c r="K491" i="1" a="1"/>
  <c r="K491" i="1" s="1"/>
  <c r="J491" i="1" a="1"/>
  <c r="J491" i="1" s="1"/>
  <c r="I491" i="1" a="1"/>
  <c r="I491" i="1" s="1"/>
  <c r="H491" i="1" a="1"/>
  <c r="H491" i="1" s="1"/>
  <c r="G491" i="1" a="1"/>
  <c r="G491" i="1" s="1"/>
  <c r="F491" i="1" a="1"/>
  <c r="F491" i="1" s="1"/>
  <c r="E491" i="1" a="1"/>
  <c r="E491" i="1" s="1"/>
  <c r="D491" i="1" a="1"/>
  <c r="D491" i="1" s="1"/>
  <c r="C491" i="1" a="1"/>
  <c r="C491" i="1" s="1"/>
  <c r="B491" i="1" a="1"/>
  <c r="B491" i="1" s="1"/>
  <c r="N490" i="1" a="1"/>
  <c r="N490" i="1" s="1"/>
  <c r="M490" i="1" a="1"/>
  <c r="M490" i="1" s="1"/>
  <c r="L490" i="1" a="1"/>
  <c r="L490" i="1" s="1"/>
  <c r="K490" i="1" a="1"/>
  <c r="K490" i="1" s="1"/>
  <c r="J490" i="1" a="1"/>
  <c r="J490" i="1" s="1"/>
  <c r="I490" i="1" a="1"/>
  <c r="I490" i="1" s="1"/>
  <c r="H490" i="1" a="1"/>
  <c r="H490" i="1" s="1"/>
  <c r="G490" i="1" a="1"/>
  <c r="G490" i="1" s="1"/>
  <c r="F490" i="1" a="1"/>
  <c r="F490" i="1" s="1"/>
  <c r="E490" i="1" a="1"/>
  <c r="E490" i="1" s="1"/>
  <c r="D490" i="1" a="1"/>
  <c r="D490" i="1" s="1"/>
  <c r="C490" i="1" a="1"/>
  <c r="C490" i="1" s="1"/>
  <c r="B490" i="1" a="1"/>
  <c r="B490" i="1" s="1"/>
  <c r="N489" i="1" a="1"/>
  <c r="N489" i="1" s="1"/>
  <c r="M489" i="1" a="1"/>
  <c r="M489" i="1" s="1"/>
  <c r="L489" i="1" a="1"/>
  <c r="L489" i="1" s="1"/>
  <c r="K489" i="1" a="1"/>
  <c r="K489" i="1" s="1"/>
  <c r="J489" i="1" a="1"/>
  <c r="J489" i="1" s="1"/>
  <c r="I489" i="1" a="1"/>
  <c r="I489" i="1" s="1"/>
  <c r="H489" i="1" a="1"/>
  <c r="H489" i="1" s="1"/>
  <c r="G489" i="1" a="1"/>
  <c r="G489" i="1" s="1"/>
  <c r="F489" i="1" a="1"/>
  <c r="F489" i="1" s="1"/>
  <c r="E489" i="1" a="1"/>
  <c r="E489" i="1" s="1"/>
  <c r="D489" i="1" a="1"/>
  <c r="D489" i="1" s="1"/>
  <c r="C489" i="1" a="1"/>
  <c r="C489" i="1" s="1"/>
  <c r="B489" i="1" a="1"/>
  <c r="B489" i="1" s="1"/>
  <c r="N488" i="1" a="1"/>
  <c r="N488" i="1" s="1"/>
  <c r="M488" i="1" a="1"/>
  <c r="M488" i="1" s="1"/>
  <c r="L488" i="1" a="1"/>
  <c r="L488" i="1" s="1"/>
  <c r="K488" i="1" a="1"/>
  <c r="K488" i="1" s="1"/>
  <c r="J488" i="1" a="1"/>
  <c r="J488" i="1" s="1"/>
  <c r="I488" i="1" a="1"/>
  <c r="I488" i="1" s="1"/>
  <c r="H488" i="1" a="1"/>
  <c r="H488" i="1" s="1"/>
  <c r="G488" i="1" a="1"/>
  <c r="G488" i="1" s="1"/>
  <c r="F488" i="1" a="1"/>
  <c r="F488" i="1" s="1"/>
  <c r="E488" i="1" a="1"/>
  <c r="E488" i="1" s="1"/>
  <c r="D488" i="1" a="1"/>
  <c r="D488" i="1" s="1"/>
  <c r="C488" i="1" a="1"/>
  <c r="C488" i="1" s="1"/>
  <c r="B488" i="1" a="1"/>
  <c r="B488" i="1" s="1"/>
  <c r="N487" i="1" a="1"/>
  <c r="N487" i="1" s="1"/>
  <c r="M487" i="1" a="1"/>
  <c r="M487" i="1" s="1"/>
  <c r="L487" i="1" a="1"/>
  <c r="L487" i="1" s="1"/>
  <c r="K487" i="1" a="1"/>
  <c r="K487" i="1" s="1"/>
  <c r="J487" i="1" a="1"/>
  <c r="J487" i="1" s="1"/>
  <c r="I487" i="1" a="1"/>
  <c r="I487" i="1" s="1"/>
  <c r="H487" i="1" a="1"/>
  <c r="H487" i="1" s="1"/>
  <c r="G487" i="1" a="1"/>
  <c r="G487" i="1" s="1"/>
  <c r="F487" i="1" a="1"/>
  <c r="F487" i="1" s="1"/>
  <c r="E487" i="1" a="1"/>
  <c r="E487" i="1" s="1"/>
  <c r="D487" i="1" a="1"/>
  <c r="D487" i="1" s="1"/>
  <c r="C487" i="1" a="1"/>
  <c r="C487" i="1" s="1"/>
  <c r="B487" i="1" a="1"/>
  <c r="B487" i="1" s="1"/>
  <c r="N486" i="1" a="1"/>
  <c r="N486" i="1" s="1"/>
  <c r="M486" i="1" a="1"/>
  <c r="M486" i="1" s="1"/>
  <c r="L486" i="1" a="1"/>
  <c r="L486" i="1" s="1"/>
  <c r="K486" i="1" a="1"/>
  <c r="K486" i="1" s="1"/>
  <c r="J486" i="1" a="1"/>
  <c r="J486" i="1" s="1"/>
  <c r="I486" i="1" a="1"/>
  <c r="I486" i="1" s="1"/>
  <c r="H486" i="1" a="1"/>
  <c r="H486" i="1" s="1"/>
  <c r="G486" i="1" a="1"/>
  <c r="G486" i="1" s="1"/>
  <c r="F486" i="1" a="1"/>
  <c r="F486" i="1" s="1"/>
  <c r="E486" i="1" a="1"/>
  <c r="E486" i="1" s="1"/>
  <c r="D486" i="1" a="1"/>
  <c r="D486" i="1" s="1"/>
  <c r="C486" i="1" a="1"/>
  <c r="C486" i="1" s="1"/>
  <c r="B486" i="1" a="1"/>
  <c r="B486" i="1" s="1"/>
  <c r="N485" i="1" a="1"/>
  <c r="N485" i="1" s="1"/>
  <c r="M485" i="1" a="1"/>
  <c r="M485" i="1" s="1"/>
  <c r="L485" i="1" a="1"/>
  <c r="L485" i="1" s="1"/>
  <c r="K485" i="1" a="1"/>
  <c r="K485" i="1" s="1"/>
  <c r="J485" i="1" a="1"/>
  <c r="J485" i="1" s="1"/>
  <c r="I485" i="1" a="1"/>
  <c r="I485" i="1" s="1"/>
  <c r="H485" i="1" a="1"/>
  <c r="H485" i="1" s="1"/>
  <c r="G485" i="1" a="1"/>
  <c r="G485" i="1" s="1"/>
  <c r="F485" i="1" a="1"/>
  <c r="F485" i="1" s="1"/>
  <c r="E485" i="1" a="1"/>
  <c r="E485" i="1" s="1"/>
  <c r="D485" i="1" a="1"/>
  <c r="D485" i="1" s="1"/>
  <c r="C485" i="1" a="1"/>
  <c r="C485" i="1" s="1"/>
  <c r="B485" i="1" a="1"/>
  <c r="B485" i="1" s="1"/>
  <c r="N484" i="1" a="1"/>
  <c r="N484" i="1" s="1"/>
  <c r="M484" i="1" a="1"/>
  <c r="M484" i="1" s="1"/>
  <c r="L484" i="1" a="1"/>
  <c r="L484" i="1" s="1"/>
  <c r="K484" i="1" a="1"/>
  <c r="K484" i="1" s="1"/>
  <c r="J484" i="1" a="1"/>
  <c r="J484" i="1" s="1"/>
  <c r="I484" i="1" a="1"/>
  <c r="I484" i="1" s="1"/>
  <c r="H484" i="1" a="1"/>
  <c r="H484" i="1" s="1"/>
  <c r="G484" i="1" a="1"/>
  <c r="G484" i="1" s="1"/>
  <c r="F484" i="1" a="1"/>
  <c r="F484" i="1" s="1"/>
  <c r="E484" i="1" a="1"/>
  <c r="E484" i="1" s="1"/>
  <c r="D484" i="1" a="1"/>
  <c r="D484" i="1" s="1"/>
  <c r="C484" i="1" a="1"/>
  <c r="C484" i="1" s="1"/>
  <c r="B484" i="1" a="1"/>
  <c r="B484" i="1" s="1"/>
  <c r="N483" i="1" a="1"/>
  <c r="N483" i="1" s="1"/>
  <c r="M483" i="1" a="1"/>
  <c r="M483" i="1" s="1"/>
  <c r="L483" i="1" a="1"/>
  <c r="L483" i="1" s="1"/>
  <c r="K483" i="1" a="1"/>
  <c r="K483" i="1" s="1"/>
  <c r="J483" i="1" a="1"/>
  <c r="J483" i="1" s="1"/>
  <c r="I483" i="1" a="1"/>
  <c r="I483" i="1" s="1"/>
  <c r="H483" i="1" a="1"/>
  <c r="H483" i="1" s="1"/>
  <c r="G483" i="1" a="1"/>
  <c r="G483" i="1" s="1"/>
  <c r="F483" i="1" a="1"/>
  <c r="F483" i="1" s="1"/>
  <c r="E483" i="1" a="1"/>
  <c r="E483" i="1" s="1"/>
  <c r="D483" i="1" a="1"/>
  <c r="D483" i="1" s="1"/>
  <c r="C483" i="1" a="1"/>
  <c r="C483" i="1" s="1"/>
  <c r="B483" i="1" a="1"/>
  <c r="B483" i="1" s="1"/>
  <c r="N482" i="1" a="1"/>
  <c r="N482" i="1" s="1"/>
  <c r="M482" i="1" a="1"/>
  <c r="M482" i="1" s="1"/>
  <c r="L482" i="1" a="1"/>
  <c r="L482" i="1" s="1"/>
  <c r="K482" i="1" a="1"/>
  <c r="K482" i="1" s="1"/>
  <c r="J482" i="1" a="1"/>
  <c r="J482" i="1" s="1"/>
  <c r="I482" i="1" a="1"/>
  <c r="I482" i="1" s="1"/>
  <c r="H482" i="1" a="1"/>
  <c r="H482" i="1" s="1"/>
  <c r="G482" i="1" a="1"/>
  <c r="G482" i="1" s="1"/>
  <c r="F482" i="1" a="1"/>
  <c r="F482" i="1" s="1"/>
  <c r="E482" i="1" a="1"/>
  <c r="E482" i="1" s="1"/>
  <c r="D482" i="1" a="1"/>
  <c r="D482" i="1" s="1"/>
  <c r="C482" i="1" a="1"/>
  <c r="C482" i="1" s="1"/>
  <c r="B482" i="1" a="1"/>
  <c r="B482" i="1" s="1"/>
  <c r="N481" i="1" a="1"/>
  <c r="N481" i="1" s="1"/>
  <c r="M481" i="1" a="1"/>
  <c r="M481" i="1" s="1"/>
  <c r="L481" i="1" a="1"/>
  <c r="L481" i="1" s="1"/>
  <c r="K481" i="1" a="1"/>
  <c r="K481" i="1" s="1"/>
  <c r="J481" i="1" a="1"/>
  <c r="J481" i="1" s="1"/>
  <c r="I481" i="1" a="1"/>
  <c r="I481" i="1" s="1"/>
  <c r="H481" i="1" a="1"/>
  <c r="H481" i="1" s="1"/>
  <c r="G481" i="1" a="1"/>
  <c r="G481" i="1" s="1"/>
  <c r="F481" i="1" a="1"/>
  <c r="F481" i="1" s="1"/>
  <c r="E481" i="1" a="1"/>
  <c r="E481" i="1" s="1"/>
  <c r="D481" i="1" a="1"/>
  <c r="D481" i="1" s="1"/>
  <c r="C481" i="1" a="1"/>
  <c r="C481" i="1" s="1"/>
  <c r="B481" i="1" a="1"/>
  <c r="B481" i="1" s="1"/>
  <c r="N480" i="1" a="1"/>
  <c r="N480" i="1" s="1"/>
  <c r="M480" i="1" a="1"/>
  <c r="M480" i="1" s="1"/>
  <c r="L480" i="1" a="1"/>
  <c r="L480" i="1" s="1"/>
  <c r="K480" i="1" a="1"/>
  <c r="K480" i="1" s="1"/>
  <c r="J480" i="1" a="1"/>
  <c r="J480" i="1" s="1"/>
  <c r="I480" i="1" a="1"/>
  <c r="I480" i="1" s="1"/>
  <c r="H480" i="1" a="1"/>
  <c r="H480" i="1" s="1"/>
  <c r="G480" i="1" a="1"/>
  <c r="G480" i="1" s="1"/>
  <c r="F480" i="1" a="1"/>
  <c r="F480" i="1" s="1"/>
  <c r="E480" i="1" a="1"/>
  <c r="E480" i="1" s="1"/>
  <c r="D480" i="1" a="1"/>
  <c r="D480" i="1" s="1"/>
  <c r="C480" i="1" a="1"/>
  <c r="C480" i="1" s="1"/>
  <c r="B480" i="1" a="1"/>
  <c r="B480" i="1" s="1"/>
  <c r="N479" i="1" a="1"/>
  <c r="N479" i="1" s="1"/>
  <c r="M479" i="1" a="1"/>
  <c r="M479" i="1" s="1"/>
  <c r="L479" i="1" a="1"/>
  <c r="L479" i="1" s="1"/>
  <c r="K479" i="1" a="1"/>
  <c r="K479" i="1" s="1"/>
  <c r="J479" i="1" a="1"/>
  <c r="J479" i="1" s="1"/>
  <c r="I479" i="1" a="1"/>
  <c r="I479" i="1" s="1"/>
  <c r="H479" i="1" a="1"/>
  <c r="H479" i="1" s="1"/>
  <c r="G479" i="1" a="1"/>
  <c r="G479" i="1" s="1"/>
  <c r="F479" i="1" a="1"/>
  <c r="F479" i="1" s="1"/>
  <c r="E479" i="1" a="1"/>
  <c r="E479" i="1" s="1"/>
  <c r="D479" i="1" a="1"/>
  <c r="D479" i="1" s="1"/>
  <c r="C479" i="1" a="1"/>
  <c r="C479" i="1" s="1"/>
  <c r="B479" i="1" a="1"/>
  <c r="B479" i="1" s="1"/>
  <c r="N478" i="1" a="1"/>
  <c r="N478" i="1" s="1"/>
  <c r="M478" i="1" a="1"/>
  <c r="M478" i="1" s="1"/>
  <c r="L478" i="1" a="1"/>
  <c r="L478" i="1" s="1"/>
  <c r="K478" i="1" a="1"/>
  <c r="K478" i="1" s="1"/>
  <c r="J478" i="1" a="1"/>
  <c r="J478" i="1" s="1"/>
  <c r="I478" i="1" a="1"/>
  <c r="I478" i="1" s="1"/>
  <c r="H478" i="1" a="1"/>
  <c r="H478" i="1" s="1"/>
  <c r="G478" i="1" a="1"/>
  <c r="G478" i="1" s="1"/>
  <c r="F478" i="1" a="1"/>
  <c r="F478" i="1" s="1"/>
  <c r="E478" i="1" a="1"/>
  <c r="E478" i="1" s="1"/>
  <c r="D478" i="1" a="1"/>
  <c r="D478" i="1" s="1"/>
  <c r="C478" i="1" a="1"/>
  <c r="C478" i="1" s="1"/>
  <c r="B478" i="1" a="1"/>
  <c r="B478" i="1" s="1"/>
  <c r="N477" i="1" a="1"/>
  <c r="N477" i="1" s="1"/>
  <c r="M477" i="1" a="1"/>
  <c r="M477" i="1" s="1"/>
  <c r="L477" i="1" a="1"/>
  <c r="L477" i="1" s="1"/>
  <c r="K477" i="1" a="1"/>
  <c r="K477" i="1" s="1"/>
  <c r="J477" i="1" a="1"/>
  <c r="J477" i="1" s="1"/>
  <c r="I477" i="1" a="1"/>
  <c r="I477" i="1" s="1"/>
  <c r="H477" i="1" a="1"/>
  <c r="H477" i="1" s="1"/>
  <c r="G477" i="1" a="1"/>
  <c r="G477" i="1" s="1"/>
  <c r="F477" i="1" a="1"/>
  <c r="F477" i="1" s="1"/>
  <c r="E477" i="1" a="1"/>
  <c r="E477" i="1" s="1"/>
  <c r="D477" i="1" a="1"/>
  <c r="D477" i="1" s="1"/>
  <c r="C477" i="1" a="1"/>
  <c r="C477" i="1" s="1"/>
  <c r="B477" i="1" a="1"/>
  <c r="B477" i="1" s="1"/>
  <c r="N476" i="1" a="1"/>
  <c r="N476" i="1" s="1"/>
  <c r="M476" i="1" a="1"/>
  <c r="M476" i="1" s="1"/>
  <c r="L476" i="1" a="1"/>
  <c r="L476" i="1" s="1"/>
  <c r="K476" i="1" a="1"/>
  <c r="K476" i="1" s="1"/>
  <c r="J476" i="1" a="1"/>
  <c r="J476" i="1" s="1"/>
  <c r="I476" i="1" a="1"/>
  <c r="I476" i="1" s="1"/>
  <c r="H476" i="1" a="1"/>
  <c r="H476" i="1" s="1"/>
  <c r="G476" i="1" a="1"/>
  <c r="G476" i="1" s="1"/>
  <c r="F476" i="1" a="1"/>
  <c r="F476" i="1" s="1"/>
  <c r="E476" i="1" a="1"/>
  <c r="E476" i="1" s="1"/>
  <c r="D476" i="1" a="1"/>
  <c r="D476" i="1" s="1"/>
  <c r="C476" i="1" a="1"/>
  <c r="C476" i="1" s="1"/>
  <c r="B476" i="1" a="1"/>
  <c r="B476" i="1" s="1"/>
  <c r="N475" i="1" a="1"/>
  <c r="N475" i="1" s="1"/>
  <c r="M475" i="1" a="1"/>
  <c r="M475" i="1" s="1"/>
  <c r="L475" i="1" a="1"/>
  <c r="L475" i="1" s="1"/>
  <c r="K475" i="1" a="1"/>
  <c r="K475" i="1" s="1"/>
  <c r="J475" i="1" a="1"/>
  <c r="J475" i="1" s="1"/>
  <c r="I475" i="1" a="1"/>
  <c r="I475" i="1" s="1"/>
  <c r="H475" i="1" a="1"/>
  <c r="H475" i="1" s="1"/>
  <c r="G475" i="1" a="1"/>
  <c r="G475" i="1" s="1"/>
  <c r="F475" i="1" a="1"/>
  <c r="F475" i="1" s="1"/>
  <c r="E475" i="1" a="1"/>
  <c r="E475" i="1" s="1"/>
  <c r="D475" i="1" a="1"/>
  <c r="D475" i="1" s="1"/>
  <c r="C475" i="1" a="1"/>
  <c r="C475" i="1" s="1"/>
  <c r="B475" i="1" a="1"/>
  <c r="B475" i="1" s="1"/>
  <c r="N474" i="1" a="1"/>
  <c r="N474" i="1" s="1"/>
  <c r="M474" i="1" a="1"/>
  <c r="M474" i="1" s="1"/>
  <c r="L474" i="1" a="1"/>
  <c r="L474" i="1" s="1"/>
  <c r="K474" i="1" a="1"/>
  <c r="K474" i="1" s="1"/>
  <c r="J474" i="1" a="1"/>
  <c r="J474" i="1" s="1"/>
  <c r="I474" i="1" a="1"/>
  <c r="I474" i="1" s="1"/>
  <c r="H474" i="1" a="1"/>
  <c r="H474" i="1" s="1"/>
  <c r="G474" i="1" a="1"/>
  <c r="G474" i="1" s="1"/>
  <c r="F474" i="1" a="1"/>
  <c r="F474" i="1" s="1"/>
  <c r="E474" i="1" a="1"/>
  <c r="E474" i="1" s="1"/>
  <c r="D474" i="1" a="1"/>
  <c r="D474" i="1" s="1"/>
  <c r="C474" i="1" a="1"/>
  <c r="C474" i="1" s="1"/>
  <c r="B474" i="1" a="1"/>
  <c r="B474" i="1" s="1"/>
  <c r="N473" i="1" a="1"/>
  <c r="N473" i="1" s="1"/>
  <c r="M473" i="1" a="1"/>
  <c r="M473" i="1" s="1"/>
  <c r="L473" i="1" a="1"/>
  <c r="L473" i="1" s="1"/>
  <c r="K473" i="1" a="1"/>
  <c r="K473" i="1" s="1"/>
  <c r="J473" i="1" a="1"/>
  <c r="J473" i="1" s="1"/>
  <c r="I473" i="1" a="1"/>
  <c r="I473" i="1" s="1"/>
  <c r="H473" i="1" a="1"/>
  <c r="H473" i="1" s="1"/>
  <c r="G473" i="1" a="1"/>
  <c r="G473" i="1" s="1"/>
  <c r="F473" i="1" a="1"/>
  <c r="F473" i="1" s="1"/>
  <c r="E473" i="1" a="1"/>
  <c r="E473" i="1" s="1"/>
  <c r="D473" i="1" a="1"/>
  <c r="D473" i="1" s="1"/>
  <c r="C473" i="1" a="1"/>
  <c r="C473" i="1" s="1"/>
  <c r="B473" i="1" a="1"/>
  <c r="B473" i="1" s="1"/>
  <c r="N472" i="1" a="1"/>
  <c r="N472" i="1" s="1"/>
  <c r="M472" i="1" a="1"/>
  <c r="M472" i="1" s="1"/>
  <c r="L472" i="1" a="1"/>
  <c r="L472" i="1" s="1"/>
  <c r="K472" i="1" a="1"/>
  <c r="K472" i="1" s="1"/>
  <c r="J472" i="1" a="1"/>
  <c r="J472" i="1" s="1"/>
  <c r="I472" i="1" a="1"/>
  <c r="I472" i="1" s="1"/>
  <c r="H472" i="1" a="1"/>
  <c r="H472" i="1" s="1"/>
  <c r="G472" i="1" a="1"/>
  <c r="G472" i="1" s="1"/>
  <c r="F472" i="1" a="1"/>
  <c r="F472" i="1" s="1"/>
  <c r="E472" i="1" a="1"/>
  <c r="E472" i="1" s="1"/>
  <c r="D472" i="1" a="1"/>
  <c r="D472" i="1" s="1"/>
  <c r="C472" i="1" a="1"/>
  <c r="C472" i="1" s="1"/>
  <c r="B472" i="1" a="1"/>
  <c r="B472" i="1" s="1"/>
  <c r="N471" i="1" a="1"/>
  <c r="N471" i="1" s="1"/>
  <c r="M471" i="1" a="1"/>
  <c r="M471" i="1" s="1"/>
  <c r="L471" i="1" a="1"/>
  <c r="L471" i="1" s="1"/>
  <c r="K471" i="1" a="1"/>
  <c r="K471" i="1" s="1"/>
  <c r="J471" i="1" a="1"/>
  <c r="J471" i="1" s="1"/>
  <c r="I471" i="1" a="1"/>
  <c r="I471" i="1" s="1"/>
  <c r="H471" i="1" a="1"/>
  <c r="H471" i="1" s="1"/>
  <c r="G471" i="1" a="1"/>
  <c r="G471" i="1" s="1"/>
  <c r="F471" i="1" a="1"/>
  <c r="F471" i="1" s="1"/>
  <c r="E471" i="1" a="1"/>
  <c r="E471" i="1" s="1"/>
  <c r="D471" i="1" a="1"/>
  <c r="D471" i="1" s="1"/>
  <c r="C471" i="1" a="1"/>
  <c r="C471" i="1" s="1"/>
  <c r="B471" i="1" a="1"/>
  <c r="B471" i="1" s="1"/>
  <c r="N470" i="1" a="1"/>
  <c r="N470" i="1" s="1"/>
  <c r="M470" i="1" a="1"/>
  <c r="M470" i="1" s="1"/>
  <c r="L470" i="1" a="1"/>
  <c r="L470" i="1" s="1"/>
  <c r="K470" i="1" a="1"/>
  <c r="K470" i="1" s="1"/>
  <c r="J470" i="1" a="1"/>
  <c r="J470" i="1" s="1"/>
  <c r="I470" i="1" a="1"/>
  <c r="I470" i="1" s="1"/>
  <c r="H470" i="1" a="1"/>
  <c r="H470" i="1" s="1"/>
  <c r="G470" i="1" a="1"/>
  <c r="G470" i="1" s="1"/>
  <c r="F470" i="1" a="1"/>
  <c r="F470" i="1" s="1"/>
  <c r="E470" i="1" a="1"/>
  <c r="E470" i="1" s="1"/>
  <c r="D470" i="1" a="1"/>
  <c r="D470" i="1" s="1"/>
  <c r="C470" i="1" a="1"/>
  <c r="C470" i="1" s="1"/>
  <c r="B470" i="1" a="1"/>
  <c r="B470" i="1" s="1"/>
  <c r="N469" i="1" a="1"/>
  <c r="N469" i="1" s="1"/>
  <c r="M469" i="1" a="1"/>
  <c r="M469" i="1" s="1"/>
  <c r="L469" i="1" a="1"/>
  <c r="L469" i="1" s="1"/>
  <c r="K469" i="1" a="1"/>
  <c r="K469" i="1" s="1"/>
  <c r="J469" i="1" a="1"/>
  <c r="J469" i="1" s="1"/>
  <c r="I469" i="1" a="1"/>
  <c r="I469" i="1" s="1"/>
  <c r="H469" i="1" a="1"/>
  <c r="H469" i="1" s="1"/>
  <c r="G469" i="1" a="1"/>
  <c r="G469" i="1" s="1"/>
  <c r="F469" i="1" a="1"/>
  <c r="F469" i="1" s="1"/>
  <c r="E469" i="1" a="1"/>
  <c r="E469" i="1" s="1"/>
  <c r="D469" i="1" a="1"/>
  <c r="D469" i="1" s="1"/>
  <c r="C469" i="1" a="1"/>
  <c r="C469" i="1" s="1"/>
  <c r="B469" i="1" a="1"/>
  <c r="B469" i="1" s="1"/>
  <c r="N468" i="1" a="1"/>
  <c r="N468" i="1" s="1"/>
  <c r="M468" i="1" a="1"/>
  <c r="M468" i="1" s="1"/>
  <c r="L468" i="1" a="1"/>
  <c r="L468" i="1" s="1"/>
  <c r="K468" i="1" a="1"/>
  <c r="K468" i="1" s="1"/>
  <c r="J468" i="1" a="1"/>
  <c r="J468" i="1" s="1"/>
  <c r="I468" i="1" a="1"/>
  <c r="I468" i="1" s="1"/>
  <c r="H468" i="1" a="1"/>
  <c r="H468" i="1" s="1"/>
  <c r="G468" i="1" a="1"/>
  <c r="G468" i="1" s="1"/>
  <c r="F468" i="1" a="1"/>
  <c r="F468" i="1" s="1"/>
  <c r="E468" i="1" a="1"/>
  <c r="E468" i="1" s="1"/>
  <c r="D468" i="1" a="1"/>
  <c r="D468" i="1" s="1"/>
  <c r="C468" i="1" a="1"/>
  <c r="C468" i="1" s="1"/>
  <c r="B468" i="1" a="1"/>
  <c r="B468" i="1" s="1"/>
  <c r="N467" i="1" a="1"/>
  <c r="N467" i="1" s="1"/>
  <c r="M467" i="1" a="1"/>
  <c r="M467" i="1" s="1"/>
  <c r="L467" i="1" a="1"/>
  <c r="L467" i="1" s="1"/>
  <c r="K467" i="1" a="1"/>
  <c r="K467" i="1" s="1"/>
  <c r="J467" i="1" a="1"/>
  <c r="J467" i="1" s="1"/>
  <c r="I467" i="1" a="1"/>
  <c r="I467" i="1" s="1"/>
  <c r="H467" i="1" a="1"/>
  <c r="H467" i="1" s="1"/>
  <c r="G467" i="1" a="1"/>
  <c r="G467" i="1" s="1"/>
  <c r="F467" i="1" a="1"/>
  <c r="F467" i="1" s="1"/>
  <c r="E467" i="1" a="1"/>
  <c r="E467" i="1" s="1"/>
  <c r="D467" i="1" a="1"/>
  <c r="D467" i="1" s="1"/>
  <c r="C467" i="1" a="1"/>
  <c r="C467" i="1" s="1"/>
  <c r="B467" i="1" a="1"/>
  <c r="B467" i="1" s="1"/>
  <c r="N466" i="1" a="1"/>
  <c r="N466" i="1" s="1"/>
  <c r="M466" i="1" a="1"/>
  <c r="M466" i="1" s="1"/>
  <c r="L466" i="1" a="1"/>
  <c r="L466" i="1" s="1"/>
  <c r="K466" i="1" a="1"/>
  <c r="K466" i="1" s="1"/>
  <c r="J466" i="1" a="1"/>
  <c r="J466" i="1" s="1"/>
  <c r="I466" i="1" a="1"/>
  <c r="I466" i="1" s="1"/>
  <c r="H466" i="1" a="1"/>
  <c r="H466" i="1" s="1"/>
  <c r="G466" i="1" a="1"/>
  <c r="G466" i="1" s="1"/>
  <c r="F466" i="1" a="1"/>
  <c r="F466" i="1" s="1"/>
  <c r="E466" i="1" a="1"/>
  <c r="E466" i="1" s="1"/>
  <c r="D466" i="1" a="1"/>
  <c r="D466" i="1" s="1"/>
  <c r="C466" i="1" a="1"/>
  <c r="C466" i="1" s="1"/>
  <c r="B466" i="1" a="1"/>
  <c r="B466" i="1" s="1"/>
  <c r="N465" i="1" a="1"/>
  <c r="N465" i="1" s="1"/>
  <c r="M465" i="1" a="1"/>
  <c r="M465" i="1" s="1"/>
  <c r="L465" i="1" a="1"/>
  <c r="L465" i="1" s="1"/>
  <c r="K465" i="1" a="1"/>
  <c r="K465" i="1" s="1"/>
  <c r="J465" i="1" a="1"/>
  <c r="J465" i="1" s="1"/>
  <c r="I465" i="1" a="1"/>
  <c r="I465" i="1" s="1"/>
  <c r="H465" i="1" a="1"/>
  <c r="H465" i="1" s="1"/>
  <c r="G465" i="1" a="1"/>
  <c r="G465" i="1" s="1"/>
  <c r="F465" i="1" a="1"/>
  <c r="F465" i="1" s="1"/>
  <c r="E465" i="1" a="1"/>
  <c r="E465" i="1" s="1"/>
  <c r="D465" i="1" a="1"/>
  <c r="D465" i="1" s="1"/>
  <c r="C465" i="1" a="1"/>
  <c r="C465" i="1" s="1"/>
  <c r="B465" i="1" a="1"/>
  <c r="B465" i="1" s="1"/>
  <c r="N464" i="1" a="1"/>
  <c r="N464" i="1" s="1"/>
  <c r="M464" i="1" a="1"/>
  <c r="M464" i="1" s="1"/>
  <c r="L464" i="1" a="1"/>
  <c r="L464" i="1" s="1"/>
  <c r="K464" i="1" a="1"/>
  <c r="K464" i="1" s="1"/>
  <c r="J464" i="1" a="1"/>
  <c r="J464" i="1" s="1"/>
  <c r="I464" i="1" a="1"/>
  <c r="I464" i="1" s="1"/>
  <c r="H464" i="1" a="1"/>
  <c r="H464" i="1" s="1"/>
  <c r="G464" i="1" a="1"/>
  <c r="G464" i="1" s="1"/>
  <c r="F464" i="1" a="1"/>
  <c r="F464" i="1" s="1"/>
  <c r="E464" i="1" a="1"/>
  <c r="E464" i="1" s="1"/>
  <c r="D464" i="1" a="1"/>
  <c r="D464" i="1" s="1"/>
  <c r="C464" i="1" a="1"/>
  <c r="C464" i="1" s="1"/>
  <c r="B464" i="1" a="1"/>
  <c r="B464" i="1" s="1"/>
  <c r="N463" i="1" a="1"/>
  <c r="N463" i="1" s="1"/>
  <c r="M463" i="1" a="1"/>
  <c r="M463" i="1" s="1"/>
  <c r="L463" i="1" a="1"/>
  <c r="L463" i="1" s="1"/>
  <c r="K463" i="1" a="1"/>
  <c r="K463" i="1" s="1"/>
  <c r="J463" i="1" a="1"/>
  <c r="J463" i="1" s="1"/>
  <c r="I463" i="1" a="1"/>
  <c r="I463" i="1" s="1"/>
  <c r="H463" i="1" a="1"/>
  <c r="H463" i="1" s="1"/>
  <c r="G463" i="1" a="1"/>
  <c r="G463" i="1" s="1"/>
  <c r="F463" i="1" a="1"/>
  <c r="F463" i="1" s="1"/>
  <c r="E463" i="1" a="1"/>
  <c r="E463" i="1" s="1"/>
  <c r="D463" i="1" a="1"/>
  <c r="D463" i="1" s="1"/>
  <c r="C463" i="1" a="1"/>
  <c r="C463" i="1" s="1"/>
  <c r="B463" i="1" a="1"/>
  <c r="B463" i="1" s="1"/>
  <c r="N462" i="1" a="1"/>
  <c r="N462" i="1" s="1"/>
  <c r="M462" i="1" a="1"/>
  <c r="M462" i="1" s="1"/>
  <c r="L462" i="1" a="1"/>
  <c r="L462" i="1" s="1"/>
  <c r="K462" i="1" a="1"/>
  <c r="K462" i="1" s="1"/>
  <c r="J462" i="1" a="1"/>
  <c r="J462" i="1" s="1"/>
  <c r="I462" i="1" a="1"/>
  <c r="I462" i="1" s="1"/>
  <c r="H462" i="1" a="1"/>
  <c r="H462" i="1" s="1"/>
  <c r="G462" i="1" a="1"/>
  <c r="G462" i="1" s="1"/>
  <c r="F462" i="1" a="1"/>
  <c r="F462" i="1" s="1"/>
  <c r="E462" i="1" a="1"/>
  <c r="E462" i="1" s="1"/>
  <c r="D462" i="1" a="1"/>
  <c r="D462" i="1" s="1"/>
  <c r="C462" i="1" a="1"/>
  <c r="C462" i="1" s="1"/>
  <c r="B462" i="1" a="1"/>
  <c r="B462" i="1" s="1"/>
  <c r="N461" i="1" a="1"/>
  <c r="N461" i="1" s="1"/>
  <c r="M461" i="1" a="1"/>
  <c r="M461" i="1" s="1"/>
  <c r="L461" i="1" a="1"/>
  <c r="L461" i="1" s="1"/>
  <c r="K461" i="1" a="1"/>
  <c r="K461" i="1" s="1"/>
  <c r="J461" i="1" a="1"/>
  <c r="J461" i="1" s="1"/>
  <c r="I461" i="1" a="1"/>
  <c r="I461" i="1" s="1"/>
  <c r="H461" i="1" a="1"/>
  <c r="H461" i="1" s="1"/>
  <c r="G461" i="1" a="1"/>
  <c r="G461" i="1" s="1"/>
  <c r="F461" i="1" a="1"/>
  <c r="F461" i="1" s="1"/>
  <c r="E461" i="1" a="1"/>
  <c r="E461" i="1" s="1"/>
  <c r="D461" i="1" a="1"/>
  <c r="D461" i="1" s="1"/>
  <c r="C461" i="1" a="1"/>
  <c r="C461" i="1" s="1"/>
  <c r="B461" i="1" a="1"/>
  <c r="B461" i="1" s="1"/>
  <c r="N460" i="1" a="1"/>
  <c r="N460" i="1" s="1"/>
  <c r="M460" i="1" a="1"/>
  <c r="M460" i="1" s="1"/>
  <c r="L460" i="1" a="1"/>
  <c r="L460" i="1" s="1"/>
  <c r="K460" i="1" a="1"/>
  <c r="K460" i="1" s="1"/>
  <c r="J460" i="1" a="1"/>
  <c r="J460" i="1" s="1"/>
  <c r="I460" i="1" a="1"/>
  <c r="I460" i="1" s="1"/>
  <c r="H460" i="1" a="1"/>
  <c r="H460" i="1" s="1"/>
  <c r="G460" i="1" a="1"/>
  <c r="G460" i="1" s="1"/>
  <c r="F460" i="1" a="1"/>
  <c r="F460" i="1" s="1"/>
  <c r="E460" i="1" a="1"/>
  <c r="E460" i="1" s="1"/>
  <c r="D460" i="1" a="1"/>
  <c r="D460" i="1" s="1"/>
  <c r="C460" i="1" a="1"/>
  <c r="C460" i="1" s="1"/>
  <c r="B460" i="1" a="1"/>
  <c r="B460" i="1" s="1"/>
  <c r="N459" i="1" a="1"/>
  <c r="N459" i="1" s="1"/>
  <c r="M459" i="1" a="1"/>
  <c r="M459" i="1" s="1"/>
  <c r="L459" i="1" a="1"/>
  <c r="L459" i="1" s="1"/>
  <c r="K459" i="1" a="1"/>
  <c r="K459" i="1" s="1"/>
  <c r="J459" i="1" a="1"/>
  <c r="J459" i="1" s="1"/>
  <c r="I459" i="1" a="1"/>
  <c r="I459" i="1" s="1"/>
  <c r="H459" i="1" a="1"/>
  <c r="H459" i="1" s="1"/>
  <c r="G459" i="1" a="1"/>
  <c r="G459" i="1" s="1"/>
  <c r="F459" i="1" a="1"/>
  <c r="F459" i="1" s="1"/>
  <c r="E459" i="1" a="1"/>
  <c r="E459" i="1" s="1"/>
  <c r="D459" i="1" a="1"/>
  <c r="D459" i="1" s="1"/>
  <c r="C459" i="1" a="1"/>
  <c r="C459" i="1" s="1"/>
  <c r="B459" i="1" a="1"/>
  <c r="B459" i="1" s="1"/>
  <c r="N458" i="1" a="1"/>
  <c r="N458" i="1" s="1"/>
  <c r="M458" i="1" a="1"/>
  <c r="M458" i="1" s="1"/>
  <c r="L458" i="1" a="1"/>
  <c r="L458" i="1" s="1"/>
  <c r="K458" i="1" a="1"/>
  <c r="K458" i="1" s="1"/>
  <c r="J458" i="1" a="1"/>
  <c r="J458" i="1" s="1"/>
  <c r="I458" i="1" a="1"/>
  <c r="I458" i="1" s="1"/>
  <c r="H458" i="1" a="1"/>
  <c r="H458" i="1" s="1"/>
  <c r="G458" i="1" a="1"/>
  <c r="G458" i="1" s="1"/>
  <c r="F458" i="1" a="1"/>
  <c r="F458" i="1" s="1"/>
  <c r="E458" i="1" a="1"/>
  <c r="E458" i="1" s="1"/>
  <c r="D458" i="1" a="1"/>
  <c r="D458" i="1" s="1"/>
  <c r="C458" i="1" a="1"/>
  <c r="C458" i="1" s="1"/>
  <c r="B458" i="1" a="1"/>
  <c r="B458" i="1" s="1"/>
  <c r="N457" i="1" a="1"/>
  <c r="N457" i="1" s="1"/>
  <c r="M457" i="1" a="1"/>
  <c r="M457" i="1" s="1"/>
  <c r="L457" i="1" a="1"/>
  <c r="L457" i="1" s="1"/>
  <c r="K457" i="1" a="1"/>
  <c r="K457" i="1" s="1"/>
  <c r="J457" i="1" a="1"/>
  <c r="J457" i="1" s="1"/>
  <c r="I457" i="1" a="1"/>
  <c r="I457" i="1" s="1"/>
  <c r="H457" i="1" a="1"/>
  <c r="H457" i="1" s="1"/>
  <c r="G457" i="1" a="1"/>
  <c r="G457" i="1" s="1"/>
  <c r="F457" i="1" a="1"/>
  <c r="F457" i="1" s="1"/>
  <c r="E457" i="1" a="1"/>
  <c r="E457" i="1" s="1"/>
  <c r="D457" i="1" a="1"/>
  <c r="D457" i="1" s="1"/>
  <c r="C457" i="1" a="1"/>
  <c r="C457" i="1" s="1"/>
  <c r="B457" i="1" a="1"/>
  <c r="B457" i="1" s="1"/>
  <c r="N456" i="1" a="1"/>
  <c r="N456" i="1" s="1"/>
  <c r="M456" i="1" a="1"/>
  <c r="M456" i="1" s="1"/>
  <c r="L456" i="1" a="1"/>
  <c r="L456" i="1" s="1"/>
  <c r="K456" i="1" a="1"/>
  <c r="K456" i="1" s="1"/>
  <c r="J456" i="1" a="1"/>
  <c r="J456" i="1" s="1"/>
  <c r="I456" i="1" a="1"/>
  <c r="I456" i="1" s="1"/>
  <c r="H456" i="1" a="1"/>
  <c r="H456" i="1" s="1"/>
  <c r="G456" i="1" a="1"/>
  <c r="G456" i="1" s="1"/>
  <c r="F456" i="1" a="1"/>
  <c r="F456" i="1" s="1"/>
  <c r="E456" i="1" a="1"/>
  <c r="E456" i="1" s="1"/>
  <c r="D456" i="1" a="1"/>
  <c r="D456" i="1" s="1"/>
  <c r="C456" i="1" a="1"/>
  <c r="C456" i="1" s="1"/>
  <c r="B456" i="1" a="1"/>
  <c r="B456" i="1" s="1"/>
  <c r="N455" i="1" a="1"/>
  <c r="N455" i="1" s="1"/>
  <c r="M455" i="1" a="1"/>
  <c r="M455" i="1" s="1"/>
  <c r="L455" i="1" a="1"/>
  <c r="L455" i="1" s="1"/>
  <c r="K455" i="1" a="1"/>
  <c r="K455" i="1" s="1"/>
  <c r="J455" i="1" a="1"/>
  <c r="J455" i="1" s="1"/>
  <c r="I455" i="1" a="1"/>
  <c r="I455" i="1" s="1"/>
  <c r="H455" i="1" a="1"/>
  <c r="H455" i="1" s="1"/>
  <c r="G455" i="1" a="1"/>
  <c r="G455" i="1" s="1"/>
  <c r="F455" i="1" a="1"/>
  <c r="F455" i="1" s="1"/>
  <c r="E455" i="1" a="1"/>
  <c r="E455" i="1" s="1"/>
  <c r="D455" i="1" a="1"/>
  <c r="D455" i="1" s="1"/>
  <c r="C455" i="1" a="1"/>
  <c r="C455" i="1" s="1"/>
  <c r="B455" i="1" a="1"/>
  <c r="B455" i="1" s="1"/>
  <c r="N454" i="1" a="1"/>
  <c r="N454" i="1" s="1"/>
  <c r="M454" i="1" a="1"/>
  <c r="M454" i="1" s="1"/>
  <c r="L454" i="1" a="1"/>
  <c r="L454" i="1" s="1"/>
  <c r="K454" i="1" a="1"/>
  <c r="K454" i="1" s="1"/>
  <c r="J454" i="1" a="1"/>
  <c r="J454" i="1" s="1"/>
  <c r="I454" i="1" a="1"/>
  <c r="I454" i="1" s="1"/>
  <c r="H454" i="1" a="1"/>
  <c r="H454" i="1" s="1"/>
  <c r="G454" i="1" a="1"/>
  <c r="G454" i="1" s="1"/>
  <c r="F454" i="1" a="1"/>
  <c r="F454" i="1" s="1"/>
  <c r="E454" i="1" a="1"/>
  <c r="E454" i="1" s="1"/>
  <c r="D454" i="1" a="1"/>
  <c r="D454" i="1" s="1"/>
  <c r="C454" i="1" a="1"/>
  <c r="C454" i="1" s="1"/>
  <c r="B454" i="1" a="1"/>
  <c r="B454" i="1" s="1"/>
  <c r="N453" i="1" a="1"/>
  <c r="N453" i="1" s="1"/>
  <c r="M453" i="1" a="1"/>
  <c r="M453" i="1" s="1"/>
  <c r="L453" i="1" a="1"/>
  <c r="L453" i="1" s="1"/>
  <c r="K453" i="1" a="1"/>
  <c r="K453" i="1" s="1"/>
  <c r="J453" i="1" a="1"/>
  <c r="J453" i="1" s="1"/>
  <c r="I453" i="1" a="1"/>
  <c r="I453" i="1" s="1"/>
  <c r="H453" i="1" a="1"/>
  <c r="H453" i="1" s="1"/>
  <c r="G453" i="1" a="1"/>
  <c r="G453" i="1" s="1"/>
  <c r="F453" i="1" a="1"/>
  <c r="F453" i="1" s="1"/>
  <c r="E453" i="1" a="1"/>
  <c r="E453" i="1" s="1"/>
  <c r="D453" i="1" a="1"/>
  <c r="D453" i="1" s="1"/>
  <c r="C453" i="1" a="1"/>
  <c r="C453" i="1" s="1"/>
  <c r="B453" i="1" a="1"/>
  <c r="B453" i="1" s="1"/>
  <c r="N452" i="1" a="1"/>
  <c r="N452" i="1" s="1"/>
  <c r="M452" i="1" a="1"/>
  <c r="M452" i="1" s="1"/>
  <c r="L452" i="1" a="1"/>
  <c r="L452" i="1" s="1"/>
  <c r="K452" i="1" a="1"/>
  <c r="K452" i="1" s="1"/>
  <c r="J452" i="1" a="1"/>
  <c r="J452" i="1" s="1"/>
  <c r="I452" i="1" a="1"/>
  <c r="I452" i="1" s="1"/>
  <c r="H452" i="1" a="1"/>
  <c r="H452" i="1" s="1"/>
  <c r="G452" i="1" a="1"/>
  <c r="G452" i="1" s="1"/>
  <c r="F452" i="1" a="1"/>
  <c r="F452" i="1" s="1"/>
  <c r="E452" i="1" a="1"/>
  <c r="E452" i="1" s="1"/>
  <c r="D452" i="1" a="1"/>
  <c r="D452" i="1" s="1"/>
  <c r="C452" i="1" a="1"/>
  <c r="C452" i="1" s="1"/>
  <c r="B452" i="1" a="1"/>
  <c r="B452" i="1" s="1"/>
  <c r="N451" i="1" a="1"/>
  <c r="N451" i="1" s="1"/>
  <c r="M451" i="1" a="1"/>
  <c r="M451" i="1" s="1"/>
  <c r="L451" i="1" a="1"/>
  <c r="L451" i="1" s="1"/>
  <c r="K451" i="1" a="1"/>
  <c r="K451" i="1" s="1"/>
  <c r="J451" i="1" a="1"/>
  <c r="J451" i="1" s="1"/>
  <c r="I451" i="1" a="1"/>
  <c r="I451" i="1" s="1"/>
  <c r="H451" i="1" a="1"/>
  <c r="H451" i="1" s="1"/>
  <c r="G451" i="1" a="1"/>
  <c r="G451" i="1" s="1"/>
  <c r="F451" i="1" a="1"/>
  <c r="F451" i="1" s="1"/>
  <c r="E451" i="1" a="1"/>
  <c r="E451" i="1" s="1"/>
  <c r="D451" i="1" a="1"/>
  <c r="D451" i="1" s="1"/>
  <c r="C451" i="1" a="1"/>
  <c r="C451" i="1" s="1"/>
  <c r="B451" i="1" a="1"/>
  <c r="B451" i="1" s="1"/>
  <c r="N450" i="1" a="1"/>
  <c r="N450" i="1" s="1"/>
  <c r="M450" i="1" a="1"/>
  <c r="M450" i="1" s="1"/>
  <c r="L450" i="1" a="1"/>
  <c r="L450" i="1" s="1"/>
  <c r="K450" i="1" a="1"/>
  <c r="K450" i="1" s="1"/>
  <c r="J450" i="1" a="1"/>
  <c r="J450" i="1" s="1"/>
  <c r="I450" i="1" a="1"/>
  <c r="I450" i="1" s="1"/>
  <c r="H450" i="1" a="1"/>
  <c r="H450" i="1" s="1"/>
  <c r="G450" i="1" a="1"/>
  <c r="G450" i="1" s="1"/>
  <c r="F450" i="1" a="1"/>
  <c r="F450" i="1" s="1"/>
  <c r="E450" i="1" a="1"/>
  <c r="E450" i="1" s="1"/>
  <c r="D450" i="1" a="1"/>
  <c r="D450" i="1" s="1"/>
  <c r="C450" i="1" a="1"/>
  <c r="C450" i="1" s="1"/>
  <c r="B450" i="1" a="1"/>
  <c r="B450" i="1" s="1"/>
  <c r="N449" i="1" a="1"/>
  <c r="N449" i="1" s="1"/>
  <c r="M449" i="1" a="1"/>
  <c r="M449" i="1" s="1"/>
  <c r="L449" i="1" a="1"/>
  <c r="L449" i="1" s="1"/>
  <c r="K449" i="1" a="1"/>
  <c r="K449" i="1" s="1"/>
  <c r="J449" i="1" a="1"/>
  <c r="J449" i="1" s="1"/>
  <c r="I449" i="1" a="1"/>
  <c r="I449" i="1" s="1"/>
  <c r="H449" i="1" a="1"/>
  <c r="H449" i="1" s="1"/>
  <c r="G449" i="1" a="1"/>
  <c r="G449" i="1" s="1"/>
  <c r="F449" i="1" a="1"/>
  <c r="F449" i="1" s="1"/>
  <c r="E449" i="1" a="1"/>
  <c r="E449" i="1" s="1"/>
  <c r="D449" i="1" a="1"/>
  <c r="D449" i="1" s="1"/>
  <c r="C449" i="1" a="1"/>
  <c r="C449" i="1" s="1"/>
  <c r="B449" i="1" a="1"/>
  <c r="B449" i="1" s="1"/>
  <c r="N448" i="1" a="1"/>
  <c r="N448" i="1" s="1"/>
  <c r="M448" i="1" a="1"/>
  <c r="M448" i="1" s="1"/>
  <c r="L448" i="1" a="1"/>
  <c r="L448" i="1" s="1"/>
  <c r="K448" i="1" a="1"/>
  <c r="K448" i="1" s="1"/>
  <c r="J448" i="1" a="1"/>
  <c r="J448" i="1" s="1"/>
  <c r="I448" i="1" a="1"/>
  <c r="I448" i="1" s="1"/>
  <c r="H448" i="1" a="1"/>
  <c r="H448" i="1" s="1"/>
  <c r="G448" i="1" a="1"/>
  <c r="G448" i="1" s="1"/>
  <c r="F448" i="1" a="1"/>
  <c r="F448" i="1" s="1"/>
  <c r="E448" i="1" a="1"/>
  <c r="E448" i="1" s="1"/>
  <c r="D448" i="1" a="1"/>
  <c r="D448" i="1" s="1"/>
  <c r="C448" i="1" a="1"/>
  <c r="C448" i="1" s="1"/>
  <c r="B448" i="1" a="1"/>
  <c r="B448" i="1" s="1"/>
  <c r="N447" i="1" a="1"/>
  <c r="N447" i="1" s="1"/>
  <c r="M447" i="1" a="1"/>
  <c r="M447" i="1" s="1"/>
  <c r="L447" i="1" a="1"/>
  <c r="L447" i="1" s="1"/>
  <c r="K447" i="1" a="1"/>
  <c r="K447" i="1" s="1"/>
  <c r="J447" i="1" a="1"/>
  <c r="J447" i="1" s="1"/>
  <c r="I447" i="1" a="1"/>
  <c r="I447" i="1" s="1"/>
  <c r="H447" i="1" a="1"/>
  <c r="H447" i="1" s="1"/>
  <c r="G447" i="1" a="1"/>
  <c r="G447" i="1" s="1"/>
  <c r="F447" i="1" a="1"/>
  <c r="F447" i="1" s="1"/>
  <c r="E447" i="1" a="1"/>
  <c r="E447" i="1" s="1"/>
  <c r="D447" i="1" a="1"/>
  <c r="D447" i="1" s="1"/>
  <c r="C447" i="1" a="1"/>
  <c r="C447" i="1" s="1"/>
  <c r="B447" i="1" a="1"/>
  <c r="B447" i="1" s="1"/>
  <c r="N446" i="1" a="1"/>
  <c r="N446" i="1" s="1"/>
  <c r="M446" i="1" a="1"/>
  <c r="M446" i="1" s="1"/>
  <c r="L446" i="1" a="1"/>
  <c r="L446" i="1" s="1"/>
  <c r="K446" i="1" a="1"/>
  <c r="K446" i="1" s="1"/>
  <c r="J446" i="1" a="1"/>
  <c r="J446" i="1" s="1"/>
  <c r="I446" i="1" a="1"/>
  <c r="I446" i="1" s="1"/>
  <c r="H446" i="1" a="1"/>
  <c r="H446" i="1" s="1"/>
  <c r="G446" i="1" a="1"/>
  <c r="G446" i="1" s="1"/>
  <c r="F446" i="1" a="1"/>
  <c r="F446" i="1" s="1"/>
  <c r="E446" i="1" a="1"/>
  <c r="E446" i="1" s="1"/>
  <c r="D446" i="1" a="1"/>
  <c r="D446" i="1" s="1"/>
  <c r="C446" i="1" a="1"/>
  <c r="C446" i="1" s="1"/>
  <c r="B446" i="1" a="1"/>
  <c r="B446" i="1" s="1"/>
  <c r="N445" i="1" a="1"/>
  <c r="N445" i="1" s="1"/>
  <c r="M445" i="1" a="1"/>
  <c r="M445" i="1" s="1"/>
  <c r="L445" i="1" a="1"/>
  <c r="L445" i="1" s="1"/>
  <c r="K445" i="1" a="1"/>
  <c r="K445" i="1" s="1"/>
  <c r="J445" i="1" a="1"/>
  <c r="J445" i="1" s="1"/>
  <c r="I445" i="1" a="1"/>
  <c r="I445" i="1" s="1"/>
  <c r="H445" i="1" a="1"/>
  <c r="H445" i="1" s="1"/>
  <c r="G445" i="1" a="1"/>
  <c r="G445" i="1" s="1"/>
  <c r="F445" i="1" a="1"/>
  <c r="F445" i="1" s="1"/>
  <c r="E445" i="1" a="1"/>
  <c r="E445" i="1" s="1"/>
  <c r="D445" i="1" a="1"/>
  <c r="D445" i="1" s="1"/>
  <c r="C445" i="1" a="1"/>
  <c r="C445" i="1" s="1"/>
  <c r="B445" i="1" a="1"/>
  <c r="B445" i="1" s="1"/>
  <c r="N444" i="1" a="1"/>
  <c r="N444" i="1" s="1"/>
  <c r="M444" i="1" a="1"/>
  <c r="M444" i="1" s="1"/>
  <c r="L444" i="1" a="1"/>
  <c r="L444" i="1" s="1"/>
  <c r="K444" i="1" a="1"/>
  <c r="K444" i="1" s="1"/>
  <c r="J444" i="1" a="1"/>
  <c r="J444" i="1" s="1"/>
  <c r="I444" i="1" a="1"/>
  <c r="I444" i="1" s="1"/>
  <c r="H444" i="1" a="1"/>
  <c r="H444" i="1" s="1"/>
  <c r="G444" i="1" a="1"/>
  <c r="G444" i="1" s="1"/>
  <c r="F444" i="1" a="1"/>
  <c r="F444" i="1" s="1"/>
  <c r="E444" i="1" a="1"/>
  <c r="E444" i="1" s="1"/>
  <c r="D444" i="1" a="1"/>
  <c r="D444" i="1" s="1"/>
  <c r="C444" i="1" a="1"/>
  <c r="C444" i="1" s="1"/>
  <c r="B444" i="1" a="1"/>
  <c r="B444" i="1" s="1"/>
  <c r="N443" i="1" a="1"/>
  <c r="N443" i="1" s="1"/>
  <c r="M443" i="1" a="1"/>
  <c r="M443" i="1" s="1"/>
  <c r="L443" i="1" a="1"/>
  <c r="L443" i="1" s="1"/>
  <c r="K443" i="1" a="1"/>
  <c r="K443" i="1" s="1"/>
  <c r="J443" i="1" a="1"/>
  <c r="J443" i="1" s="1"/>
  <c r="I443" i="1" a="1"/>
  <c r="I443" i="1" s="1"/>
  <c r="H443" i="1" a="1"/>
  <c r="H443" i="1" s="1"/>
  <c r="G443" i="1" a="1"/>
  <c r="G443" i="1" s="1"/>
  <c r="F443" i="1" a="1"/>
  <c r="F443" i="1" s="1"/>
  <c r="E443" i="1" a="1"/>
  <c r="E443" i="1" s="1"/>
  <c r="D443" i="1" a="1"/>
  <c r="D443" i="1" s="1"/>
  <c r="C443" i="1" a="1"/>
  <c r="C443" i="1" s="1"/>
  <c r="B443" i="1" a="1"/>
  <c r="B443" i="1" s="1"/>
  <c r="N442" i="1" a="1"/>
  <c r="N442" i="1" s="1"/>
  <c r="M442" i="1" a="1"/>
  <c r="M442" i="1" s="1"/>
  <c r="L442" i="1" a="1"/>
  <c r="L442" i="1" s="1"/>
  <c r="K442" i="1" a="1"/>
  <c r="K442" i="1" s="1"/>
  <c r="J442" i="1" a="1"/>
  <c r="J442" i="1" s="1"/>
  <c r="I442" i="1" a="1"/>
  <c r="I442" i="1" s="1"/>
  <c r="H442" i="1" a="1"/>
  <c r="H442" i="1" s="1"/>
  <c r="G442" i="1" a="1"/>
  <c r="G442" i="1" s="1"/>
  <c r="F442" i="1" a="1"/>
  <c r="F442" i="1" s="1"/>
  <c r="E442" i="1" a="1"/>
  <c r="E442" i="1" s="1"/>
  <c r="D442" i="1" a="1"/>
  <c r="D442" i="1" s="1"/>
  <c r="C442" i="1" a="1"/>
  <c r="C442" i="1" s="1"/>
  <c r="B442" i="1" a="1"/>
  <c r="B442" i="1" s="1"/>
  <c r="N441" i="1" a="1"/>
  <c r="N441" i="1" s="1"/>
  <c r="M441" i="1" a="1"/>
  <c r="M441" i="1" s="1"/>
  <c r="L441" i="1" a="1"/>
  <c r="L441" i="1" s="1"/>
  <c r="K441" i="1" a="1"/>
  <c r="K441" i="1" s="1"/>
  <c r="J441" i="1" a="1"/>
  <c r="J441" i="1" s="1"/>
  <c r="I441" i="1" a="1"/>
  <c r="I441" i="1" s="1"/>
  <c r="H441" i="1" a="1"/>
  <c r="H441" i="1" s="1"/>
  <c r="G441" i="1" a="1"/>
  <c r="G441" i="1" s="1"/>
  <c r="F441" i="1" a="1"/>
  <c r="F441" i="1" s="1"/>
  <c r="E441" i="1" a="1"/>
  <c r="E441" i="1" s="1"/>
  <c r="D441" i="1" a="1"/>
  <c r="D441" i="1" s="1"/>
  <c r="C441" i="1" a="1"/>
  <c r="C441" i="1" s="1"/>
  <c r="B441" i="1" a="1"/>
  <c r="B441" i="1" s="1"/>
  <c r="N440" i="1" a="1"/>
  <c r="N440" i="1" s="1"/>
  <c r="M440" i="1" a="1"/>
  <c r="M440" i="1" s="1"/>
  <c r="L440" i="1" a="1"/>
  <c r="L440" i="1" s="1"/>
  <c r="K440" i="1" a="1"/>
  <c r="K440" i="1" s="1"/>
  <c r="J440" i="1" a="1"/>
  <c r="J440" i="1" s="1"/>
  <c r="I440" i="1" a="1"/>
  <c r="I440" i="1" s="1"/>
  <c r="H440" i="1" a="1"/>
  <c r="H440" i="1" s="1"/>
  <c r="G440" i="1" a="1"/>
  <c r="G440" i="1" s="1"/>
  <c r="F440" i="1" a="1"/>
  <c r="F440" i="1" s="1"/>
  <c r="E440" i="1" a="1"/>
  <c r="E440" i="1" s="1"/>
  <c r="D440" i="1" a="1"/>
  <c r="D440" i="1" s="1"/>
  <c r="C440" i="1" a="1"/>
  <c r="C440" i="1" s="1"/>
  <c r="B440" i="1" a="1"/>
  <c r="B440" i="1" s="1"/>
  <c r="N439" i="1" a="1"/>
  <c r="N439" i="1" s="1"/>
  <c r="M439" i="1" a="1"/>
  <c r="M439" i="1" s="1"/>
  <c r="L439" i="1" a="1"/>
  <c r="L439" i="1" s="1"/>
  <c r="K439" i="1" a="1"/>
  <c r="K439" i="1" s="1"/>
  <c r="J439" i="1" a="1"/>
  <c r="J439" i="1" s="1"/>
  <c r="I439" i="1" a="1"/>
  <c r="I439" i="1" s="1"/>
  <c r="H439" i="1" a="1"/>
  <c r="H439" i="1" s="1"/>
  <c r="G439" i="1" a="1"/>
  <c r="G439" i="1" s="1"/>
  <c r="F439" i="1" a="1"/>
  <c r="F439" i="1" s="1"/>
  <c r="E439" i="1" a="1"/>
  <c r="E439" i="1" s="1"/>
  <c r="D439" i="1" a="1"/>
  <c r="D439" i="1" s="1"/>
  <c r="C439" i="1" a="1"/>
  <c r="C439" i="1" s="1"/>
  <c r="B439" i="1" a="1"/>
  <c r="B439" i="1" s="1"/>
  <c r="N438" i="1" a="1"/>
  <c r="N438" i="1" s="1"/>
  <c r="M438" i="1" a="1"/>
  <c r="M438" i="1" s="1"/>
  <c r="L438" i="1" a="1"/>
  <c r="L438" i="1" s="1"/>
  <c r="K438" i="1" a="1"/>
  <c r="K438" i="1" s="1"/>
  <c r="J438" i="1" a="1"/>
  <c r="J438" i="1" s="1"/>
  <c r="I438" i="1" a="1"/>
  <c r="I438" i="1" s="1"/>
  <c r="H438" i="1" a="1"/>
  <c r="H438" i="1" s="1"/>
  <c r="G438" i="1" a="1"/>
  <c r="G438" i="1" s="1"/>
  <c r="F438" i="1" a="1"/>
  <c r="F438" i="1" s="1"/>
  <c r="E438" i="1" a="1"/>
  <c r="E438" i="1" s="1"/>
  <c r="D438" i="1" a="1"/>
  <c r="D438" i="1" s="1"/>
  <c r="C438" i="1" a="1"/>
  <c r="C438" i="1" s="1"/>
  <c r="B438" i="1" a="1"/>
  <c r="B438" i="1" s="1"/>
  <c r="N437" i="1" a="1"/>
  <c r="N437" i="1" s="1"/>
  <c r="M437" i="1" a="1"/>
  <c r="M437" i="1" s="1"/>
  <c r="L437" i="1" a="1"/>
  <c r="L437" i="1" s="1"/>
  <c r="K437" i="1" a="1"/>
  <c r="K437" i="1" s="1"/>
  <c r="J437" i="1" a="1"/>
  <c r="J437" i="1" s="1"/>
  <c r="I437" i="1" a="1"/>
  <c r="I437" i="1" s="1"/>
  <c r="H437" i="1" a="1"/>
  <c r="H437" i="1" s="1"/>
  <c r="G437" i="1" a="1"/>
  <c r="G437" i="1" s="1"/>
  <c r="F437" i="1" a="1"/>
  <c r="F437" i="1" s="1"/>
  <c r="E437" i="1" a="1"/>
  <c r="E437" i="1" s="1"/>
  <c r="D437" i="1" a="1"/>
  <c r="D437" i="1" s="1"/>
  <c r="C437" i="1" a="1"/>
  <c r="C437" i="1" s="1"/>
  <c r="B437" i="1" a="1"/>
  <c r="B437" i="1" s="1"/>
  <c r="N436" i="1" a="1"/>
  <c r="N436" i="1" s="1"/>
  <c r="M436" i="1" a="1"/>
  <c r="M436" i="1" s="1"/>
  <c r="L436" i="1" a="1"/>
  <c r="L436" i="1" s="1"/>
  <c r="K436" i="1" a="1"/>
  <c r="K436" i="1" s="1"/>
  <c r="J436" i="1" a="1"/>
  <c r="J436" i="1" s="1"/>
  <c r="I436" i="1" a="1"/>
  <c r="I436" i="1" s="1"/>
  <c r="H436" i="1" a="1"/>
  <c r="H436" i="1" s="1"/>
  <c r="G436" i="1" a="1"/>
  <c r="G436" i="1" s="1"/>
  <c r="F436" i="1" a="1"/>
  <c r="F436" i="1" s="1"/>
  <c r="E436" i="1" a="1"/>
  <c r="E436" i="1" s="1"/>
  <c r="D436" i="1" a="1"/>
  <c r="D436" i="1" s="1"/>
  <c r="C436" i="1" a="1"/>
  <c r="C436" i="1" s="1"/>
  <c r="B436" i="1" a="1"/>
  <c r="B436" i="1" s="1"/>
  <c r="N435" i="1" a="1"/>
  <c r="N435" i="1" s="1"/>
  <c r="M435" i="1" a="1"/>
  <c r="M435" i="1" s="1"/>
  <c r="L435" i="1" a="1"/>
  <c r="L435" i="1" s="1"/>
  <c r="K435" i="1" a="1"/>
  <c r="K435" i="1" s="1"/>
  <c r="J435" i="1" a="1"/>
  <c r="J435" i="1" s="1"/>
  <c r="I435" i="1" a="1"/>
  <c r="I435" i="1" s="1"/>
  <c r="H435" i="1" a="1"/>
  <c r="H435" i="1" s="1"/>
  <c r="G435" i="1" a="1"/>
  <c r="G435" i="1" s="1"/>
  <c r="F435" i="1" a="1"/>
  <c r="F435" i="1" s="1"/>
  <c r="E435" i="1" a="1"/>
  <c r="E435" i="1" s="1"/>
  <c r="D435" i="1" a="1"/>
  <c r="D435" i="1" s="1"/>
  <c r="C435" i="1" a="1"/>
  <c r="C435" i="1" s="1"/>
  <c r="B435" i="1" a="1"/>
  <c r="B435" i="1" s="1"/>
  <c r="N434" i="1" a="1"/>
  <c r="N434" i="1" s="1"/>
  <c r="M434" i="1" a="1"/>
  <c r="M434" i="1" s="1"/>
  <c r="L434" i="1" a="1"/>
  <c r="L434" i="1" s="1"/>
  <c r="K434" i="1" a="1"/>
  <c r="K434" i="1" s="1"/>
  <c r="J434" i="1" a="1"/>
  <c r="J434" i="1" s="1"/>
  <c r="I434" i="1" a="1"/>
  <c r="I434" i="1" s="1"/>
  <c r="H434" i="1" a="1"/>
  <c r="H434" i="1" s="1"/>
  <c r="G434" i="1" a="1"/>
  <c r="G434" i="1" s="1"/>
  <c r="F434" i="1" a="1"/>
  <c r="F434" i="1" s="1"/>
  <c r="E434" i="1" a="1"/>
  <c r="E434" i="1" s="1"/>
  <c r="D434" i="1" a="1"/>
  <c r="D434" i="1" s="1"/>
  <c r="C434" i="1" a="1"/>
  <c r="C434" i="1" s="1"/>
  <c r="B434" i="1" a="1"/>
  <c r="B434" i="1" s="1"/>
  <c r="N433" i="1" a="1"/>
  <c r="N433" i="1" s="1"/>
  <c r="M433" i="1" a="1"/>
  <c r="M433" i="1" s="1"/>
  <c r="L433" i="1" a="1"/>
  <c r="L433" i="1" s="1"/>
  <c r="K433" i="1" a="1"/>
  <c r="K433" i="1" s="1"/>
  <c r="J433" i="1" a="1"/>
  <c r="J433" i="1" s="1"/>
  <c r="I433" i="1" a="1"/>
  <c r="I433" i="1" s="1"/>
  <c r="H433" i="1" a="1"/>
  <c r="H433" i="1" s="1"/>
  <c r="G433" i="1" a="1"/>
  <c r="G433" i="1" s="1"/>
  <c r="F433" i="1" a="1"/>
  <c r="F433" i="1" s="1"/>
  <c r="E433" i="1" a="1"/>
  <c r="E433" i="1" s="1"/>
  <c r="D433" i="1" a="1"/>
  <c r="D433" i="1" s="1"/>
  <c r="C433" i="1" a="1"/>
  <c r="C433" i="1" s="1"/>
  <c r="B433" i="1" a="1"/>
  <c r="B433" i="1" s="1"/>
  <c r="N432" i="1" a="1"/>
  <c r="N432" i="1" s="1"/>
  <c r="M432" i="1" a="1"/>
  <c r="M432" i="1" s="1"/>
  <c r="L432" i="1" a="1"/>
  <c r="L432" i="1" s="1"/>
  <c r="K432" i="1" a="1"/>
  <c r="K432" i="1" s="1"/>
  <c r="J432" i="1" a="1"/>
  <c r="J432" i="1" s="1"/>
  <c r="I432" i="1" a="1"/>
  <c r="I432" i="1" s="1"/>
  <c r="H432" i="1" a="1"/>
  <c r="H432" i="1" s="1"/>
  <c r="G432" i="1" a="1"/>
  <c r="G432" i="1" s="1"/>
  <c r="F432" i="1" a="1"/>
  <c r="F432" i="1" s="1"/>
  <c r="E432" i="1" a="1"/>
  <c r="E432" i="1" s="1"/>
  <c r="D432" i="1" a="1"/>
  <c r="D432" i="1" s="1"/>
  <c r="C432" i="1" a="1"/>
  <c r="C432" i="1" s="1"/>
  <c r="B432" i="1" a="1"/>
  <c r="B432" i="1" s="1"/>
  <c r="N431" i="1" a="1"/>
  <c r="N431" i="1" s="1"/>
  <c r="M431" i="1" a="1"/>
  <c r="M431" i="1" s="1"/>
  <c r="L431" i="1" a="1"/>
  <c r="L431" i="1" s="1"/>
  <c r="K431" i="1" a="1"/>
  <c r="K431" i="1" s="1"/>
  <c r="J431" i="1" a="1"/>
  <c r="J431" i="1" s="1"/>
  <c r="I431" i="1" a="1"/>
  <c r="I431" i="1" s="1"/>
  <c r="H431" i="1" a="1"/>
  <c r="H431" i="1" s="1"/>
  <c r="G431" i="1" a="1"/>
  <c r="G431" i="1" s="1"/>
  <c r="F431" i="1" a="1"/>
  <c r="F431" i="1" s="1"/>
  <c r="E431" i="1" a="1"/>
  <c r="E431" i="1" s="1"/>
  <c r="D431" i="1" a="1"/>
  <c r="D431" i="1" s="1"/>
  <c r="C431" i="1" a="1"/>
  <c r="C431" i="1" s="1"/>
  <c r="B431" i="1" a="1"/>
  <c r="B431" i="1" s="1"/>
  <c r="N430" i="1" a="1"/>
  <c r="N430" i="1" s="1"/>
  <c r="M430" i="1" a="1"/>
  <c r="M430" i="1" s="1"/>
  <c r="L430" i="1" a="1"/>
  <c r="L430" i="1" s="1"/>
  <c r="K430" i="1" a="1"/>
  <c r="K430" i="1" s="1"/>
  <c r="J430" i="1" a="1"/>
  <c r="J430" i="1" s="1"/>
  <c r="I430" i="1" a="1"/>
  <c r="I430" i="1" s="1"/>
  <c r="H430" i="1" a="1"/>
  <c r="H430" i="1" s="1"/>
  <c r="G430" i="1" a="1"/>
  <c r="G430" i="1" s="1"/>
  <c r="F430" i="1" a="1"/>
  <c r="F430" i="1" s="1"/>
  <c r="E430" i="1" a="1"/>
  <c r="E430" i="1" s="1"/>
  <c r="D430" i="1" a="1"/>
  <c r="D430" i="1" s="1"/>
  <c r="C430" i="1" a="1"/>
  <c r="C430" i="1" s="1"/>
  <c r="B430" i="1" a="1"/>
  <c r="B430" i="1" s="1"/>
  <c r="N429" i="1" a="1"/>
  <c r="N429" i="1" s="1"/>
  <c r="M429" i="1" a="1"/>
  <c r="M429" i="1" s="1"/>
  <c r="L429" i="1" a="1"/>
  <c r="L429" i="1" s="1"/>
  <c r="K429" i="1" a="1"/>
  <c r="K429" i="1" s="1"/>
  <c r="J429" i="1" a="1"/>
  <c r="J429" i="1" s="1"/>
  <c r="I429" i="1" a="1"/>
  <c r="I429" i="1" s="1"/>
  <c r="H429" i="1" a="1"/>
  <c r="H429" i="1" s="1"/>
  <c r="G429" i="1" a="1"/>
  <c r="G429" i="1" s="1"/>
  <c r="F429" i="1" a="1"/>
  <c r="F429" i="1" s="1"/>
  <c r="E429" i="1" a="1"/>
  <c r="E429" i="1" s="1"/>
  <c r="D429" i="1" a="1"/>
  <c r="D429" i="1" s="1"/>
  <c r="C429" i="1" a="1"/>
  <c r="C429" i="1" s="1"/>
  <c r="B429" i="1" a="1"/>
  <c r="B429" i="1" s="1"/>
  <c r="N428" i="1" a="1"/>
  <c r="N428" i="1" s="1"/>
  <c r="M428" i="1" a="1"/>
  <c r="M428" i="1" s="1"/>
  <c r="L428" i="1" a="1"/>
  <c r="L428" i="1" s="1"/>
  <c r="K428" i="1" a="1"/>
  <c r="K428" i="1" s="1"/>
  <c r="J428" i="1" a="1"/>
  <c r="J428" i="1" s="1"/>
  <c r="I428" i="1" a="1"/>
  <c r="I428" i="1" s="1"/>
  <c r="H428" i="1" a="1"/>
  <c r="H428" i="1" s="1"/>
  <c r="G428" i="1" a="1"/>
  <c r="G428" i="1" s="1"/>
  <c r="F428" i="1" a="1"/>
  <c r="F428" i="1" s="1"/>
  <c r="E428" i="1" a="1"/>
  <c r="E428" i="1" s="1"/>
  <c r="D428" i="1" a="1"/>
  <c r="D428" i="1" s="1"/>
  <c r="C428" i="1" a="1"/>
  <c r="C428" i="1" s="1"/>
  <c r="B428" i="1" a="1"/>
  <c r="B428" i="1" s="1"/>
  <c r="N427" i="1" a="1"/>
  <c r="N427" i="1" s="1"/>
  <c r="M427" i="1" a="1"/>
  <c r="M427" i="1" s="1"/>
  <c r="L427" i="1" a="1"/>
  <c r="L427" i="1" s="1"/>
  <c r="K427" i="1" a="1"/>
  <c r="K427" i="1" s="1"/>
  <c r="J427" i="1" a="1"/>
  <c r="J427" i="1" s="1"/>
  <c r="I427" i="1" a="1"/>
  <c r="I427" i="1" s="1"/>
  <c r="H427" i="1" a="1"/>
  <c r="H427" i="1" s="1"/>
  <c r="G427" i="1" a="1"/>
  <c r="G427" i="1" s="1"/>
  <c r="F427" i="1" a="1"/>
  <c r="F427" i="1" s="1"/>
  <c r="E427" i="1" a="1"/>
  <c r="E427" i="1" s="1"/>
  <c r="D427" i="1" a="1"/>
  <c r="D427" i="1" s="1"/>
  <c r="C427" i="1" a="1"/>
  <c r="C427" i="1" s="1"/>
  <c r="B427" i="1" a="1"/>
  <c r="B427" i="1" s="1"/>
  <c r="N426" i="1" a="1"/>
  <c r="N426" i="1" s="1"/>
  <c r="M426" i="1" a="1"/>
  <c r="M426" i="1" s="1"/>
  <c r="L426" i="1" a="1"/>
  <c r="L426" i="1" s="1"/>
  <c r="K426" i="1" a="1"/>
  <c r="K426" i="1" s="1"/>
  <c r="J426" i="1" a="1"/>
  <c r="J426" i="1" s="1"/>
  <c r="I426" i="1" a="1"/>
  <c r="I426" i="1" s="1"/>
  <c r="H426" i="1" a="1"/>
  <c r="H426" i="1" s="1"/>
  <c r="G426" i="1" a="1"/>
  <c r="G426" i="1" s="1"/>
  <c r="F426" i="1" a="1"/>
  <c r="F426" i="1" s="1"/>
  <c r="E426" i="1" a="1"/>
  <c r="E426" i="1" s="1"/>
  <c r="D426" i="1" a="1"/>
  <c r="D426" i="1" s="1"/>
  <c r="C426" i="1" a="1"/>
  <c r="C426" i="1" s="1"/>
  <c r="B426" i="1" a="1"/>
  <c r="B426" i="1" s="1"/>
  <c r="N425" i="1" a="1"/>
  <c r="N425" i="1" s="1"/>
  <c r="M425" i="1" a="1"/>
  <c r="M425" i="1" s="1"/>
  <c r="L425" i="1" a="1"/>
  <c r="L425" i="1" s="1"/>
  <c r="K425" i="1" a="1"/>
  <c r="K425" i="1" s="1"/>
  <c r="J425" i="1" a="1"/>
  <c r="J425" i="1" s="1"/>
  <c r="I425" i="1" a="1"/>
  <c r="I425" i="1" s="1"/>
  <c r="H425" i="1" a="1"/>
  <c r="H425" i="1" s="1"/>
  <c r="G425" i="1" a="1"/>
  <c r="G425" i="1" s="1"/>
  <c r="F425" i="1" a="1"/>
  <c r="F425" i="1" s="1"/>
  <c r="E425" i="1" a="1"/>
  <c r="E425" i="1" s="1"/>
  <c r="D425" i="1" a="1"/>
  <c r="D425" i="1" s="1"/>
  <c r="C425" i="1" a="1"/>
  <c r="C425" i="1" s="1"/>
  <c r="B425" i="1" a="1"/>
  <c r="B425" i="1" s="1"/>
  <c r="N424" i="1" a="1"/>
  <c r="N424" i="1" s="1"/>
  <c r="M424" i="1" a="1"/>
  <c r="M424" i="1" s="1"/>
  <c r="L424" i="1" a="1"/>
  <c r="L424" i="1" s="1"/>
  <c r="K424" i="1" a="1"/>
  <c r="K424" i="1" s="1"/>
  <c r="J424" i="1" a="1"/>
  <c r="J424" i="1" s="1"/>
  <c r="I424" i="1" a="1"/>
  <c r="I424" i="1" s="1"/>
  <c r="H424" i="1" a="1"/>
  <c r="H424" i="1" s="1"/>
  <c r="G424" i="1" a="1"/>
  <c r="G424" i="1" s="1"/>
  <c r="F424" i="1" a="1"/>
  <c r="F424" i="1" s="1"/>
  <c r="E424" i="1" a="1"/>
  <c r="E424" i="1" s="1"/>
  <c r="D424" i="1" a="1"/>
  <c r="D424" i="1" s="1"/>
  <c r="C424" i="1" a="1"/>
  <c r="C424" i="1" s="1"/>
  <c r="B424" i="1" a="1"/>
  <c r="B424" i="1" s="1"/>
  <c r="N423" i="1" a="1"/>
  <c r="N423" i="1" s="1"/>
  <c r="M423" i="1" a="1"/>
  <c r="M423" i="1" s="1"/>
  <c r="L423" i="1" a="1"/>
  <c r="L423" i="1" s="1"/>
  <c r="K423" i="1" a="1"/>
  <c r="K423" i="1" s="1"/>
  <c r="J423" i="1" a="1"/>
  <c r="J423" i="1" s="1"/>
  <c r="I423" i="1" a="1"/>
  <c r="I423" i="1" s="1"/>
  <c r="H423" i="1" a="1"/>
  <c r="H423" i="1" s="1"/>
  <c r="G423" i="1" a="1"/>
  <c r="G423" i="1" s="1"/>
  <c r="F423" i="1" a="1"/>
  <c r="F423" i="1" s="1"/>
  <c r="E423" i="1" a="1"/>
  <c r="E423" i="1" s="1"/>
  <c r="D423" i="1" a="1"/>
  <c r="D423" i="1" s="1"/>
  <c r="C423" i="1" a="1"/>
  <c r="C423" i="1" s="1"/>
  <c r="B423" i="1" a="1"/>
  <c r="B423" i="1" s="1"/>
  <c r="N422" i="1" a="1"/>
  <c r="N422" i="1" s="1"/>
  <c r="M422" i="1" a="1"/>
  <c r="M422" i="1" s="1"/>
  <c r="L422" i="1" a="1"/>
  <c r="L422" i="1" s="1"/>
  <c r="K422" i="1" a="1"/>
  <c r="K422" i="1" s="1"/>
  <c r="J422" i="1" a="1"/>
  <c r="J422" i="1" s="1"/>
  <c r="I422" i="1" a="1"/>
  <c r="I422" i="1" s="1"/>
  <c r="H422" i="1" a="1"/>
  <c r="H422" i="1" s="1"/>
  <c r="G422" i="1" a="1"/>
  <c r="G422" i="1" s="1"/>
  <c r="F422" i="1" a="1"/>
  <c r="F422" i="1" s="1"/>
  <c r="E422" i="1" a="1"/>
  <c r="E422" i="1" s="1"/>
  <c r="D422" i="1" a="1"/>
  <c r="D422" i="1" s="1"/>
  <c r="C422" i="1" a="1"/>
  <c r="C422" i="1" s="1"/>
  <c r="B422" i="1" a="1"/>
  <c r="B422" i="1" s="1"/>
  <c r="N421" i="1" a="1"/>
  <c r="N421" i="1" s="1"/>
  <c r="M421" i="1" a="1"/>
  <c r="M421" i="1" s="1"/>
  <c r="L421" i="1" a="1"/>
  <c r="L421" i="1" s="1"/>
  <c r="K421" i="1" a="1"/>
  <c r="K421" i="1" s="1"/>
  <c r="J421" i="1" a="1"/>
  <c r="J421" i="1" s="1"/>
  <c r="I421" i="1" a="1"/>
  <c r="I421" i="1" s="1"/>
  <c r="H421" i="1" a="1"/>
  <c r="H421" i="1" s="1"/>
  <c r="G421" i="1" a="1"/>
  <c r="G421" i="1" s="1"/>
  <c r="F421" i="1" a="1"/>
  <c r="F421" i="1" s="1"/>
  <c r="E421" i="1" a="1"/>
  <c r="E421" i="1" s="1"/>
  <c r="D421" i="1" a="1"/>
  <c r="D421" i="1" s="1"/>
  <c r="C421" i="1" a="1"/>
  <c r="C421" i="1" s="1"/>
  <c r="B421" i="1" a="1"/>
  <c r="B421" i="1" s="1"/>
  <c r="N420" i="1" a="1"/>
  <c r="N420" i="1" s="1"/>
  <c r="M420" i="1" a="1"/>
  <c r="M420" i="1" s="1"/>
  <c r="L420" i="1" a="1"/>
  <c r="L420" i="1" s="1"/>
  <c r="K420" i="1" a="1"/>
  <c r="K420" i="1" s="1"/>
  <c r="J420" i="1" a="1"/>
  <c r="J420" i="1" s="1"/>
  <c r="I420" i="1" a="1"/>
  <c r="I420" i="1" s="1"/>
  <c r="H420" i="1" a="1"/>
  <c r="H420" i="1" s="1"/>
  <c r="G420" i="1" a="1"/>
  <c r="G420" i="1" s="1"/>
  <c r="F420" i="1" a="1"/>
  <c r="F420" i="1" s="1"/>
  <c r="E420" i="1" a="1"/>
  <c r="E420" i="1" s="1"/>
  <c r="D420" i="1" a="1"/>
  <c r="D420" i="1" s="1"/>
  <c r="C420" i="1" a="1"/>
  <c r="C420" i="1" s="1"/>
  <c r="B420" i="1" a="1"/>
  <c r="B420" i="1" s="1"/>
  <c r="N419" i="1" a="1"/>
  <c r="N419" i="1" s="1"/>
  <c r="M419" i="1" a="1"/>
  <c r="M419" i="1" s="1"/>
  <c r="L419" i="1" a="1"/>
  <c r="L419" i="1" s="1"/>
  <c r="K419" i="1" a="1"/>
  <c r="K419" i="1" s="1"/>
  <c r="J419" i="1" a="1"/>
  <c r="J419" i="1" s="1"/>
  <c r="I419" i="1" a="1"/>
  <c r="I419" i="1" s="1"/>
  <c r="H419" i="1" a="1"/>
  <c r="H419" i="1" s="1"/>
  <c r="G419" i="1" a="1"/>
  <c r="G419" i="1" s="1"/>
  <c r="F419" i="1" a="1"/>
  <c r="F419" i="1" s="1"/>
  <c r="E419" i="1" a="1"/>
  <c r="E419" i="1" s="1"/>
  <c r="D419" i="1" a="1"/>
  <c r="D419" i="1" s="1"/>
  <c r="C419" i="1" a="1"/>
  <c r="C419" i="1" s="1"/>
  <c r="B419" i="1" a="1"/>
  <c r="B419" i="1" s="1"/>
  <c r="N418" i="1" a="1"/>
  <c r="N418" i="1" s="1"/>
  <c r="M418" i="1" a="1"/>
  <c r="M418" i="1" s="1"/>
  <c r="L418" i="1" a="1"/>
  <c r="L418" i="1" s="1"/>
  <c r="K418" i="1" a="1"/>
  <c r="K418" i="1" s="1"/>
  <c r="J418" i="1" a="1"/>
  <c r="J418" i="1" s="1"/>
  <c r="I418" i="1" a="1"/>
  <c r="I418" i="1" s="1"/>
  <c r="H418" i="1" a="1"/>
  <c r="H418" i="1" s="1"/>
  <c r="G418" i="1" a="1"/>
  <c r="G418" i="1" s="1"/>
  <c r="F418" i="1" a="1"/>
  <c r="F418" i="1" s="1"/>
  <c r="E418" i="1" a="1"/>
  <c r="E418" i="1" s="1"/>
  <c r="D418" i="1" a="1"/>
  <c r="D418" i="1" s="1"/>
  <c r="C418" i="1" a="1"/>
  <c r="C418" i="1" s="1"/>
  <c r="B418" i="1" a="1"/>
  <c r="B418" i="1" s="1"/>
  <c r="N417" i="1" a="1"/>
  <c r="N417" i="1" s="1"/>
  <c r="M417" i="1" a="1"/>
  <c r="M417" i="1" s="1"/>
  <c r="L417" i="1" a="1"/>
  <c r="L417" i="1" s="1"/>
  <c r="K417" i="1" a="1"/>
  <c r="K417" i="1" s="1"/>
  <c r="J417" i="1" a="1"/>
  <c r="J417" i="1" s="1"/>
  <c r="I417" i="1" a="1"/>
  <c r="I417" i="1" s="1"/>
  <c r="H417" i="1" a="1"/>
  <c r="H417" i="1" s="1"/>
  <c r="G417" i="1" a="1"/>
  <c r="G417" i="1" s="1"/>
  <c r="F417" i="1" a="1"/>
  <c r="F417" i="1" s="1"/>
  <c r="E417" i="1" a="1"/>
  <c r="E417" i="1" s="1"/>
  <c r="D417" i="1" a="1"/>
  <c r="D417" i="1" s="1"/>
  <c r="C417" i="1" a="1"/>
  <c r="C417" i="1" s="1"/>
  <c r="B417" i="1" a="1"/>
  <c r="B417" i="1" s="1"/>
  <c r="N416" i="1" a="1"/>
  <c r="N416" i="1" s="1"/>
  <c r="M416" i="1" a="1"/>
  <c r="M416" i="1" s="1"/>
  <c r="L416" i="1" a="1"/>
  <c r="L416" i="1" s="1"/>
  <c r="K416" i="1" a="1"/>
  <c r="K416" i="1" s="1"/>
  <c r="J416" i="1" a="1"/>
  <c r="J416" i="1" s="1"/>
  <c r="I416" i="1" a="1"/>
  <c r="I416" i="1" s="1"/>
  <c r="H416" i="1" a="1"/>
  <c r="H416" i="1" s="1"/>
  <c r="G416" i="1" a="1"/>
  <c r="G416" i="1" s="1"/>
  <c r="F416" i="1" a="1"/>
  <c r="F416" i="1" s="1"/>
  <c r="E416" i="1" a="1"/>
  <c r="E416" i="1" s="1"/>
  <c r="D416" i="1" a="1"/>
  <c r="D416" i="1" s="1"/>
  <c r="C416" i="1" a="1"/>
  <c r="C416" i="1" s="1"/>
  <c r="B416" i="1" a="1"/>
  <c r="B416" i="1" s="1"/>
  <c r="N415" i="1" a="1"/>
  <c r="N415" i="1" s="1"/>
  <c r="M415" i="1" a="1"/>
  <c r="M415" i="1" s="1"/>
  <c r="L415" i="1" a="1"/>
  <c r="L415" i="1" s="1"/>
  <c r="K415" i="1" a="1"/>
  <c r="K415" i="1" s="1"/>
  <c r="J415" i="1" a="1"/>
  <c r="J415" i="1" s="1"/>
  <c r="I415" i="1" a="1"/>
  <c r="I415" i="1" s="1"/>
  <c r="H415" i="1" a="1"/>
  <c r="H415" i="1" s="1"/>
  <c r="G415" i="1" a="1"/>
  <c r="G415" i="1" s="1"/>
  <c r="F415" i="1" a="1"/>
  <c r="F415" i="1" s="1"/>
  <c r="E415" i="1" a="1"/>
  <c r="E415" i="1" s="1"/>
  <c r="D415" i="1" a="1"/>
  <c r="D415" i="1" s="1"/>
  <c r="C415" i="1" a="1"/>
  <c r="C415" i="1" s="1"/>
  <c r="B415" i="1" a="1"/>
  <c r="B415" i="1" s="1"/>
  <c r="N414" i="1" a="1"/>
  <c r="N414" i="1" s="1"/>
  <c r="M414" i="1" a="1"/>
  <c r="M414" i="1" s="1"/>
  <c r="L414" i="1" a="1"/>
  <c r="L414" i="1" s="1"/>
  <c r="K414" i="1" a="1"/>
  <c r="K414" i="1" s="1"/>
  <c r="J414" i="1" a="1"/>
  <c r="J414" i="1" s="1"/>
  <c r="I414" i="1" a="1"/>
  <c r="I414" i="1" s="1"/>
  <c r="H414" i="1" a="1"/>
  <c r="H414" i="1" s="1"/>
  <c r="G414" i="1" a="1"/>
  <c r="G414" i="1" s="1"/>
  <c r="F414" i="1" a="1"/>
  <c r="F414" i="1" s="1"/>
  <c r="E414" i="1" a="1"/>
  <c r="E414" i="1" s="1"/>
  <c r="D414" i="1" a="1"/>
  <c r="D414" i="1" s="1"/>
  <c r="C414" i="1" a="1"/>
  <c r="C414" i="1" s="1"/>
  <c r="B414" i="1" a="1"/>
  <c r="B414" i="1" s="1"/>
  <c r="N413" i="1" a="1"/>
  <c r="N413" i="1" s="1"/>
  <c r="M413" i="1" a="1"/>
  <c r="M413" i="1" s="1"/>
  <c r="L413" i="1" a="1"/>
  <c r="L413" i="1" s="1"/>
  <c r="K413" i="1" a="1"/>
  <c r="K413" i="1" s="1"/>
  <c r="J413" i="1" a="1"/>
  <c r="J413" i="1" s="1"/>
  <c r="I413" i="1" a="1"/>
  <c r="I413" i="1" s="1"/>
  <c r="H413" i="1" a="1"/>
  <c r="H413" i="1" s="1"/>
  <c r="G413" i="1" a="1"/>
  <c r="G413" i="1" s="1"/>
  <c r="F413" i="1" a="1"/>
  <c r="F413" i="1" s="1"/>
  <c r="E413" i="1" a="1"/>
  <c r="E413" i="1" s="1"/>
  <c r="D413" i="1" a="1"/>
  <c r="D413" i="1" s="1"/>
  <c r="C413" i="1" a="1"/>
  <c r="C413" i="1" s="1"/>
  <c r="B413" i="1" a="1"/>
  <c r="B413" i="1" s="1"/>
  <c r="N412" i="1" a="1"/>
  <c r="N412" i="1" s="1"/>
  <c r="M412" i="1" a="1"/>
  <c r="M412" i="1" s="1"/>
  <c r="L412" i="1" a="1"/>
  <c r="L412" i="1" s="1"/>
  <c r="K412" i="1" a="1"/>
  <c r="K412" i="1" s="1"/>
  <c r="J412" i="1" a="1"/>
  <c r="J412" i="1" s="1"/>
  <c r="I412" i="1" a="1"/>
  <c r="I412" i="1" s="1"/>
  <c r="H412" i="1" a="1"/>
  <c r="H412" i="1" s="1"/>
  <c r="G412" i="1" a="1"/>
  <c r="G412" i="1" s="1"/>
  <c r="F412" i="1" a="1"/>
  <c r="F412" i="1" s="1"/>
  <c r="E412" i="1" a="1"/>
  <c r="E412" i="1" s="1"/>
  <c r="D412" i="1" a="1"/>
  <c r="D412" i="1" s="1"/>
  <c r="C412" i="1" a="1"/>
  <c r="C412" i="1" s="1"/>
  <c r="B412" i="1" a="1"/>
  <c r="B412" i="1" s="1"/>
  <c r="N411" i="1" a="1"/>
  <c r="N411" i="1" s="1"/>
  <c r="M411" i="1" a="1"/>
  <c r="M411" i="1" s="1"/>
  <c r="L411" i="1" a="1"/>
  <c r="L411" i="1" s="1"/>
  <c r="K411" i="1" a="1"/>
  <c r="K411" i="1" s="1"/>
  <c r="J411" i="1" a="1"/>
  <c r="J411" i="1" s="1"/>
  <c r="I411" i="1" a="1"/>
  <c r="I411" i="1" s="1"/>
  <c r="H411" i="1" a="1"/>
  <c r="H411" i="1" s="1"/>
  <c r="G411" i="1" a="1"/>
  <c r="G411" i="1" s="1"/>
  <c r="F411" i="1" a="1"/>
  <c r="F411" i="1" s="1"/>
  <c r="E411" i="1" a="1"/>
  <c r="E411" i="1" s="1"/>
  <c r="D411" i="1" a="1"/>
  <c r="D411" i="1" s="1"/>
  <c r="C411" i="1" a="1"/>
  <c r="C411" i="1" s="1"/>
  <c r="B411" i="1" a="1"/>
  <c r="B411" i="1" s="1"/>
  <c r="N410" i="1" a="1"/>
  <c r="N410" i="1" s="1"/>
  <c r="M410" i="1" a="1"/>
  <c r="M410" i="1" s="1"/>
  <c r="L410" i="1" a="1"/>
  <c r="L410" i="1" s="1"/>
  <c r="K410" i="1" a="1"/>
  <c r="K410" i="1" s="1"/>
  <c r="J410" i="1" a="1"/>
  <c r="J410" i="1" s="1"/>
  <c r="I410" i="1" a="1"/>
  <c r="I410" i="1" s="1"/>
  <c r="H410" i="1" a="1"/>
  <c r="H410" i="1" s="1"/>
  <c r="G410" i="1" a="1"/>
  <c r="G410" i="1" s="1"/>
  <c r="F410" i="1" a="1"/>
  <c r="F410" i="1" s="1"/>
  <c r="E410" i="1" a="1"/>
  <c r="E410" i="1" s="1"/>
  <c r="D410" i="1" a="1"/>
  <c r="D410" i="1" s="1"/>
  <c r="C410" i="1" a="1"/>
  <c r="C410" i="1" s="1"/>
  <c r="B410" i="1" a="1"/>
  <c r="B410" i="1" s="1"/>
  <c r="N409" i="1" a="1"/>
  <c r="N409" i="1" s="1"/>
  <c r="M409" i="1" a="1"/>
  <c r="M409" i="1" s="1"/>
  <c r="L409" i="1" a="1"/>
  <c r="L409" i="1" s="1"/>
  <c r="K409" i="1" a="1"/>
  <c r="K409" i="1" s="1"/>
  <c r="J409" i="1" a="1"/>
  <c r="J409" i="1" s="1"/>
  <c r="I409" i="1" a="1"/>
  <c r="I409" i="1" s="1"/>
  <c r="H409" i="1" a="1"/>
  <c r="H409" i="1" s="1"/>
  <c r="G409" i="1" a="1"/>
  <c r="G409" i="1" s="1"/>
  <c r="F409" i="1" a="1"/>
  <c r="F409" i="1" s="1"/>
  <c r="E409" i="1" a="1"/>
  <c r="E409" i="1" s="1"/>
  <c r="D409" i="1" a="1"/>
  <c r="D409" i="1" s="1"/>
  <c r="C409" i="1" a="1"/>
  <c r="C409" i="1" s="1"/>
  <c r="B409" i="1" a="1"/>
  <c r="B409" i="1" s="1"/>
  <c r="N408" i="1" a="1"/>
  <c r="N408" i="1" s="1"/>
  <c r="M408" i="1" a="1"/>
  <c r="M408" i="1" s="1"/>
  <c r="L408" i="1" a="1"/>
  <c r="L408" i="1" s="1"/>
  <c r="K408" i="1" a="1"/>
  <c r="K408" i="1" s="1"/>
  <c r="J408" i="1" a="1"/>
  <c r="J408" i="1" s="1"/>
  <c r="I408" i="1" a="1"/>
  <c r="I408" i="1" s="1"/>
  <c r="H408" i="1" a="1"/>
  <c r="H408" i="1" s="1"/>
  <c r="G408" i="1" a="1"/>
  <c r="G408" i="1" s="1"/>
  <c r="F408" i="1" a="1"/>
  <c r="F408" i="1" s="1"/>
  <c r="E408" i="1" a="1"/>
  <c r="E408" i="1" s="1"/>
  <c r="D408" i="1" a="1"/>
  <c r="D408" i="1" s="1"/>
  <c r="C408" i="1" a="1"/>
  <c r="C408" i="1" s="1"/>
  <c r="B408" i="1" a="1"/>
  <c r="B408" i="1" s="1"/>
  <c r="N407" i="1" a="1"/>
  <c r="N407" i="1" s="1"/>
  <c r="M407" i="1" a="1"/>
  <c r="M407" i="1" s="1"/>
  <c r="L407" i="1" a="1"/>
  <c r="L407" i="1" s="1"/>
  <c r="K407" i="1" a="1"/>
  <c r="K407" i="1" s="1"/>
  <c r="J407" i="1" a="1"/>
  <c r="J407" i="1" s="1"/>
  <c r="I407" i="1" a="1"/>
  <c r="I407" i="1" s="1"/>
  <c r="H407" i="1" a="1"/>
  <c r="H407" i="1" s="1"/>
  <c r="G407" i="1" a="1"/>
  <c r="G407" i="1" s="1"/>
  <c r="F407" i="1" a="1"/>
  <c r="F407" i="1" s="1"/>
  <c r="E407" i="1" a="1"/>
  <c r="E407" i="1" s="1"/>
  <c r="D407" i="1" a="1"/>
  <c r="D407" i="1" s="1"/>
  <c r="C407" i="1" a="1"/>
  <c r="C407" i="1" s="1"/>
  <c r="B407" i="1" a="1"/>
  <c r="B407" i="1" s="1"/>
  <c r="N406" i="1" a="1"/>
  <c r="N406" i="1" s="1"/>
  <c r="M406" i="1" a="1"/>
  <c r="M406" i="1" s="1"/>
  <c r="L406" i="1" a="1"/>
  <c r="L406" i="1" s="1"/>
  <c r="K406" i="1" a="1"/>
  <c r="K406" i="1" s="1"/>
  <c r="J406" i="1" a="1"/>
  <c r="J406" i="1" s="1"/>
  <c r="I406" i="1" a="1"/>
  <c r="I406" i="1" s="1"/>
  <c r="H406" i="1" a="1"/>
  <c r="H406" i="1" s="1"/>
  <c r="G406" i="1" a="1"/>
  <c r="G406" i="1" s="1"/>
  <c r="F406" i="1" a="1"/>
  <c r="F406" i="1" s="1"/>
  <c r="E406" i="1" a="1"/>
  <c r="E406" i="1" s="1"/>
  <c r="D406" i="1" a="1"/>
  <c r="D406" i="1" s="1"/>
  <c r="C406" i="1" a="1"/>
  <c r="C406" i="1" s="1"/>
  <c r="B406" i="1" a="1"/>
  <c r="B406" i="1" s="1"/>
  <c r="N405" i="1" a="1"/>
  <c r="N405" i="1" s="1"/>
  <c r="M405" i="1" a="1"/>
  <c r="M405" i="1" s="1"/>
  <c r="L405" i="1" a="1"/>
  <c r="L405" i="1" s="1"/>
  <c r="K405" i="1" a="1"/>
  <c r="K405" i="1" s="1"/>
  <c r="J405" i="1" a="1"/>
  <c r="J405" i="1" s="1"/>
  <c r="I405" i="1" a="1"/>
  <c r="I405" i="1" s="1"/>
  <c r="H405" i="1" a="1"/>
  <c r="H405" i="1" s="1"/>
  <c r="G405" i="1" a="1"/>
  <c r="G405" i="1" s="1"/>
  <c r="F405" i="1" a="1"/>
  <c r="F405" i="1" s="1"/>
  <c r="E405" i="1" a="1"/>
  <c r="E405" i="1" s="1"/>
  <c r="D405" i="1" a="1"/>
  <c r="D405" i="1" s="1"/>
  <c r="C405" i="1" a="1"/>
  <c r="C405" i="1" s="1"/>
  <c r="B405" i="1" a="1"/>
  <c r="B405" i="1" s="1"/>
  <c r="N404" i="1" a="1"/>
  <c r="N404" i="1" s="1"/>
  <c r="M404" i="1" a="1"/>
  <c r="M404" i="1" s="1"/>
  <c r="L404" i="1" a="1"/>
  <c r="L404" i="1" s="1"/>
  <c r="K404" i="1" a="1"/>
  <c r="K404" i="1" s="1"/>
  <c r="J404" i="1" a="1"/>
  <c r="J404" i="1" s="1"/>
  <c r="I404" i="1" a="1"/>
  <c r="I404" i="1" s="1"/>
  <c r="H404" i="1" a="1"/>
  <c r="H404" i="1" s="1"/>
  <c r="G404" i="1" a="1"/>
  <c r="G404" i="1" s="1"/>
  <c r="F404" i="1" a="1"/>
  <c r="F404" i="1" s="1"/>
  <c r="E404" i="1" a="1"/>
  <c r="E404" i="1" s="1"/>
  <c r="D404" i="1" a="1"/>
  <c r="D404" i="1" s="1"/>
  <c r="C404" i="1" a="1"/>
  <c r="C404" i="1" s="1"/>
  <c r="B404" i="1" a="1"/>
  <c r="B404" i="1" s="1"/>
  <c r="N403" i="1" a="1"/>
  <c r="N403" i="1" s="1"/>
  <c r="M403" i="1" a="1"/>
  <c r="M403" i="1" s="1"/>
  <c r="L403" i="1" a="1"/>
  <c r="L403" i="1" s="1"/>
  <c r="K403" i="1" a="1"/>
  <c r="K403" i="1" s="1"/>
  <c r="J403" i="1" a="1"/>
  <c r="J403" i="1" s="1"/>
  <c r="I403" i="1" a="1"/>
  <c r="I403" i="1" s="1"/>
  <c r="H403" i="1" a="1"/>
  <c r="H403" i="1" s="1"/>
  <c r="G403" i="1" a="1"/>
  <c r="G403" i="1" s="1"/>
  <c r="F403" i="1" a="1"/>
  <c r="F403" i="1" s="1"/>
  <c r="E403" i="1" a="1"/>
  <c r="E403" i="1" s="1"/>
  <c r="D403" i="1" a="1"/>
  <c r="D403" i="1" s="1"/>
  <c r="C403" i="1" a="1"/>
  <c r="C403" i="1" s="1"/>
  <c r="B403" i="1" a="1"/>
  <c r="B403" i="1" s="1"/>
  <c r="N402" i="1" a="1"/>
  <c r="N402" i="1" s="1"/>
  <c r="M402" i="1" a="1"/>
  <c r="M402" i="1" s="1"/>
  <c r="L402" i="1" a="1"/>
  <c r="L402" i="1" s="1"/>
  <c r="K402" i="1" a="1"/>
  <c r="K402" i="1" s="1"/>
  <c r="J402" i="1" a="1"/>
  <c r="J402" i="1" s="1"/>
  <c r="I402" i="1" a="1"/>
  <c r="I402" i="1" s="1"/>
  <c r="H402" i="1" a="1"/>
  <c r="H402" i="1" s="1"/>
  <c r="G402" i="1" a="1"/>
  <c r="G402" i="1" s="1"/>
  <c r="F402" i="1" a="1"/>
  <c r="F402" i="1" s="1"/>
  <c r="E402" i="1" a="1"/>
  <c r="E402" i="1" s="1"/>
  <c r="D402" i="1" a="1"/>
  <c r="D402" i="1" s="1"/>
  <c r="C402" i="1" a="1"/>
  <c r="C402" i="1" s="1"/>
  <c r="B402" i="1" a="1"/>
  <c r="B402" i="1" s="1"/>
  <c r="N401" i="1" a="1"/>
  <c r="N401" i="1" s="1"/>
  <c r="M401" i="1" a="1"/>
  <c r="M401" i="1" s="1"/>
  <c r="L401" i="1" a="1"/>
  <c r="L401" i="1" s="1"/>
  <c r="K401" i="1" a="1"/>
  <c r="K401" i="1" s="1"/>
  <c r="J401" i="1" a="1"/>
  <c r="J401" i="1" s="1"/>
  <c r="I401" i="1" a="1"/>
  <c r="I401" i="1" s="1"/>
  <c r="H401" i="1" a="1"/>
  <c r="H401" i="1" s="1"/>
  <c r="G401" i="1" a="1"/>
  <c r="G401" i="1" s="1"/>
  <c r="F401" i="1" a="1"/>
  <c r="F401" i="1" s="1"/>
  <c r="E401" i="1" a="1"/>
  <c r="E401" i="1" s="1"/>
  <c r="D401" i="1" a="1"/>
  <c r="D401" i="1" s="1"/>
  <c r="C401" i="1" a="1"/>
  <c r="C401" i="1" s="1"/>
  <c r="B401" i="1" a="1"/>
  <c r="B401" i="1" s="1"/>
  <c r="N400" i="1" a="1"/>
  <c r="N400" i="1" s="1"/>
  <c r="M400" i="1" a="1"/>
  <c r="M400" i="1" s="1"/>
  <c r="L400" i="1" a="1"/>
  <c r="L400" i="1" s="1"/>
  <c r="K400" i="1" a="1"/>
  <c r="K400" i="1" s="1"/>
  <c r="J400" i="1" a="1"/>
  <c r="J400" i="1" s="1"/>
  <c r="I400" i="1" a="1"/>
  <c r="I400" i="1" s="1"/>
  <c r="H400" i="1" a="1"/>
  <c r="H400" i="1" s="1"/>
  <c r="G400" i="1" a="1"/>
  <c r="G400" i="1" s="1"/>
  <c r="F400" i="1" a="1"/>
  <c r="F400" i="1" s="1"/>
  <c r="E400" i="1" a="1"/>
  <c r="E400" i="1" s="1"/>
  <c r="D400" i="1" a="1"/>
  <c r="D400" i="1" s="1"/>
  <c r="C400" i="1" a="1"/>
  <c r="C400" i="1" s="1"/>
  <c r="B400" i="1" a="1"/>
  <c r="B400" i="1" s="1"/>
  <c r="N399" i="1" a="1"/>
  <c r="N399" i="1" s="1"/>
  <c r="M399" i="1" a="1"/>
  <c r="M399" i="1" s="1"/>
  <c r="L399" i="1" a="1"/>
  <c r="L399" i="1" s="1"/>
  <c r="K399" i="1" a="1"/>
  <c r="K399" i="1" s="1"/>
  <c r="J399" i="1" a="1"/>
  <c r="J399" i="1" s="1"/>
  <c r="I399" i="1" a="1"/>
  <c r="I399" i="1" s="1"/>
  <c r="H399" i="1" a="1"/>
  <c r="H399" i="1" s="1"/>
  <c r="G399" i="1" a="1"/>
  <c r="G399" i="1" s="1"/>
  <c r="F399" i="1" a="1"/>
  <c r="F399" i="1" s="1"/>
  <c r="E399" i="1" a="1"/>
  <c r="E399" i="1" s="1"/>
  <c r="D399" i="1" a="1"/>
  <c r="D399" i="1" s="1"/>
  <c r="C399" i="1" a="1"/>
  <c r="C399" i="1" s="1"/>
  <c r="B399" i="1" a="1"/>
  <c r="B399" i="1" s="1"/>
  <c r="N398" i="1" a="1"/>
  <c r="N398" i="1" s="1"/>
  <c r="M398" i="1" a="1"/>
  <c r="M398" i="1" s="1"/>
  <c r="L398" i="1" a="1"/>
  <c r="L398" i="1" s="1"/>
  <c r="K398" i="1" a="1"/>
  <c r="K398" i="1" s="1"/>
  <c r="J398" i="1" a="1"/>
  <c r="J398" i="1" s="1"/>
  <c r="I398" i="1" a="1"/>
  <c r="I398" i="1" s="1"/>
  <c r="H398" i="1" a="1"/>
  <c r="H398" i="1" s="1"/>
  <c r="G398" i="1" a="1"/>
  <c r="G398" i="1" s="1"/>
  <c r="F398" i="1" a="1"/>
  <c r="F398" i="1" s="1"/>
  <c r="E398" i="1" a="1"/>
  <c r="E398" i="1" s="1"/>
  <c r="D398" i="1" a="1"/>
  <c r="D398" i="1" s="1"/>
  <c r="C398" i="1" a="1"/>
  <c r="C398" i="1" s="1"/>
  <c r="B398" i="1" a="1"/>
  <c r="B398" i="1" s="1"/>
  <c r="N397" i="1" a="1"/>
  <c r="N397" i="1" s="1"/>
  <c r="M397" i="1" a="1"/>
  <c r="M397" i="1" s="1"/>
  <c r="L397" i="1" a="1"/>
  <c r="L397" i="1" s="1"/>
  <c r="K397" i="1" a="1"/>
  <c r="K397" i="1" s="1"/>
  <c r="J397" i="1" a="1"/>
  <c r="J397" i="1" s="1"/>
  <c r="I397" i="1" a="1"/>
  <c r="I397" i="1" s="1"/>
  <c r="H397" i="1" a="1"/>
  <c r="H397" i="1" s="1"/>
  <c r="G397" i="1" a="1"/>
  <c r="G397" i="1" s="1"/>
  <c r="F397" i="1" a="1"/>
  <c r="F397" i="1" s="1"/>
  <c r="E397" i="1" a="1"/>
  <c r="E397" i="1" s="1"/>
  <c r="D397" i="1" a="1"/>
  <c r="D397" i="1" s="1"/>
  <c r="C397" i="1" a="1"/>
  <c r="C397" i="1" s="1"/>
  <c r="B397" i="1" a="1"/>
  <c r="B397" i="1" s="1"/>
  <c r="N396" i="1" a="1"/>
  <c r="N396" i="1" s="1"/>
  <c r="M396" i="1" a="1"/>
  <c r="M396" i="1" s="1"/>
  <c r="L396" i="1" a="1"/>
  <c r="L396" i="1" s="1"/>
  <c r="K396" i="1" a="1"/>
  <c r="K396" i="1" s="1"/>
  <c r="J396" i="1" a="1"/>
  <c r="J396" i="1" s="1"/>
  <c r="I396" i="1" a="1"/>
  <c r="I396" i="1" s="1"/>
  <c r="H396" i="1" a="1"/>
  <c r="H396" i="1" s="1"/>
  <c r="G396" i="1" a="1"/>
  <c r="G396" i="1" s="1"/>
  <c r="F396" i="1" a="1"/>
  <c r="F396" i="1" s="1"/>
  <c r="E396" i="1" a="1"/>
  <c r="E396" i="1" s="1"/>
  <c r="D396" i="1" a="1"/>
  <c r="D396" i="1" s="1"/>
  <c r="C396" i="1" a="1"/>
  <c r="C396" i="1" s="1"/>
  <c r="B396" i="1" a="1"/>
  <c r="B396" i="1" s="1"/>
  <c r="N395" i="1" a="1"/>
  <c r="N395" i="1" s="1"/>
  <c r="M395" i="1" a="1"/>
  <c r="M395" i="1" s="1"/>
  <c r="L395" i="1" a="1"/>
  <c r="L395" i="1" s="1"/>
  <c r="K395" i="1" a="1"/>
  <c r="K395" i="1" s="1"/>
  <c r="J395" i="1" a="1"/>
  <c r="J395" i="1" s="1"/>
  <c r="I395" i="1" a="1"/>
  <c r="I395" i="1" s="1"/>
  <c r="H395" i="1" a="1"/>
  <c r="H395" i="1" s="1"/>
  <c r="G395" i="1" a="1"/>
  <c r="G395" i="1" s="1"/>
  <c r="F395" i="1" a="1"/>
  <c r="F395" i="1" s="1"/>
  <c r="E395" i="1" a="1"/>
  <c r="E395" i="1" s="1"/>
  <c r="D395" i="1" a="1"/>
  <c r="D395" i="1" s="1"/>
  <c r="C395" i="1" a="1"/>
  <c r="C395" i="1" s="1"/>
  <c r="B395" i="1" a="1"/>
  <c r="B395" i="1" s="1"/>
  <c r="N394" i="1" a="1"/>
  <c r="N394" i="1" s="1"/>
  <c r="M394" i="1" a="1"/>
  <c r="M394" i="1" s="1"/>
  <c r="L394" i="1" a="1"/>
  <c r="L394" i="1" s="1"/>
  <c r="K394" i="1" a="1"/>
  <c r="K394" i="1" s="1"/>
  <c r="J394" i="1" a="1"/>
  <c r="J394" i="1" s="1"/>
  <c r="I394" i="1" a="1"/>
  <c r="I394" i="1" s="1"/>
  <c r="H394" i="1" a="1"/>
  <c r="H394" i="1" s="1"/>
  <c r="G394" i="1" a="1"/>
  <c r="G394" i="1" s="1"/>
  <c r="F394" i="1" a="1"/>
  <c r="F394" i="1" s="1"/>
  <c r="E394" i="1" a="1"/>
  <c r="E394" i="1" s="1"/>
  <c r="D394" i="1" a="1"/>
  <c r="D394" i="1" s="1"/>
  <c r="C394" i="1" a="1"/>
  <c r="C394" i="1" s="1"/>
  <c r="B394" i="1" a="1"/>
  <c r="B394" i="1" s="1"/>
  <c r="N393" i="1" a="1"/>
  <c r="N393" i="1" s="1"/>
  <c r="M393" i="1" a="1"/>
  <c r="M393" i="1" s="1"/>
  <c r="L393" i="1" a="1"/>
  <c r="L393" i="1" s="1"/>
  <c r="K393" i="1" a="1"/>
  <c r="K393" i="1" s="1"/>
  <c r="J393" i="1" a="1"/>
  <c r="J393" i="1" s="1"/>
  <c r="I393" i="1" a="1"/>
  <c r="I393" i="1" s="1"/>
  <c r="H393" i="1" a="1"/>
  <c r="H393" i="1" s="1"/>
  <c r="G393" i="1" a="1"/>
  <c r="G393" i="1" s="1"/>
  <c r="F393" i="1" a="1"/>
  <c r="F393" i="1" s="1"/>
  <c r="E393" i="1" a="1"/>
  <c r="E393" i="1" s="1"/>
  <c r="D393" i="1" a="1"/>
  <c r="D393" i="1" s="1"/>
  <c r="C393" i="1" a="1"/>
  <c r="C393" i="1" s="1"/>
  <c r="B393" i="1" a="1"/>
  <c r="B393" i="1" s="1"/>
  <c r="N392" i="1" a="1"/>
  <c r="N392" i="1" s="1"/>
  <c r="M392" i="1" a="1"/>
  <c r="M392" i="1" s="1"/>
  <c r="L392" i="1" a="1"/>
  <c r="L392" i="1" s="1"/>
  <c r="K392" i="1" a="1"/>
  <c r="K392" i="1" s="1"/>
  <c r="J392" i="1" a="1"/>
  <c r="J392" i="1" s="1"/>
  <c r="I392" i="1" a="1"/>
  <c r="I392" i="1" s="1"/>
  <c r="H392" i="1" a="1"/>
  <c r="H392" i="1" s="1"/>
  <c r="G392" i="1" a="1"/>
  <c r="G392" i="1" s="1"/>
  <c r="F392" i="1" a="1"/>
  <c r="F392" i="1" s="1"/>
  <c r="E392" i="1" a="1"/>
  <c r="E392" i="1" s="1"/>
  <c r="D392" i="1" a="1"/>
  <c r="D392" i="1" s="1"/>
  <c r="C392" i="1" a="1"/>
  <c r="C392" i="1" s="1"/>
  <c r="B392" i="1" a="1"/>
  <c r="B392" i="1" s="1"/>
  <c r="N391" i="1" a="1"/>
  <c r="N391" i="1" s="1"/>
  <c r="M391" i="1" a="1"/>
  <c r="M391" i="1" s="1"/>
  <c r="L391" i="1" a="1"/>
  <c r="L391" i="1" s="1"/>
  <c r="K391" i="1" a="1"/>
  <c r="K391" i="1" s="1"/>
  <c r="J391" i="1" a="1"/>
  <c r="J391" i="1" s="1"/>
  <c r="I391" i="1" a="1"/>
  <c r="I391" i="1" s="1"/>
  <c r="H391" i="1" a="1"/>
  <c r="H391" i="1" s="1"/>
  <c r="G391" i="1" a="1"/>
  <c r="G391" i="1" s="1"/>
  <c r="F391" i="1" a="1"/>
  <c r="F391" i="1" s="1"/>
  <c r="E391" i="1" a="1"/>
  <c r="E391" i="1" s="1"/>
  <c r="D391" i="1" a="1"/>
  <c r="D391" i="1" s="1"/>
  <c r="C391" i="1" a="1"/>
  <c r="C391" i="1" s="1"/>
  <c r="B391" i="1" a="1"/>
  <c r="B391" i="1" s="1"/>
  <c r="N390" i="1" a="1"/>
  <c r="N390" i="1" s="1"/>
  <c r="M390" i="1" a="1"/>
  <c r="M390" i="1" s="1"/>
  <c r="L390" i="1" a="1"/>
  <c r="L390" i="1" s="1"/>
  <c r="K390" i="1" a="1"/>
  <c r="K390" i="1" s="1"/>
  <c r="J390" i="1" a="1"/>
  <c r="J390" i="1" s="1"/>
  <c r="I390" i="1" a="1"/>
  <c r="I390" i="1" s="1"/>
  <c r="H390" i="1" a="1"/>
  <c r="H390" i="1" s="1"/>
  <c r="G390" i="1" a="1"/>
  <c r="G390" i="1" s="1"/>
  <c r="F390" i="1" a="1"/>
  <c r="F390" i="1" s="1"/>
  <c r="E390" i="1" a="1"/>
  <c r="E390" i="1" s="1"/>
  <c r="D390" i="1" a="1"/>
  <c r="D390" i="1" s="1"/>
  <c r="C390" i="1" a="1"/>
  <c r="C390" i="1" s="1"/>
  <c r="B390" i="1" a="1"/>
  <c r="B390" i="1" s="1"/>
  <c r="N389" i="1" a="1"/>
  <c r="N389" i="1" s="1"/>
  <c r="M389" i="1" a="1"/>
  <c r="M389" i="1" s="1"/>
  <c r="L389" i="1" a="1"/>
  <c r="L389" i="1" s="1"/>
  <c r="K389" i="1" a="1"/>
  <c r="K389" i="1" s="1"/>
  <c r="J389" i="1" a="1"/>
  <c r="J389" i="1" s="1"/>
  <c r="I389" i="1" a="1"/>
  <c r="I389" i="1" s="1"/>
  <c r="H389" i="1" a="1"/>
  <c r="H389" i="1" s="1"/>
  <c r="G389" i="1" a="1"/>
  <c r="G389" i="1" s="1"/>
  <c r="F389" i="1" a="1"/>
  <c r="F389" i="1" s="1"/>
  <c r="E389" i="1" a="1"/>
  <c r="E389" i="1" s="1"/>
  <c r="D389" i="1" a="1"/>
  <c r="D389" i="1" s="1"/>
  <c r="C389" i="1" a="1"/>
  <c r="C389" i="1" s="1"/>
  <c r="B389" i="1" a="1"/>
  <c r="B389" i="1" s="1"/>
  <c r="N388" i="1" a="1"/>
  <c r="N388" i="1" s="1"/>
  <c r="M388" i="1" a="1"/>
  <c r="M388" i="1" s="1"/>
  <c r="L388" i="1" a="1"/>
  <c r="L388" i="1" s="1"/>
  <c r="K388" i="1" a="1"/>
  <c r="K388" i="1" s="1"/>
  <c r="J388" i="1" a="1"/>
  <c r="J388" i="1" s="1"/>
  <c r="I388" i="1" a="1"/>
  <c r="I388" i="1" s="1"/>
  <c r="H388" i="1" a="1"/>
  <c r="H388" i="1" s="1"/>
  <c r="G388" i="1" a="1"/>
  <c r="G388" i="1" s="1"/>
  <c r="F388" i="1" a="1"/>
  <c r="F388" i="1" s="1"/>
  <c r="E388" i="1" a="1"/>
  <c r="E388" i="1" s="1"/>
  <c r="D388" i="1" a="1"/>
  <c r="D388" i="1" s="1"/>
  <c r="C388" i="1" a="1"/>
  <c r="C388" i="1" s="1"/>
  <c r="B388" i="1" a="1"/>
  <c r="B388" i="1" s="1"/>
  <c r="N387" i="1" a="1"/>
  <c r="N387" i="1" s="1"/>
  <c r="M387" i="1" a="1"/>
  <c r="M387" i="1" s="1"/>
  <c r="L387" i="1" a="1"/>
  <c r="L387" i="1" s="1"/>
  <c r="K387" i="1" a="1"/>
  <c r="K387" i="1" s="1"/>
  <c r="J387" i="1" a="1"/>
  <c r="J387" i="1" s="1"/>
  <c r="I387" i="1" a="1"/>
  <c r="I387" i="1" s="1"/>
  <c r="H387" i="1" a="1"/>
  <c r="H387" i="1" s="1"/>
  <c r="G387" i="1" a="1"/>
  <c r="G387" i="1" s="1"/>
  <c r="F387" i="1" a="1"/>
  <c r="F387" i="1" s="1"/>
  <c r="E387" i="1" a="1"/>
  <c r="E387" i="1" s="1"/>
  <c r="D387" i="1" a="1"/>
  <c r="D387" i="1" s="1"/>
  <c r="C387" i="1" a="1"/>
  <c r="C387" i="1" s="1"/>
  <c r="B387" i="1" a="1"/>
  <c r="B387" i="1" s="1"/>
  <c r="N386" i="1" a="1"/>
  <c r="N386" i="1" s="1"/>
  <c r="M386" i="1" a="1"/>
  <c r="M386" i="1" s="1"/>
  <c r="L386" i="1" a="1"/>
  <c r="L386" i="1" s="1"/>
  <c r="K386" i="1" a="1"/>
  <c r="K386" i="1" s="1"/>
  <c r="J386" i="1" a="1"/>
  <c r="J386" i="1" s="1"/>
  <c r="I386" i="1" a="1"/>
  <c r="I386" i="1" s="1"/>
  <c r="H386" i="1" a="1"/>
  <c r="H386" i="1" s="1"/>
  <c r="G386" i="1" a="1"/>
  <c r="G386" i="1" s="1"/>
  <c r="F386" i="1" a="1"/>
  <c r="F386" i="1" s="1"/>
  <c r="E386" i="1" a="1"/>
  <c r="E386" i="1" s="1"/>
  <c r="D386" i="1" a="1"/>
  <c r="D386" i="1" s="1"/>
  <c r="C386" i="1" a="1"/>
  <c r="C386" i="1" s="1"/>
  <c r="B386" i="1" a="1"/>
  <c r="B386" i="1" s="1"/>
  <c r="N385" i="1" a="1"/>
  <c r="N385" i="1" s="1"/>
  <c r="M385" i="1" a="1"/>
  <c r="M385" i="1" s="1"/>
  <c r="L385" i="1" a="1"/>
  <c r="L385" i="1" s="1"/>
  <c r="K385" i="1" a="1"/>
  <c r="K385" i="1" s="1"/>
  <c r="J385" i="1" a="1"/>
  <c r="J385" i="1" s="1"/>
  <c r="I385" i="1" a="1"/>
  <c r="I385" i="1" s="1"/>
  <c r="H385" i="1" a="1"/>
  <c r="H385" i="1" s="1"/>
  <c r="G385" i="1" a="1"/>
  <c r="G385" i="1" s="1"/>
  <c r="F385" i="1" a="1"/>
  <c r="F385" i="1" s="1"/>
  <c r="E385" i="1" a="1"/>
  <c r="E385" i="1" s="1"/>
  <c r="D385" i="1" a="1"/>
  <c r="D385" i="1" s="1"/>
  <c r="C385" i="1" a="1"/>
  <c r="C385" i="1" s="1"/>
  <c r="B385" i="1" a="1"/>
  <c r="B385" i="1" s="1"/>
  <c r="N384" i="1" a="1"/>
  <c r="N384" i="1" s="1"/>
  <c r="M384" i="1" a="1"/>
  <c r="M384" i="1" s="1"/>
  <c r="L384" i="1" a="1"/>
  <c r="L384" i="1" s="1"/>
  <c r="K384" i="1" a="1"/>
  <c r="K384" i="1" s="1"/>
  <c r="J384" i="1" a="1"/>
  <c r="J384" i="1" s="1"/>
  <c r="I384" i="1" a="1"/>
  <c r="I384" i="1" s="1"/>
  <c r="H384" i="1" a="1"/>
  <c r="H384" i="1" s="1"/>
  <c r="G384" i="1" a="1"/>
  <c r="G384" i="1" s="1"/>
  <c r="F384" i="1" a="1"/>
  <c r="F384" i="1" s="1"/>
  <c r="E384" i="1" a="1"/>
  <c r="E384" i="1" s="1"/>
  <c r="D384" i="1" a="1"/>
  <c r="D384" i="1" s="1"/>
  <c r="C384" i="1" a="1"/>
  <c r="C384" i="1" s="1"/>
  <c r="B384" i="1" a="1"/>
  <c r="B384" i="1" s="1"/>
  <c r="N383" i="1" a="1"/>
  <c r="N383" i="1" s="1"/>
  <c r="M383" i="1" a="1"/>
  <c r="M383" i="1" s="1"/>
  <c r="L383" i="1" a="1"/>
  <c r="L383" i="1" s="1"/>
  <c r="K383" i="1" a="1"/>
  <c r="K383" i="1" s="1"/>
  <c r="J383" i="1" a="1"/>
  <c r="J383" i="1" s="1"/>
  <c r="I383" i="1" a="1"/>
  <c r="I383" i="1" s="1"/>
  <c r="H383" i="1" a="1"/>
  <c r="H383" i="1" s="1"/>
  <c r="G383" i="1" a="1"/>
  <c r="G383" i="1" s="1"/>
  <c r="F383" i="1" a="1"/>
  <c r="F383" i="1" s="1"/>
  <c r="E383" i="1" a="1"/>
  <c r="E383" i="1" s="1"/>
  <c r="D383" i="1" a="1"/>
  <c r="D383" i="1" s="1"/>
  <c r="C383" i="1" a="1"/>
  <c r="C383" i="1" s="1"/>
  <c r="B383" i="1" a="1"/>
  <c r="B383" i="1" s="1"/>
  <c r="N382" i="1" a="1"/>
  <c r="N382" i="1" s="1"/>
  <c r="M382" i="1" a="1"/>
  <c r="M382" i="1" s="1"/>
  <c r="L382" i="1" a="1"/>
  <c r="L382" i="1" s="1"/>
  <c r="K382" i="1" a="1"/>
  <c r="K382" i="1" s="1"/>
  <c r="J382" i="1" a="1"/>
  <c r="J382" i="1" s="1"/>
  <c r="I382" i="1" a="1"/>
  <c r="I382" i="1" s="1"/>
  <c r="H382" i="1" a="1"/>
  <c r="H382" i="1" s="1"/>
  <c r="G382" i="1" a="1"/>
  <c r="G382" i="1" s="1"/>
  <c r="F382" i="1" a="1"/>
  <c r="F382" i="1" s="1"/>
  <c r="E382" i="1" a="1"/>
  <c r="E382" i="1" s="1"/>
  <c r="D382" i="1" a="1"/>
  <c r="D382" i="1" s="1"/>
  <c r="C382" i="1" a="1"/>
  <c r="C382" i="1" s="1"/>
  <c r="B382" i="1" a="1"/>
  <c r="B382" i="1" s="1"/>
  <c r="N381" i="1" a="1"/>
  <c r="N381" i="1" s="1"/>
  <c r="M381" i="1" a="1"/>
  <c r="M381" i="1" s="1"/>
  <c r="L381" i="1" a="1"/>
  <c r="L381" i="1" s="1"/>
  <c r="K381" i="1" a="1"/>
  <c r="K381" i="1" s="1"/>
  <c r="J381" i="1" a="1"/>
  <c r="J381" i="1" s="1"/>
  <c r="I381" i="1" a="1"/>
  <c r="I381" i="1" s="1"/>
  <c r="H381" i="1" a="1"/>
  <c r="H381" i="1" s="1"/>
  <c r="G381" i="1" a="1"/>
  <c r="G381" i="1" s="1"/>
  <c r="F381" i="1" a="1"/>
  <c r="F381" i="1" s="1"/>
  <c r="E381" i="1" a="1"/>
  <c r="E381" i="1" s="1"/>
  <c r="D381" i="1" a="1"/>
  <c r="D381" i="1" s="1"/>
  <c r="C381" i="1" a="1"/>
  <c r="C381" i="1" s="1"/>
  <c r="B381" i="1" a="1"/>
  <c r="B381" i="1" s="1"/>
  <c r="N380" i="1" a="1"/>
  <c r="N380" i="1" s="1"/>
  <c r="M380" i="1" a="1"/>
  <c r="M380" i="1" s="1"/>
  <c r="L380" i="1" a="1"/>
  <c r="L380" i="1" s="1"/>
  <c r="K380" i="1" a="1"/>
  <c r="K380" i="1" s="1"/>
  <c r="J380" i="1" a="1"/>
  <c r="J380" i="1" s="1"/>
  <c r="I380" i="1" a="1"/>
  <c r="I380" i="1" s="1"/>
  <c r="H380" i="1" a="1"/>
  <c r="H380" i="1" s="1"/>
  <c r="G380" i="1" a="1"/>
  <c r="G380" i="1" s="1"/>
  <c r="F380" i="1" a="1"/>
  <c r="F380" i="1" s="1"/>
  <c r="E380" i="1" a="1"/>
  <c r="E380" i="1" s="1"/>
  <c r="D380" i="1" a="1"/>
  <c r="D380" i="1" s="1"/>
  <c r="C380" i="1" a="1"/>
  <c r="C380" i="1" s="1"/>
  <c r="B380" i="1" a="1"/>
  <c r="B380" i="1" s="1"/>
  <c r="N379" i="1" a="1"/>
  <c r="N379" i="1" s="1"/>
  <c r="M379" i="1" a="1"/>
  <c r="M379" i="1" s="1"/>
  <c r="L379" i="1" a="1"/>
  <c r="L379" i="1" s="1"/>
  <c r="K379" i="1" a="1"/>
  <c r="K379" i="1" s="1"/>
  <c r="J379" i="1" a="1"/>
  <c r="J379" i="1" s="1"/>
  <c r="I379" i="1" a="1"/>
  <c r="I379" i="1" s="1"/>
  <c r="H379" i="1" a="1"/>
  <c r="H379" i="1" s="1"/>
  <c r="G379" i="1" a="1"/>
  <c r="G379" i="1" s="1"/>
  <c r="F379" i="1" a="1"/>
  <c r="F379" i="1" s="1"/>
  <c r="E379" i="1" a="1"/>
  <c r="E379" i="1" s="1"/>
  <c r="D379" i="1" a="1"/>
  <c r="D379" i="1" s="1"/>
  <c r="C379" i="1" a="1"/>
  <c r="C379" i="1" s="1"/>
  <c r="B379" i="1" a="1"/>
  <c r="B379" i="1" s="1"/>
  <c r="N378" i="1" a="1"/>
  <c r="N378" i="1" s="1"/>
  <c r="M378" i="1" a="1"/>
  <c r="M378" i="1" s="1"/>
  <c r="L378" i="1" a="1"/>
  <c r="L378" i="1" s="1"/>
  <c r="K378" i="1" a="1"/>
  <c r="K378" i="1" s="1"/>
  <c r="J378" i="1" a="1"/>
  <c r="J378" i="1" s="1"/>
  <c r="I378" i="1" a="1"/>
  <c r="I378" i="1" s="1"/>
  <c r="H378" i="1" a="1"/>
  <c r="H378" i="1" s="1"/>
  <c r="G378" i="1" a="1"/>
  <c r="G378" i="1" s="1"/>
  <c r="F378" i="1" a="1"/>
  <c r="F378" i="1" s="1"/>
  <c r="E378" i="1" a="1"/>
  <c r="E378" i="1" s="1"/>
  <c r="D378" i="1" a="1"/>
  <c r="D378" i="1" s="1"/>
  <c r="C378" i="1" a="1"/>
  <c r="C378" i="1" s="1"/>
  <c r="B378" i="1" a="1"/>
  <c r="B378" i="1" s="1"/>
  <c r="N377" i="1" a="1"/>
  <c r="N377" i="1" s="1"/>
  <c r="M377" i="1" a="1"/>
  <c r="M377" i="1" s="1"/>
  <c r="L377" i="1" a="1"/>
  <c r="L377" i="1" s="1"/>
  <c r="K377" i="1" a="1"/>
  <c r="K377" i="1" s="1"/>
  <c r="J377" i="1" a="1"/>
  <c r="J377" i="1" s="1"/>
  <c r="I377" i="1" a="1"/>
  <c r="I377" i="1" s="1"/>
  <c r="H377" i="1" a="1"/>
  <c r="H377" i="1" s="1"/>
  <c r="G377" i="1" a="1"/>
  <c r="G377" i="1" s="1"/>
  <c r="F377" i="1" a="1"/>
  <c r="F377" i="1" s="1"/>
  <c r="E377" i="1" a="1"/>
  <c r="E377" i="1" s="1"/>
  <c r="D377" i="1" a="1"/>
  <c r="D377" i="1" s="1"/>
  <c r="C377" i="1" a="1"/>
  <c r="C377" i="1" s="1"/>
  <c r="B377" i="1" a="1"/>
  <c r="B377" i="1" s="1"/>
  <c r="N376" i="1" a="1"/>
  <c r="N376" i="1" s="1"/>
  <c r="M376" i="1" a="1"/>
  <c r="M376" i="1" s="1"/>
  <c r="L376" i="1" a="1"/>
  <c r="L376" i="1" s="1"/>
  <c r="K376" i="1" a="1"/>
  <c r="K376" i="1" s="1"/>
  <c r="J376" i="1" a="1"/>
  <c r="J376" i="1" s="1"/>
  <c r="I376" i="1" a="1"/>
  <c r="I376" i="1" s="1"/>
  <c r="H376" i="1" a="1"/>
  <c r="H376" i="1" s="1"/>
  <c r="G376" i="1" a="1"/>
  <c r="G376" i="1" s="1"/>
  <c r="F376" i="1" a="1"/>
  <c r="F376" i="1" s="1"/>
  <c r="E376" i="1" a="1"/>
  <c r="E376" i="1" s="1"/>
  <c r="D376" i="1" a="1"/>
  <c r="D376" i="1" s="1"/>
  <c r="C376" i="1" a="1"/>
  <c r="C376" i="1" s="1"/>
  <c r="B376" i="1" a="1"/>
  <c r="B376" i="1" s="1"/>
  <c r="N375" i="1" a="1"/>
  <c r="N375" i="1" s="1"/>
  <c r="M375" i="1" a="1"/>
  <c r="M375" i="1" s="1"/>
  <c r="L375" i="1" a="1"/>
  <c r="L375" i="1" s="1"/>
  <c r="K375" i="1" a="1"/>
  <c r="K375" i="1" s="1"/>
  <c r="J375" i="1" a="1"/>
  <c r="J375" i="1" s="1"/>
  <c r="I375" i="1" a="1"/>
  <c r="I375" i="1" s="1"/>
  <c r="H375" i="1" a="1"/>
  <c r="H375" i="1" s="1"/>
  <c r="G375" i="1" a="1"/>
  <c r="G375" i="1" s="1"/>
  <c r="F375" i="1" a="1"/>
  <c r="F375" i="1" s="1"/>
  <c r="E375" i="1" a="1"/>
  <c r="E375" i="1" s="1"/>
  <c r="D375" i="1" a="1"/>
  <c r="D375" i="1" s="1"/>
  <c r="C375" i="1" a="1"/>
  <c r="C375" i="1" s="1"/>
  <c r="B375" i="1" a="1"/>
  <c r="B375" i="1" s="1"/>
  <c r="N374" i="1" a="1"/>
  <c r="N374" i="1" s="1"/>
  <c r="M374" i="1" a="1"/>
  <c r="M374" i="1" s="1"/>
  <c r="L374" i="1" a="1"/>
  <c r="L374" i="1" s="1"/>
  <c r="K374" i="1" a="1"/>
  <c r="K374" i="1" s="1"/>
  <c r="J374" i="1" a="1"/>
  <c r="J374" i="1" s="1"/>
  <c r="I374" i="1" a="1"/>
  <c r="I374" i="1" s="1"/>
  <c r="H374" i="1" a="1"/>
  <c r="H374" i="1" s="1"/>
  <c r="G374" i="1" a="1"/>
  <c r="G374" i="1" s="1"/>
  <c r="F374" i="1" a="1"/>
  <c r="F374" i="1" s="1"/>
  <c r="E374" i="1" a="1"/>
  <c r="E374" i="1" s="1"/>
  <c r="D374" i="1" a="1"/>
  <c r="D374" i="1" s="1"/>
  <c r="C374" i="1" a="1"/>
  <c r="C374" i="1" s="1"/>
  <c r="B374" i="1" a="1"/>
  <c r="B374" i="1" s="1"/>
  <c r="N373" i="1" a="1"/>
  <c r="N373" i="1" s="1"/>
  <c r="M373" i="1" a="1"/>
  <c r="M373" i="1" s="1"/>
  <c r="L373" i="1" a="1"/>
  <c r="L373" i="1" s="1"/>
  <c r="K373" i="1" a="1"/>
  <c r="K373" i="1" s="1"/>
  <c r="J373" i="1" a="1"/>
  <c r="J373" i="1" s="1"/>
  <c r="I373" i="1" a="1"/>
  <c r="I373" i="1" s="1"/>
  <c r="H373" i="1" a="1"/>
  <c r="H373" i="1" s="1"/>
  <c r="G373" i="1" a="1"/>
  <c r="G373" i="1" s="1"/>
  <c r="F373" i="1" a="1"/>
  <c r="F373" i="1" s="1"/>
  <c r="E373" i="1" a="1"/>
  <c r="E373" i="1" s="1"/>
  <c r="D373" i="1" a="1"/>
  <c r="D373" i="1" s="1"/>
  <c r="C373" i="1" a="1"/>
  <c r="C373" i="1" s="1"/>
  <c r="B373" i="1" a="1"/>
  <c r="B373" i="1" s="1"/>
  <c r="N372" i="1" a="1"/>
  <c r="N372" i="1" s="1"/>
  <c r="M372" i="1" a="1"/>
  <c r="M372" i="1" s="1"/>
  <c r="L372" i="1" a="1"/>
  <c r="L372" i="1" s="1"/>
  <c r="K372" i="1" a="1"/>
  <c r="K372" i="1" s="1"/>
  <c r="J372" i="1" a="1"/>
  <c r="J372" i="1" s="1"/>
  <c r="I372" i="1" a="1"/>
  <c r="I372" i="1" s="1"/>
  <c r="H372" i="1" a="1"/>
  <c r="H372" i="1" s="1"/>
  <c r="G372" i="1" a="1"/>
  <c r="G372" i="1" s="1"/>
  <c r="F372" i="1" a="1"/>
  <c r="F372" i="1" s="1"/>
  <c r="E372" i="1" a="1"/>
  <c r="E372" i="1" s="1"/>
  <c r="D372" i="1" a="1"/>
  <c r="D372" i="1" s="1"/>
  <c r="C372" i="1" a="1"/>
  <c r="C372" i="1" s="1"/>
  <c r="B372" i="1" a="1"/>
  <c r="B372" i="1" s="1"/>
  <c r="N371" i="1" a="1"/>
  <c r="N371" i="1" s="1"/>
  <c r="M371" i="1" a="1"/>
  <c r="M371" i="1" s="1"/>
  <c r="L371" i="1" a="1"/>
  <c r="L371" i="1" s="1"/>
  <c r="K371" i="1" a="1"/>
  <c r="K371" i="1" s="1"/>
  <c r="J371" i="1" a="1"/>
  <c r="J371" i="1" s="1"/>
  <c r="I371" i="1" a="1"/>
  <c r="I371" i="1" s="1"/>
  <c r="H371" i="1" a="1"/>
  <c r="H371" i="1" s="1"/>
  <c r="G371" i="1" a="1"/>
  <c r="G371" i="1" s="1"/>
  <c r="F371" i="1" a="1"/>
  <c r="F371" i="1" s="1"/>
  <c r="E371" i="1" a="1"/>
  <c r="E371" i="1" s="1"/>
  <c r="D371" i="1" a="1"/>
  <c r="D371" i="1" s="1"/>
  <c r="C371" i="1" a="1"/>
  <c r="C371" i="1" s="1"/>
  <c r="B371" i="1" a="1"/>
  <c r="B371" i="1" s="1"/>
  <c r="N370" i="1" a="1"/>
  <c r="N370" i="1" s="1"/>
  <c r="M370" i="1" a="1"/>
  <c r="M370" i="1" s="1"/>
  <c r="L370" i="1" a="1"/>
  <c r="L370" i="1" s="1"/>
  <c r="K370" i="1" a="1"/>
  <c r="K370" i="1" s="1"/>
  <c r="J370" i="1" a="1"/>
  <c r="J370" i="1" s="1"/>
  <c r="I370" i="1" a="1"/>
  <c r="I370" i="1" s="1"/>
  <c r="H370" i="1" a="1"/>
  <c r="H370" i="1" s="1"/>
  <c r="G370" i="1" a="1"/>
  <c r="G370" i="1" s="1"/>
  <c r="F370" i="1" a="1"/>
  <c r="F370" i="1" s="1"/>
  <c r="E370" i="1" a="1"/>
  <c r="E370" i="1" s="1"/>
  <c r="D370" i="1" a="1"/>
  <c r="D370" i="1" s="1"/>
  <c r="C370" i="1" a="1"/>
  <c r="C370" i="1" s="1"/>
  <c r="B370" i="1" a="1"/>
  <c r="B370" i="1" s="1"/>
  <c r="N369" i="1" a="1"/>
  <c r="N369" i="1" s="1"/>
  <c r="M369" i="1" a="1"/>
  <c r="M369" i="1" s="1"/>
  <c r="L369" i="1" a="1"/>
  <c r="L369" i="1" s="1"/>
  <c r="K369" i="1" a="1"/>
  <c r="K369" i="1" s="1"/>
  <c r="J369" i="1" a="1"/>
  <c r="J369" i="1" s="1"/>
  <c r="I369" i="1" a="1"/>
  <c r="I369" i="1" s="1"/>
  <c r="H369" i="1" a="1"/>
  <c r="H369" i="1" s="1"/>
  <c r="G369" i="1" a="1"/>
  <c r="G369" i="1" s="1"/>
  <c r="F369" i="1" a="1"/>
  <c r="F369" i="1" s="1"/>
  <c r="E369" i="1" a="1"/>
  <c r="E369" i="1" s="1"/>
  <c r="D369" i="1" a="1"/>
  <c r="D369" i="1" s="1"/>
  <c r="C369" i="1" a="1"/>
  <c r="C369" i="1" s="1"/>
  <c r="B369" i="1" a="1"/>
  <c r="B369" i="1" s="1"/>
  <c r="N368" i="1" a="1"/>
  <c r="N368" i="1" s="1"/>
  <c r="M368" i="1" a="1"/>
  <c r="M368" i="1" s="1"/>
  <c r="L368" i="1" a="1"/>
  <c r="L368" i="1" s="1"/>
  <c r="K368" i="1" a="1"/>
  <c r="K368" i="1" s="1"/>
  <c r="J368" i="1" a="1"/>
  <c r="J368" i="1" s="1"/>
  <c r="I368" i="1" a="1"/>
  <c r="I368" i="1" s="1"/>
  <c r="H368" i="1" a="1"/>
  <c r="H368" i="1" s="1"/>
  <c r="G368" i="1" a="1"/>
  <c r="G368" i="1" s="1"/>
  <c r="F368" i="1" a="1"/>
  <c r="F368" i="1" s="1"/>
  <c r="E368" i="1" a="1"/>
  <c r="E368" i="1" s="1"/>
  <c r="D368" i="1" a="1"/>
  <c r="D368" i="1" s="1"/>
  <c r="C368" i="1" a="1"/>
  <c r="C368" i="1" s="1"/>
  <c r="B368" i="1" a="1"/>
  <c r="B368" i="1" s="1"/>
  <c r="N367" i="1" a="1"/>
  <c r="N367" i="1" s="1"/>
  <c r="M367" i="1" a="1"/>
  <c r="M367" i="1" s="1"/>
  <c r="L367" i="1" a="1"/>
  <c r="L367" i="1" s="1"/>
  <c r="K367" i="1" a="1"/>
  <c r="K367" i="1" s="1"/>
  <c r="J367" i="1" a="1"/>
  <c r="J367" i="1" s="1"/>
  <c r="I367" i="1" a="1"/>
  <c r="I367" i="1" s="1"/>
  <c r="H367" i="1" a="1"/>
  <c r="H367" i="1" s="1"/>
  <c r="G367" i="1" a="1"/>
  <c r="G367" i="1" s="1"/>
  <c r="F367" i="1" a="1"/>
  <c r="F367" i="1" s="1"/>
  <c r="E367" i="1" a="1"/>
  <c r="E367" i="1" s="1"/>
  <c r="D367" i="1" a="1"/>
  <c r="D367" i="1" s="1"/>
  <c r="C367" i="1" a="1"/>
  <c r="C367" i="1" s="1"/>
  <c r="B367" i="1" a="1"/>
  <c r="B367" i="1" s="1"/>
  <c r="N366" i="1" a="1"/>
  <c r="N366" i="1" s="1"/>
  <c r="M366" i="1" a="1"/>
  <c r="M366" i="1" s="1"/>
  <c r="L366" i="1" a="1"/>
  <c r="L366" i="1" s="1"/>
  <c r="K366" i="1" a="1"/>
  <c r="K366" i="1" s="1"/>
  <c r="J366" i="1" a="1"/>
  <c r="J366" i="1" s="1"/>
  <c r="I366" i="1" a="1"/>
  <c r="I366" i="1" s="1"/>
  <c r="H366" i="1" a="1"/>
  <c r="H366" i="1" s="1"/>
  <c r="G366" i="1" a="1"/>
  <c r="G366" i="1" s="1"/>
  <c r="F366" i="1" a="1"/>
  <c r="F366" i="1" s="1"/>
  <c r="E366" i="1" a="1"/>
  <c r="E366" i="1" s="1"/>
  <c r="D366" i="1" a="1"/>
  <c r="D366" i="1" s="1"/>
  <c r="C366" i="1" a="1"/>
  <c r="C366" i="1" s="1"/>
  <c r="B366" i="1" a="1"/>
  <c r="B366" i="1" s="1"/>
  <c r="N365" i="1" a="1"/>
  <c r="N365" i="1" s="1"/>
  <c r="M365" i="1" a="1"/>
  <c r="M365" i="1" s="1"/>
  <c r="L365" i="1" a="1"/>
  <c r="L365" i="1" s="1"/>
  <c r="K365" i="1" a="1"/>
  <c r="K365" i="1" s="1"/>
  <c r="J365" i="1" a="1"/>
  <c r="J365" i="1" s="1"/>
  <c r="I365" i="1" a="1"/>
  <c r="I365" i="1" s="1"/>
  <c r="H365" i="1" a="1"/>
  <c r="H365" i="1" s="1"/>
  <c r="G365" i="1" a="1"/>
  <c r="G365" i="1" s="1"/>
  <c r="F365" i="1" a="1"/>
  <c r="F365" i="1" s="1"/>
  <c r="E365" i="1" a="1"/>
  <c r="E365" i="1" s="1"/>
  <c r="D365" i="1" a="1"/>
  <c r="D365" i="1" s="1"/>
  <c r="C365" i="1" a="1"/>
  <c r="C365" i="1" s="1"/>
  <c r="B365" i="1" a="1"/>
  <c r="B365" i="1" s="1"/>
  <c r="N364" i="1" a="1"/>
  <c r="N364" i="1" s="1"/>
  <c r="M364" i="1" a="1"/>
  <c r="M364" i="1" s="1"/>
  <c r="L364" i="1" a="1"/>
  <c r="L364" i="1" s="1"/>
  <c r="K364" i="1" a="1"/>
  <c r="K364" i="1" s="1"/>
  <c r="J364" i="1" a="1"/>
  <c r="J364" i="1" s="1"/>
  <c r="I364" i="1" a="1"/>
  <c r="I364" i="1" s="1"/>
  <c r="H364" i="1" a="1"/>
  <c r="H364" i="1" s="1"/>
  <c r="G364" i="1" a="1"/>
  <c r="G364" i="1" s="1"/>
  <c r="F364" i="1" a="1"/>
  <c r="F364" i="1" s="1"/>
  <c r="E364" i="1" a="1"/>
  <c r="E364" i="1" s="1"/>
  <c r="D364" i="1" a="1"/>
  <c r="D364" i="1" s="1"/>
  <c r="C364" i="1" a="1"/>
  <c r="C364" i="1" s="1"/>
  <c r="B364" i="1" a="1"/>
  <c r="B364" i="1" s="1"/>
  <c r="N363" i="1" a="1"/>
  <c r="N363" i="1" s="1"/>
  <c r="M363" i="1" a="1"/>
  <c r="M363" i="1" s="1"/>
  <c r="L363" i="1" a="1"/>
  <c r="L363" i="1" s="1"/>
  <c r="K363" i="1" a="1"/>
  <c r="K363" i="1" s="1"/>
  <c r="J363" i="1" a="1"/>
  <c r="J363" i="1" s="1"/>
  <c r="I363" i="1" a="1"/>
  <c r="I363" i="1" s="1"/>
  <c r="H363" i="1" a="1"/>
  <c r="H363" i="1" s="1"/>
  <c r="G363" i="1" a="1"/>
  <c r="G363" i="1" s="1"/>
  <c r="F363" i="1" a="1"/>
  <c r="F363" i="1" s="1"/>
  <c r="E363" i="1" a="1"/>
  <c r="E363" i="1" s="1"/>
  <c r="D363" i="1" a="1"/>
  <c r="D363" i="1" s="1"/>
  <c r="C363" i="1" a="1"/>
  <c r="C363" i="1" s="1"/>
  <c r="B363" i="1" a="1"/>
  <c r="B363" i="1" s="1"/>
  <c r="N362" i="1" a="1"/>
  <c r="N362" i="1" s="1"/>
  <c r="M362" i="1" a="1"/>
  <c r="M362" i="1" s="1"/>
  <c r="L362" i="1" a="1"/>
  <c r="L362" i="1" s="1"/>
  <c r="K362" i="1" a="1"/>
  <c r="K362" i="1" s="1"/>
  <c r="J362" i="1" a="1"/>
  <c r="J362" i="1" s="1"/>
  <c r="I362" i="1" a="1"/>
  <c r="I362" i="1" s="1"/>
  <c r="H362" i="1" a="1"/>
  <c r="H362" i="1" s="1"/>
  <c r="G362" i="1" a="1"/>
  <c r="G362" i="1" s="1"/>
  <c r="F362" i="1" a="1"/>
  <c r="F362" i="1" s="1"/>
  <c r="E362" i="1" a="1"/>
  <c r="E362" i="1" s="1"/>
  <c r="D362" i="1" a="1"/>
  <c r="D362" i="1" s="1"/>
  <c r="C362" i="1" a="1"/>
  <c r="C362" i="1" s="1"/>
  <c r="B362" i="1" a="1"/>
  <c r="B362" i="1" s="1"/>
  <c r="N361" i="1" a="1"/>
  <c r="N361" i="1" s="1"/>
  <c r="M361" i="1" a="1"/>
  <c r="M361" i="1" s="1"/>
  <c r="L361" i="1" a="1"/>
  <c r="L361" i="1" s="1"/>
  <c r="K361" i="1" a="1"/>
  <c r="K361" i="1" s="1"/>
  <c r="J361" i="1" a="1"/>
  <c r="J361" i="1" s="1"/>
  <c r="I361" i="1" a="1"/>
  <c r="I361" i="1" s="1"/>
  <c r="H361" i="1" a="1"/>
  <c r="H361" i="1" s="1"/>
  <c r="G361" i="1" a="1"/>
  <c r="G361" i="1" s="1"/>
  <c r="F361" i="1" a="1"/>
  <c r="F361" i="1" s="1"/>
  <c r="E361" i="1" a="1"/>
  <c r="E361" i="1" s="1"/>
  <c r="D361" i="1" a="1"/>
  <c r="D361" i="1" s="1"/>
  <c r="C361" i="1" a="1"/>
  <c r="C361" i="1" s="1"/>
  <c r="B361" i="1" a="1"/>
  <c r="B361" i="1" s="1"/>
  <c r="N360" i="1" a="1"/>
  <c r="N360" i="1" s="1"/>
  <c r="M360" i="1" a="1"/>
  <c r="M360" i="1" s="1"/>
  <c r="L360" i="1" a="1"/>
  <c r="L360" i="1" s="1"/>
  <c r="K360" i="1" a="1"/>
  <c r="K360" i="1" s="1"/>
  <c r="J360" i="1" a="1"/>
  <c r="J360" i="1" s="1"/>
  <c r="I360" i="1" a="1"/>
  <c r="I360" i="1" s="1"/>
  <c r="H360" i="1" a="1"/>
  <c r="H360" i="1" s="1"/>
  <c r="G360" i="1" a="1"/>
  <c r="G360" i="1" s="1"/>
  <c r="F360" i="1" a="1"/>
  <c r="F360" i="1" s="1"/>
  <c r="E360" i="1" a="1"/>
  <c r="E360" i="1" s="1"/>
  <c r="D360" i="1" a="1"/>
  <c r="D360" i="1" s="1"/>
  <c r="C360" i="1" a="1"/>
  <c r="C360" i="1" s="1"/>
  <c r="B360" i="1" a="1"/>
  <c r="B360" i="1" s="1"/>
  <c r="N359" i="1" a="1"/>
  <c r="N359" i="1" s="1"/>
  <c r="M359" i="1" a="1"/>
  <c r="M359" i="1" s="1"/>
  <c r="L359" i="1" a="1"/>
  <c r="L359" i="1" s="1"/>
  <c r="K359" i="1" a="1"/>
  <c r="K359" i="1" s="1"/>
  <c r="J359" i="1" a="1"/>
  <c r="J359" i="1" s="1"/>
  <c r="I359" i="1" a="1"/>
  <c r="I359" i="1" s="1"/>
  <c r="H359" i="1" a="1"/>
  <c r="H359" i="1" s="1"/>
  <c r="G359" i="1" a="1"/>
  <c r="G359" i="1" s="1"/>
  <c r="F359" i="1" a="1"/>
  <c r="F359" i="1" s="1"/>
  <c r="E359" i="1" a="1"/>
  <c r="E359" i="1" s="1"/>
  <c r="D359" i="1" a="1"/>
  <c r="D359" i="1" s="1"/>
  <c r="C359" i="1" a="1"/>
  <c r="C359" i="1" s="1"/>
  <c r="B359" i="1" a="1"/>
  <c r="B359" i="1" s="1"/>
  <c r="N358" i="1" a="1"/>
  <c r="N358" i="1" s="1"/>
  <c r="M358" i="1" a="1"/>
  <c r="M358" i="1" s="1"/>
  <c r="L358" i="1" a="1"/>
  <c r="L358" i="1" s="1"/>
  <c r="K358" i="1" a="1"/>
  <c r="K358" i="1" s="1"/>
  <c r="J358" i="1" a="1"/>
  <c r="J358" i="1" s="1"/>
  <c r="I358" i="1" a="1"/>
  <c r="I358" i="1" s="1"/>
  <c r="H358" i="1" a="1"/>
  <c r="H358" i="1" s="1"/>
  <c r="G358" i="1" a="1"/>
  <c r="G358" i="1" s="1"/>
  <c r="F358" i="1" a="1"/>
  <c r="F358" i="1" s="1"/>
  <c r="E358" i="1" a="1"/>
  <c r="E358" i="1" s="1"/>
  <c r="D358" i="1" a="1"/>
  <c r="D358" i="1" s="1"/>
  <c r="C358" i="1" a="1"/>
  <c r="C358" i="1" s="1"/>
  <c r="B358" i="1" a="1"/>
  <c r="B358" i="1" s="1"/>
  <c r="N357" i="1" a="1"/>
  <c r="N357" i="1" s="1"/>
  <c r="M357" i="1" a="1"/>
  <c r="M357" i="1" s="1"/>
  <c r="L357" i="1" a="1"/>
  <c r="L357" i="1" s="1"/>
  <c r="K357" i="1" a="1"/>
  <c r="K357" i="1" s="1"/>
  <c r="J357" i="1" a="1"/>
  <c r="J357" i="1" s="1"/>
  <c r="I357" i="1" a="1"/>
  <c r="I357" i="1" s="1"/>
  <c r="H357" i="1" a="1"/>
  <c r="H357" i="1" s="1"/>
  <c r="G357" i="1" a="1"/>
  <c r="G357" i="1" s="1"/>
  <c r="F357" i="1" a="1"/>
  <c r="F357" i="1" s="1"/>
  <c r="E357" i="1" a="1"/>
  <c r="E357" i="1" s="1"/>
  <c r="D357" i="1" a="1"/>
  <c r="D357" i="1" s="1"/>
  <c r="C357" i="1" a="1"/>
  <c r="C357" i="1" s="1"/>
  <c r="B357" i="1" a="1"/>
  <c r="B357" i="1" s="1"/>
  <c r="N356" i="1" a="1"/>
  <c r="N356" i="1" s="1"/>
  <c r="M356" i="1" a="1"/>
  <c r="M356" i="1" s="1"/>
  <c r="L356" i="1" a="1"/>
  <c r="L356" i="1" s="1"/>
  <c r="K356" i="1" a="1"/>
  <c r="K356" i="1" s="1"/>
  <c r="J356" i="1" a="1"/>
  <c r="J356" i="1" s="1"/>
  <c r="I356" i="1" a="1"/>
  <c r="I356" i="1" s="1"/>
  <c r="H356" i="1" a="1"/>
  <c r="H356" i="1" s="1"/>
  <c r="G356" i="1" a="1"/>
  <c r="G356" i="1" s="1"/>
  <c r="F356" i="1" a="1"/>
  <c r="F356" i="1" s="1"/>
  <c r="E356" i="1" a="1"/>
  <c r="E356" i="1" s="1"/>
  <c r="D356" i="1" a="1"/>
  <c r="D356" i="1" s="1"/>
  <c r="C356" i="1" a="1"/>
  <c r="C356" i="1" s="1"/>
  <c r="B356" i="1" a="1"/>
  <c r="B356" i="1" s="1"/>
  <c r="N355" i="1" a="1"/>
  <c r="N355" i="1" s="1"/>
  <c r="M355" i="1" a="1"/>
  <c r="M355" i="1" s="1"/>
  <c r="L355" i="1" a="1"/>
  <c r="L355" i="1" s="1"/>
  <c r="K355" i="1" a="1"/>
  <c r="K355" i="1" s="1"/>
  <c r="J355" i="1" a="1"/>
  <c r="J355" i="1" s="1"/>
  <c r="I355" i="1" a="1"/>
  <c r="I355" i="1" s="1"/>
  <c r="H355" i="1" a="1"/>
  <c r="H355" i="1" s="1"/>
  <c r="G355" i="1" a="1"/>
  <c r="G355" i="1" s="1"/>
  <c r="F355" i="1" a="1"/>
  <c r="F355" i="1" s="1"/>
  <c r="E355" i="1" a="1"/>
  <c r="E355" i="1" s="1"/>
  <c r="D355" i="1" a="1"/>
  <c r="D355" i="1" s="1"/>
  <c r="C355" i="1" a="1"/>
  <c r="C355" i="1" s="1"/>
  <c r="B355" i="1" a="1"/>
  <c r="B355" i="1" s="1"/>
  <c r="N354" i="1" a="1"/>
  <c r="N354" i="1" s="1"/>
  <c r="M354" i="1" a="1"/>
  <c r="M354" i="1" s="1"/>
  <c r="L354" i="1" a="1"/>
  <c r="L354" i="1" s="1"/>
  <c r="K354" i="1" a="1"/>
  <c r="K354" i="1" s="1"/>
  <c r="J354" i="1" a="1"/>
  <c r="J354" i="1" s="1"/>
  <c r="I354" i="1" a="1"/>
  <c r="I354" i="1" s="1"/>
  <c r="H354" i="1" a="1"/>
  <c r="H354" i="1" s="1"/>
  <c r="G354" i="1" a="1"/>
  <c r="G354" i="1" s="1"/>
  <c r="F354" i="1" a="1"/>
  <c r="F354" i="1" s="1"/>
  <c r="E354" i="1" a="1"/>
  <c r="E354" i="1" s="1"/>
  <c r="D354" i="1" a="1"/>
  <c r="D354" i="1" s="1"/>
  <c r="C354" i="1" a="1"/>
  <c r="C354" i="1" s="1"/>
  <c r="B354" i="1" a="1"/>
  <c r="B354" i="1" s="1"/>
  <c r="N353" i="1" a="1"/>
  <c r="N353" i="1" s="1"/>
  <c r="M353" i="1" a="1"/>
  <c r="M353" i="1" s="1"/>
  <c r="L353" i="1" a="1"/>
  <c r="L353" i="1" s="1"/>
  <c r="K353" i="1" a="1"/>
  <c r="K353" i="1" s="1"/>
  <c r="J353" i="1" a="1"/>
  <c r="J353" i="1" s="1"/>
  <c r="I353" i="1" a="1"/>
  <c r="I353" i="1" s="1"/>
  <c r="H353" i="1" a="1"/>
  <c r="H353" i="1" s="1"/>
  <c r="G353" i="1" a="1"/>
  <c r="G353" i="1" s="1"/>
  <c r="F353" i="1" a="1"/>
  <c r="F353" i="1" s="1"/>
  <c r="E353" i="1" a="1"/>
  <c r="E353" i="1" s="1"/>
  <c r="D353" i="1" a="1"/>
  <c r="D353" i="1" s="1"/>
  <c r="C353" i="1" a="1"/>
  <c r="C353" i="1" s="1"/>
  <c r="B353" i="1" a="1"/>
  <c r="B353" i="1" s="1"/>
  <c r="N352" i="1" a="1"/>
  <c r="N352" i="1" s="1"/>
  <c r="M352" i="1" a="1"/>
  <c r="M352" i="1" s="1"/>
  <c r="L352" i="1" a="1"/>
  <c r="L352" i="1" s="1"/>
  <c r="K352" i="1" a="1"/>
  <c r="K352" i="1" s="1"/>
  <c r="J352" i="1" a="1"/>
  <c r="J352" i="1" s="1"/>
  <c r="I352" i="1" a="1"/>
  <c r="I352" i="1" s="1"/>
  <c r="H352" i="1" a="1"/>
  <c r="H352" i="1" s="1"/>
  <c r="G352" i="1" a="1"/>
  <c r="G352" i="1" s="1"/>
  <c r="F352" i="1" a="1"/>
  <c r="F352" i="1" s="1"/>
  <c r="E352" i="1" a="1"/>
  <c r="E352" i="1" s="1"/>
  <c r="D352" i="1" a="1"/>
  <c r="D352" i="1" s="1"/>
  <c r="C352" i="1" a="1"/>
  <c r="C352" i="1" s="1"/>
  <c r="B352" i="1" a="1"/>
  <c r="B352" i="1" s="1"/>
  <c r="N351" i="1" a="1"/>
  <c r="N351" i="1" s="1"/>
  <c r="M351" i="1" a="1"/>
  <c r="M351" i="1" s="1"/>
  <c r="L351" i="1" a="1"/>
  <c r="L351" i="1" s="1"/>
  <c r="K351" i="1" a="1"/>
  <c r="K351" i="1" s="1"/>
  <c r="J351" i="1" a="1"/>
  <c r="J351" i="1" s="1"/>
  <c r="I351" i="1" a="1"/>
  <c r="I351" i="1" s="1"/>
  <c r="H351" i="1" a="1"/>
  <c r="H351" i="1" s="1"/>
  <c r="G351" i="1" a="1"/>
  <c r="G351" i="1" s="1"/>
  <c r="F351" i="1" a="1"/>
  <c r="F351" i="1" s="1"/>
  <c r="E351" i="1" a="1"/>
  <c r="E351" i="1" s="1"/>
  <c r="D351" i="1" a="1"/>
  <c r="D351" i="1" s="1"/>
  <c r="C351" i="1" a="1"/>
  <c r="C351" i="1" s="1"/>
  <c r="B351" i="1" a="1"/>
  <c r="B351" i="1" s="1"/>
  <c r="N350" i="1" a="1"/>
  <c r="N350" i="1" s="1"/>
  <c r="M350" i="1" a="1"/>
  <c r="M350" i="1" s="1"/>
  <c r="L350" i="1" a="1"/>
  <c r="L350" i="1" s="1"/>
  <c r="K350" i="1" a="1"/>
  <c r="K350" i="1" s="1"/>
  <c r="J350" i="1" a="1"/>
  <c r="J350" i="1" s="1"/>
  <c r="I350" i="1" a="1"/>
  <c r="I350" i="1" s="1"/>
  <c r="H350" i="1" a="1"/>
  <c r="H350" i="1" s="1"/>
  <c r="G350" i="1" a="1"/>
  <c r="G350" i="1" s="1"/>
  <c r="F350" i="1" a="1"/>
  <c r="F350" i="1" s="1"/>
  <c r="E350" i="1" a="1"/>
  <c r="E350" i="1" s="1"/>
  <c r="D350" i="1" a="1"/>
  <c r="D350" i="1" s="1"/>
  <c r="C350" i="1" a="1"/>
  <c r="C350" i="1" s="1"/>
  <c r="B350" i="1" a="1"/>
  <c r="B350" i="1" s="1"/>
  <c r="N349" i="1" a="1"/>
  <c r="N349" i="1" s="1"/>
  <c r="M349" i="1" a="1"/>
  <c r="M349" i="1" s="1"/>
  <c r="L349" i="1" a="1"/>
  <c r="L349" i="1" s="1"/>
  <c r="K349" i="1" a="1"/>
  <c r="K349" i="1" s="1"/>
  <c r="J349" i="1" a="1"/>
  <c r="J349" i="1" s="1"/>
  <c r="I349" i="1" a="1"/>
  <c r="I349" i="1" s="1"/>
  <c r="H349" i="1" a="1"/>
  <c r="H349" i="1" s="1"/>
  <c r="G349" i="1" a="1"/>
  <c r="G349" i="1" s="1"/>
  <c r="F349" i="1" a="1"/>
  <c r="F349" i="1" s="1"/>
  <c r="E349" i="1" a="1"/>
  <c r="E349" i="1" s="1"/>
  <c r="D349" i="1" a="1"/>
  <c r="D349" i="1" s="1"/>
  <c r="C349" i="1" a="1"/>
  <c r="C349" i="1" s="1"/>
  <c r="B349" i="1" a="1"/>
  <c r="B349" i="1" s="1"/>
  <c r="N348" i="1" a="1"/>
  <c r="N348" i="1" s="1"/>
  <c r="M348" i="1" a="1"/>
  <c r="M348" i="1" s="1"/>
  <c r="L348" i="1" a="1"/>
  <c r="L348" i="1" s="1"/>
  <c r="K348" i="1" a="1"/>
  <c r="K348" i="1" s="1"/>
  <c r="J348" i="1" a="1"/>
  <c r="J348" i="1" s="1"/>
  <c r="I348" i="1" a="1"/>
  <c r="I348" i="1" s="1"/>
  <c r="H348" i="1" a="1"/>
  <c r="H348" i="1" s="1"/>
  <c r="G348" i="1" a="1"/>
  <c r="G348" i="1" s="1"/>
  <c r="F348" i="1" a="1"/>
  <c r="F348" i="1" s="1"/>
  <c r="E348" i="1" a="1"/>
  <c r="E348" i="1" s="1"/>
  <c r="D348" i="1" a="1"/>
  <c r="D348" i="1" s="1"/>
  <c r="C348" i="1" a="1"/>
  <c r="C348" i="1" s="1"/>
  <c r="B348" i="1" a="1"/>
  <c r="B348" i="1" s="1"/>
  <c r="N347" i="1" a="1"/>
  <c r="N347" i="1" s="1"/>
  <c r="M347" i="1" a="1"/>
  <c r="M347" i="1" s="1"/>
  <c r="L347" i="1" a="1"/>
  <c r="L347" i="1" s="1"/>
  <c r="K347" i="1" a="1"/>
  <c r="K347" i="1" s="1"/>
  <c r="J347" i="1" a="1"/>
  <c r="J347" i="1" s="1"/>
  <c r="I347" i="1" a="1"/>
  <c r="I347" i="1" s="1"/>
  <c r="H347" i="1" a="1"/>
  <c r="H347" i="1" s="1"/>
  <c r="G347" i="1" a="1"/>
  <c r="G347" i="1" s="1"/>
  <c r="F347" i="1" a="1"/>
  <c r="F347" i="1" s="1"/>
  <c r="E347" i="1" a="1"/>
  <c r="E347" i="1" s="1"/>
  <c r="D347" i="1" a="1"/>
  <c r="D347" i="1" s="1"/>
  <c r="C347" i="1" a="1"/>
  <c r="C347" i="1" s="1"/>
  <c r="B347" i="1" a="1"/>
  <c r="B347" i="1" s="1"/>
  <c r="N346" i="1" a="1"/>
  <c r="N346" i="1" s="1"/>
  <c r="M346" i="1" a="1"/>
  <c r="M346" i="1" s="1"/>
  <c r="L346" i="1" a="1"/>
  <c r="L346" i="1" s="1"/>
  <c r="K346" i="1" a="1"/>
  <c r="K346" i="1" s="1"/>
  <c r="J346" i="1" a="1"/>
  <c r="J346" i="1" s="1"/>
  <c r="I346" i="1" a="1"/>
  <c r="I346" i="1" s="1"/>
  <c r="H346" i="1" a="1"/>
  <c r="H346" i="1" s="1"/>
  <c r="G346" i="1" a="1"/>
  <c r="G346" i="1" s="1"/>
  <c r="F346" i="1" a="1"/>
  <c r="F346" i="1" s="1"/>
  <c r="E346" i="1" a="1"/>
  <c r="E346" i="1" s="1"/>
  <c r="D346" i="1" a="1"/>
  <c r="D346" i="1" s="1"/>
  <c r="C346" i="1" a="1"/>
  <c r="C346" i="1" s="1"/>
  <c r="B346" i="1" a="1"/>
  <c r="B346" i="1" s="1"/>
  <c r="N345" i="1" a="1"/>
  <c r="N345" i="1" s="1"/>
  <c r="M345" i="1" a="1"/>
  <c r="M345" i="1" s="1"/>
  <c r="L345" i="1" a="1"/>
  <c r="L345" i="1" s="1"/>
  <c r="K345" i="1" a="1"/>
  <c r="K345" i="1" s="1"/>
  <c r="J345" i="1" a="1"/>
  <c r="J345" i="1" s="1"/>
  <c r="I345" i="1" a="1"/>
  <c r="I345" i="1" s="1"/>
  <c r="H345" i="1" a="1"/>
  <c r="H345" i="1" s="1"/>
  <c r="G345" i="1" a="1"/>
  <c r="G345" i="1" s="1"/>
  <c r="F345" i="1" a="1"/>
  <c r="F345" i="1" s="1"/>
  <c r="E345" i="1" a="1"/>
  <c r="E345" i="1" s="1"/>
  <c r="D345" i="1" a="1"/>
  <c r="D345" i="1" s="1"/>
  <c r="C345" i="1" a="1"/>
  <c r="C345" i="1" s="1"/>
  <c r="B345" i="1" a="1"/>
  <c r="B345" i="1" s="1"/>
  <c r="N344" i="1" a="1"/>
  <c r="N344" i="1" s="1"/>
  <c r="M344" i="1" a="1"/>
  <c r="M344" i="1" s="1"/>
  <c r="L344" i="1" a="1"/>
  <c r="L344" i="1" s="1"/>
  <c r="K344" i="1" a="1"/>
  <c r="K344" i="1" s="1"/>
  <c r="J344" i="1" a="1"/>
  <c r="J344" i="1" s="1"/>
  <c r="I344" i="1" a="1"/>
  <c r="I344" i="1" s="1"/>
  <c r="H344" i="1" a="1"/>
  <c r="H344" i="1" s="1"/>
  <c r="G344" i="1" a="1"/>
  <c r="G344" i="1" s="1"/>
  <c r="F344" i="1" a="1"/>
  <c r="F344" i="1" s="1"/>
  <c r="E344" i="1" a="1"/>
  <c r="E344" i="1" s="1"/>
  <c r="D344" i="1" a="1"/>
  <c r="D344" i="1" s="1"/>
  <c r="C344" i="1" a="1"/>
  <c r="C344" i="1" s="1"/>
  <c r="B344" i="1" a="1"/>
  <c r="B344" i="1" s="1"/>
  <c r="N343" i="1" a="1"/>
  <c r="N343" i="1" s="1"/>
  <c r="M343" i="1" a="1"/>
  <c r="M343" i="1" s="1"/>
  <c r="L343" i="1" a="1"/>
  <c r="L343" i="1" s="1"/>
  <c r="K343" i="1" a="1"/>
  <c r="K343" i="1" s="1"/>
  <c r="J343" i="1" a="1"/>
  <c r="J343" i="1" s="1"/>
  <c r="I343" i="1" a="1"/>
  <c r="I343" i="1" s="1"/>
  <c r="H343" i="1" a="1"/>
  <c r="H343" i="1" s="1"/>
  <c r="G343" i="1" a="1"/>
  <c r="G343" i="1" s="1"/>
  <c r="F343" i="1" a="1"/>
  <c r="F343" i="1" s="1"/>
  <c r="E343" i="1" a="1"/>
  <c r="E343" i="1" s="1"/>
  <c r="D343" i="1" a="1"/>
  <c r="D343" i="1" s="1"/>
  <c r="C343" i="1" a="1"/>
  <c r="C343" i="1" s="1"/>
  <c r="B343" i="1" a="1"/>
  <c r="B343" i="1" s="1"/>
  <c r="N342" i="1" a="1"/>
  <c r="N342" i="1" s="1"/>
  <c r="M342" i="1" a="1"/>
  <c r="M342" i="1" s="1"/>
  <c r="L342" i="1" a="1"/>
  <c r="L342" i="1" s="1"/>
  <c r="K342" i="1" a="1"/>
  <c r="K342" i="1" s="1"/>
  <c r="J342" i="1" a="1"/>
  <c r="J342" i="1" s="1"/>
  <c r="I342" i="1" a="1"/>
  <c r="I342" i="1" s="1"/>
  <c r="H342" i="1" a="1"/>
  <c r="H342" i="1" s="1"/>
  <c r="G342" i="1" a="1"/>
  <c r="G342" i="1" s="1"/>
  <c r="F342" i="1" a="1"/>
  <c r="F342" i="1" s="1"/>
  <c r="E342" i="1" a="1"/>
  <c r="E342" i="1" s="1"/>
  <c r="D342" i="1" a="1"/>
  <c r="D342" i="1" s="1"/>
  <c r="C342" i="1" a="1"/>
  <c r="C342" i="1" s="1"/>
  <c r="B342" i="1" a="1"/>
  <c r="B342" i="1" s="1"/>
  <c r="N341" i="1" a="1"/>
  <c r="N341" i="1" s="1"/>
  <c r="M341" i="1" a="1"/>
  <c r="M341" i="1" s="1"/>
  <c r="L341" i="1" a="1"/>
  <c r="L341" i="1" s="1"/>
  <c r="K341" i="1" a="1"/>
  <c r="K341" i="1" s="1"/>
  <c r="J341" i="1" a="1"/>
  <c r="J341" i="1" s="1"/>
  <c r="I341" i="1" a="1"/>
  <c r="I341" i="1" s="1"/>
  <c r="H341" i="1" a="1"/>
  <c r="H341" i="1" s="1"/>
  <c r="G341" i="1" a="1"/>
  <c r="G341" i="1" s="1"/>
  <c r="F341" i="1" a="1"/>
  <c r="F341" i="1" s="1"/>
  <c r="E341" i="1" a="1"/>
  <c r="E341" i="1" s="1"/>
  <c r="D341" i="1" a="1"/>
  <c r="D341" i="1" s="1"/>
  <c r="C341" i="1" a="1"/>
  <c r="C341" i="1" s="1"/>
  <c r="B341" i="1" a="1"/>
  <c r="B341" i="1" s="1"/>
  <c r="N340" i="1" a="1"/>
  <c r="N340" i="1" s="1"/>
  <c r="M340" i="1" a="1"/>
  <c r="M340" i="1" s="1"/>
  <c r="L340" i="1" a="1"/>
  <c r="L340" i="1" s="1"/>
  <c r="K340" i="1" a="1"/>
  <c r="K340" i="1" s="1"/>
  <c r="J340" i="1" a="1"/>
  <c r="J340" i="1" s="1"/>
  <c r="I340" i="1" a="1"/>
  <c r="I340" i="1" s="1"/>
  <c r="H340" i="1" a="1"/>
  <c r="H340" i="1" s="1"/>
  <c r="G340" i="1" a="1"/>
  <c r="G340" i="1" s="1"/>
  <c r="F340" i="1" a="1"/>
  <c r="F340" i="1" s="1"/>
  <c r="E340" i="1" a="1"/>
  <c r="E340" i="1" s="1"/>
  <c r="D340" i="1" a="1"/>
  <c r="D340" i="1" s="1"/>
  <c r="C340" i="1" a="1"/>
  <c r="C340" i="1" s="1"/>
  <c r="B340" i="1" a="1"/>
  <c r="B340" i="1" s="1"/>
  <c r="N339" i="1" a="1"/>
  <c r="N339" i="1" s="1"/>
  <c r="M339" i="1" a="1"/>
  <c r="M339" i="1" s="1"/>
  <c r="L339" i="1" a="1"/>
  <c r="L339" i="1" s="1"/>
  <c r="K339" i="1" a="1"/>
  <c r="K339" i="1" s="1"/>
  <c r="J339" i="1" a="1"/>
  <c r="J339" i="1" s="1"/>
  <c r="I339" i="1" a="1"/>
  <c r="I339" i="1" s="1"/>
  <c r="H339" i="1" a="1"/>
  <c r="H339" i="1" s="1"/>
  <c r="G339" i="1" a="1"/>
  <c r="G339" i="1" s="1"/>
  <c r="F339" i="1" a="1"/>
  <c r="F339" i="1" s="1"/>
  <c r="E339" i="1" a="1"/>
  <c r="E339" i="1" s="1"/>
  <c r="D339" i="1" a="1"/>
  <c r="D339" i="1" s="1"/>
  <c r="C339" i="1" a="1"/>
  <c r="C339" i="1" s="1"/>
  <c r="B339" i="1" a="1"/>
  <c r="B339" i="1" s="1"/>
  <c r="N338" i="1" a="1"/>
  <c r="N338" i="1" s="1"/>
  <c r="M338" i="1" a="1"/>
  <c r="M338" i="1" s="1"/>
  <c r="L338" i="1" a="1"/>
  <c r="L338" i="1" s="1"/>
  <c r="K338" i="1" a="1"/>
  <c r="K338" i="1" s="1"/>
  <c r="J338" i="1" a="1"/>
  <c r="J338" i="1" s="1"/>
  <c r="I338" i="1" a="1"/>
  <c r="I338" i="1" s="1"/>
  <c r="H338" i="1" a="1"/>
  <c r="H338" i="1" s="1"/>
  <c r="G338" i="1" a="1"/>
  <c r="G338" i="1" s="1"/>
  <c r="F338" i="1" a="1"/>
  <c r="F338" i="1" s="1"/>
  <c r="E338" i="1" a="1"/>
  <c r="E338" i="1" s="1"/>
  <c r="D338" i="1" a="1"/>
  <c r="D338" i="1" s="1"/>
  <c r="C338" i="1" a="1"/>
  <c r="C338" i="1" s="1"/>
  <c r="B338" i="1" a="1"/>
  <c r="B338" i="1" s="1"/>
  <c r="N337" i="1" a="1"/>
  <c r="N337" i="1" s="1"/>
  <c r="M337" i="1" a="1"/>
  <c r="M337" i="1" s="1"/>
  <c r="L337" i="1" a="1"/>
  <c r="L337" i="1" s="1"/>
  <c r="K337" i="1" a="1"/>
  <c r="K337" i="1" s="1"/>
  <c r="J337" i="1" a="1"/>
  <c r="J337" i="1" s="1"/>
  <c r="I337" i="1" a="1"/>
  <c r="I337" i="1" s="1"/>
  <c r="H337" i="1" a="1"/>
  <c r="H337" i="1" s="1"/>
  <c r="G337" i="1" a="1"/>
  <c r="G337" i="1" s="1"/>
  <c r="F337" i="1" a="1"/>
  <c r="F337" i="1" s="1"/>
  <c r="E337" i="1" a="1"/>
  <c r="E337" i="1" s="1"/>
  <c r="D337" i="1" a="1"/>
  <c r="D337" i="1" s="1"/>
  <c r="C337" i="1" a="1"/>
  <c r="C337" i="1" s="1"/>
  <c r="B337" i="1" a="1"/>
  <c r="B337" i="1" s="1"/>
  <c r="N336" i="1" a="1"/>
  <c r="N336" i="1" s="1"/>
  <c r="M336" i="1" a="1"/>
  <c r="M336" i="1" s="1"/>
  <c r="L336" i="1" a="1"/>
  <c r="L336" i="1" s="1"/>
  <c r="K336" i="1" a="1"/>
  <c r="K336" i="1" s="1"/>
  <c r="J336" i="1" a="1"/>
  <c r="J336" i="1" s="1"/>
  <c r="I336" i="1" a="1"/>
  <c r="I336" i="1" s="1"/>
  <c r="H336" i="1" a="1"/>
  <c r="H336" i="1" s="1"/>
  <c r="G336" i="1" a="1"/>
  <c r="G336" i="1" s="1"/>
  <c r="F336" i="1" a="1"/>
  <c r="F336" i="1" s="1"/>
  <c r="E336" i="1" a="1"/>
  <c r="E336" i="1" s="1"/>
  <c r="D336" i="1" a="1"/>
  <c r="D336" i="1" s="1"/>
  <c r="C336" i="1" a="1"/>
  <c r="C336" i="1" s="1"/>
  <c r="B336" i="1" a="1"/>
  <c r="B336" i="1" s="1"/>
  <c r="N335" i="1" a="1"/>
  <c r="N335" i="1" s="1"/>
  <c r="M335" i="1" a="1"/>
  <c r="M335" i="1" s="1"/>
  <c r="L335" i="1" a="1"/>
  <c r="L335" i="1" s="1"/>
  <c r="K335" i="1" a="1"/>
  <c r="K335" i="1" s="1"/>
  <c r="J335" i="1" a="1"/>
  <c r="J335" i="1" s="1"/>
  <c r="I335" i="1" a="1"/>
  <c r="I335" i="1" s="1"/>
  <c r="H335" i="1" a="1"/>
  <c r="H335" i="1" s="1"/>
  <c r="G335" i="1" a="1"/>
  <c r="G335" i="1" s="1"/>
  <c r="F335" i="1" a="1"/>
  <c r="F335" i="1" s="1"/>
  <c r="E335" i="1" a="1"/>
  <c r="E335" i="1" s="1"/>
  <c r="D335" i="1" a="1"/>
  <c r="D335" i="1" s="1"/>
  <c r="C335" i="1" a="1"/>
  <c r="C335" i="1" s="1"/>
  <c r="B335" i="1" a="1"/>
  <c r="B335" i="1" s="1"/>
  <c r="N334" i="1" a="1"/>
  <c r="N334" i="1" s="1"/>
  <c r="M334" i="1" a="1"/>
  <c r="M334" i="1" s="1"/>
  <c r="L334" i="1" a="1"/>
  <c r="L334" i="1" s="1"/>
  <c r="K334" i="1" a="1"/>
  <c r="K334" i="1" s="1"/>
  <c r="J334" i="1" a="1"/>
  <c r="J334" i="1" s="1"/>
  <c r="I334" i="1" a="1"/>
  <c r="I334" i="1" s="1"/>
  <c r="H334" i="1" a="1"/>
  <c r="H334" i="1" s="1"/>
  <c r="G334" i="1" a="1"/>
  <c r="G334" i="1" s="1"/>
  <c r="F334" i="1" a="1"/>
  <c r="F334" i="1" s="1"/>
  <c r="E334" i="1" a="1"/>
  <c r="E334" i="1" s="1"/>
  <c r="D334" i="1" a="1"/>
  <c r="D334" i="1" s="1"/>
  <c r="C334" i="1" a="1"/>
  <c r="C334" i="1" s="1"/>
  <c r="B334" i="1" a="1"/>
  <c r="B334" i="1" s="1"/>
  <c r="N333" i="1" a="1"/>
  <c r="N333" i="1" s="1"/>
  <c r="M333" i="1" a="1"/>
  <c r="M333" i="1" s="1"/>
  <c r="L333" i="1" a="1"/>
  <c r="L333" i="1" s="1"/>
  <c r="K333" i="1" a="1"/>
  <c r="K333" i="1" s="1"/>
  <c r="J333" i="1" a="1"/>
  <c r="J333" i="1" s="1"/>
  <c r="I333" i="1" a="1"/>
  <c r="I333" i="1" s="1"/>
  <c r="H333" i="1" a="1"/>
  <c r="H333" i="1" s="1"/>
  <c r="G333" i="1" a="1"/>
  <c r="G333" i="1" s="1"/>
  <c r="F333" i="1" a="1"/>
  <c r="F333" i="1" s="1"/>
  <c r="E333" i="1" a="1"/>
  <c r="E333" i="1" s="1"/>
  <c r="D333" i="1" a="1"/>
  <c r="D333" i="1" s="1"/>
  <c r="C333" i="1" a="1"/>
  <c r="C333" i="1" s="1"/>
  <c r="B333" i="1" a="1"/>
  <c r="B333" i="1" s="1"/>
  <c r="N332" i="1" a="1"/>
  <c r="N332" i="1" s="1"/>
  <c r="M332" i="1" a="1"/>
  <c r="M332" i="1" s="1"/>
  <c r="L332" i="1" a="1"/>
  <c r="L332" i="1" s="1"/>
  <c r="K332" i="1" a="1"/>
  <c r="K332" i="1" s="1"/>
  <c r="J332" i="1" a="1"/>
  <c r="J332" i="1" s="1"/>
  <c r="I332" i="1" a="1"/>
  <c r="I332" i="1" s="1"/>
  <c r="H332" i="1" a="1"/>
  <c r="H332" i="1" s="1"/>
  <c r="G332" i="1" a="1"/>
  <c r="G332" i="1" s="1"/>
  <c r="F332" i="1" a="1"/>
  <c r="F332" i="1" s="1"/>
  <c r="E332" i="1" a="1"/>
  <c r="E332" i="1" s="1"/>
  <c r="D332" i="1" a="1"/>
  <c r="D332" i="1" s="1"/>
  <c r="C332" i="1" a="1"/>
  <c r="C332" i="1" s="1"/>
  <c r="B332" i="1" a="1"/>
  <c r="B332" i="1" s="1"/>
  <c r="N331" i="1" a="1"/>
  <c r="N331" i="1" s="1"/>
  <c r="M331" i="1" a="1"/>
  <c r="M331" i="1" s="1"/>
  <c r="L331" i="1" a="1"/>
  <c r="L331" i="1" s="1"/>
  <c r="K331" i="1" a="1"/>
  <c r="K331" i="1" s="1"/>
  <c r="J331" i="1" a="1"/>
  <c r="J331" i="1" s="1"/>
  <c r="I331" i="1" a="1"/>
  <c r="I331" i="1" s="1"/>
  <c r="H331" i="1" a="1"/>
  <c r="H331" i="1" s="1"/>
  <c r="G331" i="1" a="1"/>
  <c r="G331" i="1" s="1"/>
  <c r="F331" i="1" a="1"/>
  <c r="F331" i="1" s="1"/>
  <c r="E331" i="1" a="1"/>
  <c r="E331" i="1" s="1"/>
  <c r="D331" i="1" a="1"/>
  <c r="D331" i="1" s="1"/>
  <c r="C331" i="1" a="1"/>
  <c r="C331" i="1" s="1"/>
  <c r="B331" i="1" a="1"/>
  <c r="B331" i="1" s="1"/>
  <c r="N330" i="1" a="1"/>
  <c r="N330" i="1" s="1"/>
  <c r="M330" i="1" a="1"/>
  <c r="M330" i="1" s="1"/>
  <c r="L330" i="1" a="1"/>
  <c r="L330" i="1" s="1"/>
  <c r="K330" i="1" a="1"/>
  <c r="K330" i="1" s="1"/>
  <c r="J330" i="1" a="1"/>
  <c r="J330" i="1" s="1"/>
  <c r="I330" i="1" a="1"/>
  <c r="I330" i="1" s="1"/>
  <c r="H330" i="1" a="1"/>
  <c r="H330" i="1" s="1"/>
  <c r="G330" i="1" a="1"/>
  <c r="G330" i="1" s="1"/>
  <c r="F330" i="1" a="1"/>
  <c r="F330" i="1" s="1"/>
  <c r="E330" i="1" a="1"/>
  <c r="E330" i="1" s="1"/>
  <c r="D330" i="1" a="1"/>
  <c r="D330" i="1" s="1"/>
  <c r="C330" i="1" a="1"/>
  <c r="C330" i="1" s="1"/>
  <c r="B330" i="1" a="1"/>
  <c r="B330" i="1" s="1"/>
  <c r="N329" i="1" a="1"/>
  <c r="N329" i="1" s="1"/>
  <c r="M329" i="1" a="1"/>
  <c r="M329" i="1" s="1"/>
  <c r="L329" i="1" a="1"/>
  <c r="L329" i="1" s="1"/>
  <c r="K329" i="1" a="1"/>
  <c r="K329" i="1" s="1"/>
  <c r="J329" i="1" a="1"/>
  <c r="J329" i="1" s="1"/>
  <c r="I329" i="1" a="1"/>
  <c r="I329" i="1" s="1"/>
  <c r="H329" i="1" a="1"/>
  <c r="H329" i="1" s="1"/>
  <c r="G329" i="1" a="1"/>
  <c r="G329" i="1" s="1"/>
  <c r="F329" i="1" a="1"/>
  <c r="F329" i="1" s="1"/>
  <c r="E329" i="1" a="1"/>
  <c r="E329" i="1" s="1"/>
  <c r="D329" i="1" a="1"/>
  <c r="D329" i="1" s="1"/>
  <c r="C329" i="1" a="1"/>
  <c r="C329" i="1" s="1"/>
  <c r="B329" i="1" a="1"/>
  <c r="B329" i="1" s="1"/>
  <c r="N328" i="1" a="1"/>
  <c r="N328" i="1" s="1"/>
  <c r="M328" i="1" a="1"/>
  <c r="M328" i="1" s="1"/>
  <c r="L328" i="1" a="1"/>
  <c r="L328" i="1" s="1"/>
  <c r="K328" i="1" a="1"/>
  <c r="K328" i="1" s="1"/>
  <c r="J328" i="1" a="1"/>
  <c r="J328" i="1" s="1"/>
  <c r="I328" i="1" a="1"/>
  <c r="I328" i="1" s="1"/>
  <c r="H328" i="1" a="1"/>
  <c r="H328" i="1" s="1"/>
  <c r="G328" i="1" a="1"/>
  <c r="G328" i="1" s="1"/>
  <c r="F328" i="1" a="1"/>
  <c r="F328" i="1" s="1"/>
  <c r="E328" i="1" a="1"/>
  <c r="E328" i="1" s="1"/>
  <c r="D328" i="1" a="1"/>
  <c r="D328" i="1" s="1"/>
  <c r="C328" i="1" a="1"/>
  <c r="C328" i="1" s="1"/>
  <c r="B328" i="1" a="1"/>
  <c r="B328" i="1" s="1"/>
  <c r="N327" i="1" a="1"/>
  <c r="N327" i="1" s="1"/>
  <c r="M327" i="1" a="1"/>
  <c r="M327" i="1" s="1"/>
  <c r="L327" i="1" a="1"/>
  <c r="L327" i="1" s="1"/>
  <c r="K327" i="1" a="1"/>
  <c r="K327" i="1" s="1"/>
  <c r="J327" i="1" a="1"/>
  <c r="J327" i="1" s="1"/>
  <c r="I327" i="1" a="1"/>
  <c r="I327" i="1" s="1"/>
  <c r="H327" i="1" a="1"/>
  <c r="H327" i="1" s="1"/>
  <c r="G327" i="1" a="1"/>
  <c r="G327" i="1" s="1"/>
  <c r="F327" i="1" a="1"/>
  <c r="F327" i="1" s="1"/>
  <c r="E327" i="1" a="1"/>
  <c r="E327" i="1" s="1"/>
  <c r="D327" i="1" a="1"/>
  <c r="D327" i="1" s="1"/>
  <c r="C327" i="1" a="1"/>
  <c r="C327" i="1" s="1"/>
  <c r="B327" i="1" a="1"/>
  <c r="B327" i="1" s="1"/>
  <c r="N326" i="1" a="1"/>
  <c r="N326" i="1" s="1"/>
  <c r="M326" i="1" a="1"/>
  <c r="M326" i="1" s="1"/>
  <c r="L326" i="1" a="1"/>
  <c r="L326" i="1" s="1"/>
  <c r="K326" i="1" a="1"/>
  <c r="K326" i="1" s="1"/>
  <c r="J326" i="1" a="1"/>
  <c r="J326" i="1" s="1"/>
  <c r="I326" i="1" a="1"/>
  <c r="I326" i="1" s="1"/>
  <c r="H326" i="1" a="1"/>
  <c r="H326" i="1" s="1"/>
  <c r="G326" i="1" a="1"/>
  <c r="G326" i="1" s="1"/>
  <c r="F326" i="1" a="1"/>
  <c r="F326" i="1" s="1"/>
  <c r="E326" i="1" a="1"/>
  <c r="E326" i="1" s="1"/>
  <c r="D326" i="1" a="1"/>
  <c r="D326" i="1" s="1"/>
  <c r="C326" i="1" a="1"/>
  <c r="C326" i="1" s="1"/>
  <c r="B326" i="1" a="1"/>
  <c r="B326" i="1" s="1"/>
  <c r="N325" i="1" a="1"/>
  <c r="N325" i="1" s="1"/>
  <c r="M325" i="1" a="1"/>
  <c r="M325" i="1" s="1"/>
  <c r="L325" i="1" a="1"/>
  <c r="L325" i="1" s="1"/>
  <c r="K325" i="1" a="1"/>
  <c r="K325" i="1" s="1"/>
  <c r="J325" i="1" a="1"/>
  <c r="J325" i="1" s="1"/>
  <c r="I325" i="1" a="1"/>
  <c r="I325" i="1" s="1"/>
  <c r="H325" i="1" a="1"/>
  <c r="H325" i="1" s="1"/>
  <c r="G325" i="1" a="1"/>
  <c r="G325" i="1" s="1"/>
  <c r="F325" i="1" a="1"/>
  <c r="F325" i="1" s="1"/>
  <c r="E325" i="1" a="1"/>
  <c r="E325" i="1" s="1"/>
  <c r="D325" i="1" a="1"/>
  <c r="D325" i="1" s="1"/>
  <c r="C325" i="1" a="1"/>
  <c r="C325" i="1" s="1"/>
  <c r="B325" i="1" a="1"/>
  <c r="B325" i="1" s="1"/>
  <c r="N324" i="1" a="1"/>
  <c r="N324" i="1" s="1"/>
  <c r="M324" i="1" a="1"/>
  <c r="M324" i="1" s="1"/>
  <c r="L324" i="1" a="1"/>
  <c r="L324" i="1" s="1"/>
  <c r="K324" i="1" a="1"/>
  <c r="K324" i="1" s="1"/>
  <c r="J324" i="1" a="1"/>
  <c r="J324" i="1" s="1"/>
  <c r="I324" i="1" a="1"/>
  <c r="I324" i="1" s="1"/>
  <c r="H324" i="1" a="1"/>
  <c r="H324" i="1" s="1"/>
  <c r="G324" i="1" a="1"/>
  <c r="G324" i="1" s="1"/>
  <c r="F324" i="1" a="1"/>
  <c r="F324" i="1" s="1"/>
  <c r="E324" i="1" a="1"/>
  <c r="E324" i="1" s="1"/>
  <c r="D324" i="1" a="1"/>
  <c r="D324" i="1" s="1"/>
  <c r="C324" i="1" a="1"/>
  <c r="C324" i="1" s="1"/>
  <c r="B324" i="1" a="1"/>
  <c r="B324" i="1" s="1"/>
  <c r="N323" i="1" a="1"/>
  <c r="N323" i="1" s="1"/>
  <c r="M323" i="1" a="1"/>
  <c r="M323" i="1" s="1"/>
  <c r="L323" i="1" a="1"/>
  <c r="L323" i="1" s="1"/>
  <c r="K323" i="1" a="1"/>
  <c r="K323" i="1" s="1"/>
  <c r="J323" i="1" a="1"/>
  <c r="J323" i="1" s="1"/>
  <c r="I323" i="1" a="1"/>
  <c r="I323" i="1" s="1"/>
  <c r="H323" i="1" a="1"/>
  <c r="H323" i="1" s="1"/>
  <c r="G323" i="1" a="1"/>
  <c r="G323" i="1" s="1"/>
  <c r="F323" i="1" a="1"/>
  <c r="F323" i="1" s="1"/>
  <c r="E323" i="1" a="1"/>
  <c r="E323" i="1" s="1"/>
  <c r="D323" i="1" a="1"/>
  <c r="D323" i="1" s="1"/>
  <c r="C323" i="1" a="1"/>
  <c r="C323" i="1" s="1"/>
  <c r="B323" i="1" a="1"/>
  <c r="B323" i="1" s="1"/>
  <c r="N322" i="1" a="1"/>
  <c r="N322" i="1" s="1"/>
  <c r="M322" i="1" a="1"/>
  <c r="M322" i="1" s="1"/>
  <c r="L322" i="1" a="1"/>
  <c r="L322" i="1" s="1"/>
  <c r="K322" i="1" a="1"/>
  <c r="K322" i="1" s="1"/>
  <c r="J322" i="1" a="1"/>
  <c r="J322" i="1" s="1"/>
  <c r="I322" i="1" a="1"/>
  <c r="I322" i="1" s="1"/>
  <c r="H322" i="1" a="1"/>
  <c r="H322" i="1" s="1"/>
  <c r="G322" i="1" a="1"/>
  <c r="G322" i="1" s="1"/>
  <c r="F322" i="1" a="1"/>
  <c r="F322" i="1" s="1"/>
  <c r="E322" i="1" a="1"/>
  <c r="E322" i="1" s="1"/>
  <c r="D322" i="1" a="1"/>
  <c r="D322" i="1" s="1"/>
  <c r="C322" i="1" a="1"/>
  <c r="C322" i="1" s="1"/>
  <c r="B322" i="1" a="1"/>
  <c r="B322" i="1" s="1"/>
  <c r="N321" i="1" a="1"/>
  <c r="N321" i="1" s="1"/>
  <c r="M321" i="1" a="1"/>
  <c r="M321" i="1" s="1"/>
  <c r="L321" i="1" a="1"/>
  <c r="L321" i="1" s="1"/>
  <c r="K321" i="1" a="1"/>
  <c r="K321" i="1" s="1"/>
  <c r="J321" i="1" a="1"/>
  <c r="J321" i="1" s="1"/>
  <c r="I321" i="1" a="1"/>
  <c r="I321" i="1" s="1"/>
  <c r="H321" i="1" a="1"/>
  <c r="H321" i="1" s="1"/>
  <c r="G321" i="1" a="1"/>
  <c r="G321" i="1" s="1"/>
  <c r="F321" i="1" a="1"/>
  <c r="F321" i="1" s="1"/>
  <c r="E321" i="1" a="1"/>
  <c r="E321" i="1" s="1"/>
  <c r="D321" i="1" a="1"/>
  <c r="D321" i="1" s="1"/>
  <c r="C321" i="1" a="1"/>
  <c r="C321" i="1" s="1"/>
  <c r="B321" i="1" a="1"/>
  <c r="B321" i="1" s="1"/>
  <c r="N320" i="1" a="1"/>
  <c r="N320" i="1" s="1"/>
  <c r="M320" i="1" a="1"/>
  <c r="M320" i="1" s="1"/>
  <c r="L320" i="1" a="1"/>
  <c r="L320" i="1" s="1"/>
  <c r="K320" i="1" a="1"/>
  <c r="K320" i="1" s="1"/>
  <c r="J320" i="1" a="1"/>
  <c r="J320" i="1" s="1"/>
  <c r="I320" i="1" a="1"/>
  <c r="I320" i="1" s="1"/>
  <c r="H320" i="1" a="1"/>
  <c r="H320" i="1" s="1"/>
  <c r="G320" i="1" a="1"/>
  <c r="G320" i="1" s="1"/>
  <c r="F320" i="1" a="1"/>
  <c r="F320" i="1" s="1"/>
  <c r="E320" i="1" a="1"/>
  <c r="E320" i="1" s="1"/>
  <c r="D320" i="1" a="1"/>
  <c r="D320" i="1" s="1"/>
  <c r="C320" i="1" a="1"/>
  <c r="C320" i="1" s="1"/>
  <c r="B320" i="1" a="1"/>
  <c r="B320" i="1" s="1"/>
  <c r="N319" i="1" a="1"/>
  <c r="N319" i="1" s="1"/>
  <c r="M319" i="1" a="1"/>
  <c r="M319" i="1" s="1"/>
  <c r="L319" i="1" a="1"/>
  <c r="L319" i="1" s="1"/>
  <c r="K319" i="1" a="1"/>
  <c r="K319" i="1" s="1"/>
  <c r="J319" i="1" a="1"/>
  <c r="J319" i="1" s="1"/>
  <c r="I319" i="1" a="1"/>
  <c r="I319" i="1" s="1"/>
  <c r="H319" i="1" a="1"/>
  <c r="H319" i="1" s="1"/>
  <c r="G319" i="1" a="1"/>
  <c r="G319" i="1" s="1"/>
  <c r="F319" i="1" a="1"/>
  <c r="F319" i="1" s="1"/>
  <c r="E319" i="1" a="1"/>
  <c r="E319" i="1" s="1"/>
  <c r="D319" i="1" a="1"/>
  <c r="D319" i="1" s="1"/>
  <c r="C319" i="1" a="1"/>
  <c r="C319" i="1" s="1"/>
  <c r="B319" i="1" a="1"/>
  <c r="B319" i="1" s="1"/>
  <c r="N318" i="1" a="1"/>
  <c r="N318" i="1" s="1"/>
  <c r="M318" i="1" a="1"/>
  <c r="M318" i="1" s="1"/>
  <c r="L318" i="1" a="1"/>
  <c r="L318" i="1" s="1"/>
  <c r="K318" i="1" a="1"/>
  <c r="K318" i="1" s="1"/>
  <c r="J318" i="1" a="1"/>
  <c r="J318" i="1" s="1"/>
  <c r="I318" i="1" a="1"/>
  <c r="I318" i="1" s="1"/>
  <c r="H318" i="1" a="1"/>
  <c r="H318" i="1" s="1"/>
  <c r="G318" i="1" a="1"/>
  <c r="G318" i="1" s="1"/>
  <c r="F318" i="1" a="1"/>
  <c r="F318" i="1" s="1"/>
  <c r="E318" i="1" a="1"/>
  <c r="E318" i="1" s="1"/>
  <c r="D318" i="1" a="1"/>
  <c r="D318" i="1" s="1"/>
  <c r="C318" i="1" a="1"/>
  <c r="C318" i="1" s="1"/>
  <c r="B318" i="1" a="1"/>
  <c r="B318" i="1" s="1"/>
  <c r="N317" i="1" a="1"/>
  <c r="N317" i="1" s="1"/>
  <c r="M317" i="1" a="1"/>
  <c r="M317" i="1" s="1"/>
  <c r="L317" i="1" a="1"/>
  <c r="L317" i="1" s="1"/>
  <c r="K317" i="1" a="1"/>
  <c r="K317" i="1" s="1"/>
  <c r="J317" i="1" a="1"/>
  <c r="J317" i="1" s="1"/>
  <c r="I317" i="1" a="1"/>
  <c r="I317" i="1" s="1"/>
  <c r="H317" i="1" a="1"/>
  <c r="H317" i="1" s="1"/>
  <c r="G317" i="1" a="1"/>
  <c r="G317" i="1" s="1"/>
  <c r="F317" i="1" a="1"/>
  <c r="F317" i="1" s="1"/>
  <c r="E317" i="1" a="1"/>
  <c r="E317" i="1" s="1"/>
  <c r="D317" i="1" a="1"/>
  <c r="D317" i="1" s="1"/>
  <c r="C317" i="1" a="1"/>
  <c r="C317" i="1" s="1"/>
  <c r="B317" i="1" a="1"/>
  <c r="B317" i="1" s="1"/>
  <c r="N316" i="1" a="1"/>
  <c r="N316" i="1" s="1"/>
  <c r="M316" i="1" a="1"/>
  <c r="M316" i="1" s="1"/>
  <c r="L316" i="1" a="1"/>
  <c r="L316" i="1" s="1"/>
  <c r="K316" i="1" a="1"/>
  <c r="K316" i="1" s="1"/>
  <c r="J316" i="1" a="1"/>
  <c r="J316" i="1" s="1"/>
  <c r="I316" i="1" a="1"/>
  <c r="I316" i="1" s="1"/>
  <c r="H316" i="1" a="1"/>
  <c r="H316" i="1" s="1"/>
  <c r="G316" i="1" a="1"/>
  <c r="G316" i="1" s="1"/>
  <c r="F316" i="1" a="1"/>
  <c r="F316" i="1" s="1"/>
  <c r="E316" i="1" a="1"/>
  <c r="E316" i="1" s="1"/>
  <c r="D316" i="1" a="1"/>
  <c r="D316" i="1" s="1"/>
  <c r="C316" i="1" a="1"/>
  <c r="C316" i="1" s="1"/>
  <c r="B316" i="1" a="1"/>
  <c r="B316" i="1" s="1"/>
  <c r="N315" i="1" a="1"/>
  <c r="N315" i="1" s="1"/>
  <c r="M315" i="1" a="1"/>
  <c r="M315" i="1" s="1"/>
  <c r="L315" i="1" a="1"/>
  <c r="L315" i="1" s="1"/>
  <c r="K315" i="1" a="1"/>
  <c r="K315" i="1" s="1"/>
  <c r="J315" i="1" a="1"/>
  <c r="J315" i="1" s="1"/>
  <c r="I315" i="1" a="1"/>
  <c r="I315" i="1" s="1"/>
  <c r="H315" i="1" a="1"/>
  <c r="H315" i="1" s="1"/>
  <c r="G315" i="1" a="1"/>
  <c r="G315" i="1" s="1"/>
  <c r="F315" i="1" a="1"/>
  <c r="F315" i="1" s="1"/>
  <c r="E315" i="1" a="1"/>
  <c r="E315" i="1" s="1"/>
  <c r="D315" i="1" a="1"/>
  <c r="D315" i="1" s="1"/>
  <c r="C315" i="1" a="1"/>
  <c r="C315" i="1" s="1"/>
  <c r="B315" i="1" a="1"/>
  <c r="B315" i="1" s="1"/>
  <c r="N314" i="1" a="1"/>
  <c r="N314" i="1" s="1"/>
  <c r="M314" i="1" a="1"/>
  <c r="M314" i="1" s="1"/>
  <c r="L314" i="1" a="1"/>
  <c r="L314" i="1" s="1"/>
  <c r="K314" i="1" a="1"/>
  <c r="K314" i="1" s="1"/>
  <c r="J314" i="1" a="1"/>
  <c r="J314" i="1" s="1"/>
  <c r="I314" i="1" a="1"/>
  <c r="I314" i="1" s="1"/>
  <c r="H314" i="1" a="1"/>
  <c r="H314" i="1" s="1"/>
  <c r="G314" i="1" a="1"/>
  <c r="G314" i="1" s="1"/>
  <c r="F314" i="1" a="1"/>
  <c r="F314" i="1" s="1"/>
  <c r="E314" i="1" a="1"/>
  <c r="E314" i="1" s="1"/>
  <c r="D314" i="1" a="1"/>
  <c r="D314" i="1" s="1"/>
  <c r="C314" i="1" a="1"/>
  <c r="C314" i="1" s="1"/>
  <c r="B314" i="1" a="1"/>
  <c r="B314" i="1" s="1"/>
  <c r="N313" i="1" a="1"/>
  <c r="N313" i="1" s="1"/>
  <c r="M313" i="1" a="1"/>
  <c r="M313" i="1" s="1"/>
  <c r="L313" i="1" a="1"/>
  <c r="L313" i="1" s="1"/>
  <c r="K313" i="1" a="1"/>
  <c r="K313" i="1" s="1"/>
  <c r="J313" i="1" a="1"/>
  <c r="J313" i="1" s="1"/>
  <c r="I313" i="1" a="1"/>
  <c r="I313" i="1" s="1"/>
  <c r="H313" i="1" a="1"/>
  <c r="H313" i="1" s="1"/>
  <c r="G313" i="1" a="1"/>
  <c r="G313" i="1" s="1"/>
  <c r="F313" i="1" a="1"/>
  <c r="F313" i="1" s="1"/>
  <c r="E313" i="1" a="1"/>
  <c r="E313" i="1" s="1"/>
  <c r="D313" i="1" a="1"/>
  <c r="D313" i="1" s="1"/>
  <c r="C313" i="1" a="1"/>
  <c r="C313" i="1" s="1"/>
  <c r="B313" i="1" a="1"/>
  <c r="B313" i="1" s="1"/>
  <c r="N312" i="1" a="1"/>
  <c r="N312" i="1" s="1"/>
  <c r="M312" i="1" a="1"/>
  <c r="M312" i="1" s="1"/>
  <c r="L312" i="1" a="1"/>
  <c r="L312" i="1" s="1"/>
  <c r="K312" i="1" a="1"/>
  <c r="K312" i="1" s="1"/>
  <c r="J312" i="1" a="1"/>
  <c r="J312" i="1" s="1"/>
  <c r="I312" i="1" a="1"/>
  <c r="I312" i="1" s="1"/>
  <c r="H312" i="1" a="1"/>
  <c r="H312" i="1" s="1"/>
  <c r="G312" i="1" a="1"/>
  <c r="G312" i="1" s="1"/>
  <c r="F312" i="1" a="1"/>
  <c r="F312" i="1" s="1"/>
  <c r="E312" i="1" a="1"/>
  <c r="E312" i="1" s="1"/>
  <c r="D312" i="1" a="1"/>
  <c r="D312" i="1" s="1"/>
  <c r="C312" i="1" a="1"/>
  <c r="C312" i="1" s="1"/>
  <c r="B312" i="1" a="1"/>
  <c r="B312" i="1" s="1"/>
  <c r="N311" i="1" a="1"/>
  <c r="N311" i="1" s="1"/>
  <c r="M311" i="1" a="1"/>
  <c r="M311" i="1" s="1"/>
  <c r="L311" i="1" a="1"/>
  <c r="L311" i="1" s="1"/>
  <c r="K311" i="1" a="1"/>
  <c r="K311" i="1" s="1"/>
  <c r="J311" i="1" a="1"/>
  <c r="J311" i="1" s="1"/>
  <c r="I311" i="1" a="1"/>
  <c r="I311" i="1" s="1"/>
  <c r="H311" i="1" a="1"/>
  <c r="H311" i="1" s="1"/>
  <c r="G311" i="1" a="1"/>
  <c r="G311" i="1" s="1"/>
  <c r="F311" i="1" a="1"/>
  <c r="F311" i="1" s="1"/>
  <c r="E311" i="1" a="1"/>
  <c r="E311" i="1" s="1"/>
  <c r="D311" i="1" a="1"/>
  <c r="D311" i="1" s="1"/>
  <c r="C311" i="1" a="1"/>
  <c r="C311" i="1" s="1"/>
  <c r="B311" i="1" a="1"/>
  <c r="B311" i="1" s="1"/>
  <c r="N310" i="1" a="1"/>
  <c r="N310" i="1" s="1"/>
  <c r="M310" i="1" a="1"/>
  <c r="M310" i="1" s="1"/>
  <c r="L310" i="1" a="1"/>
  <c r="L310" i="1" s="1"/>
  <c r="K310" i="1" a="1"/>
  <c r="K310" i="1" s="1"/>
  <c r="J310" i="1" a="1"/>
  <c r="J310" i="1" s="1"/>
  <c r="I310" i="1" a="1"/>
  <c r="I310" i="1" s="1"/>
  <c r="H310" i="1" a="1"/>
  <c r="H310" i="1" s="1"/>
  <c r="G310" i="1" a="1"/>
  <c r="G310" i="1" s="1"/>
  <c r="F310" i="1" a="1"/>
  <c r="F310" i="1" s="1"/>
  <c r="E310" i="1" a="1"/>
  <c r="E310" i="1" s="1"/>
  <c r="D310" i="1" a="1"/>
  <c r="D310" i="1" s="1"/>
  <c r="C310" i="1" a="1"/>
  <c r="C310" i="1" s="1"/>
  <c r="B310" i="1" a="1"/>
  <c r="B310" i="1" s="1"/>
  <c r="N309" i="1" a="1"/>
  <c r="N309" i="1" s="1"/>
  <c r="M309" i="1" a="1"/>
  <c r="M309" i="1" s="1"/>
  <c r="L309" i="1" a="1"/>
  <c r="L309" i="1" s="1"/>
  <c r="K309" i="1" a="1"/>
  <c r="K309" i="1" s="1"/>
  <c r="J309" i="1" a="1"/>
  <c r="J309" i="1" s="1"/>
  <c r="I309" i="1" a="1"/>
  <c r="I309" i="1" s="1"/>
  <c r="H309" i="1" a="1"/>
  <c r="H309" i="1" s="1"/>
  <c r="G309" i="1" a="1"/>
  <c r="G309" i="1" s="1"/>
  <c r="F309" i="1" a="1"/>
  <c r="F309" i="1" s="1"/>
  <c r="E309" i="1" a="1"/>
  <c r="E309" i="1" s="1"/>
  <c r="D309" i="1" a="1"/>
  <c r="D309" i="1" s="1"/>
  <c r="C309" i="1" a="1"/>
  <c r="C309" i="1" s="1"/>
  <c r="B309" i="1" a="1"/>
  <c r="B309" i="1" s="1"/>
  <c r="N308" i="1" a="1"/>
  <c r="N308" i="1" s="1"/>
  <c r="M308" i="1" a="1"/>
  <c r="M308" i="1" s="1"/>
  <c r="L308" i="1" a="1"/>
  <c r="L308" i="1" s="1"/>
  <c r="K308" i="1" a="1"/>
  <c r="K308" i="1" s="1"/>
  <c r="J308" i="1" a="1"/>
  <c r="J308" i="1" s="1"/>
  <c r="I308" i="1" a="1"/>
  <c r="I308" i="1" s="1"/>
  <c r="H308" i="1" a="1"/>
  <c r="H308" i="1" s="1"/>
  <c r="G308" i="1" a="1"/>
  <c r="G308" i="1" s="1"/>
  <c r="F308" i="1" a="1"/>
  <c r="F308" i="1" s="1"/>
  <c r="E308" i="1" a="1"/>
  <c r="E308" i="1" s="1"/>
  <c r="D308" i="1" a="1"/>
  <c r="D308" i="1" s="1"/>
  <c r="C308" i="1" a="1"/>
  <c r="C308" i="1" s="1"/>
  <c r="B308" i="1" a="1"/>
  <c r="B308" i="1" s="1"/>
  <c r="N307" i="1" a="1"/>
  <c r="N307" i="1" s="1"/>
  <c r="M307" i="1" a="1"/>
  <c r="M307" i="1" s="1"/>
  <c r="L307" i="1" a="1"/>
  <c r="L307" i="1" s="1"/>
  <c r="K307" i="1" a="1"/>
  <c r="K307" i="1" s="1"/>
  <c r="J307" i="1" a="1"/>
  <c r="J307" i="1" s="1"/>
  <c r="I307" i="1" a="1"/>
  <c r="I307" i="1" s="1"/>
  <c r="H307" i="1" a="1"/>
  <c r="H307" i="1" s="1"/>
  <c r="G307" i="1" a="1"/>
  <c r="G307" i="1" s="1"/>
  <c r="F307" i="1" a="1"/>
  <c r="F307" i="1" s="1"/>
  <c r="E307" i="1" a="1"/>
  <c r="E307" i="1" s="1"/>
  <c r="D307" i="1" a="1"/>
  <c r="D307" i="1" s="1"/>
  <c r="C307" i="1" a="1"/>
  <c r="C307" i="1" s="1"/>
  <c r="B307" i="1" a="1"/>
  <c r="B307" i="1" s="1"/>
  <c r="N306" i="1" a="1"/>
  <c r="N306" i="1" s="1"/>
  <c r="M306" i="1" a="1"/>
  <c r="M306" i="1" s="1"/>
  <c r="L306" i="1" a="1"/>
  <c r="L306" i="1" s="1"/>
  <c r="K306" i="1" a="1"/>
  <c r="K306" i="1" s="1"/>
  <c r="J306" i="1" a="1"/>
  <c r="J306" i="1" s="1"/>
  <c r="I306" i="1" a="1"/>
  <c r="I306" i="1" s="1"/>
  <c r="H306" i="1" a="1"/>
  <c r="H306" i="1" s="1"/>
  <c r="G306" i="1" a="1"/>
  <c r="G306" i="1" s="1"/>
  <c r="F306" i="1" a="1"/>
  <c r="F306" i="1" s="1"/>
  <c r="E306" i="1" a="1"/>
  <c r="E306" i="1" s="1"/>
  <c r="D306" i="1" a="1"/>
  <c r="D306" i="1" s="1"/>
  <c r="C306" i="1" a="1"/>
  <c r="C306" i="1" s="1"/>
  <c r="B306" i="1" a="1"/>
  <c r="B306" i="1" s="1"/>
  <c r="N305" i="1" a="1"/>
  <c r="N305" i="1" s="1"/>
  <c r="M305" i="1" a="1"/>
  <c r="M305" i="1" s="1"/>
  <c r="L305" i="1" a="1"/>
  <c r="L305" i="1" s="1"/>
  <c r="K305" i="1" a="1"/>
  <c r="K305" i="1" s="1"/>
  <c r="J305" i="1" a="1"/>
  <c r="J305" i="1" s="1"/>
  <c r="I305" i="1" a="1"/>
  <c r="I305" i="1" s="1"/>
  <c r="H305" i="1" a="1"/>
  <c r="H305" i="1" s="1"/>
  <c r="G305" i="1" a="1"/>
  <c r="G305" i="1" s="1"/>
  <c r="F305" i="1" a="1"/>
  <c r="F305" i="1" s="1"/>
  <c r="E305" i="1" a="1"/>
  <c r="E305" i="1" s="1"/>
  <c r="D305" i="1" a="1"/>
  <c r="D305" i="1" s="1"/>
  <c r="C305" i="1" a="1"/>
  <c r="C305" i="1" s="1"/>
  <c r="B305" i="1" a="1"/>
  <c r="B305" i="1" s="1"/>
  <c r="N304" i="1" a="1"/>
  <c r="N304" i="1" s="1"/>
  <c r="M304" i="1" a="1"/>
  <c r="M304" i="1" s="1"/>
  <c r="L304" i="1" a="1"/>
  <c r="L304" i="1" s="1"/>
  <c r="K304" i="1" a="1"/>
  <c r="K304" i="1" s="1"/>
  <c r="J304" i="1" a="1"/>
  <c r="J304" i="1" s="1"/>
  <c r="I304" i="1" a="1"/>
  <c r="I304" i="1" s="1"/>
  <c r="H304" i="1" a="1"/>
  <c r="H304" i="1" s="1"/>
  <c r="G304" i="1" a="1"/>
  <c r="G304" i="1" s="1"/>
  <c r="F304" i="1" a="1"/>
  <c r="F304" i="1" s="1"/>
  <c r="E304" i="1" a="1"/>
  <c r="E304" i="1" s="1"/>
  <c r="D304" i="1" a="1"/>
  <c r="D304" i="1" s="1"/>
  <c r="C304" i="1" a="1"/>
  <c r="C304" i="1" s="1"/>
  <c r="B304" i="1" a="1"/>
  <c r="B304" i="1" s="1"/>
  <c r="N303" i="1" a="1"/>
  <c r="N303" i="1" s="1"/>
  <c r="M303" i="1" a="1"/>
  <c r="M303" i="1" s="1"/>
  <c r="L303" i="1" a="1"/>
  <c r="L303" i="1" s="1"/>
  <c r="K303" i="1" a="1"/>
  <c r="K303" i="1" s="1"/>
  <c r="J303" i="1" a="1"/>
  <c r="J303" i="1" s="1"/>
  <c r="I303" i="1" a="1"/>
  <c r="I303" i="1" s="1"/>
  <c r="H303" i="1" a="1"/>
  <c r="H303" i="1" s="1"/>
  <c r="G303" i="1" a="1"/>
  <c r="G303" i="1" s="1"/>
  <c r="F303" i="1" a="1"/>
  <c r="F303" i="1" s="1"/>
  <c r="E303" i="1" a="1"/>
  <c r="E303" i="1" s="1"/>
  <c r="D303" i="1" a="1"/>
  <c r="D303" i="1" s="1"/>
  <c r="C303" i="1" a="1"/>
  <c r="C303" i="1" s="1"/>
  <c r="B303" i="1" a="1"/>
  <c r="B303" i="1" s="1"/>
  <c r="N302" i="1" a="1"/>
  <c r="N302" i="1" s="1"/>
  <c r="M302" i="1" a="1"/>
  <c r="M302" i="1" s="1"/>
  <c r="L302" i="1" a="1"/>
  <c r="L302" i="1" s="1"/>
  <c r="K302" i="1" a="1"/>
  <c r="K302" i="1" s="1"/>
  <c r="J302" i="1" a="1"/>
  <c r="J302" i="1" s="1"/>
  <c r="I302" i="1" a="1"/>
  <c r="I302" i="1" s="1"/>
  <c r="H302" i="1" a="1"/>
  <c r="H302" i="1" s="1"/>
  <c r="G302" i="1" a="1"/>
  <c r="G302" i="1" s="1"/>
  <c r="F302" i="1" a="1"/>
  <c r="F302" i="1" s="1"/>
  <c r="E302" i="1" a="1"/>
  <c r="E302" i="1" s="1"/>
  <c r="D302" i="1" a="1"/>
  <c r="D302" i="1" s="1"/>
  <c r="C302" i="1" a="1"/>
  <c r="C302" i="1" s="1"/>
  <c r="B302" i="1" a="1"/>
  <c r="B302" i="1" s="1"/>
  <c r="N301" i="1" a="1"/>
  <c r="N301" i="1" s="1"/>
  <c r="M301" i="1" a="1"/>
  <c r="M301" i="1" s="1"/>
  <c r="L301" i="1" a="1"/>
  <c r="L301" i="1" s="1"/>
  <c r="K301" i="1" a="1"/>
  <c r="K301" i="1" s="1"/>
  <c r="J301" i="1" a="1"/>
  <c r="J301" i="1" s="1"/>
  <c r="I301" i="1" a="1"/>
  <c r="I301" i="1" s="1"/>
  <c r="H301" i="1" a="1"/>
  <c r="H301" i="1" s="1"/>
  <c r="G301" i="1" a="1"/>
  <c r="G301" i="1" s="1"/>
  <c r="F301" i="1" a="1"/>
  <c r="F301" i="1" s="1"/>
  <c r="E301" i="1" a="1"/>
  <c r="E301" i="1" s="1"/>
  <c r="D301" i="1" a="1"/>
  <c r="D301" i="1" s="1"/>
  <c r="C301" i="1" a="1"/>
  <c r="C301" i="1" s="1"/>
  <c r="B301" i="1" a="1"/>
  <c r="B301" i="1" s="1"/>
  <c r="N300" i="1" a="1"/>
  <c r="N300" i="1" s="1"/>
  <c r="M300" i="1" a="1"/>
  <c r="M300" i="1" s="1"/>
  <c r="L300" i="1" a="1"/>
  <c r="L300" i="1" s="1"/>
  <c r="K300" i="1" a="1"/>
  <c r="K300" i="1" s="1"/>
  <c r="J300" i="1" a="1"/>
  <c r="J300" i="1" s="1"/>
  <c r="I300" i="1" a="1"/>
  <c r="I300" i="1" s="1"/>
  <c r="H300" i="1" a="1"/>
  <c r="H300" i="1" s="1"/>
  <c r="G300" i="1" a="1"/>
  <c r="G300" i="1" s="1"/>
  <c r="F300" i="1" a="1"/>
  <c r="F300" i="1" s="1"/>
  <c r="E300" i="1" a="1"/>
  <c r="E300" i="1" s="1"/>
  <c r="D300" i="1" a="1"/>
  <c r="D300" i="1" s="1"/>
  <c r="C300" i="1" a="1"/>
  <c r="C300" i="1" s="1"/>
  <c r="B300" i="1" a="1"/>
  <c r="B300" i="1" s="1"/>
  <c r="N299" i="1" a="1"/>
  <c r="N299" i="1" s="1"/>
  <c r="M299" i="1" a="1"/>
  <c r="M299" i="1" s="1"/>
  <c r="L299" i="1" a="1"/>
  <c r="L299" i="1" s="1"/>
  <c r="K299" i="1" a="1"/>
  <c r="K299" i="1" s="1"/>
  <c r="J299" i="1" a="1"/>
  <c r="J299" i="1" s="1"/>
  <c r="I299" i="1" a="1"/>
  <c r="I299" i="1" s="1"/>
  <c r="H299" i="1" a="1"/>
  <c r="H299" i="1" s="1"/>
  <c r="G299" i="1" a="1"/>
  <c r="G299" i="1" s="1"/>
  <c r="F299" i="1" a="1"/>
  <c r="F299" i="1" s="1"/>
  <c r="E299" i="1" a="1"/>
  <c r="E299" i="1" s="1"/>
  <c r="D299" i="1" a="1"/>
  <c r="D299" i="1" s="1"/>
  <c r="C299" i="1" a="1"/>
  <c r="C299" i="1" s="1"/>
  <c r="B299" i="1" a="1"/>
  <c r="B299" i="1" s="1"/>
  <c r="N298" i="1" a="1"/>
  <c r="N298" i="1" s="1"/>
  <c r="M298" i="1" a="1"/>
  <c r="M298" i="1" s="1"/>
  <c r="L298" i="1" a="1"/>
  <c r="L298" i="1" s="1"/>
  <c r="K298" i="1" a="1"/>
  <c r="K298" i="1" s="1"/>
  <c r="J298" i="1" a="1"/>
  <c r="J298" i="1" s="1"/>
  <c r="I298" i="1" a="1"/>
  <c r="I298" i="1" s="1"/>
  <c r="H298" i="1" a="1"/>
  <c r="H298" i="1" s="1"/>
  <c r="G298" i="1" a="1"/>
  <c r="G298" i="1" s="1"/>
  <c r="F298" i="1" a="1"/>
  <c r="F298" i="1" s="1"/>
  <c r="E298" i="1" a="1"/>
  <c r="E298" i="1" s="1"/>
  <c r="D298" i="1" a="1"/>
  <c r="D298" i="1" s="1"/>
  <c r="C298" i="1" a="1"/>
  <c r="C298" i="1" s="1"/>
  <c r="B298" i="1" a="1"/>
  <c r="B298" i="1" s="1"/>
  <c r="N297" i="1" a="1"/>
  <c r="N297" i="1" s="1"/>
  <c r="M297" i="1" a="1"/>
  <c r="M297" i="1" s="1"/>
  <c r="L297" i="1" a="1"/>
  <c r="L297" i="1" s="1"/>
  <c r="K297" i="1" a="1"/>
  <c r="K297" i="1" s="1"/>
  <c r="J297" i="1" a="1"/>
  <c r="J297" i="1" s="1"/>
  <c r="I297" i="1" a="1"/>
  <c r="I297" i="1" s="1"/>
  <c r="H297" i="1" a="1"/>
  <c r="H297" i="1" s="1"/>
  <c r="G297" i="1" a="1"/>
  <c r="G297" i="1" s="1"/>
  <c r="F297" i="1" a="1"/>
  <c r="F297" i="1" s="1"/>
  <c r="E297" i="1" a="1"/>
  <c r="E297" i="1" s="1"/>
  <c r="D297" i="1" a="1"/>
  <c r="D297" i="1" s="1"/>
  <c r="C297" i="1" a="1"/>
  <c r="C297" i="1" s="1"/>
  <c r="B297" i="1" a="1"/>
  <c r="B297" i="1" s="1"/>
  <c r="N296" i="1" a="1"/>
  <c r="N296" i="1" s="1"/>
  <c r="M296" i="1" a="1"/>
  <c r="M296" i="1" s="1"/>
  <c r="L296" i="1" a="1"/>
  <c r="L296" i="1" s="1"/>
  <c r="K296" i="1" a="1"/>
  <c r="K296" i="1" s="1"/>
  <c r="J296" i="1" a="1"/>
  <c r="J296" i="1" s="1"/>
  <c r="I296" i="1" a="1"/>
  <c r="I296" i="1" s="1"/>
  <c r="H296" i="1" a="1"/>
  <c r="H296" i="1" s="1"/>
  <c r="G296" i="1" a="1"/>
  <c r="G296" i="1" s="1"/>
  <c r="F296" i="1" a="1"/>
  <c r="F296" i="1" s="1"/>
  <c r="E296" i="1" a="1"/>
  <c r="E296" i="1" s="1"/>
  <c r="D296" i="1" a="1"/>
  <c r="D296" i="1" s="1"/>
  <c r="C296" i="1" a="1"/>
  <c r="C296" i="1" s="1"/>
  <c r="B296" i="1" a="1"/>
  <c r="B296" i="1" s="1"/>
  <c r="N295" i="1" a="1"/>
  <c r="N295" i="1" s="1"/>
  <c r="M295" i="1" a="1"/>
  <c r="M295" i="1" s="1"/>
  <c r="L295" i="1" a="1"/>
  <c r="L295" i="1" s="1"/>
  <c r="K295" i="1" a="1"/>
  <c r="K295" i="1" s="1"/>
  <c r="J295" i="1" a="1"/>
  <c r="J295" i="1" s="1"/>
  <c r="I295" i="1" a="1"/>
  <c r="I295" i="1" s="1"/>
  <c r="H295" i="1" a="1"/>
  <c r="H295" i="1" s="1"/>
  <c r="G295" i="1" a="1"/>
  <c r="G295" i="1" s="1"/>
  <c r="F295" i="1" a="1"/>
  <c r="F295" i="1" s="1"/>
  <c r="E295" i="1" a="1"/>
  <c r="E295" i="1" s="1"/>
  <c r="D295" i="1" a="1"/>
  <c r="D295" i="1" s="1"/>
  <c r="C295" i="1" a="1"/>
  <c r="C295" i="1" s="1"/>
  <c r="B295" i="1" a="1"/>
  <c r="B295" i="1" s="1"/>
  <c r="N294" i="1" a="1"/>
  <c r="N294" i="1" s="1"/>
  <c r="M294" i="1" a="1"/>
  <c r="M294" i="1" s="1"/>
  <c r="L294" i="1" a="1"/>
  <c r="L294" i="1" s="1"/>
  <c r="K294" i="1" a="1"/>
  <c r="K294" i="1" s="1"/>
  <c r="J294" i="1" a="1"/>
  <c r="J294" i="1" s="1"/>
  <c r="I294" i="1" a="1"/>
  <c r="I294" i="1" s="1"/>
  <c r="H294" i="1" a="1"/>
  <c r="H294" i="1" s="1"/>
  <c r="G294" i="1" a="1"/>
  <c r="G294" i="1" s="1"/>
  <c r="F294" i="1" a="1"/>
  <c r="F294" i="1" s="1"/>
  <c r="E294" i="1" a="1"/>
  <c r="E294" i="1" s="1"/>
  <c r="D294" i="1" a="1"/>
  <c r="D294" i="1" s="1"/>
  <c r="C294" i="1" a="1"/>
  <c r="C294" i="1" s="1"/>
  <c r="B294" i="1" a="1"/>
  <c r="B294" i="1" s="1"/>
  <c r="N293" i="1" a="1"/>
  <c r="N293" i="1" s="1"/>
  <c r="M293" i="1" a="1"/>
  <c r="M293" i="1" s="1"/>
  <c r="L293" i="1" a="1"/>
  <c r="L293" i="1" s="1"/>
  <c r="K293" i="1" a="1"/>
  <c r="K293" i="1" s="1"/>
  <c r="J293" i="1" a="1"/>
  <c r="J293" i="1" s="1"/>
  <c r="I293" i="1" a="1"/>
  <c r="I293" i="1" s="1"/>
  <c r="H293" i="1" a="1"/>
  <c r="H293" i="1" s="1"/>
  <c r="G293" i="1" a="1"/>
  <c r="G293" i="1" s="1"/>
  <c r="F293" i="1" a="1"/>
  <c r="F293" i="1" s="1"/>
  <c r="E293" i="1" a="1"/>
  <c r="E293" i="1" s="1"/>
  <c r="D293" i="1" a="1"/>
  <c r="D293" i="1" s="1"/>
  <c r="C293" i="1" a="1"/>
  <c r="C293" i="1" s="1"/>
  <c r="B293" i="1" a="1"/>
  <c r="B293" i="1" s="1"/>
  <c r="N292" i="1" a="1"/>
  <c r="N292" i="1" s="1"/>
  <c r="M292" i="1" a="1"/>
  <c r="M292" i="1" s="1"/>
  <c r="L292" i="1" a="1"/>
  <c r="L292" i="1" s="1"/>
  <c r="K292" i="1" a="1"/>
  <c r="K292" i="1" s="1"/>
  <c r="J292" i="1" a="1"/>
  <c r="J292" i="1" s="1"/>
  <c r="I292" i="1" a="1"/>
  <c r="I292" i="1" s="1"/>
  <c r="H292" i="1" a="1"/>
  <c r="H292" i="1" s="1"/>
  <c r="G292" i="1" a="1"/>
  <c r="G292" i="1" s="1"/>
  <c r="F292" i="1" a="1"/>
  <c r="F292" i="1" s="1"/>
  <c r="E292" i="1" a="1"/>
  <c r="E292" i="1" s="1"/>
  <c r="D292" i="1" a="1"/>
  <c r="D292" i="1" s="1"/>
  <c r="C292" i="1" a="1"/>
  <c r="C292" i="1" s="1"/>
  <c r="B292" i="1" a="1"/>
  <c r="B292" i="1" s="1"/>
  <c r="N291" i="1" a="1"/>
  <c r="N291" i="1" s="1"/>
  <c r="M291" i="1" a="1"/>
  <c r="M291" i="1" s="1"/>
  <c r="L291" i="1" a="1"/>
  <c r="L291" i="1" s="1"/>
  <c r="K291" i="1" a="1"/>
  <c r="K291" i="1" s="1"/>
  <c r="J291" i="1" a="1"/>
  <c r="J291" i="1" s="1"/>
  <c r="I291" i="1" a="1"/>
  <c r="I291" i="1" s="1"/>
  <c r="H291" i="1" a="1"/>
  <c r="H291" i="1" s="1"/>
  <c r="G291" i="1" a="1"/>
  <c r="G291" i="1" s="1"/>
  <c r="F291" i="1" a="1"/>
  <c r="F291" i="1" s="1"/>
  <c r="E291" i="1" a="1"/>
  <c r="E291" i="1" s="1"/>
  <c r="D291" i="1" a="1"/>
  <c r="D291" i="1" s="1"/>
  <c r="C291" i="1" a="1"/>
  <c r="C291" i="1" s="1"/>
  <c r="B291" i="1" a="1"/>
  <c r="B291" i="1" s="1"/>
  <c r="N290" i="1" a="1"/>
  <c r="N290" i="1" s="1"/>
  <c r="M290" i="1" a="1"/>
  <c r="M290" i="1" s="1"/>
  <c r="L290" i="1" a="1"/>
  <c r="L290" i="1" s="1"/>
  <c r="K290" i="1" a="1"/>
  <c r="K290" i="1" s="1"/>
  <c r="J290" i="1" a="1"/>
  <c r="J290" i="1" s="1"/>
  <c r="I290" i="1" a="1"/>
  <c r="I290" i="1" s="1"/>
  <c r="H290" i="1" a="1"/>
  <c r="H290" i="1" s="1"/>
  <c r="G290" i="1" a="1"/>
  <c r="G290" i="1" s="1"/>
  <c r="F290" i="1" a="1"/>
  <c r="F290" i="1" s="1"/>
  <c r="E290" i="1" a="1"/>
  <c r="E290" i="1" s="1"/>
  <c r="D290" i="1" a="1"/>
  <c r="D290" i="1" s="1"/>
  <c r="C290" i="1" a="1"/>
  <c r="C290" i="1" s="1"/>
  <c r="B290" i="1" a="1"/>
  <c r="B290" i="1" s="1"/>
  <c r="N289" i="1" a="1"/>
  <c r="N289" i="1" s="1"/>
  <c r="M289" i="1" a="1"/>
  <c r="M289" i="1" s="1"/>
  <c r="L289" i="1" a="1"/>
  <c r="L289" i="1" s="1"/>
  <c r="K289" i="1" a="1"/>
  <c r="K289" i="1" s="1"/>
  <c r="J289" i="1" a="1"/>
  <c r="J289" i="1" s="1"/>
  <c r="I289" i="1" a="1"/>
  <c r="I289" i="1" s="1"/>
  <c r="H289" i="1" a="1"/>
  <c r="H289" i="1" s="1"/>
  <c r="G289" i="1" a="1"/>
  <c r="G289" i="1" s="1"/>
  <c r="F289" i="1" a="1"/>
  <c r="F289" i="1" s="1"/>
  <c r="E289" i="1" a="1"/>
  <c r="E289" i="1" s="1"/>
  <c r="D289" i="1" a="1"/>
  <c r="D289" i="1" s="1"/>
  <c r="C289" i="1" a="1"/>
  <c r="C289" i="1" s="1"/>
  <c r="B289" i="1" a="1"/>
  <c r="B289" i="1" s="1"/>
  <c r="N288" i="1" a="1"/>
  <c r="N288" i="1" s="1"/>
  <c r="M288" i="1" a="1"/>
  <c r="M288" i="1" s="1"/>
  <c r="L288" i="1" a="1"/>
  <c r="L288" i="1" s="1"/>
  <c r="K288" i="1" a="1"/>
  <c r="K288" i="1" s="1"/>
  <c r="J288" i="1" a="1"/>
  <c r="J288" i="1" s="1"/>
  <c r="I288" i="1" a="1"/>
  <c r="I288" i="1" s="1"/>
  <c r="H288" i="1" a="1"/>
  <c r="H288" i="1" s="1"/>
  <c r="G288" i="1" a="1"/>
  <c r="G288" i="1" s="1"/>
  <c r="F288" i="1" a="1"/>
  <c r="F288" i="1" s="1"/>
  <c r="E288" i="1" a="1"/>
  <c r="E288" i="1" s="1"/>
  <c r="D288" i="1" a="1"/>
  <c r="D288" i="1" s="1"/>
  <c r="C288" i="1" a="1"/>
  <c r="C288" i="1" s="1"/>
  <c r="B288" i="1" a="1"/>
  <c r="B288" i="1" s="1"/>
  <c r="N287" i="1" a="1"/>
  <c r="N287" i="1" s="1"/>
  <c r="M287" i="1" a="1"/>
  <c r="M287" i="1" s="1"/>
  <c r="L287" i="1" a="1"/>
  <c r="L287" i="1" s="1"/>
  <c r="K287" i="1" a="1"/>
  <c r="K287" i="1" s="1"/>
  <c r="J287" i="1" a="1"/>
  <c r="J287" i="1" s="1"/>
  <c r="I287" i="1" a="1"/>
  <c r="I287" i="1" s="1"/>
  <c r="H287" i="1" a="1"/>
  <c r="H287" i="1" s="1"/>
  <c r="G287" i="1" a="1"/>
  <c r="G287" i="1" s="1"/>
  <c r="F287" i="1" a="1"/>
  <c r="F287" i="1" s="1"/>
  <c r="E287" i="1" a="1"/>
  <c r="E287" i="1" s="1"/>
  <c r="D287" i="1" a="1"/>
  <c r="D287" i="1" s="1"/>
  <c r="C287" i="1" a="1"/>
  <c r="C287" i="1" s="1"/>
  <c r="B287" i="1" a="1"/>
  <c r="B287" i="1" s="1"/>
  <c r="N286" i="1" a="1"/>
  <c r="N286" i="1" s="1"/>
  <c r="M286" i="1" a="1"/>
  <c r="M286" i="1" s="1"/>
  <c r="L286" i="1" a="1"/>
  <c r="L286" i="1" s="1"/>
  <c r="K286" i="1" a="1"/>
  <c r="K286" i="1" s="1"/>
  <c r="J286" i="1" a="1"/>
  <c r="J286" i="1" s="1"/>
  <c r="I286" i="1" a="1"/>
  <c r="I286" i="1" s="1"/>
  <c r="H286" i="1" a="1"/>
  <c r="H286" i="1" s="1"/>
  <c r="G286" i="1" a="1"/>
  <c r="G286" i="1" s="1"/>
  <c r="F286" i="1" a="1"/>
  <c r="F286" i="1" s="1"/>
  <c r="E286" i="1" a="1"/>
  <c r="E286" i="1" s="1"/>
  <c r="D286" i="1" a="1"/>
  <c r="D286" i="1" s="1"/>
  <c r="C286" i="1" a="1"/>
  <c r="C286" i="1" s="1"/>
  <c r="B286" i="1" a="1"/>
  <c r="B286" i="1" s="1"/>
  <c r="N285" i="1" a="1"/>
  <c r="N285" i="1" s="1"/>
  <c r="M285" i="1" a="1"/>
  <c r="M285" i="1" s="1"/>
  <c r="L285" i="1" a="1"/>
  <c r="L285" i="1" s="1"/>
  <c r="K285" i="1" a="1"/>
  <c r="K285" i="1" s="1"/>
  <c r="J285" i="1" a="1"/>
  <c r="J285" i="1" s="1"/>
  <c r="I285" i="1" a="1"/>
  <c r="I285" i="1" s="1"/>
  <c r="H285" i="1" a="1"/>
  <c r="H285" i="1" s="1"/>
  <c r="G285" i="1" a="1"/>
  <c r="G285" i="1" s="1"/>
  <c r="F285" i="1" a="1"/>
  <c r="F285" i="1" s="1"/>
  <c r="E285" i="1" a="1"/>
  <c r="E285" i="1" s="1"/>
  <c r="D285" i="1" a="1"/>
  <c r="D285" i="1" s="1"/>
  <c r="C285" i="1" a="1"/>
  <c r="C285" i="1" s="1"/>
  <c r="B285" i="1" a="1"/>
  <c r="B285" i="1" s="1"/>
  <c r="N284" i="1" a="1"/>
  <c r="N284" i="1" s="1"/>
  <c r="M284" i="1" a="1"/>
  <c r="M284" i="1" s="1"/>
  <c r="L284" i="1" a="1"/>
  <c r="L284" i="1" s="1"/>
  <c r="K284" i="1" a="1"/>
  <c r="K284" i="1" s="1"/>
  <c r="J284" i="1" a="1"/>
  <c r="J284" i="1" s="1"/>
  <c r="I284" i="1" a="1"/>
  <c r="I284" i="1" s="1"/>
  <c r="H284" i="1" a="1"/>
  <c r="H284" i="1" s="1"/>
  <c r="G284" i="1" a="1"/>
  <c r="G284" i="1" s="1"/>
  <c r="F284" i="1" a="1"/>
  <c r="F284" i="1" s="1"/>
  <c r="E284" i="1" a="1"/>
  <c r="E284" i="1" s="1"/>
  <c r="D284" i="1" a="1"/>
  <c r="D284" i="1" s="1"/>
  <c r="C284" i="1" a="1"/>
  <c r="C284" i="1" s="1"/>
  <c r="B284" i="1" a="1"/>
  <c r="B284" i="1" s="1"/>
  <c r="N283" i="1" a="1"/>
  <c r="N283" i="1" s="1"/>
  <c r="M283" i="1" a="1"/>
  <c r="M283" i="1" s="1"/>
  <c r="L283" i="1" a="1"/>
  <c r="L283" i="1" s="1"/>
  <c r="K283" i="1" a="1"/>
  <c r="K283" i="1" s="1"/>
  <c r="J283" i="1" a="1"/>
  <c r="J283" i="1" s="1"/>
  <c r="I283" i="1" a="1"/>
  <c r="I283" i="1" s="1"/>
  <c r="H283" i="1" a="1"/>
  <c r="H283" i="1" s="1"/>
  <c r="G283" i="1" a="1"/>
  <c r="G283" i="1" s="1"/>
  <c r="F283" i="1" a="1"/>
  <c r="F283" i="1" s="1"/>
  <c r="E283" i="1" a="1"/>
  <c r="E283" i="1" s="1"/>
  <c r="D283" i="1" a="1"/>
  <c r="D283" i="1" s="1"/>
  <c r="C283" i="1" a="1"/>
  <c r="C283" i="1" s="1"/>
  <c r="B283" i="1" a="1"/>
  <c r="B283" i="1" s="1"/>
  <c r="N282" i="1" a="1"/>
  <c r="N282" i="1" s="1"/>
  <c r="M282" i="1" a="1"/>
  <c r="M282" i="1" s="1"/>
  <c r="L282" i="1" a="1"/>
  <c r="L282" i="1" s="1"/>
  <c r="K282" i="1" a="1"/>
  <c r="K282" i="1" s="1"/>
  <c r="J282" i="1" a="1"/>
  <c r="J282" i="1" s="1"/>
  <c r="I282" i="1" a="1"/>
  <c r="I282" i="1" s="1"/>
  <c r="H282" i="1" a="1"/>
  <c r="H282" i="1" s="1"/>
  <c r="G282" i="1" a="1"/>
  <c r="G282" i="1" s="1"/>
  <c r="F282" i="1" a="1"/>
  <c r="F282" i="1" s="1"/>
  <c r="E282" i="1" a="1"/>
  <c r="E282" i="1" s="1"/>
  <c r="D282" i="1" a="1"/>
  <c r="D282" i="1" s="1"/>
  <c r="C282" i="1" a="1"/>
  <c r="C282" i="1" s="1"/>
  <c r="B282" i="1" a="1"/>
  <c r="B282" i="1" s="1"/>
  <c r="N281" i="1" a="1"/>
  <c r="N281" i="1" s="1"/>
  <c r="M281" i="1" a="1"/>
  <c r="M281" i="1" s="1"/>
  <c r="L281" i="1" a="1"/>
  <c r="L281" i="1" s="1"/>
  <c r="K281" i="1" a="1"/>
  <c r="K281" i="1" s="1"/>
  <c r="J281" i="1" a="1"/>
  <c r="J281" i="1" s="1"/>
  <c r="I281" i="1" a="1"/>
  <c r="I281" i="1" s="1"/>
  <c r="H281" i="1" a="1"/>
  <c r="H281" i="1" s="1"/>
  <c r="G281" i="1" a="1"/>
  <c r="G281" i="1" s="1"/>
  <c r="F281" i="1" a="1"/>
  <c r="F281" i="1" s="1"/>
  <c r="E281" i="1" a="1"/>
  <c r="E281" i="1" s="1"/>
  <c r="D281" i="1" a="1"/>
  <c r="D281" i="1" s="1"/>
  <c r="C281" i="1" a="1"/>
  <c r="C281" i="1" s="1"/>
  <c r="B281" i="1" a="1"/>
  <c r="B281" i="1" s="1"/>
  <c r="N280" i="1" a="1"/>
  <c r="N280" i="1" s="1"/>
  <c r="M280" i="1" a="1"/>
  <c r="M280" i="1" s="1"/>
  <c r="L280" i="1" a="1"/>
  <c r="L280" i="1" s="1"/>
  <c r="K280" i="1" a="1"/>
  <c r="K280" i="1" s="1"/>
  <c r="J280" i="1" a="1"/>
  <c r="J280" i="1" s="1"/>
  <c r="I280" i="1" a="1"/>
  <c r="I280" i="1" s="1"/>
  <c r="H280" i="1" a="1"/>
  <c r="H280" i="1" s="1"/>
  <c r="G280" i="1" a="1"/>
  <c r="G280" i="1" s="1"/>
  <c r="F280" i="1" a="1"/>
  <c r="F280" i="1" s="1"/>
  <c r="E280" i="1" a="1"/>
  <c r="E280" i="1" s="1"/>
  <c r="D280" i="1" a="1"/>
  <c r="D280" i="1" s="1"/>
  <c r="C280" i="1" a="1"/>
  <c r="C280" i="1" s="1"/>
  <c r="B280" i="1" a="1"/>
  <c r="B280" i="1" s="1"/>
  <c r="N279" i="1" a="1"/>
  <c r="N279" i="1" s="1"/>
  <c r="M279" i="1" a="1"/>
  <c r="M279" i="1" s="1"/>
  <c r="L279" i="1" a="1"/>
  <c r="L279" i="1" s="1"/>
  <c r="K279" i="1" a="1"/>
  <c r="K279" i="1" s="1"/>
  <c r="J279" i="1" a="1"/>
  <c r="J279" i="1" s="1"/>
  <c r="I279" i="1" a="1"/>
  <c r="I279" i="1" s="1"/>
  <c r="H279" i="1" a="1"/>
  <c r="H279" i="1" s="1"/>
  <c r="G279" i="1" a="1"/>
  <c r="G279" i="1" s="1"/>
  <c r="F279" i="1" a="1"/>
  <c r="F279" i="1" s="1"/>
  <c r="E279" i="1" a="1"/>
  <c r="E279" i="1" s="1"/>
  <c r="D279" i="1" a="1"/>
  <c r="D279" i="1" s="1"/>
  <c r="C279" i="1" a="1"/>
  <c r="C279" i="1" s="1"/>
  <c r="B279" i="1" a="1"/>
  <c r="B279" i="1" s="1"/>
  <c r="N278" i="1" a="1"/>
  <c r="N278" i="1" s="1"/>
  <c r="M278" i="1" a="1"/>
  <c r="M278" i="1" s="1"/>
  <c r="L278" i="1" a="1"/>
  <c r="L278" i="1" s="1"/>
  <c r="K278" i="1" a="1"/>
  <c r="K278" i="1" s="1"/>
  <c r="J278" i="1" a="1"/>
  <c r="J278" i="1" s="1"/>
  <c r="I278" i="1" a="1"/>
  <c r="I278" i="1" s="1"/>
  <c r="H278" i="1" a="1"/>
  <c r="H278" i="1" s="1"/>
  <c r="G278" i="1" a="1"/>
  <c r="G278" i="1" s="1"/>
  <c r="F278" i="1" a="1"/>
  <c r="F278" i="1" s="1"/>
  <c r="E278" i="1" a="1"/>
  <c r="E278" i="1" s="1"/>
  <c r="D278" i="1" a="1"/>
  <c r="D278" i="1" s="1"/>
  <c r="C278" i="1" a="1"/>
  <c r="C278" i="1" s="1"/>
  <c r="B278" i="1" a="1"/>
  <c r="B278" i="1" s="1"/>
  <c r="N277" i="1" a="1"/>
  <c r="N277" i="1" s="1"/>
  <c r="M277" i="1" a="1"/>
  <c r="M277" i="1" s="1"/>
  <c r="L277" i="1" a="1"/>
  <c r="L277" i="1" s="1"/>
  <c r="K277" i="1" a="1"/>
  <c r="K277" i="1" s="1"/>
  <c r="J277" i="1" a="1"/>
  <c r="J277" i="1" s="1"/>
  <c r="I277" i="1" a="1"/>
  <c r="I277" i="1" s="1"/>
  <c r="H277" i="1" a="1"/>
  <c r="H277" i="1" s="1"/>
  <c r="G277" i="1" a="1"/>
  <c r="G277" i="1" s="1"/>
  <c r="F277" i="1" a="1"/>
  <c r="F277" i="1" s="1"/>
  <c r="E277" i="1" a="1"/>
  <c r="E277" i="1" s="1"/>
  <c r="D277" i="1" a="1"/>
  <c r="D277" i="1" s="1"/>
  <c r="C277" i="1" a="1"/>
  <c r="C277" i="1" s="1"/>
  <c r="B277" i="1" a="1"/>
  <c r="B277" i="1" s="1"/>
  <c r="N276" i="1" a="1"/>
  <c r="N276" i="1" s="1"/>
  <c r="M276" i="1" a="1"/>
  <c r="M276" i="1" s="1"/>
  <c r="L276" i="1" a="1"/>
  <c r="L276" i="1" s="1"/>
  <c r="K276" i="1" a="1"/>
  <c r="K276" i="1" s="1"/>
  <c r="J276" i="1" a="1"/>
  <c r="J276" i="1" s="1"/>
  <c r="I276" i="1" a="1"/>
  <c r="I276" i="1" s="1"/>
  <c r="H276" i="1" a="1"/>
  <c r="H276" i="1" s="1"/>
  <c r="G276" i="1" a="1"/>
  <c r="G276" i="1" s="1"/>
  <c r="F276" i="1" a="1"/>
  <c r="F276" i="1" s="1"/>
  <c r="E276" i="1" a="1"/>
  <c r="E276" i="1" s="1"/>
  <c r="D276" i="1" a="1"/>
  <c r="D276" i="1" s="1"/>
  <c r="C276" i="1" a="1"/>
  <c r="C276" i="1" s="1"/>
  <c r="B276" i="1" a="1"/>
  <c r="B276" i="1" s="1"/>
  <c r="N275" i="1" a="1"/>
  <c r="N275" i="1" s="1"/>
  <c r="M275" i="1" a="1"/>
  <c r="M275" i="1" s="1"/>
  <c r="L275" i="1" a="1"/>
  <c r="L275" i="1" s="1"/>
  <c r="K275" i="1" a="1"/>
  <c r="K275" i="1" s="1"/>
  <c r="J275" i="1" a="1"/>
  <c r="J275" i="1" s="1"/>
  <c r="I275" i="1" a="1"/>
  <c r="I275" i="1" s="1"/>
  <c r="H275" i="1" a="1"/>
  <c r="H275" i="1" s="1"/>
  <c r="G275" i="1" a="1"/>
  <c r="G275" i="1" s="1"/>
  <c r="F275" i="1" a="1"/>
  <c r="F275" i="1" s="1"/>
  <c r="E275" i="1" a="1"/>
  <c r="E275" i="1" s="1"/>
  <c r="D275" i="1" a="1"/>
  <c r="D275" i="1" s="1"/>
  <c r="C275" i="1" a="1"/>
  <c r="C275" i="1" s="1"/>
  <c r="B275" i="1" a="1"/>
  <c r="B275" i="1" s="1"/>
  <c r="N274" i="1" a="1"/>
  <c r="N274" i="1" s="1"/>
  <c r="M274" i="1" a="1"/>
  <c r="M274" i="1" s="1"/>
  <c r="L274" i="1" a="1"/>
  <c r="L274" i="1" s="1"/>
  <c r="K274" i="1" a="1"/>
  <c r="K274" i="1" s="1"/>
  <c r="J274" i="1" a="1"/>
  <c r="J274" i="1" s="1"/>
  <c r="I274" i="1" a="1"/>
  <c r="I274" i="1" s="1"/>
  <c r="H274" i="1" a="1"/>
  <c r="H274" i="1" s="1"/>
  <c r="G274" i="1" a="1"/>
  <c r="G274" i="1" s="1"/>
  <c r="F274" i="1" a="1"/>
  <c r="F274" i="1" s="1"/>
  <c r="E274" i="1" a="1"/>
  <c r="E274" i="1" s="1"/>
  <c r="D274" i="1" a="1"/>
  <c r="D274" i="1" s="1"/>
  <c r="C274" i="1" a="1"/>
  <c r="C274" i="1" s="1"/>
  <c r="B274" i="1" a="1"/>
  <c r="B274" i="1" s="1"/>
  <c r="N273" i="1" a="1"/>
  <c r="N273" i="1" s="1"/>
  <c r="M273" i="1" a="1"/>
  <c r="M273" i="1" s="1"/>
  <c r="L273" i="1" a="1"/>
  <c r="L273" i="1" s="1"/>
  <c r="K273" i="1" a="1"/>
  <c r="K273" i="1" s="1"/>
  <c r="J273" i="1" a="1"/>
  <c r="J273" i="1" s="1"/>
  <c r="I273" i="1" a="1"/>
  <c r="I273" i="1" s="1"/>
  <c r="H273" i="1" a="1"/>
  <c r="H273" i="1" s="1"/>
  <c r="G273" i="1" a="1"/>
  <c r="G273" i="1" s="1"/>
  <c r="F273" i="1" a="1"/>
  <c r="F273" i="1" s="1"/>
  <c r="E273" i="1" a="1"/>
  <c r="E273" i="1" s="1"/>
  <c r="D273" i="1" a="1"/>
  <c r="D273" i="1" s="1"/>
  <c r="C273" i="1" a="1"/>
  <c r="C273" i="1" s="1"/>
  <c r="B273" i="1" a="1"/>
  <c r="B273" i="1" s="1"/>
  <c r="N272" i="1" a="1"/>
  <c r="N272" i="1" s="1"/>
  <c r="M272" i="1" a="1"/>
  <c r="M272" i="1" s="1"/>
  <c r="L272" i="1" a="1"/>
  <c r="L272" i="1" s="1"/>
  <c r="K272" i="1" a="1"/>
  <c r="K272" i="1" s="1"/>
  <c r="J272" i="1" a="1"/>
  <c r="J272" i="1" s="1"/>
  <c r="I272" i="1" a="1"/>
  <c r="I272" i="1" s="1"/>
  <c r="H272" i="1" a="1"/>
  <c r="H272" i="1" s="1"/>
  <c r="G272" i="1" a="1"/>
  <c r="G272" i="1" s="1"/>
  <c r="F272" i="1" a="1"/>
  <c r="F272" i="1" s="1"/>
  <c r="E272" i="1" a="1"/>
  <c r="E272" i="1" s="1"/>
  <c r="D272" i="1" a="1"/>
  <c r="D272" i="1" s="1"/>
  <c r="C272" i="1" a="1"/>
  <c r="C272" i="1" s="1"/>
  <c r="B272" i="1" a="1"/>
  <c r="B272" i="1" s="1"/>
  <c r="N271" i="1" a="1"/>
  <c r="N271" i="1" s="1"/>
  <c r="M271" i="1" a="1"/>
  <c r="M271" i="1" s="1"/>
  <c r="L271" i="1" a="1"/>
  <c r="L271" i="1" s="1"/>
  <c r="K271" i="1" a="1"/>
  <c r="K271" i="1" s="1"/>
  <c r="J271" i="1" a="1"/>
  <c r="J271" i="1" s="1"/>
  <c r="I271" i="1" a="1"/>
  <c r="I271" i="1" s="1"/>
  <c r="H271" i="1" a="1"/>
  <c r="H271" i="1" s="1"/>
  <c r="G271" i="1" a="1"/>
  <c r="G271" i="1" s="1"/>
  <c r="F271" i="1" a="1"/>
  <c r="F271" i="1" s="1"/>
  <c r="E271" i="1" a="1"/>
  <c r="E271" i="1" s="1"/>
  <c r="D271" i="1" a="1"/>
  <c r="D271" i="1" s="1"/>
  <c r="C271" i="1" a="1"/>
  <c r="C271" i="1" s="1"/>
  <c r="B271" i="1" a="1"/>
  <c r="B271" i="1" s="1"/>
  <c r="N270" i="1" a="1"/>
  <c r="N270" i="1" s="1"/>
  <c r="M270" i="1" a="1"/>
  <c r="M270" i="1" s="1"/>
  <c r="L270" i="1" a="1"/>
  <c r="L270" i="1" s="1"/>
  <c r="K270" i="1" a="1"/>
  <c r="K270" i="1" s="1"/>
  <c r="J270" i="1" a="1"/>
  <c r="J270" i="1" s="1"/>
  <c r="I270" i="1" a="1"/>
  <c r="I270" i="1" s="1"/>
  <c r="H270" i="1" a="1"/>
  <c r="H270" i="1" s="1"/>
  <c r="G270" i="1" a="1"/>
  <c r="G270" i="1" s="1"/>
  <c r="F270" i="1" a="1"/>
  <c r="F270" i="1" s="1"/>
  <c r="E270" i="1" a="1"/>
  <c r="E270" i="1" s="1"/>
  <c r="D270" i="1" a="1"/>
  <c r="D270" i="1" s="1"/>
  <c r="C270" i="1" a="1"/>
  <c r="C270" i="1" s="1"/>
  <c r="B270" i="1" a="1"/>
  <c r="B270" i="1" s="1"/>
  <c r="N269" i="1" a="1"/>
  <c r="N269" i="1" s="1"/>
  <c r="M269" i="1" a="1"/>
  <c r="M269" i="1" s="1"/>
  <c r="L269" i="1" a="1"/>
  <c r="L269" i="1" s="1"/>
  <c r="K269" i="1" a="1"/>
  <c r="K269" i="1" s="1"/>
  <c r="J269" i="1" a="1"/>
  <c r="J269" i="1" s="1"/>
  <c r="I269" i="1" a="1"/>
  <c r="I269" i="1" s="1"/>
  <c r="H269" i="1" a="1"/>
  <c r="H269" i="1" s="1"/>
  <c r="G269" i="1" a="1"/>
  <c r="G269" i="1" s="1"/>
  <c r="F269" i="1" a="1"/>
  <c r="F269" i="1" s="1"/>
  <c r="E269" i="1" a="1"/>
  <c r="E269" i="1" s="1"/>
  <c r="D269" i="1" a="1"/>
  <c r="D269" i="1" s="1"/>
  <c r="C269" i="1" a="1"/>
  <c r="C269" i="1" s="1"/>
  <c r="B269" i="1" a="1"/>
  <c r="B269" i="1" s="1"/>
  <c r="N268" i="1" a="1"/>
  <c r="N268" i="1" s="1"/>
  <c r="M268" i="1" a="1"/>
  <c r="M268" i="1" s="1"/>
  <c r="L268" i="1" a="1"/>
  <c r="L268" i="1" s="1"/>
  <c r="K268" i="1" a="1"/>
  <c r="K268" i="1" s="1"/>
  <c r="J268" i="1" a="1"/>
  <c r="J268" i="1" s="1"/>
  <c r="I268" i="1" a="1"/>
  <c r="I268" i="1" s="1"/>
  <c r="H268" i="1" a="1"/>
  <c r="H268" i="1" s="1"/>
  <c r="G268" i="1" a="1"/>
  <c r="G268" i="1" s="1"/>
  <c r="F268" i="1" a="1"/>
  <c r="F268" i="1" s="1"/>
  <c r="E268" i="1" a="1"/>
  <c r="E268" i="1" s="1"/>
  <c r="D268" i="1" a="1"/>
  <c r="D268" i="1" s="1"/>
  <c r="C268" i="1" a="1"/>
  <c r="C268" i="1" s="1"/>
  <c r="B268" i="1" a="1"/>
  <c r="B268" i="1" s="1"/>
  <c r="N267" i="1" a="1"/>
  <c r="N267" i="1" s="1"/>
  <c r="M267" i="1" a="1"/>
  <c r="M267" i="1" s="1"/>
  <c r="L267" i="1" a="1"/>
  <c r="L267" i="1" s="1"/>
  <c r="K267" i="1" a="1"/>
  <c r="K267" i="1" s="1"/>
  <c r="J267" i="1" a="1"/>
  <c r="J267" i="1" s="1"/>
  <c r="I267" i="1" a="1"/>
  <c r="I267" i="1" s="1"/>
  <c r="H267" i="1" a="1"/>
  <c r="H267" i="1" s="1"/>
  <c r="G267" i="1" a="1"/>
  <c r="G267" i="1" s="1"/>
  <c r="F267" i="1" a="1"/>
  <c r="F267" i="1" s="1"/>
  <c r="E267" i="1" a="1"/>
  <c r="E267" i="1" s="1"/>
  <c r="D267" i="1" a="1"/>
  <c r="D267" i="1" s="1"/>
  <c r="C267" i="1" a="1"/>
  <c r="C267" i="1" s="1"/>
  <c r="B267" i="1" a="1"/>
  <c r="B267" i="1" s="1"/>
  <c r="N266" i="1" a="1"/>
  <c r="N266" i="1" s="1"/>
  <c r="M266" i="1" a="1"/>
  <c r="M266" i="1" s="1"/>
  <c r="L266" i="1" a="1"/>
  <c r="L266" i="1" s="1"/>
  <c r="K266" i="1" a="1"/>
  <c r="K266" i="1" s="1"/>
  <c r="J266" i="1" a="1"/>
  <c r="J266" i="1" s="1"/>
  <c r="I266" i="1" a="1"/>
  <c r="I266" i="1" s="1"/>
  <c r="H266" i="1" a="1"/>
  <c r="H266" i="1" s="1"/>
  <c r="G266" i="1" a="1"/>
  <c r="G266" i="1" s="1"/>
  <c r="F266" i="1" a="1"/>
  <c r="F266" i="1" s="1"/>
  <c r="E266" i="1" a="1"/>
  <c r="E266" i="1" s="1"/>
  <c r="D266" i="1" a="1"/>
  <c r="D266" i="1" s="1"/>
  <c r="C266" i="1" a="1"/>
  <c r="C266" i="1" s="1"/>
  <c r="B266" i="1" a="1"/>
  <c r="B266" i="1" s="1"/>
  <c r="N265" i="1" a="1"/>
  <c r="N265" i="1" s="1"/>
  <c r="M265" i="1" a="1"/>
  <c r="M265" i="1" s="1"/>
  <c r="L265" i="1" a="1"/>
  <c r="L265" i="1" s="1"/>
  <c r="K265" i="1" a="1"/>
  <c r="K265" i="1" s="1"/>
  <c r="J265" i="1" a="1"/>
  <c r="J265" i="1" s="1"/>
  <c r="I265" i="1" a="1"/>
  <c r="I265" i="1" s="1"/>
  <c r="H265" i="1" a="1"/>
  <c r="H265" i="1" s="1"/>
  <c r="G265" i="1" a="1"/>
  <c r="G265" i="1" s="1"/>
  <c r="F265" i="1" a="1"/>
  <c r="F265" i="1" s="1"/>
  <c r="E265" i="1" a="1"/>
  <c r="E265" i="1" s="1"/>
  <c r="D265" i="1" a="1"/>
  <c r="D265" i="1" s="1"/>
  <c r="C265" i="1" a="1"/>
  <c r="C265" i="1" s="1"/>
  <c r="B265" i="1" a="1"/>
  <c r="B265" i="1" s="1"/>
  <c r="N264" i="1" a="1"/>
  <c r="N264" i="1" s="1"/>
  <c r="M264" i="1" a="1"/>
  <c r="M264" i="1" s="1"/>
  <c r="L264" i="1" a="1"/>
  <c r="L264" i="1" s="1"/>
  <c r="K264" i="1" a="1"/>
  <c r="K264" i="1" s="1"/>
  <c r="J264" i="1" a="1"/>
  <c r="J264" i="1" s="1"/>
  <c r="I264" i="1" a="1"/>
  <c r="I264" i="1" s="1"/>
  <c r="H264" i="1" a="1"/>
  <c r="H264" i="1" s="1"/>
  <c r="G264" i="1" a="1"/>
  <c r="G264" i="1" s="1"/>
  <c r="F264" i="1" a="1"/>
  <c r="F264" i="1" s="1"/>
  <c r="E264" i="1" a="1"/>
  <c r="E264" i="1" s="1"/>
  <c r="D264" i="1" a="1"/>
  <c r="D264" i="1" s="1"/>
  <c r="C264" i="1" a="1"/>
  <c r="C264" i="1" s="1"/>
  <c r="B264" i="1" a="1"/>
  <c r="B264" i="1" s="1"/>
  <c r="N263" i="1" a="1"/>
  <c r="N263" i="1" s="1"/>
  <c r="M263" i="1" a="1"/>
  <c r="M263" i="1" s="1"/>
  <c r="L263" i="1" a="1"/>
  <c r="L263" i="1" s="1"/>
  <c r="K263" i="1" a="1"/>
  <c r="K263" i="1" s="1"/>
  <c r="J263" i="1" a="1"/>
  <c r="J263" i="1" s="1"/>
  <c r="I263" i="1" a="1"/>
  <c r="I263" i="1" s="1"/>
  <c r="H263" i="1" a="1"/>
  <c r="H263" i="1" s="1"/>
  <c r="G263" i="1" a="1"/>
  <c r="G263" i="1" s="1"/>
  <c r="F263" i="1" a="1"/>
  <c r="F263" i="1" s="1"/>
  <c r="E263" i="1" a="1"/>
  <c r="E263" i="1" s="1"/>
  <c r="D263" i="1" a="1"/>
  <c r="D263" i="1" s="1"/>
  <c r="C263" i="1" a="1"/>
  <c r="C263" i="1" s="1"/>
  <c r="B263" i="1" a="1"/>
  <c r="B263" i="1" s="1"/>
  <c r="N262" i="1" a="1"/>
  <c r="N262" i="1" s="1"/>
  <c r="M262" i="1" a="1"/>
  <c r="M262" i="1" s="1"/>
  <c r="L262" i="1" a="1"/>
  <c r="L262" i="1" s="1"/>
  <c r="K262" i="1" a="1"/>
  <c r="K262" i="1" s="1"/>
  <c r="J262" i="1" a="1"/>
  <c r="J262" i="1" s="1"/>
  <c r="I262" i="1" a="1"/>
  <c r="I262" i="1" s="1"/>
  <c r="H262" i="1" a="1"/>
  <c r="H262" i="1" s="1"/>
  <c r="G262" i="1" a="1"/>
  <c r="G262" i="1" s="1"/>
  <c r="F262" i="1" a="1"/>
  <c r="F262" i="1" s="1"/>
  <c r="E262" i="1" a="1"/>
  <c r="E262" i="1" s="1"/>
  <c r="D262" i="1" a="1"/>
  <c r="D262" i="1" s="1"/>
  <c r="C262" i="1" a="1"/>
  <c r="C262" i="1" s="1"/>
  <c r="B262" i="1" a="1"/>
  <c r="B262" i="1" s="1"/>
  <c r="N261" i="1" a="1"/>
  <c r="N261" i="1" s="1"/>
  <c r="M261" i="1" a="1"/>
  <c r="M261" i="1" s="1"/>
  <c r="L261" i="1" a="1"/>
  <c r="L261" i="1" s="1"/>
  <c r="K261" i="1" a="1"/>
  <c r="K261" i="1" s="1"/>
  <c r="J261" i="1" a="1"/>
  <c r="J261" i="1" s="1"/>
  <c r="I261" i="1" a="1"/>
  <c r="I261" i="1" s="1"/>
  <c r="H261" i="1" a="1"/>
  <c r="H261" i="1" s="1"/>
  <c r="G261" i="1" a="1"/>
  <c r="G261" i="1" s="1"/>
  <c r="F261" i="1" a="1"/>
  <c r="F261" i="1" s="1"/>
  <c r="E261" i="1" a="1"/>
  <c r="E261" i="1" s="1"/>
  <c r="D261" i="1" a="1"/>
  <c r="D261" i="1" s="1"/>
  <c r="C261" i="1" a="1"/>
  <c r="C261" i="1" s="1"/>
  <c r="B261" i="1" a="1"/>
  <c r="B261" i="1" s="1"/>
  <c r="N260" i="1" a="1"/>
  <c r="N260" i="1" s="1"/>
  <c r="M260" i="1" a="1"/>
  <c r="M260" i="1" s="1"/>
  <c r="L260" i="1" a="1"/>
  <c r="L260" i="1" s="1"/>
  <c r="K260" i="1" a="1"/>
  <c r="K260" i="1" s="1"/>
  <c r="J260" i="1" a="1"/>
  <c r="J260" i="1" s="1"/>
  <c r="I260" i="1" a="1"/>
  <c r="I260" i="1" s="1"/>
  <c r="H260" i="1" a="1"/>
  <c r="H260" i="1" s="1"/>
  <c r="G260" i="1" a="1"/>
  <c r="G260" i="1" s="1"/>
  <c r="F260" i="1" a="1"/>
  <c r="F260" i="1" s="1"/>
  <c r="E260" i="1" a="1"/>
  <c r="E260" i="1" s="1"/>
  <c r="D260" i="1" a="1"/>
  <c r="D260" i="1" s="1"/>
  <c r="C260" i="1" a="1"/>
  <c r="C260" i="1" s="1"/>
  <c r="B260" i="1" a="1"/>
  <c r="B260" i="1" s="1"/>
  <c r="N259" i="1" a="1"/>
  <c r="N259" i="1" s="1"/>
  <c r="M259" i="1" a="1"/>
  <c r="M259" i="1" s="1"/>
  <c r="L259" i="1" a="1"/>
  <c r="L259" i="1" s="1"/>
  <c r="K259" i="1" a="1"/>
  <c r="K259" i="1" s="1"/>
  <c r="J259" i="1" a="1"/>
  <c r="J259" i="1" s="1"/>
  <c r="I259" i="1" a="1"/>
  <c r="I259" i="1" s="1"/>
  <c r="H259" i="1" a="1"/>
  <c r="H259" i="1" s="1"/>
  <c r="G259" i="1" a="1"/>
  <c r="G259" i="1" s="1"/>
  <c r="F259" i="1" a="1"/>
  <c r="F259" i="1" s="1"/>
  <c r="E259" i="1" a="1"/>
  <c r="E259" i="1" s="1"/>
  <c r="D259" i="1" a="1"/>
  <c r="D259" i="1" s="1"/>
  <c r="C259" i="1" a="1"/>
  <c r="C259" i="1" s="1"/>
  <c r="B259" i="1" a="1"/>
  <c r="B259" i="1" s="1"/>
  <c r="N258" i="1" a="1"/>
  <c r="N258" i="1" s="1"/>
  <c r="M258" i="1" a="1"/>
  <c r="M258" i="1" s="1"/>
  <c r="L258" i="1" a="1"/>
  <c r="L258" i="1" s="1"/>
  <c r="K258" i="1" a="1"/>
  <c r="K258" i="1" s="1"/>
  <c r="J258" i="1" a="1"/>
  <c r="J258" i="1" s="1"/>
  <c r="I258" i="1" a="1"/>
  <c r="I258" i="1" s="1"/>
  <c r="H258" i="1" a="1"/>
  <c r="H258" i="1" s="1"/>
  <c r="G258" i="1" a="1"/>
  <c r="G258" i="1" s="1"/>
  <c r="F258" i="1" a="1"/>
  <c r="F258" i="1" s="1"/>
  <c r="E258" i="1" a="1"/>
  <c r="E258" i="1" s="1"/>
  <c r="D258" i="1" a="1"/>
  <c r="D258" i="1" s="1"/>
  <c r="C258" i="1" a="1"/>
  <c r="C258" i="1" s="1"/>
  <c r="B258" i="1" a="1"/>
  <c r="B258" i="1" s="1"/>
  <c r="N257" i="1" a="1"/>
  <c r="N257" i="1" s="1"/>
  <c r="M257" i="1" a="1"/>
  <c r="M257" i="1" s="1"/>
  <c r="L257" i="1" a="1"/>
  <c r="L257" i="1" s="1"/>
  <c r="K257" i="1" a="1"/>
  <c r="K257" i="1" s="1"/>
  <c r="J257" i="1" a="1"/>
  <c r="J257" i="1" s="1"/>
  <c r="I257" i="1" a="1"/>
  <c r="I257" i="1" s="1"/>
  <c r="H257" i="1" a="1"/>
  <c r="H257" i="1" s="1"/>
  <c r="G257" i="1" a="1"/>
  <c r="G257" i="1" s="1"/>
  <c r="F257" i="1" a="1"/>
  <c r="F257" i="1" s="1"/>
  <c r="E257" i="1" a="1"/>
  <c r="E257" i="1" s="1"/>
  <c r="D257" i="1" a="1"/>
  <c r="D257" i="1" s="1"/>
  <c r="C257" i="1" a="1"/>
  <c r="C257" i="1" s="1"/>
  <c r="B257" i="1" a="1"/>
  <c r="B257" i="1" s="1"/>
  <c r="N256" i="1" a="1"/>
  <c r="N256" i="1" s="1"/>
  <c r="M256" i="1" a="1"/>
  <c r="M256" i="1" s="1"/>
  <c r="L256" i="1" a="1"/>
  <c r="L256" i="1" s="1"/>
  <c r="K256" i="1" a="1"/>
  <c r="K256" i="1" s="1"/>
  <c r="J256" i="1" a="1"/>
  <c r="J256" i="1" s="1"/>
  <c r="I256" i="1" a="1"/>
  <c r="I256" i="1" s="1"/>
  <c r="H256" i="1" a="1"/>
  <c r="H256" i="1" s="1"/>
  <c r="G256" i="1" a="1"/>
  <c r="G256" i="1" s="1"/>
  <c r="F256" i="1" a="1"/>
  <c r="F256" i="1" s="1"/>
  <c r="E256" i="1" a="1"/>
  <c r="E256" i="1" s="1"/>
  <c r="D256" i="1" a="1"/>
  <c r="D256" i="1" s="1"/>
  <c r="C256" i="1" a="1"/>
  <c r="C256" i="1" s="1"/>
  <c r="B256" i="1" a="1"/>
  <c r="B256" i="1" s="1"/>
  <c r="N255" i="1" a="1"/>
  <c r="N255" i="1" s="1"/>
  <c r="M255" i="1" a="1"/>
  <c r="M255" i="1" s="1"/>
  <c r="L255" i="1" a="1"/>
  <c r="L255" i="1" s="1"/>
  <c r="K255" i="1" a="1"/>
  <c r="K255" i="1" s="1"/>
  <c r="J255" i="1" a="1"/>
  <c r="J255" i="1" s="1"/>
  <c r="I255" i="1" a="1"/>
  <c r="I255" i="1" s="1"/>
  <c r="H255" i="1" a="1"/>
  <c r="H255" i="1" s="1"/>
  <c r="G255" i="1" a="1"/>
  <c r="G255" i="1" s="1"/>
  <c r="F255" i="1" a="1"/>
  <c r="F255" i="1" s="1"/>
  <c r="E255" i="1" a="1"/>
  <c r="E255" i="1" s="1"/>
  <c r="D255" i="1" a="1"/>
  <c r="D255" i="1" s="1"/>
  <c r="C255" i="1" a="1"/>
  <c r="C255" i="1" s="1"/>
  <c r="B255" i="1" a="1"/>
  <c r="B255" i="1" s="1"/>
  <c r="N254" i="1" a="1"/>
  <c r="N254" i="1" s="1"/>
  <c r="M254" i="1" a="1"/>
  <c r="M254" i="1" s="1"/>
  <c r="L254" i="1" a="1"/>
  <c r="L254" i="1" s="1"/>
  <c r="K254" i="1" a="1"/>
  <c r="K254" i="1" s="1"/>
  <c r="J254" i="1" a="1"/>
  <c r="J254" i="1" s="1"/>
  <c r="I254" i="1" a="1"/>
  <c r="I254" i="1" s="1"/>
  <c r="H254" i="1" a="1"/>
  <c r="H254" i="1" s="1"/>
  <c r="G254" i="1" a="1"/>
  <c r="G254" i="1" s="1"/>
  <c r="F254" i="1" a="1"/>
  <c r="F254" i="1" s="1"/>
  <c r="E254" i="1" a="1"/>
  <c r="E254" i="1" s="1"/>
  <c r="D254" i="1" a="1"/>
  <c r="D254" i="1" s="1"/>
  <c r="C254" i="1" a="1"/>
  <c r="C254" i="1" s="1"/>
  <c r="B254" i="1" a="1"/>
  <c r="B254" i="1" s="1"/>
  <c r="N253" i="1" a="1"/>
  <c r="N253" i="1" s="1"/>
  <c r="M253" i="1" a="1"/>
  <c r="M253" i="1" s="1"/>
  <c r="L253" i="1" a="1"/>
  <c r="L253" i="1" s="1"/>
  <c r="K253" i="1" a="1"/>
  <c r="K253" i="1" s="1"/>
  <c r="J253" i="1" a="1"/>
  <c r="J253" i="1" s="1"/>
  <c r="I253" i="1" a="1"/>
  <c r="I253" i="1" s="1"/>
  <c r="H253" i="1" a="1"/>
  <c r="H253" i="1" s="1"/>
  <c r="G253" i="1" a="1"/>
  <c r="G253" i="1" s="1"/>
  <c r="F253" i="1" a="1"/>
  <c r="F253" i="1" s="1"/>
  <c r="E253" i="1" a="1"/>
  <c r="E253" i="1" s="1"/>
  <c r="D253" i="1" a="1"/>
  <c r="D253" i="1" s="1"/>
  <c r="C253" i="1" a="1"/>
  <c r="C253" i="1" s="1"/>
  <c r="B253" i="1" a="1"/>
  <c r="B253" i="1" s="1"/>
  <c r="N252" i="1" a="1"/>
  <c r="N252" i="1" s="1"/>
  <c r="M252" i="1" a="1"/>
  <c r="M252" i="1" s="1"/>
  <c r="L252" i="1" a="1"/>
  <c r="L252" i="1" s="1"/>
  <c r="K252" i="1" a="1"/>
  <c r="K252" i="1" s="1"/>
  <c r="J252" i="1" a="1"/>
  <c r="J252" i="1" s="1"/>
  <c r="I252" i="1" a="1"/>
  <c r="I252" i="1" s="1"/>
  <c r="H252" i="1" a="1"/>
  <c r="H252" i="1" s="1"/>
  <c r="G252" i="1" a="1"/>
  <c r="G252" i="1" s="1"/>
  <c r="F252" i="1" a="1"/>
  <c r="F252" i="1" s="1"/>
  <c r="E252" i="1" a="1"/>
  <c r="E252" i="1" s="1"/>
  <c r="D252" i="1" a="1"/>
  <c r="D252" i="1" s="1"/>
  <c r="C252" i="1" a="1"/>
  <c r="C252" i="1" s="1"/>
  <c r="B252" i="1" a="1"/>
  <c r="B252" i="1" s="1"/>
  <c r="N251" i="1" a="1"/>
  <c r="N251" i="1" s="1"/>
  <c r="M251" i="1" a="1"/>
  <c r="M251" i="1" s="1"/>
  <c r="L251" i="1" a="1"/>
  <c r="L251" i="1" s="1"/>
  <c r="K251" i="1" a="1"/>
  <c r="K251" i="1" s="1"/>
  <c r="J251" i="1" a="1"/>
  <c r="J251" i="1" s="1"/>
  <c r="I251" i="1" a="1"/>
  <c r="I251" i="1" s="1"/>
  <c r="H251" i="1" a="1"/>
  <c r="H251" i="1" s="1"/>
  <c r="G251" i="1" a="1"/>
  <c r="G251" i="1" s="1"/>
  <c r="F251" i="1" a="1"/>
  <c r="F251" i="1" s="1"/>
  <c r="E251" i="1" a="1"/>
  <c r="E251" i="1" s="1"/>
  <c r="D251" i="1" a="1"/>
  <c r="D251" i="1" s="1"/>
  <c r="C251" i="1" a="1"/>
  <c r="C251" i="1" s="1"/>
  <c r="B251" i="1" a="1"/>
  <c r="B251" i="1" s="1"/>
  <c r="N250" i="1" a="1"/>
  <c r="N250" i="1" s="1"/>
  <c r="M250" i="1" a="1"/>
  <c r="M250" i="1" s="1"/>
  <c r="L250" i="1" a="1"/>
  <c r="L250" i="1" s="1"/>
  <c r="K250" i="1" a="1"/>
  <c r="K250" i="1" s="1"/>
  <c r="J250" i="1" a="1"/>
  <c r="J250" i="1" s="1"/>
  <c r="I250" i="1" a="1"/>
  <c r="I250" i="1" s="1"/>
  <c r="H250" i="1" a="1"/>
  <c r="H250" i="1" s="1"/>
  <c r="G250" i="1" a="1"/>
  <c r="G250" i="1" s="1"/>
  <c r="F250" i="1" a="1"/>
  <c r="F250" i="1" s="1"/>
  <c r="E250" i="1" a="1"/>
  <c r="E250" i="1" s="1"/>
  <c r="D250" i="1" a="1"/>
  <c r="D250" i="1" s="1"/>
  <c r="C250" i="1" a="1"/>
  <c r="C250" i="1" s="1"/>
  <c r="B250" i="1" a="1"/>
  <c r="B250" i="1" s="1"/>
  <c r="N249" i="1" a="1"/>
  <c r="N249" i="1" s="1"/>
  <c r="M249" i="1" a="1"/>
  <c r="M249" i="1" s="1"/>
  <c r="L249" i="1" a="1"/>
  <c r="L249" i="1" s="1"/>
  <c r="K249" i="1" a="1"/>
  <c r="K249" i="1" s="1"/>
  <c r="J249" i="1" a="1"/>
  <c r="J249" i="1" s="1"/>
  <c r="I249" i="1" a="1"/>
  <c r="I249" i="1" s="1"/>
  <c r="H249" i="1" a="1"/>
  <c r="H249" i="1" s="1"/>
  <c r="G249" i="1" a="1"/>
  <c r="G249" i="1" s="1"/>
  <c r="F249" i="1" a="1"/>
  <c r="F249" i="1" s="1"/>
  <c r="E249" i="1" a="1"/>
  <c r="E249" i="1" s="1"/>
  <c r="D249" i="1" a="1"/>
  <c r="D249" i="1" s="1"/>
  <c r="C249" i="1" a="1"/>
  <c r="C249" i="1" s="1"/>
  <c r="B249" i="1" a="1"/>
  <c r="B249" i="1" s="1"/>
  <c r="N248" i="1" a="1"/>
  <c r="N248" i="1" s="1"/>
  <c r="M248" i="1" a="1"/>
  <c r="M248" i="1" s="1"/>
  <c r="L248" i="1" a="1"/>
  <c r="L248" i="1" s="1"/>
  <c r="K248" i="1" a="1"/>
  <c r="K248" i="1" s="1"/>
  <c r="J248" i="1" a="1"/>
  <c r="J248" i="1" s="1"/>
  <c r="I248" i="1" a="1"/>
  <c r="I248" i="1" s="1"/>
  <c r="H248" i="1" a="1"/>
  <c r="H248" i="1" s="1"/>
  <c r="G248" i="1" a="1"/>
  <c r="G248" i="1" s="1"/>
  <c r="F248" i="1" a="1"/>
  <c r="F248" i="1" s="1"/>
  <c r="E248" i="1" a="1"/>
  <c r="E248" i="1" s="1"/>
  <c r="D248" i="1" a="1"/>
  <c r="D248" i="1" s="1"/>
  <c r="C248" i="1" a="1"/>
  <c r="C248" i="1" s="1"/>
  <c r="B248" i="1" a="1"/>
  <c r="B248" i="1" s="1"/>
  <c r="N247" i="1" a="1"/>
  <c r="N247" i="1" s="1"/>
  <c r="M247" i="1" a="1"/>
  <c r="M247" i="1" s="1"/>
  <c r="L247" i="1" a="1"/>
  <c r="L247" i="1" s="1"/>
  <c r="K247" i="1" a="1"/>
  <c r="K247" i="1" s="1"/>
  <c r="J247" i="1" a="1"/>
  <c r="J247" i="1" s="1"/>
  <c r="I247" i="1" a="1"/>
  <c r="I247" i="1" s="1"/>
  <c r="H247" i="1" a="1"/>
  <c r="H247" i="1" s="1"/>
  <c r="G247" i="1" a="1"/>
  <c r="G247" i="1" s="1"/>
  <c r="F247" i="1" a="1"/>
  <c r="F247" i="1" s="1"/>
  <c r="E247" i="1" a="1"/>
  <c r="E247" i="1" s="1"/>
  <c r="D247" i="1" a="1"/>
  <c r="D247" i="1" s="1"/>
  <c r="C247" i="1" a="1"/>
  <c r="C247" i="1" s="1"/>
  <c r="B247" i="1" a="1"/>
  <c r="B247" i="1" s="1"/>
  <c r="N246" i="1" a="1"/>
  <c r="N246" i="1" s="1"/>
  <c r="M246" i="1" a="1"/>
  <c r="M246" i="1" s="1"/>
  <c r="L246" i="1" a="1"/>
  <c r="L246" i="1" s="1"/>
  <c r="K246" i="1" a="1"/>
  <c r="K246" i="1" s="1"/>
  <c r="J246" i="1" a="1"/>
  <c r="J246" i="1" s="1"/>
  <c r="I246" i="1" a="1"/>
  <c r="I246" i="1" s="1"/>
  <c r="H246" i="1" a="1"/>
  <c r="H246" i="1" s="1"/>
  <c r="G246" i="1" a="1"/>
  <c r="G246" i="1" s="1"/>
  <c r="F246" i="1" a="1"/>
  <c r="F246" i="1" s="1"/>
  <c r="E246" i="1" a="1"/>
  <c r="E246" i="1" s="1"/>
  <c r="D246" i="1" a="1"/>
  <c r="D246" i="1" s="1"/>
  <c r="C246" i="1" a="1"/>
  <c r="C246" i="1" s="1"/>
  <c r="B246" i="1" a="1"/>
  <c r="B246" i="1" s="1"/>
  <c r="N245" i="1" a="1"/>
  <c r="N245" i="1" s="1"/>
  <c r="M245" i="1" a="1"/>
  <c r="M245" i="1" s="1"/>
  <c r="L245" i="1" a="1"/>
  <c r="L245" i="1" s="1"/>
  <c r="K245" i="1" a="1"/>
  <c r="K245" i="1" s="1"/>
  <c r="J245" i="1" a="1"/>
  <c r="J245" i="1" s="1"/>
  <c r="I245" i="1" a="1"/>
  <c r="I245" i="1" s="1"/>
  <c r="H245" i="1" a="1"/>
  <c r="H245" i="1" s="1"/>
  <c r="G245" i="1" a="1"/>
  <c r="G245" i="1" s="1"/>
  <c r="F245" i="1" a="1"/>
  <c r="F245" i="1" s="1"/>
  <c r="E245" i="1" a="1"/>
  <c r="E245" i="1" s="1"/>
  <c r="D245" i="1" a="1"/>
  <c r="D245" i="1" s="1"/>
  <c r="C245" i="1" a="1"/>
  <c r="C245" i="1" s="1"/>
  <c r="B245" i="1" a="1"/>
  <c r="B245" i="1" s="1"/>
  <c r="N244" i="1" a="1"/>
  <c r="N244" i="1" s="1"/>
  <c r="M244" i="1" a="1"/>
  <c r="M244" i="1" s="1"/>
  <c r="L244" i="1" a="1"/>
  <c r="L244" i="1" s="1"/>
  <c r="K244" i="1" a="1"/>
  <c r="K244" i="1" s="1"/>
  <c r="J244" i="1" a="1"/>
  <c r="J244" i="1" s="1"/>
  <c r="I244" i="1" a="1"/>
  <c r="I244" i="1" s="1"/>
  <c r="H244" i="1" a="1"/>
  <c r="H244" i="1" s="1"/>
  <c r="G244" i="1" a="1"/>
  <c r="G244" i="1" s="1"/>
  <c r="F244" i="1" a="1"/>
  <c r="F244" i="1" s="1"/>
  <c r="E244" i="1" a="1"/>
  <c r="E244" i="1" s="1"/>
  <c r="D244" i="1" a="1"/>
  <c r="D244" i="1" s="1"/>
  <c r="C244" i="1" a="1"/>
  <c r="C244" i="1" s="1"/>
  <c r="B244" i="1" a="1"/>
  <c r="B244" i="1" s="1"/>
  <c r="N243" i="1" a="1"/>
  <c r="N243" i="1" s="1"/>
  <c r="M243" i="1" a="1"/>
  <c r="M243" i="1" s="1"/>
  <c r="L243" i="1" a="1"/>
  <c r="L243" i="1" s="1"/>
  <c r="K243" i="1" a="1"/>
  <c r="K243" i="1" s="1"/>
  <c r="J243" i="1" a="1"/>
  <c r="J243" i="1" s="1"/>
  <c r="I243" i="1" a="1"/>
  <c r="I243" i="1" s="1"/>
  <c r="H243" i="1" a="1"/>
  <c r="H243" i="1" s="1"/>
  <c r="G243" i="1" a="1"/>
  <c r="G243" i="1" s="1"/>
  <c r="F243" i="1" a="1"/>
  <c r="F243" i="1" s="1"/>
  <c r="E243" i="1" a="1"/>
  <c r="E243" i="1" s="1"/>
  <c r="D243" i="1" a="1"/>
  <c r="D243" i="1" s="1"/>
  <c r="C243" i="1" a="1"/>
  <c r="C243" i="1" s="1"/>
  <c r="B243" i="1" a="1"/>
  <c r="B243" i="1" s="1"/>
  <c r="N242" i="1" a="1"/>
  <c r="N242" i="1" s="1"/>
  <c r="M242" i="1" a="1"/>
  <c r="M242" i="1" s="1"/>
  <c r="L242" i="1" a="1"/>
  <c r="L242" i="1" s="1"/>
  <c r="K242" i="1" a="1"/>
  <c r="K242" i="1" s="1"/>
  <c r="J242" i="1" a="1"/>
  <c r="J242" i="1" s="1"/>
  <c r="I242" i="1" a="1"/>
  <c r="I242" i="1" s="1"/>
  <c r="H242" i="1" a="1"/>
  <c r="H242" i="1" s="1"/>
  <c r="G242" i="1" a="1"/>
  <c r="G242" i="1" s="1"/>
  <c r="F242" i="1" a="1"/>
  <c r="F242" i="1" s="1"/>
  <c r="E242" i="1" a="1"/>
  <c r="E242" i="1" s="1"/>
  <c r="D242" i="1" a="1"/>
  <c r="D242" i="1" s="1"/>
  <c r="C242" i="1" a="1"/>
  <c r="C242" i="1" s="1"/>
  <c r="B242" i="1" a="1"/>
  <c r="B242" i="1" s="1"/>
  <c r="N241" i="1" a="1"/>
  <c r="N241" i="1" s="1"/>
  <c r="M241" i="1" a="1"/>
  <c r="M241" i="1" s="1"/>
  <c r="L241" i="1" a="1"/>
  <c r="L241" i="1" s="1"/>
  <c r="K241" i="1" a="1"/>
  <c r="K241" i="1" s="1"/>
  <c r="J241" i="1" a="1"/>
  <c r="J241" i="1" s="1"/>
  <c r="I241" i="1" a="1"/>
  <c r="I241" i="1" s="1"/>
  <c r="H241" i="1" a="1"/>
  <c r="H241" i="1" s="1"/>
  <c r="G241" i="1" a="1"/>
  <c r="G241" i="1" s="1"/>
  <c r="F241" i="1" a="1"/>
  <c r="F241" i="1" s="1"/>
  <c r="E241" i="1" a="1"/>
  <c r="E241" i="1" s="1"/>
  <c r="D241" i="1" a="1"/>
  <c r="D241" i="1" s="1"/>
  <c r="C241" i="1" a="1"/>
  <c r="C241" i="1" s="1"/>
  <c r="B241" i="1" a="1"/>
  <c r="B241" i="1" s="1"/>
  <c r="N240" i="1" a="1"/>
  <c r="N240" i="1" s="1"/>
  <c r="M240" i="1" a="1"/>
  <c r="M240" i="1" s="1"/>
  <c r="L240" i="1" a="1"/>
  <c r="L240" i="1" s="1"/>
  <c r="K240" i="1" a="1"/>
  <c r="K240" i="1" s="1"/>
  <c r="J240" i="1" a="1"/>
  <c r="J240" i="1" s="1"/>
  <c r="I240" i="1" a="1"/>
  <c r="I240" i="1" s="1"/>
  <c r="H240" i="1" a="1"/>
  <c r="H240" i="1" s="1"/>
  <c r="G240" i="1" a="1"/>
  <c r="G240" i="1" s="1"/>
  <c r="F240" i="1" a="1"/>
  <c r="F240" i="1" s="1"/>
  <c r="E240" i="1" a="1"/>
  <c r="E240" i="1" s="1"/>
  <c r="D240" i="1" a="1"/>
  <c r="D240" i="1" s="1"/>
  <c r="C240" i="1" a="1"/>
  <c r="C240" i="1" s="1"/>
  <c r="B240" i="1" a="1"/>
  <c r="B240" i="1" s="1"/>
  <c r="N239" i="1" a="1"/>
  <c r="N239" i="1" s="1"/>
  <c r="M239" i="1" a="1"/>
  <c r="M239" i="1" s="1"/>
  <c r="L239" i="1" a="1"/>
  <c r="L239" i="1" s="1"/>
  <c r="K239" i="1" a="1"/>
  <c r="K239" i="1" s="1"/>
  <c r="J239" i="1" a="1"/>
  <c r="J239" i="1" s="1"/>
  <c r="I239" i="1" a="1"/>
  <c r="I239" i="1" s="1"/>
  <c r="H239" i="1" a="1"/>
  <c r="H239" i="1" s="1"/>
  <c r="G239" i="1" a="1"/>
  <c r="G239" i="1" s="1"/>
  <c r="F239" i="1" a="1"/>
  <c r="F239" i="1" s="1"/>
  <c r="E239" i="1" a="1"/>
  <c r="E239" i="1" s="1"/>
  <c r="D239" i="1" a="1"/>
  <c r="D239" i="1" s="1"/>
  <c r="C239" i="1" a="1"/>
  <c r="C239" i="1" s="1"/>
  <c r="B239" i="1" a="1"/>
  <c r="B239" i="1" s="1"/>
  <c r="N238" i="1" a="1"/>
  <c r="N238" i="1" s="1"/>
  <c r="M238" i="1" a="1"/>
  <c r="M238" i="1" s="1"/>
  <c r="L238" i="1" a="1"/>
  <c r="L238" i="1" s="1"/>
  <c r="K238" i="1" a="1"/>
  <c r="K238" i="1" s="1"/>
  <c r="J238" i="1" a="1"/>
  <c r="J238" i="1" s="1"/>
  <c r="I238" i="1" a="1"/>
  <c r="I238" i="1" s="1"/>
  <c r="H238" i="1" a="1"/>
  <c r="H238" i="1" s="1"/>
  <c r="G238" i="1" a="1"/>
  <c r="G238" i="1" s="1"/>
  <c r="F238" i="1" a="1"/>
  <c r="F238" i="1" s="1"/>
  <c r="E238" i="1" a="1"/>
  <c r="E238" i="1" s="1"/>
  <c r="D238" i="1" a="1"/>
  <c r="D238" i="1" s="1"/>
  <c r="C238" i="1" a="1"/>
  <c r="C238" i="1" s="1"/>
  <c r="B238" i="1" a="1"/>
  <c r="B238" i="1" s="1"/>
  <c r="N237" i="1" a="1"/>
  <c r="N237" i="1" s="1"/>
  <c r="M237" i="1" a="1"/>
  <c r="M237" i="1" s="1"/>
  <c r="L237" i="1" a="1"/>
  <c r="L237" i="1" s="1"/>
  <c r="K237" i="1" a="1"/>
  <c r="K237" i="1" s="1"/>
  <c r="J237" i="1" a="1"/>
  <c r="J237" i="1" s="1"/>
  <c r="I237" i="1" a="1"/>
  <c r="I237" i="1" s="1"/>
  <c r="H237" i="1" a="1"/>
  <c r="H237" i="1" s="1"/>
  <c r="G237" i="1" a="1"/>
  <c r="G237" i="1" s="1"/>
  <c r="F237" i="1" a="1"/>
  <c r="F237" i="1" s="1"/>
  <c r="E237" i="1" a="1"/>
  <c r="E237" i="1" s="1"/>
  <c r="D237" i="1" a="1"/>
  <c r="D237" i="1" s="1"/>
  <c r="C237" i="1" a="1"/>
  <c r="C237" i="1" s="1"/>
  <c r="B237" i="1" a="1"/>
  <c r="B237" i="1" s="1"/>
  <c r="N236" i="1" a="1"/>
  <c r="N236" i="1" s="1"/>
  <c r="M236" i="1" a="1"/>
  <c r="M236" i="1" s="1"/>
  <c r="L236" i="1" a="1"/>
  <c r="L236" i="1" s="1"/>
  <c r="K236" i="1" a="1"/>
  <c r="K236" i="1" s="1"/>
  <c r="J236" i="1" a="1"/>
  <c r="J236" i="1" s="1"/>
  <c r="I236" i="1" a="1"/>
  <c r="I236" i="1" s="1"/>
  <c r="H236" i="1" a="1"/>
  <c r="H236" i="1" s="1"/>
  <c r="G236" i="1" a="1"/>
  <c r="G236" i="1" s="1"/>
  <c r="F236" i="1" a="1"/>
  <c r="F236" i="1" s="1"/>
  <c r="E236" i="1" a="1"/>
  <c r="E236" i="1" s="1"/>
  <c r="D236" i="1" a="1"/>
  <c r="D236" i="1" s="1"/>
  <c r="C236" i="1" a="1"/>
  <c r="C236" i="1" s="1"/>
  <c r="B236" i="1" a="1"/>
  <c r="B236" i="1" s="1"/>
  <c r="N235" i="1" a="1"/>
  <c r="N235" i="1" s="1"/>
  <c r="M235" i="1" a="1"/>
  <c r="M235" i="1" s="1"/>
  <c r="L235" i="1" a="1"/>
  <c r="L235" i="1" s="1"/>
  <c r="K235" i="1" a="1"/>
  <c r="K235" i="1" s="1"/>
  <c r="J235" i="1" a="1"/>
  <c r="J235" i="1" s="1"/>
  <c r="I235" i="1" a="1"/>
  <c r="I235" i="1" s="1"/>
  <c r="H235" i="1" a="1"/>
  <c r="H235" i="1" s="1"/>
  <c r="G235" i="1" a="1"/>
  <c r="G235" i="1" s="1"/>
  <c r="F235" i="1" a="1"/>
  <c r="F235" i="1" s="1"/>
  <c r="E235" i="1" a="1"/>
  <c r="E235" i="1" s="1"/>
  <c r="D235" i="1" a="1"/>
  <c r="D235" i="1" s="1"/>
  <c r="C235" i="1" a="1"/>
  <c r="C235" i="1" s="1"/>
  <c r="B235" i="1" a="1"/>
  <c r="B235" i="1" s="1"/>
  <c r="N234" i="1" a="1"/>
  <c r="N234" i="1" s="1"/>
  <c r="M234" i="1" a="1"/>
  <c r="M234" i="1" s="1"/>
  <c r="L234" i="1" a="1"/>
  <c r="L234" i="1" s="1"/>
  <c r="K234" i="1" a="1"/>
  <c r="K234" i="1" s="1"/>
  <c r="J234" i="1" a="1"/>
  <c r="J234" i="1" s="1"/>
  <c r="I234" i="1" a="1"/>
  <c r="I234" i="1" s="1"/>
  <c r="H234" i="1" a="1"/>
  <c r="H234" i="1" s="1"/>
  <c r="G234" i="1" a="1"/>
  <c r="G234" i="1" s="1"/>
  <c r="F234" i="1" a="1"/>
  <c r="F234" i="1" s="1"/>
  <c r="E234" i="1" a="1"/>
  <c r="E234" i="1" s="1"/>
  <c r="D234" i="1" a="1"/>
  <c r="D234" i="1" s="1"/>
  <c r="C234" i="1" a="1"/>
  <c r="C234" i="1" s="1"/>
  <c r="B234" i="1" a="1"/>
  <c r="B234" i="1" s="1"/>
  <c r="N233" i="1" a="1"/>
  <c r="N233" i="1" s="1"/>
  <c r="M233" i="1" a="1"/>
  <c r="M233" i="1" s="1"/>
  <c r="L233" i="1" a="1"/>
  <c r="L233" i="1" s="1"/>
  <c r="K233" i="1" a="1"/>
  <c r="K233" i="1" s="1"/>
  <c r="J233" i="1" a="1"/>
  <c r="J233" i="1" s="1"/>
  <c r="I233" i="1" a="1"/>
  <c r="I233" i="1" s="1"/>
  <c r="H233" i="1" a="1"/>
  <c r="H233" i="1" s="1"/>
  <c r="G233" i="1" a="1"/>
  <c r="G233" i="1" s="1"/>
  <c r="F233" i="1" a="1"/>
  <c r="F233" i="1" s="1"/>
  <c r="E233" i="1" a="1"/>
  <c r="E233" i="1" s="1"/>
  <c r="D233" i="1" a="1"/>
  <c r="D233" i="1" s="1"/>
  <c r="C233" i="1" a="1"/>
  <c r="C233" i="1" s="1"/>
  <c r="B233" i="1" a="1"/>
  <c r="B233" i="1" s="1"/>
  <c r="N232" i="1" a="1"/>
  <c r="N232" i="1" s="1"/>
  <c r="M232" i="1" a="1"/>
  <c r="M232" i="1" s="1"/>
  <c r="L232" i="1" a="1"/>
  <c r="L232" i="1" s="1"/>
  <c r="K232" i="1" a="1"/>
  <c r="K232" i="1" s="1"/>
  <c r="J232" i="1" a="1"/>
  <c r="J232" i="1" s="1"/>
  <c r="I232" i="1" a="1"/>
  <c r="I232" i="1" s="1"/>
  <c r="H232" i="1" a="1"/>
  <c r="H232" i="1" s="1"/>
  <c r="G232" i="1" a="1"/>
  <c r="G232" i="1" s="1"/>
  <c r="F232" i="1" a="1"/>
  <c r="F232" i="1" s="1"/>
  <c r="E232" i="1" a="1"/>
  <c r="E232" i="1" s="1"/>
  <c r="D232" i="1" a="1"/>
  <c r="D232" i="1" s="1"/>
  <c r="C232" i="1" a="1"/>
  <c r="C232" i="1" s="1"/>
  <c r="B232" i="1" a="1"/>
  <c r="B232" i="1" s="1"/>
  <c r="N231" i="1" a="1"/>
  <c r="N231" i="1" s="1"/>
  <c r="M231" i="1" a="1"/>
  <c r="M231" i="1" s="1"/>
  <c r="L231" i="1" a="1"/>
  <c r="L231" i="1" s="1"/>
  <c r="K231" i="1" a="1"/>
  <c r="K231" i="1" s="1"/>
  <c r="J231" i="1" a="1"/>
  <c r="J231" i="1" s="1"/>
  <c r="I231" i="1" a="1"/>
  <c r="I231" i="1" s="1"/>
  <c r="H231" i="1" a="1"/>
  <c r="H231" i="1" s="1"/>
  <c r="G231" i="1" a="1"/>
  <c r="G231" i="1" s="1"/>
  <c r="F231" i="1" a="1"/>
  <c r="F231" i="1" s="1"/>
  <c r="E231" i="1" a="1"/>
  <c r="E231" i="1" s="1"/>
  <c r="D231" i="1" a="1"/>
  <c r="D231" i="1" s="1"/>
  <c r="C231" i="1" a="1"/>
  <c r="C231" i="1" s="1"/>
  <c r="B231" i="1" a="1"/>
  <c r="B231" i="1" s="1"/>
  <c r="N230" i="1" a="1"/>
  <c r="N230" i="1" s="1"/>
  <c r="M230" i="1" a="1"/>
  <c r="M230" i="1" s="1"/>
  <c r="L230" i="1" a="1"/>
  <c r="L230" i="1" s="1"/>
  <c r="K230" i="1" a="1"/>
  <c r="K230" i="1" s="1"/>
  <c r="J230" i="1" a="1"/>
  <c r="J230" i="1" s="1"/>
  <c r="I230" i="1" a="1"/>
  <c r="I230" i="1" s="1"/>
  <c r="H230" i="1" a="1"/>
  <c r="H230" i="1" s="1"/>
  <c r="G230" i="1" a="1"/>
  <c r="G230" i="1" s="1"/>
  <c r="F230" i="1" a="1"/>
  <c r="F230" i="1" s="1"/>
  <c r="E230" i="1" a="1"/>
  <c r="E230" i="1" s="1"/>
  <c r="D230" i="1" a="1"/>
  <c r="D230" i="1" s="1"/>
  <c r="C230" i="1" a="1"/>
  <c r="C230" i="1" s="1"/>
  <c r="B230" i="1" a="1"/>
  <c r="B230" i="1" s="1"/>
  <c r="N229" i="1" a="1"/>
  <c r="N229" i="1" s="1"/>
  <c r="M229" i="1" a="1"/>
  <c r="M229" i="1" s="1"/>
  <c r="L229" i="1" a="1"/>
  <c r="L229" i="1" s="1"/>
  <c r="K229" i="1" a="1"/>
  <c r="K229" i="1" s="1"/>
  <c r="J229" i="1" a="1"/>
  <c r="J229" i="1" s="1"/>
  <c r="I229" i="1" a="1"/>
  <c r="I229" i="1" s="1"/>
  <c r="H229" i="1" a="1"/>
  <c r="H229" i="1" s="1"/>
  <c r="G229" i="1" a="1"/>
  <c r="G229" i="1" s="1"/>
  <c r="F229" i="1" a="1"/>
  <c r="F229" i="1" s="1"/>
  <c r="E229" i="1" a="1"/>
  <c r="E229" i="1" s="1"/>
  <c r="D229" i="1" a="1"/>
  <c r="D229" i="1" s="1"/>
  <c r="C229" i="1" a="1"/>
  <c r="C229" i="1" s="1"/>
  <c r="B229" i="1" a="1"/>
  <c r="B229" i="1" s="1"/>
  <c r="N228" i="1" a="1"/>
  <c r="N228" i="1" s="1"/>
  <c r="M228" i="1" a="1"/>
  <c r="M228" i="1" s="1"/>
  <c r="L228" i="1" a="1"/>
  <c r="L228" i="1" s="1"/>
  <c r="K228" i="1" a="1"/>
  <c r="K228" i="1" s="1"/>
  <c r="J228" i="1" a="1"/>
  <c r="J228" i="1" s="1"/>
  <c r="I228" i="1" a="1"/>
  <c r="I228" i="1" s="1"/>
  <c r="H228" i="1" a="1"/>
  <c r="H228" i="1" s="1"/>
  <c r="G228" i="1" a="1"/>
  <c r="G228" i="1" s="1"/>
  <c r="F228" i="1" a="1"/>
  <c r="F228" i="1" s="1"/>
  <c r="E228" i="1" a="1"/>
  <c r="E228" i="1" s="1"/>
  <c r="D228" i="1" a="1"/>
  <c r="D228" i="1" s="1"/>
  <c r="C228" i="1" a="1"/>
  <c r="C228" i="1" s="1"/>
  <c r="B228" i="1" a="1"/>
  <c r="B228" i="1" s="1"/>
  <c r="N227" i="1" a="1"/>
  <c r="N227" i="1" s="1"/>
  <c r="M227" i="1" a="1"/>
  <c r="M227" i="1" s="1"/>
  <c r="L227" i="1" a="1"/>
  <c r="L227" i="1" s="1"/>
  <c r="K227" i="1" a="1"/>
  <c r="K227" i="1" s="1"/>
  <c r="J227" i="1" a="1"/>
  <c r="J227" i="1" s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D227" i="1" a="1"/>
  <c r="D227" i="1" s="1"/>
  <c r="C227" i="1" a="1"/>
  <c r="C227" i="1" s="1"/>
  <c r="B227" i="1" a="1"/>
  <c r="B227" i="1" s="1"/>
  <c r="N226" i="1" a="1"/>
  <c r="N226" i="1" s="1"/>
  <c r="M226" i="1" a="1"/>
  <c r="M226" i="1" s="1"/>
  <c r="L226" i="1" a="1"/>
  <c r="L226" i="1" s="1"/>
  <c r="K226" i="1" a="1"/>
  <c r="K226" i="1" s="1"/>
  <c r="J226" i="1" a="1"/>
  <c r="J226" i="1" s="1"/>
  <c r="I226" i="1" a="1"/>
  <c r="I226" i="1" s="1"/>
  <c r="H226" i="1" a="1"/>
  <c r="H226" i="1" s="1"/>
  <c r="G226" i="1" a="1"/>
  <c r="G226" i="1" s="1"/>
  <c r="F226" i="1" a="1"/>
  <c r="F226" i="1" s="1"/>
  <c r="E226" i="1" a="1"/>
  <c r="E226" i="1" s="1"/>
  <c r="D226" i="1" a="1"/>
  <c r="D226" i="1" s="1"/>
  <c r="C226" i="1" a="1"/>
  <c r="C226" i="1" s="1"/>
  <c r="B226" i="1" a="1"/>
  <c r="B226" i="1" s="1"/>
  <c r="N225" i="1" a="1"/>
  <c r="N225" i="1" s="1"/>
  <c r="M225" i="1" a="1"/>
  <c r="M225" i="1" s="1"/>
  <c r="L225" i="1" a="1"/>
  <c r="L225" i="1" s="1"/>
  <c r="K225" i="1" a="1"/>
  <c r="K225" i="1" s="1"/>
  <c r="J225" i="1" a="1"/>
  <c r="J225" i="1" s="1"/>
  <c r="I225" i="1" a="1"/>
  <c r="I225" i="1" s="1"/>
  <c r="H225" i="1" a="1"/>
  <c r="H225" i="1" s="1"/>
  <c r="G225" i="1" a="1"/>
  <c r="G225" i="1" s="1"/>
  <c r="F225" i="1" a="1"/>
  <c r="F225" i="1" s="1"/>
  <c r="E225" i="1" a="1"/>
  <c r="E225" i="1" s="1"/>
  <c r="D225" i="1" a="1"/>
  <c r="D225" i="1" s="1"/>
  <c r="C225" i="1" a="1"/>
  <c r="C225" i="1" s="1"/>
  <c r="B225" i="1" a="1"/>
  <c r="B225" i="1" s="1"/>
  <c r="N224" i="1" a="1"/>
  <c r="N224" i="1" s="1"/>
  <c r="M224" i="1" a="1"/>
  <c r="M224" i="1" s="1"/>
  <c r="L224" i="1" a="1"/>
  <c r="L224" i="1" s="1"/>
  <c r="K224" i="1" a="1"/>
  <c r="K224" i="1" s="1"/>
  <c r="J224" i="1" a="1"/>
  <c r="J224" i="1" s="1"/>
  <c r="I224" i="1" a="1"/>
  <c r="I224" i="1" s="1"/>
  <c r="H224" i="1" a="1"/>
  <c r="H224" i="1" s="1"/>
  <c r="G224" i="1" a="1"/>
  <c r="G224" i="1" s="1"/>
  <c r="F224" i="1" a="1"/>
  <c r="F224" i="1" s="1"/>
  <c r="E224" i="1" a="1"/>
  <c r="E224" i="1" s="1"/>
  <c r="D224" i="1" a="1"/>
  <c r="D224" i="1" s="1"/>
  <c r="C224" i="1" a="1"/>
  <c r="C224" i="1" s="1"/>
  <c r="B224" i="1" a="1"/>
  <c r="B224" i="1" s="1"/>
  <c r="N223" i="1" a="1"/>
  <c r="N223" i="1" s="1"/>
  <c r="M223" i="1" a="1"/>
  <c r="M223" i="1" s="1"/>
  <c r="L223" i="1" a="1"/>
  <c r="L223" i="1" s="1"/>
  <c r="K223" i="1" a="1"/>
  <c r="K223" i="1" s="1"/>
  <c r="J223" i="1" a="1"/>
  <c r="J223" i="1" s="1"/>
  <c r="I223" i="1" a="1"/>
  <c r="I223" i="1" s="1"/>
  <c r="H223" i="1" a="1"/>
  <c r="H223" i="1" s="1"/>
  <c r="G223" i="1" a="1"/>
  <c r="G223" i="1" s="1"/>
  <c r="F223" i="1" a="1"/>
  <c r="F223" i="1" s="1"/>
  <c r="E223" i="1" a="1"/>
  <c r="E223" i="1" s="1"/>
  <c r="D223" i="1" a="1"/>
  <c r="D223" i="1" s="1"/>
  <c r="C223" i="1" a="1"/>
  <c r="C223" i="1" s="1"/>
  <c r="B223" i="1" a="1"/>
  <c r="B223" i="1" s="1"/>
  <c r="N222" i="1" a="1"/>
  <c r="N222" i="1" s="1"/>
  <c r="M222" i="1" a="1"/>
  <c r="M222" i="1" s="1"/>
  <c r="L222" i="1" a="1"/>
  <c r="L222" i="1" s="1"/>
  <c r="K222" i="1" a="1"/>
  <c r="K222" i="1" s="1"/>
  <c r="J222" i="1" a="1"/>
  <c r="J222" i="1" s="1"/>
  <c r="I222" i="1" a="1"/>
  <c r="I222" i="1" s="1"/>
  <c r="H222" i="1" a="1"/>
  <c r="H222" i="1" s="1"/>
  <c r="G222" i="1" a="1"/>
  <c r="G222" i="1" s="1"/>
  <c r="F222" i="1" a="1"/>
  <c r="F222" i="1" s="1"/>
  <c r="E222" i="1" a="1"/>
  <c r="E222" i="1" s="1"/>
  <c r="D222" i="1" a="1"/>
  <c r="D222" i="1" s="1"/>
  <c r="C222" i="1" a="1"/>
  <c r="C222" i="1" s="1"/>
  <c r="B222" i="1" a="1"/>
  <c r="B222" i="1" s="1"/>
  <c r="N221" i="1" a="1"/>
  <c r="N221" i="1" s="1"/>
  <c r="M221" i="1" a="1"/>
  <c r="M221" i="1" s="1"/>
  <c r="L221" i="1" a="1"/>
  <c r="L221" i="1" s="1"/>
  <c r="K221" i="1" a="1"/>
  <c r="K221" i="1" s="1"/>
  <c r="J221" i="1" a="1"/>
  <c r="J221" i="1" s="1"/>
  <c r="I221" i="1" a="1"/>
  <c r="I221" i="1" s="1"/>
  <c r="H221" i="1" a="1"/>
  <c r="H221" i="1" s="1"/>
  <c r="G221" i="1" a="1"/>
  <c r="G221" i="1" s="1"/>
  <c r="F221" i="1" a="1"/>
  <c r="F221" i="1" s="1"/>
  <c r="E221" i="1" a="1"/>
  <c r="E221" i="1" s="1"/>
  <c r="D221" i="1" a="1"/>
  <c r="D221" i="1" s="1"/>
  <c r="C221" i="1" a="1"/>
  <c r="C221" i="1" s="1"/>
  <c r="B221" i="1" a="1"/>
  <c r="B221" i="1" s="1"/>
  <c r="N220" i="1" a="1"/>
  <c r="N220" i="1" s="1"/>
  <c r="M220" i="1" a="1"/>
  <c r="M220" i="1" s="1"/>
  <c r="L220" i="1" a="1"/>
  <c r="L220" i="1" s="1"/>
  <c r="K220" i="1" a="1"/>
  <c r="K220" i="1" s="1"/>
  <c r="J220" i="1" a="1"/>
  <c r="J220" i="1" s="1"/>
  <c r="I220" i="1" a="1"/>
  <c r="I220" i="1" s="1"/>
  <c r="H220" i="1" a="1"/>
  <c r="H220" i="1" s="1"/>
  <c r="G220" i="1" a="1"/>
  <c r="G220" i="1" s="1"/>
  <c r="F220" i="1" a="1"/>
  <c r="F220" i="1" s="1"/>
  <c r="E220" i="1" a="1"/>
  <c r="E220" i="1" s="1"/>
  <c r="D220" i="1" a="1"/>
  <c r="D220" i="1" s="1"/>
  <c r="C220" i="1" a="1"/>
  <c r="C220" i="1" s="1"/>
  <c r="B220" i="1" a="1"/>
  <c r="B220" i="1" s="1"/>
  <c r="N219" i="1" a="1"/>
  <c r="N219" i="1" s="1"/>
  <c r="M219" i="1" a="1"/>
  <c r="M219" i="1" s="1"/>
  <c r="L219" i="1" a="1"/>
  <c r="L219" i="1" s="1"/>
  <c r="K219" i="1" a="1"/>
  <c r="K219" i="1" s="1"/>
  <c r="J219" i="1" a="1"/>
  <c r="J219" i="1" s="1"/>
  <c r="I219" i="1" a="1"/>
  <c r="I219" i="1" s="1"/>
  <c r="H219" i="1" a="1"/>
  <c r="H219" i="1" s="1"/>
  <c r="G219" i="1" a="1"/>
  <c r="G219" i="1" s="1"/>
  <c r="F219" i="1" a="1"/>
  <c r="F219" i="1" s="1"/>
  <c r="E219" i="1" a="1"/>
  <c r="E219" i="1" s="1"/>
  <c r="D219" i="1" a="1"/>
  <c r="D219" i="1" s="1"/>
  <c r="C219" i="1" a="1"/>
  <c r="C219" i="1" s="1"/>
  <c r="B219" i="1" a="1"/>
  <c r="B219" i="1" s="1"/>
  <c r="N218" i="1" a="1"/>
  <c r="N218" i="1" s="1"/>
  <c r="M218" i="1" a="1"/>
  <c r="M218" i="1" s="1"/>
  <c r="L218" i="1" a="1"/>
  <c r="L218" i="1" s="1"/>
  <c r="K218" i="1" a="1"/>
  <c r="K218" i="1" s="1"/>
  <c r="J218" i="1" a="1"/>
  <c r="J218" i="1" s="1"/>
  <c r="I218" i="1" a="1"/>
  <c r="I218" i="1" s="1"/>
  <c r="H218" i="1" a="1"/>
  <c r="H218" i="1" s="1"/>
  <c r="G218" i="1" a="1"/>
  <c r="G218" i="1" s="1"/>
  <c r="F218" i="1" a="1"/>
  <c r="F218" i="1" s="1"/>
  <c r="E218" i="1" a="1"/>
  <c r="E218" i="1" s="1"/>
  <c r="D218" i="1" a="1"/>
  <c r="D218" i="1" s="1"/>
  <c r="C218" i="1" a="1"/>
  <c r="C218" i="1" s="1"/>
  <c r="B218" i="1" a="1"/>
  <c r="B218" i="1" s="1"/>
  <c r="N217" i="1" a="1"/>
  <c r="N217" i="1" s="1"/>
  <c r="M217" i="1" a="1"/>
  <c r="M217" i="1" s="1"/>
  <c r="L217" i="1" a="1"/>
  <c r="L217" i="1" s="1"/>
  <c r="K217" i="1" a="1"/>
  <c r="K217" i="1" s="1"/>
  <c r="J217" i="1" a="1"/>
  <c r="J217" i="1" s="1"/>
  <c r="I217" i="1" a="1"/>
  <c r="I217" i="1" s="1"/>
  <c r="H217" i="1" a="1"/>
  <c r="H217" i="1" s="1"/>
  <c r="G217" i="1" a="1"/>
  <c r="G217" i="1" s="1"/>
  <c r="F217" i="1" a="1"/>
  <c r="F217" i="1" s="1"/>
  <c r="E217" i="1" a="1"/>
  <c r="E217" i="1" s="1"/>
  <c r="D217" i="1" a="1"/>
  <c r="D217" i="1" s="1"/>
  <c r="C217" i="1" a="1"/>
  <c r="C217" i="1" s="1"/>
  <c r="B217" i="1" a="1"/>
  <c r="B217" i="1" s="1"/>
  <c r="N216" i="1" a="1"/>
  <c r="N216" i="1" s="1"/>
  <c r="M216" i="1" a="1"/>
  <c r="M216" i="1" s="1"/>
  <c r="L216" i="1" a="1"/>
  <c r="L216" i="1" s="1"/>
  <c r="K216" i="1" a="1"/>
  <c r="K216" i="1" s="1"/>
  <c r="J216" i="1" a="1"/>
  <c r="J216" i="1" s="1"/>
  <c r="I216" i="1" a="1"/>
  <c r="I216" i="1" s="1"/>
  <c r="H216" i="1" a="1"/>
  <c r="H216" i="1" s="1"/>
  <c r="G216" i="1" a="1"/>
  <c r="G216" i="1" s="1"/>
  <c r="F216" i="1" a="1"/>
  <c r="F216" i="1" s="1"/>
  <c r="E216" i="1" a="1"/>
  <c r="E216" i="1" s="1"/>
  <c r="D216" i="1" a="1"/>
  <c r="D216" i="1" s="1"/>
  <c r="C216" i="1" a="1"/>
  <c r="C216" i="1" s="1"/>
  <c r="B216" i="1" a="1"/>
  <c r="B216" i="1" s="1"/>
  <c r="N215" i="1" a="1"/>
  <c r="N215" i="1" s="1"/>
  <c r="M215" i="1" a="1"/>
  <c r="M215" i="1" s="1"/>
  <c r="L215" i="1" a="1"/>
  <c r="L215" i="1" s="1"/>
  <c r="K215" i="1" a="1"/>
  <c r="K215" i="1" s="1"/>
  <c r="J215" i="1" a="1"/>
  <c r="J215" i="1" s="1"/>
  <c r="I215" i="1" a="1"/>
  <c r="I215" i="1" s="1"/>
  <c r="H215" i="1" a="1"/>
  <c r="H215" i="1" s="1"/>
  <c r="G215" i="1" a="1"/>
  <c r="G215" i="1" s="1"/>
  <c r="F215" i="1" a="1"/>
  <c r="F215" i="1" s="1"/>
  <c r="E215" i="1" a="1"/>
  <c r="E215" i="1" s="1"/>
  <c r="D215" i="1" a="1"/>
  <c r="D215" i="1" s="1"/>
  <c r="C215" i="1" a="1"/>
  <c r="C215" i="1" s="1"/>
  <c r="B215" i="1" a="1"/>
  <c r="B215" i="1" s="1"/>
  <c r="N214" i="1" a="1"/>
  <c r="N214" i="1" s="1"/>
  <c r="M214" i="1" a="1"/>
  <c r="M214" i="1" s="1"/>
  <c r="L214" i="1" a="1"/>
  <c r="L214" i="1" s="1"/>
  <c r="K214" i="1" a="1"/>
  <c r="K214" i="1" s="1"/>
  <c r="J214" i="1" a="1"/>
  <c r="J214" i="1" s="1"/>
  <c r="I214" i="1" a="1"/>
  <c r="I214" i="1" s="1"/>
  <c r="H214" i="1" a="1"/>
  <c r="H214" i="1" s="1"/>
  <c r="G214" i="1" a="1"/>
  <c r="G214" i="1" s="1"/>
  <c r="F214" i="1" a="1"/>
  <c r="F214" i="1" s="1"/>
  <c r="E214" i="1" a="1"/>
  <c r="E214" i="1" s="1"/>
  <c r="D214" i="1" a="1"/>
  <c r="D214" i="1" s="1"/>
  <c r="C214" i="1" a="1"/>
  <c r="C214" i="1" s="1"/>
  <c r="B214" i="1" a="1"/>
  <c r="B214" i="1" s="1"/>
  <c r="N213" i="1" a="1"/>
  <c r="N213" i="1" s="1"/>
  <c r="M213" i="1" a="1"/>
  <c r="M213" i="1" s="1"/>
  <c r="L213" i="1" a="1"/>
  <c r="L213" i="1" s="1"/>
  <c r="K213" i="1" a="1"/>
  <c r="K213" i="1" s="1"/>
  <c r="J213" i="1" a="1"/>
  <c r="J213" i="1" s="1"/>
  <c r="I213" i="1" a="1"/>
  <c r="I213" i="1" s="1"/>
  <c r="H213" i="1" a="1"/>
  <c r="H213" i="1" s="1"/>
  <c r="G213" i="1" a="1"/>
  <c r="G213" i="1" s="1"/>
  <c r="F213" i="1" a="1"/>
  <c r="F213" i="1" s="1"/>
  <c r="E213" i="1" a="1"/>
  <c r="E213" i="1" s="1"/>
  <c r="D213" i="1" a="1"/>
  <c r="D213" i="1" s="1"/>
  <c r="C213" i="1" a="1"/>
  <c r="C213" i="1" s="1"/>
  <c r="B213" i="1" a="1"/>
  <c r="B213" i="1" s="1"/>
  <c r="N212" i="1" a="1"/>
  <c r="N212" i="1" s="1"/>
  <c r="M212" i="1" a="1"/>
  <c r="M212" i="1" s="1"/>
  <c r="L212" i="1" a="1"/>
  <c r="L212" i="1" s="1"/>
  <c r="K212" i="1" a="1"/>
  <c r="K212" i="1" s="1"/>
  <c r="J212" i="1" a="1"/>
  <c r="J212" i="1" s="1"/>
  <c r="I212" i="1" a="1"/>
  <c r="I212" i="1" s="1"/>
  <c r="H212" i="1" a="1"/>
  <c r="H212" i="1" s="1"/>
  <c r="G212" i="1" a="1"/>
  <c r="G212" i="1" s="1"/>
  <c r="F212" i="1" a="1"/>
  <c r="F212" i="1" s="1"/>
  <c r="E212" i="1" a="1"/>
  <c r="E212" i="1" s="1"/>
  <c r="D212" i="1" a="1"/>
  <c r="D212" i="1" s="1"/>
  <c r="C212" i="1" a="1"/>
  <c r="C212" i="1" s="1"/>
  <c r="B212" i="1" a="1"/>
  <c r="B212" i="1" s="1"/>
  <c r="N211" i="1" a="1"/>
  <c r="N211" i="1" s="1"/>
  <c r="M211" i="1" a="1"/>
  <c r="M211" i="1" s="1"/>
  <c r="L211" i="1" a="1"/>
  <c r="L211" i="1" s="1"/>
  <c r="K211" i="1" a="1"/>
  <c r="K211" i="1" s="1"/>
  <c r="J211" i="1" a="1"/>
  <c r="J211" i="1" s="1"/>
  <c r="I211" i="1" a="1"/>
  <c r="I211" i="1" s="1"/>
  <c r="H211" i="1" a="1"/>
  <c r="H211" i="1" s="1"/>
  <c r="G211" i="1" a="1"/>
  <c r="G211" i="1" s="1"/>
  <c r="F211" i="1" a="1"/>
  <c r="F211" i="1" s="1"/>
  <c r="E211" i="1" a="1"/>
  <c r="E211" i="1" s="1"/>
  <c r="D211" i="1" a="1"/>
  <c r="D211" i="1" s="1"/>
  <c r="C211" i="1" a="1"/>
  <c r="C211" i="1" s="1"/>
  <c r="B211" i="1" a="1"/>
  <c r="B211" i="1" s="1"/>
  <c r="N210" i="1" a="1"/>
  <c r="N210" i="1" s="1"/>
  <c r="M210" i="1" a="1"/>
  <c r="M210" i="1" s="1"/>
  <c r="L210" i="1" a="1"/>
  <c r="L210" i="1" s="1"/>
  <c r="K210" i="1" a="1"/>
  <c r="K210" i="1" s="1"/>
  <c r="J210" i="1" a="1"/>
  <c r="J210" i="1" s="1"/>
  <c r="I210" i="1" a="1"/>
  <c r="I210" i="1" s="1"/>
  <c r="H210" i="1" a="1"/>
  <c r="H210" i="1" s="1"/>
  <c r="G210" i="1" a="1"/>
  <c r="G210" i="1" s="1"/>
  <c r="F210" i="1" a="1"/>
  <c r="F210" i="1" s="1"/>
  <c r="E210" i="1" a="1"/>
  <c r="E210" i="1" s="1"/>
  <c r="D210" i="1" a="1"/>
  <c r="D210" i="1" s="1"/>
  <c r="C210" i="1" a="1"/>
  <c r="C210" i="1" s="1"/>
  <c r="B210" i="1" a="1"/>
  <c r="B210" i="1" s="1"/>
  <c r="N209" i="1" a="1"/>
  <c r="N209" i="1" s="1"/>
  <c r="M209" i="1" a="1"/>
  <c r="M209" i="1" s="1"/>
  <c r="L209" i="1" a="1"/>
  <c r="L209" i="1" s="1"/>
  <c r="K209" i="1" a="1"/>
  <c r="K209" i="1" s="1"/>
  <c r="J209" i="1" a="1"/>
  <c r="J209" i="1" s="1"/>
  <c r="I209" i="1" a="1"/>
  <c r="I209" i="1" s="1"/>
  <c r="H209" i="1" a="1"/>
  <c r="H209" i="1" s="1"/>
  <c r="G209" i="1" a="1"/>
  <c r="G209" i="1" s="1"/>
  <c r="F209" i="1" a="1"/>
  <c r="F209" i="1" s="1"/>
  <c r="E209" i="1" a="1"/>
  <c r="E209" i="1" s="1"/>
  <c r="D209" i="1" a="1"/>
  <c r="D209" i="1" s="1"/>
  <c r="C209" i="1" a="1"/>
  <c r="C209" i="1" s="1"/>
  <c r="B209" i="1" a="1"/>
  <c r="B209" i="1" s="1"/>
  <c r="N208" i="1" a="1"/>
  <c r="N208" i="1" s="1"/>
  <c r="M208" i="1" a="1"/>
  <c r="M208" i="1" s="1"/>
  <c r="L208" i="1" a="1"/>
  <c r="L208" i="1" s="1"/>
  <c r="K208" i="1" a="1"/>
  <c r="K208" i="1" s="1"/>
  <c r="J208" i="1" a="1"/>
  <c r="J208" i="1" s="1"/>
  <c r="I208" i="1" a="1"/>
  <c r="I208" i="1" s="1"/>
  <c r="H208" i="1" a="1"/>
  <c r="H208" i="1" s="1"/>
  <c r="G208" i="1" a="1"/>
  <c r="G208" i="1" s="1"/>
  <c r="F208" i="1" a="1"/>
  <c r="F208" i="1" s="1"/>
  <c r="E208" i="1" a="1"/>
  <c r="E208" i="1" s="1"/>
  <c r="D208" i="1" a="1"/>
  <c r="D208" i="1" s="1"/>
  <c r="C208" i="1" a="1"/>
  <c r="C208" i="1" s="1"/>
  <c r="B208" i="1" a="1"/>
  <c r="B208" i="1" s="1"/>
  <c r="N207" i="1" a="1"/>
  <c r="N207" i="1" s="1"/>
  <c r="M207" i="1" a="1"/>
  <c r="M207" i="1" s="1"/>
  <c r="L207" i="1" a="1"/>
  <c r="L207" i="1" s="1"/>
  <c r="K207" i="1" a="1"/>
  <c r="K207" i="1" s="1"/>
  <c r="J207" i="1" a="1"/>
  <c r="J207" i="1" s="1"/>
  <c r="I207" i="1" a="1"/>
  <c r="I207" i="1" s="1"/>
  <c r="H207" i="1" a="1"/>
  <c r="H207" i="1" s="1"/>
  <c r="G207" i="1" a="1"/>
  <c r="G207" i="1" s="1"/>
  <c r="F207" i="1" a="1"/>
  <c r="F207" i="1" s="1"/>
  <c r="E207" i="1" a="1"/>
  <c r="E207" i="1" s="1"/>
  <c r="D207" i="1" a="1"/>
  <c r="D207" i="1" s="1"/>
  <c r="C207" i="1" a="1"/>
  <c r="C207" i="1" s="1"/>
  <c r="B207" i="1" a="1"/>
  <c r="B207" i="1" s="1"/>
  <c r="N206" i="1" a="1"/>
  <c r="N206" i="1" s="1"/>
  <c r="M206" i="1" a="1"/>
  <c r="M206" i="1" s="1"/>
  <c r="L206" i="1" a="1"/>
  <c r="L206" i="1" s="1"/>
  <c r="K206" i="1" a="1"/>
  <c r="K206" i="1" s="1"/>
  <c r="J206" i="1" a="1"/>
  <c r="J206" i="1" s="1"/>
  <c r="I206" i="1" a="1"/>
  <c r="I206" i="1" s="1"/>
  <c r="H206" i="1" a="1"/>
  <c r="H206" i="1" s="1"/>
  <c r="G206" i="1" a="1"/>
  <c r="G206" i="1" s="1"/>
  <c r="F206" i="1" a="1"/>
  <c r="F206" i="1" s="1"/>
  <c r="E206" i="1" a="1"/>
  <c r="E206" i="1" s="1"/>
  <c r="D206" i="1" a="1"/>
  <c r="D206" i="1" s="1"/>
  <c r="C206" i="1" a="1"/>
  <c r="C206" i="1" s="1"/>
  <c r="B206" i="1" a="1"/>
  <c r="B206" i="1" s="1"/>
  <c r="N205" i="1" a="1"/>
  <c r="N205" i="1" s="1"/>
  <c r="M205" i="1" a="1"/>
  <c r="M205" i="1" s="1"/>
  <c r="L205" i="1" a="1"/>
  <c r="L205" i="1" s="1"/>
  <c r="K205" i="1" a="1"/>
  <c r="K205" i="1" s="1"/>
  <c r="J205" i="1" a="1"/>
  <c r="J205" i="1" s="1"/>
  <c r="I205" i="1" a="1"/>
  <c r="I205" i="1" s="1"/>
  <c r="H205" i="1" a="1"/>
  <c r="H205" i="1" s="1"/>
  <c r="G205" i="1" a="1"/>
  <c r="G205" i="1" s="1"/>
  <c r="F205" i="1" a="1"/>
  <c r="F205" i="1" s="1"/>
  <c r="E205" i="1" a="1"/>
  <c r="E205" i="1" s="1"/>
  <c r="D205" i="1" a="1"/>
  <c r="D205" i="1" s="1"/>
  <c r="C205" i="1" a="1"/>
  <c r="C205" i="1" s="1"/>
  <c r="B205" i="1" a="1"/>
  <c r="B205" i="1" s="1"/>
  <c r="N204" i="1" a="1"/>
  <c r="N204" i="1" s="1"/>
  <c r="M204" i="1" a="1"/>
  <c r="M204" i="1" s="1"/>
  <c r="L204" i="1" a="1"/>
  <c r="L204" i="1" s="1"/>
  <c r="K204" i="1" a="1"/>
  <c r="K204" i="1" s="1"/>
  <c r="J204" i="1" a="1"/>
  <c r="J204" i="1" s="1"/>
  <c r="I204" i="1" a="1"/>
  <c r="I204" i="1" s="1"/>
  <c r="H204" i="1" a="1"/>
  <c r="H204" i="1" s="1"/>
  <c r="G204" i="1" a="1"/>
  <c r="G204" i="1" s="1"/>
  <c r="F204" i="1" a="1"/>
  <c r="F204" i="1" s="1"/>
  <c r="E204" i="1" a="1"/>
  <c r="E204" i="1" s="1"/>
  <c r="D204" i="1" a="1"/>
  <c r="D204" i="1" s="1"/>
  <c r="C204" i="1" a="1"/>
  <c r="C204" i="1" s="1"/>
  <c r="B204" i="1" a="1"/>
  <c r="B204" i="1" s="1"/>
  <c r="N203" i="1" a="1"/>
  <c r="N203" i="1" s="1"/>
  <c r="M203" i="1" a="1"/>
  <c r="M203" i="1" s="1"/>
  <c r="L203" i="1" a="1"/>
  <c r="L203" i="1" s="1"/>
  <c r="K203" i="1" a="1"/>
  <c r="K203" i="1" s="1"/>
  <c r="J203" i="1" a="1"/>
  <c r="J203" i="1" s="1"/>
  <c r="I203" i="1" a="1"/>
  <c r="I203" i="1" s="1"/>
  <c r="H203" i="1" a="1"/>
  <c r="H203" i="1" s="1"/>
  <c r="G203" i="1" a="1"/>
  <c r="G203" i="1" s="1"/>
  <c r="F203" i="1" a="1"/>
  <c r="F203" i="1" s="1"/>
  <c r="E203" i="1" a="1"/>
  <c r="E203" i="1" s="1"/>
  <c r="D203" i="1" a="1"/>
  <c r="D203" i="1" s="1"/>
  <c r="C203" i="1" a="1"/>
  <c r="C203" i="1" s="1"/>
  <c r="B203" i="1" a="1"/>
  <c r="B203" i="1" s="1"/>
  <c r="N202" i="1" a="1"/>
  <c r="N202" i="1" s="1"/>
  <c r="M202" i="1" a="1"/>
  <c r="M202" i="1" s="1"/>
  <c r="L202" i="1" a="1"/>
  <c r="L202" i="1" s="1"/>
  <c r="K202" i="1" a="1"/>
  <c r="K202" i="1" s="1"/>
  <c r="J202" i="1" a="1"/>
  <c r="J202" i="1" s="1"/>
  <c r="I202" i="1" a="1"/>
  <c r="I202" i="1" s="1"/>
  <c r="H202" i="1" a="1"/>
  <c r="H202" i="1" s="1"/>
  <c r="G202" i="1" a="1"/>
  <c r="G202" i="1" s="1"/>
  <c r="F202" i="1" a="1"/>
  <c r="F202" i="1" s="1"/>
  <c r="E202" i="1" a="1"/>
  <c r="E202" i="1" s="1"/>
  <c r="D202" i="1" a="1"/>
  <c r="D202" i="1" s="1"/>
  <c r="C202" i="1" a="1"/>
  <c r="C202" i="1" s="1"/>
  <c r="B202" i="1" a="1"/>
  <c r="B202" i="1" s="1"/>
  <c r="N201" i="1" a="1"/>
  <c r="N201" i="1" s="1"/>
  <c r="M201" i="1" a="1"/>
  <c r="M201" i="1" s="1"/>
  <c r="L201" i="1" a="1"/>
  <c r="L201" i="1" s="1"/>
  <c r="K201" i="1" a="1"/>
  <c r="K201" i="1" s="1"/>
  <c r="J201" i="1" a="1"/>
  <c r="J201" i="1" s="1"/>
  <c r="I201" i="1" a="1"/>
  <c r="I201" i="1" s="1"/>
  <c r="H201" i="1" a="1"/>
  <c r="H201" i="1" s="1"/>
  <c r="G201" i="1" a="1"/>
  <c r="G201" i="1" s="1"/>
  <c r="F201" i="1" a="1"/>
  <c r="F201" i="1" s="1"/>
  <c r="E201" i="1" a="1"/>
  <c r="E201" i="1" s="1"/>
  <c r="D201" i="1" a="1"/>
  <c r="D201" i="1" s="1"/>
  <c r="C201" i="1" a="1"/>
  <c r="C201" i="1" s="1"/>
  <c r="B201" i="1" a="1"/>
  <c r="B201" i="1" s="1"/>
  <c r="N200" i="1" a="1"/>
  <c r="N200" i="1" s="1"/>
  <c r="M200" i="1" a="1"/>
  <c r="M200" i="1" s="1"/>
  <c r="L200" i="1" a="1"/>
  <c r="L200" i="1" s="1"/>
  <c r="K200" i="1" a="1"/>
  <c r="K200" i="1" s="1"/>
  <c r="J200" i="1" a="1"/>
  <c r="J200" i="1" s="1"/>
  <c r="I200" i="1" a="1"/>
  <c r="I200" i="1" s="1"/>
  <c r="H200" i="1" a="1"/>
  <c r="H200" i="1" s="1"/>
  <c r="G200" i="1" a="1"/>
  <c r="G200" i="1" s="1"/>
  <c r="F200" i="1" a="1"/>
  <c r="F200" i="1" s="1"/>
  <c r="E200" i="1" a="1"/>
  <c r="E200" i="1" s="1"/>
  <c r="D200" i="1" a="1"/>
  <c r="D200" i="1" s="1"/>
  <c r="C200" i="1" a="1"/>
  <c r="C200" i="1" s="1"/>
  <c r="B200" i="1" a="1"/>
  <c r="B200" i="1" s="1"/>
  <c r="N199" i="1" a="1"/>
  <c r="N199" i="1" s="1"/>
  <c r="M199" i="1" a="1"/>
  <c r="M199" i="1" s="1"/>
  <c r="L199" i="1" a="1"/>
  <c r="L199" i="1" s="1"/>
  <c r="K199" i="1" a="1"/>
  <c r="K199" i="1" s="1"/>
  <c r="J199" i="1" a="1"/>
  <c r="J199" i="1" s="1"/>
  <c r="I199" i="1" a="1"/>
  <c r="I199" i="1" s="1"/>
  <c r="H199" i="1" a="1"/>
  <c r="H199" i="1" s="1"/>
  <c r="G199" i="1" a="1"/>
  <c r="G199" i="1" s="1"/>
  <c r="F199" i="1" a="1"/>
  <c r="F199" i="1" s="1"/>
  <c r="E199" i="1" a="1"/>
  <c r="E199" i="1" s="1"/>
  <c r="D199" i="1" a="1"/>
  <c r="D199" i="1" s="1"/>
  <c r="C199" i="1" a="1"/>
  <c r="C199" i="1" s="1"/>
  <c r="B199" i="1" a="1"/>
  <c r="B199" i="1" s="1"/>
  <c r="N198" i="1" a="1"/>
  <c r="N198" i="1" s="1"/>
  <c r="M198" i="1" a="1"/>
  <c r="M198" i="1" s="1"/>
  <c r="L198" i="1" a="1"/>
  <c r="L198" i="1" s="1"/>
  <c r="K198" i="1" a="1"/>
  <c r="K198" i="1" s="1"/>
  <c r="J198" i="1" a="1"/>
  <c r="J198" i="1" s="1"/>
  <c r="I198" i="1" a="1"/>
  <c r="I198" i="1" s="1"/>
  <c r="H198" i="1" a="1"/>
  <c r="H198" i="1" s="1"/>
  <c r="G198" i="1" a="1"/>
  <c r="G198" i="1" s="1"/>
  <c r="F198" i="1" a="1"/>
  <c r="F198" i="1" s="1"/>
  <c r="E198" i="1" a="1"/>
  <c r="E198" i="1" s="1"/>
  <c r="D198" i="1" a="1"/>
  <c r="D198" i="1" s="1"/>
  <c r="C198" i="1" a="1"/>
  <c r="C198" i="1" s="1"/>
  <c r="B198" i="1" a="1"/>
  <c r="B198" i="1" s="1"/>
  <c r="N197" i="1" a="1"/>
  <c r="N197" i="1" s="1"/>
  <c r="M197" i="1" a="1"/>
  <c r="M197" i="1" s="1"/>
  <c r="L197" i="1" a="1"/>
  <c r="L197" i="1" s="1"/>
  <c r="K197" i="1" a="1"/>
  <c r="K197" i="1" s="1"/>
  <c r="J197" i="1" a="1"/>
  <c r="J197" i="1" s="1"/>
  <c r="I197" i="1" a="1"/>
  <c r="I197" i="1" s="1"/>
  <c r="H197" i="1" a="1"/>
  <c r="H197" i="1" s="1"/>
  <c r="G197" i="1" a="1"/>
  <c r="G197" i="1" s="1"/>
  <c r="F197" i="1" a="1"/>
  <c r="F197" i="1" s="1"/>
  <c r="E197" i="1" a="1"/>
  <c r="E197" i="1" s="1"/>
  <c r="D197" i="1" a="1"/>
  <c r="D197" i="1" s="1"/>
  <c r="C197" i="1" a="1"/>
  <c r="C197" i="1" s="1"/>
  <c r="B197" i="1" a="1"/>
  <c r="B197" i="1" s="1"/>
  <c r="N196" i="1" a="1"/>
  <c r="N196" i="1" s="1"/>
  <c r="M196" i="1" a="1"/>
  <c r="M196" i="1" s="1"/>
  <c r="L196" i="1" a="1"/>
  <c r="L196" i="1" s="1"/>
  <c r="K196" i="1" a="1"/>
  <c r="K196" i="1" s="1"/>
  <c r="J196" i="1" a="1"/>
  <c r="J196" i="1" s="1"/>
  <c r="I196" i="1" a="1"/>
  <c r="I196" i="1" s="1"/>
  <c r="H196" i="1" a="1"/>
  <c r="H196" i="1" s="1"/>
  <c r="G196" i="1" a="1"/>
  <c r="G196" i="1" s="1"/>
  <c r="F196" i="1" a="1"/>
  <c r="F196" i="1" s="1"/>
  <c r="E196" i="1" a="1"/>
  <c r="E196" i="1" s="1"/>
  <c r="D196" i="1" a="1"/>
  <c r="D196" i="1" s="1"/>
  <c r="C196" i="1" a="1"/>
  <c r="C196" i="1" s="1"/>
  <c r="B196" i="1" a="1"/>
  <c r="B196" i="1" s="1"/>
  <c r="N195" i="1" a="1"/>
  <c r="N195" i="1" s="1"/>
  <c r="M195" i="1" a="1"/>
  <c r="M195" i="1" s="1"/>
  <c r="L195" i="1" a="1"/>
  <c r="L195" i="1" s="1"/>
  <c r="K195" i="1" a="1"/>
  <c r="K195" i="1" s="1"/>
  <c r="J195" i="1" a="1"/>
  <c r="J195" i="1" s="1"/>
  <c r="I195" i="1" a="1"/>
  <c r="I195" i="1" s="1"/>
  <c r="H195" i="1" a="1"/>
  <c r="H195" i="1" s="1"/>
  <c r="G195" i="1" a="1"/>
  <c r="G195" i="1" s="1"/>
  <c r="F195" i="1" a="1"/>
  <c r="F195" i="1" s="1"/>
  <c r="E195" i="1" a="1"/>
  <c r="E195" i="1" s="1"/>
  <c r="D195" i="1" a="1"/>
  <c r="D195" i="1" s="1"/>
  <c r="C195" i="1" a="1"/>
  <c r="C195" i="1" s="1"/>
  <c r="B195" i="1" a="1"/>
  <c r="B195" i="1" s="1"/>
  <c r="N194" i="1" a="1"/>
  <c r="N194" i="1" s="1"/>
  <c r="M194" i="1" a="1"/>
  <c r="M194" i="1" s="1"/>
  <c r="L194" i="1" a="1"/>
  <c r="L194" i="1" s="1"/>
  <c r="K194" i="1" a="1"/>
  <c r="K194" i="1" s="1"/>
  <c r="J194" i="1" a="1"/>
  <c r="J194" i="1" s="1"/>
  <c r="I194" i="1" a="1"/>
  <c r="I194" i="1" s="1"/>
  <c r="H194" i="1" a="1"/>
  <c r="H194" i="1" s="1"/>
  <c r="G194" i="1" a="1"/>
  <c r="G194" i="1" s="1"/>
  <c r="F194" i="1" a="1"/>
  <c r="F194" i="1" s="1"/>
  <c r="E194" i="1" a="1"/>
  <c r="E194" i="1" s="1"/>
  <c r="D194" i="1" a="1"/>
  <c r="D194" i="1" s="1"/>
  <c r="C194" i="1" a="1"/>
  <c r="C194" i="1" s="1"/>
  <c r="B194" i="1" a="1"/>
  <c r="B194" i="1" s="1"/>
  <c r="N193" i="1" a="1"/>
  <c r="N193" i="1" s="1"/>
  <c r="M193" i="1" a="1"/>
  <c r="M193" i="1" s="1"/>
  <c r="L193" i="1" a="1"/>
  <c r="L193" i="1" s="1"/>
  <c r="K193" i="1" a="1"/>
  <c r="K193" i="1" s="1"/>
  <c r="J193" i="1" a="1"/>
  <c r="J193" i="1" s="1"/>
  <c r="I193" i="1" a="1"/>
  <c r="I193" i="1" s="1"/>
  <c r="H193" i="1" a="1"/>
  <c r="H193" i="1" s="1"/>
  <c r="G193" i="1" a="1"/>
  <c r="G193" i="1" s="1"/>
  <c r="F193" i="1" a="1"/>
  <c r="F193" i="1" s="1"/>
  <c r="E193" i="1" a="1"/>
  <c r="E193" i="1" s="1"/>
  <c r="D193" i="1" a="1"/>
  <c r="D193" i="1" s="1"/>
  <c r="C193" i="1" a="1"/>
  <c r="C193" i="1" s="1"/>
  <c r="B193" i="1" a="1"/>
  <c r="B193" i="1" s="1"/>
  <c r="N192" i="1" a="1"/>
  <c r="N192" i="1" s="1"/>
  <c r="M192" i="1" a="1"/>
  <c r="M192" i="1" s="1"/>
  <c r="L192" i="1" a="1"/>
  <c r="L192" i="1" s="1"/>
  <c r="K192" i="1" a="1"/>
  <c r="K192" i="1" s="1"/>
  <c r="J192" i="1" a="1"/>
  <c r="J192" i="1" s="1"/>
  <c r="I192" i="1" a="1"/>
  <c r="I192" i="1" s="1"/>
  <c r="H192" i="1" a="1"/>
  <c r="H192" i="1" s="1"/>
  <c r="G192" i="1" a="1"/>
  <c r="G192" i="1" s="1"/>
  <c r="F192" i="1" a="1"/>
  <c r="F192" i="1" s="1"/>
  <c r="E192" i="1" a="1"/>
  <c r="E192" i="1" s="1"/>
  <c r="D192" i="1" a="1"/>
  <c r="D192" i="1" s="1"/>
  <c r="C192" i="1" a="1"/>
  <c r="C192" i="1" s="1"/>
  <c r="B192" i="1" a="1"/>
  <c r="B192" i="1" s="1"/>
  <c r="N191" i="1" a="1"/>
  <c r="N191" i="1" s="1"/>
  <c r="M191" i="1" a="1"/>
  <c r="M191" i="1" s="1"/>
  <c r="L191" i="1" a="1"/>
  <c r="L191" i="1" s="1"/>
  <c r="K191" i="1" a="1"/>
  <c r="K191" i="1" s="1"/>
  <c r="J191" i="1" a="1"/>
  <c r="J191" i="1" s="1"/>
  <c r="I191" i="1" a="1"/>
  <c r="I191" i="1" s="1"/>
  <c r="H191" i="1" a="1"/>
  <c r="H191" i="1" s="1"/>
  <c r="G191" i="1" a="1"/>
  <c r="G191" i="1" s="1"/>
  <c r="F191" i="1" a="1"/>
  <c r="F191" i="1" s="1"/>
  <c r="E191" i="1" a="1"/>
  <c r="E191" i="1" s="1"/>
  <c r="D191" i="1" a="1"/>
  <c r="D191" i="1" s="1"/>
  <c r="C191" i="1" a="1"/>
  <c r="C191" i="1" s="1"/>
  <c r="B191" i="1" a="1"/>
  <c r="B191" i="1" s="1"/>
  <c r="N190" i="1" a="1"/>
  <c r="N190" i="1" s="1"/>
  <c r="M190" i="1" a="1"/>
  <c r="M190" i="1" s="1"/>
  <c r="L190" i="1" a="1"/>
  <c r="L190" i="1" s="1"/>
  <c r="K190" i="1" a="1"/>
  <c r="K190" i="1" s="1"/>
  <c r="J190" i="1" a="1"/>
  <c r="J190" i="1" s="1"/>
  <c r="I190" i="1" a="1"/>
  <c r="I190" i="1" s="1"/>
  <c r="H190" i="1" a="1"/>
  <c r="H190" i="1" s="1"/>
  <c r="G190" i="1" a="1"/>
  <c r="G190" i="1" s="1"/>
  <c r="F190" i="1" a="1"/>
  <c r="F190" i="1" s="1"/>
  <c r="E190" i="1" a="1"/>
  <c r="E190" i="1" s="1"/>
  <c r="D190" i="1" a="1"/>
  <c r="D190" i="1" s="1"/>
  <c r="C190" i="1" a="1"/>
  <c r="C190" i="1" s="1"/>
  <c r="B190" i="1" a="1"/>
  <c r="B190" i="1" s="1"/>
  <c r="N189" i="1" a="1"/>
  <c r="N189" i="1" s="1"/>
  <c r="M189" i="1" a="1"/>
  <c r="M189" i="1" s="1"/>
  <c r="L189" i="1" a="1"/>
  <c r="L189" i="1" s="1"/>
  <c r="K189" i="1" a="1"/>
  <c r="K189" i="1" s="1"/>
  <c r="J189" i="1" a="1"/>
  <c r="J189" i="1" s="1"/>
  <c r="I189" i="1" a="1"/>
  <c r="I189" i="1" s="1"/>
  <c r="H189" i="1" a="1"/>
  <c r="H189" i="1" s="1"/>
  <c r="G189" i="1" a="1"/>
  <c r="G189" i="1" s="1"/>
  <c r="F189" i="1" a="1"/>
  <c r="F189" i="1" s="1"/>
  <c r="E189" i="1" a="1"/>
  <c r="E189" i="1" s="1"/>
  <c r="D189" i="1" a="1"/>
  <c r="D189" i="1" s="1"/>
  <c r="C189" i="1" a="1"/>
  <c r="C189" i="1" s="1"/>
  <c r="B189" i="1" a="1"/>
  <c r="B189" i="1" s="1"/>
  <c r="N188" i="1" a="1"/>
  <c r="N188" i="1" s="1"/>
  <c r="M188" i="1" a="1"/>
  <c r="M188" i="1" s="1"/>
  <c r="L188" i="1" a="1"/>
  <c r="L188" i="1" s="1"/>
  <c r="K188" i="1" a="1"/>
  <c r="K188" i="1" s="1"/>
  <c r="J188" i="1" a="1"/>
  <c r="J188" i="1" s="1"/>
  <c r="I188" i="1" a="1"/>
  <c r="I188" i="1" s="1"/>
  <c r="H188" i="1" a="1"/>
  <c r="H188" i="1" s="1"/>
  <c r="G188" i="1" a="1"/>
  <c r="G188" i="1" s="1"/>
  <c r="F188" i="1" a="1"/>
  <c r="F188" i="1" s="1"/>
  <c r="E188" i="1" a="1"/>
  <c r="E188" i="1" s="1"/>
  <c r="D188" i="1" a="1"/>
  <c r="D188" i="1" s="1"/>
  <c r="C188" i="1" a="1"/>
  <c r="C188" i="1" s="1"/>
  <c r="B188" i="1" a="1"/>
  <c r="B188" i="1" s="1"/>
  <c r="N187" i="1" a="1"/>
  <c r="N187" i="1" s="1"/>
  <c r="M187" i="1" a="1"/>
  <c r="M187" i="1" s="1"/>
  <c r="L187" i="1" a="1"/>
  <c r="L187" i="1" s="1"/>
  <c r="K187" i="1" a="1"/>
  <c r="K187" i="1" s="1"/>
  <c r="J187" i="1" a="1"/>
  <c r="J187" i="1" s="1"/>
  <c r="I187" i="1" a="1"/>
  <c r="I187" i="1" s="1"/>
  <c r="H187" i="1" a="1"/>
  <c r="H187" i="1" s="1"/>
  <c r="G187" i="1" a="1"/>
  <c r="G187" i="1" s="1"/>
  <c r="F187" i="1" a="1"/>
  <c r="F187" i="1" s="1"/>
  <c r="E187" i="1" a="1"/>
  <c r="E187" i="1" s="1"/>
  <c r="D187" i="1" a="1"/>
  <c r="D187" i="1" s="1"/>
  <c r="C187" i="1" a="1"/>
  <c r="C187" i="1" s="1"/>
  <c r="B187" i="1" a="1"/>
  <c r="B187" i="1" s="1"/>
  <c r="N186" i="1" a="1"/>
  <c r="N186" i="1" s="1"/>
  <c r="M186" i="1" a="1"/>
  <c r="M186" i="1" s="1"/>
  <c r="L186" i="1" a="1"/>
  <c r="L186" i="1" s="1"/>
  <c r="K186" i="1" a="1"/>
  <c r="K186" i="1" s="1"/>
  <c r="J186" i="1" a="1"/>
  <c r="J186" i="1" s="1"/>
  <c r="I186" i="1" a="1"/>
  <c r="I186" i="1" s="1"/>
  <c r="H186" i="1" a="1"/>
  <c r="H186" i="1" s="1"/>
  <c r="G186" i="1" a="1"/>
  <c r="G186" i="1" s="1"/>
  <c r="F186" i="1" a="1"/>
  <c r="F186" i="1" s="1"/>
  <c r="E186" i="1" a="1"/>
  <c r="E186" i="1" s="1"/>
  <c r="D186" i="1" a="1"/>
  <c r="D186" i="1" s="1"/>
  <c r="C186" i="1" a="1"/>
  <c r="C186" i="1" s="1"/>
  <c r="B186" i="1" a="1"/>
  <c r="B186" i="1" s="1"/>
  <c r="N185" i="1" a="1"/>
  <c r="N185" i="1" s="1"/>
  <c r="M185" i="1" a="1"/>
  <c r="M185" i="1" s="1"/>
  <c r="L185" i="1" a="1"/>
  <c r="L185" i="1" s="1"/>
  <c r="K185" i="1" a="1"/>
  <c r="K185" i="1" s="1"/>
  <c r="J185" i="1" a="1"/>
  <c r="J185" i="1" s="1"/>
  <c r="I185" i="1" a="1"/>
  <c r="I185" i="1" s="1"/>
  <c r="H185" i="1" a="1"/>
  <c r="H185" i="1" s="1"/>
  <c r="G185" i="1" a="1"/>
  <c r="G185" i="1" s="1"/>
  <c r="F185" i="1" a="1"/>
  <c r="F185" i="1" s="1"/>
  <c r="E185" i="1" a="1"/>
  <c r="E185" i="1" s="1"/>
  <c r="D185" i="1" a="1"/>
  <c r="D185" i="1" s="1"/>
  <c r="C185" i="1" a="1"/>
  <c r="C185" i="1" s="1"/>
  <c r="B185" i="1" a="1"/>
  <c r="B185" i="1" s="1"/>
  <c r="N184" i="1" a="1"/>
  <c r="N184" i="1" s="1"/>
  <c r="M184" i="1" a="1"/>
  <c r="M184" i="1" s="1"/>
  <c r="L184" i="1" a="1"/>
  <c r="L184" i="1" s="1"/>
  <c r="K184" i="1" a="1"/>
  <c r="K184" i="1" s="1"/>
  <c r="J184" i="1" a="1"/>
  <c r="J184" i="1" s="1"/>
  <c r="I184" i="1" a="1"/>
  <c r="I184" i="1" s="1"/>
  <c r="H184" i="1" a="1"/>
  <c r="H184" i="1" s="1"/>
  <c r="G184" i="1" a="1"/>
  <c r="G184" i="1" s="1"/>
  <c r="F184" i="1" a="1"/>
  <c r="F184" i="1" s="1"/>
  <c r="E184" i="1" a="1"/>
  <c r="E184" i="1" s="1"/>
  <c r="D184" i="1" a="1"/>
  <c r="D184" i="1" s="1"/>
  <c r="C184" i="1" a="1"/>
  <c r="C184" i="1" s="1"/>
  <c r="B184" i="1" a="1"/>
  <c r="B184" i="1" s="1"/>
  <c r="N183" i="1" a="1"/>
  <c r="N183" i="1" s="1"/>
  <c r="M183" i="1" a="1"/>
  <c r="M183" i="1" s="1"/>
  <c r="L183" i="1" a="1"/>
  <c r="L183" i="1" s="1"/>
  <c r="K183" i="1" a="1"/>
  <c r="K183" i="1" s="1"/>
  <c r="J183" i="1" a="1"/>
  <c r="J183" i="1" s="1"/>
  <c r="I183" i="1" a="1"/>
  <c r="I183" i="1" s="1"/>
  <c r="H183" i="1" a="1"/>
  <c r="H183" i="1" s="1"/>
  <c r="G183" i="1" a="1"/>
  <c r="G183" i="1" s="1"/>
  <c r="F183" i="1" a="1"/>
  <c r="F183" i="1" s="1"/>
  <c r="E183" i="1" a="1"/>
  <c r="E183" i="1" s="1"/>
  <c r="D183" i="1" a="1"/>
  <c r="D183" i="1" s="1"/>
  <c r="C183" i="1" a="1"/>
  <c r="C183" i="1" s="1"/>
  <c r="B183" i="1" a="1"/>
  <c r="B183" i="1" s="1"/>
  <c r="N182" i="1" a="1"/>
  <c r="N182" i="1" s="1"/>
  <c r="M182" i="1" a="1"/>
  <c r="M182" i="1" s="1"/>
  <c r="L182" i="1" a="1"/>
  <c r="L182" i="1" s="1"/>
  <c r="K182" i="1" a="1"/>
  <c r="K182" i="1" s="1"/>
  <c r="J182" i="1" a="1"/>
  <c r="J182" i="1" s="1"/>
  <c r="I182" i="1" a="1"/>
  <c r="I182" i="1" s="1"/>
  <c r="H182" i="1" a="1"/>
  <c r="H182" i="1" s="1"/>
  <c r="G182" i="1" a="1"/>
  <c r="G182" i="1" s="1"/>
  <c r="F182" i="1" a="1"/>
  <c r="F182" i="1" s="1"/>
  <c r="E182" i="1" a="1"/>
  <c r="E182" i="1" s="1"/>
  <c r="D182" i="1" a="1"/>
  <c r="D182" i="1" s="1"/>
  <c r="C182" i="1" a="1"/>
  <c r="C182" i="1" s="1"/>
  <c r="B182" i="1" a="1"/>
  <c r="B182" i="1" s="1"/>
  <c r="N181" i="1" a="1"/>
  <c r="N181" i="1" s="1"/>
  <c r="M181" i="1" a="1"/>
  <c r="M181" i="1" s="1"/>
  <c r="L181" i="1" a="1"/>
  <c r="L181" i="1" s="1"/>
  <c r="K181" i="1" a="1"/>
  <c r="K181" i="1" s="1"/>
  <c r="J181" i="1" a="1"/>
  <c r="J181" i="1" s="1"/>
  <c r="I181" i="1" a="1"/>
  <c r="I181" i="1" s="1"/>
  <c r="H181" i="1" a="1"/>
  <c r="H181" i="1" s="1"/>
  <c r="G181" i="1" a="1"/>
  <c r="G181" i="1" s="1"/>
  <c r="F181" i="1" a="1"/>
  <c r="F181" i="1" s="1"/>
  <c r="E181" i="1" a="1"/>
  <c r="E181" i="1" s="1"/>
  <c r="D181" i="1" a="1"/>
  <c r="D181" i="1" s="1"/>
  <c r="C181" i="1" a="1"/>
  <c r="C181" i="1" s="1"/>
  <c r="B181" i="1" a="1"/>
  <c r="B181" i="1" s="1"/>
  <c r="N180" i="1" a="1"/>
  <c r="N180" i="1" s="1"/>
  <c r="M180" i="1" a="1"/>
  <c r="M180" i="1" s="1"/>
  <c r="L180" i="1" a="1"/>
  <c r="L180" i="1" s="1"/>
  <c r="K180" i="1" a="1"/>
  <c r="K180" i="1" s="1"/>
  <c r="J180" i="1" a="1"/>
  <c r="J180" i="1" s="1"/>
  <c r="I180" i="1" a="1"/>
  <c r="I180" i="1" s="1"/>
  <c r="H180" i="1" a="1"/>
  <c r="H180" i="1" s="1"/>
  <c r="G180" i="1" a="1"/>
  <c r="G180" i="1" s="1"/>
  <c r="F180" i="1" a="1"/>
  <c r="F180" i="1" s="1"/>
  <c r="E180" i="1" a="1"/>
  <c r="E180" i="1" s="1"/>
  <c r="D180" i="1" a="1"/>
  <c r="D180" i="1" s="1"/>
  <c r="C180" i="1" a="1"/>
  <c r="C180" i="1" s="1"/>
  <c r="B180" i="1" a="1"/>
  <c r="B180" i="1" s="1"/>
  <c r="N179" i="1" a="1"/>
  <c r="N179" i="1" s="1"/>
  <c r="M179" i="1" a="1"/>
  <c r="M179" i="1" s="1"/>
  <c r="L179" i="1" a="1"/>
  <c r="L179" i="1" s="1"/>
  <c r="K179" i="1" a="1"/>
  <c r="K179" i="1" s="1"/>
  <c r="J179" i="1" a="1"/>
  <c r="J179" i="1" s="1"/>
  <c r="I179" i="1" a="1"/>
  <c r="I179" i="1" s="1"/>
  <c r="H179" i="1" a="1"/>
  <c r="H179" i="1" s="1"/>
  <c r="G179" i="1" a="1"/>
  <c r="G179" i="1" s="1"/>
  <c r="F179" i="1" a="1"/>
  <c r="F179" i="1" s="1"/>
  <c r="E179" i="1" a="1"/>
  <c r="E179" i="1" s="1"/>
  <c r="D179" i="1" a="1"/>
  <c r="D179" i="1" s="1"/>
  <c r="C179" i="1" a="1"/>
  <c r="C179" i="1" s="1"/>
  <c r="B179" i="1" a="1"/>
  <c r="B179" i="1" s="1"/>
  <c r="N178" i="1" a="1"/>
  <c r="N178" i="1" s="1"/>
  <c r="M178" i="1" a="1"/>
  <c r="M178" i="1" s="1"/>
  <c r="L178" i="1" a="1"/>
  <c r="L178" i="1" s="1"/>
  <c r="K178" i="1" a="1"/>
  <c r="K178" i="1" s="1"/>
  <c r="J178" i="1" a="1"/>
  <c r="J178" i="1" s="1"/>
  <c r="I178" i="1" a="1"/>
  <c r="I178" i="1" s="1"/>
  <c r="H178" i="1" a="1"/>
  <c r="H178" i="1" s="1"/>
  <c r="G178" i="1" a="1"/>
  <c r="G178" i="1" s="1"/>
  <c r="F178" i="1" a="1"/>
  <c r="F178" i="1" s="1"/>
  <c r="E178" i="1" a="1"/>
  <c r="E178" i="1" s="1"/>
  <c r="D178" i="1" a="1"/>
  <c r="D178" i="1" s="1"/>
  <c r="C178" i="1" a="1"/>
  <c r="C178" i="1" s="1"/>
  <c r="B178" i="1" a="1"/>
  <c r="B178" i="1" s="1"/>
  <c r="N177" i="1" a="1"/>
  <c r="N177" i="1" s="1"/>
  <c r="M177" i="1" a="1"/>
  <c r="M177" i="1" s="1"/>
  <c r="L177" i="1" a="1"/>
  <c r="L177" i="1" s="1"/>
  <c r="K177" i="1" a="1"/>
  <c r="K177" i="1" s="1"/>
  <c r="J177" i="1" a="1"/>
  <c r="J177" i="1" s="1"/>
  <c r="I177" i="1" a="1"/>
  <c r="I177" i="1" s="1"/>
  <c r="H177" i="1" a="1"/>
  <c r="H177" i="1" s="1"/>
  <c r="G177" i="1" a="1"/>
  <c r="G177" i="1" s="1"/>
  <c r="F177" i="1" a="1"/>
  <c r="F177" i="1" s="1"/>
  <c r="E177" i="1" a="1"/>
  <c r="E177" i="1" s="1"/>
  <c r="D177" i="1" a="1"/>
  <c r="D177" i="1" s="1"/>
  <c r="C177" i="1" a="1"/>
  <c r="C177" i="1" s="1"/>
  <c r="B177" i="1" a="1"/>
  <c r="B177" i="1" s="1"/>
  <c r="N176" i="1" a="1"/>
  <c r="N176" i="1" s="1"/>
  <c r="M176" i="1" a="1"/>
  <c r="M176" i="1" s="1"/>
  <c r="L176" i="1" a="1"/>
  <c r="L176" i="1" s="1"/>
  <c r="K176" i="1" a="1"/>
  <c r="K176" i="1" s="1"/>
  <c r="J176" i="1" a="1"/>
  <c r="J176" i="1" s="1"/>
  <c r="I176" i="1" a="1"/>
  <c r="I176" i="1" s="1"/>
  <c r="H176" i="1" a="1"/>
  <c r="H176" i="1" s="1"/>
  <c r="G176" i="1" a="1"/>
  <c r="G176" i="1" s="1"/>
  <c r="F176" i="1" a="1"/>
  <c r="F176" i="1" s="1"/>
  <c r="E176" i="1" a="1"/>
  <c r="E176" i="1" s="1"/>
  <c r="D176" i="1" a="1"/>
  <c r="D176" i="1" s="1"/>
  <c r="C176" i="1" a="1"/>
  <c r="C176" i="1" s="1"/>
  <c r="B176" i="1" a="1"/>
  <c r="B176" i="1" s="1"/>
  <c r="N175" i="1" a="1"/>
  <c r="N175" i="1" s="1"/>
  <c r="M175" i="1" a="1"/>
  <c r="M175" i="1" s="1"/>
  <c r="L175" i="1" a="1"/>
  <c r="L175" i="1" s="1"/>
  <c r="K175" i="1" a="1"/>
  <c r="K175" i="1" s="1"/>
  <c r="J175" i="1" a="1"/>
  <c r="J175" i="1" s="1"/>
  <c r="I175" i="1" a="1"/>
  <c r="I175" i="1" s="1"/>
  <c r="H175" i="1" a="1"/>
  <c r="H175" i="1" s="1"/>
  <c r="G175" i="1" a="1"/>
  <c r="G175" i="1" s="1"/>
  <c r="F175" i="1" a="1"/>
  <c r="F175" i="1" s="1"/>
  <c r="E175" i="1" a="1"/>
  <c r="E175" i="1" s="1"/>
  <c r="D175" i="1" a="1"/>
  <c r="D175" i="1" s="1"/>
  <c r="C175" i="1" a="1"/>
  <c r="C175" i="1" s="1"/>
  <c r="B175" i="1" a="1"/>
  <c r="B175" i="1" s="1"/>
  <c r="N174" i="1" a="1"/>
  <c r="N174" i="1" s="1"/>
  <c r="M174" i="1" a="1"/>
  <c r="M174" i="1" s="1"/>
  <c r="L174" i="1" a="1"/>
  <c r="L174" i="1" s="1"/>
  <c r="K174" i="1" a="1"/>
  <c r="K174" i="1" s="1"/>
  <c r="J174" i="1" a="1"/>
  <c r="J174" i="1" s="1"/>
  <c r="I174" i="1" a="1"/>
  <c r="I174" i="1" s="1"/>
  <c r="H174" i="1" a="1"/>
  <c r="H174" i="1" s="1"/>
  <c r="G174" i="1" a="1"/>
  <c r="G174" i="1" s="1"/>
  <c r="F174" i="1" a="1"/>
  <c r="F174" i="1" s="1"/>
  <c r="E174" i="1" a="1"/>
  <c r="E174" i="1" s="1"/>
  <c r="D174" i="1" a="1"/>
  <c r="D174" i="1" s="1"/>
  <c r="C174" i="1" a="1"/>
  <c r="C174" i="1" s="1"/>
  <c r="B174" i="1" a="1"/>
  <c r="B174" i="1" s="1"/>
  <c r="N173" i="1" a="1"/>
  <c r="N173" i="1" s="1"/>
  <c r="M173" i="1" a="1"/>
  <c r="M173" i="1" s="1"/>
  <c r="L173" i="1" a="1"/>
  <c r="L173" i="1" s="1"/>
  <c r="K173" i="1" a="1"/>
  <c r="K173" i="1" s="1"/>
  <c r="J173" i="1" a="1"/>
  <c r="J173" i="1" s="1"/>
  <c r="I173" i="1" a="1"/>
  <c r="I173" i="1" s="1"/>
  <c r="H173" i="1" a="1"/>
  <c r="H173" i="1" s="1"/>
  <c r="G173" i="1" a="1"/>
  <c r="G173" i="1" s="1"/>
  <c r="F173" i="1" a="1"/>
  <c r="F173" i="1" s="1"/>
  <c r="E173" i="1" a="1"/>
  <c r="E173" i="1" s="1"/>
  <c r="D173" i="1" a="1"/>
  <c r="D173" i="1" s="1"/>
  <c r="C173" i="1" a="1"/>
  <c r="C173" i="1" s="1"/>
  <c r="B173" i="1" a="1"/>
  <c r="B173" i="1" s="1"/>
  <c r="N172" i="1" a="1"/>
  <c r="N172" i="1" s="1"/>
  <c r="M172" i="1" a="1"/>
  <c r="M172" i="1" s="1"/>
  <c r="L172" i="1" a="1"/>
  <c r="L172" i="1" s="1"/>
  <c r="K172" i="1" a="1"/>
  <c r="K172" i="1" s="1"/>
  <c r="J172" i="1" a="1"/>
  <c r="J172" i="1" s="1"/>
  <c r="I172" i="1" a="1"/>
  <c r="I172" i="1" s="1"/>
  <c r="H172" i="1" a="1"/>
  <c r="H172" i="1" s="1"/>
  <c r="G172" i="1" a="1"/>
  <c r="G172" i="1" s="1"/>
  <c r="F172" i="1" a="1"/>
  <c r="F172" i="1" s="1"/>
  <c r="E172" i="1" a="1"/>
  <c r="E172" i="1" s="1"/>
  <c r="D172" i="1" a="1"/>
  <c r="D172" i="1" s="1"/>
  <c r="C172" i="1" a="1"/>
  <c r="C172" i="1" s="1"/>
  <c r="B172" i="1" a="1"/>
  <c r="B172" i="1" s="1"/>
  <c r="N171" i="1" a="1"/>
  <c r="N171" i="1" s="1"/>
  <c r="M171" i="1" a="1"/>
  <c r="M171" i="1" s="1"/>
  <c r="L171" i="1" a="1"/>
  <c r="L171" i="1" s="1"/>
  <c r="K171" i="1" a="1"/>
  <c r="K171" i="1" s="1"/>
  <c r="J171" i="1" a="1"/>
  <c r="J171" i="1" s="1"/>
  <c r="I171" i="1" a="1"/>
  <c r="I171" i="1" s="1"/>
  <c r="H171" i="1" a="1"/>
  <c r="H171" i="1" s="1"/>
  <c r="G171" i="1" a="1"/>
  <c r="G171" i="1" s="1"/>
  <c r="F171" i="1" a="1"/>
  <c r="F171" i="1" s="1"/>
  <c r="E171" i="1" a="1"/>
  <c r="E171" i="1" s="1"/>
  <c r="D171" i="1" a="1"/>
  <c r="D171" i="1" s="1"/>
  <c r="C171" i="1" a="1"/>
  <c r="C171" i="1" s="1"/>
  <c r="B171" i="1" a="1"/>
  <c r="B171" i="1" s="1"/>
  <c r="N170" i="1" a="1"/>
  <c r="N170" i="1" s="1"/>
  <c r="M170" i="1" a="1"/>
  <c r="M170" i="1" s="1"/>
  <c r="L170" i="1" a="1"/>
  <c r="L170" i="1" s="1"/>
  <c r="K170" i="1" a="1"/>
  <c r="K170" i="1" s="1"/>
  <c r="J170" i="1" a="1"/>
  <c r="J170" i="1" s="1"/>
  <c r="I170" i="1" a="1"/>
  <c r="I170" i="1" s="1"/>
  <c r="H170" i="1" a="1"/>
  <c r="H170" i="1" s="1"/>
  <c r="G170" i="1" a="1"/>
  <c r="G170" i="1" s="1"/>
  <c r="F170" i="1" a="1"/>
  <c r="F170" i="1" s="1"/>
  <c r="E170" i="1" a="1"/>
  <c r="E170" i="1" s="1"/>
  <c r="D170" i="1" a="1"/>
  <c r="D170" i="1" s="1"/>
  <c r="C170" i="1" a="1"/>
  <c r="C170" i="1" s="1"/>
  <c r="B170" i="1" a="1"/>
  <c r="B170" i="1" s="1"/>
  <c r="N169" i="1" a="1"/>
  <c r="N169" i="1" s="1"/>
  <c r="M169" i="1" a="1"/>
  <c r="M169" i="1" s="1"/>
  <c r="L169" i="1" a="1"/>
  <c r="L169" i="1" s="1"/>
  <c r="K169" i="1" a="1"/>
  <c r="K169" i="1" s="1"/>
  <c r="J169" i="1" a="1"/>
  <c r="J169" i="1" s="1"/>
  <c r="I169" i="1" a="1"/>
  <c r="I169" i="1" s="1"/>
  <c r="H169" i="1" a="1"/>
  <c r="H169" i="1" s="1"/>
  <c r="G169" i="1" a="1"/>
  <c r="G169" i="1" s="1"/>
  <c r="F169" i="1" a="1"/>
  <c r="F169" i="1" s="1"/>
  <c r="E169" i="1" a="1"/>
  <c r="E169" i="1" s="1"/>
  <c r="D169" i="1" a="1"/>
  <c r="D169" i="1" s="1"/>
  <c r="C169" i="1" a="1"/>
  <c r="C169" i="1" s="1"/>
  <c r="B169" i="1" a="1"/>
  <c r="B169" i="1" s="1"/>
  <c r="N168" i="1" a="1"/>
  <c r="N168" i="1" s="1"/>
  <c r="M168" i="1" a="1"/>
  <c r="M168" i="1" s="1"/>
  <c r="L168" i="1" a="1"/>
  <c r="L168" i="1" s="1"/>
  <c r="K168" i="1" a="1"/>
  <c r="K168" i="1" s="1"/>
  <c r="J168" i="1" a="1"/>
  <c r="J168" i="1" s="1"/>
  <c r="I168" i="1" a="1"/>
  <c r="I168" i="1" s="1"/>
  <c r="H168" i="1" a="1"/>
  <c r="H168" i="1" s="1"/>
  <c r="G168" i="1" a="1"/>
  <c r="G168" i="1" s="1"/>
  <c r="F168" i="1" a="1"/>
  <c r="F168" i="1" s="1"/>
  <c r="E168" i="1" a="1"/>
  <c r="E168" i="1" s="1"/>
  <c r="D168" i="1" a="1"/>
  <c r="D168" i="1" s="1"/>
  <c r="C168" i="1" a="1"/>
  <c r="C168" i="1" s="1"/>
  <c r="B168" i="1" a="1"/>
  <c r="B168" i="1" s="1"/>
  <c r="N167" i="1" a="1"/>
  <c r="N167" i="1" s="1"/>
  <c r="M167" i="1" a="1"/>
  <c r="M167" i="1" s="1"/>
  <c r="L167" i="1" a="1"/>
  <c r="L167" i="1" s="1"/>
  <c r="K167" i="1" a="1"/>
  <c r="K167" i="1" s="1"/>
  <c r="J167" i="1" a="1"/>
  <c r="J167" i="1" s="1"/>
  <c r="I167" i="1" a="1"/>
  <c r="I167" i="1" s="1"/>
  <c r="H167" i="1" a="1"/>
  <c r="H167" i="1" s="1"/>
  <c r="G167" i="1" a="1"/>
  <c r="G167" i="1" s="1"/>
  <c r="F167" i="1" a="1"/>
  <c r="F167" i="1" s="1"/>
  <c r="E167" i="1" a="1"/>
  <c r="E167" i="1" s="1"/>
  <c r="D167" i="1" a="1"/>
  <c r="D167" i="1" s="1"/>
  <c r="C167" i="1" a="1"/>
  <c r="C167" i="1" s="1"/>
  <c r="B167" i="1" a="1"/>
  <c r="B167" i="1" s="1"/>
  <c r="N166" i="1" a="1"/>
  <c r="N166" i="1" s="1"/>
  <c r="M166" i="1" a="1"/>
  <c r="M166" i="1" s="1"/>
  <c r="L166" i="1" a="1"/>
  <c r="L166" i="1" s="1"/>
  <c r="K166" i="1" a="1"/>
  <c r="K166" i="1" s="1"/>
  <c r="J166" i="1" a="1"/>
  <c r="J166" i="1" s="1"/>
  <c r="I166" i="1" a="1"/>
  <c r="I166" i="1" s="1"/>
  <c r="H166" i="1" a="1"/>
  <c r="H166" i="1" s="1"/>
  <c r="G166" i="1" a="1"/>
  <c r="G166" i="1" s="1"/>
  <c r="F166" i="1" a="1"/>
  <c r="F166" i="1" s="1"/>
  <c r="E166" i="1" a="1"/>
  <c r="E166" i="1" s="1"/>
  <c r="D166" i="1" a="1"/>
  <c r="D166" i="1" s="1"/>
  <c r="C166" i="1" a="1"/>
  <c r="C166" i="1" s="1"/>
  <c r="B166" i="1" a="1"/>
  <c r="B166" i="1" s="1"/>
  <c r="N165" i="1" a="1"/>
  <c r="N165" i="1" s="1"/>
  <c r="M165" i="1" a="1"/>
  <c r="M165" i="1" s="1"/>
  <c r="L165" i="1" a="1"/>
  <c r="L165" i="1" s="1"/>
  <c r="K165" i="1" a="1"/>
  <c r="K165" i="1" s="1"/>
  <c r="J165" i="1" a="1"/>
  <c r="J165" i="1" s="1"/>
  <c r="I165" i="1" a="1"/>
  <c r="I165" i="1" s="1"/>
  <c r="H165" i="1" a="1"/>
  <c r="H165" i="1" s="1"/>
  <c r="G165" i="1" a="1"/>
  <c r="G165" i="1" s="1"/>
  <c r="F165" i="1" a="1"/>
  <c r="F165" i="1" s="1"/>
  <c r="E165" i="1" a="1"/>
  <c r="E165" i="1" s="1"/>
  <c r="D165" i="1" a="1"/>
  <c r="D165" i="1" s="1"/>
  <c r="C165" i="1" a="1"/>
  <c r="C165" i="1" s="1"/>
  <c r="B165" i="1" a="1"/>
  <c r="B165" i="1" s="1"/>
  <c r="N164" i="1" a="1"/>
  <c r="N164" i="1" s="1"/>
  <c r="M164" i="1" a="1"/>
  <c r="M164" i="1" s="1"/>
  <c r="L164" i="1" a="1"/>
  <c r="L164" i="1" s="1"/>
  <c r="K164" i="1" a="1"/>
  <c r="K164" i="1" s="1"/>
  <c r="J164" i="1" a="1"/>
  <c r="J164" i="1" s="1"/>
  <c r="I164" i="1" a="1"/>
  <c r="I164" i="1" s="1"/>
  <c r="H164" i="1" a="1"/>
  <c r="H164" i="1" s="1"/>
  <c r="G164" i="1" a="1"/>
  <c r="G164" i="1" s="1"/>
  <c r="F164" i="1" a="1"/>
  <c r="F164" i="1" s="1"/>
  <c r="E164" i="1" a="1"/>
  <c r="E164" i="1" s="1"/>
  <c r="D164" i="1" a="1"/>
  <c r="D164" i="1" s="1"/>
  <c r="C164" i="1" a="1"/>
  <c r="C164" i="1" s="1"/>
  <c r="B164" i="1" a="1"/>
  <c r="B164" i="1" s="1"/>
  <c r="N163" i="1" a="1"/>
  <c r="N163" i="1" s="1"/>
  <c r="M163" i="1" a="1"/>
  <c r="M163" i="1" s="1"/>
  <c r="L163" i="1" a="1"/>
  <c r="L163" i="1" s="1"/>
  <c r="K163" i="1" a="1"/>
  <c r="K163" i="1" s="1"/>
  <c r="J163" i="1" a="1"/>
  <c r="J163" i="1" s="1"/>
  <c r="I163" i="1" a="1"/>
  <c r="I163" i="1" s="1"/>
  <c r="H163" i="1" a="1"/>
  <c r="H163" i="1" s="1"/>
  <c r="G163" i="1" a="1"/>
  <c r="G163" i="1" s="1"/>
  <c r="F163" i="1" a="1"/>
  <c r="F163" i="1" s="1"/>
  <c r="E163" i="1" a="1"/>
  <c r="E163" i="1" s="1"/>
  <c r="D163" i="1" a="1"/>
  <c r="D163" i="1" s="1"/>
  <c r="C163" i="1" a="1"/>
  <c r="C163" i="1" s="1"/>
  <c r="B163" i="1" a="1"/>
  <c r="B163" i="1" s="1"/>
  <c r="N162" i="1" a="1"/>
  <c r="N162" i="1" s="1"/>
  <c r="M162" i="1" a="1"/>
  <c r="M162" i="1" s="1"/>
  <c r="L162" i="1" a="1"/>
  <c r="L162" i="1" s="1"/>
  <c r="K162" i="1" a="1"/>
  <c r="K162" i="1" s="1"/>
  <c r="J162" i="1" a="1"/>
  <c r="J162" i="1" s="1"/>
  <c r="I162" i="1" a="1"/>
  <c r="I162" i="1" s="1"/>
  <c r="H162" i="1" a="1"/>
  <c r="H162" i="1" s="1"/>
  <c r="G162" i="1" a="1"/>
  <c r="G162" i="1" s="1"/>
  <c r="F162" i="1" a="1"/>
  <c r="F162" i="1" s="1"/>
  <c r="E162" i="1" a="1"/>
  <c r="E162" i="1" s="1"/>
  <c r="D162" i="1" a="1"/>
  <c r="D162" i="1" s="1"/>
  <c r="C162" i="1" a="1"/>
  <c r="C162" i="1" s="1"/>
  <c r="B162" i="1" a="1"/>
  <c r="B162" i="1" s="1"/>
  <c r="N161" i="1" a="1"/>
  <c r="N161" i="1" s="1"/>
  <c r="M161" i="1" a="1"/>
  <c r="M161" i="1" s="1"/>
  <c r="L161" i="1" a="1"/>
  <c r="L161" i="1" s="1"/>
  <c r="K161" i="1" a="1"/>
  <c r="K161" i="1" s="1"/>
  <c r="J161" i="1" a="1"/>
  <c r="J161" i="1" s="1"/>
  <c r="I161" i="1" a="1"/>
  <c r="I161" i="1" s="1"/>
  <c r="H161" i="1" a="1"/>
  <c r="H161" i="1" s="1"/>
  <c r="G161" i="1" a="1"/>
  <c r="G161" i="1" s="1"/>
  <c r="F161" i="1" a="1"/>
  <c r="F161" i="1" s="1"/>
  <c r="E161" i="1" a="1"/>
  <c r="E161" i="1" s="1"/>
  <c r="D161" i="1" a="1"/>
  <c r="D161" i="1" s="1"/>
  <c r="C161" i="1" a="1"/>
  <c r="C161" i="1" s="1"/>
  <c r="B161" i="1" a="1"/>
  <c r="B161" i="1" s="1"/>
  <c r="N160" i="1" a="1"/>
  <c r="N160" i="1" s="1"/>
  <c r="M160" i="1" a="1"/>
  <c r="M160" i="1" s="1"/>
  <c r="L160" i="1" a="1"/>
  <c r="L160" i="1" s="1"/>
  <c r="K160" i="1" a="1"/>
  <c r="K160" i="1" s="1"/>
  <c r="J160" i="1" a="1"/>
  <c r="J160" i="1" s="1"/>
  <c r="I160" i="1" a="1"/>
  <c r="I160" i="1" s="1"/>
  <c r="H160" i="1" a="1"/>
  <c r="H160" i="1" s="1"/>
  <c r="G160" i="1" a="1"/>
  <c r="G160" i="1" s="1"/>
  <c r="F160" i="1" a="1"/>
  <c r="F160" i="1" s="1"/>
  <c r="E160" i="1" a="1"/>
  <c r="E160" i="1" s="1"/>
  <c r="D160" i="1" a="1"/>
  <c r="D160" i="1" s="1"/>
  <c r="C160" i="1" a="1"/>
  <c r="C160" i="1" s="1"/>
  <c r="B160" i="1" a="1"/>
  <c r="B160" i="1" s="1"/>
  <c r="N159" i="1" a="1"/>
  <c r="N159" i="1" s="1"/>
  <c r="M159" i="1" a="1"/>
  <c r="M159" i="1" s="1"/>
  <c r="L159" i="1" a="1"/>
  <c r="L159" i="1" s="1"/>
  <c r="K159" i="1" a="1"/>
  <c r="K159" i="1" s="1"/>
  <c r="J159" i="1" a="1"/>
  <c r="J159" i="1" s="1"/>
  <c r="I159" i="1" a="1"/>
  <c r="I159" i="1" s="1"/>
  <c r="H159" i="1" a="1"/>
  <c r="H159" i="1" s="1"/>
  <c r="G159" i="1" a="1"/>
  <c r="G159" i="1" s="1"/>
  <c r="F159" i="1" a="1"/>
  <c r="F159" i="1" s="1"/>
  <c r="E159" i="1" a="1"/>
  <c r="E159" i="1" s="1"/>
  <c r="D159" i="1" a="1"/>
  <c r="D159" i="1" s="1"/>
  <c r="C159" i="1" a="1"/>
  <c r="C159" i="1" s="1"/>
  <c r="B159" i="1" a="1"/>
  <c r="B159" i="1" s="1"/>
  <c r="N158" i="1" a="1"/>
  <c r="N158" i="1" s="1"/>
  <c r="M158" i="1" a="1"/>
  <c r="M158" i="1" s="1"/>
  <c r="L158" i="1" a="1"/>
  <c r="L158" i="1" s="1"/>
  <c r="K158" i="1" a="1"/>
  <c r="K158" i="1" s="1"/>
  <c r="J158" i="1" a="1"/>
  <c r="J158" i="1" s="1"/>
  <c r="I158" i="1" a="1"/>
  <c r="I158" i="1" s="1"/>
  <c r="H158" i="1" a="1"/>
  <c r="H158" i="1" s="1"/>
  <c r="G158" i="1" a="1"/>
  <c r="G158" i="1" s="1"/>
  <c r="F158" i="1" a="1"/>
  <c r="F158" i="1" s="1"/>
  <c r="E158" i="1" a="1"/>
  <c r="E158" i="1" s="1"/>
  <c r="D158" i="1" a="1"/>
  <c r="D158" i="1" s="1"/>
  <c r="C158" i="1" a="1"/>
  <c r="C158" i="1" s="1"/>
  <c r="B158" i="1" a="1"/>
  <c r="B158" i="1" s="1"/>
  <c r="N157" i="1" a="1"/>
  <c r="N157" i="1" s="1"/>
  <c r="M157" i="1" a="1"/>
  <c r="M157" i="1" s="1"/>
  <c r="L157" i="1" a="1"/>
  <c r="L157" i="1" s="1"/>
  <c r="K157" i="1" a="1"/>
  <c r="K157" i="1" s="1"/>
  <c r="J157" i="1" a="1"/>
  <c r="J157" i="1" s="1"/>
  <c r="I157" i="1" a="1"/>
  <c r="I157" i="1" s="1"/>
  <c r="H157" i="1" a="1"/>
  <c r="H157" i="1" s="1"/>
  <c r="G157" i="1" a="1"/>
  <c r="G157" i="1" s="1"/>
  <c r="F157" i="1" a="1"/>
  <c r="F157" i="1" s="1"/>
  <c r="E157" i="1" a="1"/>
  <c r="E157" i="1" s="1"/>
  <c r="D157" i="1" a="1"/>
  <c r="D157" i="1" s="1"/>
  <c r="C157" i="1" a="1"/>
  <c r="C157" i="1" s="1"/>
  <c r="B157" i="1" a="1"/>
  <c r="B157" i="1" s="1"/>
  <c r="N156" i="1" a="1"/>
  <c r="N156" i="1" s="1"/>
  <c r="M156" i="1" a="1"/>
  <c r="M156" i="1" s="1"/>
  <c r="L156" i="1" a="1"/>
  <c r="L156" i="1" s="1"/>
  <c r="K156" i="1" a="1"/>
  <c r="K156" i="1" s="1"/>
  <c r="J156" i="1" a="1"/>
  <c r="J156" i="1" s="1"/>
  <c r="I156" i="1" a="1"/>
  <c r="I156" i="1" s="1"/>
  <c r="H156" i="1" a="1"/>
  <c r="H156" i="1" s="1"/>
  <c r="G156" i="1" a="1"/>
  <c r="G156" i="1" s="1"/>
  <c r="F156" i="1" a="1"/>
  <c r="F156" i="1" s="1"/>
  <c r="E156" i="1" a="1"/>
  <c r="E156" i="1" s="1"/>
  <c r="D156" i="1" a="1"/>
  <c r="D156" i="1" s="1"/>
  <c r="C156" i="1" a="1"/>
  <c r="C156" i="1" s="1"/>
  <c r="B156" i="1" a="1"/>
  <c r="B156" i="1" s="1"/>
  <c r="N155" i="1" a="1"/>
  <c r="N155" i="1" s="1"/>
  <c r="M155" i="1" a="1"/>
  <c r="M155" i="1" s="1"/>
  <c r="L155" i="1" a="1"/>
  <c r="L155" i="1" s="1"/>
  <c r="K155" i="1" a="1"/>
  <c r="K155" i="1" s="1"/>
  <c r="J155" i="1" a="1"/>
  <c r="J155" i="1" s="1"/>
  <c r="I155" i="1" a="1"/>
  <c r="I155" i="1" s="1"/>
  <c r="H155" i="1" a="1"/>
  <c r="H155" i="1" s="1"/>
  <c r="G155" i="1" a="1"/>
  <c r="G155" i="1" s="1"/>
  <c r="F155" i="1" a="1"/>
  <c r="F155" i="1" s="1"/>
  <c r="E155" i="1" a="1"/>
  <c r="E155" i="1" s="1"/>
  <c r="D155" i="1" a="1"/>
  <c r="D155" i="1" s="1"/>
  <c r="C155" i="1" a="1"/>
  <c r="C155" i="1" s="1"/>
  <c r="B155" i="1" a="1"/>
  <c r="B155" i="1" s="1"/>
  <c r="N154" i="1" a="1"/>
  <c r="N154" i="1" s="1"/>
  <c r="M154" i="1" a="1"/>
  <c r="M154" i="1" s="1"/>
  <c r="L154" i="1" a="1"/>
  <c r="L154" i="1" s="1"/>
  <c r="K154" i="1" a="1"/>
  <c r="K154" i="1" s="1"/>
  <c r="J154" i="1" a="1"/>
  <c r="J154" i="1" s="1"/>
  <c r="I154" i="1" a="1"/>
  <c r="I154" i="1" s="1"/>
  <c r="H154" i="1" a="1"/>
  <c r="H154" i="1" s="1"/>
  <c r="G154" i="1" a="1"/>
  <c r="G154" i="1" s="1"/>
  <c r="F154" i="1" a="1"/>
  <c r="F154" i="1" s="1"/>
  <c r="E154" i="1" a="1"/>
  <c r="E154" i="1" s="1"/>
  <c r="D154" i="1" a="1"/>
  <c r="D154" i="1" s="1"/>
  <c r="C154" i="1" a="1"/>
  <c r="C154" i="1" s="1"/>
  <c r="B154" i="1" a="1"/>
  <c r="B154" i="1" s="1"/>
  <c r="N153" i="1" a="1"/>
  <c r="N153" i="1" s="1"/>
  <c r="M153" i="1" a="1"/>
  <c r="M153" i="1" s="1"/>
  <c r="L153" i="1" a="1"/>
  <c r="L153" i="1" s="1"/>
  <c r="K153" i="1" a="1"/>
  <c r="K153" i="1" s="1"/>
  <c r="J153" i="1" a="1"/>
  <c r="J153" i="1" s="1"/>
  <c r="I153" i="1" a="1"/>
  <c r="I153" i="1" s="1"/>
  <c r="H153" i="1" a="1"/>
  <c r="H153" i="1" s="1"/>
  <c r="G153" i="1" a="1"/>
  <c r="G153" i="1" s="1"/>
  <c r="F153" i="1" a="1"/>
  <c r="F153" i="1" s="1"/>
  <c r="E153" i="1" a="1"/>
  <c r="E153" i="1" s="1"/>
  <c r="D153" i="1" a="1"/>
  <c r="D153" i="1" s="1"/>
  <c r="C153" i="1" a="1"/>
  <c r="C153" i="1" s="1"/>
  <c r="B153" i="1" a="1"/>
  <c r="B153" i="1" s="1"/>
  <c r="N152" i="1" a="1"/>
  <c r="N152" i="1" s="1"/>
  <c r="M152" i="1" a="1"/>
  <c r="M152" i="1" s="1"/>
  <c r="L152" i="1" a="1"/>
  <c r="L152" i="1" s="1"/>
  <c r="K152" i="1" a="1"/>
  <c r="K152" i="1" s="1"/>
  <c r="J152" i="1" a="1"/>
  <c r="J152" i="1" s="1"/>
  <c r="I152" i="1" a="1"/>
  <c r="I152" i="1" s="1"/>
  <c r="H152" i="1" a="1"/>
  <c r="H152" i="1" s="1"/>
  <c r="G152" i="1" a="1"/>
  <c r="G152" i="1" s="1"/>
  <c r="F152" i="1" a="1"/>
  <c r="F152" i="1" s="1"/>
  <c r="E152" i="1" a="1"/>
  <c r="E152" i="1" s="1"/>
  <c r="D152" i="1" a="1"/>
  <c r="D152" i="1" s="1"/>
  <c r="C152" i="1" a="1"/>
  <c r="C152" i="1" s="1"/>
  <c r="B152" i="1" a="1"/>
  <c r="B152" i="1" s="1"/>
  <c r="N151" i="1" a="1"/>
  <c r="N151" i="1" s="1"/>
  <c r="M151" i="1" a="1"/>
  <c r="M151" i="1" s="1"/>
  <c r="L151" i="1" a="1"/>
  <c r="L151" i="1" s="1"/>
  <c r="K151" i="1" a="1"/>
  <c r="K151" i="1" s="1"/>
  <c r="J151" i="1" a="1"/>
  <c r="J151" i="1" s="1"/>
  <c r="I151" i="1" a="1"/>
  <c r="I151" i="1" s="1"/>
  <c r="H151" i="1" a="1"/>
  <c r="H151" i="1" s="1"/>
  <c r="G151" i="1" a="1"/>
  <c r="G151" i="1" s="1"/>
  <c r="F151" i="1" a="1"/>
  <c r="F151" i="1" s="1"/>
  <c r="E151" i="1" a="1"/>
  <c r="E151" i="1" s="1"/>
  <c r="D151" i="1" a="1"/>
  <c r="D151" i="1" s="1"/>
  <c r="C151" i="1" a="1"/>
  <c r="C151" i="1" s="1"/>
  <c r="B151" i="1" a="1"/>
  <c r="B151" i="1" s="1"/>
  <c r="N150" i="1" a="1"/>
  <c r="N150" i="1" s="1"/>
  <c r="M150" i="1" a="1"/>
  <c r="M150" i="1" s="1"/>
  <c r="L150" i="1" a="1"/>
  <c r="L150" i="1" s="1"/>
  <c r="K150" i="1" a="1"/>
  <c r="K150" i="1" s="1"/>
  <c r="J150" i="1" a="1"/>
  <c r="J150" i="1" s="1"/>
  <c r="I150" i="1" a="1"/>
  <c r="I150" i="1" s="1"/>
  <c r="H150" i="1" a="1"/>
  <c r="H150" i="1" s="1"/>
  <c r="G150" i="1" a="1"/>
  <c r="G150" i="1" s="1"/>
  <c r="F150" i="1" a="1"/>
  <c r="F150" i="1" s="1"/>
  <c r="E150" i="1" a="1"/>
  <c r="E150" i="1" s="1"/>
  <c r="D150" i="1" a="1"/>
  <c r="D150" i="1" s="1"/>
  <c r="C150" i="1" a="1"/>
  <c r="C150" i="1" s="1"/>
  <c r="B150" i="1" a="1"/>
  <c r="B150" i="1" s="1"/>
  <c r="N149" i="1" a="1"/>
  <c r="N149" i="1" s="1"/>
  <c r="M149" i="1" a="1"/>
  <c r="M149" i="1" s="1"/>
  <c r="L149" i="1" a="1"/>
  <c r="L149" i="1" s="1"/>
  <c r="K149" i="1" a="1"/>
  <c r="K149" i="1" s="1"/>
  <c r="J149" i="1" a="1"/>
  <c r="J149" i="1" s="1"/>
  <c r="I149" i="1" a="1"/>
  <c r="I149" i="1" s="1"/>
  <c r="H149" i="1" a="1"/>
  <c r="H149" i="1" s="1"/>
  <c r="G149" i="1" a="1"/>
  <c r="G149" i="1" s="1"/>
  <c r="F149" i="1" a="1"/>
  <c r="F149" i="1" s="1"/>
  <c r="E149" i="1" a="1"/>
  <c r="E149" i="1" s="1"/>
  <c r="D149" i="1" a="1"/>
  <c r="D149" i="1" s="1"/>
  <c r="C149" i="1" a="1"/>
  <c r="C149" i="1" s="1"/>
  <c r="B149" i="1" a="1"/>
  <c r="B149" i="1" s="1"/>
  <c r="N148" i="1" a="1"/>
  <c r="N148" i="1" s="1"/>
  <c r="M148" i="1" a="1"/>
  <c r="M148" i="1" s="1"/>
  <c r="L148" i="1" a="1"/>
  <c r="L148" i="1" s="1"/>
  <c r="K148" i="1" a="1"/>
  <c r="K148" i="1" s="1"/>
  <c r="J148" i="1" a="1"/>
  <c r="J148" i="1" s="1"/>
  <c r="I148" i="1" a="1"/>
  <c r="I148" i="1" s="1"/>
  <c r="H148" i="1" a="1"/>
  <c r="H148" i="1" s="1"/>
  <c r="G148" i="1" a="1"/>
  <c r="G148" i="1" s="1"/>
  <c r="F148" i="1" a="1"/>
  <c r="F148" i="1" s="1"/>
  <c r="E148" i="1" a="1"/>
  <c r="E148" i="1" s="1"/>
  <c r="D148" i="1" a="1"/>
  <c r="D148" i="1" s="1"/>
  <c r="C148" i="1" a="1"/>
  <c r="C148" i="1" s="1"/>
  <c r="B148" i="1" a="1"/>
  <c r="B148" i="1" s="1"/>
  <c r="N147" i="1" a="1"/>
  <c r="N147" i="1" s="1"/>
  <c r="M147" i="1" a="1"/>
  <c r="M147" i="1" s="1"/>
  <c r="L147" i="1" a="1"/>
  <c r="L147" i="1" s="1"/>
  <c r="K147" i="1" a="1"/>
  <c r="K147" i="1" s="1"/>
  <c r="J147" i="1" a="1"/>
  <c r="J147" i="1" s="1"/>
  <c r="I147" i="1" a="1"/>
  <c r="I147" i="1" s="1"/>
  <c r="H147" i="1" a="1"/>
  <c r="H147" i="1" s="1"/>
  <c r="G147" i="1" a="1"/>
  <c r="G147" i="1" s="1"/>
  <c r="F147" i="1" a="1"/>
  <c r="F147" i="1" s="1"/>
  <c r="E147" i="1" a="1"/>
  <c r="E147" i="1" s="1"/>
  <c r="D147" i="1" a="1"/>
  <c r="D147" i="1" s="1"/>
  <c r="C147" i="1" a="1"/>
  <c r="C147" i="1" s="1"/>
  <c r="B147" i="1" a="1"/>
  <c r="B147" i="1" s="1"/>
  <c r="N146" i="1" a="1"/>
  <c r="N146" i="1" s="1"/>
  <c r="M146" i="1" a="1"/>
  <c r="M146" i="1" s="1"/>
  <c r="L146" i="1" a="1"/>
  <c r="L146" i="1" s="1"/>
  <c r="K146" i="1" a="1"/>
  <c r="K146" i="1" s="1"/>
  <c r="J146" i="1" a="1"/>
  <c r="J146" i="1" s="1"/>
  <c r="I146" i="1" a="1"/>
  <c r="I146" i="1" s="1"/>
  <c r="H146" i="1" a="1"/>
  <c r="H146" i="1" s="1"/>
  <c r="G146" i="1" a="1"/>
  <c r="G146" i="1" s="1"/>
  <c r="F146" i="1" a="1"/>
  <c r="F146" i="1" s="1"/>
  <c r="E146" i="1" a="1"/>
  <c r="E146" i="1" s="1"/>
  <c r="D146" i="1" a="1"/>
  <c r="D146" i="1" s="1"/>
  <c r="C146" i="1" a="1"/>
  <c r="C146" i="1" s="1"/>
  <c r="B146" i="1" a="1"/>
  <c r="B146" i="1" s="1"/>
  <c r="N145" i="1" a="1"/>
  <c r="N145" i="1" s="1"/>
  <c r="M145" i="1" a="1"/>
  <c r="M145" i="1" s="1"/>
  <c r="L145" i="1" a="1"/>
  <c r="L145" i="1" s="1"/>
  <c r="K145" i="1" a="1"/>
  <c r="K145" i="1" s="1"/>
  <c r="J145" i="1" a="1"/>
  <c r="J145" i="1" s="1"/>
  <c r="I145" i="1" a="1"/>
  <c r="I145" i="1" s="1"/>
  <c r="H145" i="1" a="1"/>
  <c r="H145" i="1" s="1"/>
  <c r="G145" i="1" a="1"/>
  <c r="G145" i="1" s="1"/>
  <c r="F145" i="1" a="1"/>
  <c r="F145" i="1" s="1"/>
  <c r="E145" i="1" a="1"/>
  <c r="E145" i="1" s="1"/>
  <c r="D145" i="1" a="1"/>
  <c r="D145" i="1" s="1"/>
  <c r="C145" i="1" a="1"/>
  <c r="C145" i="1" s="1"/>
  <c r="B145" i="1" a="1"/>
  <c r="B145" i="1" s="1"/>
  <c r="N144" i="1" a="1"/>
  <c r="N144" i="1" s="1"/>
  <c r="M144" i="1" a="1"/>
  <c r="M144" i="1" s="1"/>
  <c r="L144" i="1" a="1"/>
  <c r="L144" i="1" s="1"/>
  <c r="K144" i="1" a="1"/>
  <c r="K144" i="1" s="1"/>
  <c r="J144" i="1" a="1"/>
  <c r="J144" i="1" s="1"/>
  <c r="I144" i="1" a="1"/>
  <c r="I144" i="1" s="1"/>
  <c r="H144" i="1" a="1"/>
  <c r="H144" i="1" s="1"/>
  <c r="G144" i="1" a="1"/>
  <c r="G144" i="1" s="1"/>
  <c r="F144" i="1" a="1"/>
  <c r="F144" i="1" s="1"/>
  <c r="E144" i="1" a="1"/>
  <c r="E144" i="1" s="1"/>
  <c r="D144" i="1" a="1"/>
  <c r="D144" i="1" s="1"/>
  <c r="C144" i="1" a="1"/>
  <c r="C144" i="1" s="1"/>
  <c r="B144" i="1" a="1"/>
  <c r="B144" i="1" s="1"/>
  <c r="N143" i="1" a="1"/>
  <c r="N143" i="1" s="1"/>
  <c r="M143" i="1" a="1"/>
  <c r="M143" i="1" s="1"/>
  <c r="L143" i="1" a="1"/>
  <c r="L143" i="1" s="1"/>
  <c r="K143" i="1" a="1"/>
  <c r="K143" i="1" s="1"/>
  <c r="J143" i="1" a="1"/>
  <c r="J143" i="1" s="1"/>
  <c r="I143" i="1" a="1"/>
  <c r="I143" i="1" s="1"/>
  <c r="H143" i="1" a="1"/>
  <c r="H143" i="1" s="1"/>
  <c r="G143" i="1" a="1"/>
  <c r="G143" i="1" s="1"/>
  <c r="F143" i="1" a="1"/>
  <c r="F143" i="1" s="1"/>
  <c r="E143" i="1" a="1"/>
  <c r="E143" i="1" s="1"/>
  <c r="D143" i="1" a="1"/>
  <c r="D143" i="1" s="1"/>
  <c r="C143" i="1" a="1"/>
  <c r="C143" i="1" s="1"/>
  <c r="B143" i="1" a="1"/>
  <c r="B143" i="1" s="1"/>
  <c r="N142" i="1" a="1"/>
  <c r="N142" i="1" s="1"/>
  <c r="M142" i="1" a="1"/>
  <c r="M142" i="1" s="1"/>
  <c r="L142" i="1" a="1"/>
  <c r="L142" i="1" s="1"/>
  <c r="K142" i="1" a="1"/>
  <c r="K142" i="1" s="1"/>
  <c r="J142" i="1" a="1"/>
  <c r="J142" i="1" s="1"/>
  <c r="I142" i="1" a="1"/>
  <c r="I142" i="1" s="1"/>
  <c r="H142" i="1" a="1"/>
  <c r="H142" i="1" s="1"/>
  <c r="G142" i="1" a="1"/>
  <c r="G142" i="1" s="1"/>
  <c r="F142" i="1" a="1"/>
  <c r="F142" i="1" s="1"/>
  <c r="E142" i="1" a="1"/>
  <c r="E142" i="1" s="1"/>
  <c r="D142" i="1" a="1"/>
  <c r="D142" i="1" s="1"/>
  <c r="C142" i="1" a="1"/>
  <c r="C142" i="1" s="1"/>
  <c r="B142" i="1" a="1"/>
  <c r="B142" i="1" s="1"/>
  <c r="N141" i="1" a="1"/>
  <c r="N141" i="1" s="1"/>
  <c r="M141" i="1" a="1"/>
  <c r="M141" i="1" s="1"/>
  <c r="L141" i="1" a="1"/>
  <c r="L141" i="1" s="1"/>
  <c r="K141" i="1" a="1"/>
  <c r="K141" i="1" s="1"/>
  <c r="J141" i="1" a="1"/>
  <c r="J141" i="1" s="1"/>
  <c r="I141" i="1" a="1"/>
  <c r="I141" i="1" s="1"/>
  <c r="H141" i="1" a="1"/>
  <c r="H141" i="1" s="1"/>
  <c r="G141" i="1" a="1"/>
  <c r="G141" i="1" s="1"/>
  <c r="F141" i="1" a="1"/>
  <c r="F141" i="1" s="1"/>
  <c r="E141" i="1" a="1"/>
  <c r="E141" i="1" s="1"/>
  <c r="D141" i="1" a="1"/>
  <c r="D141" i="1" s="1"/>
  <c r="C141" i="1" a="1"/>
  <c r="C141" i="1" s="1"/>
  <c r="B141" i="1" a="1"/>
  <c r="B141" i="1" s="1"/>
  <c r="N140" i="1" a="1"/>
  <c r="N140" i="1" s="1"/>
  <c r="M140" i="1" a="1"/>
  <c r="M140" i="1" s="1"/>
  <c r="L140" i="1" a="1"/>
  <c r="L140" i="1" s="1"/>
  <c r="K140" i="1" a="1"/>
  <c r="K140" i="1" s="1"/>
  <c r="J140" i="1" a="1"/>
  <c r="J140" i="1" s="1"/>
  <c r="I140" i="1" a="1"/>
  <c r="I140" i="1" s="1"/>
  <c r="H140" i="1" a="1"/>
  <c r="H140" i="1" s="1"/>
  <c r="G140" i="1" a="1"/>
  <c r="G140" i="1" s="1"/>
  <c r="F140" i="1" a="1"/>
  <c r="F140" i="1" s="1"/>
  <c r="E140" i="1" a="1"/>
  <c r="E140" i="1" s="1"/>
  <c r="D140" i="1" a="1"/>
  <c r="D140" i="1" s="1"/>
  <c r="C140" i="1" a="1"/>
  <c r="C140" i="1" s="1"/>
  <c r="B140" i="1" a="1"/>
  <c r="B140" i="1" s="1"/>
  <c r="N139" i="1" a="1"/>
  <c r="N139" i="1" s="1"/>
  <c r="M139" i="1" a="1"/>
  <c r="M139" i="1" s="1"/>
  <c r="L139" i="1" a="1"/>
  <c r="L139" i="1" s="1"/>
  <c r="K139" i="1" a="1"/>
  <c r="K139" i="1" s="1"/>
  <c r="J139" i="1" a="1"/>
  <c r="J139" i="1" s="1"/>
  <c r="I139" i="1" a="1"/>
  <c r="I139" i="1" s="1"/>
  <c r="H139" i="1" a="1"/>
  <c r="H139" i="1" s="1"/>
  <c r="G139" i="1" a="1"/>
  <c r="G139" i="1" s="1"/>
  <c r="F139" i="1" a="1"/>
  <c r="F139" i="1" s="1"/>
  <c r="E139" i="1" a="1"/>
  <c r="E139" i="1" s="1"/>
  <c r="D139" i="1" a="1"/>
  <c r="D139" i="1" s="1"/>
  <c r="C139" i="1" a="1"/>
  <c r="C139" i="1" s="1"/>
  <c r="B139" i="1" a="1"/>
  <c r="B139" i="1" s="1"/>
  <c r="N138" i="1" a="1"/>
  <c r="N138" i="1" s="1"/>
  <c r="M138" i="1" a="1"/>
  <c r="M138" i="1" s="1"/>
  <c r="L138" i="1" a="1"/>
  <c r="L138" i="1" s="1"/>
  <c r="K138" i="1" a="1"/>
  <c r="K138" i="1" s="1"/>
  <c r="J138" i="1" a="1"/>
  <c r="J138" i="1" s="1"/>
  <c r="I138" i="1" a="1"/>
  <c r="I138" i="1" s="1"/>
  <c r="H138" i="1" a="1"/>
  <c r="H138" i="1" s="1"/>
  <c r="G138" i="1" a="1"/>
  <c r="G138" i="1" s="1"/>
  <c r="F138" i="1" a="1"/>
  <c r="F138" i="1" s="1"/>
  <c r="E138" i="1" a="1"/>
  <c r="E138" i="1" s="1"/>
  <c r="D138" i="1" a="1"/>
  <c r="D138" i="1" s="1"/>
  <c r="C138" i="1" a="1"/>
  <c r="C138" i="1" s="1"/>
  <c r="B138" i="1" a="1"/>
  <c r="B138" i="1" s="1"/>
  <c r="N137" i="1" a="1"/>
  <c r="N137" i="1" s="1"/>
  <c r="M137" i="1" a="1"/>
  <c r="M137" i="1" s="1"/>
  <c r="L137" i="1" a="1"/>
  <c r="L137" i="1" s="1"/>
  <c r="K137" i="1" a="1"/>
  <c r="K137" i="1" s="1"/>
  <c r="J137" i="1" a="1"/>
  <c r="J137" i="1" s="1"/>
  <c r="I137" i="1" a="1"/>
  <c r="I137" i="1" s="1"/>
  <c r="H137" i="1" a="1"/>
  <c r="H137" i="1" s="1"/>
  <c r="G137" i="1" a="1"/>
  <c r="G137" i="1" s="1"/>
  <c r="F137" i="1" a="1"/>
  <c r="F137" i="1" s="1"/>
  <c r="E137" i="1" a="1"/>
  <c r="E137" i="1" s="1"/>
  <c r="D137" i="1" a="1"/>
  <c r="D137" i="1" s="1"/>
  <c r="C137" i="1" a="1"/>
  <c r="C137" i="1" s="1"/>
  <c r="B137" i="1" a="1"/>
  <c r="B137" i="1" s="1"/>
  <c r="N136" i="1" a="1"/>
  <c r="N136" i="1" s="1"/>
  <c r="M136" i="1" a="1"/>
  <c r="M136" i="1" s="1"/>
  <c r="L136" i="1" a="1"/>
  <c r="L136" i="1" s="1"/>
  <c r="K136" i="1" a="1"/>
  <c r="K136" i="1" s="1"/>
  <c r="J136" i="1" a="1"/>
  <c r="J136" i="1" s="1"/>
  <c r="I136" i="1" a="1"/>
  <c r="I136" i="1" s="1"/>
  <c r="H136" i="1" a="1"/>
  <c r="H136" i="1" s="1"/>
  <c r="G136" i="1" a="1"/>
  <c r="G136" i="1" s="1"/>
  <c r="F136" i="1" a="1"/>
  <c r="F136" i="1" s="1"/>
  <c r="E136" i="1" a="1"/>
  <c r="E136" i="1" s="1"/>
  <c r="D136" i="1" a="1"/>
  <c r="D136" i="1" s="1"/>
  <c r="C136" i="1" a="1"/>
  <c r="C136" i="1" s="1"/>
  <c r="B136" i="1" a="1"/>
  <c r="B136" i="1" s="1"/>
  <c r="N135" i="1" a="1"/>
  <c r="N135" i="1" s="1"/>
  <c r="M135" i="1" a="1"/>
  <c r="M135" i="1" s="1"/>
  <c r="L135" i="1" a="1"/>
  <c r="L135" i="1" s="1"/>
  <c r="K135" i="1" a="1"/>
  <c r="K135" i="1" s="1"/>
  <c r="J135" i="1" a="1"/>
  <c r="J135" i="1" s="1"/>
  <c r="I135" i="1" a="1"/>
  <c r="I135" i="1" s="1"/>
  <c r="H135" i="1" a="1"/>
  <c r="H135" i="1" s="1"/>
  <c r="G135" i="1" a="1"/>
  <c r="G135" i="1" s="1"/>
  <c r="F135" i="1" a="1"/>
  <c r="F135" i="1" s="1"/>
  <c r="E135" i="1" a="1"/>
  <c r="E135" i="1" s="1"/>
  <c r="D135" i="1" a="1"/>
  <c r="D135" i="1" s="1"/>
  <c r="C135" i="1" a="1"/>
  <c r="C135" i="1" s="1"/>
  <c r="B135" i="1" a="1"/>
  <c r="B135" i="1" s="1"/>
  <c r="N134" i="1" a="1"/>
  <c r="N134" i="1" s="1"/>
  <c r="M134" i="1" a="1"/>
  <c r="M134" i="1" s="1"/>
  <c r="L134" i="1" a="1"/>
  <c r="L134" i="1" s="1"/>
  <c r="K134" i="1" a="1"/>
  <c r="K134" i="1" s="1"/>
  <c r="J134" i="1" a="1"/>
  <c r="J134" i="1" s="1"/>
  <c r="I134" i="1" a="1"/>
  <c r="I134" i="1" s="1"/>
  <c r="H134" i="1" a="1"/>
  <c r="H134" i="1" s="1"/>
  <c r="G134" i="1" a="1"/>
  <c r="G134" i="1" s="1"/>
  <c r="F134" i="1" a="1"/>
  <c r="F134" i="1" s="1"/>
  <c r="E134" i="1" a="1"/>
  <c r="E134" i="1" s="1"/>
  <c r="D134" i="1" a="1"/>
  <c r="D134" i="1" s="1"/>
  <c r="C134" i="1" a="1"/>
  <c r="C134" i="1" s="1"/>
  <c r="B134" i="1" a="1"/>
  <c r="B134" i="1" s="1"/>
  <c r="N133" i="1" a="1"/>
  <c r="N133" i="1" s="1"/>
  <c r="M133" i="1" a="1"/>
  <c r="M133" i="1" s="1"/>
  <c r="L133" i="1" a="1"/>
  <c r="L133" i="1" s="1"/>
  <c r="K133" i="1" a="1"/>
  <c r="K133" i="1" s="1"/>
  <c r="J133" i="1" a="1"/>
  <c r="J133" i="1" s="1"/>
  <c r="I133" i="1" a="1"/>
  <c r="I133" i="1" s="1"/>
  <c r="H133" i="1" a="1"/>
  <c r="H133" i="1" s="1"/>
  <c r="G133" i="1" a="1"/>
  <c r="G133" i="1" s="1"/>
  <c r="F133" i="1" a="1"/>
  <c r="F133" i="1" s="1"/>
  <c r="E133" i="1" a="1"/>
  <c r="E133" i="1" s="1"/>
  <c r="D133" i="1" a="1"/>
  <c r="D133" i="1" s="1"/>
  <c r="C133" i="1" a="1"/>
  <c r="C133" i="1" s="1"/>
  <c r="B133" i="1" a="1"/>
  <c r="B133" i="1" s="1"/>
  <c r="N132" i="1" a="1"/>
  <c r="N132" i="1" s="1"/>
  <c r="M132" i="1" a="1"/>
  <c r="M132" i="1" s="1"/>
  <c r="L132" i="1" a="1"/>
  <c r="L132" i="1" s="1"/>
  <c r="K132" i="1" a="1"/>
  <c r="K132" i="1" s="1"/>
  <c r="J132" i="1" a="1"/>
  <c r="J132" i="1" s="1"/>
  <c r="I132" i="1" a="1"/>
  <c r="I132" i="1" s="1"/>
  <c r="H132" i="1" a="1"/>
  <c r="H132" i="1" s="1"/>
  <c r="G132" i="1" a="1"/>
  <c r="G132" i="1" s="1"/>
  <c r="F132" i="1" a="1"/>
  <c r="F132" i="1" s="1"/>
  <c r="E132" i="1" a="1"/>
  <c r="E132" i="1" s="1"/>
  <c r="D132" i="1" a="1"/>
  <c r="D132" i="1" s="1"/>
  <c r="C132" i="1" a="1"/>
  <c r="C132" i="1" s="1"/>
  <c r="B132" i="1" a="1"/>
  <c r="B132" i="1" s="1"/>
  <c r="N131" i="1" a="1"/>
  <c r="N131" i="1" s="1"/>
  <c r="M131" i="1" a="1"/>
  <c r="M131" i="1" s="1"/>
  <c r="L131" i="1" a="1"/>
  <c r="L131" i="1" s="1"/>
  <c r="K131" i="1" a="1"/>
  <c r="K131" i="1" s="1"/>
  <c r="J131" i="1" a="1"/>
  <c r="J131" i="1" s="1"/>
  <c r="I131" i="1" a="1"/>
  <c r="I131" i="1" s="1"/>
  <c r="H131" i="1" a="1"/>
  <c r="H131" i="1" s="1"/>
  <c r="G131" i="1" a="1"/>
  <c r="G131" i="1" s="1"/>
  <c r="F131" i="1" a="1"/>
  <c r="F131" i="1" s="1"/>
  <c r="E131" i="1" a="1"/>
  <c r="E131" i="1" s="1"/>
  <c r="D131" i="1" a="1"/>
  <c r="D131" i="1" s="1"/>
  <c r="C131" i="1" a="1"/>
  <c r="C131" i="1" s="1"/>
  <c r="B131" i="1" a="1"/>
  <c r="B131" i="1" s="1"/>
  <c r="N130" i="1" a="1"/>
  <c r="N130" i="1" s="1"/>
  <c r="M130" i="1" a="1"/>
  <c r="M130" i="1" s="1"/>
  <c r="L130" i="1" a="1"/>
  <c r="L130" i="1" s="1"/>
  <c r="K130" i="1" a="1"/>
  <c r="K130" i="1" s="1"/>
  <c r="J130" i="1" a="1"/>
  <c r="J130" i="1" s="1"/>
  <c r="I130" i="1" a="1"/>
  <c r="I130" i="1" s="1"/>
  <c r="H130" i="1" a="1"/>
  <c r="H130" i="1" s="1"/>
  <c r="G130" i="1" a="1"/>
  <c r="G130" i="1" s="1"/>
  <c r="F130" i="1" a="1"/>
  <c r="F130" i="1" s="1"/>
  <c r="E130" i="1" a="1"/>
  <c r="E130" i="1" s="1"/>
  <c r="D130" i="1" a="1"/>
  <c r="D130" i="1" s="1"/>
  <c r="C130" i="1" a="1"/>
  <c r="C130" i="1" s="1"/>
  <c r="B130" i="1" a="1"/>
  <c r="B130" i="1" s="1"/>
  <c r="N129" i="1" a="1"/>
  <c r="N129" i="1" s="1"/>
  <c r="M129" i="1" a="1"/>
  <c r="M129" i="1" s="1"/>
  <c r="L129" i="1" a="1"/>
  <c r="L129" i="1" s="1"/>
  <c r="K129" i="1" a="1"/>
  <c r="K129" i="1" s="1"/>
  <c r="J129" i="1" a="1"/>
  <c r="J129" i="1" s="1"/>
  <c r="I129" i="1" a="1"/>
  <c r="I129" i="1" s="1"/>
  <c r="H129" i="1" a="1"/>
  <c r="H129" i="1" s="1"/>
  <c r="G129" i="1" a="1"/>
  <c r="G129" i="1" s="1"/>
  <c r="F129" i="1" a="1"/>
  <c r="F129" i="1" s="1"/>
  <c r="E129" i="1" a="1"/>
  <c r="E129" i="1" s="1"/>
  <c r="D129" i="1" a="1"/>
  <c r="D129" i="1" s="1"/>
  <c r="C129" i="1" a="1"/>
  <c r="C129" i="1" s="1"/>
  <c r="B129" i="1" a="1"/>
  <c r="B129" i="1" s="1"/>
  <c r="N128" i="1" a="1"/>
  <c r="N128" i="1" s="1"/>
  <c r="M128" i="1" a="1"/>
  <c r="M128" i="1" s="1"/>
  <c r="L128" i="1" a="1"/>
  <c r="L128" i="1" s="1"/>
  <c r="K128" i="1" a="1"/>
  <c r="K128" i="1" s="1"/>
  <c r="J128" i="1" a="1"/>
  <c r="J128" i="1" s="1"/>
  <c r="I128" i="1" a="1"/>
  <c r="I128" i="1" s="1"/>
  <c r="H128" i="1" a="1"/>
  <c r="H128" i="1" s="1"/>
  <c r="G128" i="1" a="1"/>
  <c r="G128" i="1" s="1"/>
  <c r="F128" i="1" a="1"/>
  <c r="F128" i="1" s="1"/>
  <c r="E128" i="1" a="1"/>
  <c r="E128" i="1" s="1"/>
  <c r="D128" i="1" a="1"/>
  <c r="D128" i="1" s="1"/>
  <c r="C128" i="1" a="1"/>
  <c r="C128" i="1" s="1"/>
  <c r="B128" i="1" a="1"/>
  <c r="B128" i="1" s="1"/>
  <c r="N127" i="1" a="1"/>
  <c r="N127" i="1" s="1"/>
  <c r="M127" i="1" a="1"/>
  <c r="M127" i="1" s="1"/>
  <c r="L127" i="1" a="1"/>
  <c r="L127" i="1" s="1"/>
  <c r="K127" i="1" a="1"/>
  <c r="K127" i="1" s="1"/>
  <c r="J127" i="1" a="1"/>
  <c r="J127" i="1" s="1"/>
  <c r="I127" i="1" a="1"/>
  <c r="I127" i="1" s="1"/>
  <c r="H127" i="1" a="1"/>
  <c r="H127" i="1" s="1"/>
  <c r="G127" i="1" a="1"/>
  <c r="G127" i="1" s="1"/>
  <c r="F127" i="1" a="1"/>
  <c r="F127" i="1" s="1"/>
  <c r="E127" i="1" a="1"/>
  <c r="E127" i="1" s="1"/>
  <c r="D127" i="1" a="1"/>
  <c r="D127" i="1" s="1"/>
  <c r="C127" i="1" a="1"/>
  <c r="C127" i="1" s="1"/>
  <c r="B127" i="1" a="1"/>
  <c r="B127" i="1" s="1"/>
  <c r="N126" i="1" a="1"/>
  <c r="N126" i="1" s="1"/>
  <c r="M126" i="1" a="1"/>
  <c r="M126" i="1" s="1"/>
  <c r="L126" i="1" a="1"/>
  <c r="L126" i="1" s="1"/>
  <c r="K126" i="1" a="1"/>
  <c r="K126" i="1" s="1"/>
  <c r="J126" i="1" a="1"/>
  <c r="J126" i="1" s="1"/>
  <c r="I126" i="1" a="1"/>
  <c r="I126" i="1" s="1"/>
  <c r="H126" i="1" a="1"/>
  <c r="H126" i="1" s="1"/>
  <c r="G126" i="1" a="1"/>
  <c r="G126" i="1" s="1"/>
  <c r="F126" i="1" a="1"/>
  <c r="F126" i="1" s="1"/>
  <c r="E126" i="1" a="1"/>
  <c r="E126" i="1" s="1"/>
  <c r="D126" i="1" a="1"/>
  <c r="D126" i="1" s="1"/>
  <c r="C126" i="1" a="1"/>
  <c r="C126" i="1" s="1"/>
  <c r="B126" i="1" a="1"/>
  <c r="B126" i="1" s="1"/>
  <c r="N125" i="1" a="1"/>
  <c r="N125" i="1" s="1"/>
  <c r="M125" i="1" a="1"/>
  <c r="M125" i="1" s="1"/>
  <c r="L125" i="1" a="1"/>
  <c r="L125" i="1" s="1"/>
  <c r="K125" i="1" a="1"/>
  <c r="K125" i="1" s="1"/>
  <c r="J125" i="1" a="1"/>
  <c r="J125" i="1" s="1"/>
  <c r="I125" i="1" a="1"/>
  <c r="I125" i="1" s="1"/>
  <c r="H125" i="1" a="1"/>
  <c r="H125" i="1" s="1"/>
  <c r="G125" i="1" a="1"/>
  <c r="G125" i="1" s="1"/>
  <c r="F125" i="1" a="1"/>
  <c r="F125" i="1" s="1"/>
  <c r="E125" i="1" a="1"/>
  <c r="E125" i="1" s="1"/>
  <c r="D125" i="1" a="1"/>
  <c r="D125" i="1" s="1"/>
  <c r="C125" i="1" a="1"/>
  <c r="C125" i="1" s="1"/>
  <c r="B125" i="1" a="1"/>
  <c r="B125" i="1" s="1"/>
  <c r="N124" i="1" a="1"/>
  <c r="N124" i="1" s="1"/>
  <c r="M124" i="1" a="1"/>
  <c r="M124" i="1" s="1"/>
  <c r="L124" i="1" a="1"/>
  <c r="L124" i="1" s="1"/>
  <c r="K124" i="1" a="1"/>
  <c r="K124" i="1" s="1"/>
  <c r="J124" i="1" a="1"/>
  <c r="J124" i="1" s="1"/>
  <c r="I124" i="1" a="1"/>
  <c r="I124" i="1" s="1"/>
  <c r="H124" i="1" a="1"/>
  <c r="H124" i="1" s="1"/>
  <c r="G124" i="1" a="1"/>
  <c r="G124" i="1" s="1"/>
  <c r="F124" i="1" a="1"/>
  <c r="F124" i="1" s="1"/>
  <c r="E124" i="1" a="1"/>
  <c r="E124" i="1" s="1"/>
  <c r="D124" i="1" a="1"/>
  <c r="D124" i="1" s="1"/>
  <c r="C124" i="1" a="1"/>
  <c r="C124" i="1" s="1"/>
  <c r="B124" i="1" a="1"/>
  <c r="B124" i="1" s="1"/>
  <c r="N123" i="1" a="1"/>
  <c r="N123" i="1" s="1"/>
  <c r="M123" i="1" a="1"/>
  <c r="M123" i="1" s="1"/>
  <c r="L123" i="1" a="1"/>
  <c r="L123" i="1" s="1"/>
  <c r="K123" i="1" a="1"/>
  <c r="K123" i="1" s="1"/>
  <c r="J123" i="1" a="1"/>
  <c r="J123" i="1" s="1"/>
  <c r="I123" i="1" a="1"/>
  <c r="I123" i="1" s="1"/>
  <c r="H123" i="1" a="1"/>
  <c r="H123" i="1" s="1"/>
  <c r="G123" i="1" a="1"/>
  <c r="G123" i="1" s="1"/>
  <c r="F123" i="1" a="1"/>
  <c r="F123" i="1" s="1"/>
  <c r="E123" i="1" a="1"/>
  <c r="E123" i="1" s="1"/>
  <c r="D123" i="1" a="1"/>
  <c r="D123" i="1" s="1"/>
  <c r="C123" i="1" a="1"/>
  <c r="C123" i="1" s="1"/>
  <c r="B123" i="1" a="1"/>
  <c r="B123" i="1" s="1"/>
  <c r="N122" i="1" a="1"/>
  <c r="N122" i="1" s="1"/>
  <c r="M122" i="1" a="1"/>
  <c r="M122" i="1" s="1"/>
  <c r="L122" i="1" a="1"/>
  <c r="L122" i="1" s="1"/>
  <c r="K122" i="1" a="1"/>
  <c r="K122" i="1" s="1"/>
  <c r="J122" i="1" a="1"/>
  <c r="J122" i="1" s="1"/>
  <c r="I122" i="1" a="1"/>
  <c r="I122" i="1" s="1"/>
  <c r="H122" i="1" a="1"/>
  <c r="H122" i="1" s="1"/>
  <c r="G122" i="1" a="1"/>
  <c r="G122" i="1" s="1"/>
  <c r="F122" i="1" a="1"/>
  <c r="F122" i="1" s="1"/>
  <c r="E122" i="1" a="1"/>
  <c r="E122" i="1" s="1"/>
  <c r="D122" i="1" a="1"/>
  <c r="D122" i="1" s="1"/>
  <c r="C122" i="1" a="1"/>
  <c r="C122" i="1" s="1"/>
  <c r="B122" i="1" a="1"/>
  <c r="B122" i="1" s="1"/>
  <c r="N121" i="1" a="1"/>
  <c r="N121" i="1" s="1"/>
  <c r="M121" i="1" a="1"/>
  <c r="M121" i="1" s="1"/>
  <c r="L121" i="1" a="1"/>
  <c r="L121" i="1" s="1"/>
  <c r="K121" i="1" a="1"/>
  <c r="K121" i="1" s="1"/>
  <c r="J121" i="1" a="1"/>
  <c r="J121" i="1" s="1"/>
  <c r="I121" i="1" a="1"/>
  <c r="I121" i="1" s="1"/>
  <c r="H121" i="1" a="1"/>
  <c r="H121" i="1" s="1"/>
  <c r="G121" i="1" a="1"/>
  <c r="G121" i="1" s="1"/>
  <c r="F121" i="1" a="1"/>
  <c r="F121" i="1" s="1"/>
  <c r="E121" i="1" a="1"/>
  <c r="E121" i="1" s="1"/>
  <c r="D121" i="1" a="1"/>
  <c r="D121" i="1" s="1"/>
  <c r="C121" i="1" a="1"/>
  <c r="C121" i="1" s="1"/>
  <c r="B121" i="1" a="1"/>
  <c r="B121" i="1" s="1"/>
  <c r="N120" i="1" a="1"/>
  <c r="N120" i="1" s="1"/>
  <c r="M120" i="1" a="1"/>
  <c r="M120" i="1" s="1"/>
  <c r="L120" i="1" a="1"/>
  <c r="L120" i="1" s="1"/>
  <c r="K120" i="1" a="1"/>
  <c r="K120" i="1" s="1"/>
  <c r="J120" i="1" a="1"/>
  <c r="J120" i="1" s="1"/>
  <c r="I120" i="1" a="1"/>
  <c r="I120" i="1" s="1"/>
  <c r="H120" i="1" a="1"/>
  <c r="H120" i="1" s="1"/>
  <c r="G120" i="1" a="1"/>
  <c r="G120" i="1" s="1"/>
  <c r="F120" i="1" a="1"/>
  <c r="F120" i="1" s="1"/>
  <c r="E120" i="1" a="1"/>
  <c r="E120" i="1" s="1"/>
  <c r="D120" i="1" a="1"/>
  <c r="D120" i="1" s="1"/>
  <c r="C120" i="1" a="1"/>
  <c r="C120" i="1" s="1"/>
  <c r="B120" i="1" a="1"/>
  <c r="B120" i="1" s="1"/>
  <c r="N119" i="1" a="1"/>
  <c r="N119" i="1" s="1"/>
  <c r="M119" i="1" a="1"/>
  <c r="M119" i="1" s="1"/>
  <c r="L119" i="1" a="1"/>
  <c r="L119" i="1" s="1"/>
  <c r="K119" i="1" a="1"/>
  <c r="K119" i="1" s="1"/>
  <c r="J119" i="1" a="1"/>
  <c r="J119" i="1" s="1"/>
  <c r="I119" i="1" a="1"/>
  <c r="I119" i="1" s="1"/>
  <c r="H119" i="1" a="1"/>
  <c r="H119" i="1" s="1"/>
  <c r="G119" i="1" a="1"/>
  <c r="G119" i="1" s="1"/>
  <c r="F119" i="1" a="1"/>
  <c r="F119" i="1" s="1"/>
  <c r="E119" i="1" a="1"/>
  <c r="E119" i="1" s="1"/>
  <c r="D119" i="1" a="1"/>
  <c r="D119" i="1" s="1"/>
  <c r="C119" i="1" a="1"/>
  <c r="C119" i="1" s="1"/>
  <c r="B119" i="1" a="1"/>
  <c r="B119" i="1" s="1"/>
  <c r="N118" i="1" a="1"/>
  <c r="N118" i="1" s="1"/>
  <c r="M118" i="1" a="1"/>
  <c r="M118" i="1" s="1"/>
  <c r="L118" i="1" a="1"/>
  <c r="L118" i="1" s="1"/>
  <c r="K118" i="1" a="1"/>
  <c r="K118" i="1" s="1"/>
  <c r="J118" i="1" a="1"/>
  <c r="J118" i="1" s="1"/>
  <c r="I118" i="1" a="1"/>
  <c r="I118" i="1" s="1"/>
  <c r="H118" i="1" a="1"/>
  <c r="H118" i="1" s="1"/>
  <c r="G118" i="1" a="1"/>
  <c r="G118" i="1" s="1"/>
  <c r="F118" i="1" a="1"/>
  <c r="F118" i="1" s="1"/>
  <c r="E118" i="1" a="1"/>
  <c r="E118" i="1" s="1"/>
  <c r="D118" i="1" a="1"/>
  <c r="D118" i="1" s="1"/>
  <c r="C118" i="1" a="1"/>
  <c r="C118" i="1" s="1"/>
  <c r="B118" i="1" a="1"/>
  <c r="B118" i="1" s="1"/>
  <c r="N117" i="1" a="1"/>
  <c r="N117" i="1" s="1"/>
  <c r="M117" i="1" a="1"/>
  <c r="M117" i="1" s="1"/>
  <c r="L117" i="1" a="1"/>
  <c r="L117" i="1" s="1"/>
  <c r="K117" i="1" a="1"/>
  <c r="K117" i="1" s="1"/>
  <c r="J117" i="1" a="1"/>
  <c r="J117" i="1" s="1"/>
  <c r="I117" i="1" a="1"/>
  <c r="I117" i="1" s="1"/>
  <c r="H117" i="1" a="1"/>
  <c r="H117" i="1" s="1"/>
  <c r="G117" i="1" a="1"/>
  <c r="G117" i="1" s="1"/>
  <c r="F117" i="1" a="1"/>
  <c r="F117" i="1" s="1"/>
  <c r="E117" i="1" a="1"/>
  <c r="E117" i="1" s="1"/>
  <c r="D117" i="1" a="1"/>
  <c r="D117" i="1" s="1"/>
  <c r="C117" i="1" a="1"/>
  <c r="C117" i="1" s="1"/>
  <c r="B117" i="1" a="1"/>
  <c r="B117" i="1" s="1"/>
  <c r="N116" i="1" a="1"/>
  <c r="N116" i="1" s="1"/>
  <c r="M116" i="1" a="1"/>
  <c r="M116" i="1" s="1"/>
  <c r="L116" i="1" a="1"/>
  <c r="L116" i="1" s="1"/>
  <c r="K116" i="1" a="1"/>
  <c r="K116" i="1" s="1"/>
  <c r="J116" i="1" a="1"/>
  <c r="J116" i="1" s="1"/>
  <c r="I116" i="1" a="1"/>
  <c r="I116" i="1" s="1"/>
  <c r="H116" i="1" a="1"/>
  <c r="H116" i="1" s="1"/>
  <c r="G116" i="1" a="1"/>
  <c r="G116" i="1" s="1"/>
  <c r="F116" i="1" a="1"/>
  <c r="F116" i="1" s="1"/>
  <c r="E116" i="1" a="1"/>
  <c r="E116" i="1" s="1"/>
  <c r="D116" i="1" a="1"/>
  <c r="D116" i="1" s="1"/>
  <c r="C116" i="1" a="1"/>
  <c r="C116" i="1" s="1"/>
  <c r="B116" i="1" a="1"/>
  <c r="B116" i="1" s="1"/>
  <c r="N115" i="1" a="1"/>
  <c r="N115" i="1" s="1"/>
  <c r="M115" i="1" a="1"/>
  <c r="M115" i="1" s="1"/>
  <c r="L115" i="1" a="1"/>
  <c r="L115" i="1" s="1"/>
  <c r="K115" i="1" a="1"/>
  <c r="K115" i="1" s="1"/>
  <c r="J115" i="1" a="1"/>
  <c r="J115" i="1" s="1"/>
  <c r="I115" i="1" a="1"/>
  <c r="I115" i="1" s="1"/>
  <c r="H115" i="1" a="1"/>
  <c r="H115" i="1" s="1"/>
  <c r="G115" i="1" a="1"/>
  <c r="G115" i="1" s="1"/>
  <c r="F115" i="1" a="1"/>
  <c r="F115" i="1" s="1"/>
  <c r="E115" i="1" a="1"/>
  <c r="E115" i="1" s="1"/>
  <c r="D115" i="1" a="1"/>
  <c r="D115" i="1" s="1"/>
  <c r="C115" i="1" a="1"/>
  <c r="C115" i="1" s="1"/>
  <c r="B115" i="1" a="1"/>
  <c r="B115" i="1" s="1"/>
  <c r="N114" i="1" a="1"/>
  <c r="N114" i="1" s="1"/>
  <c r="M114" i="1" a="1"/>
  <c r="M114" i="1" s="1"/>
  <c r="L114" i="1" a="1"/>
  <c r="L114" i="1" s="1"/>
  <c r="K114" i="1" a="1"/>
  <c r="K114" i="1" s="1"/>
  <c r="J114" i="1" a="1"/>
  <c r="J114" i="1" s="1"/>
  <c r="I114" i="1" a="1"/>
  <c r="I114" i="1" s="1"/>
  <c r="H114" i="1" a="1"/>
  <c r="H114" i="1" s="1"/>
  <c r="G114" i="1" a="1"/>
  <c r="G114" i="1" s="1"/>
  <c r="F114" i="1" a="1"/>
  <c r="F114" i="1" s="1"/>
  <c r="E114" i="1" a="1"/>
  <c r="E114" i="1" s="1"/>
  <c r="D114" i="1" a="1"/>
  <c r="D114" i="1" s="1"/>
  <c r="C114" i="1" a="1"/>
  <c r="C114" i="1" s="1"/>
  <c r="B114" i="1" a="1"/>
  <c r="B114" i="1" s="1"/>
  <c r="N113" i="1" a="1"/>
  <c r="N113" i="1" s="1"/>
  <c r="M113" i="1" a="1"/>
  <c r="M113" i="1" s="1"/>
  <c r="L113" i="1" a="1"/>
  <c r="L113" i="1" s="1"/>
  <c r="K113" i="1" a="1"/>
  <c r="K113" i="1" s="1"/>
  <c r="J113" i="1" a="1"/>
  <c r="J113" i="1" s="1"/>
  <c r="I113" i="1" a="1"/>
  <c r="I113" i="1" s="1"/>
  <c r="H113" i="1" a="1"/>
  <c r="H113" i="1" s="1"/>
  <c r="G113" i="1" a="1"/>
  <c r="G113" i="1" s="1"/>
  <c r="F113" i="1" a="1"/>
  <c r="F113" i="1" s="1"/>
  <c r="E113" i="1" a="1"/>
  <c r="E113" i="1" s="1"/>
  <c r="D113" i="1" a="1"/>
  <c r="D113" i="1" s="1"/>
  <c r="C113" i="1" a="1"/>
  <c r="C113" i="1" s="1"/>
  <c r="B113" i="1" a="1"/>
  <c r="B113" i="1" s="1"/>
  <c r="N112" i="1" a="1"/>
  <c r="N112" i="1" s="1"/>
  <c r="M112" i="1" a="1"/>
  <c r="M112" i="1" s="1"/>
  <c r="L112" i="1" a="1"/>
  <c r="L112" i="1" s="1"/>
  <c r="K112" i="1" a="1"/>
  <c r="K112" i="1" s="1"/>
  <c r="J112" i="1" a="1"/>
  <c r="J112" i="1" s="1"/>
  <c r="I112" i="1" a="1"/>
  <c r="I112" i="1" s="1"/>
  <c r="H112" i="1" a="1"/>
  <c r="H112" i="1" s="1"/>
  <c r="G112" i="1" a="1"/>
  <c r="G112" i="1" s="1"/>
  <c r="F112" i="1" a="1"/>
  <c r="F112" i="1" s="1"/>
  <c r="E112" i="1" a="1"/>
  <c r="E112" i="1" s="1"/>
  <c r="D112" i="1" a="1"/>
  <c r="D112" i="1" s="1"/>
  <c r="C112" i="1" a="1"/>
  <c r="C112" i="1" s="1"/>
  <c r="B112" i="1" a="1"/>
  <c r="B112" i="1" s="1"/>
  <c r="N111" i="1" a="1"/>
  <c r="N111" i="1" s="1"/>
  <c r="M111" i="1" a="1"/>
  <c r="M111" i="1" s="1"/>
  <c r="L111" i="1" a="1"/>
  <c r="L111" i="1" s="1"/>
  <c r="K111" i="1" a="1"/>
  <c r="K111" i="1" s="1"/>
  <c r="J111" i="1" a="1"/>
  <c r="J111" i="1" s="1"/>
  <c r="I111" i="1" a="1"/>
  <c r="I111" i="1" s="1"/>
  <c r="H111" i="1" a="1"/>
  <c r="H111" i="1" s="1"/>
  <c r="G111" i="1" a="1"/>
  <c r="G111" i="1" s="1"/>
  <c r="F111" i="1" a="1"/>
  <c r="F111" i="1" s="1"/>
  <c r="E111" i="1" a="1"/>
  <c r="E111" i="1" s="1"/>
  <c r="D111" i="1" a="1"/>
  <c r="D111" i="1" s="1"/>
  <c r="C111" i="1" a="1"/>
  <c r="C111" i="1" s="1"/>
  <c r="B111" i="1" a="1"/>
  <c r="B111" i="1" s="1"/>
  <c r="N110" i="1" a="1"/>
  <c r="N110" i="1" s="1"/>
  <c r="M110" i="1" a="1"/>
  <c r="M110" i="1" s="1"/>
  <c r="L110" i="1" a="1"/>
  <c r="L110" i="1" s="1"/>
  <c r="K110" i="1" a="1"/>
  <c r="K110" i="1" s="1"/>
  <c r="J110" i="1" a="1"/>
  <c r="J110" i="1" s="1"/>
  <c r="I110" i="1" a="1"/>
  <c r="I110" i="1" s="1"/>
  <c r="H110" i="1" a="1"/>
  <c r="H110" i="1" s="1"/>
  <c r="G110" i="1" a="1"/>
  <c r="G110" i="1" s="1"/>
  <c r="F110" i="1" a="1"/>
  <c r="F110" i="1" s="1"/>
  <c r="E110" i="1" a="1"/>
  <c r="E110" i="1" s="1"/>
  <c r="D110" i="1" a="1"/>
  <c r="D110" i="1" s="1"/>
  <c r="C110" i="1" a="1"/>
  <c r="C110" i="1" s="1"/>
  <c r="B110" i="1" a="1"/>
  <c r="B110" i="1" s="1"/>
  <c r="N109" i="1" a="1"/>
  <c r="N109" i="1" s="1"/>
  <c r="M109" i="1" a="1"/>
  <c r="M109" i="1" s="1"/>
  <c r="L109" i="1" a="1"/>
  <c r="L109" i="1" s="1"/>
  <c r="K109" i="1" a="1"/>
  <c r="K109" i="1" s="1"/>
  <c r="J109" i="1" a="1"/>
  <c r="J109" i="1" s="1"/>
  <c r="I109" i="1" a="1"/>
  <c r="I109" i="1" s="1"/>
  <c r="H109" i="1" a="1"/>
  <c r="H109" i="1" s="1"/>
  <c r="G109" i="1" a="1"/>
  <c r="G109" i="1" s="1"/>
  <c r="F109" i="1" a="1"/>
  <c r="F109" i="1" s="1"/>
  <c r="E109" i="1" a="1"/>
  <c r="E109" i="1" s="1"/>
  <c r="D109" i="1" a="1"/>
  <c r="D109" i="1" s="1"/>
  <c r="C109" i="1" a="1"/>
  <c r="C109" i="1" s="1"/>
  <c r="B109" i="1" a="1"/>
  <c r="B109" i="1" s="1"/>
  <c r="N108" i="1" a="1"/>
  <c r="N108" i="1" s="1"/>
  <c r="M108" i="1" a="1"/>
  <c r="M108" i="1" s="1"/>
  <c r="L108" i="1" a="1"/>
  <c r="L108" i="1" s="1"/>
  <c r="K108" i="1" a="1"/>
  <c r="K108" i="1" s="1"/>
  <c r="J108" i="1" a="1"/>
  <c r="J108" i="1" s="1"/>
  <c r="I108" i="1" a="1"/>
  <c r="I108" i="1" s="1"/>
  <c r="H108" i="1" a="1"/>
  <c r="H108" i="1" s="1"/>
  <c r="G108" i="1" a="1"/>
  <c r="G108" i="1" s="1"/>
  <c r="F108" i="1" a="1"/>
  <c r="F108" i="1" s="1"/>
  <c r="E108" i="1" a="1"/>
  <c r="E108" i="1" s="1"/>
  <c r="D108" i="1" a="1"/>
  <c r="D108" i="1" s="1"/>
  <c r="C108" i="1" a="1"/>
  <c r="C108" i="1" s="1"/>
  <c r="B108" i="1" a="1"/>
  <c r="B108" i="1" s="1"/>
  <c r="N107" i="1" a="1"/>
  <c r="N107" i="1" s="1"/>
  <c r="M107" i="1" a="1"/>
  <c r="M107" i="1" s="1"/>
  <c r="L107" i="1" a="1"/>
  <c r="L107" i="1" s="1"/>
  <c r="K107" i="1" a="1"/>
  <c r="K107" i="1" s="1"/>
  <c r="J107" i="1" a="1"/>
  <c r="J107" i="1" s="1"/>
  <c r="I107" i="1" a="1"/>
  <c r="I107" i="1" s="1"/>
  <c r="H107" i="1" a="1"/>
  <c r="H107" i="1" s="1"/>
  <c r="G107" i="1" a="1"/>
  <c r="G107" i="1" s="1"/>
  <c r="F107" i="1" a="1"/>
  <c r="F107" i="1" s="1"/>
  <c r="E107" i="1" a="1"/>
  <c r="E107" i="1" s="1"/>
  <c r="D107" i="1" a="1"/>
  <c r="D107" i="1" s="1"/>
  <c r="C107" i="1" a="1"/>
  <c r="C107" i="1" s="1"/>
  <c r="B107" i="1" a="1"/>
  <c r="B107" i="1" s="1"/>
  <c r="N106" i="1" a="1"/>
  <c r="N106" i="1" s="1"/>
  <c r="M106" i="1" a="1"/>
  <c r="M106" i="1" s="1"/>
  <c r="L106" i="1" a="1"/>
  <c r="L106" i="1" s="1"/>
  <c r="K106" i="1" a="1"/>
  <c r="K106" i="1" s="1"/>
  <c r="J106" i="1" a="1"/>
  <c r="J106" i="1" s="1"/>
  <c r="I106" i="1" a="1"/>
  <c r="I106" i="1" s="1"/>
  <c r="H106" i="1" a="1"/>
  <c r="H106" i="1" s="1"/>
  <c r="G106" i="1" a="1"/>
  <c r="G106" i="1" s="1"/>
  <c r="F106" i="1" a="1"/>
  <c r="F106" i="1" s="1"/>
  <c r="E106" i="1" a="1"/>
  <c r="E106" i="1" s="1"/>
  <c r="D106" i="1" a="1"/>
  <c r="D106" i="1" s="1"/>
  <c r="C106" i="1" a="1"/>
  <c r="C106" i="1" s="1"/>
  <c r="B106" i="1" a="1"/>
  <c r="B106" i="1" s="1"/>
  <c r="N105" i="1" a="1"/>
  <c r="N105" i="1" s="1"/>
  <c r="M105" i="1" a="1"/>
  <c r="M105" i="1" s="1"/>
  <c r="L105" i="1" a="1"/>
  <c r="L105" i="1" s="1"/>
  <c r="K105" i="1" a="1"/>
  <c r="K105" i="1" s="1"/>
  <c r="J105" i="1" a="1"/>
  <c r="J105" i="1" s="1"/>
  <c r="I105" i="1" a="1"/>
  <c r="I105" i="1" s="1"/>
  <c r="H105" i="1" a="1"/>
  <c r="H105" i="1" s="1"/>
  <c r="G105" i="1" a="1"/>
  <c r="G105" i="1" s="1"/>
  <c r="F105" i="1" a="1"/>
  <c r="F105" i="1" s="1"/>
  <c r="E105" i="1" a="1"/>
  <c r="E105" i="1" s="1"/>
  <c r="D105" i="1" a="1"/>
  <c r="D105" i="1" s="1"/>
  <c r="C105" i="1" a="1"/>
  <c r="C105" i="1" s="1"/>
  <c r="B105" i="1" a="1"/>
  <c r="B105" i="1" s="1"/>
  <c r="N104" i="1" a="1"/>
  <c r="N104" i="1" s="1"/>
  <c r="M104" i="1" a="1"/>
  <c r="M104" i="1" s="1"/>
  <c r="L104" i="1" a="1"/>
  <c r="L104" i="1" s="1"/>
  <c r="K104" i="1" a="1"/>
  <c r="K104" i="1" s="1"/>
  <c r="J104" i="1" a="1"/>
  <c r="J104" i="1" s="1"/>
  <c r="I104" i="1" a="1"/>
  <c r="I104" i="1" s="1"/>
  <c r="H104" i="1" a="1"/>
  <c r="H104" i="1" s="1"/>
  <c r="G104" i="1" a="1"/>
  <c r="G104" i="1" s="1"/>
  <c r="F104" i="1" a="1"/>
  <c r="F104" i="1" s="1"/>
  <c r="E104" i="1" a="1"/>
  <c r="E104" i="1" s="1"/>
  <c r="D104" i="1" a="1"/>
  <c r="D104" i="1" s="1"/>
  <c r="C104" i="1" a="1"/>
  <c r="C104" i="1" s="1"/>
  <c r="B104" i="1" a="1"/>
  <c r="B104" i="1" s="1"/>
  <c r="N103" i="1" a="1"/>
  <c r="N103" i="1" s="1"/>
  <c r="M103" i="1" a="1"/>
  <c r="M103" i="1" s="1"/>
  <c r="L103" i="1" a="1"/>
  <c r="L103" i="1" s="1"/>
  <c r="K103" i="1" a="1"/>
  <c r="K103" i="1" s="1"/>
  <c r="J103" i="1" a="1"/>
  <c r="J103" i="1" s="1"/>
  <c r="I103" i="1" a="1"/>
  <c r="I103" i="1" s="1"/>
  <c r="H103" i="1" a="1"/>
  <c r="H103" i="1" s="1"/>
  <c r="G103" i="1" a="1"/>
  <c r="G103" i="1" s="1"/>
  <c r="F103" i="1" a="1"/>
  <c r="F103" i="1" s="1"/>
  <c r="E103" i="1" a="1"/>
  <c r="E103" i="1" s="1"/>
  <c r="D103" i="1" a="1"/>
  <c r="D103" i="1" s="1"/>
  <c r="C103" i="1" a="1"/>
  <c r="C103" i="1" s="1"/>
  <c r="B103" i="1" a="1"/>
  <c r="B103" i="1" s="1"/>
  <c r="N102" i="1" a="1"/>
  <c r="N102" i="1" s="1"/>
  <c r="M102" i="1" a="1"/>
  <c r="M102" i="1" s="1"/>
  <c r="L102" i="1" a="1"/>
  <c r="L102" i="1" s="1"/>
  <c r="K102" i="1" a="1"/>
  <c r="K102" i="1" s="1"/>
  <c r="J102" i="1" a="1"/>
  <c r="J102" i="1" s="1"/>
  <c r="I102" i="1" a="1"/>
  <c r="I102" i="1" s="1"/>
  <c r="H102" i="1" a="1"/>
  <c r="H102" i="1" s="1"/>
  <c r="G102" i="1" a="1"/>
  <c r="G102" i="1" s="1"/>
  <c r="F102" i="1" a="1"/>
  <c r="F102" i="1" s="1"/>
  <c r="E102" i="1" a="1"/>
  <c r="E102" i="1" s="1"/>
  <c r="D102" i="1" a="1"/>
  <c r="D102" i="1" s="1"/>
  <c r="C102" i="1" a="1"/>
  <c r="C102" i="1" s="1"/>
  <c r="B102" i="1" a="1"/>
  <c r="B102" i="1" s="1"/>
  <c r="N101" i="1" a="1"/>
  <c r="N101" i="1" s="1"/>
  <c r="M101" i="1" a="1"/>
  <c r="M101" i="1" s="1"/>
  <c r="L101" i="1" a="1"/>
  <c r="L101" i="1" s="1"/>
  <c r="K101" i="1" a="1"/>
  <c r="K101" i="1" s="1"/>
  <c r="J101" i="1" a="1"/>
  <c r="J101" i="1" s="1"/>
  <c r="I101" i="1" a="1"/>
  <c r="I101" i="1" s="1"/>
  <c r="H101" i="1" a="1"/>
  <c r="H101" i="1" s="1"/>
  <c r="G101" i="1" a="1"/>
  <c r="G101" i="1" s="1"/>
  <c r="F101" i="1" a="1"/>
  <c r="F101" i="1" s="1"/>
  <c r="E101" i="1" a="1"/>
  <c r="E101" i="1" s="1"/>
  <c r="D101" i="1" a="1"/>
  <c r="D101" i="1" s="1"/>
  <c r="C101" i="1" a="1"/>
  <c r="C101" i="1" s="1"/>
  <c r="B101" i="1" a="1"/>
  <c r="B101" i="1" s="1"/>
  <c r="N100" i="1" a="1"/>
  <c r="N100" i="1" s="1"/>
  <c r="M100" i="1" a="1"/>
  <c r="M100" i="1" s="1"/>
  <c r="L100" i="1" a="1"/>
  <c r="L100" i="1" s="1"/>
  <c r="K100" i="1" a="1"/>
  <c r="K100" i="1" s="1"/>
  <c r="J100" i="1" a="1"/>
  <c r="J100" i="1" s="1"/>
  <c r="I100" i="1" a="1"/>
  <c r="I100" i="1" s="1"/>
  <c r="H100" i="1" a="1"/>
  <c r="H100" i="1" s="1"/>
  <c r="G100" i="1" a="1"/>
  <c r="G100" i="1" s="1"/>
  <c r="F100" i="1" a="1"/>
  <c r="F100" i="1" s="1"/>
  <c r="E100" i="1" a="1"/>
  <c r="E100" i="1" s="1"/>
  <c r="D100" i="1" a="1"/>
  <c r="D100" i="1" s="1"/>
  <c r="C100" i="1" a="1"/>
  <c r="C100" i="1" s="1"/>
  <c r="B100" i="1" a="1"/>
  <c r="B100" i="1" s="1"/>
  <c r="N99" i="1" a="1"/>
  <c r="N99" i="1" s="1"/>
  <c r="M99" i="1" a="1"/>
  <c r="M99" i="1" s="1"/>
  <c r="L99" i="1" a="1"/>
  <c r="L99" i="1" s="1"/>
  <c r="K99" i="1" a="1"/>
  <c r="K99" i="1" s="1"/>
  <c r="J99" i="1" a="1"/>
  <c r="J99" i="1" s="1"/>
  <c r="I99" i="1" a="1"/>
  <c r="I99" i="1" s="1"/>
  <c r="H99" i="1" a="1"/>
  <c r="H99" i="1" s="1"/>
  <c r="G99" i="1" a="1"/>
  <c r="G99" i="1" s="1"/>
  <c r="F99" i="1" a="1"/>
  <c r="F99" i="1" s="1"/>
  <c r="E99" i="1" a="1"/>
  <c r="E99" i="1" s="1"/>
  <c r="D99" i="1" a="1"/>
  <c r="D99" i="1" s="1"/>
  <c r="C99" i="1" a="1"/>
  <c r="C99" i="1" s="1"/>
  <c r="B99" i="1" a="1"/>
  <c r="B99" i="1" s="1"/>
  <c r="N98" i="1" a="1"/>
  <c r="N98" i="1" s="1"/>
  <c r="M98" i="1" a="1"/>
  <c r="M98" i="1" s="1"/>
  <c r="L98" i="1" a="1"/>
  <c r="L98" i="1" s="1"/>
  <c r="K98" i="1" a="1"/>
  <c r="K98" i="1" s="1"/>
  <c r="J98" i="1" a="1"/>
  <c r="J98" i="1" s="1"/>
  <c r="I98" i="1" a="1"/>
  <c r="I98" i="1" s="1"/>
  <c r="H98" i="1" a="1"/>
  <c r="H98" i="1" s="1"/>
  <c r="G98" i="1" a="1"/>
  <c r="G98" i="1" s="1"/>
  <c r="F98" i="1" a="1"/>
  <c r="F98" i="1" s="1"/>
  <c r="E98" i="1" a="1"/>
  <c r="E98" i="1" s="1"/>
  <c r="D98" i="1" a="1"/>
  <c r="D98" i="1" s="1"/>
  <c r="C98" i="1" a="1"/>
  <c r="C98" i="1" s="1"/>
  <c r="B98" i="1" a="1"/>
  <c r="B98" i="1" s="1"/>
  <c r="N97" i="1" a="1"/>
  <c r="N97" i="1" s="1"/>
  <c r="M97" i="1" a="1"/>
  <c r="M97" i="1" s="1"/>
  <c r="L97" i="1" a="1"/>
  <c r="L97" i="1" s="1"/>
  <c r="K97" i="1" a="1"/>
  <c r="K97" i="1" s="1"/>
  <c r="J97" i="1" a="1"/>
  <c r="J97" i="1" s="1"/>
  <c r="I97" i="1" a="1"/>
  <c r="I97" i="1" s="1"/>
  <c r="H97" i="1" a="1"/>
  <c r="H97" i="1" s="1"/>
  <c r="G97" i="1" a="1"/>
  <c r="G97" i="1" s="1"/>
  <c r="F97" i="1" a="1"/>
  <c r="F97" i="1" s="1"/>
  <c r="E97" i="1" a="1"/>
  <c r="E97" i="1" s="1"/>
  <c r="D97" i="1" a="1"/>
  <c r="D97" i="1" s="1"/>
  <c r="C97" i="1" a="1"/>
  <c r="C97" i="1" s="1"/>
  <c r="B97" i="1" a="1"/>
  <c r="B97" i="1" s="1"/>
  <c r="N96" i="1" a="1"/>
  <c r="N96" i="1" s="1"/>
  <c r="M96" i="1" a="1"/>
  <c r="M96" i="1" s="1"/>
  <c r="L96" i="1" a="1"/>
  <c r="L96" i="1" s="1"/>
  <c r="K96" i="1" a="1"/>
  <c r="K96" i="1" s="1"/>
  <c r="J96" i="1" a="1"/>
  <c r="J96" i="1" s="1"/>
  <c r="I96" i="1" a="1"/>
  <c r="I96" i="1" s="1"/>
  <c r="H96" i="1" a="1"/>
  <c r="H96" i="1" s="1"/>
  <c r="G96" i="1" a="1"/>
  <c r="G96" i="1" s="1"/>
  <c r="F96" i="1" a="1"/>
  <c r="F96" i="1" s="1"/>
  <c r="E96" i="1" a="1"/>
  <c r="E96" i="1" s="1"/>
  <c r="D96" i="1" a="1"/>
  <c r="D96" i="1" s="1"/>
  <c r="C96" i="1" a="1"/>
  <c r="C96" i="1" s="1"/>
  <c r="B96" i="1" a="1"/>
  <c r="B96" i="1" s="1"/>
  <c r="N95" i="1" a="1"/>
  <c r="N95" i="1" s="1"/>
  <c r="M95" i="1" a="1"/>
  <c r="M95" i="1" s="1"/>
  <c r="L95" i="1" a="1"/>
  <c r="L95" i="1" s="1"/>
  <c r="K95" i="1" a="1"/>
  <c r="K95" i="1" s="1"/>
  <c r="J95" i="1" a="1"/>
  <c r="J95" i="1" s="1"/>
  <c r="I95" i="1" a="1"/>
  <c r="I95" i="1" s="1"/>
  <c r="H95" i="1" a="1"/>
  <c r="H95" i="1" s="1"/>
  <c r="G95" i="1" a="1"/>
  <c r="G95" i="1" s="1"/>
  <c r="F95" i="1" a="1"/>
  <c r="F95" i="1" s="1"/>
  <c r="E95" i="1" a="1"/>
  <c r="E95" i="1" s="1"/>
  <c r="D95" i="1" a="1"/>
  <c r="D95" i="1" s="1"/>
  <c r="C95" i="1" a="1"/>
  <c r="C95" i="1" s="1"/>
  <c r="B95" i="1" a="1"/>
  <c r="B95" i="1" s="1"/>
  <c r="N94" i="1" a="1"/>
  <c r="N94" i="1" s="1"/>
  <c r="M94" i="1" a="1"/>
  <c r="M94" i="1" s="1"/>
  <c r="L94" i="1" a="1"/>
  <c r="L94" i="1" s="1"/>
  <c r="K94" i="1" a="1"/>
  <c r="K94" i="1" s="1"/>
  <c r="J94" i="1" a="1"/>
  <c r="J94" i="1" s="1"/>
  <c r="I94" i="1" a="1"/>
  <c r="I94" i="1" s="1"/>
  <c r="H94" i="1" a="1"/>
  <c r="H94" i="1" s="1"/>
  <c r="G94" i="1" a="1"/>
  <c r="G94" i="1" s="1"/>
  <c r="F94" i="1" a="1"/>
  <c r="F94" i="1" s="1"/>
  <c r="E94" i="1" a="1"/>
  <c r="E94" i="1" s="1"/>
  <c r="D94" i="1" a="1"/>
  <c r="D94" i="1" s="1"/>
  <c r="C94" i="1" a="1"/>
  <c r="C94" i="1" s="1"/>
  <c r="B94" i="1" a="1"/>
  <c r="B94" i="1" s="1"/>
  <c r="N93" i="1" a="1"/>
  <c r="N93" i="1" s="1"/>
  <c r="M93" i="1" a="1"/>
  <c r="M93" i="1" s="1"/>
  <c r="L93" i="1" a="1"/>
  <c r="L93" i="1" s="1"/>
  <c r="K93" i="1" a="1"/>
  <c r="K93" i="1" s="1"/>
  <c r="J93" i="1" a="1"/>
  <c r="J93" i="1" s="1"/>
  <c r="I93" i="1" a="1"/>
  <c r="I93" i="1" s="1"/>
  <c r="H93" i="1" a="1"/>
  <c r="H93" i="1" s="1"/>
  <c r="G93" i="1" a="1"/>
  <c r="G93" i="1" s="1"/>
  <c r="F93" i="1" a="1"/>
  <c r="F93" i="1" s="1"/>
  <c r="E93" i="1" a="1"/>
  <c r="E93" i="1" s="1"/>
  <c r="D93" i="1" a="1"/>
  <c r="D93" i="1" s="1"/>
  <c r="C93" i="1" a="1"/>
  <c r="C93" i="1" s="1"/>
  <c r="B93" i="1" a="1"/>
  <c r="B93" i="1" s="1"/>
  <c r="N92" i="1" a="1"/>
  <c r="N92" i="1" s="1"/>
  <c r="M92" i="1" a="1"/>
  <c r="M92" i="1" s="1"/>
  <c r="L92" i="1" a="1"/>
  <c r="L92" i="1" s="1"/>
  <c r="K92" i="1" a="1"/>
  <c r="K92" i="1" s="1"/>
  <c r="J92" i="1" a="1"/>
  <c r="J92" i="1" s="1"/>
  <c r="I92" i="1" a="1"/>
  <c r="I92" i="1" s="1"/>
  <c r="H92" i="1" a="1"/>
  <c r="H92" i="1" s="1"/>
  <c r="G92" i="1" a="1"/>
  <c r="G92" i="1" s="1"/>
  <c r="F92" i="1" a="1"/>
  <c r="F92" i="1" s="1"/>
  <c r="E92" i="1" a="1"/>
  <c r="E92" i="1" s="1"/>
  <c r="D92" i="1" a="1"/>
  <c r="D92" i="1" s="1"/>
  <c r="C92" i="1" a="1"/>
  <c r="C92" i="1" s="1"/>
  <c r="B92" i="1" a="1"/>
  <c r="B92" i="1" s="1"/>
  <c r="N91" i="1" a="1"/>
  <c r="N91" i="1" s="1"/>
  <c r="M91" i="1" a="1"/>
  <c r="M91" i="1" s="1"/>
  <c r="L91" i="1" a="1"/>
  <c r="L91" i="1" s="1"/>
  <c r="K91" i="1" a="1"/>
  <c r="K91" i="1" s="1"/>
  <c r="J91" i="1" a="1"/>
  <c r="J91" i="1" s="1"/>
  <c r="I91" i="1" a="1"/>
  <c r="I91" i="1" s="1"/>
  <c r="H91" i="1" a="1"/>
  <c r="H91" i="1" s="1"/>
  <c r="G91" i="1" a="1"/>
  <c r="G91" i="1" s="1"/>
  <c r="F91" i="1" a="1"/>
  <c r="F91" i="1" s="1"/>
  <c r="E91" i="1" a="1"/>
  <c r="E91" i="1" s="1"/>
  <c r="D91" i="1" a="1"/>
  <c r="D91" i="1" s="1"/>
  <c r="C91" i="1" a="1"/>
  <c r="C91" i="1" s="1"/>
  <c r="B91" i="1" a="1"/>
  <c r="B91" i="1" s="1"/>
  <c r="N90" i="1" a="1"/>
  <c r="N90" i="1" s="1"/>
  <c r="M90" i="1" a="1"/>
  <c r="M90" i="1" s="1"/>
  <c r="L90" i="1" a="1"/>
  <c r="L90" i="1" s="1"/>
  <c r="K90" i="1" a="1"/>
  <c r="K90" i="1" s="1"/>
  <c r="J90" i="1" a="1"/>
  <c r="J90" i="1" s="1"/>
  <c r="I90" i="1" a="1"/>
  <c r="I90" i="1" s="1"/>
  <c r="H90" i="1" a="1"/>
  <c r="H90" i="1" s="1"/>
  <c r="G90" i="1" a="1"/>
  <c r="G90" i="1" s="1"/>
  <c r="F90" i="1" a="1"/>
  <c r="F90" i="1" s="1"/>
  <c r="E90" i="1" a="1"/>
  <c r="E90" i="1" s="1"/>
  <c r="D90" i="1" a="1"/>
  <c r="D90" i="1" s="1"/>
  <c r="C90" i="1" a="1"/>
  <c r="C90" i="1" s="1"/>
  <c r="B90" i="1" a="1"/>
  <c r="B90" i="1" s="1"/>
  <c r="N89" i="1" a="1"/>
  <c r="N89" i="1" s="1"/>
  <c r="M89" i="1" a="1"/>
  <c r="M89" i="1" s="1"/>
  <c r="L89" i="1" a="1"/>
  <c r="L89" i="1" s="1"/>
  <c r="K89" i="1" a="1"/>
  <c r="K89" i="1" s="1"/>
  <c r="J89" i="1" a="1"/>
  <c r="J89" i="1" s="1"/>
  <c r="I89" i="1" a="1"/>
  <c r="I89" i="1" s="1"/>
  <c r="H89" i="1" a="1"/>
  <c r="H89" i="1" s="1"/>
  <c r="G89" i="1" a="1"/>
  <c r="G89" i="1" s="1"/>
  <c r="F89" i="1" a="1"/>
  <c r="F89" i="1" s="1"/>
  <c r="E89" i="1" a="1"/>
  <c r="E89" i="1" s="1"/>
  <c r="D89" i="1" a="1"/>
  <c r="D89" i="1" s="1"/>
  <c r="C89" i="1" a="1"/>
  <c r="C89" i="1" s="1"/>
  <c r="B89" i="1" a="1"/>
  <c r="B89" i="1" s="1"/>
  <c r="N88" i="1" a="1"/>
  <c r="N88" i="1" s="1"/>
  <c r="M88" i="1" a="1"/>
  <c r="M88" i="1" s="1"/>
  <c r="L88" i="1" a="1"/>
  <c r="L88" i="1" s="1"/>
  <c r="K88" i="1" a="1"/>
  <c r="K88" i="1" s="1"/>
  <c r="J88" i="1" a="1"/>
  <c r="J88" i="1" s="1"/>
  <c r="I88" i="1" a="1"/>
  <c r="I88" i="1" s="1"/>
  <c r="H88" i="1" a="1"/>
  <c r="H88" i="1" s="1"/>
  <c r="G88" i="1" a="1"/>
  <c r="G88" i="1" s="1"/>
  <c r="F88" i="1" a="1"/>
  <c r="F88" i="1" s="1"/>
  <c r="E88" i="1" a="1"/>
  <c r="E88" i="1" s="1"/>
  <c r="D88" i="1" a="1"/>
  <c r="D88" i="1" s="1"/>
  <c r="C88" i="1" a="1"/>
  <c r="C88" i="1" s="1"/>
  <c r="B88" i="1" a="1"/>
  <c r="B88" i="1" s="1"/>
  <c r="N87" i="1" a="1"/>
  <c r="N87" i="1" s="1"/>
  <c r="M87" i="1" a="1"/>
  <c r="M87" i="1" s="1"/>
  <c r="L87" i="1" a="1"/>
  <c r="L87" i="1" s="1"/>
  <c r="K87" i="1" a="1"/>
  <c r="K87" i="1" s="1"/>
  <c r="J87" i="1" a="1"/>
  <c r="J87" i="1" s="1"/>
  <c r="I87" i="1" a="1"/>
  <c r="I87" i="1" s="1"/>
  <c r="H87" i="1" a="1"/>
  <c r="H87" i="1" s="1"/>
  <c r="G87" i="1" a="1"/>
  <c r="G87" i="1" s="1"/>
  <c r="F87" i="1" a="1"/>
  <c r="F87" i="1" s="1"/>
  <c r="E87" i="1" a="1"/>
  <c r="E87" i="1" s="1"/>
  <c r="D87" i="1" a="1"/>
  <c r="D87" i="1" s="1"/>
  <c r="C87" i="1" a="1"/>
  <c r="C87" i="1" s="1"/>
  <c r="B87" i="1" a="1"/>
  <c r="B87" i="1" s="1"/>
  <c r="N86" i="1" a="1"/>
  <c r="N86" i="1" s="1"/>
  <c r="M86" i="1" a="1"/>
  <c r="M86" i="1" s="1"/>
  <c r="L86" i="1" a="1"/>
  <c r="L86" i="1" s="1"/>
  <c r="K86" i="1" a="1"/>
  <c r="K86" i="1" s="1"/>
  <c r="J86" i="1" a="1"/>
  <c r="J86" i="1" s="1"/>
  <c r="I86" i="1" a="1"/>
  <c r="I86" i="1" s="1"/>
  <c r="H86" i="1" a="1"/>
  <c r="H86" i="1" s="1"/>
  <c r="G86" i="1" a="1"/>
  <c r="G86" i="1" s="1"/>
  <c r="F86" i="1" a="1"/>
  <c r="F86" i="1" s="1"/>
  <c r="E86" i="1" a="1"/>
  <c r="E86" i="1" s="1"/>
  <c r="D86" i="1" a="1"/>
  <c r="D86" i="1" s="1"/>
  <c r="C86" i="1" a="1"/>
  <c r="C86" i="1" s="1"/>
  <c r="B86" i="1" a="1"/>
  <c r="B86" i="1" s="1"/>
  <c r="N85" i="1" a="1"/>
  <c r="N85" i="1" s="1"/>
  <c r="M85" i="1" a="1"/>
  <c r="M85" i="1" s="1"/>
  <c r="L85" i="1" a="1"/>
  <c r="L85" i="1" s="1"/>
  <c r="K85" i="1" a="1"/>
  <c r="K85" i="1" s="1"/>
  <c r="J85" i="1" a="1"/>
  <c r="J85" i="1" s="1"/>
  <c r="I85" i="1" a="1"/>
  <c r="I85" i="1" s="1"/>
  <c r="H85" i="1" a="1"/>
  <c r="H85" i="1" s="1"/>
  <c r="G85" i="1" a="1"/>
  <c r="G85" i="1" s="1"/>
  <c r="F85" i="1" a="1"/>
  <c r="F85" i="1" s="1"/>
  <c r="E85" i="1" a="1"/>
  <c r="E85" i="1" s="1"/>
  <c r="D85" i="1" a="1"/>
  <c r="D85" i="1" s="1"/>
  <c r="C85" i="1" a="1"/>
  <c r="C85" i="1" s="1"/>
  <c r="B85" i="1" a="1"/>
  <c r="B85" i="1" s="1"/>
  <c r="N84" i="1" a="1"/>
  <c r="N84" i="1" s="1"/>
  <c r="M84" i="1" a="1"/>
  <c r="M84" i="1" s="1"/>
  <c r="L84" i="1" a="1"/>
  <c r="L84" i="1" s="1"/>
  <c r="K84" i="1" a="1"/>
  <c r="K84" i="1" s="1"/>
  <c r="J84" i="1" a="1"/>
  <c r="J84" i="1" s="1"/>
  <c r="I84" i="1" a="1"/>
  <c r="I84" i="1" s="1"/>
  <c r="H84" i="1" a="1"/>
  <c r="H84" i="1" s="1"/>
  <c r="G84" i="1" a="1"/>
  <c r="G84" i="1" s="1"/>
  <c r="F84" i="1" a="1"/>
  <c r="F84" i="1" s="1"/>
  <c r="E84" i="1" a="1"/>
  <c r="E84" i="1" s="1"/>
  <c r="D84" i="1" a="1"/>
  <c r="D84" i="1" s="1"/>
  <c r="C84" i="1" a="1"/>
  <c r="C84" i="1" s="1"/>
  <c r="B84" i="1" a="1"/>
  <c r="B84" i="1" s="1"/>
  <c r="N83" i="1" a="1"/>
  <c r="N83" i="1" s="1"/>
  <c r="M83" i="1" a="1"/>
  <c r="M83" i="1" s="1"/>
  <c r="L83" i="1" a="1"/>
  <c r="L83" i="1" s="1"/>
  <c r="K83" i="1" a="1"/>
  <c r="K83" i="1" s="1"/>
  <c r="J83" i="1" a="1"/>
  <c r="J83" i="1" s="1"/>
  <c r="I83" i="1" a="1"/>
  <c r="I83" i="1" s="1"/>
  <c r="H83" i="1" a="1"/>
  <c r="H83" i="1" s="1"/>
  <c r="G83" i="1" a="1"/>
  <c r="G83" i="1" s="1"/>
  <c r="F83" i="1" a="1"/>
  <c r="F83" i="1" s="1"/>
  <c r="E83" i="1" a="1"/>
  <c r="E83" i="1" s="1"/>
  <c r="D83" i="1" a="1"/>
  <c r="D83" i="1" s="1"/>
  <c r="C83" i="1" a="1"/>
  <c r="C83" i="1" s="1"/>
  <c r="B83" i="1" a="1"/>
  <c r="B83" i="1" s="1"/>
  <c r="N82" i="1" a="1"/>
  <c r="N82" i="1" s="1"/>
  <c r="M82" i="1" a="1"/>
  <c r="M82" i="1" s="1"/>
  <c r="L82" i="1" a="1"/>
  <c r="L82" i="1" s="1"/>
  <c r="K82" i="1" a="1"/>
  <c r="K82" i="1" s="1"/>
  <c r="J82" i="1" a="1"/>
  <c r="J82" i="1" s="1"/>
  <c r="I82" i="1" a="1"/>
  <c r="I82" i="1" s="1"/>
  <c r="H82" i="1" a="1"/>
  <c r="H82" i="1" s="1"/>
  <c r="G82" i="1" a="1"/>
  <c r="G82" i="1" s="1"/>
  <c r="F82" i="1" a="1"/>
  <c r="F82" i="1" s="1"/>
  <c r="E82" i="1" a="1"/>
  <c r="E82" i="1" s="1"/>
  <c r="D82" i="1" a="1"/>
  <c r="D82" i="1" s="1"/>
  <c r="C82" i="1" a="1"/>
  <c r="C82" i="1" s="1"/>
  <c r="B82" i="1" a="1"/>
  <c r="B82" i="1" s="1"/>
  <c r="N81" i="1" a="1"/>
  <c r="N81" i="1" s="1"/>
  <c r="M81" i="1" a="1"/>
  <c r="M81" i="1" s="1"/>
  <c r="L81" i="1" a="1"/>
  <c r="L81" i="1" s="1"/>
  <c r="K81" i="1" a="1"/>
  <c r="K81" i="1" s="1"/>
  <c r="J81" i="1" a="1"/>
  <c r="J81" i="1" s="1"/>
  <c r="I81" i="1" a="1"/>
  <c r="I81" i="1" s="1"/>
  <c r="H81" i="1" a="1"/>
  <c r="H81" i="1" s="1"/>
  <c r="G81" i="1" a="1"/>
  <c r="G81" i="1" s="1"/>
  <c r="F81" i="1" a="1"/>
  <c r="F81" i="1" s="1"/>
  <c r="E81" i="1" a="1"/>
  <c r="E81" i="1" s="1"/>
  <c r="D81" i="1" a="1"/>
  <c r="D81" i="1" s="1"/>
  <c r="C81" i="1" a="1"/>
  <c r="C81" i="1" s="1"/>
  <c r="B81" i="1" a="1"/>
  <c r="B81" i="1" s="1"/>
  <c r="N80" i="1" a="1"/>
  <c r="N80" i="1" s="1"/>
  <c r="M80" i="1" a="1"/>
  <c r="M80" i="1" s="1"/>
  <c r="L80" i="1" a="1"/>
  <c r="L80" i="1" s="1"/>
  <c r="K80" i="1" a="1"/>
  <c r="K80" i="1" s="1"/>
  <c r="J80" i="1" a="1"/>
  <c r="J80" i="1" s="1"/>
  <c r="I80" i="1" a="1"/>
  <c r="I80" i="1" s="1"/>
  <c r="H80" i="1" a="1"/>
  <c r="H80" i="1" s="1"/>
  <c r="G80" i="1" a="1"/>
  <c r="G80" i="1" s="1"/>
  <c r="F80" i="1" a="1"/>
  <c r="F80" i="1" s="1"/>
  <c r="E80" i="1" a="1"/>
  <c r="E80" i="1" s="1"/>
  <c r="D80" i="1" a="1"/>
  <c r="D80" i="1" s="1"/>
  <c r="C80" i="1" a="1"/>
  <c r="C80" i="1" s="1"/>
  <c r="B80" i="1" a="1"/>
  <c r="B80" i="1" s="1"/>
  <c r="N79" i="1" a="1"/>
  <c r="N79" i="1" s="1"/>
  <c r="M79" i="1" a="1"/>
  <c r="M79" i="1" s="1"/>
  <c r="L79" i="1" a="1"/>
  <c r="L79" i="1" s="1"/>
  <c r="K79" i="1" a="1"/>
  <c r="K79" i="1" s="1"/>
  <c r="J79" i="1" a="1"/>
  <c r="J79" i="1" s="1"/>
  <c r="I79" i="1" a="1"/>
  <c r="I79" i="1" s="1"/>
  <c r="H79" i="1" a="1"/>
  <c r="H79" i="1" s="1"/>
  <c r="G79" i="1" a="1"/>
  <c r="G79" i="1" s="1"/>
  <c r="F79" i="1" a="1"/>
  <c r="F79" i="1" s="1"/>
  <c r="E79" i="1" a="1"/>
  <c r="E79" i="1" s="1"/>
  <c r="D79" i="1" a="1"/>
  <c r="D79" i="1" s="1"/>
  <c r="C79" i="1" a="1"/>
  <c r="C79" i="1" s="1"/>
  <c r="B79" i="1" a="1"/>
  <c r="B79" i="1" s="1"/>
  <c r="N78" i="1" a="1"/>
  <c r="N78" i="1" s="1"/>
  <c r="M78" i="1" a="1"/>
  <c r="M78" i="1" s="1"/>
  <c r="L78" i="1" a="1"/>
  <c r="L78" i="1" s="1"/>
  <c r="K78" i="1" a="1"/>
  <c r="K78" i="1" s="1"/>
  <c r="J78" i="1" a="1"/>
  <c r="J78" i="1" s="1"/>
  <c r="I78" i="1" a="1"/>
  <c r="I78" i="1" s="1"/>
  <c r="H78" i="1" a="1"/>
  <c r="H78" i="1" s="1"/>
  <c r="G78" i="1" a="1"/>
  <c r="G78" i="1" s="1"/>
  <c r="F78" i="1" a="1"/>
  <c r="F78" i="1" s="1"/>
  <c r="E78" i="1" a="1"/>
  <c r="E78" i="1" s="1"/>
  <c r="D78" i="1" a="1"/>
  <c r="D78" i="1" s="1"/>
  <c r="C78" i="1" a="1"/>
  <c r="C78" i="1" s="1"/>
  <c r="B78" i="1" a="1"/>
  <c r="B78" i="1" s="1"/>
  <c r="N77" i="1" a="1"/>
  <c r="N77" i="1" s="1"/>
  <c r="M77" i="1" a="1"/>
  <c r="M77" i="1" s="1"/>
  <c r="L77" i="1" a="1"/>
  <c r="L77" i="1" s="1"/>
  <c r="K77" i="1" a="1"/>
  <c r="K77" i="1" s="1"/>
  <c r="J77" i="1" a="1"/>
  <c r="J77" i="1" s="1"/>
  <c r="I77" i="1" a="1"/>
  <c r="I77" i="1" s="1"/>
  <c r="H77" i="1" a="1"/>
  <c r="H77" i="1" s="1"/>
  <c r="G77" i="1" a="1"/>
  <c r="G77" i="1" s="1"/>
  <c r="F77" i="1" a="1"/>
  <c r="F77" i="1" s="1"/>
  <c r="E77" i="1" a="1"/>
  <c r="E77" i="1" s="1"/>
  <c r="D77" i="1" a="1"/>
  <c r="D77" i="1" s="1"/>
  <c r="C77" i="1" a="1"/>
  <c r="C77" i="1" s="1"/>
  <c r="B77" i="1" a="1"/>
  <c r="B77" i="1" s="1"/>
  <c r="N76" i="1" a="1"/>
  <c r="N76" i="1" s="1"/>
  <c r="M76" i="1" a="1"/>
  <c r="M76" i="1" s="1"/>
  <c r="L76" i="1" a="1"/>
  <c r="L76" i="1" s="1"/>
  <c r="K76" i="1" a="1"/>
  <c r="K76" i="1" s="1"/>
  <c r="J76" i="1" a="1"/>
  <c r="J76" i="1" s="1"/>
  <c r="I76" i="1" a="1"/>
  <c r="I76" i="1" s="1"/>
  <c r="H76" i="1" a="1"/>
  <c r="H76" i="1" s="1"/>
  <c r="G76" i="1" a="1"/>
  <c r="G76" i="1" s="1"/>
  <c r="F76" i="1" a="1"/>
  <c r="F76" i="1" s="1"/>
  <c r="E76" i="1" a="1"/>
  <c r="E76" i="1" s="1"/>
  <c r="D76" i="1" a="1"/>
  <c r="D76" i="1" s="1"/>
  <c r="C76" i="1" a="1"/>
  <c r="C76" i="1" s="1"/>
  <c r="B76" i="1" a="1"/>
  <c r="B76" i="1" s="1"/>
  <c r="N75" i="1" a="1"/>
  <c r="N75" i="1" s="1"/>
  <c r="M75" i="1" a="1"/>
  <c r="M75" i="1" s="1"/>
  <c r="L75" i="1" a="1"/>
  <c r="L75" i="1" s="1"/>
  <c r="K75" i="1" a="1"/>
  <c r="K75" i="1" s="1"/>
  <c r="J75" i="1" a="1"/>
  <c r="J75" i="1" s="1"/>
  <c r="I75" i="1" a="1"/>
  <c r="I75" i="1" s="1"/>
  <c r="H75" i="1" a="1"/>
  <c r="H75" i="1" s="1"/>
  <c r="G75" i="1" a="1"/>
  <c r="G75" i="1" s="1"/>
  <c r="F75" i="1" a="1"/>
  <c r="F75" i="1" s="1"/>
  <c r="E75" i="1" a="1"/>
  <c r="E75" i="1" s="1"/>
  <c r="D75" i="1" a="1"/>
  <c r="D75" i="1" s="1"/>
  <c r="C75" i="1" a="1"/>
  <c r="C75" i="1" s="1"/>
  <c r="B75" i="1" a="1"/>
  <c r="B75" i="1" s="1"/>
  <c r="N74" i="1" a="1"/>
  <c r="N74" i="1" s="1"/>
  <c r="M74" i="1" a="1"/>
  <c r="M74" i="1" s="1"/>
  <c r="L74" i="1" a="1"/>
  <c r="L74" i="1" s="1"/>
  <c r="K74" i="1" a="1"/>
  <c r="K74" i="1" s="1"/>
  <c r="J74" i="1" a="1"/>
  <c r="J74" i="1" s="1"/>
  <c r="I74" i="1" a="1"/>
  <c r="I74" i="1" s="1"/>
  <c r="H74" i="1" a="1"/>
  <c r="H74" i="1" s="1"/>
  <c r="G74" i="1" a="1"/>
  <c r="G74" i="1" s="1"/>
  <c r="F74" i="1" a="1"/>
  <c r="F74" i="1" s="1"/>
  <c r="E74" i="1" a="1"/>
  <c r="E74" i="1" s="1"/>
  <c r="D74" i="1" a="1"/>
  <c r="D74" i="1" s="1"/>
  <c r="C74" i="1" a="1"/>
  <c r="C74" i="1" s="1"/>
  <c r="B74" i="1" a="1"/>
  <c r="B74" i="1" s="1"/>
  <c r="N73" i="1" a="1"/>
  <c r="N73" i="1" s="1"/>
  <c r="M73" i="1" a="1"/>
  <c r="M73" i="1" s="1"/>
  <c r="L73" i="1" a="1"/>
  <c r="L73" i="1" s="1"/>
  <c r="K73" i="1" a="1"/>
  <c r="K73" i="1" s="1"/>
  <c r="J73" i="1" a="1"/>
  <c r="J73" i="1" s="1"/>
  <c r="I73" i="1" a="1"/>
  <c r="I73" i="1" s="1"/>
  <c r="H73" i="1" a="1"/>
  <c r="H73" i="1" s="1"/>
  <c r="G73" i="1" a="1"/>
  <c r="G73" i="1" s="1"/>
  <c r="F73" i="1" a="1"/>
  <c r="F73" i="1" s="1"/>
  <c r="E73" i="1" a="1"/>
  <c r="E73" i="1" s="1"/>
  <c r="D73" i="1" a="1"/>
  <c r="D73" i="1" s="1"/>
  <c r="C73" i="1" a="1"/>
  <c r="C73" i="1" s="1"/>
  <c r="B73" i="1" a="1"/>
  <c r="B73" i="1" s="1"/>
  <c r="N72" i="1" a="1"/>
  <c r="N72" i="1" s="1"/>
  <c r="M72" i="1" a="1"/>
  <c r="M72" i="1" s="1"/>
  <c r="L72" i="1" a="1"/>
  <c r="L72" i="1" s="1"/>
  <c r="K72" i="1" a="1"/>
  <c r="K72" i="1" s="1"/>
  <c r="J72" i="1" a="1"/>
  <c r="J72" i="1" s="1"/>
  <c r="I72" i="1" a="1"/>
  <c r="I72" i="1" s="1"/>
  <c r="H72" i="1" a="1"/>
  <c r="H72" i="1" s="1"/>
  <c r="G72" i="1" a="1"/>
  <c r="G72" i="1" s="1"/>
  <c r="F72" i="1" a="1"/>
  <c r="F72" i="1" s="1"/>
  <c r="E72" i="1" a="1"/>
  <c r="E72" i="1" s="1"/>
  <c r="D72" i="1" a="1"/>
  <c r="D72" i="1" s="1"/>
  <c r="C72" i="1" a="1"/>
  <c r="C72" i="1" s="1"/>
  <c r="B72" i="1" a="1"/>
  <c r="B72" i="1" s="1"/>
  <c r="N71" i="1" a="1"/>
  <c r="N71" i="1" s="1"/>
  <c r="M71" i="1" a="1"/>
  <c r="M71" i="1" s="1"/>
  <c r="L71" i="1" a="1"/>
  <c r="L71" i="1" s="1"/>
  <c r="K71" i="1" a="1"/>
  <c r="K71" i="1" s="1"/>
  <c r="J71" i="1" a="1"/>
  <c r="J71" i="1" s="1"/>
  <c r="I71" i="1" a="1"/>
  <c r="I71" i="1" s="1"/>
  <c r="H71" i="1" a="1"/>
  <c r="H71" i="1" s="1"/>
  <c r="G71" i="1" a="1"/>
  <c r="G71" i="1" s="1"/>
  <c r="F71" i="1" a="1"/>
  <c r="F71" i="1" s="1"/>
  <c r="E71" i="1" a="1"/>
  <c r="E71" i="1" s="1"/>
  <c r="D71" i="1" a="1"/>
  <c r="D71" i="1" s="1"/>
  <c r="C71" i="1" a="1"/>
  <c r="C71" i="1" s="1"/>
  <c r="B71" i="1" a="1"/>
  <c r="B71" i="1" s="1"/>
  <c r="N70" i="1" a="1"/>
  <c r="N70" i="1" s="1"/>
  <c r="M70" i="1" a="1"/>
  <c r="M70" i="1" s="1"/>
  <c r="L70" i="1" a="1"/>
  <c r="L70" i="1" s="1"/>
  <c r="K70" i="1" a="1"/>
  <c r="K70" i="1" s="1"/>
  <c r="J70" i="1" a="1"/>
  <c r="J70" i="1" s="1"/>
  <c r="I70" i="1" a="1"/>
  <c r="I70" i="1" s="1"/>
  <c r="H70" i="1" a="1"/>
  <c r="H70" i="1" s="1"/>
  <c r="G70" i="1" a="1"/>
  <c r="G70" i="1" s="1"/>
  <c r="F70" i="1" a="1"/>
  <c r="F70" i="1" s="1"/>
  <c r="E70" i="1" a="1"/>
  <c r="E70" i="1" s="1"/>
  <c r="D70" i="1" a="1"/>
  <c r="D70" i="1" s="1"/>
  <c r="C70" i="1" a="1"/>
  <c r="C70" i="1" s="1"/>
  <c r="B70" i="1" a="1"/>
  <c r="B70" i="1" s="1"/>
  <c r="N69" i="1" a="1"/>
  <c r="N69" i="1" s="1"/>
  <c r="M69" i="1" a="1"/>
  <c r="M69" i="1" s="1"/>
  <c r="L69" i="1" a="1"/>
  <c r="L69" i="1" s="1"/>
  <c r="K69" i="1" a="1"/>
  <c r="K69" i="1" s="1"/>
  <c r="J69" i="1" a="1"/>
  <c r="J69" i="1" s="1"/>
  <c r="I69" i="1" a="1"/>
  <c r="I69" i="1" s="1"/>
  <c r="H69" i="1" a="1"/>
  <c r="H69" i="1" s="1"/>
  <c r="G69" i="1" a="1"/>
  <c r="G69" i="1" s="1"/>
  <c r="F69" i="1" a="1"/>
  <c r="F69" i="1" s="1"/>
  <c r="E69" i="1" a="1"/>
  <c r="E69" i="1" s="1"/>
  <c r="D69" i="1" a="1"/>
  <c r="D69" i="1" s="1"/>
  <c r="C69" i="1" a="1"/>
  <c r="C69" i="1" s="1"/>
  <c r="B69" i="1" a="1"/>
  <c r="B69" i="1" s="1"/>
  <c r="N68" i="1" a="1"/>
  <c r="N68" i="1" s="1"/>
  <c r="M68" i="1" a="1"/>
  <c r="M68" i="1" s="1"/>
  <c r="L68" i="1" a="1"/>
  <c r="L68" i="1" s="1"/>
  <c r="K68" i="1" a="1"/>
  <c r="K68" i="1" s="1"/>
  <c r="J68" i="1" a="1"/>
  <c r="J68" i="1" s="1"/>
  <c r="I68" i="1" a="1"/>
  <c r="I68" i="1" s="1"/>
  <c r="H68" i="1" a="1"/>
  <c r="H68" i="1" s="1"/>
  <c r="G68" i="1" a="1"/>
  <c r="G68" i="1" s="1"/>
  <c r="F68" i="1" a="1"/>
  <c r="F68" i="1" s="1"/>
  <c r="E68" i="1" a="1"/>
  <c r="E68" i="1" s="1"/>
  <c r="D68" i="1" a="1"/>
  <c r="D68" i="1" s="1"/>
  <c r="C68" i="1" a="1"/>
  <c r="C68" i="1" s="1"/>
  <c r="B68" i="1" a="1"/>
  <c r="B68" i="1" s="1"/>
  <c r="N67" i="1" a="1"/>
  <c r="N67" i="1" s="1"/>
  <c r="M67" i="1" a="1"/>
  <c r="M67" i="1" s="1"/>
  <c r="L67" i="1" a="1"/>
  <c r="L67" i="1" s="1"/>
  <c r="K67" i="1" a="1"/>
  <c r="K67" i="1" s="1"/>
  <c r="J67" i="1" a="1"/>
  <c r="J67" i="1" s="1"/>
  <c r="I67" i="1" a="1"/>
  <c r="I67" i="1" s="1"/>
  <c r="H67" i="1" a="1"/>
  <c r="H67" i="1" s="1"/>
  <c r="G67" i="1" a="1"/>
  <c r="G67" i="1" s="1"/>
  <c r="F67" i="1" a="1"/>
  <c r="F67" i="1" s="1"/>
  <c r="E67" i="1" a="1"/>
  <c r="E67" i="1" s="1"/>
  <c r="D67" i="1" a="1"/>
  <c r="D67" i="1" s="1"/>
  <c r="C67" i="1" a="1"/>
  <c r="C67" i="1" s="1"/>
  <c r="B67" i="1" a="1"/>
  <c r="B67" i="1" s="1"/>
  <c r="N66" i="1" a="1"/>
  <c r="N66" i="1" s="1"/>
  <c r="M66" i="1" a="1"/>
  <c r="M66" i="1" s="1"/>
  <c r="L66" i="1" a="1"/>
  <c r="L66" i="1" s="1"/>
  <c r="K66" i="1" a="1"/>
  <c r="K66" i="1" s="1"/>
  <c r="J66" i="1" a="1"/>
  <c r="J66" i="1" s="1"/>
  <c r="I66" i="1" a="1"/>
  <c r="I66" i="1" s="1"/>
  <c r="H66" i="1" a="1"/>
  <c r="H66" i="1" s="1"/>
  <c r="G66" i="1" a="1"/>
  <c r="G66" i="1" s="1"/>
  <c r="F66" i="1" a="1"/>
  <c r="F66" i="1" s="1"/>
  <c r="E66" i="1" a="1"/>
  <c r="E66" i="1" s="1"/>
  <c r="D66" i="1" a="1"/>
  <c r="D66" i="1" s="1"/>
  <c r="C66" i="1" a="1"/>
  <c r="C66" i="1" s="1"/>
  <c r="B66" i="1" a="1"/>
  <c r="B66" i="1" s="1"/>
  <c r="N65" i="1" a="1"/>
  <c r="N65" i="1" s="1"/>
  <c r="M65" i="1" a="1"/>
  <c r="M65" i="1" s="1"/>
  <c r="L65" i="1" a="1"/>
  <c r="L65" i="1" s="1"/>
  <c r="K65" i="1" a="1"/>
  <c r="K65" i="1" s="1"/>
  <c r="J65" i="1" a="1"/>
  <c r="J65" i="1" s="1"/>
  <c r="I65" i="1" a="1"/>
  <c r="I65" i="1" s="1"/>
  <c r="H65" i="1" a="1"/>
  <c r="H65" i="1" s="1"/>
  <c r="G65" i="1" a="1"/>
  <c r="G65" i="1" s="1"/>
  <c r="F65" i="1" a="1"/>
  <c r="F65" i="1" s="1"/>
  <c r="E65" i="1" a="1"/>
  <c r="E65" i="1" s="1"/>
  <c r="D65" i="1" a="1"/>
  <c r="D65" i="1" s="1"/>
  <c r="C65" i="1" a="1"/>
  <c r="C65" i="1" s="1"/>
  <c r="B65" i="1" a="1"/>
  <c r="B65" i="1" s="1"/>
  <c r="N64" i="1" a="1"/>
  <c r="N64" i="1" s="1"/>
  <c r="M64" i="1" a="1"/>
  <c r="M64" i="1" s="1"/>
  <c r="L64" i="1" a="1"/>
  <c r="L64" i="1" s="1"/>
  <c r="K64" i="1" a="1"/>
  <c r="K64" i="1" s="1"/>
  <c r="J64" i="1" a="1"/>
  <c r="J64" i="1" s="1"/>
  <c r="I64" i="1" a="1"/>
  <c r="I64" i="1" s="1"/>
  <c r="H64" i="1" a="1"/>
  <c r="H64" i="1" s="1"/>
  <c r="G64" i="1" a="1"/>
  <c r="G64" i="1" s="1"/>
  <c r="F64" i="1" a="1"/>
  <c r="F64" i="1" s="1"/>
  <c r="E64" i="1" a="1"/>
  <c r="E64" i="1" s="1"/>
  <c r="D64" i="1" a="1"/>
  <c r="D64" i="1" s="1"/>
  <c r="C64" i="1" a="1"/>
  <c r="C64" i="1" s="1"/>
  <c r="B64" i="1" a="1"/>
  <c r="B64" i="1" s="1"/>
  <c r="N63" i="1" a="1"/>
  <c r="N63" i="1" s="1"/>
  <c r="M63" i="1" a="1"/>
  <c r="M63" i="1" s="1"/>
  <c r="L63" i="1" a="1"/>
  <c r="L63" i="1" s="1"/>
  <c r="K63" i="1" a="1"/>
  <c r="K63" i="1" s="1"/>
  <c r="J63" i="1" a="1"/>
  <c r="J63" i="1" s="1"/>
  <c r="I63" i="1" a="1"/>
  <c r="I63" i="1" s="1"/>
  <c r="H63" i="1" a="1"/>
  <c r="H63" i="1" s="1"/>
  <c r="G63" i="1" a="1"/>
  <c r="G63" i="1" s="1"/>
  <c r="F63" i="1" a="1"/>
  <c r="F63" i="1" s="1"/>
  <c r="E63" i="1" a="1"/>
  <c r="E63" i="1" s="1"/>
  <c r="D63" i="1" a="1"/>
  <c r="D63" i="1" s="1"/>
  <c r="C63" i="1" a="1"/>
  <c r="C63" i="1" s="1"/>
  <c r="B63" i="1" a="1"/>
  <c r="B63" i="1" s="1"/>
  <c r="N62" i="1" a="1"/>
  <c r="N62" i="1" s="1"/>
  <c r="M62" i="1" a="1"/>
  <c r="M62" i="1" s="1"/>
  <c r="L62" i="1" a="1"/>
  <c r="L62" i="1" s="1"/>
  <c r="K62" i="1" a="1"/>
  <c r="K62" i="1" s="1"/>
  <c r="J62" i="1" a="1"/>
  <c r="J62" i="1" s="1"/>
  <c r="I62" i="1" a="1"/>
  <c r="I62" i="1" s="1"/>
  <c r="H62" i="1" a="1"/>
  <c r="H62" i="1" s="1"/>
  <c r="G62" i="1" a="1"/>
  <c r="G62" i="1" s="1"/>
  <c r="F62" i="1" a="1"/>
  <c r="F62" i="1" s="1"/>
  <c r="E62" i="1" a="1"/>
  <c r="E62" i="1" s="1"/>
  <c r="D62" i="1" a="1"/>
  <c r="D62" i="1" s="1"/>
  <c r="C62" i="1" a="1"/>
  <c r="C62" i="1" s="1"/>
  <c r="B62" i="1" a="1"/>
  <c r="B62" i="1" s="1"/>
  <c r="N61" i="1" a="1"/>
  <c r="N61" i="1" s="1"/>
  <c r="M61" i="1" a="1"/>
  <c r="M61" i="1" s="1"/>
  <c r="L61" i="1" a="1"/>
  <c r="L61" i="1" s="1"/>
  <c r="K61" i="1" a="1"/>
  <c r="K61" i="1" s="1"/>
  <c r="J61" i="1" a="1"/>
  <c r="J61" i="1" s="1"/>
  <c r="I61" i="1" a="1"/>
  <c r="I61" i="1" s="1"/>
  <c r="H61" i="1" a="1"/>
  <c r="H61" i="1" s="1"/>
  <c r="G61" i="1" a="1"/>
  <c r="G61" i="1" s="1"/>
  <c r="F61" i="1" a="1"/>
  <c r="F61" i="1" s="1"/>
  <c r="E61" i="1" a="1"/>
  <c r="E61" i="1" s="1"/>
  <c r="D61" i="1" a="1"/>
  <c r="D61" i="1" s="1"/>
  <c r="C61" i="1" a="1"/>
  <c r="C61" i="1" s="1"/>
  <c r="B61" i="1" a="1"/>
  <c r="B61" i="1" s="1"/>
  <c r="N60" i="1" a="1"/>
  <c r="N60" i="1" s="1"/>
  <c r="M60" i="1" a="1"/>
  <c r="M60" i="1" s="1"/>
  <c r="L60" i="1" a="1"/>
  <c r="L60" i="1" s="1"/>
  <c r="K60" i="1" a="1"/>
  <c r="K60" i="1" s="1"/>
  <c r="J60" i="1" a="1"/>
  <c r="J60" i="1" s="1"/>
  <c r="I60" i="1" a="1"/>
  <c r="I60" i="1" s="1"/>
  <c r="H60" i="1" a="1"/>
  <c r="H60" i="1" s="1"/>
  <c r="G60" i="1" a="1"/>
  <c r="G60" i="1" s="1"/>
  <c r="F60" i="1" a="1"/>
  <c r="F60" i="1" s="1"/>
  <c r="E60" i="1" a="1"/>
  <c r="E60" i="1" s="1"/>
  <c r="D60" i="1" a="1"/>
  <c r="D60" i="1" s="1"/>
  <c r="C60" i="1" a="1"/>
  <c r="C60" i="1" s="1"/>
  <c r="B60" i="1" a="1"/>
  <c r="B60" i="1" s="1"/>
  <c r="N59" i="1" a="1"/>
  <c r="N59" i="1" s="1"/>
  <c r="M59" i="1" a="1"/>
  <c r="M59" i="1" s="1"/>
  <c r="L59" i="1" a="1"/>
  <c r="L59" i="1" s="1"/>
  <c r="K59" i="1" a="1"/>
  <c r="K59" i="1" s="1"/>
  <c r="J59" i="1" a="1"/>
  <c r="J59" i="1" s="1"/>
  <c r="I59" i="1" a="1"/>
  <c r="I59" i="1" s="1"/>
  <c r="H59" i="1" a="1"/>
  <c r="H59" i="1" s="1"/>
  <c r="G59" i="1" a="1"/>
  <c r="G59" i="1" s="1"/>
  <c r="F59" i="1" a="1"/>
  <c r="F59" i="1" s="1"/>
  <c r="E59" i="1" a="1"/>
  <c r="E59" i="1" s="1"/>
  <c r="D59" i="1" a="1"/>
  <c r="D59" i="1" s="1"/>
  <c r="C59" i="1" a="1"/>
  <c r="C59" i="1" s="1"/>
  <c r="B59" i="1" a="1"/>
  <c r="B59" i="1" s="1"/>
  <c r="N58" i="1" a="1"/>
  <c r="N58" i="1" s="1"/>
  <c r="M58" i="1" a="1"/>
  <c r="M58" i="1" s="1"/>
  <c r="L58" i="1" a="1"/>
  <c r="L58" i="1" s="1"/>
  <c r="K58" i="1" a="1"/>
  <c r="K58" i="1" s="1"/>
  <c r="J58" i="1" a="1"/>
  <c r="J58" i="1" s="1"/>
  <c r="I58" i="1" a="1"/>
  <c r="I58" i="1" s="1"/>
  <c r="H58" i="1" a="1"/>
  <c r="H58" i="1" s="1"/>
  <c r="G58" i="1" a="1"/>
  <c r="G58" i="1" s="1"/>
  <c r="F58" i="1" a="1"/>
  <c r="F58" i="1" s="1"/>
  <c r="E58" i="1" a="1"/>
  <c r="E58" i="1" s="1"/>
  <c r="D58" i="1" a="1"/>
  <c r="D58" i="1" s="1"/>
  <c r="C58" i="1" a="1"/>
  <c r="C58" i="1" s="1"/>
  <c r="B58" i="1" a="1"/>
  <c r="B58" i="1" s="1"/>
  <c r="N57" i="1" a="1"/>
  <c r="N57" i="1" s="1"/>
  <c r="M57" i="1" a="1"/>
  <c r="M57" i="1" s="1"/>
  <c r="L57" i="1" a="1"/>
  <c r="L57" i="1" s="1"/>
  <c r="K57" i="1" a="1"/>
  <c r="K57" i="1" s="1"/>
  <c r="J57" i="1" a="1"/>
  <c r="J57" i="1" s="1"/>
  <c r="I57" i="1" a="1"/>
  <c r="I57" i="1" s="1"/>
  <c r="H57" i="1" a="1"/>
  <c r="H57" i="1" s="1"/>
  <c r="G57" i="1" a="1"/>
  <c r="G57" i="1" s="1"/>
  <c r="F57" i="1" a="1"/>
  <c r="F57" i="1" s="1"/>
  <c r="E57" i="1" a="1"/>
  <c r="E57" i="1" s="1"/>
  <c r="D57" i="1" a="1"/>
  <c r="D57" i="1" s="1"/>
  <c r="C57" i="1" a="1"/>
  <c r="C57" i="1" s="1"/>
  <c r="B57" i="1" a="1"/>
  <c r="B57" i="1" s="1"/>
  <c r="N56" i="1" a="1"/>
  <c r="N56" i="1" s="1"/>
  <c r="M56" i="1" a="1"/>
  <c r="M56" i="1" s="1"/>
  <c r="L56" i="1" a="1"/>
  <c r="L56" i="1" s="1"/>
  <c r="K56" i="1" a="1"/>
  <c r="K56" i="1" s="1"/>
  <c r="J56" i="1" a="1"/>
  <c r="J56" i="1" s="1"/>
  <c r="I56" i="1" a="1"/>
  <c r="I56" i="1" s="1"/>
  <c r="H56" i="1" a="1"/>
  <c r="H56" i="1" s="1"/>
  <c r="G56" i="1" a="1"/>
  <c r="G56" i="1" s="1"/>
  <c r="F56" i="1" a="1"/>
  <c r="F56" i="1" s="1"/>
  <c r="E56" i="1" a="1"/>
  <c r="E56" i="1" s="1"/>
  <c r="D56" i="1" a="1"/>
  <c r="D56" i="1" s="1"/>
  <c r="C56" i="1" a="1"/>
  <c r="C56" i="1" s="1"/>
  <c r="B56" i="1" a="1"/>
  <c r="B56" i="1" s="1"/>
  <c r="N55" i="1" a="1"/>
  <c r="N55" i="1" s="1"/>
  <c r="M55" i="1" a="1"/>
  <c r="M55" i="1" s="1"/>
  <c r="L55" i="1" a="1"/>
  <c r="L55" i="1" s="1"/>
  <c r="K55" i="1" a="1"/>
  <c r="K55" i="1" s="1"/>
  <c r="J55" i="1" a="1"/>
  <c r="J55" i="1" s="1"/>
  <c r="I55" i="1" a="1"/>
  <c r="I55" i="1" s="1"/>
  <c r="H55" i="1" a="1"/>
  <c r="H55" i="1" s="1"/>
  <c r="G55" i="1" a="1"/>
  <c r="G55" i="1" s="1"/>
  <c r="F55" i="1" a="1"/>
  <c r="F55" i="1" s="1"/>
  <c r="E55" i="1" a="1"/>
  <c r="E55" i="1" s="1"/>
  <c r="D55" i="1" a="1"/>
  <c r="D55" i="1" s="1"/>
  <c r="C55" i="1" a="1"/>
  <c r="C55" i="1" s="1"/>
  <c r="B55" i="1" a="1"/>
  <c r="B55" i="1" s="1"/>
  <c r="N54" i="1" a="1"/>
  <c r="N54" i="1" s="1"/>
  <c r="M54" i="1" a="1"/>
  <c r="M54" i="1" s="1"/>
  <c r="L54" i="1" a="1"/>
  <c r="L54" i="1" s="1"/>
  <c r="K54" i="1" a="1"/>
  <c r="K54" i="1" s="1"/>
  <c r="J54" i="1" a="1"/>
  <c r="J54" i="1" s="1"/>
  <c r="I54" i="1" a="1"/>
  <c r="I54" i="1" s="1"/>
  <c r="H54" i="1" a="1"/>
  <c r="H54" i="1" s="1"/>
  <c r="G54" i="1" a="1"/>
  <c r="G54" i="1" s="1"/>
  <c r="F54" i="1" a="1"/>
  <c r="F54" i="1" s="1"/>
  <c r="E54" i="1" a="1"/>
  <c r="E54" i="1" s="1"/>
  <c r="D54" i="1" a="1"/>
  <c r="D54" i="1" s="1"/>
  <c r="C54" i="1" a="1"/>
  <c r="C54" i="1" s="1"/>
  <c r="B54" i="1" a="1"/>
  <c r="B54" i="1" s="1"/>
  <c r="N53" i="1" a="1"/>
  <c r="N53" i="1" s="1"/>
  <c r="M53" i="1" a="1"/>
  <c r="M53" i="1" s="1"/>
  <c r="L53" i="1" a="1"/>
  <c r="L53" i="1" s="1"/>
  <c r="K53" i="1" a="1"/>
  <c r="K53" i="1" s="1"/>
  <c r="J53" i="1" a="1"/>
  <c r="J53" i="1" s="1"/>
  <c r="I53" i="1" a="1"/>
  <c r="I53" i="1" s="1"/>
  <c r="H53" i="1" a="1"/>
  <c r="H53" i="1" s="1"/>
  <c r="G53" i="1" a="1"/>
  <c r="G53" i="1" s="1"/>
  <c r="F53" i="1" a="1"/>
  <c r="F53" i="1" s="1"/>
  <c r="E53" i="1" a="1"/>
  <c r="E53" i="1" s="1"/>
  <c r="D53" i="1" a="1"/>
  <c r="D53" i="1" s="1"/>
  <c r="C53" i="1" a="1"/>
  <c r="C53" i="1" s="1"/>
  <c r="B53" i="1" a="1"/>
  <c r="B53" i="1" s="1"/>
  <c r="N52" i="1" a="1"/>
  <c r="N52" i="1" s="1"/>
  <c r="M52" i="1" a="1"/>
  <c r="M52" i="1" s="1"/>
  <c r="L52" i="1" a="1"/>
  <c r="L52" i="1" s="1"/>
  <c r="K52" i="1" a="1"/>
  <c r="K52" i="1" s="1"/>
  <c r="J52" i="1" a="1"/>
  <c r="J52" i="1" s="1"/>
  <c r="I52" i="1" a="1"/>
  <c r="I52" i="1" s="1"/>
  <c r="H52" i="1" a="1"/>
  <c r="H52" i="1" s="1"/>
  <c r="G52" i="1" a="1"/>
  <c r="G52" i="1" s="1"/>
  <c r="F52" i="1" a="1"/>
  <c r="F52" i="1" s="1"/>
  <c r="E52" i="1" a="1"/>
  <c r="E52" i="1" s="1"/>
  <c r="D52" i="1" a="1"/>
  <c r="D52" i="1" s="1"/>
  <c r="C52" i="1" a="1"/>
  <c r="C52" i="1" s="1"/>
  <c r="B52" i="1" a="1"/>
  <c r="B52" i="1" s="1"/>
  <c r="N51" i="1" a="1"/>
  <c r="N51" i="1" s="1"/>
  <c r="M51" i="1" a="1"/>
  <c r="M51" i="1" s="1"/>
  <c r="L51" i="1" a="1"/>
  <c r="L51" i="1" s="1"/>
  <c r="K51" i="1" a="1"/>
  <c r="K51" i="1" s="1"/>
  <c r="J51" i="1" a="1"/>
  <c r="J51" i="1" s="1"/>
  <c r="I51" i="1" a="1"/>
  <c r="I51" i="1" s="1"/>
  <c r="H51" i="1" a="1"/>
  <c r="H51" i="1" s="1"/>
  <c r="G51" i="1" a="1"/>
  <c r="G51" i="1" s="1"/>
  <c r="F51" i="1" a="1"/>
  <c r="F51" i="1" s="1"/>
  <c r="E51" i="1" a="1"/>
  <c r="E51" i="1" s="1"/>
  <c r="D51" i="1" a="1"/>
  <c r="D51" i="1" s="1"/>
  <c r="C51" i="1" a="1"/>
  <c r="C51" i="1" s="1"/>
  <c r="B51" i="1" a="1"/>
  <c r="B51" i="1" s="1"/>
  <c r="N50" i="1" a="1"/>
  <c r="N50" i="1" s="1"/>
  <c r="M50" i="1" a="1"/>
  <c r="M50" i="1" s="1"/>
  <c r="L50" i="1" a="1"/>
  <c r="L50" i="1" s="1"/>
  <c r="K50" i="1" a="1"/>
  <c r="K50" i="1" s="1"/>
  <c r="J50" i="1" a="1"/>
  <c r="J50" i="1" s="1"/>
  <c r="I50" i="1" a="1"/>
  <c r="I50" i="1" s="1"/>
  <c r="H50" i="1" a="1"/>
  <c r="H50" i="1" s="1"/>
  <c r="G50" i="1" a="1"/>
  <c r="G50" i="1" s="1"/>
  <c r="F50" i="1" a="1"/>
  <c r="F50" i="1" s="1"/>
  <c r="E50" i="1" a="1"/>
  <c r="E50" i="1" s="1"/>
  <c r="D50" i="1" a="1"/>
  <c r="D50" i="1" s="1"/>
  <c r="C50" i="1" a="1"/>
  <c r="C50" i="1" s="1"/>
  <c r="B50" i="1" a="1"/>
  <c r="B50" i="1" s="1"/>
  <c r="N49" i="1" a="1"/>
  <c r="N49" i="1" s="1"/>
  <c r="M49" i="1" a="1"/>
  <c r="M49" i="1" s="1"/>
  <c r="L49" i="1" a="1"/>
  <c r="L49" i="1" s="1"/>
  <c r="K49" i="1" a="1"/>
  <c r="K49" i="1" s="1"/>
  <c r="J49" i="1" a="1"/>
  <c r="J49" i="1" s="1"/>
  <c r="I49" i="1" a="1"/>
  <c r="I49" i="1" s="1"/>
  <c r="H49" i="1" a="1"/>
  <c r="H49" i="1" s="1"/>
  <c r="G49" i="1" a="1"/>
  <c r="G49" i="1" s="1"/>
  <c r="F49" i="1" a="1"/>
  <c r="F49" i="1" s="1"/>
  <c r="E49" i="1" a="1"/>
  <c r="E49" i="1" s="1"/>
  <c r="D49" i="1" a="1"/>
  <c r="D49" i="1" s="1"/>
  <c r="C49" i="1" a="1"/>
  <c r="C49" i="1" s="1"/>
  <c r="B49" i="1" a="1"/>
  <c r="B49" i="1" s="1"/>
  <c r="N48" i="1" a="1"/>
  <c r="N48" i="1" s="1"/>
  <c r="M48" i="1" a="1"/>
  <c r="M48" i="1" s="1"/>
  <c r="L48" i="1" a="1"/>
  <c r="L48" i="1" s="1"/>
  <c r="K48" i="1" a="1"/>
  <c r="K48" i="1" s="1"/>
  <c r="J48" i="1" a="1"/>
  <c r="J48" i="1" s="1"/>
  <c r="I48" i="1" a="1"/>
  <c r="I48" i="1" s="1"/>
  <c r="H48" i="1" a="1"/>
  <c r="H48" i="1" s="1"/>
  <c r="G48" i="1" a="1"/>
  <c r="G48" i="1" s="1"/>
  <c r="F48" i="1" a="1"/>
  <c r="F48" i="1" s="1"/>
  <c r="E48" i="1" a="1"/>
  <c r="E48" i="1" s="1"/>
  <c r="D48" i="1" a="1"/>
  <c r="D48" i="1" s="1"/>
  <c r="C48" i="1" a="1"/>
  <c r="C48" i="1" s="1"/>
  <c r="B48" i="1" a="1"/>
  <c r="B48" i="1" s="1"/>
  <c r="N47" i="1" a="1"/>
  <c r="N47" i="1" s="1"/>
  <c r="M47" i="1" a="1"/>
  <c r="M47" i="1" s="1"/>
  <c r="L47" i="1" a="1"/>
  <c r="L47" i="1" s="1"/>
  <c r="K47" i="1" a="1"/>
  <c r="K47" i="1" s="1"/>
  <c r="J47" i="1" a="1"/>
  <c r="J47" i="1" s="1"/>
  <c r="I47" i="1" a="1"/>
  <c r="I47" i="1" s="1"/>
  <c r="H47" i="1" a="1"/>
  <c r="H47" i="1" s="1"/>
  <c r="G47" i="1" a="1"/>
  <c r="G47" i="1" s="1"/>
  <c r="F47" i="1" a="1"/>
  <c r="F47" i="1" s="1"/>
  <c r="E47" i="1" a="1"/>
  <c r="E47" i="1" s="1"/>
  <c r="D47" i="1" a="1"/>
  <c r="D47" i="1" s="1"/>
  <c r="C47" i="1" a="1"/>
  <c r="C47" i="1" s="1"/>
  <c r="B47" i="1" a="1"/>
  <c r="B47" i="1" s="1"/>
  <c r="N46" i="1" a="1"/>
  <c r="N46" i="1" s="1"/>
  <c r="M46" i="1" a="1"/>
  <c r="M46" i="1" s="1"/>
  <c r="L46" i="1" a="1"/>
  <c r="L46" i="1" s="1"/>
  <c r="K46" i="1" a="1"/>
  <c r="K46" i="1" s="1"/>
  <c r="J46" i="1" a="1"/>
  <c r="J46" i="1" s="1"/>
  <c r="I46" i="1" a="1"/>
  <c r="I46" i="1" s="1"/>
  <c r="H46" i="1" a="1"/>
  <c r="H46" i="1" s="1"/>
  <c r="G46" i="1" a="1"/>
  <c r="G46" i="1" s="1"/>
  <c r="F46" i="1" a="1"/>
  <c r="F46" i="1" s="1"/>
  <c r="E46" i="1" a="1"/>
  <c r="E46" i="1" s="1"/>
  <c r="D46" i="1" a="1"/>
  <c r="D46" i="1" s="1"/>
  <c r="C46" i="1" a="1"/>
  <c r="C46" i="1" s="1"/>
  <c r="B46" i="1" a="1"/>
  <c r="B46" i="1" s="1"/>
  <c r="N45" i="1" a="1"/>
  <c r="N45" i="1" s="1"/>
  <c r="M45" i="1" a="1"/>
  <c r="M45" i="1" s="1"/>
  <c r="L45" i="1" a="1"/>
  <c r="L45" i="1" s="1"/>
  <c r="K45" i="1" a="1"/>
  <c r="K45" i="1" s="1"/>
  <c r="J45" i="1" a="1"/>
  <c r="J45" i="1" s="1"/>
  <c r="I45" i="1" a="1"/>
  <c r="I45" i="1" s="1"/>
  <c r="H45" i="1" a="1"/>
  <c r="H45" i="1" s="1"/>
  <c r="G45" i="1" a="1"/>
  <c r="G45" i="1" s="1"/>
  <c r="F45" i="1" a="1"/>
  <c r="F45" i="1" s="1"/>
  <c r="E45" i="1" a="1"/>
  <c r="E45" i="1" s="1"/>
  <c r="D45" i="1" a="1"/>
  <c r="D45" i="1" s="1"/>
  <c r="C45" i="1" a="1"/>
  <c r="C45" i="1" s="1"/>
  <c r="B45" i="1" a="1"/>
  <c r="B45" i="1" s="1"/>
  <c r="N44" i="1" a="1"/>
  <c r="N44" i="1" s="1"/>
  <c r="M44" i="1" a="1"/>
  <c r="M44" i="1" s="1"/>
  <c r="L44" i="1" a="1"/>
  <c r="L44" i="1" s="1"/>
  <c r="K44" i="1" a="1"/>
  <c r="K44" i="1" s="1"/>
  <c r="J44" i="1" a="1"/>
  <c r="J44" i="1" s="1"/>
  <c r="I44" i="1" a="1"/>
  <c r="I44" i="1" s="1"/>
  <c r="H44" i="1" a="1"/>
  <c r="H44" i="1" s="1"/>
  <c r="G44" i="1" a="1"/>
  <c r="G44" i="1" s="1"/>
  <c r="F44" i="1" a="1"/>
  <c r="F44" i="1" s="1"/>
  <c r="E44" i="1" a="1"/>
  <c r="E44" i="1" s="1"/>
  <c r="D44" i="1" a="1"/>
  <c r="D44" i="1" s="1"/>
  <c r="C44" i="1" a="1"/>
  <c r="C44" i="1" s="1"/>
  <c r="B44" i="1" a="1"/>
  <c r="B44" i="1" s="1"/>
  <c r="N43" i="1" a="1"/>
  <c r="N43" i="1" s="1"/>
  <c r="M43" i="1" a="1"/>
  <c r="M43" i="1" s="1"/>
  <c r="L43" i="1" a="1"/>
  <c r="L43" i="1" s="1"/>
  <c r="K43" i="1" a="1"/>
  <c r="K43" i="1" s="1"/>
  <c r="J43" i="1" a="1"/>
  <c r="J43" i="1" s="1"/>
  <c r="I43" i="1" a="1"/>
  <c r="I43" i="1" s="1"/>
  <c r="H43" i="1" a="1"/>
  <c r="H43" i="1" s="1"/>
  <c r="G43" i="1" a="1"/>
  <c r="G43" i="1" s="1"/>
  <c r="F43" i="1" a="1"/>
  <c r="F43" i="1" s="1"/>
  <c r="E43" i="1" a="1"/>
  <c r="E43" i="1" s="1"/>
  <c r="D43" i="1" a="1"/>
  <c r="D43" i="1" s="1"/>
  <c r="C43" i="1" a="1"/>
  <c r="C43" i="1" s="1"/>
  <c r="B43" i="1" a="1"/>
  <c r="B43" i="1" s="1"/>
  <c r="N42" i="1" a="1"/>
  <c r="N42" i="1" s="1"/>
  <c r="M42" i="1" a="1"/>
  <c r="M42" i="1" s="1"/>
  <c r="L42" i="1" a="1"/>
  <c r="L42" i="1" s="1"/>
  <c r="K42" i="1" a="1"/>
  <c r="K42" i="1" s="1"/>
  <c r="J42" i="1" a="1"/>
  <c r="J42" i="1" s="1"/>
  <c r="I42" i="1" a="1"/>
  <c r="I42" i="1" s="1"/>
  <c r="H42" i="1" a="1"/>
  <c r="H42" i="1" s="1"/>
  <c r="G42" i="1" a="1"/>
  <c r="G42" i="1" s="1"/>
  <c r="F42" i="1" a="1"/>
  <c r="F42" i="1" s="1"/>
  <c r="E42" i="1" a="1"/>
  <c r="E42" i="1" s="1"/>
  <c r="D42" i="1" a="1"/>
  <c r="D42" i="1" s="1"/>
  <c r="C42" i="1" a="1"/>
  <c r="C42" i="1" s="1"/>
  <c r="B42" i="1" a="1"/>
  <c r="B42" i="1" s="1"/>
  <c r="N41" i="1" a="1"/>
  <c r="N41" i="1" s="1"/>
  <c r="M41" i="1" a="1"/>
  <c r="M41" i="1" s="1"/>
  <c r="L41" i="1" a="1"/>
  <c r="L41" i="1" s="1"/>
  <c r="K41" i="1" a="1"/>
  <c r="K41" i="1" s="1"/>
  <c r="J41" i="1" a="1"/>
  <c r="J41" i="1" s="1"/>
  <c r="I41" i="1" a="1"/>
  <c r="I41" i="1" s="1"/>
  <c r="H41" i="1" a="1"/>
  <c r="H41" i="1" s="1"/>
  <c r="G41" i="1" a="1"/>
  <c r="G41" i="1" s="1"/>
  <c r="F41" i="1" a="1"/>
  <c r="F41" i="1" s="1"/>
  <c r="E41" i="1" a="1"/>
  <c r="E41" i="1" s="1"/>
  <c r="D41" i="1" a="1"/>
  <c r="D41" i="1" s="1"/>
  <c r="C41" i="1" a="1"/>
  <c r="C41" i="1" s="1"/>
  <c r="B41" i="1" a="1"/>
  <c r="B41" i="1" s="1"/>
  <c r="N40" i="1" a="1"/>
  <c r="N40" i="1" s="1"/>
  <c r="M40" i="1" a="1"/>
  <c r="M40" i="1" s="1"/>
  <c r="L40" i="1" a="1"/>
  <c r="L40" i="1" s="1"/>
  <c r="K40" i="1" a="1"/>
  <c r="K40" i="1" s="1"/>
  <c r="J40" i="1" a="1"/>
  <c r="J40" i="1" s="1"/>
  <c r="I40" i="1" a="1"/>
  <c r="I40" i="1" s="1"/>
  <c r="H40" i="1" a="1"/>
  <c r="H40" i="1" s="1"/>
  <c r="G40" i="1" a="1"/>
  <c r="G40" i="1" s="1"/>
  <c r="F40" i="1" a="1"/>
  <c r="F40" i="1" s="1"/>
  <c r="E40" i="1" a="1"/>
  <c r="E40" i="1" s="1"/>
  <c r="D40" i="1" a="1"/>
  <c r="D40" i="1" s="1"/>
  <c r="C40" i="1" a="1"/>
  <c r="C40" i="1" s="1"/>
  <c r="B40" i="1" a="1"/>
  <c r="B40" i="1" s="1"/>
  <c r="N39" i="1" a="1"/>
  <c r="N39" i="1" s="1"/>
  <c r="M39" i="1" a="1"/>
  <c r="M39" i="1" s="1"/>
  <c r="L39" i="1" a="1"/>
  <c r="L39" i="1" s="1"/>
  <c r="K39" i="1" a="1"/>
  <c r="K39" i="1" s="1"/>
  <c r="J39" i="1" a="1"/>
  <c r="J39" i="1" s="1"/>
  <c r="I39" i="1" a="1"/>
  <c r="I39" i="1" s="1"/>
  <c r="H39" i="1" a="1"/>
  <c r="H39" i="1" s="1"/>
  <c r="G39" i="1" a="1"/>
  <c r="G39" i="1" s="1"/>
  <c r="F39" i="1" a="1"/>
  <c r="F39" i="1" s="1"/>
  <c r="E39" i="1" a="1"/>
  <c r="E39" i="1" s="1"/>
  <c r="D39" i="1" a="1"/>
  <c r="D39" i="1" s="1"/>
  <c r="C39" i="1" a="1"/>
  <c r="C39" i="1" s="1"/>
  <c r="B39" i="1" a="1"/>
  <c r="B39" i="1" s="1"/>
  <c r="N38" i="1" a="1"/>
  <c r="N38" i="1" s="1"/>
  <c r="M38" i="1" a="1"/>
  <c r="M38" i="1" s="1"/>
  <c r="L38" i="1" a="1"/>
  <c r="L38" i="1" s="1"/>
  <c r="K38" i="1" a="1"/>
  <c r="K38" i="1" s="1"/>
  <c r="J38" i="1" a="1"/>
  <c r="J38" i="1" s="1"/>
  <c r="I38" i="1" a="1"/>
  <c r="I38" i="1" s="1"/>
  <c r="H38" i="1" a="1"/>
  <c r="H38" i="1" s="1"/>
  <c r="G38" i="1" a="1"/>
  <c r="G38" i="1" s="1"/>
  <c r="F38" i="1" a="1"/>
  <c r="F38" i="1" s="1"/>
  <c r="E38" i="1" a="1"/>
  <c r="E38" i="1" s="1"/>
  <c r="D38" i="1" a="1"/>
  <c r="D38" i="1" s="1"/>
  <c r="C38" i="1" a="1"/>
  <c r="C38" i="1" s="1"/>
  <c r="B38" i="1" a="1"/>
  <c r="B38" i="1" s="1"/>
  <c r="N37" i="1" a="1"/>
  <c r="N37" i="1" s="1"/>
  <c r="M37" i="1" a="1"/>
  <c r="M37" i="1" s="1"/>
  <c r="L37" i="1" a="1"/>
  <c r="L37" i="1" s="1"/>
  <c r="K37" i="1" a="1"/>
  <c r="K37" i="1" s="1"/>
  <c r="J37" i="1" a="1"/>
  <c r="J37" i="1" s="1"/>
  <c r="I37" i="1" a="1"/>
  <c r="I37" i="1" s="1"/>
  <c r="H37" i="1" a="1"/>
  <c r="H37" i="1" s="1"/>
  <c r="G37" i="1" a="1"/>
  <c r="G37" i="1" s="1"/>
  <c r="F37" i="1" a="1"/>
  <c r="F37" i="1" s="1"/>
  <c r="E37" i="1" a="1"/>
  <c r="E37" i="1" s="1"/>
  <c r="D37" i="1" a="1"/>
  <c r="D37" i="1" s="1"/>
  <c r="C37" i="1" a="1"/>
  <c r="C37" i="1" s="1"/>
  <c r="B37" i="1" a="1"/>
  <c r="B37" i="1" s="1"/>
  <c r="N36" i="1" a="1"/>
  <c r="N36" i="1" s="1"/>
  <c r="M36" i="1" a="1"/>
  <c r="M36" i="1" s="1"/>
  <c r="L36" i="1" a="1"/>
  <c r="L36" i="1" s="1"/>
  <c r="K36" i="1" a="1"/>
  <c r="K36" i="1" s="1"/>
  <c r="J36" i="1" a="1"/>
  <c r="J36" i="1" s="1"/>
  <c r="I36" i="1" a="1"/>
  <c r="I36" i="1" s="1"/>
  <c r="H36" i="1" a="1"/>
  <c r="H36" i="1" s="1"/>
  <c r="G36" i="1" a="1"/>
  <c r="G36" i="1" s="1"/>
  <c r="F36" i="1" a="1"/>
  <c r="F36" i="1" s="1"/>
  <c r="E36" i="1" a="1"/>
  <c r="E36" i="1" s="1"/>
  <c r="D36" i="1" a="1"/>
  <c r="D36" i="1" s="1"/>
  <c r="C36" i="1" a="1"/>
  <c r="C36" i="1" s="1"/>
  <c r="B36" i="1" a="1"/>
  <c r="B36" i="1" s="1"/>
  <c r="N35" i="1" a="1"/>
  <c r="N35" i="1" s="1"/>
  <c r="M35" i="1" a="1"/>
  <c r="M35" i="1" s="1"/>
  <c r="L35" i="1" a="1"/>
  <c r="L35" i="1" s="1"/>
  <c r="K35" i="1" a="1"/>
  <c r="K35" i="1" s="1"/>
  <c r="J35" i="1" a="1"/>
  <c r="J35" i="1" s="1"/>
  <c r="I35" i="1" a="1"/>
  <c r="I35" i="1" s="1"/>
  <c r="H35" i="1" a="1"/>
  <c r="H35" i="1" s="1"/>
  <c r="G35" i="1" a="1"/>
  <c r="G35" i="1" s="1"/>
  <c r="F35" i="1" a="1"/>
  <c r="F35" i="1" s="1"/>
  <c r="E35" i="1" a="1"/>
  <c r="E35" i="1" s="1"/>
  <c r="D35" i="1" a="1"/>
  <c r="D35" i="1" s="1"/>
  <c r="C35" i="1" a="1"/>
  <c r="C35" i="1" s="1"/>
  <c r="B35" i="1" a="1"/>
  <c r="B35" i="1" s="1"/>
  <c r="N34" i="1" a="1"/>
  <c r="N34" i="1" s="1"/>
  <c r="M34" i="1" a="1"/>
  <c r="M34" i="1" s="1"/>
  <c r="L34" i="1" a="1"/>
  <c r="L34" i="1" s="1"/>
  <c r="K34" i="1" a="1"/>
  <c r="K34" i="1" s="1"/>
  <c r="J34" i="1" a="1"/>
  <c r="J34" i="1" s="1"/>
  <c r="I34" i="1" a="1"/>
  <c r="I34" i="1" s="1"/>
  <c r="H34" i="1" a="1"/>
  <c r="H34" i="1" s="1"/>
  <c r="G34" i="1" a="1"/>
  <c r="G34" i="1" s="1"/>
  <c r="F34" i="1" a="1"/>
  <c r="F34" i="1" s="1"/>
  <c r="E34" i="1" a="1"/>
  <c r="E34" i="1" s="1"/>
  <c r="D34" i="1" a="1"/>
  <c r="D34" i="1" s="1"/>
  <c r="C34" i="1" a="1"/>
  <c r="C34" i="1" s="1"/>
  <c r="B34" i="1" a="1"/>
  <c r="B34" i="1" s="1"/>
  <c r="N33" i="1" a="1"/>
  <c r="N33" i="1" s="1"/>
  <c r="M33" i="1" a="1"/>
  <c r="M33" i="1" s="1"/>
  <c r="L33" i="1" a="1"/>
  <c r="L33" i="1" s="1"/>
  <c r="K33" i="1" a="1"/>
  <c r="K33" i="1" s="1"/>
  <c r="J33" i="1" a="1"/>
  <c r="J33" i="1" s="1"/>
  <c r="I33" i="1" a="1"/>
  <c r="I33" i="1" s="1"/>
  <c r="H33" i="1" a="1"/>
  <c r="H33" i="1" s="1"/>
  <c r="G33" i="1" a="1"/>
  <c r="G33" i="1" s="1"/>
  <c r="F33" i="1" a="1"/>
  <c r="F33" i="1" s="1"/>
  <c r="E33" i="1" a="1"/>
  <c r="E33" i="1" s="1"/>
  <c r="D33" i="1" a="1"/>
  <c r="D33" i="1" s="1"/>
  <c r="C33" i="1" a="1"/>
  <c r="C33" i="1" s="1"/>
  <c r="B33" i="1" a="1"/>
  <c r="B33" i="1" s="1"/>
  <c r="N32" i="1" a="1"/>
  <c r="N32" i="1" s="1"/>
  <c r="M32" i="1" a="1"/>
  <c r="M32" i="1" s="1"/>
  <c r="L32" i="1" a="1"/>
  <c r="L32" i="1" s="1"/>
  <c r="K32" i="1" a="1"/>
  <c r="K32" i="1" s="1"/>
  <c r="J32" i="1" a="1"/>
  <c r="J32" i="1" s="1"/>
  <c r="I32" i="1" a="1"/>
  <c r="I32" i="1" s="1"/>
  <c r="H32" i="1" a="1"/>
  <c r="H32" i="1" s="1"/>
  <c r="G32" i="1" a="1"/>
  <c r="G32" i="1" s="1"/>
  <c r="F32" i="1" a="1"/>
  <c r="F32" i="1" s="1"/>
  <c r="E32" i="1" a="1"/>
  <c r="E32" i="1" s="1"/>
  <c r="D32" i="1" a="1"/>
  <c r="D32" i="1" s="1"/>
  <c r="C32" i="1" a="1"/>
  <c r="C32" i="1" s="1"/>
  <c r="B32" i="1" a="1"/>
  <c r="B32" i="1" s="1"/>
  <c r="N31" i="1" a="1"/>
  <c r="N31" i="1" s="1"/>
  <c r="M31" i="1" a="1"/>
  <c r="M31" i="1" s="1"/>
  <c r="L31" i="1" a="1"/>
  <c r="L31" i="1" s="1"/>
  <c r="K31" i="1" a="1"/>
  <c r="K31" i="1" s="1"/>
  <c r="J31" i="1" a="1"/>
  <c r="J31" i="1" s="1"/>
  <c r="I31" i="1" a="1"/>
  <c r="I31" i="1" s="1"/>
  <c r="H31" i="1" a="1"/>
  <c r="H31" i="1" s="1"/>
  <c r="G31" i="1" a="1"/>
  <c r="G31" i="1" s="1"/>
  <c r="F31" i="1" a="1"/>
  <c r="F31" i="1" s="1"/>
  <c r="E31" i="1" a="1"/>
  <c r="E31" i="1" s="1"/>
  <c r="D31" i="1" a="1"/>
  <c r="D31" i="1" s="1"/>
  <c r="C31" i="1" a="1"/>
  <c r="C31" i="1" s="1"/>
  <c r="B31" i="1" a="1"/>
  <c r="B31" i="1" s="1"/>
  <c r="N30" i="1" a="1"/>
  <c r="N30" i="1" s="1"/>
  <c r="M30" i="1" a="1"/>
  <c r="M30" i="1" s="1"/>
  <c r="L30" i="1" a="1"/>
  <c r="L30" i="1" s="1"/>
  <c r="K30" i="1" a="1"/>
  <c r="K30" i="1" s="1"/>
  <c r="J30" i="1" a="1"/>
  <c r="J30" i="1" s="1"/>
  <c r="I30" i="1" a="1"/>
  <c r="I30" i="1" s="1"/>
  <c r="H30" i="1" a="1"/>
  <c r="H30" i="1" s="1"/>
  <c r="G30" i="1" a="1"/>
  <c r="G30" i="1" s="1"/>
  <c r="F30" i="1" a="1"/>
  <c r="F30" i="1" s="1"/>
  <c r="E30" i="1" a="1"/>
  <c r="E30" i="1" s="1"/>
  <c r="D30" i="1" a="1"/>
  <c r="D30" i="1" s="1"/>
  <c r="C30" i="1" a="1"/>
  <c r="C30" i="1" s="1"/>
  <c r="B30" i="1" a="1"/>
  <c r="B30" i="1" s="1"/>
  <c r="N29" i="1" a="1"/>
  <c r="N29" i="1" s="1"/>
  <c r="M29" i="1" a="1"/>
  <c r="M29" i="1" s="1"/>
  <c r="L29" i="1" a="1"/>
  <c r="L29" i="1" s="1"/>
  <c r="K29" i="1" a="1"/>
  <c r="K29" i="1" s="1"/>
  <c r="J29" i="1" a="1"/>
  <c r="J29" i="1" s="1"/>
  <c r="I29" i="1" a="1"/>
  <c r="I29" i="1" s="1"/>
  <c r="H29" i="1" a="1"/>
  <c r="H29" i="1" s="1"/>
  <c r="G29" i="1" a="1"/>
  <c r="G29" i="1" s="1"/>
  <c r="F29" i="1" a="1"/>
  <c r="F29" i="1" s="1"/>
  <c r="E29" i="1" a="1"/>
  <c r="E29" i="1" s="1"/>
  <c r="D29" i="1" a="1"/>
  <c r="D29" i="1" s="1"/>
  <c r="C29" i="1" a="1"/>
  <c r="C29" i="1" s="1"/>
  <c r="B29" i="1" a="1"/>
  <c r="B29" i="1" s="1"/>
  <c r="N28" i="1" a="1"/>
  <c r="N28" i="1" s="1"/>
  <c r="M28" i="1" a="1"/>
  <c r="M28" i="1" s="1"/>
  <c r="L28" i="1" a="1"/>
  <c r="L28" i="1" s="1"/>
  <c r="K28" i="1" a="1"/>
  <c r="K28" i="1" s="1"/>
  <c r="J28" i="1" a="1"/>
  <c r="J28" i="1" s="1"/>
  <c r="I28" i="1" a="1"/>
  <c r="I28" i="1" s="1"/>
  <c r="H28" i="1" a="1"/>
  <c r="H28" i="1" s="1"/>
  <c r="G28" i="1" a="1"/>
  <c r="G28" i="1" s="1"/>
  <c r="F28" i="1" a="1"/>
  <c r="F28" i="1" s="1"/>
  <c r="E28" i="1" a="1"/>
  <c r="E28" i="1" s="1"/>
  <c r="D28" i="1" a="1"/>
  <c r="D28" i="1" s="1"/>
  <c r="C28" i="1" a="1"/>
  <c r="C28" i="1" s="1"/>
  <c r="B28" i="1" a="1"/>
  <c r="B28" i="1" s="1"/>
  <c r="N27" i="1" a="1"/>
  <c r="N27" i="1" s="1"/>
  <c r="M27" i="1" a="1"/>
  <c r="M27" i="1" s="1"/>
  <c r="L27" i="1" a="1"/>
  <c r="L27" i="1" s="1"/>
  <c r="K27" i="1" a="1"/>
  <c r="K27" i="1" s="1"/>
  <c r="J27" i="1" a="1"/>
  <c r="J27" i="1" s="1"/>
  <c r="I27" i="1" a="1"/>
  <c r="I27" i="1" s="1"/>
  <c r="H27" i="1" a="1"/>
  <c r="H27" i="1" s="1"/>
  <c r="G27" i="1" a="1"/>
  <c r="G27" i="1" s="1"/>
  <c r="F27" i="1" a="1"/>
  <c r="F27" i="1" s="1"/>
  <c r="E27" i="1" a="1"/>
  <c r="E27" i="1" s="1"/>
  <c r="D27" i="1" a="1"/>
  <c r="D27" i="1" s="1"/>
  <c r="C27" i="1" a="1"/>
  <c r="C27" i="1" s="1"/>
  <c r="B27" i="1" a="1"/>
  <c r="B27" i="1" s="1"/>
  <c r="N26" i="1" a="1"/>
  <c r="N26" i="1" s="1"/>
  <c r="M26" i="1" a="1"/>
  <c r="M26" i="1" s="1"/>
  <c r="L26" i="1" a="1"/>
  <c r="L26" i="1" s="1"/>
  <c r="K26" i="1" a="1"/>
  <c r="K26" i="1" s="1"/>
  <c r="J26" i="1" a="1"/>
  <c r="J26" i="1" s="1"/>
  <c r="I26" i="1" a="1"/>
  <c r="I26" i="1" s="1"/>
  <c r="H26" i="1" a="1"/>
  <c r="H26" i="1" s="1"/>
  <c r="G26" i="1" a="1"/>
  <c r="G26" i="1" s="1"/>
  <c r="F26" i="1" a="1"/>
  <c r="F26" i="1" s="1"/>
  <c r="E26" i="1" a="1"/>
  <c r="E26" i="1" s="1"/>
  <c r="D26" i="1" a="1"/>
  <c r="D26" i="1" s="1"/>
  <c r="C26" i="1" a="1"/>
  <c r="C26" i="1" s="1"/>
  <c r="B26" i="1" a="1"/>
  <c r="B26" i="1" s="1"/>
  <c r="N25" i="1" a="1"/>
  <c r="N25" i="1" s="1"/>
  <c r="M25" i="1" a="1"/>
  <c r="M25" i="1" s="1"/>
  <c r="L25" i="1" a="1"/>
  <c r="L25" i="1" s="1"/>
  <c r="K25" i="1" a="1"/>
  <c r="K25" i="1" s="1"/>
  <c r="J25" i="1" a="1"/>
  <c r="J25" i="1" s="1"/>
  <c r="I25" i="1" a="1"/>
  <c r="I25" i="1" s="1"/>
  <c r="H25" i="1" a="1"/>
  <c r="H25" i="1" s="1"/>
  <c r="G25" i="1" a="1"/>
  <c r="G25" i="1" s="1"/>
  <c r="F25" i="1" a="1"/>
  <c r="F25" i="1" s="1"/>
  <c r="E25" i="1" a="1"/>
  <c r="E25" i="1" s="1"/>
  <c r="D25" i="1" a="1"/>
  <c r="D25" i="1" s="1"/>
  <c r="C25" i="1" a="1"/>
  <c r="C25" i="1" s="1"/>
  <c r="B25" i="1" a="1"/>
  <c r="B25" i="1" s="1"/>
  <c r="N24" i="1" a="1"/>
  <c r="N24" i="1" s="1"/>
  <c r="M24" i="1" a="1"/>
  <c r="M24" i="1" s="1"/>
  <c r="L24" i="1" a="1"/>
  <c r="L24" i="1" s="1"/>
  <c r="K24" i="1" a="1"/>
  <c r="K24" i="1" s="1"/>
  <c r="J24" i="1" a="1"/>
  <c r="J24" i="1" s="1"/>
  <c r="I24" i="1" a="1"/>
  <c r="I24" i="1" s="1"/>
  <c r="H24" i="1" a="1"/>
  <c r="H24" i="1" s="1"/>
  <c r="G24" i="1" a="1"/>
  <c r="G24" i="1" s="1"/>
  <c r="F24" i="1" a="1"/>
  <c r="F24" i="1" s="1"/>
  <c r="E24" i="1" a="1"/>
  <c r="E24" i="1" s="1"/>
  <c r="D24" i="1" a="1"/>
  <c r="D24" i="1" s="1"/>
  <c r="C24" i="1" a="1"/>
  <c r="C24" i="1" s="1"/>
  <c r="B24" i="1" a="1"/>
  <c r="B24" i="1" s="1"/>
  <c r="N23" i="1" a="1"/>
  <c r="N23" i="1" s="1"/>
  <c r="M23" i="1" a="1"/>
  <c r="M23" i="1" s="1"/>
  <c r="L23" i="1" a="1"/>
  <c r="L23" i="1" s="1"/>
  <c r="K23" i="1" a="1"/>
  <c r="K23" i="1" s="1"/>
  <c r="J23" i="1" a="1"/>
  <c r="J23" i="1" s="1"/>
  <c r="I23" i="1" a="1"/>
  <c r="I23" i="1" s="1"/>
  <c r="H23" i="1" a="1"/>
  <c r="H23" i="1" s="1"/>
  <c r="G23" i="1" a="1"/>
  <c r="G23" i="1" s="1"/>
  <c r="F23" i="1" a="1"/>
  <c r="F23" i="1" s="1"/>
  <c r="E23" i="1" a="1"/>
  <c r="E23" i="1" s="1"/>
  <c r="D23" i="1" a="1"/>
  <c r="D23" i="1" s="1"/>
  <c r="C23" i="1" a="1"/>
  <c r="C23" i="1" s="1"/>
  <c r="B23" i="1" a="1"/>
  <c r="B23" i="1" s="1"/>
  <c r="N22" i="1" a="1"/>
  <c r="N22" i="1" s="1"/>
  <c r="M22" i="1" a="1"/>
  <c r="M22" i="1" s="1"/>
  <c r="L22" i="1" a="1"/>
  <c r="L22" i="1" s="1"/>
  <c r="K22" i="1" a="1"/>
  <c r="K22" i="1" s="1"/>
  <c r="J22" i="1" a="1"/>
  <c r="J22" i="1" s="1"/>
  <c r="I22" i="1" a="1"/>
  <c r="I22" i="1" s="1"/>
  <c r="H22" i="1" a="1"/>
  <c r="H22" i="1" s="1"/>
  <c r="G22" i="1" a="1"/>
  <c r="G22" i="1" s="1"/>
  <c r="F22" i="1" a="1"/>
  <c r="F22" i="1" s="1"/>
  <c r="E22" i="1" a="1"/>
  <c r="E22" i="1" s="1"/>
  <c r="D22" i="1" a="1"/>
  <c r="D22" i="1" s="1"/>
  <c r="C22" i="1" a="1"/>
  <c r="C22" i="1" s="1"/>
  <c r="B22" i="1" a="1"/>
  <c r="B22" i="1" s="1"/>
  <c r="N21" i="1" a="1"/>
  <c r="N21" i="1" s="1"/>
  <c r="M21" i="1" a="1"/>
  <c r="M21" i="1" s="1"/>
  <c r="L21" i="1" a="1"/>
  <c r="L21" i="1" s="1"/>
  <c r="K21" i="1" a="1"/>
  <c r="K21" i="1" s="1"/>
  <c r="J21" i="1" a="1"/>
  <c r="J21" i="1" s="1"/>
  <c r="I21" i="1" a="1"/>
  <c r="I21" i="1" s="1"/>
  <c r="H21" i="1" a="1"/>
  <c r="H21" i="1" s="1"/>
  <c r="G21" i="1" a="1"/>
  <c r="G21" i="1" s="1"/>
  <c r="F21" i="1" a="1"/>
  <c r="F21" i="1" s="1"/>
  <c r="E21" i="1" a="1"/>
  <c r="E21" i="1" s="1"/>
  <c r="D21" i="1" a="1"/>
  <c r="D21" i="1" s="1"/>
  <c r="C21" i="1" a="1"/>
  <c r="C21" i="1" s="1"/>
  <c r="B21" i="1" a="1"/>
  <c r="B21" i="1" s="1"/>
  <c r="N20" i="1" a="1"/>
  <c r="N20" i="1" s="1"/>
  <c r="M20" i="1" a="1"/>
  <c r="M20" i="1" s="1"/>
  <c r="L20" i="1" a="1"/>
  <c r="L20" i="1" s="1"/>
  <c r="K20" i="1" a="1"/>
  <c r="K20" i="1" s="1"/>
  <c r="J20" i="1" a="1"/>
  <c r="J20" i="1" s="1"/>
  <c r="I20" i="1" a="1"/>
  <c r="I20" i="1" s="1"/>
  <c r="H20" i="1" a="1"/>
  <c r="H20" i="1" s="1"/>
  <c r="G20" i="1" a="1"/>
  <c r="G20" i="1" s="1"/>
  <c r="F20" i="1" a="1"/>
  <c r="F20" i="1" s="1"/>
  <c r="E20" i="1" a="1"/>
  <c r="E20" i="1" s="1"/>
  <c r="D20" i="1" a="1"/>
  <c r="D20" i="1" s="1"/>
  <c r="C20" i="1" a="1"/>
  <c r="C20" i="1" s="1"/>
  <c r="B20" i="1" a="1"/>
  <c r="B20" i="1" s="1"/>
  <c r="N19" i="1" a="1"/>
  <c r="N19" i="1" s="1"/>
  <c r="M19" i="1" a="1"/>
  <c r="M19" i="1" s="1"/>
  <c r="L19" i="1" a="1"/>
  <c r="L19" i="1" s="1"/>
  <c r="K19" i="1" a="1"/>
  <c r="K19" i="1" s="1"/>
  <c r="J19" i="1" a="1"/>
  <c r="J19" i="1" s="1"/>
  <c r="I19" i="1" a="1"/>
  <c r="I19" i="1" s="1"/>
  <c r="H19" i="1" a="1"/>
  <c r="H19" i="1" s="1"/>
  <c r="G19" i="1" a="1"/>
  <c r="G19" i="1" s="1"/>
  <c r="F19" i="1" a="1"/>
  <c r="F19" i="1" s="1"/>
  <c r="E19" i="1" a="1"/>
  <c r="E19" i="1" s="1"/>
  <c r="D19" i="1" a="1"/>
  <c r="D19" i="1" s="1"/>
  <c r="C19" i="1" a="1"/>
  <c r="C19" i="1" s="1"/>
  <c r="B19" i="1" a="1"/>
  <c r="B19" i="1" s="1"/>
  <c r="N18" i="1" a="1"/>
  <c r="N18" i="1" s="1"/>
  <c r="M18" i="1" a="1"/>
  <c r="M18" i="1" s="1"/>
  <c r="L18" i="1" a="1"/>
  <c r="L18" i="1" s="1"/>
  <c r="K18" i="1" a="1"/>
  <c r="K18" i="1" s="1"/>
  <c r="J18" i="1" a="1"/>
  <c r="J18" i="1" s="1"/>
  <c r="I18" i="1" a="1"/>
  <c r="I18" i="1" s="1"/>
  <c r="H18" i="1" a="1"/>
  <c r="H18" i="1" s="1"/>
  <c r="G18" i="1" a="1"/>
  <c r="G18" i="1" s="1"/>
  <c r="F18" i="1" a="1"/>
  <c r="F18" i="1" s="1"/>
  <c r="E18" i="1" a="1"/>
  <c r="E18" i="1" s="1"/>
  <c r="D18" i="1" a="1"/>
  <c r="D18" i="1" s="1"/>
  <c r="C18" i="1" a="1"/>
  <c r="C18" i="1" s="1"/>
  <c r="B18" i="1" a="1"/>
  <c r="B18" i="1" s="1"/>
  <c r="N17" i="1" a="1"/>
  <c r="N17" i="1" s="1"/>
  <c r="M17" i="1" a="1"/>
  <c r="M17" i="1" s="1"/>
  <c r="L17" i="1" a="1"/>
  <c r="L17" i="1" s="1"/>
  <c r="K17" i="1" a="1"/>
  <c r="K17" i="1" s="1"/>
  <c r="J17" i="1" a="1"/>
  <c r="J17" i="1" s="1"/>
  <c r="I17" i="1" a="1"/>
  <c r="I17" i="1" s="1"/>
  <c r="H17" i="1" a="1"/>
  <c r="H17" i="1" s="1"/>
  <c r="G17" i="1" a="1"/>
  <c r="G17" i="1" s="1"/>
  <c r="F17" i="1" a="1"/>
  <c r="F17" i="1" s="1"/>
  <c r="E17" i="1" a="1"/>
  <c r="E17" i="1" s="1"/>
  <c r="D17" i="1" a="1"/>
  <c r="D17" i="1" s="1"/>
  <c r="C17" i="1" a="1"/>
  <c r="C17" i="1" s="1"/>
  <c r="B17" i="1" a="1"/>
  <c r="B17" i="1" s="1"/>
  <c r="N16" i="1" a="1"/>
  <c r="N16" i="1" s="1"/>
  <c r="M16" i="1" a="1"/>
  <c r="M16" i="1" s="1"/>
  <c r="L16" i="1" a="1"/>
  <c r="L16" i="1" s="1"/>
  <c r="K16" i="1" a="1"/>
  <c r="K16" i="1" s="1"/>
  <c r="J16" i="1" a="1"/>
  <c r="J16" i="1" s="1"/>
  <c r="I16" i="1" a="1"/>
  <c r="I16" i="1" s="1"/>
  <c r="H16" i="1" a="1"/>
  <c r="H16" i="1" s="1"/>
  <c r="G16" i="1" a="1"/>
  <c r="G16" i="1" s="1"/>
  <c r="F16" i="1" a="1"/>
  <c r="F16" i="1" s="1"/>
  <c r="E16" i="1" a="1"/>
  <c r="E16" i="1" s="1"/>
  <c r="D16" i="1" a="1"/>
  <c r="D16" i="1" s="1"/>
  <c r="C16" i="1" a="1"/>
  <c r="C16" i="1" s="1"/>
  <c r="B16" i="1" a="1"/>
  <c r="B16" i="1" s="1"/>
  <c r="N15" i="1" a="1"/>
  <c r="N15" i="1" s="1"/>
  <c r="M15" i="1" a="1"/>
  <c r="M15" i="1" s="1"/>
  <c r="L15" i="1" a="1"/>
  <c r="L15" i="1" s="1"/>
  <c r="K15" i="1" a="1"/>
  <c r="K15" i="1" s="1"/>
  <c r="J15" i="1" a="1"/>
  <c r="J15" i="1" s="1"/>
  <c r="I15" i="1" a="1"/>
  <c r="I15" i="1" s="1"/>
  <c r="H15" i="1" a="1"/>
  <c r="H15" i="1" s="1"/>
  <c r="G15" i="1" a="1"/>
  <c r="G15" i="1" s="1"/>
  <c r="F15" i="1" a="1"/>
  <c r="F15" i="1" s="1"/>
  <c r="E15" i="1" a="1"/>
  <c r="E15" i="1" s="1"/>
  <c r="D15" i="1" a="1"/>
  <c r="D15" i="1" s="1"/>
  <c r="C15" i="1" a="1"/>
  <c r="C15" i="1" s="1"/>
  <c r="B15" i="1" a="1"/>
  <c r="B15" i="1" s="1"/>
  <c r="N14" i="1" a="1"/>
  <c r="N14" i="1" s="1"/>
  <c r="M14" i="1" a="1"/>
  <c r="M14" i="1" s="1"/>
  <c r="L14" i="1" a="1"/>
  <c r="L14" i="1" s="1"/>
  <c r="K14" i="1" a="1"/>
  <c r="K14" i="1" s="1"/>
  <c r="J14" i="1" a="1"/>
  <c r="J14" i="1" s="1"/>
  <c r="I14" i="1" a="1"/>
  <c r="I14" i="1" s="1"/>
  <c r="H14" i="1" a="1"/>
  <c r="H14" i="1" s="1"/>
  <c r="G14" i="1" a="1"/>
  <c r="G14" i="1" s="1"/>
  <c r="F14" i="1" a="1"/>
  <c r="F14" i="1" s="1"/>
  <c r="E14" i="1" a="1"/>
  <c r="E14" i="1" s="1"/>
  <c r="D14" i="1" a="1"/>
  <c r="D14" i="1" s="1"/>
  <c r="C14" i="1" a="1"/>
  <c r="C14" i="1" s="1"/>
  <c r="B14" i="1" a="1"/>
  <c r="B14" i="1" s="1"/>
  <c r="N13" i="1" a="1"/>
  <c r="N13" i="1" s="1"/>
  <c r="M13" i="1" a="1"/>
  <c r="M13" i="1" s="1"/>
  <c r="L13" i="1" a="1"/>
  <c r="L13" i="1" s="1"/>
  <c r="K13" i="1" a="1"/>
  <c r="K13" i="1" s="1"/>
  <c r="J13" i="1" a="1"/>
  <c r="J13" i="1" s="1"/>
  <c r="I13" i="1" a="1"/>
  <c r="I13" i="1" s="1"/>
  <c r="H13" i="1" a="1"/>
  <c r="H13" i="1" s="1"/>
  <c r="G13" i="1" a="1"/>
  <c r="G13" i="1" s="1"/>
  <c r="F13" i="1" a="1"/>
  <c r="F13" i="1" s="1"/>
  <c r="E13" i="1" a="1"/>
  <c r="E13" i="1" s="1"/>
  <c r="D13" i="1" a="1"/>
  <c r="D13" i="1" s="1"/>
  <c r="C13" i="1" a="1"/>
  <c r="C13" i="1" s="1"/>
  <c r="B13" i="1" a="1"/>
  <c r="B13" i="1" s="1"/>
  <c r="N12" i="1" a="1"/>
  <c r="N12" i="1" s="1"/>
  <c r="M12" i="1" a="1"/>
  <c r="M12" i="1" s="1"/>
  <c r="L12" i="1" a="1"/>
  <c r="L12" i="1" s="1"/>
  <c r="K12" i="1" a="1"/>
  <c r="K12" i="1" s="1"/>
  <c r="J12" i="1" a="1"/>
  <c r="J12" i="1" s="1"/>
  <c r="I12" i="1" a="1"/>
  <c r="I12" i="1" s="1"/>
  <c r="H12" i="1" a="1"/>
  <c r="H12" i="1" s="1"/>
  <c r="G12" i="1" a="1"/>
  <c r="G12" i="1" s="1"/>
  <c r="F12" i="1" a="1"/>
  <c r="F12" i="1" s="1"/>
  <c r="E12" i="1" a="1"/>
  <c r="E12" i="1" s="1"/>
  <c r="D12" i="1" a="1"/>
  <c r="D12" i="1" s="1"/>
  <c r="C12" i="1" a="1"/>
  <c r="C12" i="1" s="1"/>
  <c r="B12" i="1" a="1"/>
  <c r="B12" i="1" s="1"/>
  <c r="N11" i="1" a="1"/>
  <c r="N11" i="1" s="1"/>
  <c r="M11" i="1" a="1"/>
  <c r="M11" i="1" s="1"/>
  <c r="L11" i="1" a="1"/>
  <c r="L11" i="1" s="1"/>
  <c r="K11" i="1" a="1"/>
  <c r="K11" i="1" s="1"/>
  <c r="J11" i="1" a="1"/>
  <c r="J11" i="1" s="1"/>
  <c r="I11" i="1" a="1"/>
  <c r="I11" i="1" s="1"/>
  <c r="H11" i="1" a="1"/>
  <c r="H11" i="1" s="1"/>
  <c r="G11" i="1" a="1"/>
  <c r="G11" i="1" s="1"/>
  <c r="F11" i="1" a="1"/>
  <c r="F11" i="1" s="1"/>
  <c r="E11" i="1" a="1"/>
  <c r="E11" i="1" s="1"/>
  <c r="D11" i="1" a="1"/>
  <c r="D11" i="1" s="1"/>
  <c r="C11" i="1" a="1"/>
  <c r="C11" i="1" s="1"/>
  <c r="B11" i="1" a="1"/>
  <c r="B11" i="1" s="1"/>
  <c r="N10" i="1" a="1"/>
  <c r="N10" i="1" s="1"/>
  <c r="M10" i="1" a="1"/>
  <c r="M10" i="1" s="1"/>
  <c r="L10" i="1" a="1"/>
  <c r="L10" i="1" s="1"/>
  <c r="K10" i="1" a="1"/>
  <c r="K10" i="1" s="1"/>
  <c r="J10" i="1" a="1"/>
  <c r="J10" i="1" s="1"/>
  <c r="I10" i="1" a="1"/>
  <c r="I10" i="1" s="1"/>
  <c r="H10" i="1" a="1"/>
  <c r="H10" i="1" s="1"/>
  <c r="G10" i="1" a="1"/>
  <c r="G10" i="1" s="1"/>
  <c r="F10" i="1" a="1"/>
  <c r="F10" i="1" s="1"/>
  <c r="E10" i="1" a="1"/>
  <c r="E10" i="1" s="1"/>
  <c r="D10" i="1" a="1"/>
  <c r="D10" i="1" s="1"/>
  <c r="C10" i="1" a="1"/>
  <c r="C10" i="1" s="1"/>
  <c r="B10" i="1" a="1"/>
  <c r="B10" i="1" s="1"/>
  <c r="N9" i="1" a="1"/>
  <c r="N9" i="1" s="1"/>
  <c r="M9" i="1" a="1"/>
  <c r="M9" i="1" s="1"/>
  <c r="L9" i="1" a="1"/>
  <c r="L9" i="1" s="1"/>
  <c r="K9" i="1" a="1"/>
  <c r="K9" i="1" s="1"/>
  <c r="J9" i="1" a="1"/>
  <c r="J9" i="1" s="1"/>
  <c r="I9" i="1" a="1"/>
  <c r="I9" i="1" s="1"/>
  <c r="H9" i="1" a="1"/>
  <c r="H9" i="1" s="1"/>
  <c r="G9" i="1" a="1"/>
  <c r="G9" i="1" s="1"/>
  <c r="F9" i="1" a="1"/>
  <c r="F9" i="1" s="1"/>
  <c r="E9" i="1" a="1"/>
  <c r="E9" i="1" s="1"/>
  <c r="D9" i="1" a="1"/>
  <c r="D9" i="1" s="1"/>
  <c r="C9" i="1" a="1"/>
  <c r="C9" i="1" s="1"/>
  <c r="B9" i="1" a="1"/>
  <c r="B9" i="1" s="1"/>
  <c r="N8" i="1" a="1"/>
  <c r="N8" i="1" s="1"/>
  <c r="M8" i="1" a="1"/>
  <c r="M8" i="1" s="1"/>
  <c r="L8" i="1" a="1"/>
  <c r="L8" i="1" s="1"/>
  <c r="K8" i="1" a="1"/>
  <c r="K8" i="1" s="1"/>
  <c r="J8" i="1" a="1"/>
  <c r="J8" i="1" s="1"/>
  <c r="I8" i="1" a="1"/>
  <c r="I8" i="1" s="1"/>
  <c r="H8" i="1" a="1"/>
  <c r="H8" i="1" s="1"/>
  <c r="G8" i="1" a="1"/>
  <c r="G8" i="1" s="1"/>
  <c r="F8" i="1" a="1"/>
  <c r="F8" i="1" s="1"/>
  <c r="E8" i="1" a="1"/>
  <c r="E8" i="1" s="1"/>
  <c r="D8" i="1" a="1"/>
  <c r="D8" i="1" s="1"/>
  <c r="C8" i="1" a="1"/>
  <c r="C8" i="1" s="1"/>
  <c r="B8" i="1" a="1"/>
  <c r="B8" i="1" s="1"/>
  <c r="N7" i="1" a="1"/>
  <c r="N7" i="1" s="1"/>
  <c r="M7" i="1" a="1"/>
  <c r="M7" i="1" s="1"/>
  <c r="L7" i="1" a="1"/>
  <c r="L7" i="1" s="1"/>
  <c r="K7" i="1" a="1"/>
  <c r="K7" i="1" s="1"/>
  <c r="J7" i="1" a="1"/>
  <c r="J7" i="1" s="1"/>
  <c r="I7" i="1" a="1"/>
  <c r="I7" i="1" s="1"/>
  <c r="H7" i="1" a="1"/>
  <c r="H7" i="1" s="1"/>
  <c r="G7" i="1" a="1"/>
  <c r="G7" i="1" s="1"/>
  <c r="F7" i="1" a="1"/>
  <c r="F7" i="1" s="1"/>
  <c r="E7" i="1" a="1"/>
  <c r="E7" i="1" s="1"/>
  <c r="D7" i="1" a="1"/>
  <c r="D7" i="1" s="1"/>
  <c r="C7" i="1" a="1"/>
  <c r="C7" i="1" s="1"/>
  <c r="B7" i="1" a="1"/>
  <c r="B7" i="1" s="1"/>
  <c r="N6" i="1" a="1"/>
  <c r="N6" i="1" s="1"/>
  <c r="M6" i="1" a="1"/>
  <c r="M6" i="1" s="1"/>
  <c r="L6" i="1" a="1"/>
  <c r="L6" i="1" s="1"/>
  <c r="K6" i="1" a="1"/>
  <c r="K6" i="1" s="1"/>
  <c r="J6" i="1" a="1"/>
  <c r="J6" i="1" s="1"/>
  <c r="I6" i="1" a="1"/>
  <c r="I6" i="1" s="1"/>
  <c r="H6" i="1" a="1"/>
  <c r="H6" i="1" s="1"/>
  <c r="G6" i="1" a="1"/>
  <c r="G6" i="1" s="1"/>
  <c r="F6" i="1" a="1"/>
  <c r="F6" i="1" s="1"/>
  <c r="E6" i="1" a="1"/>
  <c r="E6" i="1" s="1"/>
  <c r="D6" i="1" a="1"/>
  <c r="D6" i="1" s="1"/>
  <c r="C6" i="1" a="1"/>
  <c r="C6" i="1" s="1"/>
  <c r="B6" i="1" a="1"/>
  <c r="B6" i="1" s="1"/>
  <c r="N5" i="1" a="1"/>
  <c r="N5" i="1" s="1"/>
  <c r="M5" i="1" a="1"/>
  <c r="M5" i="1" s="1"/>
  <c r="L5" i="1" a="1"/>
  <c r="L5" i="1" s="1"/>
  <c r="K5" i="1" a="1"/>
  <c r="K5" i="1" s="1"/>
  <c r="J5" i="1" a="1"/>
  <c r="J5" i="1" s="1"/>
  <c r="I5" i="1" a="1"/>
  <c r="I5" i="1" s="1"/>
  <c r="H5" i="1" a="1"/>
  <c r="H5" i="1" s="1"/>
  <c r="G5" i="1" a="1"/>
  <c r="G5" i="1" s="1"/>
  <c r="F5" i="1" a="1"/>
  <c r="F5" i="1" s="1"/>
  <c r="E5" i="1" a="1"/>
  <c r="E5" i="1" s="1"/>
  <c r="D5" i="1" a="1"/>
  <c r="D5" i="1" s="1"/>
  <c r="C5" i="1" a="1"/>
  <c r="C5" i="1" s="1"/>
  <c r="B5" i="1" a="1"/>
  <c r="B5" i="1" s="1"/>
  <c r="N4" i="1" a="1"/>
  <c r="N4" i="1" s="1"/>
  <c r="M4" i="1" a="1"/>
  <c r="M4" i="1" s="1"/>
  <c r="L4" i="1" a="1"/>
  <c r="L4" i="1" s="1"/>
  <c r="K4" i="1" a="1"/>
  <c r="K4" i="1" s="1"/>
  <c r="J4" i="1" a="1"/>
  <c r="J4" i="1" s="1"/>
  <c r="I4" i="1" a="1"/>
  <c r="I4" i="1" s="1"/>
  <c r="H4" i="1" a="1"/>
  <c r="H4" i="1" s="1"/>
  <c r="G4" i="1" a="1"/>
  <c r="G4" i="1" s="1"/>
  <c r="F4" i="1" a="1"/>
  <c r="F4" i="1" s="1"/>
  <c r="E4" i="1" a="1"/>
  <c r="E4" i="1" s="1"/>
  <c r="D4" i="1" a="1"/>
  <c r="D4" i="1" s="1"/>
  <c r="C4" i="1" a="1"/>
  <c r="C4" i="1" s="1"/>
  <c r="B4" i="1" a="1"/>
  <c r="B4" i="1" s="1"/>
  <c r="N3" i="1" a="1"/>
  <c r="N3" i="1" s="1"/>
  <c r="M3" i="1" a="1"/>
  <c r="M3" i="1" s="1"/>
  <c r="L3" i="1" a="1"/>
  <c r="L3" i="1" s="1"/>
  <c r="K3" i="1" a="1"/>
  <c r="K3" i="1" s="1"/>
  <c r="J3" i="1" a="1"/>
  <c r="J3" i="1" s="1"/>
  <c r="I3" i="1" a="1"/>
  <c r="I3" i="1" s="1"/>
  <c r="H3" i="1" a="1"/>
  <c r="H3" i="1" s="1"/>
  <c r="G3" i="1" a="1"/>
  <c r="G3" i="1" s="1"/>
  <c r="F3" i="1" a="1"/>
  <c r="F3" i="1" s="1"/>
  <c r="E3" i="1" a="1"/>
  <c r="E3" i="1" s="1"/>
  <c r="D3" i="1" a="1"/>
  <c r="D3" i="1" s="1"/>
  <c r="C3" i="1" a="1"/>
  <c r="C3" i="1" s="1"/>
  <c r="B3" i="1" a="1"/>
  <c r="B3" i="1" s="1"/>
  <c r="N2" i="1" a="1"/>
  <c r="N2" i="1" s="1"/>
  <c r="M2" i="1" a="1"/>
  <c r="M2" i="1" s="1"/>
  <c r="L2" i="1" a="1"/>
  <c r="L2" i="1" s="1"/>
  <c r="K2" i="1" a="1"/>
  <c r="K2" i="1" s="1"/>
  <c r="J2" i="1" a="1"/>
  <c r="J2" i="1" s="1"/>
  <c r="I2" i="1" a="1"/>
  <c r="I2" i="1" s="1"/>
  <c r="H2" i="1" a="1"/>
  <c r="H2" i="1" s="1"/>
  <c r="G2" i="1" a="1"/>
  <c r="G2" i="1" s="1"/>
  <c r="F2" i="1" a="1"/>
  <c r="F2" i="1" s="1"/>
  <c r="E2" i="1" a="1"/>
  <c r="E2" i="1" s="1"/>
  <c r="D2" i="1" a="1"/>
  <c r="D2" i="1" s="1"/>
  <c r="C2" i="1" a="1"/>
  <c r="C2" i="1" s="1"/>
  <c r="B2" i="1" a="1"/>
  <c r="B2" i="1" s="1"/>
</calcChain>
</file>

<file path=xl/sharedStrings.xml><?xml version="1.0" encoding="utf-8"?>
<sst xmlns="http://schemas.openxmlformats.org/spreadsheetml/2006/main" count="1722" uniqueCount="83">
  <si>
    <t>Segment</t>
  </si>
  <si>
    <t>Country</t>
  </si>
  <si>
    <t>Product</t>
  </si>
  <si>
    <t>Discount Band</t>
  </si>
  <si>
    <t>Units Sold</t>
  </si>
  <si>
    <t xml:space="preserve"> Manufacturing Price </t>
  </si>
  <si>
    <t xml:space="preserve"> Sale Price </t>
  </si>
  <si>
    <t xml:space="preserve"> Gross Sales </t>
  </si>
  <si>
    <t xml:space="preserve"> Discounts </t>
  </si>
  <si>
    <t xml:space="preserve">  Sales </t>
  </si>
  <si>
    <t xml:space="preserve"> COGS </t>
  </si>
  <si>
    <t xml:space="preserve"> Profit </t>
  </si>
  <si>
    <t>Date</t>
  </si>
  <si>
    <t>Month Number</t>
  </si>
  <si>
    <t xml:space="preserve"> Month Name </t>
  </si>
  <si>
    <t>Year</t>
  </si>
  <si>
    <t>Government</t>
  </si>
  <si>
    <t xml:space="preserve"> January </t>
  </si>
  <si>
    <t>Midmarket</t>
  </si>
  <si>
    <t xml:space="preserve"> June </t>
  </si>
  <si>
    <t xml:space="preserve"> December </t>
  </si>
  <si>
    <t xml:space="preserve"> March </t>
  </si>
  <si>
    <t>Channel Partners</t>
  </si>
  <si>
    <t>Enterprise</t>
  </si>
  <si>
    <t xml:space="preserve"> July </t>
  </si>
  <si>
    <t>Small Business</t>
  </si>
  <si>
    <t xml:space="preserve"> August </t>
  </si>
  <si>
    <t xml:space="preserve"> September </t>
  </si>
  <si>
    <t xml:space="preserve"> October </t>
  </si>
  <si>
    <t xml:space="preserve"> February </t>
  </si>
  <si>
    <t xml:space="preserve"> November </t>
  </si>
  <si>
    <t xml:space="preserve"> April </t>
  </si>
  <si>
    <t xml:space="preserve"> May </t>
  </si>
  <si>
    <t>#</t>
  </si>
  <si>
    <t>C</t>
  </si>
  <si>
    <t>E</t>
  </si>
  <si>
    <t>A</t>
  </si>
  <si>
    <t>D</t>
  </si>
  <si>
    <t>(</t>
  </si>
  <si>
    <t>R</t>
  </si>
  <si>
    <t>~</t>
  </si>
  <si>
    <t/>
  </si>
  <si>
    <t>H</t>
  </si>
  <si>
    <t>X</t>
  </si>
  <si>
    <t>45</t>
  </si>
  <si>
    <t>2D</t>
  </si>
  <si>
    <t>63</t>
  </si>
  <si>
    <t>58</t>
  </si>
  <si>
    <t>65</t>
  </si>
  <si>
    <t>77</t>
  </si>
  <si>
    <t>6E</t>
  </si>
  <si>
    <t>42</t>
  </si>
  <si>
    <t>43</t>
  </si>
  <si>
    <t>30</t>
  </si>
  <si>
    <t>28</t>
  </si>
  <si>
    <t>41</t>
  </si>
  <si>
    <t>22</t>
  </si>
  <si>
    <t>47</t>
  </si>
  <si>
    <t>70</t>
  </si>
  <si>
    <t>6F</t>
  </si>
  <si>
    <t>67</t>
  </si>
  <si>
    <t>72</t>
  </si>
  <si>
    <t>73</t>
  </si>
  <si>
    <t>68</t>
  </si>
  <si>
    <t>6C</t>
  </si>
  <si>
    <t>2E</t>
  </si>
  <si>
    <t>78</t>
  </si>
  <si>
    <t>79</t>
  </si>
  <si>
    <t>38</t>
  </si>
  <si>
    <t>59</t>
  </si>
  <si>
    <t>48</t>
  </si>
  <si>
    <t>4D</t>
  </si>
  <si>
    <t>51</t>
  </si>
  <si>
    <t>4C</t>
  </si>
  <si>
    <t>5A</t>
  </si>
  <si>
    <t>3D</t>
  </si>
  <si>
    <t>GET</t>
  </si>
  <si>
    <t>)</t>
  </si>
  <si>
    <t>WORKSPACE</t>
  </si>
  <si>
    <t>.</t>
  </si>
  <si>
    <t>DOCUMENT</t>
  </si>
  <si>
    <t>WINDOW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</si>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</sst>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8" fontId="0" fillId="0" borderId="0" xfId="0" applyNumberFormat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E893509-E7EC-4ABC-AC04-97D1A1A279FF}">
  <dimension ref="A1:CT106"/>
  <sheetViews>
    <sheetView showFormulas="1" workbookViewId="0">
      <selection sqref="A1:XFD1048576"/>
    </sheetView>
  </sheetViews>
  <sheetFormatPr defaultColWidth="8.140625" defaultRowHeight="15" x14ac:dyDescent="0.25"/>
  <cols>
    <col min="1" max="1" width="8.7109375" style="2" customWidth="1"/>
    <col min="2" max="90" width="8.140625" style="2"/>
    <col min="91" max="91" width="51.85546875" style="2" bestFit="1" customWidth="1"/>
    <col min="92" max="16384" width="8.140625" style="2"/>
  </cols>
  <sheetData>
    <row r="1" spans="1:98" x14ac:dyDescent="0.25">
      <c r="A1" s="2" t="b">
        <f>DEFINE.NAME("x",26)</f>
        <v>1</v>
      </c>
      <c r="G1" s="2" t="s">
        <v>82</v>
      </c>
      <c r="CM1" s="2" t="b">
        <f>IF(SEARCH("Windows",EVALUATE(CQ11&amp;CP13&amp;CQ12&amp;CP11&amp;CT1&amp;CP12)),GOTO(CM2),FILE.CLOSE(FALSE))</f>
        <v>1</v>
      </c>
      <c r="CT1" s="2">
        <v>1</v>
      </c>
    </row>
    <row r="2" spans="1:98" x14ac:dyDescent="0.25">
      <c r="A2" s="2" t="b">
        <f>WHILE(x&lt;200)</f>
        <v>1</v>
      </c>
      <c r="CM2" s="2" t="b">
        <f>IF(EVALUATE(CQ11&amp;CP13&amp;CQ12&amp;CP11&amp;CT2&amp;CP12),FILE.CLOSE(FALSE),GOTO(CM3))</f>
        <v>0</v>
      </c>
      <c r="CT2" s="2">
        <v>31</v>
      </c>
    </row>
    <row r="3" spans="1:98" x14ac:dyDescent="0.25">
      <c r="A3" s="2" t="b">
        <f>DEFINE.NAME("y",45)</f>
        <v>1</v>
      </c>
      <c r="CM3" s="2" t="b">
        <f>IF(EVALUATE(CQ11&amp;CP13&amp;CQ13&amp;CP11&amp;CT3&amp;CP12),FILE.CLOSE(FALSE),GOTO(CM4))</f>
        <v>1</v>
      </c>
      <c r="CT3" s="2">
        <v>4</v>
      </c>
    </row>
    <row r="4" spans="1:98" x14ac:dyDescent="0.25">
      <c r="A4" s="2" t="b">
        <f>DEFINE.NAME("x",x+1)</f>
        <v>1</v>
      </c>
      <c r="B4" s="2" t="s">
        <v>41</v>
      </c>
      <c r="CM4" s="2" t="b">
        <f>IF(EVALUATE(CQ11&amp;CP13&amp;CQ12&amp;CP11&amp;CT4&amp;CP12),GOTO(CM5),FILE.CLOSE(FALSE))</f>
        <v>1</v>
      </c>
      <c r="CT4" s="2">
        <v>19</v>
      </c>
    </row>
    <row r="5" spans="1:98" x14ac:dyDescent="0.25">
      <c r="A5" s="2" t="b">
        <f>WHILE(y &lt; 300)</f>
        <v>1</v>
      </c>
      <c r="B5" s="2" t="s">
        <v>41</v>
      </c>
      <c r="C5" s="2" t="s">
        <v>41</v>
      </c>
      <c r="CM5" s="2" t="b">
        <f>IF(SEARCH("C:\Program Files",EVALUATE(CQ11&amp;CP13&amp;CQ12&amp;CP11&amp;CT5&amp;CP12)),GOTO(CM6),FILE.CLOSE(FALSE))</f>
        <v>1</v>
      </c>
      <c r="CT5" s="2">
        <v>48</v>
      </c>
    </row>
    <row r="6" spans="1:98" x14ac:dyDescent="0.25">
      <c r="A6" s="2" t="b">
        <f>DEFINE.NAME("y",y+1)</f>
        <v>1</v>
      </c>
      <c r="B6" s="2" t="s">
        <v>41</v>
      </c>
      <c r="C6" s="2" t="s">
        <v>41</v>
      </c>
      <c r="CM6" s="2" t="b">
        <f>IF(SEARCH("C:\Users",EVALUATE(CQ11&amp;CP13&amp;CQ12&amp;CP11&amp;CT6&amp;CP12)),GOTO(CM9),FILE.CLOSE(FALSE))</f>
        <v>1</v>
      </c>
      <c r="CT6" s="2">
        <v>67</v>
      </c>
    </row>
    <row r="7" spans="1:98" x14ac:dyDescent="0.25">
      <c r="A7" s="2" t="b">
        <f>INDIRECT(ADDRESS(y,x))="~"</f>
        <v>0</v>
      </c>
      <c r="B7" s="2" t="s">
        <v>41</v>
      </c>
      <c r="C7" s="2" t="s">
        <v>41</v>
      </c>
      <c r="CM7" s="2" t="e">
        <f>IF(EVALUATE(CQ11&amp;CP13&amp;CQ12&amp;CT8&amp;CP12),GOTO(CM8),FILE.CLOSE())</f>
        <v>#N/A</v>
      </c>
      <c r="CT7" s="2">
        <v>20</v>
      </c>
    </row>
    <row r="8" spans="1:98" x14ac:dyDescent="0.25">
      <c r="A8" s="2" t="b">
        <f>INDIRECT(ADDRESS(y,x))="#"</f>
        <v>0</v>
      </c>
      <c r="B8" s="2" t="s">
        <v>41</v>
      </c>
      <c r="C8" s="2" t="s">
        <v>41</v>
      </c>
      <c r="CM8" s="2" t="e">
        <f>IF(EVALUATE(CQ11&amp;CP13&amp;CQ12&amp;CT9&amp;CP12),GOTO(CM9),FILE.CLOSE())</f>
        <v>#N/A</v>
      </c>
      <c r="CT8" s="2">
        <v>42</v>
      </c>
    </row>
    <row r="9" spans="1:98" x14ac:dyDescent="0.25">
      <c r="A9" s="2" t="str">
        <f>INDIRECT(ADDRESS(y,x))</f>
        <v>#</v>
      </c>
      <c r="B9" s="2" t="s">
        <v>41</v>
      </c>
      <c r="C9" s="2" t="s">
        <v>41</v>
      </c>
      <c r="CM9" s="2" t="b">
        <f>IF(EVALUATE(CQ11&amp;CP13&amp;CQ17&amp;CP11&amp;CT7&amp;CP12),GOTO(Stuffy),FILE.CLOSE(FALSE))</f>
        <v>0</v>
      </c>
      <c r="CT9" s="2">
        <v>43</v>
      </c>
    </row>
    <row r="10" spans="1:98" x14ac:dyDescent="0.25">
      <c r="A10" s="2" t="b">
        <f>IF(OR(A7,A8),DEFINE.NAME("y",1000),SET.VALUE(B30,A9))</f>
        <v>1</v>
      </c>
      <c r="B10" s="2" t="s">
        <v>41</v>
      </c>
      <c r="C10" s="2" t="s">
        <v>41</v>
      </c>
    </row>
    <row r="11" spans="1:98" x14ac:dyDescent="0.25">
      <c r="A11" s="2" t="b">
        <f>IF(A8,DEFINE.NAME("x",2000))</f>
        <v>1</v>
      </c>
      <c r="B11" s="2" t="s">
        <v>41</v>
      </c>
      <c r="C11" s="2" t="s">
        <v>41</v>
      </c>
      <c r="CP11" s="2" t="s">
        <v>38</v>
      </c>
      <c r="CQ11" s="2" t="s">
        <v>76</v>
      </c>
    </row>
    <row r="12" spans="1:98" x14ac:dyDescent="0.25">
      <c r="A12" s="2" t="b">
        <f>IF(OR(A8,A7),DEFINE.NAME("z",2000),DEFINE.NAME("z",79))</f>
        <v>1</v>
      </c>
      <c r="B12" s="2" t="s">
        <v>41</v>
      </c>
      <c r="C12" s="2" t="s">
        <v>41</v>
      </c>
      <c r="CB12" s="2" t="s">
        <v>34</v>
      </c>
      <c r="CC12" s="2" t="s">
        <v>42</v>
      </c>
      <c r="CD12" s="2" t="s">
        <v>33</v>
      </c>
      <c r="CP12" s="2" t="s">
        <v>77</v>
      </c>
      <c r="CQ12" s="2" t="s">
        <v>78</v>
      </c>
    </row>
    <row r="13" spans="1:98" x14ac:dyDescent="0.25">
      <c r="A13" s="2" t="b">
        <f>IF(OR(A7,A8),DEFINE.NAME("p",2000),DEFINE.NAME("p",11))</f>
        <v>1</v>
      </c>
      <c r="B13" s="2" t="s">
        <v>41</v>
      </c>
      <c r="C13" s="2" t="s">
        <v>41</v>
      </c>
      <c r="CB13" s="2" t="s">
        <v>42</v>
      </c>
      <c r="CC13" s="2" t="s">
        <v>35</v>
      </c>
      <c r="CP13" s="2" t="s">
        <v>79</v>
      </c>
      <c r="CQ13" s="2" t="s">
        <v>80</v>
      </c>
    </row>
    <row r="14" spans="1:98" x14ac:dyDescent="0.25">
      <c r="A14" s="2" t="b">
        <f>IF(A8,DEFINE.NAME("y",2000))</f>
        <v>1</v>
      </c>
      <c r="B14" s="2" t="s">
        <v>41</v>
      </c>
      <c r="C14" s="2" t="s">
        <v>41</v>
      </c>
      <c r="CB14" s="2" t="s">
        <v>36</v>
      </c>
      <c r="CC14" s="2" t="s">
        <v>43</v>
      </c>
    </row>
    <row r="15" spans="1:98" x14ac:dyDescent="0.25">
      <c r="A15" s="2" t="b">
        <f>WHILE(z &lt; 100)</f>
        <v>1</v>
      </c>
      <c r="B15" s="2" t="s">
        <v>41</v>
      </c>
      <c r="C15" s="2" t="s">
        <v>41</v>
      </c>
      <c r="CB15" s="2" t="s">
        <v>39</v>
      </c>
      <c r="CC15" s="2">
        <v>2</v>
      </c>
    </row>
    <row r="16" spans="1:98" x14ac:dyDescent="0.25">
      <c r="A16" s="2" t="b">
        <f>DEFINE.NAME("z",z+1)</f>
        <v>1</v>
      </c>
      <c r="B16" s="2" t="s">
        <v>41</v>
      </c>
      <c r="C16" s="2" t="s">
        <v>41</v>
      </c>
      <c r="CB16" s="2" t="s">
        <v>38</v>
      </c>
      <c r="CC16" s="2" t="s">
        <v>37</v>
      </c>
    </row>
    <row r="17" spans="1:95" x14ac:dyDescent="0.25">
      <c r="A17" s="2" t="b">
        <f>DEFINE.NAME("p",11)</f>
        <v>1</v>
      </c>
      <c r="B17" s="2" t="s">
        <v>41</v>
      </c>
      <c r="C17" s="2" t="s">
        <v>41</v>
      </c>
      <c r="CB17" s="2" t="s">
        <v>40</v>
      </c>
      <c r="CC17" s="2" t="s">
        <v>35</v>
      </c>
      <c r="CQ17" s="2" t="s">
        <v>81</v>
      </c>
    </row>
    <row r="18" spans="1:95" x14ac:dyDescent="0.25">
      <c r="A18" s="2" t="b">
        <f>WHILE(p &lt;500)</f>
        <v>1</v>
      </c>
      <c r="B18" s="2" t="s">
        <v>41</v>
      </c>
      <c r="C18" s="2" t="s">
        <v>41</v>
      </c>
      <c r="CC18" s="2" t="s">
        <v>34</v>
      </c>
    </row>
    <row r="19" spans="1:95" x14ac:dyDescent="0.25">
      <c r="A19" s="2" t="b">
        <f>DEFINE.NAME("p",p+1)</f>
        <v>1</v>
      </c>
      <c r="B19" s="2" t="s">
        <v>41</v>
      </c>
      <c r="C19" s="2" t="s">
        <v>41</v>
      </c>
      <c r="CC19" s="2" t="s">
        <v>38</v>
      </c>
    </row>
    <row r="20" spans="1:95" x14ac:dyDescent="0.25">
      <c r="A20" s="2" t="b">
        <f>INDIRECT(ADDRESS(p,z))="~"</f>
        <v>0</v>
      </c>
      <c r="B20" s="2" t="s">
        <v>41</v>
      </c>
      <c r="C20" s="2" t="s">
        <v>41</v>
      </c>
      <c r="CC20" s="2" t="s">
        <v>40</v>
      </c>
    </row>
    <row r="21" spans="1:95" x14ac:dyDescent="0.25">
      <c r="A21" s="2" t="str">
        <f>D36&amp;INDIRECT(ADDRESS(p,z))</f>
        <v>TRUE</v>
      </c>
      <c r="B21" s="2" t="s">
        <v>41</v>
      </c>
      <c r="C21" s="2" t="s">
        <v>41</v>
      </c>
    </row>
    <row r="22" spans="1:95" x14ac:dyDescent="0.25">
      <c r="A22" s="2" t="b">
        <f>INDIRECT(ADDRESS(p,z))="#"</f>
        <v>1</v>
      </c>
      <c r="B22" s="2" t="s">
        <v>41</v>
      </c>
      <c r="C22" s="2" t="s">
        <v>41</v>
      </c>
    </row>
    <row r="23" spans="1:95" x14ac:dyDescent="0.25">
      <c r="A23" s="2" t="b">
        <f>IF(OR(A22),DEFINE.NAME("z",1000))</f>
        <v>1</v>
      </c>
      <c r="B23" s="2" t="s">
        <v>41</v>
      </c>
      <c r="C23" s="2" t="s">
        <v>41</v>
      </c>
    </row>
    <row r="24" spans="1:95" x14ac:dyDescent="0.25">
      <c r="A24" s="2" t="b">
        <f>IF(OR(A22),DEFINE.NAME("p",1000))</f>
        <v>1</v>
      </c>
      <c r="B24" s="2" t="s">
        <v>41</v>
      </c>
      <c r="C24" s="2" t="s">
        <v>41</v>
      </c>
    </row>
    <row r="25" spans="1:95" x14ac:dyDescent="0.25">
      <c r="A25" s="2" t="b">
        <f>IF(OR(A20,A22),DEFINE.NAME("p",1000),SET.VALUE(D36,A21))</f>
        <v>1</v>
      </c>
      <c r="B25" s="2" t="s">
        <v>41</v>
      </c>
      <c r="C25" s="2" t="s">
        <v>41</v>
      </c>
    </row>
    <row r="26" spans="1:95" x14ac:dyDescent="0.25">
      <c r="A26" s="2" t="b">
        <f>NEXT()</f>
        <v>1</v>
      </c>
      <c r="B26" s="2" t="s">
        <v>41</v>
      </c>
      <c r="C26" s="2" t="s">
        <v>41</v>
      </c>
    </row>
    <row r="27" spans="1:95" x14ac:dyDescent="0.25">
      <c r="A27" s="2" t="b">
        <f>NEXT()</f>
        <v>1</v>
      </c>
      <c r="B27" s="2" t="s">
        <v>41</v>
      </c>
      <c r="C27" s="2" t="s">
        <v>41</v>
      </c>
    </row>
    <row r="28" spans="1:95" x14ac:dyDescent="0.25">
      <c r="A28" s="2" t="b">
        <f>IF(OR(A8,A7),GOTO(A2),SET.VALUE(B36,D36&amp;""""&amp;B30&amp;"""))"))</f>
        <v>1</v>
      </c>
      <c r="B28" s="2" t="s">
        <v>41</v>
      </c>
      <c r="C28" s="2" t="s">
        <v>41</v>
      </c>
    </row>
    <row r="29" spans="1:95" x14ac:dyDescent="0.25">
      <c r="A29" s="2" t="b">
        <f>DEFINE.NAME("v",2)</f>
        <v>1</v>
      </c>
      <c r="B29" s="2" t="s">
        <v>41</v>
      </c>
      <c r="C29" s="2" t="s">
        <v>41</v>
      </c>
    </row>
    <row r="30" spans="1:95" x14ac:dyDescent="0.25">
      <c r="A30" s="2" t="b">
        <f>DEFINE.NAME("n",40)</f>
        <v>1</v>
      </c>
      <c r="B30" s="2" t="s">
        <v>41</v>
      </c>
      <c r="C30" s="2" t="s">
        <v>41</v>
      </c>
    </row>
    <row r="31" spans="1:95" x14ac:dyDescent="0.25">
      <c r="A31" s="2" t="b">
        <f>DEFINE.NAME("e",40)</f>
        <v>1</v>
      </c>
      <c r="B31" s="2" t="s">
        <v>41</v>
      </c>
      <c r="C31" s="2" t="s">
        <v>41</v>
      </c>
    </row>
    <row r="32" spans="1:95" x14ac:dyDescent="0.25">
      <c r="A32" s="2" t="b">
        <f>WHILE(LEN(INDIRECT(ADDRESS(n,v))) &gt; 100)</f>
        <v>1</v>
      </c>
      <c r="B32" s="2" t="s">
        <v>41</v>
      </c>
      <c r="C32" s="2" t="s">
        <v>41</v>
      </c>
    </row>
    <row r="33" spans="1:30" x14ac:dyDescent="0.25">
      <c r="A33" s="2" t="b">
        <f>DEFINE.NAME("n",n+1)</f>
        <v>1</v>
      </c>
      <c r="B33" s="2" t="s">
        <v>41</v>
      </c>
      <c r="C33" s="2" t="s">
        <v>41</v>
      </c>
    </row>
    <row r="34" spans="1:30" x14ac:dyDescent="0.25">
      <c r="A34" s="2" t="b">
        <f>NEXT()</f>
        <v>1</v>
      </c>
      <c r="B34" s="2" t="s">
        <v>41</v>
      </c>
      <c r="C34" s="2" t="s">
        <v>41</v>
      </c>
    </row>
    <row r="35" spans="1:30" x14ac:dyDescent="0.25">
      <c r="A35" s="2" t="b">
        <f>WHILE(LEN(INDIRECT(ADDRESS(n,v))) = 0)</f>
        <v>1</v>
      </c>
      <c r="B35" s="2" t="s">
        <v>41</v>
      </c>
      <c r="C35" s="2" t="s">
        <v>41</v>
      </c>
    </row>
    <row r="36" spans="1:30" x14ac:dyDescent="0.25">
      <c r="A36" s="2" t="b">
        <f>SET.VALUE(INDIRECT(ADDRESS(n,v)),"=")</f>
        <v>1</v>
      </c>
      <c r="B36" s="2" t="s">
        <v>41</v>
      </c>
      <c r="C36" s="2" t="s">
        <v>41</v>
      </c>
      <c r="D36" s="2" t="s">
        <v>41</v>
      </c>
    </row>
    <row r="37" spans="1:30" x14ac:dyDescent="0.25">
      <c r="A37" s="2" t="b">
        <f>NEXT()</f>
        <v>1</v>
      </c>
      <c r="B37" s="2" t="s">
        <v>41</v>
      </c>
      <c r="C37" s="2" t="s">
        <v>41</v>
      </c>
    </row>
    <row r="38" spans="1:30" x14ac:dyDescent="0.25">
      <c r="A38" s="2" t="str">
        <f>IF(x &lt; 200,INDIRECT(ADDRESS(n,v))&amp;INDIRECT(ADDRESS(36,2)))</f>
        <v/>
      </c>
      <c r="B38" s="2" t="s">
        <v>41</v>
      </c>
      <c r="C38" s="2" t="s">
        <v>41</v>
      </c>
    </row>
    <row r="39" spans="1:30" x14ac:dyDescent="0.25">
      <c r="A39" s="2" t="b">
        <f>SET.VALUE(INDIRECT(ADDRESS(n,v)),A38)</f>
        <v>1</v>
      </c>
      <c r="B39" s="2" t="s">
        <v>41</v>
      </c>
      <c r="C39" s="2" t="s">
        <v>41</v>
      </c>
    </row>
    <row r="40" spans="1:30" x14ac:dyDescent="0.25">
      <c r="A40" s="2" t="b">
        <f>SET.VALUE(D36,"")</f>
        <v>1</v>
      </c>
      <c r="B40" s="2" t="s">
        <v>41</v>
      </c>
      <c r="C40" s="2" t="s">
        <v>41</v>
      </c>
    </row>
    <row r="41" spans="1:30" x14ac:dyDescent="0.25">
      <c r="A41" s="2" t="b">
        <f>SET.VALUE(B36,"")</f>
        <v>1</v>
      </c>
      <c r="B41" s="2" t="s">
        <v>41</v>
      </c>
      <c r="C41" s="2" t="s">
        <v>41</v>
      </c>
    </row>
    <row r="42" spans="1:30" x14ac:dyDescent="0.25">
      <c r="A42" s="2" t="b">
        <f>SET.VALUE(B30,"")</f>
        <v>1</v>
      </c>
      <c r="B42" s="2" t="s">
        <v>41</v>
      </c>
      <c r="C42" s="2" t="s">
        <v>41</v>
      </c>
    </row>
    <row r="43" spans="1:30" x14ac:dyDescent="0.25">
      <c r="A43" s="2" t="str">
        <f>INDIRECT(ADDRESS(n,v))&amp;"&amp;"</f>
        <v>&amp;</v>
      </c>
      <c r="B43" s="2" t="s">
        <v>41</v>
      </c>
      <c r="C43" s="2" t="s">
        <v>41</v>
      </c>
    </row>
    <row r="44" spans="1:30" x14ac:dyDescent="0.25">
      <c r="A44" s="2" t="b">
        <f>SET.VALUE(INDIRECT(ADDRESS(n,v)),A43)</f>
        <v>1</v>
      </c>
      <c r="B44" s="2" t="s">
        <v>41</v>
      </c>
      <c r="C44" s="2" t="s">
        <v>41</v>
      </c>
    </row>
    <row r="45" spans="1:30" x14ac:dyDescent="0.25">
      <c r="A45" s="2" t="b">
        <f>NEXT()</f>
        <v>1</v>
      </c>
      <c r="B45" s="2" t="s">
        <v>41</v>
      </c>
      <c r="C45" s="2" t="s">
        <v>41</v>
      </c>
    </row>
    <row r="46" spans="1:30" x14ac:dyDescent="0.25">
      <c r="A46" s="2" t="b">
        <f>NEXT()</f>
        <v>1</v>
      </c>
      <c r="B46" s="2" t="s">
        <v>41</v>
      </c>
      <c r="C46" s="2" t="s">
        <v>41</v>
      </c>
      <c r="AA46" s="2" t="s">
        <v>44</v>
      </c>
      <c r="AB46" s="2" t="s">
        <v>45</v>
      </c>
      <c r="AC46" s="2" t="s">
        <v>46</v>
      </c>
      <c r="AD46" s="2" t="s">
        <v>33</v>
      </c>
    </row>
    <row r="47" spans="1:30" x14ac:dyDescent="0.25">
      <c r="B47" s="2" t="s">
        <v>41</v>
      </c>
      <c r="C47" s="2" t="s">
        <v>41</v>
      </c>
      <c r="AA47" s="2" t="s">
        <v>47</v>
      </c>
      <c r="AB47" s="2" t="s">
        <v>48</v>
      </c>
      <c r="AC47" s="2" t="s">
        <v>49</v>
      </c>
    </row>
    <row r="48" spans="1:30" x14ac:dyDescent="0.25">
      <c r="A48" s="2" t="b">
        <f>DEFINE.NAME("e",40)</f>
        <v>1</v>
      </c>
      <c r="B48" s="2" t="s">
        <v>41</v>
      </c>
      <c r="C48" s="2" t="s">
        <v>41</v>
      </c>
      <c r="AA48" s="2" t="s">
        <v>44</v>
      </c>
      <c r="AB48" s="2" t="s">
        <v>50</v>
      </c>
      <c r="AC48" s="2" t="s">
        <v>51</v>
      </c>
    </row>
    <row r="49" spans="1:29" x14ac:dyDescent="0.25">
      <c r="A49" s="2" t="b">
        <f>WHILE(e&lt;n+1)</f>
        <v>1</v>
      </c>
      <c r="B49" s="2" t="s">
        <v>41</v>
      </c>
      <c r="C49" s="2" t="s">
        <v>41</v>
      </c>
      <c r="AA49" s="2" t="s">
        <v>52</v>
      </c>
      <c r="AB49" s="2" t="s">
        <v>46</v>
      </c>
      <c r="AC49" s="2" t="s">
        <v>53</v>
      </c>
    </row>
    <row r="50" spans="1:29" x14ac:dyDescent="0.25">
      <c r="A50" s="2" t="b">
        <f>IF(RIGHT((INDIRECT(ADDRESS(e,v))),1) = "&amp;",LEFT(INDIRECT(ADDRESS(e,v)),LEN(INDIRECT(ADDRESS(e,v)))-1))</f>
        <v>0</v>
      </c>
      <c r="B50" s="2" t="s">
        <v>41</v>
      </c>
      <c r="C50" s="2" t="s">
        <v>41</v>
      </c>
      <c r="AA50" s="2" t="s">
        <v>54</v>
      </c>
      <c r="AB50" s="2">
        <v>20</v>
      </c>
      <c r="AC50" s="2" t="s">
        <v>55</v>
      </c>
    </row>
    <row r="51" spans="1:29" x14ac:dyDescent="0.25">
      <c r="A51" s="2" t="b">
        <f>SET.VALUE(INDIRECT(ADDRESS(e,v)),A50)</f>
        <v>1</v>
      </c>
      <c r="B51" s="2" t="s">
        <v>41</v>
      </c>
      <c r="C51" s="2" t="s">
        <v>41</v>
      </c>
      <c r="AA51" s="2" t="s">
        <v>56</v>
      </c>
      <c r="AB51" s="2" t="s">
        <v>40</v>
      </c>
      <c r="AC51" s="2" t="s">
        <v>57</v>
      </c>
    </row>
    <row r="52" spans="1:29" x14ac:dyDescent="0.25">
      <c r="A52" s="2" t="b">
        <f>DEFINE.NAME("e",e+1)</f>
        <v>1</v>
      </c>
      <c r="B52" s="2" t="s">
        <v>41</v>
      </c>
      <c r="C52" s="2" t="s">
        <v>41</v>
      </c>
      <c r="AA52" s="2" t="s">
        <v>58</v>
      </c>
      <c r="AC52" s="2" t="s">
        <v>44</v>
      </c>
    </row>
    <row r="53" spans="1:29" x14ac:dyDescent="0.25">
      <c r="A53" s="2" t="b">
        <f>NEXT()</f>
        <v>1</v>
      </c>
      <c r="B53" s="2" t="s">
        <v>41</v>
      </c>
      <c r="C53" s="2" t="s">
        <v>41</v>
      </c>
      <c r="AA53" s="2" t="s">
        <v>59</v>
      </c>
      <c r="AC53" s="2" t="s">
        <v>55</v>
      </c>
    </row>
    <row r="54" spans="1:29" x14ac:dyDescent="0.25">
      <c r="A54" s="2" t="b">
        <f>DEFINE.NAME("e",40)</f>
        <v>1</v>
      </c>
      <c r="B54" s="2" t="s">
        <v>41</v>
      </c>
      <c r="C54" s="2" t="s">
        <v>41</v>
      </c>
      <c r="AA54" s="2" t="s">
        <v>49</v>
      </c>
      <c r="AC54" s="2" t="s">
        <v>46</v>
      </c>
    </row>
    <row r="55" spans="1:29" x14ac:dyDescent="0.25">
      <c r="A55" s="2" t="b">
        <f>WHILE(e&lt;n+1)</f>
        <v>1</v>
      </c>
      <c r="B55" s="2" t="s">
        <v>41</v>
      </c>
      <c r="C55" s="2" t="s">
        <v>41</v>
      </c>
      <c r="AA55" s="2" t="s">
        <v>48</v>
      </c>
      <c r="AC55" s="2" t="s">
        <v>60</v>
      </c>
    </row>
    <row r="56" spans="1:29" x14ac:dyDescent="0.25">
      <c r="A56" s="2" t="e">
        <f>C40&amp;EVALUATE(ABSREF("R["&amp;e-60&amp;"]C[1]",A60))</f>
        <v>#VALUE!</v>
      </c>
      <c r="B56" s="2" t="s">
        <v>41</v>
      </c>
      <c r="C56" s="2" t="s">
        <v>41</v>
      </c>
      <c r="AA56" s="2" t="s">
        <v>61</v>
      </c>
      <c r="AC56" s="2" t="s">
        <v>51</v>
      </c>
    </row>
    <row r="57" spans="1:29" x14ac:dyDescent="0.25">
      <c r="A57" s="2" t="b">
        <f>SET.VALUE(C40,A56)</f>
        <v>1</v>
      </c>
      <c r="B57" s="2" t="s">
        <v>41</v>
      </c>
      <c r="C57" s="2" t="s">
        <v>41</v>
      </c>
      <c r="AA57" s="2" t="s">
        <v>62</v>
      </c>
      <c r="AC57" s="2" t="s">
        <v>53</v>
      </c>
    </row>
    <row r="58" spans="1:29" x14ac:dyDescent="0.25">
      <c r="A58" s="2" t="b">
        <f>DEFINE.NAME("e",e+1)</f>
        <v>1</v>
      </c>
      <c r="B58" s="2" t="s">
        <v>41</v>
      </c>
      <c r="C58" s="2" t="s">
        <v>41</v>
      </c>
      <c r="AA58" s="2" t="s">
        <v>63</v>
      </c>
      <c r="AC58" s="2" t="s">
        <v>55</v>
      </c>
    </row>
    <row r="59" spans="1:29" x14ac:dyDescent="0.25">
      <c r="A59" s="2" t="b">
        <f>NEXT()</f>
        <v>1</v>
      </c>
      <c r="B59" s="2" t="s">
        <v>41</v>
      </c>
      <c r="C59" s="2" t="s">
        <v>41</v>
      </c>
      <c r="AA59" s="2" t="s">
        <v>48</v>
      </c>
      <c r="AC59" s="2" t="s">
        <v>52</v>
      </c>
    </row>
    <row r="60" spans="1:29" x14ac:dyDescent="0.25">
      <c r="A60" s="2" t="b">
        <f>FORMULA("="&amp;C40&amp;""")",A65)</f>
        <v>1</v>
      </c>
      <c r="B60" s="2" t="s">
        <v>41</v>
      </c>
      <c r="C60" s="2" t="s">
        <v>41</v>
      </c>
      <c r="AA60" s="2" t="s">
        <v>64</v>
      </c>
      <c r="AC60" s="2" t="s">
        <v>53</v>
      </c>
    </row>
    <row r="61" spans="1:29" x14ac:dyDescent="0.25">
      <c r="B61" s="2" t="s">
        <v>41</v>
      </c>
      <c r="C61" s="2" t="s">
        <v>41</v>
      </c>
      <c r="AA61" s="2" t="s">
        <v>64</v>
      </c>
      <c r="AC61" s="2" t="s">
        <v>55</v>
      </c>
    </row>
    <row r="62" spans="1:29" x14ac:dyDescent="0.25">
      <c r="B62" s="2" t="s">
        <v>41</v>
      </c>
      <c r="C62" s="2" t="s">
        <v>41</v>
      </c>
      <c r="AA62" s="2" t="s">
        <v>65</v>
      </c>
      <c r="AC62" s="2" t="s">
        <v>46</v>
      </c>
    </row>
    <row r="63" spans="1:29" x14ac:dyDescent="0.25">
      <c r="B63" s="2" t="s">
        <v>41</v>
      </c>
      <c r="C63" s="2" t="s">
        <v>41</v>
      </c>
      <c r="AA63" s="2" t="s">
        <v>48</v>
      </c>
      <c r="AC63" s="2" t="s">
        <v>55</v>
      </c>
    </row>
    <row r="64" spans="1:29" x14ac:dyDescent="0.25">
      <c r="B64" s="2" t="s">
        <v>41</v>
      </c>
      <c r="C64" s="2" t="s">
        <v>41</v>
      </c>
      <c r="AA64" s="2" t="s">
        <v>66</v>
      </c>
      <c r="AC64" s="2" t="s">
        <v>51</v>
      </c>
    </row>
    <row r="65" spans="1:29" x14ac:dyDescent="0.25">
      <c r="A65" s="2" t="b">
        <f>DEFINE.NAME(t,1)</f>
        <v>0</v>
      </c>
      <c r="B65" s="2" t="s">
        <v>41</v>
      </c>
      <c r="C65" s="2" t="s">
        <v>41</v>
      </c>
      <c r="AA65" s="2" t="s">
        <v>48</v>
      </c>
      <c r="AC65" s="2" t="s">
        <v>67</v>
      </c>
    </row>
    <row r="66" spans="1:29" x14ac:dyDescent="0.25">
      <c r="B66" s="2" t="s">
        <v>41</v>
      </c>
      <c r="C66" s="2" t="s">
        <v>41</v>
      </c>
      <c r="AA66" s="2">
        <v>20</v>
      </c>
      <c r="AC66" s="2" t="s">
        <v>55</v>
      </c>
    </row>
    <row r="67" spans="1:29" x14ac:dyDescent="0.25">
      <c r="A67" s="2" t="b">
        <f>SET.VALUE(B4:B100,"")</f>
        <v>1</v>
      </c>
      <c r="B67" s="2" t="s">
        <v>41</v>
      </c>
      <c r="C67" s="2" t="s">
        <v>41</v>
      </c>
      <c r="AA67" s="2" t="s">
        <v>40</v>
      </c>
      <c r="AC67" s="2" t="s">
        <v>57</v>
      </c>
    </row>
    <row r="68" spans="1:29" x14ac:dyDescent="0.25">
      <c r="A68" s="2" t="b">
        <f>SET.VALUE(C5:C101,"")</f>
        <v>1</v>
      </c>
      <c r="B68" s="2" t="s">
        <v>41</v>
      </c>
      <c r="C68" s="2" t="s">
        <v>41</v>
      </c>
      <c r="AC68" s="2" t="s">
        <v>68</v>
      </c>
    </row>
    <row r="69" spans="1:29" x14ac:dyDescent="0.25">
      <c r="A69" s="2" t="b">
        <f>FORMULA("=DEFINE.NAME(t,1)",A65)</f>
        <v>1</v>
      </c>
      <c r="B69" s="2" t="s">
        <v>41</v>
      </c>
      <c r="C69" s="2" t="s">
        <v>41</v>
      </c>
      <c r="AC69" s="2" t="s">
        <v>55</v>
      </c>
    </row>
    <row r="70" spans="1:29" x14ac:dyDescent="0.25">
      <c r="A70" s="2" t="b">
        <f>DEFINE.NAME("p",1)</f>
        <v>1</v>
      </c>
      <c r="B70" s="2" t="s">
        <v>41</v>
      </c>
      <c r="C70" s="2" t="s">
        <v>41</v>
      </c>
      <c r="AC70" s="2" t="s">
        <v>69</v>
      </c>
    </row>
    <row r="71" spans="1:29" x14ac:dyDescent="0.25">
      <c r="A71" s="2" t="b">
        <f>DEFINE.NAME("x",1)</f>
        <v>1</v>
      </c>
      <c r="B71" s="2" t="s">
        <v>41</v>
      </c>
      <c r="C71" s="2" t="s">
        <v>41</v>
      </c>
      <c r="AC71" s="2" t="s">
        <v>49</v>
      </c>
    </row>
    <row r="72" spans="1:29" x14ac:dyDescent="0.25">
      <c r="A72" s="2" t="b">
        <f>DEFINE.NAME("z",1)</f>
        <v>1</v>
      </c>
      <c r="B72" s="2" t="s">
        <v>41</v>
      </c>
      <c r="C72" s="2" t="s">
        <v>41</v>
      </c>
      <c r="AC72" s="2" t="s">
        <v>51</v>
      </c>
    </row>
    <row r="73" spans="1:29" x14ac:dyDescent="0.25">
      <c r="A73" s="2" t="b">
        <f>DEFINE.NAME("e",1)</f>
        <v>1</v>
      </c>
      <c r="B73" s="2" t="s">
        <v>41</v>
      </c>
      <c r="C73" s="2" t="s">
        <v>41</v>
      </c>
      <c r="AC73" s="2" t="s">
        <v>64</v>
      </c>
    </row>
    <row r="74" spans="1:29" x14ac:dyDescent="0.25">
      <c r="A74" s="2" t="b">
        <f>DEFINE.NAME("y",1)</f>
        <v>1</v>
      </c>
      <c r="B74" s="2" t="s">
        <v>41</v>
      </c>
      <c r="C74" s="2" t="s">
        <v>41</v>
      </c>
      <c r="AC74" s="2" t="s">
        <v>55</v>
      </c>
    </row>
    <row r="75" spans="1:29" x14ac:dyDescent="0.25">
      <c r="B75" s="2" t="s">
        <v>41</v>
      </c>
      <c r="C75" s="2" t="s">
        <v>41</v>
      </c>
      <c r="AC75" s="2" t="s">
        <v>70</v>
      </c>
    </row>
    <row r="76" spans="1:29" x14ac:dyDescent="0.25">
      <c r="A76" s="2" t="b">
        <f>FILE.CLOSE(FALSE)</f>
        <v>0</v>
      </c>
      <c r="B76" s="2" t="s">
        <v>41</v>
      </c>
      <c r="C76" s="2" t="s">
        <v>41</v>
      </c>
      <c r="AC76" s="2" t="s">
        <v>71</v>
      </c>
    </row>
    <row r="77" spans="1:29" x14ac:dyDescent="0.25">
      <c r="B77" s="2" t="s">
        <v>41</v>
      </c>
      <c r="C77" s="2" t="s">
        <v>41</v>
      </c>
      <c r="AC77" s="2" t="s">
        <v>55</v>
      </c>
    </row>
    <row r="78" spans="1:29" x14ac:dyDescent="0.25">
      <c r="B78" s="2" t="s">
        <v>41</v>
      </c>
      <c r="C78" s="2" t="s">
        <v>41</v>
      </c>
      <c r="AC78" s="2" t="s">
        <v>46</v>
      </c>
    </row>
    <row r="79" spans="1:29" x14ac:dyDescent="0.25">
      <c r="B79" s="2" t="s">
        <v>41</v>
      </c>
      <c r="C79" s="2" t="s">
        <v>41</v>
      </c>
      <c r="AC79" s="2" t="s">
        <v>49</v>
      </c>
    </row>
    <row r="80" spans="1:29" x14ac:dyDescent="0.25">
      <c r="B80" s="2" t="s">
        <v>41</v>
      </c>
      <c r="C80" s="2" t="s">
        <v>41</v>
      </c>
      <c r="AC80" s="2" t="s">
        <v>55</v>
      </c>
    </row>
    <row r="81" spans="2:29" x14ac:dyDescent="0.25">
      <c r="B81" s="2" t="s">
        <v>41</v>
      </c>
      <c r="C81" s="2" t="s">
        <v>41</v>
      </c>
      <c r="AC81" s="2" t="s">
        <v>60</v>
      </c>
    </row>
    <row r="82" spans="2:29" x14ac:dyDescent="0.25">
      <c r="B82" s="2" t="s">
        <v>41</v>
      </c>
      <c r="C82" s="2" t="s">
        <v>41</v>
      </c>
      <c r="AC82" s="2" t="s">
        <v>55</v>
      </c>
    </row>
    <row r="83" spans="2:29" x14ac:dyDescent="0.25">
      <c r="B83" s="2" t="s">
        <v>41</v>
      </c>
      <c r="C83" s="2" t="s">
        <v>41</v>
      </c>
      <c r="AC83" s="2" t="s">
        <v>57</v>
      </c>
    </row>
    <row r="84" spans="2:29" x14ac:dyDescent="0.25">
      <c r="B84" s="2" t="s">
        <v>41</v>
      </c>
      <c r="C84" s="2" t="s">
        <v>41</v>
      </c>
      <c r="AC84" s="2" t="s">
        <v>71</v>
      </c>
    </row>
    <row r="85" spans="2:29" x14ac:dyDescent="0.25">
      <c r="B85" s="2" t="s">
        <v>41</v>
      </c>
      <c r="C85" s="2" t="s">
        <v>41</v>
      </c>
      <c r="AC85" s="2" t="s">
        <v>55</v>
      </c>
    </row>
    <row r="86" spans="2:29" x14ac:dyDescent="0.25">
      <c r="B86" s="2" t="s">
        <v>41</v>
      </c>
      <c r="C86" s="2" t="s">
        <v>41</v>
      </c>
      <c r="AC86" s="2" t="s">
        <v>69</v>
      </c>
    </row>
    <row r="87" spans="2:29" x14ac:dyDescent="0.25">
      <c r="B87" s="2" t="s">
        <v>41</v>
      </c>
      <c r="C87" s="2" t="s">
        <v>41</v>
      </c>
      <c r="AC87" s="2" t="s">
        <v>72</v>
      </c>
    </row>
    <row r="88" spans="2:29" x14ac:dyDescent="0.25">
      <c r="B88" s="2" t="s">
        <v>41</v>
      </c>
      <c r="C88" s="2" t="s">
        <v>41</v>
      </c>
      <c r="AC88" s="2" t="s">
        <v>51</v>
      </c>
    </row>
    <row r="89" spans="2:29" x14ac:dyDescent="0.25">
      <c r="B89" s="2" t="s">
        <v>41</v>
      </c>
      <c r="C89" s="2" t="s">
        <v>41</v>
      </c>
      <c r="AC89" s="2" t="s">
        <v>62</v>
      </c>
    </row>
    <row r="90" spans="2:29" x14ac:dyDescent="0.25">
      <c r="B90" s="2" t="s">
        <v>41</v>
      </c>
      <c r="C90" s="2" t="s">
        <v>41</v>
      </c>
      <c r="AC90" s="2" t="s">
        <v>55</v>
      </c>
    </row>
    <row r="91" spans="2:29" x14ac:dyDescent="0.25">
      <c r="B91" s="2" t="s">
        <v>41</v>
      </c>
      <c r="C91" s="2" t="s">
        <v>41</v>
      </c>
      <c r="AC91" s="2" t="s">
        <v>57</v>
      </c>
    </row>
    <row r="92" spans="2:29" x14ac:dyDescent="0.25">
      <c r="B92" s="2" t="s">
        <v>41</v>
      </c>
      <c r="C92" s="2" t="s">
        <v>41</v>
      </c>
      <c r="AC92" s="2" t="s">
        <v>71</v>
      </c>
    </row>
    <row r="93" spans="2:29" x14ac:dyDescent="0.25">
      <c r="B93" s="2" t="s">
        <v>41</v>
      </c>
      <c r="C93" s="2" t="s">
        <v>41</v>
      </c>
      <c r="AC93" s="2" t="s">
        <v>55</v>
      </c>
    </row>
    <row r="94" spans="2:29" x14ac:dyDescent="0.25">
      <c r="B94" s="2" t="s">
        <v>41</v>
      </c>
      <c r="C94" s="2" t="s">
        <v>41</v>
      </c>
      <c r="AC94" s="2" t="s">
        <v>73</v>
      </c>
    </row>
    <row r="95" spans="2:29" x14ac:dyDescent="0.25">
      <c r="B95" s="2" t="s">
        <v>41</v>
      </c>
      <c r="C95" s="2" t="s">
        <v>41</v>
      </c>
      <c r="AC95" s="2" t="s">
        <v>60</v>
      </c>
    </row>
    <row r="96" spans="2:29" x14ac:dyDescent="0.25">
      <c r="B96" s="2" t="s">
        <v>41</v>
      </c>
      <c r="C96" s="2" t="s">
        <v>41</v>
      </c>
      <c r="AC96" s="2" t="s">
        <v>51</v>
      </c>
    </row>
    <row r="97" spans="2:29" x14ac:dyDescent="0.25">
      <c r="B97" s="2" t="s">
        <v>41</v>
      </c>
      <c r="C97" s="2" t="s">
        <v>41</v>
      </c>
      <c r="AC97" s="2" t="s">
        <v>64</v>
      </c>
    </row>
    <row r="98" spans="2:29" x14ac:dyDescent="0.25">
      <c r="B98" s="2" t="s">
        <v>41</v>
      </c>
      <c r="C98" s="2" t="s">
        <v>41</v>
      </c>
      <c r="AC98" s="2" t="s">
        <v>55</v>
      </c>
    </row>
    <row r="99" spans="2:29" x14ac:dyDescent="0.25">
      <c r="B99" s="2" t="s">
        <v>41</v>
      </c>
      <c r="C99" s="2" t="s">
        <v>41</v>
      </c>
      <c r="AC99" s="2" t="s">
        <v>70</v>
      </c>
    </row>
    <row r="100" spans="2:29" x14ac:dyDescent="0.25">
      <c r="B100" s="2" t="s">
        <v>41</v>
      </c>
      <c r="C100" s="2" t="s">
        <v>41</v>
      </c>
      <c r="AC100" s="2" t="s">
        <v>60</v>
      </c>
    </row>
    <row r="101" spans="2:29" x14ac:dyDescent="0.25">
      <c r="B101" s="2">
        <v>0</v>
      </c>
      <c r="C101" s="2" t="s">
        <v>41</v>
      </c>
      <c r="AC101" s="2" t="s">
        <v>55</v>
      </c>
    </row>
    <row r="102" spans="2:29" x14ac:dyDescent="0.25">
      <c r="AC102" s="2" t="s">
        <v>74</v>
      </c>
    </row>
    <row r="103" spans="2:29" x14ac:dyDescent="0.25">
      <c r="AC103" s="2" t="s">
        <v>72</v>
      </c>
    </row>
    <row r="104" spans="2:29" x14ac:dyDescent="0.25">
      <c r="AC104" s="2" t="s">
        <v>55</v>
      </c>
    </row>
    <row r="105" spans="2:29" x14ac:dyDescent="0.25">
      <c r="AC105" s="2" t="s">
        <v>75</v>
      </c>
    </row>
    <row r="106" spans="2:29" x14ac:dyDescent="0.25">
      <c r="AC106" s="2" t="s">
        <v>40</v>
      </c>
    </row>
  </sheetData>
  <pageMargins left="0.7" right="0.7" top="0.75" bottom="0.75" header="0.3" footer="0.3"/>
  <pageSetup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55F2A-32C5-4C01-AC73-0323C1A996AA}">
  <sheetPr codeName="Sheet1"/>
  <dimension ref="A1:P765"/>
  <sheetViews>
    <sheetView tabSelected="1" workbookViewId="0"/>
  </sheetViews>
  <sheetFormatPr defaultRowHeight="15" x14ac:dyDescent="0.25"/>
  <cols>
    <col min="1" max="1" width="16.28515625" bestFit="1" customWidth="1"/>
    <col min="2" max="5" width="9.85546875" bestFit="1" customWidth="1"/>
    <col min="6" max="6" width="19.85546875" bestFit="1" customWidth="1"/>
    <col min="7" max="7" width="10.42578125" bestFit="1" customWidth="1"/>
    <col min="8" max="8" width="13.5703125" bestFit="1" customWidth="1"/>
    <col min="9" max="9" width="11.85546875" bestFit="1" customWidth="1"/>
    <col min="10" max="10" width="13.5703125" bestFit="1" customWidth="1"/>
    <col min="11" max="12" width="11.85546875" bestFit="1" customWidth="1"/>
    <col min="13" max="13" width="9.7109375" bestFit="1" customWidth="1"/>
    <col min="14" max="14" width="14.7109375" bestFit="1" customWidth="1"/>
    <col min="15" max="15" width="13.5703125" bestFit="1" customWidth="1"/>
    <col min="16" max="16" width="5" bestFit="1" customWidth="1"/>
    <col min="257" max="257" width="16.28515625" bestFit="1" customWidth="1"/>
    <col min="258" max="261" width="9.85546875" bestFit="1" customWidth="1"/>
    <col min="262" max="262" width="19.85546875" bestFit="1" customWidth="1"/>
    <col min="263" max="263" width="10.42578125" bestFit="1" customWidth="1"/>
    <col min="264" max="264" width="13.5703125" bestFit="1" customWidth="1"/>
    <col min="265" max="265" width="11.85546875" bestFit="1" customWidth="1"/>
    <col min="266" max="266" width="13.5703125" bestFit="1" customWidth="1"/>
    <col min="267" max="268" width="11.85546875" bestFit="1" customWidth="1"/>
    <col min="269" max="269" width="9.7109375" bestFit="1" customWidth="1"/>
    <col min="270" max="270" width="14.7109375" bestFit="1" customWidth="1"/>
    <col min="271" max="271" width="13.5703125" bestFit="1" customWidth="1"/>
    <col min="272" max="272" width="5" bestFit="1" customWidth="1"/>
    <col min="513" max="513" width="16.28515625" bestFit="1" customWidth="1"/>
    <col min="514" max="517" width="9.85546875" bestFit="1" customWidth="1"/>
    <col min="518" max="518" width="19.85546875" bestFit="1" customWidth="1"/>
    <col min="519" max="519" width="10.42578125" bestFit="1" customWidth="1"/>
    <col min="520" max="520" width="13.5703125" bestFit="1" customWidth="1"/>
    <col min="521" max="521" width="11.85546875" bestFit="1" customWidth="1"/>
    <col min="522" max="522" width="13.5703125" bestFit="1" customWidth="1"/>
    <col min="523" max="524" width="11.85546875" bestFit="1" customWidth="1"/>
    <col min="525" max="525" width="9.7109375" bestFit="1" customWidth="1"/>
    <col min="526" max="526" width="14.7109375" bestFit="1" customWidth="1"/>
    <col min="527" max="527" width="13.5703125" bestFit="1" customWidth="1"/>
    <col min="528" max="528" width="5" bestFit="1" customWidth="1"/>
    <col min="769" max="769" width="16.28515625" bestFit="1" customWidth="1"/>
    <col min="770" max="773" width="9.85546875" bestFit="1" customWidth="1"/>
    <col min="774" max="774" width="19.85546875" bestFit="1" customWidth="1"/>
    <col min="775" max="775" width="10.42578125" bestFit="1" customWidth="1"/>
    <col min="776" max="776" width="13.5703125" bestFit="1" customWidth="1"/>
    <col min="777" max="777" width="11.85546875" bestFit="1" customWidth="1"/>
    <col min="778" max="778" width="13.5703125" bestFit="1" customWidth="1"/>
    <col min="779" max="780" width="11.85546875" bestFit="1" customWidth="1"/>
    <col min="781" max="781" width="9.7109375" bestFit="1" customWidth="1"/>
    <col min="782" max="782" width="14.7109375" bestFit="1" customWidth="1"/>
    <col min="783" max="783" width="13.5703125" bestFit="1" customWidth="1"/>
    <col min="784" max="784" width="5" bestFit="1" customWidth="1"/>
    <col min="1025" max="1025" width="16.28515625" bestFit="1" customWidth="1"/>
    <col min="1026" max="1029" width="9.85546875" bestFit="1" customWidth="1"/>
    <col min="1030" max="1030" width="19.85546875" bestFit="1" customWidth="1"/>
    <col min="1031" max="1031" width="10.42578125" bestFit="1" customWidth="1"/>
    <col min="1032" max="1032" width="13.5703125" bestFit="1" customWidth="1"/>
    <col min="1033" max="1033" width="11.85546875" bestFit="1" customWidth="1"/>
    <col min="1034" max="1034" width="13.5703125" bestFit="1" customWidth="1"/>
    <col min="1035" max="1036" width="11.85546875" bestFit="1" customWidth="1"/>
    <col min="1037" max="1037" width="9.7109375" bestFit="1" customWidth="1"/>
    <col min="1038" max="1038" width="14.7109375" bestFit="1" customWidth="1"/>
    <col min="1039" max="1039" width="13.5703125" bestFit="1" customWidth="1"/>
    <col min="1040" max="1040" width="5" bestFit="1" customWidth="1"/>
    <col min="1281" max="1281" width="16.28515625" bestFit="1" customWidth="1"/>
    <col min="1282" max="1285" width="9.85546875" bestFit="1" customWidth="1"/>
    <col min="1286" max="1286" width="19.85546875" bestFit="1" customWidth="1"/>
    <col min="1287" max="1287" width="10.42578125" bestFit="1" customWidth="1"/>
    <col min="1288" max="1288" width="13.5703125" bestFit="1" customWidth="1"/>
    <col min="1289" max="1289" width="11.85546875" bestFit="1" customWidth="1"/>
    <col min="1290" max="1290" width="13.5703125" bestFit="1" customWidth="1"/>
    <col min="1291" max="1292" width="11.85546875" bestFit="1" customWidth="1"/>
    <col min="1293" max="1293" width="9.7109375" bestFit="1" customWidth="1"/>
    <col min="1294" max="1294" width="14.7109375" bestFit="1" customWidth="1"/>
    <col min="1295" max="1295" width="13.5703125" bestFit="1" customWidth="1"/>
    <col min="1296" max="1296" width="5" bestFit="1" customWidth="1"/>
    <col min="1537" max="1537" width="16.28515625" bestFit="1" customWidth="1"/>
    <col min="1538" max="1541" width="9.85546875" bestFit="1" customWidth="1"/>
    <col min="1542" max="1542" width="19.85546875" bestFit="1" customWidth="1"/>
    <col min="1543" max="1543" width="10.42578125" bestFit="1" customWidth="1"/>
    <col min="1544" max="1544" width="13.5703125" bestFit="1" customWidth="1"/>
    <col min="1545" max="1545" width="11.85546875" bestFit="1" customWidth="1"/>
    <col min="1546" max="1546" width="13.5703125" bestFit="1" customWidth="1"/>
    <col min="1547" max="1548" width="11.85546875" bestFit="1" customWidth="1"/>
    <col min="1549" max="1549" width="9.7109375" bestFit="1" customWidth="1"/>
    <col min="1550" max="1550" width="14.7109375" bestFit="1" customWidth="1"/>
    <col min="1551" max="1551" width="13.5703125" bestFit="1" customWidth="1"/>
    <col min="1552" max="1552" width="5" bestFit="1" customWidth="1"/>
    <col min="1793" max="1793" width="16.28515625" bestFit="1" customWidth="1"/>
    <col min="1794" max="1797" width="9.85546875" bestFit="1" customWidth="1"/>
    <col min="1798" max="1798" width="19.85546875" bestFit="1" customWidth="1"/>
    <col min="1799" max="1799" width="10.42578125" bestFit="1" customWidth="1"/>
    <col min="1800" max="1800" width="13.5703125" bestFit="1" customWidth="1"/>
    <col min="1801" max="1801" width="11.85546875" bestFit="1" customWidth="1"/>
    <col min="1802" max="1802" width="13.5703125" bestFit="1" customWidth="1"/>
    <col min="1803" max="1804" width="11.85546875" bestFit="1" customWidth="1"/>
    <col min="1805" max="1805" width="9.7109375" bestFit="1" customWidth="1"/>
    <col min="1806" max="1806" width="14.7109375" bestFit="1" customWidth="1"/>
    <col min="1807" max="1807" width="13.5703125" bestFit="1" customWidth="1"/>
    <col min="1808" max="1808" width="5" bestFit="1" customWidth="1"/>
    <col min="2049" max="2049" width="16.28515625" bestFit="1" customWidth="1"/>
    <col min="2050" max="2053" width="9.85546875" bestFit="1" customWidth="1"/>
    <col min="2054" max="2054" width="19.85546875" bestFit="1" customWidth="1"/>
    <col min="2055" max="2055" width="10.42578125" bestFit="1" customWidth="1"/>
    <col min="2056" max="2056" width="13.5703125" bestFit="1" customWidth="1"/>
    <col min="2057" max="2057" width="11.85546875" bestFit="1" customWidth="1"/>
    <col min="2058" max="2058" width="13.5703125" bestFit="1" customWidth="1"/>
    <col min="2059" max="2060" width="11.85546875" bestFit="1" customWidth="1"/>
    <col min="2061" max="2061" width="9.7109375" bestFit="1" customWidth="1"/>
    <col min="2062" max="2062" width="14.7109375" bestFit="1" customWidth="1"/>
    <col min="2063" max="2063" width="13.5703125" bestFit="1" customWidth="1"/>
    <col min="2064" max="2064" width="5" bestFit="1" customWidth="1"/>
    <col min="2305" max="2305" width="16.28515625" bestFit="1" customWidth="1"/>
    <col min="2306" max="2309" width="9.85546875" bestFit="1" customWidth="1"/>
    <col min="2310" max="2310" width="19.85546875" bestFit="1" customWidth="1"/>
    <col min="2311" max="2311" width="10.42578125" bestFit="1" customWidth="1"/>
    <col min="2312" max="2312" width="13.5703125" bestFit="1" customWidth="1"/>
    <col min="2313" max="2313" width="11.85546875" bestFit="1" customWidth="1"/>
    <col min="2314" max="2314" width="13.5703125" bestFit="1" customWidth="1"/>
    <col min="2315" max="2316" width="11.85546875" bestFit="1" customWidth="1"/>
    <col min="2317" max="2317" width="9.7109375" bestFit="1" customWidth="1"/>
    <col min="2318" max="2318" width="14.7109375" bestFit="1" customWidth="1"/>
    <col min="2319" max="2319" width="13.5703125" bestFit="1" customWidth="1"/>
    <col min="2320" max="2320" width="5" bestFit="1" customWidth="1"/>
    <col min="2561" max="2561" width="16.28515625" bestFit="1" customWidth="1"/>
    <col min="2562" max="2565" width="9.85546875" bestFit="1" customWidth="1"/>
    <col min="2566" max="2566" width="19.85546875" bestFit="1" customWidth="1"/>
    <col min="2567" max="2567" width="10.42578125" bestFit="1" customWidth="1"/>
    <col min="2568" max="2568" width="13.5703125" bestFit="1" customWidth="1"/>
    <col min="2569" max="2569" width="11.85546875" bestFit="1" customWidth="1"/>
    <col min="2570" max="2570" width="13.5703125" bestFit="1" customWidth="1"/>
    <col min="2571" max="2572" width="11.85546875" bestFit="1" customWidth="1"/>
    <col min="2573" max="2573" width="9.7109375" bestFit="1" customWidth="1"/>
    <col min="2574" max="2574" width="14.7109375" bestFit="1" customWidth="1"/>
    <col min="2575" max="2575" width="13.5703125" bestFit="1" customWidth="1"/>
    <col min="2576" max="2576" width="5" bestFit="1" customWidth="1"/>
    <col min="2817" max="2817" width="16.28515625" bestFit="1" customWidth="1"/>
    <col min="2818" max="2821" width="9.85546875" bestFit="1" customWidth="1"/>
    <col min="2822" max="2822" width="19.85546875" bestFit="1" customWidth="1"/>
    <col min="2823" max="2823" width="10.42578125" bestFit="1" customWidth="1"/>
    <col min="2824" max="2824" width="13.5703125" bestFit="1" customWidth="1"/>
    <col min="2825" max="2825" width="11.85546875" bestFit="1" customWidth="1"/>
    <col min="2826" max="2826" width="13.5703125" bestFit="1" customWidth="1"/>
    <col min="2827" max="2828" width="11.85546875" bestFit="1" customWidth="1"/>
    <col min="2829" max="2829" width="9.7109375" bestFit="1" customWidth="1"/>
    <col min="2830" max="2830" width="14.7109375" bestFit="1" customWidth="1"/>
    <col min="2831" max="2831" width="13.5703125" bestFit="1" customWidth="1"/>
    <col min="2832" max="2832" width="5" bestFit="1" customWidth="1"/>
    <col min="3073" max="3073" width="16.28515625" bestFit="1" customWidth="1"/>
    <col min="3074" max="3077" width="9.85546875" bestFit="1" customWidth="1"/>
    <col min="3078" max="3078" width="19.85546875" bestFit="1" customWidth="1"/>
    <col min="3079" max="3079" width="10.42578125" bestFit="1" customWidth="1"/>
    <col min="3080" max="3080" width="13.5703125" bestFit="1" customWidth="1"/>
    <col min="3081" max="3081" width="11.85546875" bestFit="1" customWidth="1"/>
    <col min="3082" max="3082" width="13.5703125" bestFit="1" customWidth="1"/>
    <col min="3083" max="3084" width="11.85546875" bestFit="1" customWidth="1"/>
    <col min="3085" max="3085" width="9.7109375" bestFit="1" customWidth="1"/>
    <col min="3086" max="3086" width="14.7109375" bestFit="1" customWidth="1"/>
    <col min="3087" max="3087" width="13.5703125" bestFit="1" customWidth="1"/>
    <col min="3088" max="3088" width="5" bestFit="1" customWidth="1"/>
    <col min="3329" max="3329" width="16.28515625" bestFit="1" customWidth="1"/>
    <col min="3330" max="3333" width="9.85546875" bestFit="1" customWidth="1"/>
    <col min="3334" max="3334" width="19.85546875" bestFit="1" customWidth="1"/>
    <col min="3335" max="3335" width="10.42578125" bestFit="1" customWidth="1"/>
    <col min="3336" max="3336" width="13.5703125" bestFit="1" customWidth="1"/>
    <col min="3337" max="3337" width="11.85546875" bestFit="1" customWidth="1"/>
    <col min="3338" max="3338" width="13.5703125" bestFit="1" customWidth="1"/>
    <col min="3339" max="3340" width="11.85546875" bestFit="1" customWidth="1"/>
    <col min="3341" max="3341" width="9.7109375" bestFit="1" customWidth="1"/>
    <col min="3342" max="3342" width="14.7109375" bestFit="1" customWidth="1"/>
    <col min="3343" max="3343" width="13.5703125" bestFit="1" customWidth="1"/>
    <col min="3344" max="3344" width="5" bestFit="1" customWidth="1"/>
    <col min="3585" max="3585" width="16.28515625" bestFit="1" customWidth="1"/>
    <col min="3586" max="3589" width="9.85546875" bestFit="1" customWidth="1"/>
    <col min="3590" max="3590" width="19.85546875" bestFit="1" customWidth="1"/>
    <col min="3591" max="3591" width="10.42578125" bestFit="1" customWidth="1"/>
    <col min="3592" max="3592" width="13.5703125" bestFit="1" customWidth="1"/>
    <col min="3593" max="3593" width="11.85546875" bestFit="1" customWidth="1"/>
    <col min="3594" max="3594" width="13.5703125" bestFit="1" customWidth="1"/>
    <col min="3595" max="3596" width="11.85546875" bestFit="1" customWidth="1"/>
    <col min="3597" max="3597" width="9.7109375" bestFit="1" customWidth="1"/>
    <col min="3598" max="3598" width="14.7109375" bestFit="1" customWidth="1"/>
    <col min="3599" max="3599" width="13.5703125" bestFit="1" customWidth="1"/>
    <col min="3600" max="3600" width="5" bestFit="1" customWidth="1"/>
    <col min="3841" max="3841" width="16.28515625" bestFit="1" customWidth="1"/>
    <col min="3842" max="3845" width="9.85546875" bestFit="1" customWidth="1"/>
    <col min="3846" max="3846" width="19.85546875" bestFit="1" customWidth="1"/>
    <col min="3847" max="3847" width="10.42578125" bestFit="1" customWidth="1"/>
    <col min="3848" max="3848" width="13.5703125" bestFit="1" customWidth="1"/>
    <col min="3849" max="3849" width="11.85546875" bestFit="1" customWidth="1"/>
    <col min="3850" max="3850" width="13.5703125" bestFit="1" customWidth="1"/>
    <col min="3851" max="3852" width="11.85546875" bestFit="1" customWidth="1"/>
    <col min="3853" max="3853" width="9.7109375" bestFit="1" customWidth="1"/>
    <col min="3854" max="3854" width="14.7109375" bestFit="1" customWidth="1"/>
    <col min="3855" max="3855" width="13.5703125" bestFit="1" customWidth="1"/>
    <col min="3856" max="3856" width="5" bestFit="1" customWidth="1"/>
    <col min="4097" max="4097" width="16.28515625" bestFit="1" customWidth="1"/>
    <col min="4098" max="4101" width="9.85546875" bestFit="1" customWidth="1"/>
    <col min="4102" max="4102" width="19.85546875" bestFit="1" customWidth="1"/>
    <col min="4103" max="4103" width="10.42578125" bestFit="1" customWidth="1"/>
    <col min="4104" max="4104" width="13.5703125" bestFit="1" customWidth="1"/>
    <col min="4105" max="4105" width="11.85546875" bestFit="1" customWidth="1"/>
    <col min="4106" max="4106" width="13.5703125" bestFit="1" customWidth="1"/>
    <col min="4107" max="4108" width="11.85546875" bestFit="1" customWidth="1"/>
    <col min="4109" max="4109" width="9.7109375" bestFit="1" customWidth="1"/>
    <col min="4110" max="4110" width="14.7109375" bestFit="1" customWidth="1"/>
    <col min="4111" max="4111" width="13.5703125" bestFit="1" customWidth="1"/>
    <col min="4112" max="4112" width="5" bestFit="1" customWidth="1"/>
    <col min="4353" max="4353" width="16.28515625" bestFit="1" customWidth="1"/>
    <col min="4354" max="4357" width="9.85546875" bestFit="1" customWidth="1"/>
    <col min="4358" max="4358" width="19.85546875" bestFit="1" customWidth="1"/>
    <col min="4359" max="4359" width="10.42578125" bestFit="1" customWidth="1"/>
    <col min="4360" max="4360" width="13.5703125" bestFit="1" customWidth="1"/>
    <col min="4361" max="4361" width="11.85546875" bestFit="1" customWidth="1"/>
    <col min="4362" max="4362" width="13.5703125" bestFit="1" customWidth="1"/>
    <col min="4363" max="4364" width="11.85546875" bestFit="1" customWidth="1"/>
    <col min="4365" max="4365" width="9.7109375" bestFit="1" customWidth="1"/>
    <col min="4366" max="4366" width="14.7109375" bestFit="1" customWidth="1"/>
    <col min="4367" max="4367" width="13.5703125" bestFit="1" customWidth="1"/>
    <col min="4368" max="4368" width="5" bestFit="1" customWidth="1"/>
    <col min="4609" max="4609" width="16.28515625" bestFit="1" customWidth="1"/>
    <col min="4610" max="4613" width="9.85546875" bestFit="1" customWidth="1"/>
    <col min="4614" max="4614" width="19.85546875" bestFit="1" customWidth="1"/>
    <col min="4615" max="4615" width="10.42578125" bestFit="1" customWidth="1"/>
    <col min="4616" max="4616" width="13.5703125" bestFit="1" customWidth="1"/>
    <col min="4617" max="4617" width="11.85546875" bestFit="1" customWidth="1"/>
    <col min="4618" max="4618" width="13.5703125" bestFit="1" customWidth="1"/>
    <col min="4619" max="4620" width="11.85546875" bestFit="1" customWidth="1"/>
    <col min="4621" max="4621" width="9.7109375" bestFit="1" customWidth="1"/>
    <col min="4622" max="4622" width="14.7109375" bestFit="1" customWidth="1"/>
    <col min="4623" max="4623" width="13.5703125" bestFit="1" customWidth="1"/>
    <col min="4624" max="4624" width="5" bestFit="1" customWidth="1"/>
    <col min="4865" max="4865" width="16.28515625" bestFit="1" customWidth="1"/>
    <col min="4866" max="4869" width="9.85546875" bestFit="1" customWidth="1"/>
    <col min="4870" max="4870" width="19.85546875" bestFit="1" customWidth="1"/>
    <col min="4871" max="4871" width="10.42578125" bestFit="1" customWidth="1"/>
    <col min="4872" max="4872" width="13.5703125" bestFit="1" customWidth="1"/>
    <col min="4873" max="4873" width="11.85546875" bestFit="1" customWidth="1"/>
    <col min="4874" max="4874" width="13.5703125" bestFit="1" customWidth="1"/>
    <col min="4875" max="4876" width="11.85546875" bestFit="1" customWidth="1"/>
    <col min="4877" max="4877" width="9.7109375" bestFit="1" customWidth="1"/>
    <col min="4878" max="4878" width="14.7109375" bestFit="1" customWidth="1"/>
    <col min="4879" max="4879" width="13.5703125" bestFit="1" customWidth="1"/>
    <col min="4880" max="4880" width="5" bestFit="1" customWidth="1"/>
    <col min="5121" max="5121" width="16.28515625" bestFit="1" customWidth="1"/>
    <col min="5122" max="5125" width="9.85546875" bestFit="1" customWidth="1"/>
    <col min="5126" max="5126" width="19.85546875" bestFit="1" customWidth="1"/>
    <col min="5127" max="5127" width="10.42578125" bestFit="1" customWidth="1"/>
    <col min="5128" max="5128" width="13.5703125" bestFit="1" customWidth="1"/>
    <col min="5129" max="5129" width="11.85546875" bestFit="1" customWidth="1"/>
    <col min="5130" max="5130" width="13.5703125" bestFit="1" customWidth="1"/>
    <col min="5131" max="5132" width="11.85546875" bestFit="1" customWidth="1"/>
    <col min="5133" max="5133" width="9.7109375" bestFit="1" customWidth="1"/>
    <col min="5134" max="5134" width="14.7109375" bestFit="1" customWidth="1"/>
    <col min="5135" max="5135" width="13.5703125" bestFit="1" customWidth="1"/>
    <col min="5136" max="5136" width="5" bestFit="1" customWidth="1"/>
    <col min="5377" max="5377" width="16.28515625" bestFit="1" customWidth="1"/>
    <col min="5378" max="5381" width="9.85546875" bestFit="1" customWidth="1"/>
    <col min="5382" max="5382" width="19.85546875" bestFit="1" customWidth="1"/>
    <col min="5383" max="5383" width="10.42578125" bestFit="1" customWidth="1"/>
    <col min="5384" max="5384" width="13.5703125" bestFit="1" customWidth="1"/>
    <col min="5385" max="5385" width="11.85546875" bestFit="1" customWidth="1"/>
    <col min="5386" max="5386" width="13.5703125" bestFit="1" customWidth="1"/>
    <col min="5387" max="5388" width="11.85546875" bestFit="1" customWidth="1"/>
    <col min="5389" max="5389" width="9.7109375" bestFit="1" customWidth="1"/>
    <col min="5390" max="5390" width="14.7109375" bestFit="1" customWidth="1"/>
    <col min="5391" max="5391" width="13.5703125" bestFit="1" customWidth="1"/>
    <col min="5392" max="5392" width="5" bestFit="1" customWidth="1"/>
    <col min="5633" max="5633" width="16.28515625" bestFit="1" customWidth="1"/>
    <col min="5634" max="5637" width="9.85546875" bestFit="1" customWidth="1"/>
    <col min="5638" max="5638" width="19.85546875" bestFit="1" customWidth="1"/>
    <col min="5639" max="5639" width="10.42578125" bestFit="1" customWidth="1"/>
    <col min="5640" max="5640" width="13.5703125" bestFit="1" customWidth="1"/>
    <col min="5641" max="5641" width="11.85546875" bestFit="1" customWidth="1"/>
    <col min="5642" max="5642" width="13.5703125" bestFit="1" customWidth="1"/>
    <col min="5643" max="5644" width="11.85546875" bestFit="1" customWidth="1"/>
    <col min="5645" max="5645" width="9.7109375" bestFit="1" customWidth="1"/>
    <col min="5646" max="5646" width="14.7109375" bestFit="1" customWidth="1"/>
    <col min="5647" max="5647" width="13.5703125" bestFit="1" customWidth="1"/>
    <col min="5648" max="5648" width="5" bestFit="1" customWidth="1"/>
    <col min="5889" max="5889" width="16.28515625" bestFit="1" customWidth="1"/>
    <col min="5890" max="5893" width="9.85546875" bestFit="1" customWidth="1"/>
    <col min="5894" max="5894" width="19.85546875" bestFit="1" customWidth="1"/>
    <col min="5895" max="5895" width="10.42578125" bestFit="1" customWidth="1"/>
    <col min="5896" max="5896" width="13.5703125" bestFit="1" customWidth="1"/>
    <col min="5897" max="5897" width="11.85546875" bestFit="1" customWidth="1"/>
    <col min="5898" max="5898" width="13.5703125" bestFit="1" customWidth="1"/>
    <col min="5899" max="5900" width="11.85546875" bestFit="1" customWidth="1"/>
    <col min="5901" max="5901" width="9.7109375" bestFit="1" customWidth="1"/>
    <col min="5902" max="5902" width="14.7109375" bestFit="1" customWidth="1"/>
    <col min="5903" max="5903" width="13.5703125" bestFit="1" customWidth="1"/>
    <col min="5904" max="5904" width="5" bestFit="1" customWidth="1"/>
    <col min="6145" max="6145" width="16.28515625" bestFit="1" customWidth="1"/>
    <col min="6146" max="6149" width="9.85546875" bestFit="1" customWidth="1"/>
    <col min="6150" max="6150" width="19.85546875" bestFit="1" customWidth="1"/>
    <col min="6151" max="6151" width="10.42578125" bestFit="1" customWidth="1"/>
    <col min="6152" max="6152" width="13.5703125" bestFit="1" customWidth="1"/>
    <col min="6153" max="6153" width="11.85546875" bestFit="1" customWidth="1"/>
    <col min="6154" max="6154" width="13.5703125" bestFit="1" customWidth="1"/>
    <col min="6155" max="6156" width="11.85546875" bestFit="1" customWidth="1"/>
    <col min="6157" max="6157" width="9.7109375" bestFit="1" customWidth="1"/>
    <col min="6158" max="6158" width="14.7109375" bestFit="1" customWidth="1"/>
    <col min="6159" max="6159" width="13.5703125" bestFit="1" customWidth="1"/>
    <col min="6160" max="6160" width="5" bestFit="1" customWidth="1"/>
    <col min="6401" max="6401" width="16.28515625" bestFit="1" customWidth="1"/>
    <col min="6402" max="6405" width="9.85546875" bestFit="1" customWidth="1"/>
    <col min="6406" max="6406" width="19.85546875" bestFit="1" customWidth="1"/>
    <col min="6407" max="6407" width="10.42578125" bestFit="1" customWidth="1"/>
    <col min="6408" max="6408" width="13.5703125" bestFit="1" customWidth="1"/>
    <col min="6409" max="6409" width="11.85546875" bestFit="1" customWidth="1"/>
    <col min="6410" max="6410" width="13.5703125" bestFit="1" customWidth="1"/>
    <col min="6411" max="6412" width="11.85546875" bestFit="1" customWidth="1"/>
    <col min="6413" max="6413" width="9.7109375" bestFit="1" customWidth="1"/>
    <col min="6414" max="6414" width="14.7109375" bestFit="1" customWidth="1"/>
    <col min="6415" max="6415" width="13.5703125" bestFit="1" customWidth="1"/>
    <col min="6416" max="6416" width="5" bestFit="1" customWidth="1"/>
    <col min="6657" max="6657" width="16.28515625" bestFit="1" customWidth="1"/>
    <col min="6658" max="6661" width="9.85546875" bestFit="1" customWidth="1"/>
    <col min="6662" max="6662" width="19.85546875" bestFit="1" customWidth="1"/>
    <col min="6663" max="6663" width="10.42578125" bestFit="1" customWidth="1"/>
    <col min="6664" max="6664" width="13.5703125" bestFit="1" customWidth="1"/>
    <col min="6665" max="6665" width="11.85546875" bestFit="1" customWidth="1"/>
    <col min="6666" max="6666" width="13.5703125" bestFit="1" customWidth="1"/>
    <col min="6667" max="6668" width="11.85546875" bestFit="1" customWidth="1"/>
    <col min="6669" max="6669" width="9.7109375" bestFit="1" customWidth="1"/>
    <col min="6670" max="6670" width="14.7109375" bestFit="1" customWidth="1"/>
    <col min="6671" max="6671" width="13.5703125" bestFit="1" customWidth="1"/>
    <col min="6672" max="6672" width="5" bestFit="1" customWidth="1"/>
    <col min="6913" max="6913" width="16.28515625" bestFit="1" customWidth="1"/>
    <col min="6914" max="6917" width="9.85546875" bestFit="1" customWidth="1"/>
    <col min="6918" max="6918" width="19.85546875" bestFit="1" customWidth="1"/>
    <col min="6919" max="6919" width="10.42578125" bestFit="1" customWidth="1"/>
    <col min="6920" max="6920" width="13.5703125" bestFit="1" customWidth="1"/>
    <col min="6921" max="6921" width="11.85546875" bestFit="1" customWidth="1"/>
    <col min="6922" max="6922" width="13.5703125" bestFit="1" customWidth="1"/>
    <col min="6923" max="6924" width="11.85546875" bestFit="1" customWidth="1"/>
    <col min="6925" max="6925" width="9.7109375" bestFit="1" customWidth="1"/>
    <col min="6926" max="6926" width="14.7109375" bestFit="1" customWidth="1"/>
    <col min="6927" max="6927" width="13.5703125" bestFit="1" customWidth="1"/>
    <col min="6928" max="6928" width="5" bestFit="1" customWidth="1"/>
    <col min="7169" max="7169" width="16.28515625" bestFit="1" customWidth="1"/>
    <col min="7170" max="7173" width="9.85546875" bestFit="1" customWidth="1"/>
    <col min="7174" max="7174" width="19.85546875" bestFit="1" customWidth="1"/>
    <col min="7175" max="7175" width="10.42578125" bestFit="1" customWidth="1"/>
    <col min="7176" max="7176" width="13.5703125" bestFit="1" customWidth="1"/>
    <col min="7177" max="7177" width="11.85546875" bestFit="1" customWidth="1"/>
    <col min="7178" max="7178" width="13.5703125" bestFit="1" customWidth="1"/>
    <col min="7179" max="7180" width="11.85546875" bestFit="1" customWidth="1"/>
    <col min="7181" max="7181" width="9.7109375" bestFit="1" customWidth="1"/>
    <col min="7182" max="7182" width="14.7109375" bestFit="1" customWidth="1"/>
    <col min="7183" max="7183" width="13.5703125" bestFit="1" customWidth="1"/>
    <col min="7184" max="7184" width="5" bestFit="1" customWidth="1"/>
    <col min="7425" max="7425" width="16.28515625" bestFit="1" customWidth="1"/>
    <col min="7426" max="7429" width="9.85546875" bestFit="1" customWidth="1"/>
    <col min="7430" max="7430" width="19.85546875" bestFit="1" customWidth="1"/>
    <col min="7431" max="7431" width="10.42578125" bestFit="1" customWidth="1"/>
    <col min="7432" max="7432" width="13.5703125" bestFit="1" customWidth="1"/>
    <col min="7433" max="7433" width="11.85546875" bestFit="1" customWidth="1"/>
    <col min="7434" max="7434" width="13.5703125" bestFit="1" customWidth="1"/>
    <col min="7435" max="7436" width="11.85546875" bestFit="1" customWidth="1"/>
    <col min="7437" max="7437" width="9.7109375" bestFit="1" customWidth="1"/>
    <col min="7438" max="7438" width="14.7109375" bestFit="1" customWidth="1"/>
    <col min="7439" max="7439" width="13.5703125" bestFit="1" customWidth="1"/>
    <col min="7440" max="7440" width="5" bestFit="1" customWidth="1"/>
    <col min="7681" max="7681" width="16.28515625" bestFit="1" customWidth="1"/>
    <col min="7682" max="7685" width="9.85546875" bestFit="1" customWidth="1"/>
    <col min="7686" max="7686" width="19.85546875" bestFit="1" customWidth="1"/>
    <col min="7687" max="7687" width="10.42578125" bestFit="1" customWidth="1"/>
    <col min="7688" max="7688" width="13.5703125" bestFit="1" customWidth="1"/>
    <col min="7689" max="7689" width="11.85546875" bestFit="1" customWidth="1"/>
    <col min="7690" max="7690" width="13.5703125" bestFit="1" customWidth="1"/>
    <col min="7691" max="7692" width="11.85546875" bestFit="1" customWidth="1"/>
    <col min="7693" max="7693" width="9.7109375" bestFit="1" customWidth="1"/>
    <col min="7694" max="7694" width="14.7109375" bestFit="1" customWidth="1"/>
    <col min="7695" max="7695" width="13.5703125" bestFit="1" customWidth="1"/>
    <col min="7696" max="7696" width="5" bestFit="1" customWidth="1"/>
    <col min="7937" max="7937" width="16.28515625" bestFit="1" customWidth="1"/>
    <col min="7938" max="7941" width="9.85546875" bestFit="1" customWidth="1"/>
    <col min="7942" max="7942" width="19.85546875" bestFit="1" customWidth="1"/>
    <col min="7943" max="7943" width="10.42578125" bestFit="1" customWidth="1"/>
    <col min="7944" max="7944" width="13.5703125" bestFit="1" customWidth="1"/>
    <col min="7945" max="7945" width="11.85546875" bestFit="1" customWidth="1"/>
    <col min="7946" max="7946" width="13.5703125" bestFit="1" customWidth="1"/>
    <col min="7947" max="7948" width="11.85546875" bestFit="1" customWidth="1"/>
    <col min="7949" max="7949" width="9.7109375" bestFit="1" customWidth="1"/>
    <col min="7950" max="7950" width="14.7109375" bestFit="1" customWidth="1"/>
    <col min="7951" max="7951" width="13.5703125" bestFit="1" customWidth="1"/>
    <col min="7952" max="7952" width="5" bestFit="1" customWidth="1"/>
    <col min="8193" max="8193" width="16.28515625" bestFit="1" customWidth="1"/>
    <col min="8194" max="8197" width="9.85546875" bestFit="1" customWidth="1"/>
    <col min="8198" max="8198" width="19.85546875" bestFit="1" customWidth="1"/>
    <col min="8199" max="8199" width="10.42578125" bestFit="1" customWidth="1"/>
    <col min="8200" max="8200" width="13.5703125" bestFit="1" customWidth="1"/>
    <col min="8201" max="8201" width="11.85546875" bestFit="1" customWidth="1"/>
    <col min="8202" max="8202" width="13.5703125" bestFit="1" customWidth="1"/>
    <col min="8203" max="8204" width="11.85546875" bestFit="1" customWidth="1"/>
    <col min="8205" max="8205" width="9.7109375" bestFit="1" customWidth="1"/>
    <col min="8206" max="8206" width="14.7109375" bestFit="1" customWidth="1"/>
    <col min="8207" max="8207" width="13.5703125" bestFit="1" customWidth="1"/>
    <col min="8208" max="8208" width="5" bestFit="1" customWidth="1"/>
    <col min="8449" max="8449" width="16.28515625" bestFit="1" customWidth="1"/>
    <col min="8450" max="8453" width="9.85546875" bestFit="1" customWidth="1"/>
    <col min="8454" max="8454" width="19.85546875" bestFit="1" customWidth="1"/>
    <col min="8455" max="8455" width="10.42578125" bestFit="1" customWidth="1"/>
    <col min="8456" max="8456" width="13.5703125" bestFit="1" customWidth="1"/>
    <col min="8457" max="8457" width="11.85546875" bestFit="1" customWidth="1"/>
    <col min="8458" max="8458" width="13.5703125" bestFit="1" customWidth="1"/>
    <col min="8459" max="8460" width="11.85546875" bestFit="1" customWidth="1"/>
    <col min="8461" max="8461" width="9.7109375" bestFit="1" customWidth="1"/>
    <col min="8462" max="8462" width="14.7109375" bestFit="1" customWidth="1"/>
    <col min="8463" max="8463" width="13.5703125" bestFit="1" customWidth="1"/>
    <col min="8464" max="8464" width="5" bestFit="1" customWidth="1"/>
    <col min="8705" max="8705" width="16.28515625" bestFit="1" customWidth="1"/>
    <col min="8706" max="8709" width="9.85546875" bestFit="1" customWidth="1"/>
    <col min="8710" max="8710" width="19.85546875" bestFit="1" customWidth="1"/>
    <col min="8711" max="8711" width="10.42578125" bestFit="1" customWidth="1"/>
    <col min="8712" max="8712" width="13.5703125" bestFit="1" customWidth="1"/>
    <col min="8713" max="8713" width="11.85546875" bestFit="1" customWidth="1"/>
    <col min="8714" max="8714" width="13.5703125" bestFit="1" customWidth="1"/>
    <col min="8715" max="8716" width="11.85546875" bestFit="1" customWidth="1"/>
    <col min="8717" max="8717" width="9.7109375" bestFit="1" customWidth="1"/>
    <col min="8718" max="8718" width="14.7109375" bestFit="1" customWidth="1"/>
    <col min="8719" max="8719" width="13.5703125" bestFit="1" customWidth="1"/>
    <col min="8720" max="8720" width="5" bestFit="1" customWidth="1"/>
    <col min="8961" max="8961" width="16.28515625" bestFit="1" customWidth="1"/>
    <col min="8962" max="8965" width="9.85546875" bestFit="1" customWidth="1"/>
    <col min="8966" max="8966" width="19.85546875" bestFit="1" customWidth="1"/>
    <col min="8967" max="8967" width="10.42578125" bestFit="1" customWidth="1"/>
    <col min="8968" max="8968" width="13.5703125" bestFit="1" customWidth="1"/>
    <col min="8969" max="8969" width="11.85546875" bestFit="1" customWidth="1"/>
    <col min="8970" max="8970" width="13.5703125" bestFit="1" customWidth="1"/>
    <col min="8971" max="8972" width="11.85546875" bestFit="1" customWidth="1"/>
    <col min="8973" max="8973" width="9.7109375" bestFit="1" customWidth="1"/>
    <col min="8974" max="8974" width="14.7109375" bestFit="1" customWidth="1"/>
    <col min="8975" max="8975" width="13.5703125" bestFit="1" customWidth="1"/>
    <col min="8976" max="8976" width="5" bestFit="1" customWidth="1"/>
    <col min="9217" max="9217" width="16.28515625" bestFit="1" customWidth="1"/>
    <col min="9218" max="9221" width="9.85546875" bestFit="1" customWidth="1"/>
    <col min="9222" max="9222" width="19.85546875" bestFit="1" customWidth="1"/>
    <col min="9223" max="9223" width="10.42578125" bestFit="1" customWidth="1"/>
    <col min="9224" max="9224" width="13.5703125" bestFit="1" customWidth="1"/>
    <col min="9225" max="9225" width="11.85546875" bestFit="1" customWidth="1"/>
    <col min="9226" max="9226" width="13.5703125" bestFit="1" customWidth="1"/>
    <col min="9227" max="9228" width="11.85546875" bestFit="1" customWidth="1"/>
    <col min="9229" max="9229" width="9.7109375" bestFit="1" customWidth="1"/>
    <col min="9230" max="9230" width="14.7109375" bestFit="1" customWidth="1"/>
    <col min="9231" max="9231" width="13.5703125" bestFit="1" customWidth="1"/>
    <col min="9232" max="9232" width="5" bestFit="1" customWidth="1"/>
    <col min="9473" max="9473" width="16.28515625" bestFit="1" customWidth="1"/>
    <col min="9474" max="9477" width="9.85546875" bestFit="1" customWidth="1"/>
    <col min="9478" max="9478" width="19.85546875" bestFit="1" customWidth="1"/>
    <col min="9479" max="9479" width="10.42578125" bestFit="1" customWidth="1"/>
    <col min="9480" max="9480" width="13.5703125" bestFit="1" customWidth="1"/>
    <col min="9481" max="9481" width="11.85546875" bestFit="1" customWidth="1"/>
    <col min="9482" max="9482" width="13.5703125" bestFit="1" customWidth="1"/>
    <col min="9483" max="9484" width="11.85546875" bestFit="1" customWidth="1"/>
    <col min="9485" max="9485" width="9.7109375" bestFit="1" customWidth="1"/>
    <col min="9486" max="9486" width="14.7109375" bestFit="1" customWidth="1"/>
    <col min="9487" max="9487" width="13.5703125" bestFit="1" customWidth="1"/>
    <col min="9488" max="9488" width="5" bestFit="1" customWidth="1"/>
    <col min="9729" max="9729" width="16.28515625" bestFit="1" customWidth="1"/>
    <col min="9730" max="9733" width="9.85546875" bestFit="1" customWidth="1"/>
    <col min="9734" max="9734" width="19.85546875" bestFit="1" customWidth="1"/>
    <col min="9735" max="9735" width="10.42578125" bestFit="1" customWidth="1"/>
    <col min="9736" max="9736" width="13.5703125" bestFit="1" customWidth="1"/>
    <col min="9737" max="9737" width="11.85546875" bestFit="1" customWidth="1"/>
    <col min="9738" max="9738" width="13.5703125" bestFit="1" customWidth="1"/>
    <col min="9739" max="9740" width="11.85546875" bestFit="1" customWidth="1"/>
    <col min="9741" max="9741" width="9.7109375" bestFit="1" customWidth="1"/>
    <col min="9742" max="9742" width="14.7109375" bestFit="1" customWidth="1"/>
    <col min="9743" max="9743" width="13.5703125" bestFit="1" customWidth="1"/>
    <col min="9744" max="9744" width="5" bestFit="1" customWidth="1"/>
    <col min="9985" max="9985" width="16.28515625" bestFit="1" customWidth="1"/>
    <col min="9986" max="9989" width="9.85546875" bestFit="1" customWidth="1"/>
    <col min="9990" max="9990" width="19.85546875" bestFit="1" customWidth="1"/>
    <col min="9991" max="9991" width="10.42578125" bestFit="1" customWidth="1"/>
    <col min="9992" max="9992" width="13.5703125" bestFit="1" customWidth="1"/>
    <col min="9993" max="9993" width="11.85546875" bestFit="1" customWidth="1"/>
    <col min="9994" max="9994" width="13.5703125" bestFit="1" customWidth="1"/>
    <col min="9995" max="9996" width="11.85546875" bestFit="1" customWidth="1"/>
    <col min="9997" max="9997" width="9.7109375" bestFit="1" customWidth="1"/>
    <col min="9998" max="9998" width="14.7109375" bestFit="1" customWidth="1"/>
    <col min="9999" max="9999" width="13.5703125" bestFit="1" customWidth="1"/>
    <col min="10000" max="10000" width="5" bestFit="1" customWidth="1"/>
    <col min="10241" max="10241" width="16.28515625" bestFit="1" customWidth="1"/>
    <col min="10242" max="10245" width="9.85546875" bestFit="1" customWidth="1"/>
    <col min="10246" max="10246" width="19.85546875" bestFit="1" customWidth="1"/>
    <col min="10247" max="10247" width="10.42578125" bestFit="1" customWidth="1"/>
    <col min="10248" max="10248" width="13.5703125" bestFit="1" customWidth="1"/>
    <col min="10249" max="10249" width="11.85546875" bestFit="1" customWidth="1"/>
    <col min="10250" max="10250" width="13.5703125" bestFit="1" customWidth="1"/>
    <col min="10251" max="10252" width="11.85546875" bestFit="1" customWidth="1"/>
    <col min="10253" max="10253" width="9.7109375" bestFit="1" customWidth="1"/>
    <col min="10254" max="10254" width="14.7109375" bestFit="1" customWidth="1"/>
    <col min="10255" max="10255" width="13.5703125" bestFit="1" customWidth="1"/>
    <col min="10256" max="10256" width="5" bestFit="1" customWidth="1"/>
    <col min="10497" max="10497" width="16.28515625" bestFit="1" customWidth="1"/>
    <col min="10498" max="10501" width="9.85546875" bestFit="1" customWidth="1"/>
    <col min="10502" max="10502" width="19.85546875" bestFit="1" customWidth="1"/>
    <col min="10503" max="10503" width="10.42578125" bestFit="1" customWidth="1"/>
    <col min="10504" max="10504" width="13.5703125" bestFit="1" customWidth="1"/>
    <col min="10505" max="10505" width="11.85546875" bestFit="1" customWidth="1"/>
    <col min="10506" max="10506" width="13.5703125" bestFit="1" customWidth="1"/>
    <col min="10507" max="10508" width="11.85546875" bestFit="1" customWidth="1"/>
    <col min="10509" max="10509" width="9.7109375" bestFit="1" customWidth="1"/>
    <col min="10510" max="10510" width="14.7109375" bestFit="1" customWidth="1"/>
    <col min="10511" max="10511" width="13.5703125" bestFit="1" customWidth="1"/>
    <col min="10512" max="10512" width="5" bestFit="1" customWidth="1"/>
    <col min="10753" max="10753" width="16.28515625" bestFit="1" customWidth="1"/>
    <col min="10754" max="10757" width="9.85546875" bestFit="1" customWidth="1"/>
    <col min="10758" max="10758" width="19.85546875" bestFit="1" customWidth="1"/>
    <col min="10759" max="10759" width="10.42578125" bestFit="1" customWidth="1"/>
    <col min="10760" max="10760" width="13.5703125" bestFit="1" customWidth="1"/>
    <col min="10761" max="10761" width="11.85546875" bestFit="1" customWidth="1"/>
    <col min="10762" max="10762" width="13.5703125" bestFit="1" customWidth="1"/>
    <col min="10763" max="10764" width="11.85546875" bestFit="1" customWidth="1"/>
    <col min="10765" max="10765" width="9.7109375" bestFit="1" customWidth="1"/>
    <col min="10766" max="10766" width="14.7109375" bestFit="1" customWidth="1"/>
    <col min="10767" max="10767" width="13.5703125" bestFit="1" customWidth="1"/>
    <col min="10768" max="10768" width="5" bestFit="1" customWidth="1"/>
    <col min="11009" max="11009" width="16.28515625" bestFit="1" customWidth="1"/>
    <col min="11010" max="11013" width="9.85546875" bestFit="1" customWidth="1"/>
    <col min="11014" max="11014" width="19.85546875" bestFit="1" customWidth="1"/>
    <col min="11015" max="11015" width="10.42578125" bestFit="1" customWidth="1"/>
    <col min="11016" max="11016" width="13.5703125" bestFit="1" customWidth="1"/>
    <col min="11017" max="11017" width="11.85546875" bestFit="1" customWidth="1"/>
    <col min="11018" max="11018" width="13.5703125" bestFit="1" customWidth="1"/>
    <col min="11019" max="11020" width="11.85546875" bestFit="1" customWidth="1"/>
    <col min="11021" max="11021" width="9.7109375" bestFit="1" customWidth="1"/>
    <col min="11022" max="11022" width="14.7109375" bestFit="1" customWidth="1"/>
    <col min="11023" max="11023" width="13.5703125" bestFit="1" customWidth="1"/>
    <col min="11024" max="11024" width="5" bestFit="1" customWidth="1"/>
    <col min="11265" max="11265" width="16.28515625" bestFit="1" customWidth="1"/>
    <col min="11266" max="11269" width="9.85546875" bestFit="1" customWidth="1"/>
    <col min="11270" max="11270" width="19.85546875" bestFit="1" customWidth="1"/>
    <col min="11271" max="11271" width="10.42578125" bestFit="1" customWidth="1"/>
    <col min="11272" max="11272" width="13.5703125" bestFit="1" customWidth="1"/>
    <col min="11273" max="11273" width="11.85546875" bestFit="1" customWidth="1"/>
    <col min="11274" max="11274" width="13.5703125" bestFit="1" customWidth="1"/>
    <col min="11275" max="11276" width="11.85546875" bestFit="1" customWidth="1"/>
    <col min="11277" max="11277" width="9.7109375" bestFit="1" customWidth="1"/>
    <col min="11278" max="11278" width="14.7109375" bestFit="1" customWidth="1"/>
    <col min="11279" max="11279" width="13.5703125" bestFit="1" customWidth="1"/>
    <col min="11280" max="11280" width="5" bestFit="1" customWidth="1"/>
    <col min="11521" max="11521" width="16.28515625" bestFit="1" customWidth="1"/>
    <col min="11522" max="11525" width="9.85546875" bestFit="1" customWidth="1"/>
    <col min="11526" max="11526" width="19.85546875" bestFit="1" customWidth="1"/>
    <col min="11527" max="11527" width="10.42578125" bestFit="1" customWidth="1"/>
    <col min="11528" max="11528" width="13.5703125" bestFit="1" customWidth="1"/>
    <col min="11529" max="11529" width="11.85546875" bestFit="1" customWidth="1"/>
    <col min="11530" max="11530" width="13.5703125" bestFit="1" customWidth="1"/>
    <col min="11531" max="11532" width="11.85546875" bestFit="1" customWidth="1"/>
    <col min="11533" max="11533" width="9.7109375" bestFit="1" customWidth="1"/>
    <col min="11534" max="11534" width="14.7109375" bestFit="1" customWidth="1"/>
    <col min="11535" max="11535" width="13.5703125" bestFit="1" customWidth="1"/>
    <col min="11536" max="11536" width="5" bestFit="1" customWidth="1"/>
    <col min="11777" max="11777" width="16.28515625" bestFit="1" customWidth="1"/>
    <col min="11778" max="11781" width="9.85546875" bestFit="1" customWidth="1"/>
    <col min="11782" max="11782" width="19.85546875" bestFit="1" customWidth="1"/>
    <col min="11783" max="11783" width="10.42578125" bestFit="1" customWidth="1"/>
    <col min="11784" max="11784" width="13.5703125" bestFit="1" customWidth="1"/>
    <col min="11785" max="11785" width="11.85546875" bestFit="1" customWidth="1"/>
    <col min="11786" max="11786" width="13.5703125" bestFit="1" customWidth="1"/>
    <col min="11787" max="11788" width="11.85546875" bestFit="1" customWidth="1"/>
    <col min="11789" max="11789" width="9.7109375" bestFit="1" customWidth="1"/>
    <col min="11790" max="11790" width="14.7109375" bestFit="1" customWidth="1"/>
    <col min="11791" max="11791" width="13.5703125" bestFit="1" customWidth="1"/>
    <col min="11792" max="11792" width="5" bestFit="1" customWidth="1"/>
    <col min="12033" max="12033" width="16.28515625" bestFit="1" customWidth="1"/>
    <col min="12034" max="12037" width="9.85546875" bestFit="1" customWidth="1"/>
    <col min="12038" max="12038" width="19.85546875" bestFit="1" customWidth="1"/>
    <col min="12039" max="12039" width="10.42578125" bestFit="1" customWidth="1"/>
    <col min="12040" max="12040" width="13.5703125" bestFit="1" customWidth="1"/>
    <col min="12041" max="12041" width="11.85546875" bestFit="1" customWidth="1"/>
    <col min="12042" max="12042" width="13.5703125" bestFit="1" customWidth="1"/>
    <col min="12043" max="12044" width="11.85546875" bestFit="1" customWidth="1"/>
    <col min="12045" max="12045" width="9.7109375" bestFit="1" customWidth="1"/>
    <col min="12046" max="12046" width="14.7109375" bestFit="1" customWidth="1"/>
    <col min="12047" max="12047" width="13.5703125" bestFit="1" customWidth="1"/>
    <col min="12048" max="12048" width="5" bestFit="1" customWidth="1"/>
    <col min="12289" max="12289" width="16.28515625" bestFit="1" customWidth="1"/>
    <col min="12290" max="12293" width="9.85546875" bestFit="1" customWidth="1"/>
    <col min="12294" max="12294" width="19.85546875" bestFit="1" customWidth="1"/>
    <col min="12295" max="12295" width="10.42578125" bestFit="1" customWidth="1"/>
    <col min="12296" max="12296" width="13.5703125" bestFit="1" customWidth="1"/>
    <col min="12297" max="12297" width="11.85546875" bestFit="1" customWidth="1"/>
    <col min="12298" max="12298" width="13.5703125" bestFit="1" customWidth="1"/>
    <col min="12299" max="12300" width="11.85546875" bestFit="1" customWidth="1"/>
    <col min="12301" max="12301" width="9.7109375" bestFit="1" customWidth="1"/>
    <col min="12302" max="12302" width="14.7109375" bestFit="1" customWidth="1"/>
    <col min="12303" max="12303" width="13.5703125" bestFit="1" customWidth="1"/>
    <col min="12304" max="12304" width="5" bestFit="1" customWidth="1"/>
    <col min="12545" max="12545" width="16.28515625" bestFit="1" customWidth="1"/>
    <col min="12546" max="12549" width="9.85546875" bestFit="1" customWidth="1"/>
    <col min="12550" max="12550" width="19.85546875" bestFit="1" customWidth="1"/>
    <col min="12551" max="12551" width="10.42578125" bestFit="1" customWidth="1"/>
    <col min="12552" max="12552" width="13.5703125" bestFit="1" customWidth="1"/>
    <col min="12553" max="12553" width="11.85546875" bestFit="1" customWidth="1"/>
    <col min="12554" max="12554" width="13.5703125" bestFit="1" customWidth="1"/>
    <col min="12555" max="12556" width="11.85546875" bestFit="1" customWidth="1"/>
    <col min="12557" max="12557" width="9.7109375" bestFit="1" customWidth="1"/>
    <col min="12558" max="12558" width="14.7109375" bestFit="1" customWidth="1"/>
    <col min="12559" max="12559" width="13.5703125" bestFit="1" customWidth="1"/>
    <col min="12560" max="12560" width="5" bestFit="1" customWidth="1"/>
    <col min="12801" max="12801" width="16.28515625" bestFit="1" customWidth="1"/>
    <col min="12802" max="12805" width="9.85546875" bestFit="1" customWidth="1"/>
    <col min="12806" max="12806" width="19.85546875" bestFit="1" customWidth="1"/>
    <col min="12807" max="12807" width="10.42578125" bestFit="1" customWidth="1"/>
    <col min="12808" max="12808" width="13.5703125" bestFit="1" customWidth="1"/>
    <col min="12809" max="12809" width="11.85546875" bestFit="1" customWidth="1"/>
    <col min="12810" max="12810" width="13.5703125" bestFit="1" customWidth="1"/>
    <col min="12811" max="12812" width="11.85546875" bestFit="1" customWidth="1"/>
    <col min="12813" max="12813" width="9.7109375" bestFit="1" customWidth="1"/>
    <col min="12814" max="12814" width="14.7109375" bestFit="1" customWidth="1"/>
    <col min="12815" max="12815" width="13.5703125" bestFit="1" customWidth="1"/>
    <col min="12816" max="12816" width="5" bestFit="1" customWidth="1"/>
    <col min="13057" max="13057" width="16.28515625" bestFit="1" customWidth="1"/>
    <col min="13058" max="13061" width="9.85546875" bestFit="1" customWidth="1"/>
    <col min="13062" max="13062" width="19.85546875" bestFit="1" customWidth="1"/>
    <col min="13063" max="13063" width="10.42578125" bestFit="1" customWidth="1"/>
    <col min="13064" max="13064" width="13.5703125" bestFit="1" customWidth="1"/>
    <col min="13065" max="13065" width="11.85546875" bestFit="1" customWidth="1"/>
    <col min="13066" max="13066" width="13.5703125" bestFit="1" customWidth="1"/>
    <col min="13067" max="13068" width="11.85546875" bestFit="1" customWidth="1"/>
    <col min="13069" max="13069" width="9.7109375" bestFit="1" customWidth="1"/>
    <col min="13070" max="13070" width="14.7109375" bestFit="1" customWidth="1"/>
    <col min="13071" max="13071" width="13.5703125" bestFit="1" customWidth="1"/>
    <col min="13072" max="13072" width="5" bestFit="1" customWidth="1"/>
    <col min="13313" max="13313" width="16.28515625" bestFit="1" customWidth="1"/>
    <col min="13314" max="13317" width="9.85546875" bestFit="1" customWidth="1"/>
    <col min="13318" max="13318" width="19.85546875" bestFit="1" customWidth="1"/>
    <col min="13319" max="13319" width="10.42578125" bestFit="1" customWidth="1"/>
    <col min="13320" max="13320" width="13.5703125" bestFit="1" customWidth="1"/>
    <col min="13321" max="13321" width="11.85546875" bestFit="1" customWidth="1"/>
    <col min="13322" max="13322" width="13.5703125" bestFit="1" customWidth="1"/>
    <col min="13323" max="13324" width="11.85546875" bestFit="1" customWidth="1"/>
    <col min="13325" max="13325" width="9.7109375" bestFit="1" customWidth="1"/>
    <col min="13326" max="13326" width="14.7109375" bestFit="1" customWidth="1"/>
    <col min="13327" max="13327" width="13.5703125" bestFit="1" customWidth="1"/>
    <col min="13328" max="13328" width="5" bestFit="1" customWidth="1"/>
    <col min="13569" max="13569" width="16.28515625" bestFit="1" customWidth="1"/>
    <col min="13570" max="13573" width="9.85546875" bestFit="1" customWidth="1"/>
    <col min="13574" max="13574" width="19.85546875" bestFit="1" customWidth="1"/>
    <col min="13575" max="13575" width="10.42578125" bestFit="1" customWidth="1"/>
    <col min="13576" max="13576" width="13.5703125" bestFit="1" customWidth="1"/>
    <col min="13577" max="13577" width="11.85546875" bestFit="1" customWidth="1"/>
    <col min="13578" max="13578" width="13.5703125" bestFit="1" customWidth="1"/>
    <col min="13579" max="13580" width="11.85546875" bestFit="1" customWidth="1"/>
    <col min="13581" max="13581" width="9.7109375" bestFit="1" customWidth="1"/>
    <col min="13582" max="13582" width="14.7109375" bestFit="1" customWidth="1"/>
    <col min="13583" max="13583" width="13.5703125" bestFit="1" customWidth="1"/>
    <col min="13584" max="13584" width="5" bestFit="1" customWidth="1"/>
    <col min="13825" max="13825" width="16.28515625" bestFit="1" customWidth="1"/>
    <col min="13826" max="13829" width="9.85546875" bestFit="1" customWidth="1"/>
    <col min="13830" max="13830" width="19.85546875" bestFit="1" customWidth="1"/>
    <col min="13831" max="13831" width="10.42578125" bestFit="1" customWidth="1"/>
    <col min="13832" max="13832" width="13.5703125" bestFit="1" customWidth="1"/>
    <col min="13833" max="13833" width="11.85546875" bestFit="1" customWidth="1"/>
    <col min="13834" max="13834" width="13.5703125" bestFit="1" customWidth="1"/>
    <col min="13835" max="13836" width="11.85546875" bestFit="1" customWidth="1"/>
    <col min="13837" max="13837" width="9.7109375" bestFit="1" customWidth="1"/>
    <col min="13838" max="13838" width="14.7109375" bestFit="1" customWidth="1"/>
    <col min="13839" max="13839" width="13.5703125" bestFit="1" customWidth="1"/>
    <col min="13840" max="13840" width="5" bestFit="1" customWidth="1"/>
    <col min="14081" max="14081" width="16.28515625" bestFit="1" customWidth="1"/>
    <col min="14082" max="14085" width="9.85546875" bestFit="1" customWidth="1"/>
    <col min="14086" max="14086" width="19.85546875" bestFit="1" customWidth="1"/>
    <col min="14087" max="14087" width="10.42578125" bestFit="1" customWidth="1"/>
    <col min="14088" max="14088" width="13.5703125" bestFit="1" customWidth="1"/>
    <col min="14089" max="14089" width="11.85546875" bestFit="1" customWidth="1"/>
    <col min="14090" max="14090" width="13.5703125" bestFit="1" customWidth="1"/>
    <col min="14091" max="14092" width="11.85546875" bestFit="1" customWidth="1"/>
    <col min="14093" max="14093" width="9.7109375" bestFit="1" customWidth="1"/>
    <col min="14094" max="14094" width="14.7109375" bestFit="1" customWidth="1"/>
    <col min="14095" max="14095" width="13.5703125" bestFit="1" customWidth="1"/>
    <col min="14096" max="14096" width="5" bestFit="1" customWidth="1"/>
    <col min="14337" max="14337" width="16.28515625" bestFit="1" customWidth="1"/>
    <col min="14338" max="14341" width="9.85546875" bestFit="1" customWidth="1"/>
    <col min="14342" max="14342" width="19.85546875" bestFit="1" customWidth="1"/>
    <col min="14343" max="14343" width="10.42578125" bestFit="1" customWidth="1"/>
    <col min="14344" max="14344" width="13.5703125" bestFit="1" customWidth="1"/>
    <col min="14345" max="14345" width="11.85546875" bestFit="1" customWidth="1"/>
    <col min="14346" max="14346" width="13.5703125" bestFit="1" customWidth="1"/>
    <col min="14347" max="14348" width="11.85546875" bestFit="1" customWidth="1"/>
    <col min="14349" max="14349" width="9.7109375" bestFit="1" customWidth="1"/>
    <col min="14350" max="14350" width="14.7109375" bestFit="1" customWidth="1"/>
    <col min="14351" max="14351" width="13.5703125" bestFit="1" customWidth="1"/>
    <col min="14352" max="14352" width="5" bestFit="1" customWidth="1"/>
    <col min="14593" max="14593" width="16.28515625" bestFit="1" customWidth="1"/>
    <col min="14594" max="14597" width="9.85546875" bestFit="1" customWidth="1"/>
    <col min="14598" max="14598" width="19.85546875" bestFit="1" customWidth="1"/>
    <col min="14599" max="14599" width="10.42578125" bestFit="1" customWidth="1"/>
    <col min="14600" max="14600" width="13.5703125" bestFit="1" customWidth="1"/>
    <col min="14601" max="14601" width="11.85546875" bestFit="1" customWidth="1"/>
    <col min="14602" max="14602" width="13.5703125" bestFit="1" customWidth="1"/>
    <col min="14603" max="14604" width="11.85546875" bestFit="1" customWidth="1"/>
    <col min="14605" max="14605" width="9.7109375" bestFit="1" customWidth="1"/>
    <col min="14606" max="14606" width="14.7109375" bestFit="1" customWidth="1"/>
    <col min="14607" max="14607" width="13.5703125" bestFit="1" customWidth="1"/>
    <col min="14608" max="14608" width="5" bestFit="1" customWidth="1"/>
    <col min="14849" max="14849" width="16.28515625" bestFit="1" customWidth="1"/>
    <col min="14850" max="14853" width="9.85546875" bestFit="1" customWidth="1"/>
    <col min="14854" max="14854" width="19.85546875" bestFit="1" customWidth="1"/>
    <col min="14855" max="14855" width="10.42578125" bestFit="1" customWidth="1"/>
    <col min="14856" max="14856" width="13.5703125" bestFit="1" customWidth="1"/>
    <col min="14857" max="14857" width="11.85546875" bestFit="1" customWidth="1"/>
    <col min="14858" max="14858" width="13.5703125" bestFit="1" customWidth="1"/>
    <col min="14859" max="14860" width="11.85546875" bestFit="1" customWidth="1"/>
    <col min="14861" max="14861" width="9.7109375" bestFit="1" customWidth="1"/>
    <col min="14862" max="14862" width="14.7109375" bestFit="1" customWidth="1"/>
    <col min="14863" max="14863" width="13.5703125" bestFit="1" customWidth="1"/>
    <col min="14864" max="14864" width="5" bestFit="1" customWidth="1"/>
    <col min="15105" max="15105" width="16.28515625" bestFit="1" customWidth="1"/>
    <col min="15106" max="15109" width="9.85546875" bestFit="1" customWidth="1"/>
    <col min="15110" max="15110" width="19.85546875" bestFit="1" customWidth="1"/>
    <col min="15111" max="15111" width="10.42578125" bestFit="1" customWidth="1"/>
    <col min="15112" max="15112" width="13.5703125" bestFit="1" customWidth="1"/>
    <col min="15113" max="15113" width="11.85546875" bestFit="1" customWidth="1"/>
    <col min="15114" max="15114" width="13.5703125" bestFit="1" customWidth="1"/>
    <col min="15115" max="15116" width="11.85546875" bestFit="1" customWidth="1"/>
    <col min="15117" max="15117" width="9.7109375" bestFit="1" customWidth="1"/>
    <col min="15118" max="15118" width="14.7109375" bestFit="1" customWidth="1"/>
    <col min="15119" max="15119" width="13.5703125" bestFit="1" customWidth="1"/>
    <col min="15120" max="15120" width="5" bestFit="1" customWidth="1"/>
    <col min="15361" max="15361" width="16.28515625" bestFit="1" customWidth="1"/>
    <col min="15362" max="15365" width="9.85546875" bestFit="1" customWidth="1"/>
    <col min="15366" max="15366" width="19.85546875" bestFit="1" customWidth="1"/>
    <col min="15367" max="15367" width="10.42578125" bestFit="1" customWidth="1"/>
    <col min="15368" max="15368" width="13.5703125" bestFit="1" customWidth="1"/>
    <col min="15369" max="15369" width="11.85546875" bestFit="1" customWidth="1"/>
    <col min="15370" max="15370" width="13.5703125" bestFit="1" customWidth="1"/>
    <col min="15371" max="15372" width="11.85546875" bestFit="1" customWidth="1"/>
    <col min="15373" max="15373" width="9.7109375" bestFit="1" customWidth="1"/>
    <col min="15374" max="15374" width="14.7109375" bestFit="1" customWidth="1"/>
    <col min="15375" max="15375" width="13.5703125" bestFit="1" customWidth="1"/>
    <col min="15376" max="15376" width="5" bestFit="1" customWidth="1"/>
    <col min="15617" max="15617" width="16.28515625" bestFit="1" customWidth="1"/>
    <col min="15618" max="15621" width="9.85546875" bestFit="1" customWidth="1"/>
    <col min="15622" max="15622" width="19.85546875" bestFit="1" customWidth="1"/>
    <col min="15623" max="15623" width="10.42578125" bestFit="1" customWidth="1"/>
    <col min="15624" max="15624" width="13.5703125" bestFit="1" customWidth="1"/>
    <col min="15625" max="15625" width="11.85546875" bestFit="1" customWidth="1"/>
    <col min="15626" max="15626" width="13.5703125" bestFit="1" customWidth="1"/>
    <col min="15627" max="15628" width="11.85546875" bestFit="1" customWidth="1"/>
    <col min="15629" max="15629" width="9.7109375" bestFit="1" customWidth="1"/>
    <col min="15630" max="15630" width="14.7109375" bestFit="1" customWidth="1"/>
    <col min="15631" max="15631" width="13.5703125" bestFit="1" customWidth="1"/>
    <col min="15632" max="15632" width="5" bestFit="1" customWidth="1"/>
    <col min="15873" max="15873" width="16.28515625" bestFit="1" customWidth="1"/>
    <col min="15874" max="15877" width="9.85546875" bestFit="1" customWidth="1"/>
    <col min="15878" max="15878" width="19.85546875" bestFit="1" customWidth="1"/>
    <col min="15879" max="15879" width="10.42578125" bestFit="1" customWidth="1"/>
    <col min="15880" max="15880" width="13.5703125" bestFit="1" customWidth="1"/>
    <col min="15881" max="15881" width="11.85546875" bestFit="1" customWidth="1"/>
    <col min="15882" max="15882" width="13.5703125" bestFit="1" customWidth="1"/>
    <col min="15883" max="15884" width="11.85546875" bestFit="1" customWidth="1"/>
    <col min="15885" max="15885" width="9.7109375" bestFit="1" customWidth="1"/>
    <col min="15886" max="15886" width="14.7109375" bestFit="1" customWidth="1"/>
    <col min="15887" max="15887" width="13.5703125" bestFit="1" customWidth="1"/>
    <col min="15888" max="15888" width="5" bestFit="1" customWidth="1"/>
    <col min="16129" max="16129" width="16.28515625" bestFit="1" customWidth="1"/>
    <col min="16130" max="16133" width="9.85546875" bestFit="1" customWidth="1"/>
    <col min="16134" max="16134" width="19.85546875" bestFit="1" customWidth="1"/>
    <col min="16135" max="16135" width="10.42578125" bestFit="1" customWidth="1"/>
    <col min="16136" max="16136" width="13.5703125" bestFit="1" customWidth="1"/>
    <col min="16137" max="16137" width="11.85546875" bestFit="1" customWidth="1"/>
    <col min="16138" max="16138" width="13.5703125" bestFit="1" customWidth="1"/>
    <col min="16139" max="16140" width="11.85546875" bestFit="1" customWidth="1"/>
    <col min="16141" max="16141" width="9.7109375" bestFit="1" customWidth="1"/>
    <col min="16142" max="16142" width="14.7109375" bestFit="1" customWidth="1"/>
    <col min="16143" max="16143" width="13.5703125" bestFit="1" customWidth="1"/>
    <col min="16144" max="16144" width="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16</v>
      </c>
      <c r="B2" s="1" t="e">
        <f t="array" ref="B2">SUM</f>
        <v>#NAME?</v>
      </c>
      <c r="C2" s="1" t="e">
        <f t="array" ref="C2">SUM</f>
        <v>#NAME?</v>
      </c>
      <c r="D2" s="1" t="e">
        <f t="array" ref="D2">SUM</f>
        <v>#NAME?</v>
      </c>
      <c r="E2" s="1" t="e">
        <f t="array" ref="E2">SUM</f>
        <v>#NAME?</v>
      </c>
      <c r="F2" s="1" t="e">
        <f t="array" ref="F2">SUM</f>
        <v>#NAME?</v>
      </c>
      <c r="G2" s="1" t="e">
        <f t="array" ref="G2">SUM</f>
        <v>#NAME?</v>
      </c>
      <c r="H2" s="1" t="e">
        <f t="array" ref="H2">SUM</f>
        <v>#NAME?</v>
      </c>
      <c r="I2" s="1" t="e">
        <f t="array" ref="I2">SUM</f>
        <v>#NAME?</v>
      </c>
      <c r="J2" s="1" t="e">
        <f t="array" ref="J2">SUM</f>
        <v>#NAME?</v>
      </c>
      <c r="K2" s="1" t="e">
        <f t="array" ref="K2">SUM</f>
        <v>#NAME?</v>
      </c>
      <c r="L2" s="1" t="e">
        <f t="array" ref="L2">SUM</f>
        <v>#NAME?</v>
      </c>
      <c r="M2" s="1" t="e">
        <f t="array" ref="M2">SUM</f>
        <v>#NAME?</v>
      </c>
      <c r="N2" s="1" t="e">
        <f t="array" ref="N2">SUM</f>
        <v>#NAME?</v>
      </c>
      <c r="O2" t="s">
        <v>17</v>
      </c>
      <c r="P2">
        <v>2021</v>
      </c>
    </row>
    <row r="3" spans="1:16" x14ac:dyDescent="0.25">
      <c r="A3" t="s">
        <v>16</v>
      </c>
      <c r="B3" s="1" t="e">
        <f t="array" ref="B3">SUM</f>
        <v>#NAME?</v>
      </c>
      <c r="C3" s="1" t="e">
        <f t="array" ref="C3">SUM</f>
        <v>#NAME?</v>
      </c>
      <c r="D3" s="1" t="e">
        <f t="array" ref="D3">SUM</f>
        <v>#NAME?</v>
      </c>
      <c r="E3" s="1" t="e">
        <f t="array" ref="E3">SUM</f>
        <v>#NAME?</v>
      </c>
      <c r="F3" s="1" t="e">
        <f t="array" ref="F3">SUM</f>
        <v>#NAME?</v>
      </c>
      <c r="G3" s="1" t="e">
        <f t="array" ref="G3">SUM</f>
        <v>#NAME?</v>
      </c>
      <c r="H3" s="1" t="e">
        <f t="array" ref="H3">SUM</f>
        <v>#NAME?</v>
      </c>
      <c r="I3" s="1" t="e">
        <f t="array" ref="I3">SUM</f>
        <v>#NAME?</v>
      </c>
      <c r="J3" s="1" t="e">
        <f t="array" ref="J3">SUM</f>
        <v>#NAME?</v>
      </c>
      <c r="K3" s="1" t="e">
        <f t="array" ref="K3">SUM</f>
        <v>#NAME?</v>
      </c>
      <c r="L3" s="1" t="e">
        <f t="array" ref="L3">SUM</f>
        <v>#NAME?</v>
      </c>
      <c r="M3" s="1" t="e">
        <f t="array" ref="M3">SUM</f>
        <v>#NAME?</v>
      </c>
      <c r="N3" s="1" t="e">
        <f t="array" ref="N3">SUM</f>
        <v>#NAME?</v>
      </c>
      <c r="O3" t="s">
        <v>17</v>
      </c>
      <c r="P3">
        <v>2021</v>
      </c>
    </row>
    <row r="4" spans="1:16" x14ac:dyDescent="0.25">
      <c r="A4" t="s">
        <v>18</v>
      </c>
      <c r="B4" s="1" t="e">
        <f t="array" ref="B4">SUM</f>
        <v>#NAME?</v>
      </c>
      <c r="C4" s="1" t="e">
        <f t="array" ref="C4">SUM</f>
        <v>#NAME?</v>
      </c>
      <c r="D4" s="1" t="e">
        <f t="array" ref="D4">SUM</f>
        <v>#NAME?</v>
      </c>
      <c r="E4" s="1" t="e">
        <f t="array" ref="E4">SUM</f>
        <v>#NAME?</v>
      </c>
      <c r="F4" s="1" t="e">
        <f t="array" ref="F4">SUM</f>
        <v>#NAME?</v>
      </c>
      <c r="G4" s="1" t="e">
        <f t="array" ref="G4">SUM</f>
        <v>#NAME?</v>
      </c>
      <c r="H4" s="1" t="e">
        <f t="array" ref="H4">SUM</f>
        <v>#NAME?</v>
      </c>
      <c r="I4" s="1" t="e">
        <f t="array" ref="I4">SUM</f>
        <v>#NAME?</v>
      </c>
      <c r="J4" s="1" t="e">
        <f t="array" ref="J4">SUM</f>
        <v>#NAME?</v>
      </c>
      <c r="K4" s="1" t="e">
        <f t="array" ref="K4">SUM</f>
        <v>#NAME?</v>
      </c>
      <c r="L4" s="1" t="e">
        <f t="array" ref="L4">SUM</f>
        <v>#NAME?</v>
      </c>
      <c r="M4" s="1" t="e">
        <f t="array" ref="M4">SUM</f>
        <v>#NAME?</v>
      </c>
      <c r="N4" s="1" t="e">
        <f t="array" ref="N4">SUM</f>
        <v>#NAME?</v>
      </c>
      <c r="O4" t="s">
        <v>19</v>
      </c>
      <c r="P4">
        <v>2021</v>
      </c>
    </row>
    <row r="5" spans="1:16" x14ac:dyDescent="0.25">
      <c r="A5" t="s">
        <v>18</v>
      </c>
      <c r="B5" s="1" t="e">
        <f t="array" ref="B5">SUM</f>
        <v>#NAME?</v>
      </c>
      <c r="C5" s="1" t="e">
        <f t="array" ref="C5">SUM</f>
        <v>#NAME?</v>
      </c>
      <c r="D5" s="1" t="e">
        <f t="array" ref="D5">SUM</f>
        <v>#NAME?</v>
      </c>
      <c r="E5" s="1" t="e">
        <f t="array" ref="E5">SUM</f>
        <v>#NAME?</v>
      </c>
      <c r="F5" s="1" t="e">
        <f t="array" ref="F5">SUM</f>
        <v>#NAME?</v>
      </c>
      <c r="G5" s="1" t="e">
        <f t="array" ref="G5">SUM</f>
        <v>#NAME?</v>
      </c>
      <c r="H5" s="1" t="e">
        <f t="array" ref="H5">SUM</f>
        <v>#NAME?</v>
      </c>
      <c r="I5" s="1" t="e">
        <f t="array" ref="I5">SUM</f>
        <v>#NAME?</v>
      </c>
      <c r="J5" s="1" t="e">
        <f t="array" ref="J5">SUM</f>
        <v>#NAME?</v>
      </c>
      <c r="K5" s="1" t="e">
        <f t="array" ref="K5">SUM</f>
        <v>#NAME?</v>
      </c>
      <c r="L5" s="1" t="e">
        <f t="array" ref="L5">SUM</f>
        <v>#NAME?</v>
      </c>
      <c r="M5" s="1" t="e">
        <f t="array" ref="M5">SUM</f>
        <v>#NAME?</v>
      </c>
      <c r="N5" s="1" t="e">
        <f t="array" ref="N5">SUM</f>
        <v>#NAME?</v>
      </c>
      <c r="O5" t="s">
        <v>19</v>
      </c>
      <c r="P5">
        <v>2021</v>
      </c>
    </row>
    <row r="6" spans="1:16" x14ac:dyDescent="0.25">
      <c r="A6" t="s">
        <v>18</v>
      </c>
      <c r="B6" s="1" t="e">
        <f t="array" ref="B6">SUM</f>
        <v>#NAME?</v>
      </c>
      <c r="C6" s="1" t="e">
        <f t="array" ref="C6">SUM</f>
        <v>#NAME?</v>
      </c>
      <c r="D6" s="1" t="e">
        <f t="array" ref="D6">SUM</f>
        <v>#NAME?</v>
      </c>
      <c r="E6" s="1" t="e">
        <f t="array" ref="E6">SUM</f>
        <v>#NAME?</v>
      </c>
      <c r="F6" s="1" t="e">
        <f t="array" ref="F6">SUM</f>
        <v>#NAME?</v>
      </c>
      <c r="G6" s="1" t="e">
        <f t="array" ref="G6">SUM</f>
        <v>#NAME?</v>
      </c>
      <c r="H6" s="1" t="e">
        <f t="array" ref="H6">SUM</f>
        <v>#NAME?</v>
      </c>
      <c r="I6" s="1" t="e">
        <f t="array" ref="I6">SUM</f>
        <v>#NAME?</v>
      </c>
      <c r="J6" s="1" t="e">
        <f t="array" ref="J6">SUM</f>
        <v>#NAME?</v>
      </c>
      <c r="K6" s="1" t="e">
        <f t="array" ref="K6">SUM</f>
        <v>#NAME?</v>
      </c>
      <c r="L6" s="1" t="e">
        <f t="array" ref="L6">SUM</f>
        <v>#NAME?</v>
      </c>
      <c r="M6" s="1" t="e">
        <f t="array" ref="M6">SUM</f>
        <v>#NAME?</v>
      </c>
      <c r="N6" s="1" t="e">
        <f t="array" ref="N6">SUM</f>
        <v>#NAME?</v>
      </c>
      <c r="O6" t="s">
        <v>19</v>
      </c>
      <c r="P6">
        <v>2021</v>
      </c>
    </row>
    <row r="7" spans="1:16" x14ac:dyDescent="0.25">
      <c r="A7" t="s">
        <v>16</v>
      </c>
      <c r="B7" s="1" t="e">
        <f t="array" ref="B7">SUM</f>
        <v>#NAME?</v>
      </c>
      <c r="C7" s="1" t="e">
        <f t="array" ref="C7">SUM</f>
        <v>#NAME?</v>
      </c>
      <c r="D7" s="1" t="e">
        <f t="array" ref="D7">SUM</f>
        <v>#NAME?</v>
      </c>
      <c r="E7" s="1" t="e">
        <f t="array" ref="E7">SUM</f>
        <v>#NAME?</v>
      </c>
      <c r="F7" s="1" t="e">
        <f t="array" ref="F7">SUM</f>
        <v>#NAME?</v>
      </c>
      <c r="G7" s="1" t="e">
        <f t="array" ref="G7">SUM</f>
        <v>#NAME?</v>
      </c>
      <c r="H7" s="1" t="e">
        <f t="array" ref="H7">SUM</f>
        <v>#NAME?</v>
      </c>
      <c r="I7" s="1" t="e">
        <f t="array" ref="I7">SUM</f>
        <v>#NAME?</v>
      </c>
      <c r="J7" s="1" t="e">
        <f t="array" ref="J7">SUM</f>
        <v>#NAME?</v>
      </c>
      <c r="K7" s="1" t="e">
        <f t="array" ref="K7">SUM</f>
        <v>#NAME?</v>
      </c>
      <c r="L7" s="1" t="e">
        <f t="array" ref="L7">SUM</f>
        <v>#NAME?</v>
      </c>
      <c r="M7" s="1" t="e">
        <f t="array" ref="M7">SUM</f>
        <v>#NAME?</v>
      </c>
      <c r="N7" s="1" t="e">
        <f t="array" ref="N7">SUM</f>
        <v>#NAME?</v>
      </c>
      <c r="O7" t="s">
        <v>20</v>
      </c>
      <c r="P7">
        <v>2021</v>
      </c>
    </row>
    <row r="8" spans="1:16" x14ac:dyDescent="0.25">
      <c r="A8" t="s">
        <v>18</v>
      </c>
      <c r="B8" s="1" t="e">
        <f t="array" ref="B8">SUM</f>
        <v>#NAME?</v>
      </c>
      <c r="C8" s="1" t="e">
        <f t="array" ref="C8">SUM</f>
        <v>#NAME?</v>
      </c>
      <c r="D8" s="1" t="e">
        <f t="array" ref="D8">SUM</f>
        <v>#NAME?</v>
      </c>
      <c r="E8" s="1" t="e">
        <f t="array" ref="E8">SUM</f>
        <v>#NAME?</v>
      </c>
      <c r="F8" s="1" t="e">
        <f t="array" ref="F8">SUM</f>
        <v>#NAME?</v>
      </c>
      <c r="G8" s="1" t="e">
        <f t="array" ref="G8">SUM</f>
        <v>#NAME?</v>
      </c>
      <c r="H8" s="1" t="e">
        <f t="array" ref="H8">SUM</f>
        <v>#NAME?</v>
      </c>
      <c r="I8" s="1" t="e">
        <f t="array" ref="I8">SUM</f>
        <v>#NAME?</v>
      </c>
      <c r="J8" s="1" t="e">
        <f t="array" ref="J8">SUM</f>
        <v>#NAME?</v>
      </c>
      <c r="K8" s="1" t="e">
        <f t="array" ref="K8">SUM</f>
        <v>#NAME?</v>
      </c>
      <c r="L8" s="1" t="e">
        <f t="array" ref="L8">SUM</f>
        <v>#NAME?</v>
      </c>
      <c r="M8" s="1" t="e">
        <f t="array" ref="M8">SUM</f>
        <v>#NAME?</v>
      </c>
      <c r="N8" s="1" t="e">
        <f t="array" ref="N8">SUM</f>
        <v>#NAME?</v>
      </c>
      <c r="O8" t="s">
        <v>21</v>
      </c>
      <c r="P8">
        <v>2021</v>
      </c>
    </row>
    <row r="9" spans="1:16" x14ac:dyDescent="0.25">
      <c r="A9" t="s">
        <v>22</v>
      </c>
      <c r="B9" s="1" t="e">
        <f t="array" ref="B9">SUM</f>
        <v>#NAME?</v>
      </c>
      <c r="C9" s="1" t="e">
        <f t="array" ref="C9">SUM</f>
        <v>#NAME?</v>
      </c>
      <c r="D9" s="1" t="e">
        <f t="array" ref="D9">SUM</f>
        <v>#NAME?</v>
      </c>
      <c r="E9" s="1" t="e">
        <f t="array" ref="E9">SUM</f>
        <v>#NAME?</v>
      </c>
      <c r="F9" s="1" t="e">
        <f t="array" ref="F9">SUM</f>
        <v>#NAME?</v>
      </c>
      <c r="G9" s="1" t="e">
        <f t="array" ref="G9">SUM</f>
        <v>#NAME?</v>
      </c>
      <c r="H9" s="1" t="e">
        <f t="array" ref="H9">SUM</f>
        <v>#NAME?</v>
      </c>
      <c r="I9" s="1" t="e">
        <f t="array" ref="I9">SUM</f>
        <v>#NAME?</v>
      </c>
      <c r="J9" s="1" t="e">
        <f t="array" ref="J9">SUM</f>
        <v>#NAME?</v>
      </c>
      <c r="K9" s="1" t="e">
        <f t="array" ref="K9">SUM</f>
        <v>#NAME?</v>
      </c>
      <c r="L9" s="1" t="e">
        <f t="array" ref="L9">SUM</f>
        <v>#NAME?</v>
      </c>
      <c r="M9" s="1" t="e">
        <f t="array" ref="M9">SUM</f>
        <v>#NAME?</v>
      </c>
      <c r="N9" s="1" t="e">
        <f t="array" ref="N9">SUM</f>
        <v>#NAME?</v>
      </c>
      <c r="O9" t="s">
        <v>19</v>
      </c>
      <c r="P9">
        <v>2021</v>
      </c>
    </row>
    <row r="10" spans="1:16" x14ac:dyDescent="0.25">
      <c r="A10" t="s">
        <v>16</v>
      </c>
      <c r="B10" s="1" t="e">
        <f t="array" ref="B10">SUM</f>
        <v>#NAME?</v>
      </c>
      <c r="C10" s="1" t="e">
        <f t="array" ref="C10">SUM</f>
        <v>#NAME?</v>
      </c>
      <c r="D10" s="1" t="e">
        <f t="array" ref="D10">SUM</f>
        <v>#NAME?</v>
      </c>
      <c r="E10" s="1" t="e">
        <f t="array" ref="E10">SUM</f>
        <v>#NAME?</v>
      </c>
      <c r="F10" s="1" t="e">
        <f t="array" ref="F10">SUM</f>
        <v>#NAME?</v>
      </c>
      <c r="G10" s="1" t="e">
        <f t="array" ref="G10">SUM</f>
        <v>#NAME?</v>
      </c>
      <c r="H10" s="1" t="e">
        <f t="array" ref="H10">SUM</f>
        <v>#NAME?</v>
      </c>
      <c r="I10" s="1" t="e">
        <f t="array" ref="I10">SUM</f>
        <v>#NAME?</v>
      </c>
      <c r="J10" s="1" t="e">
        <f t="array" ref="J10">SUM</f>
        <v>#NAME?</v>
      </c>
      <c r="K10" s="1" t="e">
        <f t="array" ref="K10">SUM</f>
        <v>#NAME?</v>
      </c>
      <c r="L10" s="1" t="e">
        <f t="array" ref="L10">SUM</f>
        <v>#NAME?</v>
      </c>
      <c r="M10" s="1" t="e">
        <f t="array" ref="M10">SUM</f>
        <v>#NAME?</v>
      </c>
      <c r="N10" s="1" t="e">
        <f t="array" ref="N10">SUM</f>
        <v>#NAME?</v>
      </c>
      <c r="O10" t="s">
        <v>19</v>
      </c>
      <c r="P10">
        <v>2021</v>
      </c>
    </row>
    <row r="11" spans="1:16" x14ac:dyDescent="0.25">
      <c r="A11" t="s">
        <v>22</v>
      </c>
      <c r="B11" s="1" t="e">
        <f t="array" ref="B11">SUM</f>
        <v>#NAME?</v>
      </c>
      <c r="C11" s="1" t="e">
        <f t="array" ref="C11">SUM</f>
        <v>#NAME?</v>
      </c>
      <c r="D11" s="1" t="e">
        <f t="array" ref="D11">SUM</f>
        <v>#NAME?</v>
      </c>
      <c r="E11" s="1" t="e">
        <f t="array" ref="E11">SUM</f>
        <v>#NAME?</v>
      </c>
      <c r="F11" s="1" t="e">
        <f t="array" ref="F11">SUM</f>
        <v>#NAME?</v>
      </c>
      <c r="G11" s="1" t="e">
        <f t="array" ref="G11">SUM</f>
        <v>#NAME?</v>
      </c>
      <c r="H11" s="1" t="e">
        <f t="array" ref="H11">SUM</f>
        <v>#NAME?</v>
      </c>
      <c r="I11" s="1" t="e">
        <f t="array" ref="I11">SUM</f>
        <v>#NAME?</v>
      </c>
      <c r="J11" s="1" t="e">
        <f t="array" ref="J11">SUM</f>
        <v>#NAME?</v>
      </c>
      <c r="K11" s="1" t="e">
        <f t="array" ref="K11">SUM</f>
        <v>#NAME?</v>
      </c>
      <c r="L11" s="1" t="e">
        <f t="array" ref="L11">SUM</f>
        <v>#NAME?</v>
      </c>
      <c r="M11" s="1" t="e">
        <f t="array" ref="M11">SUM</f>
        <v>#NAME?</v>
      </c>
      <c r="N11" s="1" t="e">
        <f t="array" ref="N11">SUM</f>
        <v>#NAME?</v>
      </c>
      <c r="O11" t="s">
        <v>19</v>
      </c>
      <c r="P11">
        <v>2021</v>
      </c>
    </row>
    <row r="12" spans="1:16" x14ac:dyDescent="0.25">
      <c r="A12" t="s">
        <v>18</v>
      </c>
      <c r="B12" s="1" t="e">
        <f t="array" ref="B12">SUM</f>
        <v>#NAME?</v>
      </c>
      <c r="C12" s="1" t="e">
        <f t="array" ref="C12">SUM</f>
        <v>#NAME?</v>
      </c>
      <c r="D12" s="1" t="e">
        <f t="array" ref="D12">SUM</f>
        <v>#NAME?</v>
      </c>
      <c r="E12" s="1" t="e">
        <f t="array" ref="E12">SUM</f>
        <v>#NAME?</v>
      </c>
      <c r="F12" s="1" t="e">
        <f t="array" ref="F12">SUM</f>
        <v>#NAME?</v>
      </c>
      <c r="G12" s="1" t="e">
        <f t="array" ref="G12">SUM</f>
        <v>#NAME?</v>
      </c>
      <c r="H12" s="1" t="e">
        <f t="array" ref="H12">SUM</f>
        <v>#NAME?</v>
      </c>
      <c r="I12" s="1" t="e">
        <f t="array" ref="I12">SUM</f>
        <v>#NAME?</v>
      </c>
      <c r="J12" s="1" t="e">
        <f t="array" ref="J12">SUM</f>
        <v>#NAME?</v>
      </c>
      <c r="K12" s="1" t="e">
        <f t="array" ref="K12">SUM</f>
        <v>#NAME?</v>
      </c>
      <c r="L12" s="1" t="e">
        <f t="array" ref="L12">SUM</f>
        <v>#NAME?</v>
      </c>
      <c r="M12" s="1" t="e">
        <f t="array" ref="M12">SUM</f>
        <v>#NAME?</v>
      </c>
      <c r="N12" s="1" t="e">
        <f t="array" ref="N12">SUM</f>
        <v>#NAME?</v>
      </c>
      <c r="O12" t="s">
        <v>19</v>
      </c>
      <c r="P12">
        <v>2021</v>
      </c>
    </row>
    <row r="13" spans="1:16" x14ac:dyDescent="0.25">
      <c r="A13" t="s">
        <v>23</v>
      </c>
      <c r="B13" s="1" t="e">
        <f t="array" ref="B13">SUM</f>
        <v>#NAME?</v>
      </c>
      <c r="C13" s="1" t="e">
        <f t="array" ref="C13">SUM</f>
        <v>#NAME?</v>
      </c>
      <c r="D13" s="1" t="e">
        <f t="array" ref="D13">SUM</f>
        <v>#NAME?</v>
      </c>
      <c r="E13" s="1" t="e">
        <f t="array" ref="E13">SUM</f>
        <v>#NAME?</v>
      </c>
      <c r="F13" s="1" t="e">
        <f t="array" ref="F13">SUM</f>
        <v>#NAME?</v>
      </c>
      <c r="G13" s="1" t="e">
        <f t="array" ref="G13">SUM</f>
        <v>#NAME?</v>
      </c>
      <c r="H13" s="1" t="e">
        <f t="array" ref="H13">SUM</f>
        <v>#NAME?</v>
      </c>
      <c r="I13" s="1" t="e">
        <f t="array" ref="I13">SUM</f>
        <v>#NAME?</v>
      </c>
      <c r="J13" s="1" t="e">
        <f t="array" ref="J13">SUM</f>
        <v>#NAME?</v>
      </c>
      <c r="K13" s="1" t="e">
        <f t="array" ref="K13">SUM</f>
        <v>#NAME?</v>
      </c>
      <c r="L13" s="1" t="e">
        <f t="array" ref="L13">SUM</f>
        <v>#NAME?</v>
      </c>
      <c r="M13" s="1" t="e">
        <f t="array" ref="M13">SUM</f>
        <v>#NAME?</v>
      </c>
      <c r="N13" s="1" t="e">
        <f t="array" ref="N13">SUM</f>
        <v>#NAME?</v>
      </c>
      <c r="O13" t="s">
        <v>24</v>
      </c>
      <c r="P13">
        <v>2021</v>
      </c>
    </row>
    <row r="14" spans="1:16" x14ac:dyDescent="0.25">
      <c r="A14" t="s">
        <v>25</v>
      </c>
      <c r="B14" s="1" t="e">
        <f t="array" ref="B14">SUM</f>
        <v>#NAME?</v>
      </c>
      <c r="C14" s="1" t="e">
        <f t="array" ref="C14">SUM</f>
        <v>#NAME?</v>
      </c>
      <c r="D14" s="1" t="e">
        <f t="array" ref="D14">SUM</f>
        <v>#NAME?</v>
      </c>
      <c r="E14" s="1" t="e">
        <f t="array" ref="E14">SUM</f>
        <v>#NAME?</v>
      </c>
      <c r="F14" s="1" t="e">
        <f t="array" ref="F14">SUM</f>
        <v>#NAME?</v>
      </c>
      <c r="G14" s="1" t="e">
        <f t="array" ref="G14">SUM</f>
        <v>#NAME?</v>
      </c>
      <c r="H14" s="1" t="e">
        <f t="array" ref="H14">SUM</f>
        <v>#NAME?</v>
      </c>
      <c r="I14" s="1" t="e">
        <f t="array" ref="I14">SUM</f>
        <v>#NAME?</v>
      </c>
      <c r="J14" s="1" t="e">
        <f t="array" ref="J14">SUM</f>
        <v>#NAME?</v>
      </c>
      <c r="K14" s="1" t="e">
        <f t="array" ref="K14">SUM</f>
        <v>#NAME?</v>
      </c>
      <c r="L14" s="1" t="e">
        <f t="array" ref="L14">SUM</f>
        <v>#NAME?</v>
      </c>
      <c r="M14" s="1" t="e">
        <f t="array" ref="M14">SUM</f>
        <v>#NAME?</v>
      </c>
      <c r="N14" s="1" t="e">
        <f t="array" ref="N14">SUM</f>
        <v>#NAME?</v>
      </c>
      <c r="O14" t="s">
        <v>26</v>
      </c>
      <c r="P14">
        <v>2021</v>
      </c>
    </row>
    <row r="15" spans="1:16" x14ac:dyDescent="0.25">
      <c r="A15" t="s">
        <v>16</v>
      </c>
      <c r="B15" s="1" t="e">
        <f t="array" ref="B15">SUM</f>
        <v>#NAME?</v>
      </c>
      <c r="C15" s="1" t="e">
        <f t="array" ref="C15">SUM</f>
        <v>#NAME?</v>
      </c>
      <c r="D15" s="1" t="e">
        <f t="array" ref="D15">SUM</f>
        <v>#NAME?</v>
      </c>
      <c r="E15" s="1" t="e">
        <f t="array" ref="E15">SUM</f>
        <v>#NAME?</v>
      </c>
      <c r="F15" s="1" t="e">
        <f t="array" ref="F15">SUM</f>
        <v>#NAME?</v>
      </c>
      <c r="G15" s="1" t="e">
        <f t="array" ref="G15">SUM</f>
        <v>#NAME?</v>
      </c>
      <c r="H15" s="1" t="e">
        <f t="array" ref="H15">SUM</f>
        <v>#NAME?</v>
      </c>
      <c r="I15" s="1" t="e">
        <f t="array" ref="I15">SUM</f>
        <v>#NAME?</v>
      </c>
      <c r="J15" s="1" t="e">
        <f t="array" ref="J15">SUM</f>
        <v>#NAME?</v>
      </c>
      <c r="K15" s="1" t="e">
        <f t="array" ref="K15">SUM</f>
        <v>#NAME?</v>
      </c>
      <c r="L15" s="1" t="e">
        <f t="array" ref="L15">SUM</f>
        <v>#NAME?</v>
      </c>
      <c r="M15" s="1" t="e">
        <f t="array" ref="M15">SUM</f>
        <v>#NAME?</v>
      </c>
      <c r="N15" s="1" t="e">
        <f t="array" ref="N15">SUM</f>
        <v>#NAME?</v>
      </c>
      <c r="O15" t="s">
        <v>27</v>
      </c>
      <c r="P15">
        <v>2021</v>
      </c>
    </row>
    <row r="16" spans="1:16" x14ac:dyDescent="0.25">
      <c r="A16" t="s">
        <v>23</v>
      </c>
      <c r="B16" s="1" t="e">
        <f t="array" ref="B16">SUM</f>
        <v>#NAME?</v>
      </c>
      <c r="C16" s="1" t="e">
        <f t="array" ref="C16">SUM</f>
        <v>#NAME?</v>
      </c>
      <c r="D16" s="1" t="e">
        <f t="array" ref="D16">SUM</f>
        <v>#NAME?</v>
      </c>
      <c r="E16" s="1" t="e">
        <f t="array" ref="E16">SUM</f>
        <v>#NAME?</v>
      </c>
      <c r="F16" s="1" t="e">
        <f t="array" ref="F16">SUM</f>
        <v>#NAME?</v>
      </c>
      <c r="G16" s="1" t="e">
        <f t="array" ref="G16">SUM</f>
        <v>#NAME?</v>
      </c>
      <c r="H16" s="1" t="e">
        <f t="array" ref="H16">SUM</f>
        <v>#NAME?</v>
      </c>
      <c r="I16" s="1" t="e">
        <f t="array" ref="I16">SUM</f>
        <v>#NAME?</v>
      </c>
      <c r="J16" s="1" t="e">
        <f t="array" ref="J16">SUM</f>
        <v>#NAME?</v>
      </c>
      <c r="K16" s="1" t="e">
        <f t="array" ref="K16">SUM</f>
        <v>#NAME?</v>
      </c>
      <c r="L16" s="1" t="e">
        <f t="array" ref="L16">SUM</f>
        <v>#NAME?</v>
      </c>
      <c r="M16" s="1" t="e">
        <f t="array" ref="M16">SUM</f>
        <v>#NAME?</v>
      </c>
      <c r="N16" s="1" t="e">
        <f t="array" ref="N16">SUM</f>
        <v>#NAME?</v>
      </c>
      <c r="O16" t="s">
        <v>28</v>
      </c>
      <c r="P16">
        <v>2021</v>
      </c>
    </row>
    <row r="17" spans="1:16" x14ac:dyDescent="0.25">
      <c r="A17" t="s">
        <v>18</v>
      </c>
      <c r="B17" s="1" t="e">
        <f t="array" ref="B17">SUM</f>
        <v>#NAME?</v>
      </c>
      <c r="C17" s="1" t="e">
        <f t="array" ref="C17">SUM</f>
        <v>#NAME?</v>
      </c>
      <c r="D17" s="1" t="e">
        <f t="array" ref="D17">SUM</f>
        <v>#NAME?</v>
      </c>
      <c r="E17" s="1" t="e">
        <f t="array" ref="E17">SUM</f>
        <v>#NAME?</v>
      </c>
      <c r="F17" s="1" t="e">
        <f t="array" ref="F17">SUM</f>
        <v>#NAME?</v>
      </c>
      <c r="G17" s="1" t="e">
        <f t="array" ref="G17">SUM</f>
        <v>#NAME?</v>
      </c>
      <c r="H17" s="1" t="e">
        <f t="array" ref="H17">SUM</f>
        <v>#NAME?</v>
      </c>
      <c r="I17" s="1" t="e">
        <f t="array" ref="I17">SUM</f>
        <v>#NAME?</v>
      </c>
      <c r="J17" s="1" t="e">
        <f t="array" ref="J17">SUM</f>
        <v>#NAME?</v>
      </c>
      <c r="K17" s="1" t="e">
        <f t="array" ref="K17">SUM</f>
        <v>#NAME?</v>
      </c>
      <c r="L17" s="1" t="e">
        <f t="array" ref="L17">SUM</f>
        <v>#NAME?</v>
      </c>
      <c r="M17" s="1" t="e">
        <f t="array" ref="M17">SUM</f>
        <v>#NAME?</v>
      </c>
      <c r="N17" s="1" t="e">
        <f t="array" ref="N17">SUM</f>
        <v>#NAME?</v>
      </c>
      <c r="O17" t="s">
        <v>20</v>
      </c>
      <c r="P17">
        <v>2021</v>
      </c>
    </row>
    <row r="18" spans="1:16" x14ac:dyDescent="0.25">
      <c r="A18" t="s">
        <v>16</v>
      </c>
      <c r="B18" s="1" t="e">
        <f t="array" ref="B18">SUM</f>
        <v>#NAME?</v>
      </c>
      <c r="C18" s="1" t="e">
        <f t="array" ref="C18">SUM</f>
        <v>#NAME?</v>
      </c>
      <c r="D18" s="1" t="e">
        <f t="array" ref="D18">SUM</f>
        <v>#NAME?</v>
      </c>
      <c r="E18" s="1" t="e">
        <f t="array" ref="E18">SUM</f>
        <v>#NAME?</v>
      </c>
      <c r="F18" s="1" t="e">
        <f t="array" ref="F18">SUM</f>
        <v>#NAME?</v>
      </c>
      <c r="G18" s="1" t="e">
        <f t="array" ref="G18">SUM</f>
        <v>#NAME?</v>
      </c>
      <c r="H18" s="1" t="e">
        <f t="array" ref="H18">SUM</f>
        <v>#NAME?</v>
      </c>
      <c r="I18" s="1" t="e">
        <f t="array" ref="I18">SUM</f>
        <v>#NAME?</v>
      </c>
      <c r="J18" s="1" t="e">
        <f t="array" ref="J18">SUM</f>
        <v>#NAME?</v>
      </c>
      <c r="K18" s="1" t="e">
        <f t="array" ref="K18">SUM</f>
        <v>#NAME?</v>
      </c>
      <c r="L18" s="1" t="e">
        <f t="array" ref="L18">SUM</f>
        <v>#NAME?</v>
      </c>
      <c r="M18" s="1" t="e">
        <f t="array" ref="M18">SUM</f>
        <v>#NAME?</v>
      </c>
      <c r="N18" s="1" t="e">
        <f t="array" ref="N18">SUM</f>
        <v>#NAME?</v>
      </c>
      <c r="O18" t="s">
        <v>29</v>
      </c>
      <c r="P18">
        <v>2021</v>
      </c>
    </row>
    <row r="19" spans="1:16" x14ac:dyDescent="0.25">
      <c r="A19" t="s">
        <v>18</v>
      </c>
      <c r="B19" s="1" t="e">
        <f t="array" ref="B19">SUM</f>
        <v>#NAME?</v>
      </c>
      <c r="C19" s="1" t="e">
        <f t="array" ref="C19">SUM</f>
        <v>#NAME?</v>
      </c>
      <c r="D19" s="1" t="e">
        <f t="array" ref="D19">SUM</f>
        <v>#NAME?</v>
      </c>
      <c r="E19" s="1" t="e">
        <f t="array" ref="E19">SUM</f>
        <v>#NAME?</v>
      </c>
      <c r="F19" s="1" t="e">
        <f t="array" ref="F19">SUM</f>
        <v>#NAME?</v>
      </c>
      <c r="G19" s="1" t="e">
        <f t="array" ref="G19">SUM</f>
        <v>#NAME?</v>
      </c>
      <c r="H19" s="1" t="e">
        <f t="array" ref="H19">SUM</f>
        <v>#NAME?</v>
      </c>
      <c r="I19" s="1" t="e">
        <f t="array" ref="I19">SUM</f>
        <v>#NAME?</v>
      </c>
      <c r="J19" s="1" t="e">
        <f t="array" ref="J19">SUM</f>
        <v>#NAME?</v>
      </c>
      <c r="K19" s="1" t="e">
        <f t="array" ref="K19">SUM</f>
        <v>#NAME?</v>
      </c>
      <c r="L19" s="1" t="e">
        <f t="array" ref="L19">SUM</f>
        <v>#NAME?</v>
      </c>
      <c r="M19" s="1" t="e">
        <f t="array" ref="M19">SUM</f>
        <v>#NAME?</v>
      </c>
      <c r="N19" s="1" t="e">
        <f t="array" ref="N19">SUM</f>
        <v>#NAME?</v>
      </c>
      <c r="O19" t="s">
        <v>29</v>
      </c>
      <c r="P19">
        <v>2021</v>
      </c>
    </row>
    <row r="20" spans="1:16" x14ac:dyDescent="0.25">
      <c r="A20" t="s">
        <v>22</v>
      </c>
      <c r="B20" s="1" t="e">
        <f t="array" ref="B20">SUM</f>
        <v>#NAME?</v>
      </c>
      <c r="C20" s="1" t="e">
        <f t="array" ref="C20">SUM</f>
        <v>#NAME?</v>
      </c>
      <c r="D20" s="1" t="e">
        <f t="array" ref="D20">SUM</f>
        <v>#NAME?</v>
      </c>
      <c r="E20" s="1" t="e">
        <f t="array" ref="E20">SUM</f>
        <v>#NAME?</v>
      </c>
      <c r="F20" s="1" t="e">
        <f t="array" ref="F20">SUM</f>
        <v>#NAME?</v>
      </c>
      <c r="G20" s="1" t="e">
        <f t="array" ref="G20">SUM</f>
        <v>#NAME?</v>
      </c>
      <c r="H20" s="1" t="e">
        <f t="array" ref="H20">SUM</f>
        <v>#NAME?</v>
      </c>
      <c r="I20" s="1" t="e">
        <f t="array" ref="I20">SUM</f>
        <v>#NAME?</v>
      </c>
      <c r="J20" s="1" t="e">
        <f t="array" ref="J20">SUM</f>
        <v>#NAME?</v>
      </c>
      <c r="K20" s="1" t="e">
        <f t="array" ref="K20">SUM</f>
        <v>#NAME?</v>
      </c>
      <c r="L20" s="1" t="e">
        <f t="array" ref="L20">SUM</f>
        <v>#NAME?</v>
      </c>
      <c r="M20" s="1" t="e">
        <f t="array" ref="M20">SUM</f>
        <v>#NAME?</v>
      </c>
      <c r="N20" s="1" t="e">
        <f t="array" ref="N20">SUM</f>
        <v>#NAME?</v>
      </c>
      <c r="O20" t="s">
        <v>19</v>
      </c>
      <c r="P20">
        <v>2020</v>
      </c>
    </row>
    <row r="21" spans="1:16" x14ac:dyDescent="0.25">
      <c r="A21" t="s">
        <v>16</v>
      </c>
      <c r="B21" s="1" t="e">
        <f t="array" ref="B21">SUM</f>
        <v>#NAME?</v>
      </c>
      <c r="C21" s="1" t="e">
        <f t="array" ref="C21">SUM</f>
        <v>#NAME?</v>
      </c>
      <c r="D21" s="1" t="e">
        <f t="array" ref="D21">SUM</f>
        <v>#NAME?</v>
      </c>
      <c r="E21" s="1" t="e">
        <f t="array" ref="E21">SUM</f>
        <v>#NAME?</v>
      </c>
      <c r="F21" s="1" t="e">
        <f t="array" ref="F21">SUM</f>
        <v>#NAME?</v>
      </c>
      <c r="G21" s="1" t="e">
        <f t="array" ref="G21">SUM</f>
        <v>#NAME?</v>
      </c>
      <c r="H21" s="1" t="e">
        <f t="array" ref="H21">SUM</f>
        <v>#NAME?</v>
      </c>
      <c r="I21" s="1" t="e">
        <f t="array" ref="I21">SUM</f>
        <v>#NAME?</v>
      </c>
      <c r="J21" s="1" t="e">
        <f t="array" ref="J21">SUM</f>
        <v>#NAME?</v>
      </c>
      <c r="K21" s="1" t="e">
        <f t="array" ref="K21">SUM</f>
        <v>#NAME?</v>
      </c>
      <c r="L21" s="1" t="e">
        <f t="array" ref="L21">SUM</f>
        <v>#NAME?</v>
      </c>
      <c r="M21" s="1" t="e">
        <f t="array" ref="M21">SUM</f>
        <v>#NAME?</v>
      </c>
      <c r="N21" s="1" t="e">
        <f t="array" ref="N21">SUM</f>
        <v>#NAME?</v>
      </c>
      <c r="O21" t="s">
        <v>19</v>
      </c>
      <c r="P21">
        <v>2020</v>
      </c>
    </row>
    <row r="22" spans="1:16" x14ac:dyDescent="0.25">
      <c r="A22" t="s">
        <v>22</v>
      </c>
      <c r="B22" s="1" t="e">
        <f t="array" ref="B22">SUM</f>
        <v>#NAME?</v>
      </c>
      <c r="C22" s="1" t="e">
        <f t="array" ref="C22">SUM</f>
        <v>#NAME?</v>
      </c>
      <c r="D22" s="1" t="e">
        <f t="array" ref="D22">SUM</f>
        <v>#NAME?</v>
      </c>
      <c r="E22" s="1" t="e">
        <f t="array" ref="E22">SUM</f>
        <v>#NAME?</v>
      </c>
      <c r="F22" s="1" t="e">
        <f t="array" ref="F22">SUM</f>
        <v>#NAME?</v>
      </c>
      <c r="G22" s="1" t="e">
        <f t="array" ref="G22">SUM</f>
        <v>#NAME?</v>
      </c>
      <c r="H22" s="1" t="e">
        <f t="array" ref="H22">SUM</f>
        <v>#NAME?</v>
      </c>
      <c r="I22" s="1" t="e">
        <f t="array" ref="I22">SUM</f>
        <v>#NAME?</v>
      </c>
      <c r="J22" s="1" t="e">
        <f t="array" ref="J22">SUM</f>
        <v>#NAME?</v>
      </c>
      <c r="K22" s="1" t="e">
        <f t="array" ref="K22">SUM</f>
        <v>#NAME?</v>
      </c>
      <c r="L22" s="1" t="e">
        <f t="array" ref="L22">SUM</f>
        <v>#NAME?</v>
      </c>
      <c r="M22" s="1" t="e">
        <f t="array" ref="M22">SUM</f>
        <v>#NAME?</v>
      </c>
      <c r="N22" s="1" t="e">
        <f t="array" ref="N22">SUM</f>
        <v>#NAME?</v>
      </c>
      <c r="O22" t="s">
        <v>24</v>
      </c>
      <c r="P22">
        <v>2020</v>
      </c>
    </row>
    <row r="23" spans="1:16" x14ac:dyDescent="0.25">
      <c r="A23" t="s">
        <v>16</v>
      </c>
      <c r="B23" s="1" t="e">
        <f t="array" ref="B23">SUM</f>
        <v>#NAME?</v>
      </c>
      <c r="C23" s="1" t="e">
        <f t="array" ref="C23">SUM</f>
        <v>#NAME?</v>
      </c>
      <c r="D23" s="1" t="e">
        <f t="array" ref="D23">SUM</f>
        <v>#NAME?</v>
      </c>
      <c r="E23" s="1" t="e">
        <f t="array" ref="E23">SUM</f>
        <v>#NAME?</v>
      </c>
      <c r="F23" s="1" t="e">
        <f t="array" ref="F23">SUM</f>
        <v>#NAME?</v>
      </c>
      <c r="G23" s="1" t="e">
        <f t="array" ref="G23">SUM</f>
        <v>#NAME?</v>
      </c>
      <c r="H23" s="1" t="e">
        <f t="array" ref="H23">SUM</f>
        <v>#NAME?</v>
      </c>
      <c r="I23" s="1" t="e">
        <f t="array" ref="I23">SUM</f>
        <v>#NAME?</v>
      </c>
      <c r="J23" s="1" t="e">
        <f t="array" ref="J23">SUM</f>
        <v>#NAME?</v>
      </c>
      <c r="K23" s="1" t="e">
        <f t="array" ref="K23">SUM</f>
        <v>#NAME?</v>
      </c>
      <c r="L23" s="1" t="e">
        <f t="array" ref="L23">SUM</f>
        <v>#NAME?</v>
      </c>
      <c r="M23" s="1" t="e">
        <f t="array" ref="M23">SUM</f>
        <v>#NAME?</v>
      </c>
      <c r="N23" s="1" t="e">
        <f t="array" ref="N23">SUM</f>
        <v>#NAME?</v>
      </c>
      <c r="O23" t="s">
        <v>26</v>
      </c>
      <c r="P23">
        <v>2020</v>
      </c>
    </row>
    <row r="24" spans="1:16" x14ac:dyDescent="0.25">
      <c r="A24" t="s">
        <v>18</v>
      </c>
      <c r="B24" s="1" t="e">
        <f t="array" ref="B24">SUM</f>
        <v>#NAME?</v>
      </c>
      <c r="C24" s="1" t="e">
        <f t="array" ref="C24">SUM</f>
        <v>#NAME?</v>
      </c>
      <c r="D24" s="1" t="e">
        <f t="array" ref="D24">SUM</f>
        <v>#NAME?</v>
      </c>
      <c r="E24" s="1" t="e">
        <f t="array" ref="E24">SUM</f>
        <v>#NAME?</v>
      </c>
      <c r="F24" s="1" t="e">
        <f t="array" ref="F24">SUM</f>
        <v>#NAME?</v>
      </c>
      <c r="G24" s="1" t="e">
        <f t="array" ref="G24">SUM</f>
        <v>#NAME?</v>
      </c>
      <c r="H24" s="1" t="e">
        <f t="array" ref="H24">SUM</f>
        <v>#NAME?</v>
      </c>
      <c r="I24" s="1" t="e">
        <f t="array" ref="I24">SUM</f>
        <v>#NAME?</v>
      </c>
      <c r="J24" s="1" t="e">
        <f t="array" ref="J24">SUM</f>
        <v>#NAME?</v>
      </c>
      <c r="K24" s="1" t="e">
        <f t="array" ref="K24">SUM</f>
        <v>#NAME?</v>
      </c>
      <c r="L24" s="1" t="e">
        <f t="array" ref="L24">SUM</f>
        <v>#NAME?</v>
      </c>
      <c r="M24" s="1" t="e">
        <f t="array" ref="M24">SUM</f>
        <v>#NAME?</v>
      </c>
      <c r="N24" s="1" t="e">
        <f t="array" ref="N24">SUM</f>
        <v>#NAME?</v>
      </c>
      <c r="O24" t="s">
        <v>27</v>
      </c>
      <c r="P24">
        <v>2020</v>
      </c>
    </row>
    <row r="25" spans="1:16" x14ac:dyDescent="0.25">
      <c r="A25" t="s">
        <v>25</v>
      </c>
      <c r="B25" s="1" t="e">
        <f t="array" ref="B25">SUM</f>
        <v>#NAME?</v>
      </c>
      <c r="C25" s="1" t="e">
        <f t="array" ref="C25">SUM</f>
        <v>#NAME?</v>
      </c>
      <c r="D25" s="1" t="e">
        <f t="array" ref="D25">SUM</f>
        <v>#NAME?</v>
      </c>
      <c r="E25" s="1" t="e">
        <f t="array" ref="E25">SUM</f>
        <v>#NAME?</v>
      </c>
      <c r="F25" s="1" t="e">
        <f t="array" ref="F25">SUM</f>
        <v>#NAME?</v>
      </c>
      <c r="G25" s="1" t="e">
        <f t="array" ref="G25">SUM</f>
        <v>#NAME?</v>
      </c>
      <c r="H25" s="1" t="e">
        <f t="array" ref="H25">SUM</f>
        <v>#NAME?</v>
      </c>
      <c r="I25" s="1" t="e">
        <f t="array" ref="I25">SUM</f>
        <v>#NAME?</v>
      </c>
      <c r="J25" s="1" t="e">
        <f t="array" ref="J25">SUM</f>
        <v>#NAME?</v>
      </c>
      <c r="K25" s="1" t="e">
        <f t="array" ref="K25">SUM</f>
        <v>#NAME?</v>
      </c>
      <c r="L25" s="1" t="e">
        <f t="array" ref="L25">SUM</f>
        <v>#NAME?</v>
      </c>
      <c r="M25" s="1" t="e">
        <f t="array" ref="M25">SUM</f>
        <v>#NAME?</v>
      </c>
      <c r="N25" s="1" t="e">
        <f t="array" ref="N25">SUM</f>
        <v>#NAME?</v>
      </c>
      <c r="O25" t="s">
        <v>27</v>
      </c>
      <c r="P25">
        <v>2021</v>
      </c>
    </row>
    <row r="26" spans="1:16" x14ac:dyDescent="0.25">
      <c r="A26" t="s">
        <v>18</v>
      </c>
      <c r="B26" s="1" t="e">
        <f t="array" ref="B26">SUM</f>
        <v>#NAME?</v>
      </c>
      <c r="C26" s="1" t="e">
        <f t="array" ref="C26">SUM</f>
        <v>#NAME?</v>
      </c>
      <c r="D26" s="1" t="e">
        <f t="array" ref="D26">SUM</f>
        <v>#NAME?</v>
      </c>
      <c r="E26" s="1" t="e">
        <f t="array" ref="E26">SUM</f>
        <v>#NAME?</v>
      </c>
      <c r="F26" s="1" t="e">
        <f t="array" ref="F26">SUM</f>
        <v>#NAME?</v>
      </c>
      <c r="G26" s="1" t="e">
        <f t="array" ref="G26">SUM</f>
        <v>#NAME?</v>
      </c>
      <c r="H26" s="1" t="e">
        <f t="array" ref="H26">SUM</f>
        <v>#NAME?</v>
      </c>
      <c r="I26" s="1" t="e">
        <f t="array" ref="I26">SUM</f>
        <v>#NAME?</v>
      </c>
      <c r="J26" s="1" t="e">
        <f t="array" ref="J26">SUM</f>
        <v>#NAME?</v>
      </c>
      <c r="K26" s="1" t="e">
        <f t="array" ref="K26">SUM</f>
        <v>#NAME?</v>
      </c>
      <c r="L26" s="1" t="e">
        <f t="array" ref="L26">SUM</f>
        <v>#NAME?</v>
      </c>
      <c r="M26" s="1" t="e">
        <f t="array" ref="M26">SUM</f>
        <v>#NAME?</v>
      </c>
      <c r="N26" s="1" t="e">
        <f t="array" ref="N26">SUM</f>
        <v>#NAME?</v>
      </c>
      <c r="O26" t="s">
        <v>27</v>
      </c>
      <c r="P26">
        <v>2021</v>
      </c>
    </row>
    <row r="27" spans="1:16" x14ac:dyDescent="0.25">
      <c r="A27" t="s">
        <v>16</v>
      </c>
      <c r="B27" s="1" t="e">
        <f t="array" ref="B27">SUM</f>
        <v>#NAME?</v>
      </c>
      <c r="C27" s="1" t="e">
        <f t="array" ref="C27">SUM</f>
        <v>#NAME?</v>
      </c>
      <c r="D27" s="1" t="e">
        <f t="array" ref="D27">SUM</f>
        <v>#NAME?</v>
      </c>
      <c r="E27" s="1" t="e">
        <f t="array" ref="E27">SUM</f>
        <v>#NAME?</v>
      </c>
      <c r="F27" s="1" t="e">
        <f t="array" ref="F27">SUM</f>
        <v>#NAME?</v>
      </c>
      <c r="G27" s="1" t="e">
        <f t="array" ref="G27">SUM</f>
        <v>#NAME?</v>
      </c>
      <c r="H27" s="1" t="e">
        <f t="array" ref="H27">SUM</f>
        <v>#NAME?</v>
      </c>
      <c r="I27" s="1" t="e">
        <f t="array" ref="I27">SUM</f>
        <v>#NAME?</v>
      </c>
      <c r="J27" s="1" t="e">
        <f t="array" ref="J27">SUM</f>
        <v>#NAME?</v>
      </c>
      <c r="K27" s="1" t="e">
        <f t="array" ref="K27">SUM</f>
        <v>#NAME?</v>
      </c>
      <c r="L27" s="1" t="e">
        <f t="array" ref="L27">SUM</f>
        <v>#NAME?</v>
      </c>
      <c r="M27" s="1" t="e">
        <f t="array" ref="M27">SUM</f>
        <v>#NAME?</v>
      </c>
      <c r="N27" s="1" t="e">
        <f t="array" ref="N27">SUM</f>
        <v>#NAME?</v>
      </c>
      <c r="O27" t="s">
        <v>28</v>
      </c>
      <c r="P27">
        <v>2021</v>
      </c>
    </row>
    <row r="28" spans="1:16" x14ac:dyDescent="0.25">
      <c r="A28" t="s">
        <v>16</v>
      </c>
      <c r="B28" s="1" t="e">
        <f t="array" ref="B28">SUM</f>
        <v>#NAME?</v>
      </c>
      <c r="C28" s="1" t="e">
        <f t="array" ref="C28">SUM</f>
        <v>#NAME?</v>
      </c>
      <c r="D28" s="1" t="e">
        <f t="array" ref="D28">SUM</f>
        <v>#NAME?</v>
      </c>
      <c r="E28" s="1" t="e">
        <f t="array" ref="E28">SUM</f>
        <v>#NAME?</v>
      </c>
      <c r="F28" s="1" t="e">
        <f t="array" ref="F28">SUM</f>
        <v>#NAME?</v>
      </c>
      <c r="G28" s="1" t="e">
        <f t="array" ref="G28">SUM</f>
        <v>#NAME?</v>
      </c>
      <c r="H28" s="1" t="e">
        <f t="array" ref="H28">SUM</f>
        <v>#NAME?</v>
      </c>
      <c r="I28" s="1" t="e">
        <f t="array" ref="I28">SUM</f>
        <v>#NAME?</v>
      </c>
      <c r="J28" s="1" t="e">
        <f t="array" ref="J28">SUM</f>
        <v>#NAME?</v>
      </c>
      <c r="K28" s="1" t="e">
        <f t="array" ref="K28">SUM</f>
        <v>#NAME?</v>
      </c>
      <c r="L28" s="1" t="e">
        <f t="array" ref="L28">SUM</f>
        <v>#NAME?</v>
      </c>
      <c r="M28" s="1" t="e">
        <f t="array" ref="M28">SUM</f>
        <v>#NAME?</v>
      </c>
      <c r="N28" s="1" t="e">
        <f t="array" ref="N28">SUM</f>
        <v>#NAME?</v>
      </c>
      <c r="O28" t="s">
        <v>30</v>
      </c>
      <c r="P28">
        <v>2021</v>
      </c>
    </row>
    <row r="29" spans="1:16" x14ac:dyDescent="0.25">
      <c r="A29" t="s">
        <v>22</v>
      </c>
      <c r="B29" s="1" t="e">
        <f t="array" ref="B29">SUM</f>
        <v>#NAME?</v>
      </c>
      <c r="C29" s="1" t="e">
        <f t="array" ref="C29">SUM</f>
        <v>#NAME?</v>
      </c>
      <c r="D29" s="1" t="e">
        <f t="array" ref="D29">SUM</f>
        <v>#NAME?</v>
      </c>
      <c r="E29" s="1" t="e">
        <f t="array" ref="E29">SUM</f>
        <v>#NAME?</v>
      </c>
      <c r="F29" s="1" t="e">
        <f t="array" ref="F29">SUM</f>
        <v>#NAME?</v>
      </c>
      <c r="G29" s="1" t="e">
        <f t="array" ref="G29">SUM</f>
        <v>#NAME?</v>
      </c>
      <c r="H29" s="1" t="e">
        <f t="array" ref="H29">SUM</f>
        <v>#NAME?</v>
      </c>
      <c r="I29" s="1" t="e">
        <f t="array" ref="I29">SUM</f>
        <v>#NAME?</v>
      </c>
      <c r="J29" s="1" t="e">
        <f t="array" ref="J29">SUM</f>
        <v>#NAME?</v>
      </c>
      <c r="K29" s="1" t="e">
        <f t="array" ref="K29">SUM</f>
        <v>#NAME?</v>
      </c>
      <c r="L29" s="1" t="e">
        <f t="array" ref="L29">SUM</f>
        <v>#NAME?</v>
      </c>
      <c r="M29" s="1" t="e">
        <f t="array" ref="M29">SUM</f>
        <v>#NAME?</v>
      </c>
      <c r="N29" s="1" t="e">
        <f t="array" ref="N29">SUM</f>
        <v>#NAME?</v>
      </c>
      <c r="O29" t="s">
        <v>30</v>
      </c>
      <c r="P29">
        <v>2021</v>
      </c>
    </row>
    <row r="30" spans="1:16" x14ac:dyDescent="0.25">
      <c r="A30" t="s">
        <v>18</v>
      </c>
      <c r="B30" s="1" t="e">
        <f t="array" ref="B30">SUM</f>
        <v>#NAME?</v>
      </c>
      <c r="C30" s="1" t="e">
        <f t="array" ref="C30">SUM</f>
        <v>#NAME?</v>
      </c>
      <c r="D30" s="1" t="e">
        <f t="array" ref="D30">SUM</f>
        <v>#NAME?</v>
      </c>
      <c r="E30" s="1" t="e">
        <f t="array" ref="E30">SUM</f>
        <v>#NAME?</v>
      </c>
      <c r="F30" s="1" t="e">
        <f t="array" ref="F30">SUM</f>
        <v>#NAME?</v>
      </c>
      <c r="G30" s="1" t="e">
        <f t="array" ref="G30">SUM</f>
        <v>#NAME?</v>
      </c>
      <c r="H30" s="1" t="e">
        <f t="array" ref="H30">SUM</f>
        <v>#NAME?</v>
      </c>
      <c r="I30" s="1" t="e">
        <f t="array" ref="I30">SUM</f>
        <v>#NAME?</v>
      </c>
      <c r="J30" s="1" t="e">
        <f t="array" ref="J30">SUM</f>
        <v>#NAME?</v>
      </c>
      <c r="K30" s="1" t="e">
        <f t="array" ref="K30">SUM</f>
        <v>#NAME?</v>
      </c>
      <c r="L30" s="1" t="e">
        <f t="array" ref="L30">SUM</f>
        <v>#NAME?</v>
      </c>
      <c r="M30" s="1" t="e">
        <f t="array" ref="M30">SUM</f>
        <v>#NAME?</v>
      </c>
      <c r="N30" s="1" t="e">
        <f t="array" ref="N30">SUM</f>
        <v>#NAME?</v>
      </c>
      <c r="O30" t="s">
        <v>20</v>
      </c>
      <c r="P30">
        <v>2020</v>
      </c>
    </row>
    <row r="31" spans="1:16" x14ac:dyDescent="0.25">
      <c r="A31" t="s">
        <v>16</v>
      </c>
      <c r="B31" s="1" t="e">
        <f t="array" ref="B31">SUM</f>
        <v>#NAME?</v>
      </c>
      <c r="C31" s="1" t="e">
        <f t="array" ref="C31">SUM</f>
        <v>#NAME?</v>
      </c>
      <c r="D31" s="1" t="e">
        <f t="array" ref="D31">SUM</f>
        <v>#NAME?</v>
      </c>
      <c r="E31" s="1" t="e">
        <f t="array" ref="E31">SUM</f>
        <v>#NAME?</v>
      </c>
      <c r="F31" s="1" t="e">
        <f t="array" ref="F31">SUM</f>
        <v>#NAME?</v>
      </c>
      <c r="G31" s="1" t="e">
        <f t="array" ref="G31">SUM</f>
        <v>#NAME?</v>
      </c>
      <c r="H31" s="1" t="e">
        <f t="array" ref="H31">SUM</f>
        <v>#NAME?</v>
      </c>
      <c r="I31" s="1" t="e">
        <f t="array" ref="I31">SUM</f>
        <v>#NAME?</v>
      </c>
      <c r="J31" s="1" t="e">
        <f t="array" ref="J31">SUM</f>
        <v>#NAME?</v>
      </c>
      <c r="K31" s="1" t="e">
        <f t="array" ref="K31">SUM</f>
        <v>#NAME?</v>
      </c>
      <c r="L31" s="1" t="e">
        <f t="array" ref="L31">SUM</f>
        <v>#NAME?</v>
      </c>
      <c r="M31" s="1" t="e">
        <f t="array" ref="M31">SUM</f>
        <v>#NAME?</v>
      </c>
      <c r="N31" s="1" t="e">
        <f t="array" ref="N31">SUM</f>
        <v>#NAME?</v>
      </c>
      <c r="O31" t="s">
        <v>20</v>
      </c>
      <c r="P31">
        <v>2021</v>
      </c>
    </row>
    <row r="32" spans="1:16" x14ac:dyDescent="0.25">
      <c r="A32" t="s">
        <v>16</v>
      </c>
      <c r="B32" s="1" t="e">
        <f t="array" ref="B32">SUM</f>
        <v>#NAME?</v>
      </c>
      <c r="C32" s="1" t="e">
        <f t="array" ref="C32">SUM</f>
        <v>#NAME?</v>
      </c>
      <c r="D32" s="1" t="e">
        <f t="array" ref="D32">SUM</f>
        <v>#NAME?</v>
      </c>
      <c r="E32" s="1" t="e">
        <f t="array" ref="E32">SUM</f>
        <v>#NAME?</v>
      </c>
      <c r="F32" s="1" t="e">
        <f t="array" ref="F32">SUM</f>
        <v>#NAME?</v>
      </c>
      <c r="G32" s="1" t="e">
        <f t="array" ref="G32">SUM</f>
        <v>#NAME?</v>
      </c>
      <c r="H32" s="1" t="e">
        <f t="array" ref="H32">SUM</f>
        <v>#NAME?</v>
      </c>
      <c r="I32" s="1" t="e">
        <f t="array" ref="I32">SUM</f>
        <v>#NAME?</v>
      </c>
      <c r="J32" s="1" t="e">
        <f t="array" ref="J32">SUM</f>
        <v>#NAME?</v>
      </c>
      <c r="K32" s="1" t="e">
        <f t="array" ref="K32">SUM</f>
        <v>#NAME?</v>
      </c>
      <c r="L32" s="1" t="e">
        <f t="array" ref="L32">SUM</f>
        <v>#NAME?</v>
      </c>
      <c r="M32" s="1" t="e">
        <f t="array" ref="M32">SUM</f>
        <v>#NAME?</v>
      </c>
      <c r="N32" s="1" t="e">
        <f t="array" ref="N32">SUM</f>
        <v>#NAME?</v>
      </c>
      <c r="O32" t="s">
        <v>20</v>
      </c>
      <c r="P32">
        <v>2021</v>
      </c>
    </row>
    <row r="33" spans="1:16" x14ac:dyDescent="0.25">
      <c r="A33" t="s">
        <v>16</v>
      </c>
      <c r="B33" s="1" t="e">
        <f t="array" ref="B33">SUM</f>
        <v>#NAME?</v>
      </c>
      <c r="C33" s="1" t="e">
        <f t="array" ref="C33">SUM</f>
        <v>#NAME?</v>
      </c>
      <c r="D33" s="1" t="e">
        <f t="array" ref="D33">SUM</f>
        <v>#NAME?</v>
      </c>
      <c r="E33" s="1" t="e">
        <f t="array" ref="E33">SUM</f>
        <v>#NAME?</v>
      </c>
      <c r="F33" s="1" t="e">
        <f t="array" ref="F33">SUM</f>
        <v>#NAME?</v>
      </c>
      <c r="G33" s="1" t="e">
        <f t="array" ref="G33">SUM</f>
        <v>#NAME?</v>
      </c>
      <c r="H33" s="1" t="e">
        <f t="array" ref="H33">SUM</f>
        <v>#NAME?</v>
      </c>
      <c r="I33" s="1" t="e">
        <f t="array" ref="I33">SUM</f>
        <v>#NAME?</v>
      </c>
      <c r="J33" s="1" t="e">
        <f t="array" ref="J33">SUM</f>
        <v>#NAME?</v>
      </c>
      <c r="K33" s="1" t="e">
        <f t="array" ref="K33">SUM</f>
        <v>#NAME?</v>
      </c>
      <c r="L33" s="1" t="e">
        <f t="array" ref="L33">SUM</f>
        <v>#NAME?</v>
      </c>
      <c r="M33" s="1" t="e">
        <f t="array" ref="M33">SUM</f>
        <v>#NAME?</v>
      </c>
      <c r="N33" s="1" t="e">
        <f t="array" ref="N33">SUM</f>
        <v>#NAME?</v>
      </c>
      <c r="O33" t="s">
        <v>17</v>
      </c>
      <c r="P33">
        <v>2021</v>
      </c>
    </row>
    <row r="34" spans="1:16" x14ac:dyDescent="0.25">
      <c r="A34" t="s">
        <v>23</v>
      </c>
      <c r="B34" s="1" t="e">
        <f t="array" ref="B34">SUM</f>
        <v>#NAME?</v>
      </c>
      <c r="C34" s="1" t="e">
        <f t="array" ref="C34">SUM</f>
        <v>#NAME?</v>
      </c>
      <c r="D34" s="1" t="e">
        <f t="array" ref="D34">SUM</f>
        <v>#NAME?</v>
      </c>
      <c r="E34" s="1" t="e">
        <f t="array" ref="E34">SUM</f>
        <v>#NAME?</v>
      </c>
      <c r="F34" s="1" t="e">
        <f t="array" ref="F34">SUM</f>
        <v>#NAME?</v>
      </c>
      <c r="G34" s="1" t="e">
        <f t="array" ref="G34">SUM</f>
        <v>#NAME?</v>
      </c>
      <c r="H34" s="1" t="e">
        <f t="array" ref="H34">SUM</f>
        <v>#NAME?</v>
      </c>
      <c r="I34" s="1" t="e">
        <f t="array" ref="I34">SUM</f>
        <v>#NAME?</v>
      </c>
      <c r="J34" s="1" t="e">
        <f t="array" ref="J34">SUM</f>
        <v>#NAME?</v>
      </c>
      <c r="K34" s="1" t="e">
        <f t="array" ref="K34">SUM</f>
        <v>#NAME?</v>
      </c>
      <c r="L34" s="1" t="e">
        <f t="array" ref="L34">SUM</f>
        <v>#NAME?</v>
      </c>
      <c r="M34" s="1" t="e">
        <f t="array" ref="M34">SUM</f>
        <v>#NAME?</v>
      </c>
      <c r="N34" s="1" t="e">
        <f t="array" ref="N34">SUM</f>
        <v>#NAME?</v>
      </c>
      <c r="O34" t="s">
        <v>29</v>
      </c>
      <c r="P34">
        <v>2021</v>
      </c>
    </row>
    <row r="35" spans="1:16" x14ac:dyDescent="0.25">
      <c r="A35" t="s">
        <v>22</v>
      </c>
      <c r="B35" s="1" t="e">
        <f t="array" ref="B35">SUM</f>
        <v>#NAME?</v>
      </c>
      <c r="C35" s="1" t="e">
        <f t="array" ref="C35">SUM</f>
        <v>#NAME?</v>
      </c>
      <c r="D35" s="1" t="e">
        <f t="array" ref="D35">SUM</f>
        <v>#NAME?</v>
      </c>
      <c r="E35" s="1" t="e">
        <f t="array" ref="E35">SUM</f>
        <v>#NAME?</v>
      </c>
      <c r="F35" s="1" t="e">
        <f t="array" ref="F35">SUM</f>
        <v>#NAME?</v>
      </c>
      <c r="G35" s="1" t="e">
        <f t="array" ref="G35">SUM</f>
        <v>#NAME?</v>
      </c>
      <c r="H35" s="1" t="e">
        <f t="array" ref="H35">SUM</f>
        <v>#NAME?</v>
      </c>
      <c r="I35" s="1" t="e">
        <f t="array" ref="I35">SUM</f>
        <v>#NAME?</v>
      </c>
      <c r="J35" s="1" t="e">
        <f t="array" ref="J35">SUM</f>
        <v>#NAME?</v>
      </c>
      <c r="K35" s="1" t="e">
        <f t="array" ref="K35">SUM</f>
        <v>#NAME?</v>
      </c>
      <c r="L35" s="1" t="e">
        <f t="array" ref="L35">SUM</f>
        <v>#NAME?</v>
      </c>
      <c r="M35" s="1" t="e">
        <f t="array" ref="M35">SUM</f>
        <v>#NAME?</v>
      </c>
      <c r="N35" s="1" t="e">
        <f t="array" ref="N35">SUM</f>
        <v>#NAME?</v>
      </c>
      <c r="O35" t="s">
        <v>21</v>
      </c>
      <c r="P35">
        <v>2021</v>
      </c>
    </row>
    <row r="36" spans="1:16" x14ac:dyDescent="0.25">
      <c r="A36" t="s">
        <v>16</v>
      </c>
      <c r="B36" s="1" t="e">
        <f t="array" ref="B36">SUM</f>
        <v>#NAME?</v>
      </c>
      <c r="C36" s="1" t="e">
        <f t="array" ref="C36">SUM</f>
        <v>#NAME?</v>
      </c>
      <c r="D36" s="1" t="e">
        <f t="array" ref="D36">SUM</f>
        <v>#NAME?</v>
      </c>
      <c r="E36" s="1" t="e">
        <f t="array" ref="E36">SUM</f>
        <v>#NAME?</v>
      </c>
      <c r="F36" s="1" t="e">
        <f t="array" ref="F36">SUM</f>
        <v>#NAME?</v>
      </c>
      <c r="G36" s="1" t="e">
        <f t="array" ref="G36">SUM</f>
        <v>#NAME?</v>
      </c>
      <c r="H36" s="1" t="e">
        <f t="array" ref="H36">SUM</f>
        <v>#NAME?</v>
      </c>
      <c r="I36" s="1" t="e">
        <f t="array" ref="I36">SUM</f>
        <v>#NAME?</v>
      </c>
      <c r="J36" s="1" t="e">
        <f t="array" ref="J36">SUM</f>
        <v>#NAME?</v>
      </c>
      <c r="K36" s="1" t="e">
        <f t="array" ref="K36">SUM</f>
        <v>#NAME?</v>
      </c>
      <c r="L36" s="1" t="e">
        <f t="array" ref="L36">SUM</f>
        <v>#NAME?</v>
      </c>
      <c r="M36" s="1" t="e">
        <f t="array" ref="M36">SUM</f>
        <v>#NAME?</v>
      </c>
      <c r="N36" s="1" t="e">
        <f t="array" ref="N36">SUM</f>
        <v>#NAME?</v>
      </c>
      <c r="O36" t="s">
        <v>19</v>
      </c>
      <c r="P36">
        <v>2021</v>
      </c>
    </row>
    <row r="37" spans="1:16" x14ac:dyDescent="0.25">
      <c r="A37" t="s">
        <v>22</v>
      </c>
      <c r="B37" s="1" t="e">
        <f t="array" ref="B37">SUM</f>
        <v>#NAME?</v>
      </c>
      <c r="C37" s="1" t="e">
        <f t="array" ref="C37">SUM</f>
        <v>#NAME?</v>
      </c>
      <c r="D37" s="1" t="e">
        <f t="array" ref="D37">SUM</f>
        <v>#NAME?</v>
      </c>
      <c r="E37" s="1" t="e">
        <f t="array" ref="E37">SUM</f>
        <v>#NAME?</v>
      </c>
      <c r="F37" s="1" t="e">
        <f t="array" ref="F37">SUM</f>
        <v>#NAME?</v>
      </c>
      <c r="G37" s="1" t="e">
        <f t="array" ref="G37">SUM</f>
        <v>#NAME?</v>
      </c>
      <c r="H37" s="1" t="e">
        <f t="array" ref="H37">SUM</f>
        <v>#NAME?</v>
      </c>
      <c r="I37" s="1" t="e">
        <f t="array" ref="I37">SUM</f>
        <v>#NAME?</v>
      </c>
      <c r="J37" s="1" t="e">
        <f t="array" ref="J37">SUM</f>
        <v>#NAME?</v>
      </c>
      <c r="K37" s="1" t="e">
        <f t="array" ref="K37">SUM</f>
        <v>#NAME?</v>
      </c>
      <c r="L37" s="1" t="e">
        <f t="array" ref="L37">SUM</f>
        <v>#NAME?</v>
      </c>
      <c r="M37" s="1" t="e">
        <f t="array" ref="M37">SUM</f>
        <v>#NAME?</v>
      </c>
      <c r="N37" s="1" t="e">
        <f t="array" ref="N37">SUM</f>
        <v>#NAME?</v>
      </c>
      <c r="O37" t="s">
        <v>19</v>
      </c>
      <c r="P37">
        <v>2021</v>
      </c>
    </row>
    <row r="38" spans="1:16" x14ac:dyDescent="0.25">
      <c r="A38" t="s">
        <v>23</v>
      </c>
      <c r="B38" s="1" t="e">
        <f t="array" ref="B38">SUM</f>
        <v>#NAME?</v>
      </c>
      <c r="C38" s="1" t="e">
        <f t="array" ref="C38">SUM</f>
        <v>#NAME?</v>
      </c>
      <c r="D38" s="1" t="e">
        <f t="array" ref="D38">SUM</f>
        <v>#NAME?</v>
      </c>
      <c r="E38" s="1" t="e">
        <f t="array" ref="E38">SUM</f>
        <v>#NAME?</v>
      </c>
      <c r="F38" s="1" t="e">
        <f t="array" ref="F38">SUM</f>
        <v>#NAME?</v>
      </c>
      <c r="G38" s="1" t="e">
        <f t="array" ref="G38">SUM</f>
        <v>#NAME?</v>
      </c>
      <c r="H38" s="1" t="e">
        <f t="array" ref="H38">SUM</f>
        <v>#NAME?</v>
      </c>
      <c r="I38" s="1" t="e">
        <f t="array" ref="I38">SUM</f>
        <v>#NAME?</v>
      </c>
      <c r="J38" s="1" t="e">
        <f t="array" ref="J38">SUM</f>
        <v>#NAME?</v>
      </c>
      <c r="K38" s="1" t="e">
        <f t="array" ref="K38">SUM</f>
        <v>#NAME?</v>
      </c>
      <c r="L38" s="1" t="e">
        <f t="array" ref="L38">SUM</f>
        <v>#NAME?</v>
      </c>
      <c r="M38" s="1" t="e">
        <f t="array" ref="M38">SUM</f>
        <v>#NAME?</v>
      </c>
      <c r="N38" s="1" t="e">
        <f t="array" ref="N38">SUM</f>
        <v>#NAME?</v>
      </c>
      <c r="O38" t="s">
        <v>26</v>
      </c>
      <c r="P38">
        <v>2021</v>
      </c>
    </row>
    <row r="39" spans="1:16" x14ac:dyDescent="0.25">
      <c r="A39" t="s">
        <v>23</v>
      </c>
      <c r="B39" s="1" t="e">
        <f t="array" ref="B39">SUM</f>
        <v>#NAME?</v>
      </c>
      <c r="C39" s="1" t="e">
        <f t="array" ref="C39">SUM</f>
        <v>#NAME?</v>
      </c>
      <c r="D39" s="1" t="e">
        <f t="array" ref="D39">SUM</f>
        <v>#NAME?</v>
      </c>
      <c r="E39" s="1" t="e">
        <f t="array" ref="E39">SUM</f>
        <v>#NAME?</v>
      </c>
      <c r="F39" s="1" t="e">
        <f t="array" ref="F39">SUM</f>
        <v>#NAME?</v>
      </c>
      <c r="G39" s="1" t="e">
        <f t="array" ref="G39">SUM</f>
        <v>#NAME?</v>
      </c>
      <c r="H39" s="1" t="e">
        <f t="array" ref="H39">SUM</f>
        <v>#NAME?</v>
      </c>
      <c r="I39" s="1" t="e">
        <f t="array" ref="I39">SUM</f>
        <v>#NAME?</v>
      </c>
      <c r="J39" s="1" t="e">
        <f t="array" ref="J39">SUM</f>
        <v>#NAME?</v>
      </c>
      <c r="K39" s="1" t="e">
        <f t="array" ref="K39">SUM</f>
        <v>#NAME?</v>
      </c>
      <c r="L39" s="1" t="e">
        <f t="array" ref="L39">SUM</f>
        <v>#NAME?</v>
      </c>
      <c r="M39" s="1" t="e">
        <f t="array" ref="M39">SUM</f>
        <v>#NAME?</v>
      </c>
      <c r="N39" s="1" t="e">
        <f t="array" ref="N39">SUM</f>
        <v>#NAME?</v>
      </c>
      <c r="O39" t="s">
        <v>28</v>
      </c>
      <c r="P39">
        <v>2021</v>
      </c>
    </row>
    <row r="40" spans="1:16" x14ac:dyDescent="0.25">
      <c r="A40" t="s">
        <v>25</v>
      </c>
      <c r="B40" s="1" t="e">
        <f t="array" ref="B40">SUM</f>
        <v>#NAME?</v>
      </c>
      <c r="C40" s="1" t="e">
        <f t="array" ref="C40">SUM</f>
        <v>#NAME?</v>
      </c>
      <c r="D40" s="1" t="e">
        <f t="array" ref="D40">SUM</f>
        <v>#NAME?</v>
      </c>
      <c r="E40" s="1" t="e">
        <f t="array" ref="E40">SUM</f>
        <v>#NAME?</v>
      </c>
      <c r="F40" s="1" t="e">
        <f t="array" ref="F40">SUM</f>
        <v>#NAME?</v>
      </c>
      <c r="G40" s="1" t="e">
        <f t="array" ref="G40">SUM</f>
        <v>#NAME?</v>
      </c>
      <c r="H40" s="1" t="e">
        <f t="array" ref="H40">SUM</f>
        <v>#NAME?</v>
      </c>
      <c r="I40" s="1" t="e">
        <f t="array" ref="I40">SUM</f>
        <v>#NAME?</v>
      </c>
      <c r="J40" s="1" t="e">
        <f t="array" ref="J40">SUM</f>
        <v>#NAME?</v>
      </c>
      <c r="K40" s="1" t="e">
        <f t="array" ref="K40">SUM</f>
        <v>#NAME?</v>
      </c>
      <c r="L40" s="1" t="e">
        <f t="array" ref="L40">SUM</f>
        <v>#NAME?</v>
      </c>
      <c r="M40" s="1" t="e">
        <f t="array" ref="M40">SUM</f>
        <v>#NAME?</v>
      </c>
      <c r="N40" s="1" t="e">
        <f t="array" ref="N40">SUM</f>
        <v>#NAME?</v>
      </c>
      <c r="O40" t="s">
        <v>29</v>
      </c>
      <c r="P40">
        <v>2021</v>
      </c>
    </row>
    <row r="41" spans="1:16" x14ac:dyDescent="0.25">
      <c r="A41" t="s">
        <v>22</v>
      </c>
      <c r="B41" s="1" t="e">
        <f t="array" ref="B41">SUM</f>
        <v>#NAME?</v>
      </c>
      <c r="C41" s="1" t="e">
        <f t="array" ref="C41">SUM</f>
        <v>#NAME?</v>
      </c>
      <c r="D41" s="1" t="e">
        <f t="array" ref="D41">SUM</f>
        <v>#NAME?</v>
      </c>
      <c r="E41" s="1" t="e">
        <f t="array" ref="E41">SUM</f>
        <v>#NAME?</v>
      </c>
      <c r="F41" s="1" t="e">
        <f t="array" ref="F41">SUM</f>
        <v>#NAME?</v>
      </c>
      <c r="G41" s="1" t="e">
        <f t="array" ref="G41">SUM</f>
        <v>#NAME?</v>
      </c>
      <c r="H41" s="1" t="e">
        <f t="array" ref="H41">SUM</f>
        <v>#NAME?</v>
      </c>
      <c r="I41" s="1" t="e">
        <f t="array" ref="I41">SUM</f>
        <v>#NAME?</v>
      </c>
      <c r="J41" s="1" t="e">
        <f t="array" ref="J41">SUM</f>
        <v>#NAME?</v>
      </c>
      <c r="K41" s="1" t="e">
        <f t="array" ref="K41">SUM</f>
        <v>#NAME?</v>
      </c>
      <c r="L41" s="1" t="e">
        <f t="array" ref="L41">SUM</f>
        <v>#NAME?</v>
      </c>
      <c r="M41" s="1" t="e">
        <f t="array" ref="M41">SUM</f>
        <v>#NAME?</v>
      </c>
      <c r="N41" s="1" t="e">
        <f t="array" ref="N41">SUM</f>
        <v>#NAME?</v>
      </c>
      <c r="O41" t="s">
        <v>31</v>
      </c>
      <c r="P41">
        <v>2021</v>
      </c>
    </row>
    <row r="42" spans="1:16" x14ac:dyDescent="0.25">
      <c r="A42" t="s">
        <v>18</v>
      </c>
      <c r="B42" s="1" t="e">
        <f t="array" ref="B42">SUM</f>
        <v>#NAME?</v>
      </c>
      <c r="C42" s="1" t="e">
        <f t="array" ref="C42">SUM</f>
        <v>#NAME?</v>
      </c>
      <c r="D42" s="1" t="e">
        <f t="array" ref="D42">SUM</f>
        <v>#NAME?</v>
      </c>
      <c r="E42" s="1" t="e">
        <f t="array" ref="E42">SUM</f>
        <v>#NAME?</v>
      </c>
      <c r="F42" s="1" t="e">
        <f t="array" ref="F42">SUM</f>
        <v>#NAME?</v>
      </c>
      <c r="G42" s="1" t="e">
        <f t="array" ref="G42">SUM</f>
        <v>#NAME?</v>
      </c>
      <c r="H42" s="1" t="e">
        <f t="array" ref="H42">SUM</f>
        <v>#NAME?</v>
      </c>
      <c r="I42" s="1" t="e">
        <f t="array" ref="I42">SUM</f>
        <v>#NAME?</v>
      </c>
      <c r="J42" s="1" t="e">
        <f t="array" ref="J42">SUM</f>
        <v>#NAME?</v>
      </c>
      <c r="K42" s="1" t="e">
        <f t="array" ref="K42">SUM</f>
        <v>#NAME?</v>
      </c>
      <c r="L42" s="1" t="e">
        <f t="array" ref="L42">SUM</f>
        <v>#NAME?</v>
      </c>
      <c r="M42" s="1" t="e">
        <f t="array" ref="M42">SUM</f>
        <v>#NAME?</v>
      </c>
      <c r="N42" s="1" t="e">
        <f t="array" ref="N42">SUM</f>
        <v>#NAME?</v>
      </c>
      <c r="O42" t="s">
        <v>19</v>
      </c>
      <c r="P42">
        <v>2021</v>
      </c>
    </row>
    <row r="43" spans="1:16" x14ac:dyDescent="0.25">
      <c r="A43" t="s">
        <v>18</v>
      </c>
      <c r="B43" s="1" t="e">
        <f t="array" ref="B43">SUM</f>
        <v>#NAME?</v>
      </c>
      <c r="C43" s="1" t="e">
        <f t="array" ref="C43">SUM</f>
        <v>#NAME?</v>
      </c>
      <c r="D43" s="1" t="e">
        <f t="array" ref="D43">SUM</f>
        <v>#NAME?</v>
      </c>
      <c r="E43" s="1" t="e">
        <f t="array" ref="E43">SUM</f>
        <v>#NAME?</v>
      </c>
      <c r="F43" s="1" t="e">
        <f t="array" ref="F43">SUM</f>
        <v>#NAME?</v>
      </c>
      <c r="G43" s="1" t="e">
        <f t="array" ref="G43">SUM</f>
        <v>#NAME?</v>
      </c>
      <c r="H43" s="1" t="e">
        <f t="array" ref="H43">SUM</f>
        <v>#NAME?</v>
      </c>
      <c r="I43" s="1" t="e">
        <f t="array" ref="I43">SUM</f>
        <v>#NAME?</v>
      </c>
      <c r="J43" s="1" t="e">
        <f t="array" ref="J43">SUM</f>
        <v>#NAME?</v>
      </c>
      <c r="K43" s="1" t="e">
        <f t="array" ref="K43">SUM</f>
        <v>#NAME?</v>
      </c>
      <c r="L43" s="1" t="e">
        <f t="array" ref="L43">SUM</f>
        <v>#NAME?</v>
      </c>
      <c r="M43" s="1" t="e">
        <f t="array" ref="M43">SUM</f>
        <v>#NAME?</v>
      </c>
      <c r="N43" s="1" t="e">
        <f t="array" ref="N43">SUM</f>
        <v>#NAME?</v>
      </c>
      <c r="O43" t="s">
        <v>19</v>
      </c>
      <c r="P43">
        <v>2021</v>
      </c>
    </row>
    <row r="44" spans="1:16" x14ac:dyDescent="0.25">
      <c r="A44" t="s">
        <v>16</v>
      </c>
      <c r="B44" s="1" t="e">
        <f t="array" ref="B44">SUM</f>
        <v>#NAME?</v>
      </c>
      <c r="C44" s="1" t="e">
        <f t="array" ref="C44">SUM</f>
        <v>#NAME?</v>
      </c>
      <c r="D44" s="1" t="e">
        <f t="array" ref="D44">SUM</f>
        <v>#NAME?</v>
      </c>
      <c r="E44" s="1" t="e">
        <f t="array" ref="E44">SUM</f>
        <v>#NAME?</v>
      </c>
      <c r="F44" s="1" t="e">
        <f t="array" ref="F44">SUM</f>
        <v>#NAME?</v>
      </c>
      <c r="G44" s="1" t="e">
        <f t="array" ref="G44">SUM</f>
        <v>#NAME?</v>
      </c>
      <c r="H44" s="1" t="e">
        <f t="array" ref="H44">SUM</f>
        <v>#NAME?</v>
      </c>
      <c r="I44" s="1" t="e">
        <f t="array" ref="I44">SUM</f>
        <v>#NAME?</v>
      </c>
      <c r="J44" s="1" t="e">
        <f t="array" ref="J44">SUM</f>
        <v>#NAME?</v>
      </c>
      <c r="K44" s="1" t="e">
        <f t="array" ref="K44">SUM</f>
        <v>#NAME?</v>
      </c>
      <c r="L44" s="1" t="e">
        <f t="array" ref="L44">SUM</f>
        <v>#NAME?</v>
      </c>
      <c r="M44" s="1" t="e">
        <f t="array" ref="M44">SUM</f>
        <v>#NAME?</v>
      </c>
      <c r="N44" s="1" t="e">
        <f t="array" ref="N44">SUM</f>
        <v>#NAME?</v>
      </c>
      <c r="O44" t="s">
        <v>27</v>
      </c>
      <c r="P44">
        <v>2021</v>
      </c>
    </row>
    <row r="45" spans="1:16" x14ac:dyDescent="0.25">
      <c r="A45" t="s">
        <v>25</v>
      </c>
      <c r="B45" s="1" t="e">
        <f t="array" ref="B45">SUM</f>
        <v>#NAME?</v>
      </c>
      <c r="C45" s="1" t="e">
        <f t="array" ref="C45">SUM</f>
        <v>#NAME?</v>
      </c>
      <c r="D45" s="1" t="e">
        <f t="array" ref="D45">SUM</f>
        <v>#NAME?</v>
      </c>
      <c r="E45" s="1" t="e">
        <f t="array" ref="E45">SUM</f>
        <v>#NAME?</v>
      </c>
      <c r="F45" s="1" t="e">
        <f t="array" ref="F45">SUM</f>
        <v>#NAME?</v>
      </c>
      <c r="G45" s="1" t="e">
        <f t="array" ref="G45">SUM</f>
        <v>#NAME?</v>
      </c>
      <c r="H45" s="1" t="e">
        <f t="array" ref="H45">SUM</f>
        <v>#NAME?</v>
      </c>
      <c r="I45" s="1" t="e">
        <f t="array" ref="I45">SUM</f>
        <v>#NAME?</v>
      </c>
      <c r="J45" s="1" t="e">
        <f t="array" ref="J45">SUM</f>
        <v>#NAME?</v>
      </c>
      <c r="K45" s="1" t="e">
        <f t="array" ref="K45">SUM</f>
        <v>#NAME?</v>
      </c>
      <c r="L45" s="1" t="e">
        <f t="array" ref="L45">SUM</f>
        <v>#NAME?</v>
      </c>
      <c r="M45" s="1" t="e">
        <f t="array" ref="M45">SUM</f>
        <v>#NAME?</v>
      </c>
      <c r="N45" s="1" t="e">
        <f t="array" ref="N45">SUM</f>
        <v>#NAME?</v>
      </c>
      <c r="O45" t="s">
        <v>27</v>
      </c>
      <c r="P45">
        <v>2020</v>
      </c>
    </row>
    <row r="46" spans="1:16" x14ac:dyDescent="0.25">
      <c r="A46" t="s">
        <v>16</v>
      </c>
      <c r="B46" s="1" t="e">
        <f t="array" ref="B46">SUM</f>
        <v>#NAME?</v>
      </c>
      <c r="C46" s="1" t="e">
        <f t="array" ref="C46">SUM</f>
        <v>#NAME?</v>
      </c>
      <c r="D46" s="1" t="e">
        <f t="array" ref="D46">SUM</f>
        <v>#NAME?</v>
      </c>
      <c r="E46" s="1" t="e">
        <f t="array" ref="E46">SUM</f>
        <v>#NAME?</v>
      </c>
      <c r="F46" s="1" t="e">
        <f t="array" ref="F46">SUM</f>
        <v>#NAME?</v>
      </c>
      <c r="G46" s="1" t="e">
        <f t="array" ref="G46">SUM</f>
        <v>#NAME?</v>
      </c>
      <c r="H46" s="1" t="e">
        <f t="array" ref="H46">SUM</f>
        <v>#NAME?</v>
      </c>
      <c r="I46" s="1" t="e">
        <f t="array" ref="I46">SUM</f>
        <v>#NAME?</v>
      </c>
      <c r="J46" s="1" t="e">
        <f t="array" ref="J46">SUM</f>
        <v>#NAME?</v>
      </c>
      <c r="K46" s="1" t="e">
        <f t="array" ref="K46">SUM</f>
        <v>#NAME?</v>
      </c>
      <c r="L46" s="1" t="e">
        <f t="array" ref="L46">SUM</f>
        <v>#NAME?</v>
      </c>
      <c r="M46" s="1" t="e">
        <f t="array" ref="M46">SUM</f>
        <v>#NAME?</v>
      </c>
      <c r="N46" s="1" t="e">
        <f t="array" ref="N46">SUM</f>
        <v>#NAME?</v>
      </c>
      <c r="O46" t="s">
        <v>20</v>
      </c>
      <c r="P46">
        <v>2020</v>
      </c>
    </row>
    <row r="47" spans="1:16" x14ac:dyDescent="0.25">
      <c r="A47" t="s">
        <v>16</v>
      </c>
      <c r="B47" s="1" t="e">
        <f t="array" ref="B47">SUM</f>
        <v>#NAME?</v>
      </c>
      <c r="C47" s="1" t="e">
        <f t="array" ref="C47">SUM</f>
        <v>#NAME?</v>
      </c>
      <c r="D47" s="1" t="e">
        <f t="array" ref="D47">SUM</f>
        <v>#NAME?</v>
      </c>
      <c r="E47" s="1" t="e">
        <f t="array" ref="E47">SUM</f>
        <v>#NAME?</v>
      </c>
      <c r="F47" s="1" t="e">
        <f t="array" ref="F47">SUM</f>
        <v>#NAME?</v>
      </c>
      <c r="G47" s="1" t="e">
        <f t="array" ref="G47">SUM</f>
        <v>#NAME?</v>
      </c>
      <c r="H47" s="1" t="e">
        <f t="array" ref="H47">SUM</f>
        <v>#NAME?</v>
      </c>
      <c r="I47" s="1" t="e">
        <f t="array" ref="I47">SUM</f>
        <v>#NAME?</v>
      </c>
      <c r="J47" s="1" t="e">
        <f t="array" ref="J47">SUM</f>
        <v>#NAME?</v>
      </c>
      <c r="K47" s="1" t="e">
        <f t="array" ref="K47">SUM</f>
        <v>#NAME?</v>
      </c>
      <c r="L47" s="1" t="e">
        <f t="array" ref="L47">SUM</f>
        <v>#NAME?</v>
      </c>
      <c r="M47" s="1" t="e">
        <f t="array" ref="M47">SUM</f>
        <v>#NAME?</v>
      </c>
      <c r="N47" s="1" t="e">
        <f t="array" ref="N47">SUM</f>
        <v>#NAME?</v>
      </c>
      <c r="O47" t="s">
        <v>29</v>
      </c>
      <c r="P47">
        <v>2020</v>
      </c>
    </row>
    <row r="48" spans="1:16" x14ac:dyDescent="0.25">
      <c r="A48" t="s">
        <v>22</v>
      </c>
      <c r="B48" s="1" t="e">
        <f t="array" ref="B48">SUM</f>
        <v>#NAME?</v>
      </c>
      <c r="C48" s="1" t="e">
        <f t="array" ref="C48">SUM</f>
        <v>#NAME?</v>
      </c>
      <c r="D48" s="1" t="e">
        <f t="array" ref="D48">SUM</f>
        <v>#NAME?</v>
      </c>
      <c r="E48" s="1" t="e">
        <f t="array" ref="E48">SUM</f>
        <v>#NAME?</v>
      </c>
      <c r="F48" s="1" t="e">
        <f t="array" ref="F48">SUM</f>
        <v>#NAME?</v>
      </c>
      <c r="G48" s="1" t="e">
        <f t="array" ref="G48">SUM</f>
        <v>#NAME?</v>
      </c>
      <c r="H48" s="1" t="e">
        <f t="array" ref="H48">SUM</f>
        <v>#NAME?</v>
      </c>
      <c r="I48" s="1" t="e">
        <f t="array" ref="I48">SUM</f>
        <v>#NAME?</v>
      </c>
      <c r="J48" s="1" t="e">
        <f t="array" ref="J48">SUM</f>
        <v>#NAME?</v>
      </c>
      <c r="K48" s="1" t="e">
        <f t="array" ref="K48">SUM</f>
        <v>#NAME?</v>
      </c>
      <c r="L48" s="1" t="e">
        <f t="array" ref="L48">SUM</f>
        <v>#NAME?</v>
      </c>
      <c r="M48" s="1" t="e">
        <f t="array" ref="M48">SUM</f>
        <v>#NAME?</v>
      </c>
      <c r="N48" s="1" t="e">
        <f t="array" ref="N48">SUM</f>
        <v>#NAME?</v>
      </c>
      <c r="O48" t="s">
        <v>31</v>
      </c>
      <c r="P48">
        <v>2021</v>
      </c>
    </row>
    <row r="49" spans="1:16" x14ac:dyDescent="0.25">
      <c r="A49" t="s">
        <v>23</v>
      </c>
      <c r="B49" s="1" t="e">
        <f t="array" ref="B49">SUM</f>
        <v>#NAME?</v>
      </c>
      <c r="C49" s="1" t="e">
        <f t="array" ref="C49">SUM</f>
        <v>#NAME?</v>
      </c>
      <c r="D49" s="1" t="e">
        <f t="array" ref="D49">SUM</f>
        <v>#NAME?</v>
      </c>
      <c r="E49" s="1" t="e">
        <f t="array" ref="E49">SUM</f>
        <v>#NAME?</v>
      </c>
      <c r="F49" s="1" t="e">
        <f t="array" ref="F49">SUM</f>
        <v>#NAME?</v>
      </c>
      <c r="G49" s="1" t="e">
        <f t="array" ref="G49">SUM</f>
        <v>#NAME?</v>
      </c>
      <c r="H49" s="1" t="e">
        <f t="array" ref="H49">SUM</f>
        <v>#NAME?</v>
      </c>
      <c r="I49" s="1" t="e">
        <f t="array" ref="I49">SUM</f>
        <v>#NAME?</v>
      </c>
      <c r="J49" s="1" t="e">
        <f t="array" ref="J49">SUM</f>
        <v>#NAME?</v>
      </c>
      <c r="K49" s="1" t="e">
        <f t="array" ref="K49">SUM</f>
        <v>#NAME?</v>
      </c>
      <c r="L49" s="1" t="e">
        <f t="array" ref="L49">SUM</f>
        <v>#NAME?</v>
      </c>
      <c r="M49" s="1" t="e">
        <f t="array" ref="M49">SUM</f>
        <v>#NAME?</v>
      </c>
      <c r="N49" s="1" t="e">
        <f t="array" ref="N49">SUM</f>
        <v>#NAME?</v>
      </c>
      <c r="O49" t="s">
        <v>31</v>
      </c>
      <c r="P49">
        <v>2021</v>
      </c>
    </row>
    <row r="50" spans="1:16" x14ac:dyDescent="0.25">
      <c r="A50" t="s">
        <v>16</v>
      </c>
      <c r="B50" s="1" t="e">
        <f t="array" ref="B50">SUM</f>
        <v>#NAME?</v>
      </c>
      <c r="C50" s="1" t="e">
        <f t="array" ref="C50">SUM</f>
        <v>#NAME?</v>
      </c>
      <c r="D50" s="1" t="e">
        <f t="array" ref="D50">SUM</f>
        <v>#NAME?</v>
      </c>
      <c r="E50" s="1" t="e">
        <f t="array" ref="E50">SUM</f>
        <v>#NAME?</v>
      </c>
      <c r="F50" s="1" t="e">
        <f t="array" ref="F50">SUM</f>
        <v>#NAME?</v>
      </c>
      <c r="G50" s="1" t="e">
        <f t="array" ref="G50">SUM</f>
        <v>#NAME?</v>
      </c>
      <c r="H50" s="1" t="e">
        <f t="array" ref="H50">SUM</f>
        <v>#NAME?</v>
      </c>
      <c r="I50" s="1" t="e">
        <f t="array" ref="I50">SUM</f>
        <v>#NAME?</v>
      </c>
      <c r="J50" s="1" t="e">
        <f t="array" ref="J50">SUM</f>
        <v>#NAME?</v>
      </c>
      <c r="K50" s="1" t="e">
        <f t="array" ref="K50">SUM</f>
        <v>#NAME?</v>
      </c>
      <c r="L50" s="1" t="e">
        <f t="array" ref="L50">SUM</f>
        <v>#NAME?</v>
      </c>
      <c r="M50" s="1" t="e">
        <f t="array" ref="M50">SUM</f>
        <v>#NAME?</v>
      </c>
      <c r="N50" s="1" t="e">
        <f t="array" ref="N50">SUM</f>
        <v>#NAME?</v>
      </c>
      <c r="O50" t="s">
        <v>19</v>
      </c>
      <c r="P50">
        <v>2021</v>
      </c>
    </row>
    <row r="51" spans="1:16" x14ac:dyDescent="0.25">
      <c r="A51" t="s">
        <v>16</v>
      </c>
      <c r="B51" s="1" t="e">
        <f t="array" ref="B51">SUM</f>
        <v>#NAME?</v>
      </c>
      <c r="C51" s="1" t="e">
        <f t="array" ref="C51">SUM</f>
        <v>#NAME?</v>
      </c>
      <c r="D51" s="1" t="e">
        <f t="array" ref="D51">SUM</f>
        <v>#NAME?</v>
      </c>
      <c r="E51" s="1" t="e">
        <f t="array" ref="E51">SUM</f>
        <v>#NAME?</v>
      </c>
      <c r="F51" s="1" t="e">
        <f t="array" ref="F51">SUM</f>
        <v>#NAME?</v>
      </c>
      <c r="G51" s="1" t="e">
        <f t="array" ref="G51">SUM</f>
        <v>#NAME?</v>
      </c>
      <c r="H51" s="1" t="e">
        <f t="array" ref="H51">SUM</f>
        <v>#NAME?</v>
      </c>
      <c r="I51" s="1" t="e">
        <f t="array" ref="I51">SUM</f>
        <v>#NAME?</v>
      </c>
      <c r="J51" s="1" t="e">
        <f t="array" ref="J51">SUM</f>
        <v>#NAME?</v>
      </c>
      <c r="K51" s="1" t="e">
        <f t="array" ref="K51">SUM</f>
        <v>#NAME?</v>
      </c>
      <c r="L51" s="1" t="e">
        <f t="array" ref="L51">SUM</f>
        <v>#NAME?</v>
      </c>
      <c r="M51" s="1" t="e">
        <f t="array" ref="M51">SUM</f>
        <v>#NAME?</v>
      </c>
      <c r="N51" s="1" t="e">
        <f t="array" ref="N51">SUM</f>
        <v>#NAME?</v>
      </c>
      <c r="O51" t="s">
        <v>24</v>
      </c>
      <c r="P51">
        <v>2021</v>
      </c>
    </row>
    <row r="52" spans="1:16" x14ac:dyDescent="0.25">
      <c r="A52" t="s">
        <v>22</v>
      </c>
      <c r="B52" s="1" t="e">
        <f t="array" ref="B52">SUM</f>
        <v>#NAME?</v>
      </c>
      <c r="C52" s="1" t="e">
        <f t="array" ref="C52">SUM</f>
        <v>#NAME?</v>
      </c>
      <c r="D52" s="1" t="e">
        <f t="array" ref="D52">SUM</f>
        <v>#NAME?</v>
      </c>
      <c r="E52" s="1" t="e">
        <f t="array" ref="E52">SUM</f>
        <v>#NAME?</v>
      </c>
      <c r="F52" s="1" t="e">
        <f t="array" ref="F52">SUM</f>
        <v>#NAME?</v>
      </c>
      <c r="G52" s="1" t="e">
        <f t="array" ref="G52">SUM</f>
        <v>#NAME?</v>
      </c>
      <c r="H52" s="1" t="e">
        <f t="array" ref="H52">SUM</f>
        <v>#NAME?</v>
      </c>
      <c r="I52" s="1" t="e">
        <f t="array" ref="I52">SUM</f>
        <v>#NAME?</v>
      </c>
      <c r="J52" s="1" t="e">
        <f t="array" ref="J52">SUM</f>
        <v>#NAME?</v>
      </c>
      <c r="K52" s="1" t="e">
        <f t="array" ref="K52">SUM</f>
        <v>#NAME?</v>
      </c>
      <c r="L52" s="1" t="e">
        <f t="array" ref="L52">SUM</f>
        <v>#NAME?</v>
      </c>
      <c r="M52" s="1" t="e">
        <f t="array" ref="M52">SUM</f>
        <v>#NAME?</v>
      </c>
      <c r="N52" s="1" t="e">
        <f t="array" ref="N52">SUM</f>
        <v>#NAME?</v>
      </c>
      <c r="O52" t="s">
        <v>26</v>
      </c>
      <c r="P52">
        <v>2021</v>
      </c>
    </row>
    <row r="53" spans="1:16" x14ac:dyDescent="0.25">
      <c r="A53" t="s">
        <v>16</v>
      </c>
      <c r="B53" s="1" t="e">
        <f t="array" ref="B53">SUM</f>
        <v>#NAME?</v>
      </c>
      <c r="C53" s="1" t="e">
        <f t="array" ref="C53">SUM</f>
        <v>#NAME?</v>
      </c>
      <c r="D53" s="1" t="e">
        <f t="array" ref="D53">SUM</f>
        <v>#NAME?</v>
      </c>
      <c r="E53" s="1" t="e">
        <f t="array" ref="E53">SUM</f>
        <v>#NAME?</v>
      </c>
      <c r="F53" s="1" t="e">
        <f t="array" ref="F53">SUM</f>
        <v>#NAME?</v>
      </c>
      <c r="G53" s="1" t="e">
        <f t="array" ref="G53">SUM</f>
        <v>#NAME?</v>
      </c>
      <c r="H53" s="1" t="e">
        <f t="array" ref="H53">SUM</f>
        <v>#NAME?</v>
      </c>
      <c r="I53" s="1" t="e">
        <f t="array" ref="I53">SUM</f>
        <v>#NAME?</v>
      </c>
      <c r="J53" s="1" t="e">
        <f t="array" ref="J53">SUM</f>
        <v>#NAME?</v>
      </c>
      <c r="K53" s="1" t="e">
        <f t="array" ref="K53">SUM</f>
        <v>#NAME?</v>
      </c>
      <c r="L53" s="1" t="e">
        <f t="array" ref="L53">SUM</f>
        <v>#NAME?</v>
      </c>
      <c r="M53" s="1" t="e">
        <f t="array" ref="M53">SUM</f>
        <v>#NAME?</v>
      </c>
      <c r="N53" s="1" t="e">
        <f t="array" ref="N53">SUM</f>
        <v>#NAME?</v>
      </c>
      <c r="O53" t="s">
        <v>28</v>
      </c>
      <c r="P53">
        <v>2021</v>
      </c>
    </row>
    <row r="54" spans="1:16" x14ac:dyDescent="0.25">
      <c r="A54" t="s">
        <v>18</v>
      </c>
      <c r="B54" s="1" t="e">
        <f t="array" ref="B54">SUM</f>
        <v>#NAME?</v>
      </c>
      <c r="C54" s="1" t="e">
        <f t="array" ref="C54">SUM</f>
        <v>#NAME?</v>
      </c>
      <c r="D54" s="1" t="e">
        <f t="array" ref="D54">SUM</f>
        <v>#NAME?</v>
      </c>
      <c r="E54" s="1" t="e">
        <f t="array" ref="E54">SUM</f>
        <v>#NAME?</v>
      </c>
      <c r="F54" s="1" t="e">
        <f t="array" ref="F54">SUM</f>
        <v>#NAME?</v>
      </c>
      <c r="G54" s="1" t="e">
        <f t="array" ref="G54">SUM</f>
        <v>#NAME?</v>
      </c>
      <c r="H54" s="1" t="e">
        <f t="array" ref="H54">SUM</f>
        <v>#NAME?</v>
      </c>
      <c r="I54" s="1" t="e">
        <f t="array" ref="I54">SUM</f>
        <v>#NAME?</v>
      </c>
      <c r="J54" s="1" t="e">
        <f t="array" ref="J54">SUM</f>
        <v>#NAME?</v>
      </c>
      <c r="K54" s="1" t="e">
        <f t="array" ref="K54">SUM</f>
        <v>#NAME?</v>
      </c>
      <c r="L54" s="1" t="e">
        <f t="array" ref="L54">SUM</f>
        <v>#NAME?</v>
      </c>
      <c r="M54" s="1" t="e">
        <f t="array" ref="M54">SUM</f>
        <v>#NAME?</v>
      </c>
      <c r="N54" s="1" t="e">
        <f t="array" ref="N54">SUM</f>
        <v>#NAME?</v>
      </c>
      <c r="O54" t="s">
        <v>20</v>
      </c>
      <c r="P54">
        <v>2021</v>
      </c>
    </row>
    <row r="55" spans="1:16" x14ac:dyDescent="0.25">
      <c r="A55" t="s">
        <v>16</v>
      </c>
      <c r="B55" s="1" t="e">
        <f t="array" ref="B55">SUM</f>
        <v>#NAME?</v>
      </c>
      <c r="C55" s="1" t="e">
        <f t="array" ref="C55">SUM</f>
        <v>#NAME?</v>
      </c>
      <c r="D55" s="1" t="e">
        <f t="array" ref="D55">SUM</f>
        <v>#NAME?</v>
      </c>
      <c r="E55" s="1" t="e">
        <f t="array" ref="E55">SUM</f>
        <v>#NAME?</v>
      </c>
      <c r="F55" s="1" t="e">
        <f t="array" ref="F55">SUM</f>
        <v>#NAME?</v>
      </c>
      <c r="G55" s="1" t="e">
        <f t="array" ref="G55">SUM</f>
        <v>#NAME?</v>
      </c>
      <c r="H55" s="1" t="e">
        <f t="array" ref="H55">SUM</f>
        <v>#NAME?</v>
      </c>
      <c r="I55" s="1" t="e">
        <f t="array" ref="I55">SUM</f>
        <v>#NAME?</v>
      </c>
      <c r="J55" s="1" t="e">
        <f t="array" ref="J55">SUM</f>
        <v>#NAME?</v>
      </c>
      <c r="K55" s="1" t="e">
        <f t="array" ref="K55">SUM</f>
        <v>#NAME?</v>
      </c>
      <c r="L55" s="1" t="e">
        <f t="array" ref="L55">SUM</f>
        <v>#NAME?</v>
      </c>
      <c r="M55" s="1" t="e">
        <f t="array" ref="M55">SUM</f>
        <v>#NAME?</v>
      </c>
      <c r="N55" s="1" t="e">
        <f t="array" ref="N55">SUM</f>
        <v>#NAME?</v>
      </c>
      <c r="O55" t="s">
        <v>17</v>
      </c>
      <c r="P55">
        <v>2021</v>
      </c>
    </row>
    <row r="56" spans="1:16" x14ac:dyDescent="0.25">
      <c r="A56" t="s">
        <v>18</v>
      </c>
      <c r="B56" s="1" t="e">
        <f t="array" ref="B56">SUM</f>
        <v>#NAME?</v>
      </c>
      <c r="C56" s="1" t="e">
        <f t="array" ref="C56">SUM</f>
        <v>#NAME?</v>
      </c>
      <c r="D56" s="1" t="e">
        <f t="array" ref="D56">SUM</f>
        <v>#NAME?</v>
      </c>
      <c r="E56" s="1" t="e">
        <f t="array" ref="E56">SUM</f>
        <v>#NAME?</v>
      </c>
      <c r="F56" s="1" t="e">
        <f t="array" ref="F56">SUM</f>
        <v>#NAME?</v>
      </c>
      <c r="G56" s="1" t="e">
        <f t="array" ref="G56">SUM</f>
        <v>#NAME?</v>
      </c>
      <c r="H56" s="1" t="e">
        <f t="array" ref="H56">SUM</f>
        <v>#NAME?</v>
      </c>
      <c r="I56" s="1" t="e">
        <f t="array" ref="I56">SUM</f>
        <v>#NAME?</v>
      </c>
      <c r="J56" s="1" t="e">
        <f t="array" ref="J56">SUM</f>
        <v>#NAME?</v>
      </c>
      <c r="K56" s="1" t="e">
        <f t="array" ref="K56">SUM</f>
        <v>#NAME?</v>
      </c>
      <c r="L56" s="1" t="e">
        <f t="array" ref="L56">SUM</f>
        <v>#NAME?</v>
      </c>
      <c r="M56" s="1" t="e">
        <f t="array" ref="M56">SUM</f>
        <v>#NAME?</v>
      </c>
      <c r="N56" s="1" t="e">
        <f t="array" ref="N56">SUM</f>
        <v>#NAME?</v>
      </c>
      <c r="O56" t="s">
        <v>29</v>
      </c>
      <c r="P56">
        <v>2021</v>
      </c>
    </row>
    <row r="57" spans="1:16" x14ac:dyDescent="0.25">
      <c r="A57" t="s">
        <v>16</v>
      </c>
      <c r="B57" s="1" t="e">
        <f t="array" ref="B57">SUM</f>
        <v>#NAME?</v>
      </c>
      <c r="C57" s="1" t="e">
        <f t="array" ref="C57">SUM</f>
        <v>#NAME?</v>
      </c>
      <c r="D57" s="1" t="e">
        <f t="array" ref="D57">SUM</f>
        <v>#NAME?</v>
      </c>
      <c r="E57" s="1" t="e">
        <f t="array" ref="E57">SUM</f>
        <v>#NAME?</v>
      </c>
      <c r="F57" s="1" t="e">
        <f t="array" ref="F57">SUM</f>
        <v>#NAME?</v>
      </c>
      <c r="G57" s="1" t="e">
        <f t="array" ref="G57">SUM</f>
        <v>#NAME?</v>
      </c>
      <c r="H57" s="1" t="e">
        <f t="array" ref="H57">SUM</f>
        <v>#NAME?</v>
      </c>
      <c r="I57" s="1" t="e">
        <f t="array" ref="I57">SUM</f>
        <v>#NAME?</v>
      </c>
      <c r="J57" s="1" t="e">
        <f t="array" ref="J57">SUM</f>
        <v>#NAME?</v>
      </c>
      <c r="K57" s="1" t="e">
        <f t="array" ref="K57">SUM</f>
        <v>#NAME?</v>
      </c>
      <c r="L57" s="1" t="e">
        <f t="array" ref="L57">SUM</f>
        <v>#NAME?</v>
      </c>
      <c r="M57" s="1" t="e">
        <f t="array" ref="M57">SUM</f>
        <v>#NAME?</v>
      </c>
      <c r="N57" s="1" t="e">
        <f t="array" ref="N57">SUM</f>
        <v>#NAME?</v>
      </c>
      <c r="O57" t="s">
        <v>32</v>
      </c>
      <c r="P57">
        <v>2021</v>
      </c>
    </row>
    <row r="58" spans="1:16" x14ac:dyDescent="0.25">
      <c r="A58" t="s">
        <v>16</v>
      </c>
      <c r="B58" s="1" t="e">
        <f t="array" ref="B58">SUM</f>
        <v>#NAME?</v>
      </c>
      <c r="C58" s="1" t="e">
        <f t="array" ref="C58">SUM</f>
        <v>#NAME?</v>
      </c>
      <c r="D58" s="1" t="e">
        <f t="array" ref="D58">SUM</f>
        <v>#NAME?</v>
      </c>
      <c r="E58" s="1" t="e">
        <f t="array" ref="E58">SUM</f>
        <v>#NAME?</v>
      </c>
      <c r="F58" s="1" t="e">
        <f t="array" ref="F58">SUM</f>
        <v>#NAME?</v>
      </c>
      <c r="G58" s="1" t="e">
        <f t="array" ref="G58">SUM</f>
        <v>#NAME?</v>
      </c>
      <c r="H58" s="1" t="e">
        <f t="array" ref="H58">SUM</f>
        <v>#NAME?</v>
      </c>
      <c r="I58" s="1" t="e">
        <f t="array" ref="I58">SUM</f>
        <v>#NAME?</v>
      </c>
      <c r="J58" s="1" t="e">
        <f t="array" ref="J58">SUM</f>
        <v>#NAME?</v>
      </c>
      <c r="K58" s="1" t="e">
        <f t="array" ref="K58">SUM</f>
        <v>#NAME?</v>
      </c>
      <c r="L58" s="1" t="e">
        <f t="array" ref="L58">SUM</f>
        <v>#NAME?</v>
      </c>
      <c r="M58" s="1" t="e">
        <f t="array" ref="M58">SUM</f>
        <v>#NAME?</v>
      </c>
      <c r="N58" s="1" t="e">
        <f t="array" ref="N58">SUM</f>
        <v>#NAME?</v>
      </c>
      <c r="O58" t="s">
        <v>30</v>
      </c>
      <c r="P58">
        <v>2021</v>
      </c>
    </row>
    <row r="59" spans="1:16" x14ac:dyDescent="0.25">
      <c r="A59" t="s">
        <v>16</v>
      </c>
      <c r="B59" s="1" t="e">
        <f t="array" ref="B59">SUM</f>
        <v>#NAME?</v>
      </c>
      <c r="C59" s="1" t="e">
        <f t="array" ref="C59">SUM</f>
        <v>#NAME?</v>
      </c>
      <c r="D59" s="1" t="e">
        <f t="array" ref="D59">SUM</f>
        <v>#NAME?</v>
      </c>
      <c r="E59" s="1" t="e">
        <f t="array" ref="E59">SUM</f>
        <v>#NAME?</v>
      </c>
      <c r="F59" s="1" t="e">
        <f t="array" ref="F59">SUM</f>
        <v>#NAME?</v>
      </c>
      <c r="G59" s="1" t="e">
        <f t="array" ref="G59">SUM</f>
        <v>#NAME?</v>
      </c>
      <c r="H59" s="1" t="e">
        <f t="array" ref="H59">SUM</f>
        <v>#NAME?</v>
      </c>
      <c r="I59" s="1" t="e">
        <f t="array" ref="I59">SUM</f>
        <v>#NAME?</v>
      </c>
      <c r="J59" s="1" t="e">
        <f t="array" ref="J59">SUM</f>
        <v>#NAME?</v>
      </c>
      <c r="K59" s="1" t="e">
        <f t="array" ref="K59">SUM</f>
        <v>#NAME?</v>
      </c>
      <c r="L59" s="1" t="e">
        <f t="array" ref="L59">SUM</f>
        <v>#NAME?</v>
      </c>
      <c r="M59" s="1" t="e">
        <f t="array" ref="M59">SUM</f>
        <v>#NAME?</v>
      </c>
      <c r="N59" s="1" t="e">
        <f t="array" ref="N59">SUM</f>
        <v>#NAME?</v>
      </c>
      <c r="O59" t="s">
        <v>21</v>
      </c>
      <c r="P59">
        <v>2021</v>
      </c>
    </row>
    <row r="60" spans="1:16" x14ac:dyDescent="0.25">
      <c r="A60" t="s">
        <v>22</v>
      </c>
      <c r="B60" s="1" t="e">
        <f t="array" ref="B60">SUM</f>
        <v>#NAME?</v>
      </c>
      <c r="C60" s="1" t="e">
        <f t="array" ref="C60">SUM</f>
        <v>#NAME?</v>
      </c>
      <c r="D60" s="1" t="e">
        <f t="array" ref="D60">SUM</f>
        <v>#NAME?</v>
      </c>
      <c r="E60" s="1" t="e">
        <f t="array" ref="E60">SUM</f>
        <v>#NAME?</v>
      </c>
      <c r="F60" s="1" t="e">
        <f t="array" ref="F60">SUM</f>
        <v>#NAME?</v>
      </c>
      <c r="G60" s="1" t="e">
        <f t="array" ref="G60">SUM</f>
        <v>#NAME?</v>
      </c>
      <c r="H60" s="1" t="e">
        <f t="array" ref="H60">SUM</f>
        <v>#NAME?</v>
      </c>
      <c r="I60" s="1" t="e">
        <f t="array" ref="I60">SUM</f>
        <v>#NAME?</v>
      </c>
      <c r="J60" s="1" t="e">
        <f t="array" ref="J60">SUM</f>
        <v>#NAME?</v>
      </c>
      <c r="K60" s="1" t="e">
        <f t="array" ref="K60">SUM</f>
        <v>#NAME?</v>
      </c>
      <c r="L60" s="1" t="e">
        <f t="array" ref="L60">SUM</f>
        <v>#NAME?</v>
      </c>
      <c r="M60" s="1" t="e">
        <f t="array" ref="M60">SUM</f>
        <v>#NAME?</v>
      </c>
      <c r="N60" s="1" t="e">
        <f t="array" ref="N60">SUM</f>
        <v>#NAME?</v>
      </c>
      <c r="O60" t="s">
        <v>29</v>
      </c>
      <c r="P60">
        <v>2021</v>
      </c>
    </row>
    <row r="61" spans="1:16" x14ac:dyDescent="0.25">
      <c r="A61" t="s">
        <v>16</v>
      </c>
      <c r="B61" s="1" t="e">
        <f t="array" ref="B61">SUM</f>
        <v>#NAME?</v>
      </c>
      <c r="C61" s="1" t="e">
        <f t="array" ref="C61">SUM</f>
        <v>#NAME?</v>
      </c>
      <c r="D61" s="1" t="e">
        <f t="array" ref="D61">SUM</f>
        <v>#NAME?</v>
      </c>
      <c r="E61" s="1" t="e">
        <f t="array" ref="E61">SUM</f>
        <v>#NAME?</v>
      </c>
      <c r="F61" s="1" t="e">
        <f t="array" ref="F61">SUM</f>
        <v>#NAME?</v>
      </c>
      <c r="G61" s="1" t="e">
        <f t="array" ref="G61">SUM</f>
        <v>#NAME?</v>
      </c>
      <c r="H61" s="1" t="e">
        <f t="array" ref="H61">SUM</f>
        <v>#NAME?</v>
      </c>
      <c r="I61" s="1" t="e">
        <f t="array" ref="I61">SUM</f>
        <v>#NAME?</v>
      </c>
      <c r="J61" s="1" t="e">
        <f t="array" ref="J61">SUM</f>
        <v>#NAME?</v>
      </c>
      <c r="K61" s="1" t="e">
        <f t="array" ref="K61">SUM</f>
        <v>#NAME?</v>
      </c>
      <c r="L61" s="1" t="e">
        <f t="array" ref="L61">SUM</f>
        <v>#NAME?</v>
      </c>
      <c r="M61" s="1" t="e">
        <f t="array" ref="M61">SUM</f>
        <v>#NAME?</v>
      </c>
      <c r="N61" s="1" t="e">
        <f t="array" ref="N61">SUM</f>
        <v>#NAME?</v>
      </c>
      <c r="O61" t="s">
        <v>21</v>
      </c>
      <c r="P61">
        <v>2021</v>
      </c>
    </row>
    <row r="62" spans="1:16" x14ac:dyDescent="0.25">
      <c r="A62" t="s">
        <v>16</v>
      </c>
      <c r="B62" s="1" t="e">
        <f t="array" ref="B62">SUM</f>
        <v>#NAME?</v>
      </c>
      <c r="C62" s="1" t="e">
        <f t="array" ref="C62">SUM</f>
        <v>#NAME?</v>
      </c>
      <c r="D62" s="1" t="e">
        <f t="array" ref="D62">SUM</f>
        <v>#NAME?</v>
      </c>
      <c r="E62" s="1" t="e">
        <f t="array" ref="E62">SUM</f>
        <v>#NAME?</v>
      </c>
      <c r="F62" s="1" t="e">
        <f t="array" ref="F62">SUM</f>
        <v>#NAME?</v>
      </c>
      <c r="G62" s="1" t="e">
        <f t="array" ref="G62">SUM</f>
        <v>#NAME?</v>
      </c>
      <c r="H62" s="1" t="e">
        <f t="array" ref="H62">SUM</f>
        <v>#NAME?</v>
      </c>
      <c r="I62" s="1" t="e">
        <f t="array" ref="I62">SUM</f>
        <v>#NAME?</v>
      </c>
      <c r="J62" s="1" t="e">
        <f t="array" ref="J62">SUM</f>
        <v>#NAME?</v>
      </c>
      <c r="K62" s="1" t="e">
        <f t="array" ref="K62">SUM</f>
        <v>#NAME?</v>
      </c>
      <c r="L62" s="1" t="e">
        <f t="array" ref="L62">SUM</f>
        <v>#NAME?</v>
      </c>
      <c r="M62" s="1" t="e">
        <f t="array" ref="M62">SUM</f>
        <v>#NAME?</v>
      </c>
      <c r="N62" s="1" t="e">
        <f t="array" ref="N62">SUM</f>
        <v>#NAME?</v>
      </c>
      <c r="O62" t="s">
        <v>24</v>
      </c>
      <c r="P62">
        <v>2021</v>
      </c>
    </row>
    <row r="63" spans="1:16" x14ac:dyDescent="0.25">
      <c r="A63" t="s">
        <v>22</v>
      </c>
      <c r="B63" s="1" t="e">
        <f t="array" ref="B63">SUM</f>
        <v>#NAME?</v>
      </c>
      <c r="C63" s="1" t="e">
        <f t="array" ref="C63">SUM</f>
        <v>#NAME?</v>
      </c>
      <c r="D63" s="1" t="e">
        <f t="array" ref="D63">SUM</f>
        <v>#NAME?</v>
      </c>
      <c r="E63" s="1" t="e">
        <f t="array" ref="E63">SUM</f>
        <v>#NAME?</v>
      </c>
      <c r="F63" s="1" t="e">
        <f t="array" ref="F63">SUM</f>
        <v>#NAME?</v>
      </c>
      <c r="G63" s="1" t="e">
        <f t="array" ref="G63">SUM</f>
        <v>#NAME?</v>
      </c>
      <c r="H63" s="1" t="e">
        <f t="array" ref="H63">SUM</f>
        <v>#NAME?</v>
      </c>
      <c r="I63" s="1" t="e">
        <f t="array" ref="I63">SUM</f>
        <v>#NAME?</v>
      </c>
      <c r="J63" s="1" t="e">
        <f t="array" ref="J63">SUM</f>
        <v>#NAME?</v>
      </c>
      <c r="K63" s="1" t="e">
        <f t="array" ref="K63">SUM</f>
        <v>#NAME?</v>
      </c>
      <c r="L63" s="1" t="e">
        <f t="array" ref="L63">SUM</f>
        <v>#NAME?</v>
      </c>
      <c r="M63" s="1" t="e">
        <f t="array" ref="M63">SUM</f>
        <v>#NAME?</v>
      </c>
      <c r="N63" s="1" t="e">
        <f t="array" ref="N63">SUM</f>
        <v>#NAME?</v>
      </c>
      <c r="O63" t="s">
        <v>27</v>
      </c>
      <c r="P63">
        <v>2021</v>
      </c>
    </row>
    <row r="64" spans="1:16" x14ac:dyDescent="0.25">
      <c r="A64" t="s">
        <v>23</v>
      </c>
      <c r="B64" s="1" t="e">
        <f t="array" ref="B64">SUM</f>
        <v>#NAME?</v>
      </c>
      <c r="C64" s="1" t="e">
        <f t="array" ref="C64">SUM</f>
        <v>#NAME?</v>
      </c>
      <c r="D64" s="1" t="e">
        <f t="array" ref="D64">SUM</f>
        <v>#NAME?</v>
      </c>
      <c r="E64" s="1" t="e">
        <f t="array" ref="E64">SUM</f>
        <v>#NAME?</v>
      </c>
      <c r="F64" s="1" t="e">
        <f t="array" ref="F64">SUM</f>
        <v>#NAME?</v>
      </c>
      <c r="G64" s="1" t="e">
        <f t="array" ref="G64">SUM</f>
        <v>#NAME?</v>
      </c>
      <c r="H64" s="1" t="e">
        <f t="array" ref="H64">SUM</f>
        <v>#NAME?</v>
      </c>
      <c r="I64" s="1" t="e">
        <f t="array" ref="I64">SUM</f>
        <v>#NAME?</v>
      </c>
      <c r="J64" s="1" t="e">
        <f t="array" ref="J64">SUM</f>
        <v>#NAME?</v>
      </c>
      <c r="K64" s="1" t="e">
        <f t="array" ref="K64">SUM</f>
        <v>#NAME?</v>
      </c>
      <c r="L64" s="1" t="e">
        <f t="array" ref="L64">SUM</f>
        <v>#NAME?</v>
      </c>
      <c r="M64" s="1" t="e">
        <f t="array" ref="M64">SUM</f>
        <v>#NAME?</v>
      </c>
      <c r="N64" s="1" t="e">
        <f t="array" ref="N64">SUM</f>
        <v>#NAME?</v>
      </c>
      <c r="O64" t="s">
        <v>27</v>
      </c>
      <c r="P64">
        <v>2021</v>
      </c>
    </row>
    <row r="65" spans="1:16" x14ac:dyDescent="0.25">
      <c r="A65" t="s">
        <v>22</v>
      </c>
      <c r="B65" s="1" t="e">
        <f t="array" ref="B65">SUM</f>
        <v>#NAME?</v>
      </c>
      <c r="C65" s="1" t="e">
        <f t="array" ref="C65">SUM</f>
        <v>#NAME?</v>
      </c>
      <c r="D65" s="1" t="e">
        <f t="array" ref="D65">SUM</f>
        <v>#NAME?</v>
      </c>
      <c r="E65" s="1" t="e">
        <f t="array" ref="E65">SUM</f>
        <v>#NAME?</v>
      </c>
      <c r="F65" s="1" t="e">
        <f t="array" ref="F65">SUM</f>
        <v>#NAME?</v>
      </c>
      <c r="G65" s="1" t="e">
        <f t="array" ref="G65">SUM</f>
        <v>#NAME?</v>
      </c>
      <c r="H65" s="1" t="e">
        <f t="array" ref="H65">SUM</f>
        <v>#NAME?</v>
      </c>
      <c r="I65" s="1" t="e">
        <f t="array" ref="I65">SUM</f>
        <v>#NAME?</v>
      </c>
      <c r="J65" s="1" t="e">
        <f t="array" ref="J65">SUM</f>
        <v>#NAME?</v>
      </c>
      <c r="K65" s="1" t="e">
        <f t="array" ref="K65">SUM</f>
        <v>#NAME?</v>
      </c>
      <c r="L65" s="1" t="e">
        <f t="array" ref="L65">SUM</f>
        <v>#NAME?</v>
      </c>
      <c r="M65" s="1" t="e">
        <f t="array" ref="M65">SUM</f>
        <v>#NAME?</v>
      </c>
      <c r="N65" s="1" t="e">
        <f t="array" ref="N65">SUM</f>
        <v>#NAME?</v>
      </c>
      <c r="O65" t="s">
        <v>27</v>
      </c>
      <c r="P65">
        <v>2021</v>
      </c>
    </row>
    <row r="66" spans="1:16" x14ac:dyDescent="0.25">
      <c r="A66" t="s">
        <v>22</v>
      </c>
      <c r="B66" s="1" t="e">
        <f t="array" ref="B66">SUM</f>
        <v>#NAME?</v>
      </c>
      <c r="C66" s="1" t="e">
        <f t="array" ref="C66">SUM</f>
        <v>#NAME?</v>
      </c>
      <c r="D66" s="1" t="e">
        <f t="array" ref="D66">SUM</f>
        <v>#NAME?</v>
      </c>
      <c r="E66" s="1" t="e">
        <f t="array" ref="E66">SUM</f>
        <v>#NAME?</v>
      </c>
      <c r="F66" s="1" t="e">
        <f t="array" ref="F66">SUM</f>
        <v>#NAME?</v>
      </c>
      <c r="G66" s="1" t="e">
        <f t="array" ref="G66">SUM</f>
        <v>#NAME?</v>
      </c>
      <c r="H66" s="1" t="e">
        <f t="array" ref="H66">SUM</f>
        <v>#NAME?</v>
      </c>
      <c r="I66" s="1" t="e">
        <f t="array" ref="I66">SUM</f>
        <v>#NAME?</v>
      </c>
      <c r="J66" s="1" t="e">
        <f t="array" ref="J66">SUM</f>
        <v>#NAME?</v>
      </c>
      <c r="K66" s="1" t="e">
        <f t="array" ref="K66">SUM</f>
        <v>#NAME?</v>
      </c>
      <c r="L66" s="1" t="e">
        <f t="array" ref="L66">SUM</f>
        <v>#NAME?</v>
      </c>
      <c r="M66" s="1" t="e">
        <f t="array" ref="M66">SUM</f>
        <v>#NAME?</v>
      </c>
      <c r="N66" s="1" t="e">
        <f t="array" ref="N66">SUM</f>
        <v>#NAME?</v>
      </c>
      <c r="O66" t="s">
        <v>28</v>
      </c>
      <c r="P66">
        <v>2021</v>
      </c>
    </row>
    <row r="67" spans="1:16" x14ac:dyDescent="0.25">
      <c r="A67" t="s">
        <v>25</v>
      </c>
      <c r="B67" s="1" t="e">
        <f t="array" ref="B67">SUM</f>
        <v>#NAME?</v>
      </c>
      <c r="C67" s="1" t="e">
        <f t="array" ref="C67">SUM</f>
        <v>#NAME?</v>
      </c>
      <c r="D67" s="1" t="e">
        <f t="array" ref="D67">SUM</f>
        <v>#NAME?</v>
      </c>
      <c r="E67" s="1" t="e">
        <f t="array" ref="E67">SUM</f>
        <v>#NAME?</v>
      </c>
      <c r="F67" s="1" t="e">
        <f t="array" ref="F67">SUM</f>
        <v>#NAME?</v>
      </c>
      <c r="G67" s="1" t="e">
        <f t="array" ref="G67">SUM</f>
        <v>#NAME?</v>
      </c>
      <c r="H67" s="1" t="e">
        <f t="array" ref="H67">SUM</f>
        <v>#NAME?</v>
      </c>
      <c r="I67" s="1" t="e">
        <f t="array" ref="I67">SUM</f>
        <v>#NAME?</v>
      </c>
      <c r="J67" s="1" t="e">
        <f t="array" ref="J67">SUM</f>
        <v>#NAME?</v>
      </c>
      <c r="K67" s="1" t="e">
        <f t="array" ref="K67">SUM</f>
        <v>#NAME?</v>
      </c>
      <c r="L67" s="1" t="e">
        <f t="array" ref="L67">SUM</f>
        <v>#NAME?</v>
      </c>
      <c r="M67" s="1" t="e">
        <f t="array" ref="M67">SUM</f>
        <v>#NAME?</v>
      </c>
      <c r="N67" s="1" t="e">
        <f t="array" ref="N67">SUM</f>
        <v>#NAME?</v>
      </c>
      <c r="O67" t="s">
        <v>28</v>
      </c>
      <c r="P67">
        <v>2021</v>
      </c>
    </row>
    <row r="68" spans="1:16" x14ac:dyDescent="0.25">
      <c r="A68" t="s">
        <v>16</v>
      </c>
      <c r="B68" s="1" t="e">
        <f t="array" ref="B68">SUM</f>
        <v>#NAME?</v>
      </c>
      <c r="C68" s="1" t="e">
        <f t="array" ref="C68">SUM</f>
        <v>#NAME?</v>
      </c>
      <c r="D68" s="1" t="e">
        <f t="array" ref="D68">SUM</f>
        <v>#NAME?</v>
      </c>
      <c r="E68" s="1" t="e">
        <f t="array" ref="E68">SUM</f>
        <v>#NAME?</v>
      </c>
      <c r="F68" s="1" t="e">
        <f t="array" ref="F68">SUM</f>
        <v>#NAME?</v>
      </c>
      <c r="G68" s="1" t="e">
        <f t="array" ref="G68">SUM</f>
        <v>#NAME?</v>
      </c>
      <c r="H68" s="1" t="e">
        <f t="array" ref="H68">SUM</f>
        <v>#NAME?</v>
      </c>
      <c r="I68" s="1" t="e">
        <f t="array" ref="I68">SUM</f>
        <v>#NAME?</v>
      </c>
      <c r="J68" s="1" t="e">
        <f t="array" ref="J68">SUM</f>
        <v>#NAME?</v>
      </c>
      <c r="K68" s="1" t="e">
        <f t="array" ref="K68">SUM</f>
        <v>#NAME?</v>
      </c>
      <c r="L68" s="1" t="e">
        <f t="array" ref="L68">SUM</f>
        <v>#NAME?</v>
      </c>
      <c r="M68" s="1" t="e">
        <f t="array" ref="M68">SUM</f>
        <v>#NAME?</v>
      </c>
      <c r="N68" s="1" t="e">
        <f t="array" ref="N68">SUM</f>
        <v>#NAME?</v>
      </c>
      <c r="O68" t="s">
        <v>28</v>
      </c>
      <c r="P68">
        <v>2021</v>
      </c>
    </row>
    <row r="69" spans="1:16" x14ac:dyDescent="0.25">
      <c r="A69" t="s">
        <v>16</v>
      </c>
      <c r="B69" s="1" t="e">
        <f t="array" ref="B69">SUM</f>
        <v>#NAME?</v>
      </c>
      <c r="C69" s="1" t="e">
        <f t="array" ref="C69">SUM</f>
        <v>#NAME?</v>
      </c>
      <c r="D69" s="1" t="e">
        <f t="array" ref="D69">SUM</f>
        <v>#NAME?</v>
      </c>
      <c r="E69" s="1" t="e">
        <f t="array" ref="E69">SUM</f>
        <v>#NAME?</v>
      </c>
      <c r="F69" s="1" t="e">
        <f t="array" ref="F69">SUM</f>
        <v>#NAME?</v>
      </c>
      <c r="G69" s="1" t="e">
        <f t="array" ref="G69">SUM</f>
        <v>#NAME?</v>
      </c>
      <c r="H69" s="1" t="e">
        <f t="array" ref="H69">SUM</f>
        <v>#NAME?</v>
      </c>
      <c r="I69" s="1" t="e">
        <f t="array" ref="I69">SUM</f>
        <v>#NAME?</v>
      </c>
      <c r="J69" s="1" t="e">
        <f t="array" ref="J69">SUM</f>
        <v>#NAME?</v>
      </c>
      <c r="K69" s="1" t="e">
        <f t="array" ref="K69">SUM</f>
        <v>#NAME?</v>
      </c>
      <c r="L69" s="1" t="e">
        <f t="array" ref="L69">SUM</f>
        <v>#NAME?</v>
      </c>
      <c r="M69" s="1" t="e">
        <f t="array" ref="M69">SUM</f>
        <v>#NAME?</v>
      </c>
      <c r="N69" s="1" t="e">
        <f t="array" ref="N69">SUM</f>
        <v>#NAME?</v>
      </c>
      <c r="O69" t="s">
        <v>20</v>
      </c>
      <c r="P69">
        <v>2021</v>
      </c>
    </row>
    <row r="70" spans="1:16" x14ac:dyDescent="0.25">
      <c r="A70" t="s">
        <v>18</v>
      </c>
      <c r="B70" s="1" t="e">
        <f t="array" ref="B70">SUM</f>
        <v>#NAME?</v>
      </c>
      <c r="C70" s="1" t="e">
        <f t="array" ref="C70">SUM</f>
        <v>#NAME?</v>
      </c>
      <c r="D70" s="1" t="e">
        <f t="array" ref="D70">SUM</f>
        <v>#NAME?</v>
      </c>
      <c r="E70" s="1" t="e">
        <f t="array" ref="E70">SUM</f>
        <v>#NAME?</v>
      </c>
      <c r="F70" s="1" t="e">
        <f t="array" ref="F70">SUM</f>
        <v>#NAME?</v>
      </c>
      <c r="G70" s="1" t="e">
        <f t="array" ref="G70">SUM</f>
        <v>#NAME?</v>
      </c>
      <c r="H70" s="1" t="e">
        <f t="array" ref="H70">SUM</f>
        <v>#NAME?</v>
      </c>
      <c r="I70" s="1" t="e">
        <f t="array" ref="I70">SUM</f>
        <v>#NAME?</v>
      </c>
      <c r="J70" s="1" t="e">
        <f t="array" ref="J70">SUM</f>
        <v>#NAME?</v>
      </c>
      <c r="K70" s="1" t="e">
        <f t="array" ref="K70">SUM</f>
        <v>#NAME?</v>
      </c>
      <c r="L70" s="1" t="e">
        <f t="array" ref="L70">SUM</f>
        <v>#NAME?</v>
      </c>
      <c r="M70" s="1" t="e">
        <f t="array" ref="M70">SUM</f>
        <v>#NAME?</v>
      </c>
      <c r="N70" s="1" t="e">
        <f t="array" ref="N70">SUM</f>
        <v>#NAME?</v>
      </c>
      <c r="O70" t="s">
        <v>21</v>
      </c>
      <c r="P70">
        <v>2021</v>
      </c>
    </row>
    <row r="71" spans="1:16" x14ac:dyDescent="0.25">
      <c r="A71" t="s">
        <v>25</v>
      </c>
      <c r="B71" s="1" t="e">
        <f t="array" ref="B71">SUM</f>
        <v>#NAME?</v>
      </c>
      <c r="C71" s="1" t="e">
        <f t="array" ref="C71">SUM</f>
        <v>#NAME?</v>
      </c>
      <c r="D71" s="1" t="e">
        <f t="array" ref="D71">SUM</f>
        <v>#NAME?</v>
      </c>
      <c r="E71" s="1" t="e">
        <f t="array" ref="E71">SUM</f>
        <v>#NAME?</v>
      </c>
      <c r="F71" s="1" t="e">
        <f t="array" ref="F71">SUM</f>
        <v>#NAME?</v>
      </c>
      <c r="G71" s="1" t="e">
        <f t="array" ref="G71">SUM</f>
        <v>#NAME?</v>
      </c>
      <c r="H71" s="1" t="e">
        <f t="array" ref="H71">SUM</f>
        <v>#NAME?</v>
      </c>
      <c r="I71" s="1" t="e">
        <f t="array" ref="I71">SUM</f>
        <v>#NAME?</v>
      </c>
      <c r="J71" s="1" t="e">
        <f t="array" ref="J71">SUM</f>
        <v>#NAME?</v>
      </c>
      <c r="K71" s="1" t="e">
        <f t="array" ref="K71">SUM</f>
        <v>#NAME?</v>
      </c>
      <c r="L71" s="1" t="e">
        <f t="array" ref="L71">SUM</f>
        <v>#NAME?</v>
      </c>
      <c r="M71" s="1" t="e">
        <f t="array" ref="M71">SUM</f>
        <v>#NAME?</v>
      </c>
      <c r="N71" s="1" t="e">
        <f t="array" ref="N71">SUM</f>
        <v>#NAME?</v>
      </c>
      <c r="O71" t="s">
        <v>31</v>
      </c>
      <c r="P71">
        <v>2021</v>
      </c>
    </row>
    <row r="72" spans="1:16" x14ac:dyDescent="0.25">
      <c r="A72" t="s">
        <v>16</v>
      </c>
      <c r="B72" s="1" t="e">
        <f t="array" ref="B72">SUM</f>
        <v>#NAME?</v>
      </c>
      <c r="C72" s="1" t="e">
        <f t="array" ref="C72">SUM</f>
        <v>#NAME?</v>
      </c>
      <c r="D72" s="1" t="e">
        <f t="array" ref="D72">SUM</f>
        <v>#NAME?</v>
      </c>
      <c r="E72" s="1" t="e">
        <f t="array" ref="E72">SUM</f>
        <v>#NAME?</v>
      </c>
      <c r="F72" s="1" t="e">
        <f t="array" ref="F72">SUM</f>
        <v>#NAME?</v>
      </c>
      <c r="G72" s="1" t="e">
        <f t="array" ref="G72">SUM</f>
        <v>#NAME?</v>
      </c>
      <c r="H72" s="1" t="e">
        <f t="array" ref="H72">SUM</f>
        <v>#NAME?</v>
      </c>
      <c r="I72" s="1" t="e">
        <f t="array" ref="I72">SUM</f>
        <v>#NAME?</v>
      </c>
      <c r="J72" s="1" t="e">
        <f t="array" ref="J72">SUM</f>
        <v>#NAME?</v>
      </c>
      <c r="K72" s="1" t="e">
        <f t="array" ref="K72">SUM</f>
        <v>#NAME?</v>
      </c>
      <c r="L72" s="1" t="e">
        <f t="array" ref="L72">SUM</f>
        <v>#NAME?</v>
      </c>
      <c r="M72" s="1" t="e">
        <f t="array" ref="M72">SUM</f>
        <v>#NAME?</v>
      </c>
      <c r="N72" s="1" t="e">
        <f t="array" ref="N72">SUM</f>
        <v>#NAME?</v>
      </c>
      <c r="O72" t="s">
        <v>24</v>
      </c>
      <c r="P72">
        <v>2021</v>
      </c>
    </row>
    <row r="73" spans="1:16" x14ac:dyDescent="0.25">
      <c r="A73" t="s">
        <v>16</v>
      </c>
      <c r="B73" s="1" t="e">
        <f t="array" ref="B73">SUM</f>
        <v>#NAME?</v>
      </c>
      <c r="C73" s="1" t="e">
        <f t="array" ref="C73">SUM</f>
        <v>#NAME?</v>
      </c>
      <c r="D73" s="1" t="e">
        <f t="array" ref="D73">SUM</f>
        <v>#NAME?</v>
      </c>
      <c r="E73" s="1" t="e">
        <f t="array" ref="E73">SUM</f>
        <v>#NAME?</v>
      </c>
      <c r="F73" s="1" t="e">
        <f t="array" ref="F73">SUM</f>
        <v>#NAME?</v>
      </c>
      <c r="G73" s="1" t="e">
        <f t="array" ref="G73">SUM</f>
        <v>#NAME?</v>
      </c>
      <c r="H73" s="1" t="e">
        <f t="array" ref="H73">SUM</f>
        <v>#NAME?</v>
      </c>
      <c r="I73" s="1" t="e">
        <f t="array" ref="I73">SUM</f>
        <v>#NAME?</v>
      </c>
      <c r="J73" s="1" t="e">
        <f t="array" ref="J73">SUM</f>
        <v>#NAME?</v>
      </c>
      <c r="K73" s="1" t="e">
        <f t="array" ref="K73">SUM</f>
        <v>#NAME?</v>
      </c>
      <c r="L73" s="1" t="e">
        <f t="array" ref="L73">SUM</f>
        <v>#NAME?</v>
      </c>
      <c r="M73" s="1" t="e">
        <f t="array" ref="M73">SUM</f>
        <v>#NAME?</v>
      </c>
      <c r="N73" s="1" t="e">
        <f t="array" ref="N73">SUM</f>
        <v>#NAME?</v>
      </c>
      <c r="O73" t="s">
        <v>26</v>
      </c>
      <c r="P73">
        <v>2021</v>
      </c>
    </row>
    <row r="74" spans="1:16" x14ac:dyDescent="0.25">
      <c r="A74" t="s">
        <v>25</v>
      </c>
      <c r="B74" s="1" t="e">
        <f t="array" ref="B74">SUM</f>
        <v>#NAME?</v>
      </c>
      <c r="C74" s="1" t="e">
        <f t="array" ref="C74">SUM</f>
        <v>#NAME?</v>
      </c>
      <c r="D74" s="1" t="e">
        <f t="array" ref="D74">SUM</f>
        <v>#NAME?</v>
      </c>
      <c r="E74" s="1" t="e">
        <f t="array" ref="E74">SUM</f>
        <v>#NAME?</v>
      </c>
      <c r="F74" s="1" t="e">
        <f t="array" ref="F74">SUM</f>
        <v>#NAME?</v>
      </c>
      <c r="G74" s="1" t="e">
        <f t="array" ref="G74">SUM</f>
        <v>#NAME?</v>
      </c>
      <c r="H74" s="1" t="e">
        <f t="array" ref="H74">SUM</f>
        <v>#NAME?</v>
      </c>
      <c r="I74" s="1" t="e">
        <f t="array" ref="I74">SUM</f>
        <v>#NAME?</v>
      </c>
      <c r="J74" s="1" t="e">
        <f t="array" ref="J74">SUM</f>
        <v>#NAME?</v>
      </c>
      <c r="K74" s="1" t="e">
        <f t="array" ref="K74">SUM</f>
        <v>#NAME?</v>
      </c>
      <c r="L74" s="1" t="e">
        <f t="array" ref="L74">SUM</f>
        <v>#NAME?</v>
      </c>
      <c r="M74" s="1" t="e">
        <f t="array" ref="M74">SUM</f>
        <v>#NAME?</v>
      </c>
      <c r="N74" s="1" t="e">
        <f t="array" ref="N74">SUM</f>
        <v>#NAME?</v>
      </c>
      <c r="O74" t="s">
        <v>27</v>
      </c>
      <c r="P74">
        <v>2021</v>
      </c>
    </row>
    <row r="75" spans="1:16" x14ac:dyDescent="0.25">
      <c r="A75" t="s">
        <v>23</v>
      </c>
      <c r="B75" s="1" t="e">
        <f t="array" ref="B75">SUM</f>
        <v>#NAME?</v>
      </c>
      <c r="C75" s="1" t="e">
        <f t="array" ref="C75">SUM</f>
        <v>#NAME?</v>
      </c>
      <c r="D75" s="1" t="e">
        <f t="array" ref="D75">SUM</f>
        <v>#NAME?</v>
      </c>
      <c r="E75" s="1" t="e">
        <f t="array" ref="E75">SUM</f>
        <v>#NAME?</v>
      </c>
      <c r="F75" s="1" t="e">
        <f t="array" ref="F75">SUM</f>
        <v>#NAME?</v>
      </c>
      <c r="G75" s="1" t="e">
        <f t="array" ref="G75">SUM</f>
        <v>#NAME?</v>
      </c>
      <c r="H75" s="1" t="e">
        <f t="array" ref="H75">SUM</f>
        <v>#NAME?</v>
      </c>
      <c r="I75" s="1" t="e">
        <f t="array" ref="I75">SUM</f>
        <v>#NAME?</v>
      </c>
      <c r="J75" s="1" t="e">
        <f t="array" ref="J75">SUM</f>
        <v>#NAME?</v>
      </c>
      <c r="K75" s="1" t="e">
        <f t="array" ref="K75">SUM</f>
        <v>#NAME?</v>
      </c>
      <c r="L75" s="1" t="e">
        <f t="array" ref="L75">SUM</f>
        <v>#NAME?</v>
      </c>
      <c r="M75" s="1" t="e">
        <f t="array" ref="M75">SUM</f>
        <v>#NAME?</v>
      </c>
      <c r="N75" s="1" t="e">
        <f t="array" ref="N75">SUM</f>
        <v>#NAME?</v>
      </c>
      <c r="O75" t="s">
        <v>28</v>
      </c>
      <c r="P75">
        <v>2021</v>
      </c>
    </row>
    <row r="76" spans="1:16" x14ac:dyDescent="0.25">
      <c r="A76" t="s">
        <v>18</v>
      </c>
      <c r="B76" s="1" t="e">
        <f t="array" ref="B76">SUM</f>
        <v>#NAME?</v>
      </c>
      <c r="C76" s="1" t="e">
        <f t="array" ref="C76">SUM</f>
        <v>#NAME?</v>
      </c>
      <c r="D76" s="1" t="e">
        <f t="array" ref="D76">SUM</f>
        <v>#NAME?</v>
      </c>
      <c r="E76" s="1" t="e">
        <f t="array" ref="E76">SUM</f>
        <v>#NAME?</v>
      </c>
      <c r="F76" s="1" t="e">
        <f t="array" ref="F76">SUM</f>
        <v>#NAME?</v>
      </c>
      <c r="G76" s="1" t="e">
        <f t="array" ref="G76">SUM</f>
        <v>#NAME?</v>
      </c>
      <c r="H76" s="1" t="e">
        <f t="array" ref="H76">SUM</f>
        <v>#NAME?</v>
      </c>
      <c r="I76" s="1" t="e">
        <f t="array" ref="I76">SUM</f>
        <v>#NAME?</v>
      </c>
      <c r="J76" s="1" t="e">
        <f t="array" ref="J76">SUM</f>
        <v>#NAME?</v>
      </c>
      <c r="K76" s="1" t="e">
        <f t="array" ref="K76">SUM</f>
        <v>#NAME?</v>
      </c>
      <c r="L76" s="1" t="e">
        <f t="array" ref="L76">SUM</f>
        <v>#NAME?</v>
      </c>
      <c r="M76" s="1" t="e">
        <f t="array" ref="M76">SUM</f>
        <v>#NAME?</v>
      </c>
      <c r="N76" s="1" t="e">
        <f t="array" ref="N76">SUM</f>
        <v>#NAME?</v>
      </c>
      <c r="O76" t="s">
        <v>29</v>
      </c>
      <c r="P76">
        <v>2021</v>
      </c>
    </row>
    <row r="77" spans="1:16" x14ac:dyDescent="0.25">
      <c r="A77" t="s">
        <v>16</v>
      </c>
      <c r="B77" s="1" t="e">
        <f t="array" ref="B77">SUM</f>
        <v>#NAME?</v>
      </c>
      <c r="C77" s="1" t="e">
        <f t="array" ref="C77">SUM</f>
        <v>#NAME?</v>
      </c>
      <c r="D77" s="1" t="e">
        <f t="array" ref="D77">SUM</f>
        <v>#NAME?</v>
      </c>
      <c r="E77" s="1" t="e">
        <f t="array" ref="E77">SUM</f>
        <v>#NAME?</v>
      </c>
      <c r="F77" s="1" t="e">
        <f t="array" ref="F77">SUM</f>
        <v>#NAME?</v>
      </c>
      <c r="G77" s="1" t="e">
        <f t="array" ref="G77">SUM</f>
        <v>#NAME?</v>
      </c>
      <c r="H77" s="1" t="e">
        <f t="array" ref="H77">SUM</f>
        <v>#NAME?</v>
      </c>
      <c r="I77" s="1" t="e">
        <f t="array" ref="I77">SUM</f>
        <v>#NAME?</v>
      </c>
      <c r="J77" s="1" t="e">
        <f t="array" ref="J77">SUM</f>
        <v>#NAME?</v>
      </c>
      <c r="K77" s="1" t="e">
        <f t="array" ref="K77">SUM</f>
        <v>#NAME?</v>
      </c>
      <c r="L77" s="1" t="e">
        <f t="array" ref="L77">SUM</f>
        <v>#NAME?</v>
      </c>
      <c r="M77" s="1" t="e">
        <f t="array" ref="M77">SUM</f>
        <v>#NAME?</v>
      </c>
      <c r="N77" s="1" t="e">
        <f t="array" ref="N77">SUM</f>
        <v>#NAME?</v>
      </c>
      <c r="O77" t="s">
        <v>31</v>
      </c>
      <c r="P77">
        <v>2021</v>
      </c>
    </row>
    <row r="78" spans="1:16" x14ac:dyDescent="0.25">
      <c r="A78" t="s">
        <v>23</v>
      </c>
      <c r="B78" s="1" t="e">
        <f t="array" ref="B78">SUM</f>
        <v>#NAME?</v>
      </c>
      <c r="C78" s="1" t="e">
        <f t="array" ref="C78">SUM</f>
        <v>#NAME?</v>
      </c>
      <c r="D78" s="1" t="e">
        <f t="array" ref="D78">SUM</f>
        <v>#NAME?</v>
      </c>
      <c r="E78" s="1" t="e">
        <f t="array" ref="E78">SUM</f>
        <v>#NAME?</v>
      </c>
      <c r="F78" s="1" t="e">
        <f t="array" ref="F78">SUM</f>
        <v>#NAME?</v>
      </c>
      <c r="G78" s="1" t="e">
        <f t="array" ref="G78">SUM</f>
        <v>#NAME?</v>
      </c>
      <c r="H78" s="1" t="e">
        <f t="array" ref="H78">SUM</f>
        <v>#NAME?</v>
      </c>
      <c r="I78" s="1" t="e">
        <f t="array" ref="I78">SUM</f>
        <v>#NAME?</v>
      </c>
      <c r="J78" s="1" t="e">
        <f t="array" ref="J78">SUM</f>
        <v>#NAME?</v>
      </c>
      <c r="K78" s="1" t="e">
        <f t="array" ref="K78">SUM</f>
        <v>#NAME?</v>
      </c>
      <c r="L78" s="1" t="e">
        <f t="array" ref="L78">SUM</f>
        <v>#NAME?</v>
      </c>
      <c r="M78" s="1" t="e">
        <f t="array" ref="M78">SUM</f>
        <v>#NAME?</v>
      </c>
      <c r="N78" s="1" t="e">
        <f t="array" ref="N78">SUM</f>
        <v>#NAME?</v>
      </c>
      <c r="O78" t="s">
        <v>19</v>
      </c>
      <c r="P78">
        <v>2021</v>
      </c>
    </row>
    <row r="79" spans="1:16" x14ac:dyDescent="0.25">
      <c r="A79" t="s">
        <v>23</v>
      </c>
      <c r="B79" s="1" t="e">
        <f t="array" ref="B79">SUM</f>
        <v>#NAME?</v>
      </c>
      <c r="C79" s="1" t="e">
        <f t="array" ref="C79">SUM</f>
        <v>#NAME?</v>
      </c>
      <c r="D79" s="1" t="e">
        <f t="array" ref="D79">SUM</f>
        <v>#NAME?</v>
      </c>
      <c r="E79" s="1" t="e">
        <f t="array" ref="E79">SUM</f>
        <v>#NAME?</v>
      </c>
      <c r="F79" s="1" t="e">
        <f t="array" ref="F79">SUM</f>
        <v>#NAME?</v>
      </c>
      <c r="G79" s="1" t="e">
        <f t="array" ref="G79">SUM</f>
        <v>#NAME?</v>
      </c>
      <c r="H79" s="1" t="e">
        <f t="array" ref="H79">SUM</f>
        <v>#NAME?</v>
      </c>
      <c r="I79" s="1" t="e">
        <f t="array" ref="I79">SUM</f>
        <v>#NAME?</v>
      </c>
      <c r="J79" s="1" t="e">
        <f t="array" ref="J79">SUM</f>
        <v>#NAME?</v>
      </c>
      <c r="K79" s="1" t="e">
        <f t="array" ref="K79">SUM</f>
        <v>#NAME?</v>
      </c>
      <c r="L79" s="1" t="e">
        <f t="array" ref="L79">SUM</f>
        <v>#NAME?</v>
      </c>
      <c r="M79" s="1" t="e">
        <f t="array" ref="M79">SUM</f>
        <v>#NAME?</v>
      </c>
      <c r="N79" s="1" t="e">
        <f t="array" ref="N79">SUM</f>
        <v>#NAME?</v>
      </c>
      <c r="O79" t="s">
        <v>19</v>
      </c>
      <c r="P79">
        <v>2021</v>
      </c>
    </row>
    <row r="80" spans="1:16" x14ac:dyDescent="0.25">
      <c r="A80" t="s">
        <v>23</v>
      </c>
      <c r="B80" s="1" t="e">
        <f t="array" ref="B80">SUM</f>
        <v>#NAME?</v>
      </c>
      <c r="C80" s="1" t="e">
        <f t="array" ref="C80">SUM</f>
        <v>#NAME?</v>
      </c>
      <c r="D80" s="1" t="e">
        <f t="array" ref="D80">SUM</f>
        <v>#NAME?</v>
      </c>
      <c r="E80" s="1" t="e">
        <f t="array" ref="E80">SUM</f>
        <v>#NAME?</v>
      </c>
      <c r="F80" s="1" t="e">
        <f t="array" ref="F80">SUM</f>
        <v>#NAME?</v>
      </c>
      <c r="G80" s="1" t="e">
        <f t="array" ref="G80">SUM</f>
        <v>#NAME?</v>
      </c>
      <c r="H80" s="1" t="e">
        <f t="array" ref="H80">SUM</f>
        <v>#NAME?</v>
      </c>
      <c r="I80" s="1" t="e">
        <f t="array" ref="I80">SUM</f>
        <v>#NAME?</v>
      </c>
      <c r="J80" s="1" t="e">
        <f t="array" ref="J80">SUM</f>
        <v>#NAME?</v>
      </c>
      <c r="K80" s="1" t="e">
        <f t="array" ref="K80">SUM</f>
        <v>#NAME?</v>
      </c>
      <c r="L80" s="1" t="e">
        <f t="array" ref="L80">SUM</f>
        <v>#NAME?</v>
      </c>
      <c r="M80" s="1" t="e">
        <f t="array" ref="M80">SUM</f>
        <v>#NAME?</v>
      </c>
      <c r="N80" s="1" t="e">
        <f t="array" ref="N80">SUM</f>
        <v>#NAME?</v>
      </c>
      <c r="O80" t="s">
        <v>24</v>
      </c>
      <c r="P80">
        <v>2021</v>
      </c>
    </row>
    <row r="81" spans="1:16" x14ac:dyDescent="0.25">
      <c r="A81" t="s">
        <v>18</v>
      </c>
      <c r="B81" s="1" t="e">
        <f t="array" ref="B81">SUM</f>
        <v>#NAME?</v>
      </c>
      <c r="C81" s="1" t="e">
        <f t="array" ref="C81">SUM</f>
        <v>#NAME?</v>
      </c>
      <c r="D81" s="1" t="e">
        <f t="array" ref="D81">SUM</f>
        <v>#NAME?</v>
      </c>
      <c r="E81" s="1" t="e">
        <f t="array" ref="E81">SUM</f>
        <v>#NAME?</v>
      </c>
      <c r="F81" s="1" t="e">
        <f t="array" ref="F81">SUM</f>
        <v>#NAME?</v>
      </c>
      <c r="G81" s="1" t="e">
        <f t="array" ref="G81">SUM</f>
        <v>#NAME?</v>
      </c>
      <c r="H81" s="1" t="e">
        <f t="array" ref="H81">SUM</f>
        <v>#NAME?</v>
      </c>
      <c r="I81" s="1" t="e">
        <f t="array" ref="I81">SUM</f>
        <v>#NAME?</v>
      </c>
      <c r="J81" s="1" t="e">
        <f t="array" ref="J81">SUM</f>
        <v>#NAME?</v>
      </c>
      <c r="K81" s="1" t="e">
        <f t="array" ref="K81">SUM</f>
        <v>#NAME?</v>
      </c>
      <c r="L81" s="1" t="e">
        <f t="array" ref="L81">SUM</f>
        <v>#NAME?</v>
      </c>
      <c r="M81" s="1" t="e">
        <f t="array" ref="M81">SUM</f>
        <v>#NAME?</v>
      </c>
      <c r="N81" s="1" t="e">
        <f t="array" ref="N81">SUM</f>
        <v>#NAME?</v>
      </c>
      <c r="O81" t="s">
        <v>27</v>
      </c>
      <c r="P81">
        <v>2021</v>
      </c>
    </row>
    <row r="82" spans="1:16" x14ac:dyDescent="0.25">
      <c r="A82" t="s">
        <v>22</v>
      </c>
      <c r="B82" s="1" t="e">
        <f t="array" ref="B82">SUM</f>
        <v>#NAME?</v>
      </c>
      <c r="C82" s="1" t="e">
        <f t="array" ref="C82">SUM</f>
        <v>#NAME?</v>
      </c>
      <c r="D82" s="1" t="e">
        <f t="array" ref="D82">SUM</f>
        <v>#NAME?</v>
      </c>
      <c r="E82" s="1" t="e">
        <f t="array" ref="E82">SUM</f>
        <v>#NAME?</v>
      </c>
      <c r="F82" s="1" t="e">
        <f t="array" ref="F82">SUM</f>
        <v>#NAME?</v>
      </c>
      <c r="G82" s="1" t="e">
        <f t="array" ref="G82">SUM</f>
        <v>#NAME?</v>
      </c>
      <c r="H82" s="1" t="e">
        <f t="array" ref="H82">SUM</f>
        <v>#NAME?</v>
      </c>
      <c r="I82" s="1" t="e">
        <f t="array" ref="I82">SUM</f>
        <v>#NAME?</v>
      </c>
      <c r="J82" s="1" t="e">
        <f t="array" ref="J82">SUM</f>
        <v>#NAME?</v>
      </c>
      <c r="K82" s="1" t="e">
        <f t="array" ref="K82">SUM</f>
        <v>#NAME?</v>
      </c>
      <c r="L82" s="1" t="e">
        <f t="array" ref="L82">SUM</f>
        <v>#NAME?</v>
      </c>
      <c r="M82" s="1" t="e">
        <f t="array" ref="M82">SUM</f>
        <v>#NAME?</v>
      </c>
      <c r="N82" s="1" t="e">
        <f t="array" ref="N82">SUM</f>
        <v>#NAME?</v>
      </c>
      <c r="O82" t="s">
        <v>28</v>
      </c>
      <c r="P82">
        <v>2021</v>
      </c>
    </row>
    <row r="83" spans="1:16" x14ac:dyDescent="0.25">
      <c r="A83" t="s">
        <v>25</v>
      </c>
      <c r="B83" s="1" t="e">
        <f t="array" ref="B83">SUM</f>
        <v>#NAME?</v>
      </c>
      <c r="C83" s="1" t="e">
        <f t="array" ref="C83">SUM</f>
        <v>#NAME?</v>
      </c>
      <c r="D83" s="1" t="e">
        <f t="array" ref="D83">SUM</f>
        <v>#NAME?</v>
      </c>
      <c r="E83" s="1" t="e">
        <f t="array" ref="E83">SUM</f>
        <v>#NAME?</v>
      </c>
      <c r="F83" s="1" t="e">
        <f t="array" ref="F83">SUM</f>
        <v>#NAME?</v>
      </c>
      <c r="G83" s="1" t="e">
        <f t="array" ref="G83">SUM</f>
        <v>#NAME?</v>
      </c>
      <c r="H83" s="1" t="e">
        <f t="array" ref="H83">SUM</f>
        <v>#NAME?</v>
      </c>
      <c r="I83" s="1" t="e">
        <f t="array" ref="I83">SUM</f>
        <v>#NAME?</v>
      </c>
      <c r="J83" s="1" t="e">
        <f t="array" ref="J83">SUM</f>
        <v>#NAME?</v>
      </c>
      <c r="K83" s="1" t="e">
        <f t="array" ref="K83">SUM</f>
        <v>#NAME?</v>
      </c>
      <c r="L83" s="1" t="e">
        <f t="array" ref="L83">SUM</f>
        <v>#NAME?</v>
      </c>
      <c r="M83" s="1" t="e">
        <f t="array" ref="M83">SUM</f>
        <v>#NAME?</v>
      </c>
      <c r="N83" s="1" t="e">
        <f t="array" ref="N83">SUM</f>
        <v>#NAME?</v>
      </c>
      <c r="O83" t="s">
        <v>30</v>
      </c>
      <c r="P83">
        <v>2021</v>
      </c>
    </row>
    <row r="84" spans="1:16" x14ac:dyDescent="0.25">
      <c r="A84" t="s">
        <v>16</v>
      </c>
      <c r="B84" s="1" t="e">
        <f t="array" ref="B84">SUM</f>
        <v>#NAME?</v>
      </c>
      <c r="C84" s="1" t="e">
        <f t="array" ref="C84">SUM</f>
        <v>#NAME?</v>
      </c>
      <c r="D84" s="1" t="e">
        <f t="array" ref="D84">SUM</f>
        <v>#NAME?</v>
      </c>
      <c r="E84" s="1" t="e">
        <f t="array" ref="E84">SUM</f>
        <v>#NAME?</v>
      </c>
      <c r="F84" s="1" t="e">
        <f t="array" ref="F84">SUM</f>
        <v>#NAME?</v>
      </c>
      <c r="G84" s="1" t="e">
        <f t="array" ref="G84">SUM</f>
        <v>#NAME?</v>
      </c>
      <c r="H84" s="1" t="e">
        <f t="array" ref="H84">SUM</f>
        <v>#NAME?</v>
      </c>
      <c r="I84" s="1" t="e">
        <f t="array" ref="I84">SUM</f>
        <v>#NAME?</v>
      </c>
      <c r="J84" s="1" t="e">
        <f t="array" ref="J84">SUM</f>
        <v>#NAME?</v>
      </c>
      <c r="K84" s="1" t="e">
        <f t="array" ref="K84">SUM</f>
        <v>#NAME?</v>
      </c>
      <c r="L84" s="1" t="e">
        <f t="array" ref="L84">SUM</f>
        <v>#NAME?</v>
      </c>
      <c r="M84" s="1" t="e">
        <f t="array" ref="M84">SUM</f>
        <v>#NAME?</v>
      </c>
      <c r="N84" s="1" t="e">
        <f t="array" ref="N84">SUM</f>
        <v>#NAME?</v>
      </c>
      <c r="O84" t="s">
        <v>20</v>
      </c>
      <c r="P84">
        <v>2021</v>
      </c>
    </row>
    <row r="85" spans="1:16" x14ac:dyDescent="0.25">
      <c r="A85" t="s">
        <v>16</v>
      </c>
      <c r="B85" s="1" t="e">
        <f t="array" ref="B85">SUM</f>
        <v>#NAME?</v>
      </c>
      <c r="C85" s="1" t="e">
        <f t="array" ref="C85">SUM</f>
        <v>#NAME?</v>
      </c>
      <c r="D85" s="1" t="e">
        <f t="array" ref="D85">SUM</f>
        <v>#NAME?</v>
      </c>
      <c r="E85" s="1" t="e">
        <f t="array" ref="E85">SUM</f>
        <v>#NAME?</v>
      </c>
      <c r="F85" s="1" t="e">
        <f t="array" ref="F85">SUM</f>
        <v>#NAME?</v>
      </c>
      <c r="G85" s="1" t="e">
        <f t="array" ref="G85">SUM</f>
        <v>#NAME?</v>
      </c>
      <c r="H85" s="1" t="e">
        <f t="array" ref="H85">SUM</f>
        <v>#NAME?</v>
      </c>
      <c r="I85" s="1" t="e">
        <f t="array" ref="I85">SUM</f>
        <v>#NAME?</v>
      </c>
      <c r="J85" s="1" t="e">
        <f t="array" ref="J85">SUM</f>
        <v>#NAME?</v>
      </c>
      <c r="K85" s="1" t="e">
        <f t="array" ref="K85">SUM</f>
        <v>#NAME?</v>
      </c>
      <c r="L85" s="1" t="e">
        <f t="array" ref="L85">SUM</f>
        <v>#NAME?</v>
      </c>
      <c r="M85" s="1" t="e">
        <f t="array" ref="M85">SUM</f>
        <v>#NAME?</v>
      </c>
      <c r="N85" s="1" t="e">
        <f t="array" ref="N85">SUM</f>
        <v>#NAME?</v>
      </c>
      <c r="O85" t="s">
        <v>31</v>
      </c>
      <c r="P85">
        <v>2021</v>
      </c>
    </row>
    <row r="86" spans="1:16" x14ac:dyDescent="0.25">
      <c r="A86" t="s">
        <v>16</v>
      </c>
      <c r="B86" s="1" t="e">
        <f t="array" ref="B86">SUM</f>
        <v>#NAME?</v>
      </c>
      <c r="C86" s="1" t="e">
        <f t="array" ref="C86">SUM</f>
        <v>#NAME?</v>
      </c>
      <c r="D86" s="1" t="e">
        <f t="array" ref="D86">SUM</f>
        <v>#NAME?</v>
      </c>
      <c r="E86" s="1" t="e">
        <f t="array" ref="E86">SUM</f>
        <v>#NAME?</v>
      </c>
      <c r="F86" s="1" t="e">
        <f t="array" ref="F86">SUM</f>
        <v>#NAME?</v>
      </c>
      <c r="G86" s="1" t="e">
        <f t="array" ref="G86">SUM</f>
        <v>#NAME?</v>
      </c>
      <c r="H86" s="1" t="e">
        <f t="array" ref="H86">SUM</f>
        <v>#NAME?</v>
      </c>
      <c r="I86" s="1" t="e">
        <f t="array" ref="I86">SUM</f>
        <v>#NAME?</v>
      </c>
      <c r="J86" s="1" t="e">
        <f t="array" ref="J86">SUM</f>
        <v>#NAME?</v>
      </c>
      <c r="K86" s="1" t="e">
        <f t="array" ref="K86">SUM</f>
        <v>#NAME?</v>
      </c>
      <c r="L86" s="1" t="e">
        <f t="array" ref="L86">SUM</f>
        <v>#NAME?</v>
      </c>
      <c r="M86" s="1" t="e">
        <f t="array" ref="M86">SUM</f>
        <v>#NAME?</v>
      </c>
      <c r="N86" s="1" t="e">
        <f t="array" ref="N86">SUM</f>
        <v>#NAME?</v>
      </c>
      <c r="O86" t="s">
        <v>32</v>
      </c>
      <c r="P86">
        <v>2021</v>
      </c>
    </row>
    <row r="87" spans="1:16" x14ac:dyDescent="0.25">
      <c r="A87" t="s">
        <v>23</v>
      </c>
      <c r="B87" s="1" t="e">
        <f t="array" ref="B87">SUM</f>
        <v>#NAME?</v>
      </c>
      <c r="C87" s="1" t="e">
        <f t="array" ref="C87">SUM</f>
        <v>#NAME?</v>
      </c>
      <c r="D87" s="1" t="e">
        <f t="array" ref="D87">SUM</f>
        <v>#NAME?</v>
      </c>
      <c r="E87" s="1" t="e">
        <f t="array" ref="E87">SUM</f>
        <v>#NAME?</v>
      </c>
      <c r="F87" s="1" t="e">
        <f t="array" ref="F87">SUM</f>
        <v>#NAME?</v>
      </c>
      <c r="G87" s="1" t="e">
        <f t="array" ref="G87">SUM</f>
        <v>#NAME?</v>
      </c>
      <c r="H87" s="1" t="e">
        <f t="array" ref="H87">SUM</f>
        <v>#NAME?</v>
      </c>
      <c r="I87" s="1" t="e">
        <f t="array" ref="I87">SUM</f>
        <v>#NAME?</v>
      </c>
      <c r="J87" s="1" t="e">
        <f t="array" ref="J87">SUM</f>
        <v>#NAME?</v>
      </c>
      <c r="K87" s="1" t="e">
        <f t="array" ref="K87">SUM</f>
        <v>#NAME?</v>
      </c>
      <c r="L87" s="1" t="e">
        <f t="array" ref="L87">SUM</f>
        <v>#NAME?</v>
      </c>
      <c r="M87" s="1" t="e">
        <f t="array" ref="M87">SUM</f>
        <v>#NAME?</v>
      </c>
      <c r="N87" s="1" t="e">
        <f t="array" ref="N87">SUM</f>
        <v>#NAME?</v>
      </c>
      <c r="O87" t="s">
        <v>26</v>
      </c>
      <c r="P87">
        <v>2021</v>
      </c>
    </row>
    <row r="88" spans="1:16" x14ac:dyDescent="0.25">
      <c r="A88" t="s">
        <v>23</v>
      </c>
      <c r="B88" s="1" t="e">
        <f t="array" ref="B88">SUM</f>
        <v>#NAME?</v>
      </c>
      <c r="C88" s="1" t="e">
        <f t="array" ref="C88">SUM</f>
        <v>#NAME?</v>
      </c>
      <c r="D88" s="1" t="e">
        <f t="array" ref="D88">SUM</f>
        <v>#NAME?</v>
      </c>
      <c r="E88" s="1" t="e">
        <f t="array" ref="E88">SUM</f>
        <v>#NAME?</v>
      </c>
      <c r="F88" s="1" t="e">
        <f t="array" ref="F88">SUM</f>
        <v>#NAME?</v>
      </c>
      <c r="G88" s="1" t="e">
        <f t="array" ref="G88">SUM</f>
        <v>#NAME?</v>
      </c>
      <c r="H88" s="1" t="e">
        <f t="array" ref="H88">SUM</f>
        <v>#NAME?</v>
      </c>
      <c r="I88" s="1" t="e">
        <f t="array" ref="I88">SUM</f>
        <v>#NAME?</v>
      </c>
      <c r="J88" s="1" t="e">
        <f t="array" ref="J88">SUM</f>
        <v>#NAME?</v>
      </c>
      <c r="K88" s="1" t="e">
        <f t="array" ref="K88">SUM</f>
        <v>#NAME?</v>
      </c>
      <c r="L88" s="1" t="e">
        <f t="array" ref="L88">SUM</f>
        <v>#NAME?</v>
      </c>
      <c r="M88" s="1" t="e">
        <f t="array" ref="M88">SUM</f>
        <v>#NAME?</v>
      </c>
      <c r="N88" s="1" t="e">
        <f t="array" ref="N88">SUM</f>
        <v>#NAME?</v>
      </c>
      <c r="O88" t="s">
        <v>28</v>
      </c>
      <c r="P88">
        <v>2021</v>
      </c>
    </row>
    <row r="89" spans="1:16" x14ac:dyDescent="0.25">
      <c r="A89" t="s">
        <v>16</v>
      </c>
      <c r="B89" s="1" t="e">
        <f t="array" ref="B89">SUM</f>
        <v>#NAME?</v>
      </c>
      <c r="C89" s="1" t="e">
        <f t="array" ref="C89">SUM</f>
        <v>#NAME?</v>
      </c>
      <c r="D89" s="1" t="e">
        <f t="array" ref="D89">SUM</f>
        <v>#NAME?</v>
      </c>
      <c r="E89" s="1" t="e">
        <f t="array" ref="E89">SUM</f>
        <v>#NAME?</v>
      </c>
      <c r="F89" s="1" t="e">
        <f t="array" ref="F89">SUM</f>
        <v>#NAME?</v>
      </c>
      <c r="G89" s="1" t="e">
        <f t="array" ref="G89">SUM</f>
        <v>#NAME?</v>
      </c>
      <c r="H89" s="1" t="e">
        <f t="array" ref="H89">SUM</f>
        <v>#NAME?</v>
      </c>
      <c r="I89" s="1" t="e">
        <f t="array" ref="I89">SUM</f>
        <v>#NAME?</v>
      </c>
      <c r="J89" s="1" t="e">
        <f t="array" ref="J89">SUM</f>
        <v>#NAME?</v>
      </c>
      <c r="K89" s="1" t="e">
        <f t="array" ref="K89">SUM</f>
        <v>#NAME?</v>
      </c>
      <c r="L89" s="1" t="e">
        <f t="array" ref="L89">SUM</f>
        <v>#NAME?</v>
      </c>
      <c r="M89" s="1" t="e">
        <f t="array" ref="M89">SUM</f>
        <v>#NAME?</v>
      </c>
      <c r="N89" s="1" t="e">
        <f t="array" ref="N89">SUM</f>
        <v>#NAME?</v>
      </c>
      <c r="O89" t="s">
        <v>30</v>
      </c>
      <c r="P89">
        <v>2021</v>
      </c>
    </row>
    <row r="90" spans="1:16" x14ac:dyDescent="0.25">
      <c r="A90" t="s">
        <v>16</v>
      </c>
      <c r="B90" s="1" t="e">
        <f t="array" ref="B90">SUM</f>
        <v>#NAME?</v>
      </c>
      <c r="C90" s="1" t="e">
        <f t="array" ref="C90">SUM</f>
        <v>#NAME?</v>
      </c>
      <c r="D90" s="1" t="e">
        <f t="array" ref="D90">SUM</f>
        <v>#NAME?</v>
      </c>
      <c r="E90" s="1" t="e">
        <f t="array" ref="E90">SUM</f>
        <v>#NAME?</v>
      </c>
      <c r="F90" s="1" t="e">
        <f t="array" ref="F90">SUM</f>
        <v>#NAME?</v>
      </c>
      <c r="G90" s="1" t="e">
        <f t="array" ref="G90">SUM</f>
        <v>#NAME?</v>
      </c>
      <c r="H90" s="1" t="e">
        <f t="array" ref="H90">SUM</f>
        <v>#NAME?</v>
      </c>
      <c r="I90" s="1" t="e">
        <f t="array" ref="I90">SUM</f>
        <v>#NAME?</v>
      </c>
      <c r="J90" s="1" t="e">
        <f t="array" ref="J90">SUM</f>
        <v>#NAME?</v>
      </c>
      <c r="K90" s="1" t="e">
        <f t="array" ref="K90">SUM</f>
        <v>#NAME?</v>
      </c>
      <c r="L90" s="1" t="e">
        <f t="array" ref="L90">SUM</f>
        <v>#NAME?</v>
      </c>
      <c r="M90" s="1" t="e">
        <f t="array" ref="M90">SUM</f>
        <v>#NAME?</v>
      </c>
      <c r="N90" s="1" t="e">
        <f t="array" ref="N90">SUM</f>
        <v>#NAME?</v>
      </c>
      <c r="O90" t="s">
        <v>21</v>
      </c>
      <c r="P90">
        <v>2021</v>
      </c>
    </row>
    <row r="91" spans="1:16" x14ac:dyDescent="0.25">
      <c r="A91" t="s">
        <v>16</v>
      </c>
      <c r="B91" s="1" t="e">
        <f t="array" ref="B91">SUM</f>
        <v>#NAME?</v>
      </c>
      <c r="C91" s="1" t="e">
        <f t="array" ref="C91">SUM</f>
        <v>#NAME?</v>
      </c>
      <c r="D91" s="1" t="e">
        <f t="array" ref="D91">SUM</f>
        <v>#NAME?</v>
      </c>
      <c r="E91" s="1" t="e">
        <f t="array" ref="E91">SUM</f>
        <v>#NAME?</v>
      </c>
      <c r="F91" s="1" t="e">
        <f t="array" ref="F91">SUM</f>
        <v>#NAME?</v>
      </c>
      <c r="G91" s="1" t="e">
        <f t="array" ref="G91">SUM</f>
        <v>#NAME?</v>
      </c>
      <c r="H91" s="1" t="e">
        <f t="array" ref="H91">SUM</f>
        <v>#NAME?</v>
      </c>
      <c r="I91" s="1" t="e">
        <f t="array" ref="I91">SUM</f>
        <v>#NAME?</v>
      </c>
      <c r="J91" s="1" t="e">
        <f t="array" ref="J91">SUM</f>
        <v>#NAME?</v>
      </c>
      <c r="K91" s="1" t="e">
        <f t="array" ref="K91">SUM</f>
        <v>#NAME?</v>
      </c>
      <c r="L91" s="1" t="e">
        <f t="array" ref="L91">SUM</f>
        <v>#NAME?</v>
      </c>
      <c r="M91" s="1" t="e">
        <f t="array" ref="M91">SUM</f>
        <v>#NAME?</v>
      </c>
      <c r="N91" s="1" t="e">
        <f t="array" ref="N91">SUM</f>
        <v>#NAME?</v>
      </c>
      <c r="O91" t="s">
        <v>31</v>
      </c>
      <c r="P91">
        <v>2021</v>
      </c>
    </row>
    <row r="92" spans="1:16" x14ac:dyDescent="0.25">
      <c r="A92" t="s">
        <v>23</v>
      </c>
      <c r="B92" s="1" t="e">
        <f t="array" ref="B92">SUM</f>
        <v>#NAME?</v>
      </c>
      <c r="C92" s="1" t="e">
        <f t="array" ref="C92">SUM</f>
        <v>#NAME?</v>
      </c>
      <c r="D92" s="1" t="e">
        <f t="array" ref="D92">SUM</f>
        <v>#NAME?</v>
      </c>
      <c r="E92" s="1" t="e">
        <f t="array" ref="E92">SUM</f>
        <v>#NAME?</v>
      </c>
      <c r="F92" s="1" t="e">
        <f t="array" ref="F92">SUM</f>
        <v>#NAME?</v>
      </c>
      <c r="G92" s="1" t="e">
        <f t="array" ref="G92">SUM</f>
        <v>#NAME?</v>
      </c>
      <c r="H92" s="1" t="e">
        <f t="array" ref="H92">SUM</f>
        <v>#NAME?</v>
      </c>
      <c r="I92" s="1" t="e">
        <f t="array" ref="I92">SUM</f>
        <v>#NAME?</v>
      </c>
      <c r="J92" s="1" t="e">
        <f t="array" ref="J92">SUM</f>
        <v>#NAME?</v>
      </c>
      <c r="K92" s="1" t="e">
        <f t="array" ref="K92">SUM</f>
        <v>#NAME?</v>
      </c>
      <c r="L92" s="1" t="e">
        <f t="array" ref="L92">SUM</f>
        <v>#NAME?</v>
      </c>
      <c r="M92" s="1" t="e">
        <f t="array" ref="M92">SUM</f>
        <v>#NAME?</v>
      </c>
      <c r="N92" s="1" t="e">
        <f t="array" ref="N92">SUM</f>
        <v>#NAME?</v>
      </c>
      <c r="O92" t="s">
        <v>19</v>
      </c>
      <c r="P92">
        <v>2021</v>
      </c>
    </row>
    <row r="93" spans="1:16" x14ac:dyDescent="0.25">
      <c r="A93" t="s">
        <v>23</v>
      </c>
      <c r="B93" s="1" t="e">
        <f t="array" ref="B93">SUM</f>
        <v>#NAME?</v>
      </c>
      <c r="C93" s="1" t="e">
        <f t="array" ref="C93">SUM</f>
        <v>#NAME?</v>
      </c>
      <c r="D93" s="1" t="e">
        <f t="array" ref="D93">SUM</f>
        <v>#NAME?</v>
      </c>
      <c r="E93" s="1" t="e">
        <f t="array" ref="E93">SUM</f>
        <v>#NAME?</v>
      </c>
      <c r="F93" s="1" t="e">
        <f t="array" ref="F93">SUM</f>
        <v>#NAME?</v>
      </c>
      <c r="G93" s="1" t="e">
        <f t="array" ref="G93">SUM</f>
        <v>#NAME?</v>
      </c>
      <c r="H93" s="1" t="e">
        <f t="array" ref="H93">SUM</f>
        <v>#NAME?</v>
      </c>
      <c r="I93" s="1" t="e">
        <f t="array" ref="I93">SUM</f>
        <v>#NAME?</v>
      </c>
      <c r="J93" s="1" t="e">
        <f t="array" ref="J93">SUM</f>
        <v>#NAME?</v>
      </c>
      <c r="K93" s="1" t="e">
        <f t="array" ref="K93">SUM</f>
        <v>#NAME?</v>
      </c>
      <c r="L93" s="1" t="e">
        <f t="array" ref="L93">SUM</f>
        <v>#NAME?</v>
      </c>
      <c r="M93" s="1" t="e">
        <f t="array" ref="M93">SUM</f>
        <v>#NAME?</v>
      </c>
      <c r="N93" s="1" t="e">
        <f t="array" ref="N93">SUM</f>
        <v>#NAME?</v>
      </c>
      <c r="O93" t="s">
        <v>19</v>
      </c>
      <c r="P93">
        <v>2021</v>
      </c>
    </row>
    <row r="94" spans="1:16" x14ac:dyDescent="0.25">
      <c r="A94" t="s">
        <v>25</v>
      </c>
      <c r="B94" s="1" t="e">
        <f t="array" ref="B94">SUM</f>
        <v>#NAME?</v>
      </c>
      <c r="C94" s="1" t="e">
        <f t="array" ref="C94">SUM</f>
        <v>#NAME?</v>
      </c>
      <c r="D94" s="1" t="e">
        <f t="array" ref="D94">SUM</f>
        <v>#NAME?</v>
      </c>
      <c r="E94" s="1" t="e">
        <f t="array" ref="E94">SUM</f>
        <v>#NAME?</v>
      </c>
      <c r="F94" s="1" t="e">
        <f t="array" ref="F94">SUM</f>
        <v>#NAME?</v>
      </c>
      <c r="G94" s="1" t="e">
        <f t="array" ref="G94">SUM</f>
        <v>#NAME?</v>
      </c>
      <c r="H94" s="1" t="e">
        <f t="array" ref="H94">SUM</f>
        <v>#NAME?</v>
      </c>
      <c r="I94" s="1" t="e">
        <f t="array" ref="I94">SUM</f>
        <v>#NAME?</v>
      </c>
      <c r="J94" s="1" t="e">
        <f t="array" ref="J94">SUM</f>
        <v>#NAME?</v>
      </c>
      <c r="K94" s="1" t="e">
        <f t="array" ref="K94">SUM</f>
        <v>#NAME?</v>
      </c>
      <c r="L94" s="1" t="e">
        <f t="array" ref="L94">SUM</f>
        <v>#NAME?</v>
      </c>
      <c r="M94" s="1" t="e">
        <f t="array" ref="M94">SUM</f>
        <v>#NAME?</v>
      </c>
      <c r="N94" s="1" t="e">
        <f t="array" ref="N94">SUM</f>
        <v>#NAME?</v>
      </c>
      <c r="O94" t="s">
        <v>27</v>
      </c>
      <c r="P94">
        <v>2021</v>
      </c>
    </row>
    <row r="95" spans="1:16" x14ac:dyDescent="0.25">
      <c r="A95" t="s">
        <v>25</v>
      </c>
      <c r="B95" s="1" t="e">
        <f t="array" ref="B95">SUM</f>
        <v>#NAME?</v>
      </c>
      <c r="C95" s="1" t="e">
        <f t="array" ref="C95">SUM</f>
        <v>#NAME?</v>
      </c>
      <c r="D95" s="1" t="e">
        <f t="array" ref="D95">SUM</f>
        <v>#NAME?</v>
      </c>
      <c r="E95" s="1" t="e">
        <f t="array" ref="E95">SUM</f>
        <v>#NAME?</v>
      </c>
      <c r="F95" s="1" t="e">
        <f t="array" ref="F95">SUM</f>
        <v>#NAME?</v>
      </c>
      <c r="G95" s="1" t="e">
        <f t="array" ref="G95">SUM</f>
        <v>#NAME?</v>
      </c>
      <c r="H95" s="1" t="e">
        <f t="array" ref="H95">SUM</f>
        <v>#NAME?</v>
      </c>
      <c r="I95" s="1" t="e">
        <f t="array" ref="I95">SUM</f>
        <v>#NAME?</v>
      </c>
      <c r="J95" s="1" t="e">
        <f t="array" ref="J95">SUM</f>
        <v>#NAME?</v>
      </c>
      <c r="K95" s="1" t="e">
        <f t="array" ref="K95">SUM</f>
        <v>#NAME?</v>
      </c>
      <c r="L95" s="1" t="e">
        <f t="array" ref="L95">SUM</f>
        <v>#NAME?</v>
      </c>
      <c r="M95" s="1" t="e">
        <f t="array" ref="M95">SUM</f>
        <v>#NAME?</v>
      </c>
      <c r="N95" s="1" t="e">
        <f t="array" ref="N95">SUM</f>
        <v>#NAME?</v>
      </c>
      <c r="O95" t="s">
        <v>28</v>
      </c>
      <c r="P95">
        <v>2021</v>
      </c>
    </row>
    <row r="96" spans="1:16" x14ac:dyDescent="0.25">
      <c r="A96" t="s">
        <v>16</v>
      </c>
      <c r="B96" s="1" t="e">
        <f t="array" ref="B96">SUM</f>
        <v>#NAME?</v>
      </c>
      <c r="C96" s="1" t="e">
        <f t="array" ref="C96">SUM</f>
        <v>#NAME?</v>
      </c>
      <c r="D96" s="1" t="e">
        <f t="array" ref="D96">SUM</f>
        <v>#NAME?</v>
      </c>
      <c r="E96" s="1" t="e">
        <f t="array" ref="E96">SUM</f>
        <v>#NAME?</v>
      </c>
      <c r="F96" s="1" t="e">
        <f t="array" ref="F96">SUM</f>
        <v>#NAME?</v>
      </c>
      <c r="G96" s="1" t="e">
        <f t="array" ref="G96">SUM</f>
        <v>#NAME?</v>
      </c>
      <c r="H96" s="1" t="e">
        <f t="array" ref="H96">SUM</f>
        <v>#NAME?</v>
      </c>
      <c r="I96" s="1" t="e">
        <f t="array" ref="I96">SUM</f>
        <v>#NAME?</v>
      </c>
      <c r="J96" s="1" t="e">
        <f t="array" ref="J96">SUM</f>
        <v>#NAME?</v>
      </c>
      <c r="K96" s="1" t="e">
        <f t="array" ref="K96">SUM</f>
        <v>#NAME?</v>
      </c>
      <c r="L96" s="1" t="e">
        <f t="array" ref="L96">SUM</f>
        <v>#NAME?</v>
      </c>
      <c r="M96" s="1" t="e">
        <f t="array" ref="M96">SUM</f>
        <v>#NAME?</v>
      </c>
      <c r="N96" s="1" t="e">
        <f t="array" ref="N96">SUM</f>
        <v>#NAME?</v>
      </c>
      <c r="O96" t="s">
        <v>28</v>
      </c>
      <c r="P96">
        <v>2021</v>
      </c>
    </row>
    <row r="97" spans="1:16" x14ac:dyDescent="0.25">
      <c r="A97" t="s">
        <v>23</v>
      </c>
      <c r="B97" s="1" t="e">
        <f t="array" ref="B97">SUM</f>
        <v>#NAME?</v>
      </c>
      <c r="C97" s="1" t="e">
        <f t="array" ref="C97">SUM</f>
        <v>#NAME?</v>
      </c>
      <c r="D97" s="1" t="e">
        <f t="array" ref="D97">SUM</f>
        <v>#NAME?</v>
      </c>
      <c r="E97" s="1" t="e">
        <f t="array" ref="E97">SUM</f>
        <v>#NAME?</v>
      </c>
      <c r="F97" s="1" t="e">
        <f t="array" ref="F97">SUM</f>
        <v>#NAME?</v>
      </c>
      <c r="G97" s="1" t="e">
        <f t="array" ref="G97">SUM</f>
        <v>#NAME?</v>
      </c>
      <c r="H97" s="1" t="e">
        <f t="array" ref="H97">SUM</f>
        <v>#NAME?</v>
      </c>
      <c r="I97" s="1" t="e">
        <f t="array" ref="I97">SUM</f>
        <v>#NAME?</v>
      </c>
      <c r="J97" s="1" t="e">
        <f t="array" ref="J97">SUM</f>
        <v>#NAME?</v>
      </c>
      <c r="K97" s="1" t="e">
        <f t="array" ref="K97">SUM</f>
        <v>#NAME?</v>
      </c>
      <c r="L97" s="1" t="e">
        <f t="array" ref="L97">SUM</f>
        <v>#NAME?</v>
      </c>
      <c r="M97" s="1" t="e">
        <f t="array" ref="M97">SUM</f>
        <v>#NAME?</v>
      </c>
      <c r="N97" s="1" t="e">
        <f t="array" ref="N97">SUM</f>
        <v>#NAME?</v>
      </c>
      <c r="O97" t="s">
        <v>30</v>
      </c>
      <c r="P97">
        <v>2021</v>
      </c>
    </row>
    <row r="98" spans="1:16" x14ac:dyDescent="0.25">
      <c r="A98" t="s">
        <v>22</v>
      </c>
      <c r="B98" s="1" t="e">
        <f t="array" ref="B98">SUM</f>
        <v>#NAME?</v>
      </c>
      <c r="C98" s="1" t="e">
        <f t="array" ref="C98">SUM</f>
        <v>#NAME?</v>
      </c>
      <c r="D98" s="1" t="e">
        <f t="array" ref="D98">SUM</f>
        <v>#NAME?</v>
      </c>
      <c r="E98" s="1" t="e">
        <f t="array" ref="E98">SUM</f>
        <v>#NAME?</v>
      </c>
      <c r="F98" s="1" t="e">
        <f t="array" ref="F98">SUM</f>
        <v>#NAME?</v>
      </c>
      <c r="G98" s="1" t="e">
        <f t="array" ref="G98">SUM</f>
        <v>#NAME?</v>
      </c>
      <c r="H98" s="1" t="e">
        <f t="array" ref="H98">SUM</f>
        <v>#NAME?</v>
      </c>
      <c r="I98" s="1" t="e">
        <f t="array" ref="I98">SUM</f>
        <v>#NAME?</v>
      </c>
      <c r="J98" s="1" t="e">
        <f t="array" ref="J98">SUM</f>
        <v>#NAME?</v>
      </c>
      <c r="K98" s="1" t="e">
        <f t="array" ref="K98">SUM</f>
        <v>#NAME?</v>
      </c>
      <c r="L98" s="1" t="e">
        <f t="array" ref="L98">SUM</f>
        <v>#NAME?</v>
      </c>
      <c r="M98" s="1" t="e">
        <f t="array" ref="M98">SUM</f>
        <v>#NAME?</v>
      </c>
      <c r="N98" s="1" t="e">
        <f t="array" ref="N98">SUM</f>
        <v>#NAME?</v>
      </c>
      <c r="O98" t="s">
        <v>27</v>
      </c>
      <c r="P98">
        <v>2021</v>
      </c>
    </row>
    <row r="99" spans="1:16" x14ac:dyDescent="0.25">
      <c r="A99" t="s">
        <v>18</v>
      </c>
      <c r="B99" s="1" t="e">
        <f t="array" ref="B99">SUM</f>
        <v>#NAME?</v>
      </c>
      <c r="C99" s="1" t="e">
        <f t="array" ref="C99">SUM</f>
        <v>#NAME?</v>
      </c>
      <c r="D99" s="1" t="e">
        <f t="array" ref="D99">SUM</f>
        <v>#NAME?</v>
      </c>
      <c r="E99" s="1" t="e">
        <f t="array" ref="E99">SUM</f>
        <v>#NAME?</v>
      </c>
      <c r="F99" s="1" t="e">
        <f t="array" ref="F99">SUM</f>
        <v>#NAME?</v>
      </c>
      <c r="G99" s="1" t="e">
        <f t="array" ref="G99">SUM</f>
        <v>#NAME?</v>
      </c>
      <c r="H99" s="1" t="e">
        <f t="array" ref="H99">SUM</f>
        <v>#NAME?</v>
      </c>
      <c r="I99" s="1" t="e">
        <f t="array" ref="I99">SUM</f>
        <v>#NAME?</v>
      </c>
      <c r="J99" s="1" t="e">
        <f t="array" ref="J99">SUM</f>
        <v>#NAME?</v>
      </c>
      <c r="K99" s="1" t="e">
        <f t="array" ref="K99">SUM</f>
        <v>#NAME?</v>
      </c>
      <c r="L99" s="1" t="e">
        <f t="array" ref="L99">SUM</f>
        <v>#NAME?</v>
      </c>
      <c r="M99" s="1" t="e">
        <f t="array" ref="M99">SUM</f>
        <v>#NAME?</v>
      </c>
      <c r="N99" s="1" t="e">
        <f t="array" ref="N99">SUM</f>
        <v>#NAME?</v>
      </c>
      <c r="O99" t="s">
        <v>30</v>
      </c>
      <c r="P99">
        <v>2021</v>
      </c>
    </row>
    <row r="100" spans="1:16" x14ac:dyDescent="0.25">
      <c r="A100" t="s">
        <v>23</v>
      </c>
      <c r="B100" s="1" t="e">
        <f t="array" ref="B100">SUM</f>
        <v>#NAME?</v>
      </c>
      <c r="C100" s="1" t="e">
        <f t="array" ref="C100">SUM</f>
        <v>#NAME?</v>
      </c>
      <c r="D100" s="1" t="e">
        <f t="array" ref="D100">SUM</f>
        <v>#NAME?</v>
      </c>
      <c r="E100" s="1" t="e">
        <f t="array" ref="E100">SUM</f>
        <v>#NAME?</v>
      </c>
      <c r="F100" s="1" t="e">
        <f t="array" ref="F100">SUM</f>
        <v>#NAME?</v>
      </c>
      <c r="G100" s="1" t="e">
        <f t="array" ref="G100">SUM</f>
        <v>#NAME?</v>
      </c>
      <c r="H100" s="1" t="e">
        <f t="array" ref="H100">SUM</f>
        <v>#NAME?</v>
      </c>
      <c r="I100" s="1" t="e">
        <f t="array" ref="I100">SUM</f>
        <v>#NAME?</v>
      </c>
      <c r="J100" s="1" t="e">
        <f t="array" ref="J100">SUM</f>
        <v>#NAME?</v>
      </c>
      <c r="K100" s="1" t="e">
        <f t="array" ref="K100">SUM</f>
        <v>#NAME?</v>
      </c>
      <c r="L100" s="1" t="e">
        <f t="array" ref="L100">SUM</f>
        <v>#NAME?</v>
      </c>
      <c r="M100" s="1" t="e">
        <f t="array" ref="M100">SUM</f>
        <v>#NAME?</v>
      </c>
      <c r="N100" s="1" t="e">
        <f t="array" ref="N100">SUM</f>
        <v>#NAME?</v>
      </c>
      <c r="O100" t="s">
        <v>31</v>
      </c>
      <c r="P100">
        <v>2021</v>
      </c>
    </row>
    <row r="101" spans="1:16" x14ac:dyDescent="0.25">
      <c r="A101" t="s">
        <v>22</v>
      </c>
      <c r="B101" s="1" t="e">
        <f t="array" ref="B101">SUM</f>
        <v>#NAME?</v>
      </c>
      <c r="C101" s="1" t="e">
        <f t="array" ref="C101">SUM</f>
        <v>#NAME?</v>
      </c>
      <c r="D101" s="1" t="e">
        <f t="array" ref="D101">SUM</f>
        <v>#NAME?</v>
      </c>
      <c r="E101" s="1" t="e">
        <f t="array" ref="E101">SUM</f>
        <v>#NAME?</v>
      </c>
      <c r="F101" s="1" t="e">
        <f t="array" ref="F101">SUM</f>
        <v>#NAME?</v>
      </c>
      <c r="G101" s="1" t="e">
        <f t="array" ref="G101">SUM</f>
        <v>#NAME?</v>
      </c>
      <c r="H101" s="1" t="e">
        <f t="array" ref="H101">SUM</f>
        <v>#NAME?</v>
      </c>
      <c r="I101" s="1" t="e">
        <f t="array" ref="I101">SUM</f>
        <v>#NAME?</v>
      </c>
      <c r="J101" s="1" t="e">
        <f t="array" ref="J101">SUM</f>
        <v>#NAME?</v>
      </c>
      <c r="K101" s="1" t="e">
        <f t="array" ref="K101">SUM</f>
        <v>#NAME?</v>
      </c>
      <c r="L101" s="1" t="e">
        <f t="array" ref="L101">SUM</f>
        <v>#NAME?</v>
      </c>
      <c r="M101" s="1" t="e">
        <f t="array" ref="M101">SUM</f>
        <v>#NAME?</v>
      </c>
      <c r="N101" s="1" t="e">
        <f t="array" ref="N101">SUM</f>
        <v>#NAME?</v>
      </c>
      <c r="O101" t="s">
        <v>28</v>
      </c>
      <c r="P101">
        <v>2021</v>
      </c>
    </row>
    <row r="102" spans="1:16" x14ac:dyDescent="0.25">
      <c r="A102" t="s">
        <v>25</v>
      </c>
      <c r="B102" s="1" t="e">
        <f t="array" ref="B102">SUM</f>
        <v>#NAME?</v>
      </c>
      <c r="C102" s="1" t="e">
        <f t="array" ref="C102">SUM</f>
        <v>#NAME?</v>
      </c>
      <c r="D102" s="1" t="e">
        <f t="array" ref="D102">SUM</f>
        <v>#NAME?</v>
      </c>
      <c r="E102" s="1" t="e">
        <f t="array" ref="E102">SUM</f>
        <v>#NAME?</v>
      </c>
      <c r="F102" s="1" t="e">
        <f t="array" ref="F102">SUM</f>
        <v>#NAME?</v>
      </c>
      <c r="G102" s="1" t="e">
        <f t="array" ref="G102">SUM</f>
        <v>#NAME?</v>
      </c>
      <c r="H102" s="1" t="e">
        <f t="array" ref="H102">SUM</f>
        <v>#NAME?</v>
      </c>
      <c r="I102" s="1" t="e">
        <f t="array" ref="I102">SUM</f>
        <v>#NAME?</v>
      </c>
      <c r="J102" s="1" t="e">
        <f t="array" ref="J102">SUM</f>
        <v>#NAME?</v>
      </c>
      <c r="K102" s="1" t="e">
        <f t="array" ref="K102">SUM</f>
        <v>#NAME?</v>
      </c>
      <c r="L102" s="1" t="e">
        <f t="array" ref="L102">SUM</f>
        <v>#NAME?</v>
      </c>
      <c r="M102" s="1" t="e">
        <f t="array" ref="M102">SUM</f>
        <v>#NAME?</v>
      </c>
      <c r="N102" s="1" t="e">
        <f t="array" ref="N102">SUM</f>
        <v>#NAME?</v>
      </c>
      <c r="O102" t="s">
        <v>28</v>
      </c>
      <c r="P102">
        <v>2021</v>
      </c>
    </row>
    <row r="103" spans="1:16" x14ac:dyDescent="0.25">
      <c r="A103" t="s">
        <v>16</v>
      </c>
      <c r="B103" s="1" t="e">
        <f t="array" ref="B103">SUM</f>
        <v>#NAME?</v>
      </c>
      <c r="C103" s="1" t="e">
        <f t="array" ref="C103">SUM</f>
        <v>#NAME?</v>
      </c>
      <c r="D103" s="1" t="e">
        <f t="array" ref="D103">SUM</f>
        <v>#NAME?</v>
      </c>
      <c r="E103" s="1" t="e">
        <f t="array" ref="E103">SUM</f>
        <v>#NAME?</v>
      </c>
      <c r="F103" s="1" t="e">
        <f t="array" ref="F103">SUM</f>
        <v>#NAME?</v>
      </c>
      <c r="G103" s="1" t="e">
        <f t="array" ref="G103">SUM</f>
        <v>#NAME?</v>
      </c>
      <c r="H103" s="1" t="e">
        <f t="array" ref="H103">SUM</f>
        <v>#NAME?</v>
      </c>
      <c r="I103" s="1" t="e">
        <f t="array" ref="I103">SUM</f>
        <v>#NAME?</v>
      </c>
      <c r="J103" s="1" t="e">
        <f t="array" ref="J103">SUM</f>
        <v>#NAME?</v>
      </c>
      <c r="K103" s="1" t="e">
        <f t="array" ref="K103">SUM</f>
        <v>#NAME?</v>
      </c>
      <c r="L103" s="1" t="e">
        <f t="array" ref="L103">SUM</f>
        <v>#NAME?</v>
      </c>
      <c r="M103" s="1" t="e">
        <f t="array" ref="M103">SUM</f>
        <v>#NAME?</v>
      </c>
      <c r="N103" s="1" t="e">
        <f t="array" ref="N103">SUM</f>
        <v>#NAME?</v>
      </c>
      <c r="O103" t="s">
        <v>30</v>
      </c>
      <c r="P103">
        <v>2021</v>
      </c>
    </row>
    <row r="104" spans="1:16" x14ac:dyDescent="0.25">
      <c r="A104" t="s">
        <v>16</v>
      </c>
      <c r="B104" s="1" t="e">
        <f t="array" ref="B104">SUM</f>
        <v>#NAME?</v>
      </c>
      <c r="C104" s="1" t="e">
        <f t="array" ref="C104">SUM</f>
        <v>#NAME?</v>
      </c>
      <c r="D104" s="1" t="e">
        <f t="array" ref="D104">SUM</f>
        <v>#NAME?</v>
      </c>
      <c r="E104" s="1" t="e">
        <f t="array" ref="E104">SUM</f>
        <v>#NAME?</v>
      </c>
      <c r="F104" s="1" t="e">
        <f t="array" ref="F104">SUM</f>
        <v>#NAME?</v>
      </c>
      <c r="G104" s="1" t="e">
        <f t="array" ref="G104">SUM</f>
        <v>#NAME?</v>
      </c>
      <c r="H104" s="1" t="e">
        <f t="array" ref="H104">SUM</f>
        <v>#NAME?</v>
      </c>
      <c r="I104" s="1" t="e">
        <f t="array" ref="I104">SUM</f>
        <v>#NAME?</v>
      </c>
      <c r="J104" s="1" t="e">
        <f t="array" ref="J104">SUM</f>
        <v>#NAME?</v>
      </c>
      <c r="K104" s="1" t="e">
        <f t="array" ref="K104">SUM</f>
        <v>#NAME?</v>
      </c>
      <c r="L104" s="1" t="e">
        <f t="array" ref="L104">SUM</f>
        <v>#NAME?</v>
      </c>
      <c r="M104" s="1" t="e">
        <f t="array" ref="M104">SUM</f>
        <v>#NAME?</v>
      </c>
      <c r="N104" s="1" t="e">
        <f t="array" ref="N104">SUM</f>
        <v>#NAME?</v>
      </c>
      <c r="O104" t="s">
        <v>20</v>
      </c>
      <c r="P104">
        <v>2021</v>
      </c>
    </row>
    <row r="105" spans="1:16" x14ac:dyDescent="0.25">
      <c r="A105" t="s">
        <v>22</v>
      </c>
      <c r="B105" s="1" t="e">
        <f t="array" ref="B105">SUM</f>
        <v>#NAME?</v>
      </c>
      <c r="C105" s="1" t="e">
        <f t="array" ref="C105">SUM</f>
        <v>#NAME?</v>
      </c>
      <c r="D105" s="1" t="e">
        <f t="array" ref="D105">SUM</f>
        <v>#NAME?</v>
      </c>
      <c r="E105" s="1" t="e">
        <f t="array" ref="E105">SUM</f>
        <v>#NAME?</v>
      </c>
      <c r="F105" s="1" t="e">
        <f t="array" ref="F105">SUM</f>
        <v>#NAME?</v>
      </c>
      <c r="G105" s="1" t="e">
        <f t="array" ref="G105">SUM</f>
        <v>#NAME?</v>
      </c>
      <c r="H105" s="1" t="e">
        <f t="array" ref="H105">SUM</f>
        <v>#NAME?</v>
      </c>
      <c r="I105" s="1" t="e">
        <f t="array" ref="I105">SUM</f>
        <v>#NAME?</v>
      </c>
      <c r="J105" s="1" t="e">
        <f t="array" ref="J105">SUM</f>
        <v>#NAME?</v>
      </c>
      <c r="K105" s="1" t="e">
        <f t="array" ref="K105">SUM</f>
        <v>#NAME?</v>
      </c>
      <c r="L105" s="1" t="e">
        <f t="array" ref="L105">SUM</f>
        <v>#NAME?</v>
      </c>
      <c r="M105" s="1" t="e">
        <f t="array" ref="M105">SUM</f>
        <v>#NAME?</v>
      </c>
      <c r="N105" s="1" t="e">
        <f t="array" ref="N105">SUM</f>
        <v>#NAME?</v>
      </c>
      <c r="O105" t="s">
        <v>19</v>
      </c>
      <c r="P105">
        <v>2021</v>
      </c>
    </row>
    <row r="106" spans="1:16" x14ac:dyDescent="0.25">
      <c r="A106" t="s">
        <v>16</v>
      </c>
      <c r="B106" s="1" t="e">
        <f t="array" ref="B106">SUM</f>
        <v>#NAME?</v>
      </c>
      <c r="C106" s="1" t="e">
        <f t="array" ref="C106">SUM</f>
        <v>#NAME?</v>
      </c>
      <c r="D106" s="1" t="e">
        <f t="array" ref="D106">SUM</f>
        <v>#NAME?</v>
      </c>
      <c r="E106" s="1" t="e">
        <f t="array" ref="E106">SUM</f>
        <v>#NAME?</v>
      </c>
      <c r="F106" s="1" t="e">
        <f t="array" ref="F106">SUM</f>
        <v>#NAME?</v>
      </c>
      <c r="G106" s="1" t="e">
        <f t="array" ref="G106">SUM</f>
        <v>#NAME?</v>
      </c>
      <c r="H106" s="1" t="e">
        <f t="array" ref="H106">SUM</f>
        <v>#NAME?</v>
      </c>
      <c r="I106" s="1" t="e">
        <f t="array" ref="I106">SUM</f>
        <v>#NAME?</v>
      </c>
      <c r="J106" s="1" t="e">
        <f t="array" ref="J106">SUM</f>
        <v>#NAME?</v>
      </c>
      <c r="K106" s="1" t="e">
        <f t="array" ref="K106">SUM</f>
        <v>#NAME?</v>
      </c>
      <c r="L106" s="1" t="e">
        <f t="array" ref="L106">SUM</f>
        <v>#NAME?</v>
      </c>
      <c r="M106" s="1" t="e">
        <f t="array" ref="M106">SUM</f>
        <v>#NAME?</v>
      </c>
      <c r="N106" s="1" t="e">
        <f t="array" ref="N106">SUM</f>
        <v>#NAME?</v>
      </c>
      <c r="O106" t="s">
        <v>28</v>
      </c>
      <c r="P106">
        <v>2021</v>
      </c>
    </row>
    <row r="107" spans="1:16" x14ac:dyDescent="0.25">
      <c r="A107" t="s">
        <v>22</v>
      </c>
      <c r="B107" s="1" t="e">
        <f t="array" ref="B107">SUM</f>
        <v>#NAME?</v>
      </c>
      <c r="C107" s="1" t="e">
        <f t="array" ref="C107">SUM</f>
        <v>#NAME?</v>
      </c>
      <c r="D107" s="1" t="e">
        <f t="array" ref="D107">SUM</f>
        <v>#NAME?</v>
      </c>
      <c r="E107" s="1" t="e">
        <f t="array" ref="E107">SUM</f>
        <v>#NAME?</v>
      </c>
      <c r="F107" s="1" t="e">
        <f t="array" ref="F107">SUM</f>
        <v>#NAME?</v>
      </c>
      <c r="G107" s="1" t="e">
        <f t="array" ref="G107">SUM</f>
        <v>#NAME?</v>
      </c>
      <c r="H107" s="1" t="e">
        <f t="array" ref="H107">SUM</f>
        <v>#NAME?</v>
      </c>
      <c r="I107" s="1" t="e">
        <f t="array" ref="I107">SUM</f>
        <v>#NAME?</v>
      </c>
      <c r="J107" s="1" t="e">
        <f t="array" ref="J107">SUM</f>
        <v>#NAME?</v>
      </c>
      <c r="K107" s="1" t="e">
        <f t="array" ref="K107">SUM</f>
        <v>#NAME?</v>
      </c>
      <c r="L107" s="1" t="e">
        <f t="array" ref="L107">SUM</f>
        <v>#NAME?</v>
      </c>
      <c r="M107" s="1" t="e">
        <f t="array" ref="M107">SUM</f>
        <v>#NAME?</v>
      </c>
      <c r="N107" s="1" t="e">
        <f t="array" ref="N107">SUM</f>
        <v>#NAME?</v>
      </c>
      <c r="O107" t="s">
        <v>30</v>
      </c>
      <c r="P107">
        <v>2021</v>
      </c>
    </row>
    <row r="108" spans="1:16" x14ac:dyDescent="0.25">
      <c r="A108" t="s">
        <v>23</v>
      </c>
      <c r="B108" s="1" t="e">
        <f t="array" ref="B108">SUM</f>
        <v>#NAME?</v>
      </c>
      <c r="C108" s="1" t="e">
        <f t="array" ref="C108">SUM</f>
        <v>#NAME?</v>
      </c>
      <c r="D108" s="1" t="e">
        <f t="array" ref="D108">SUM</f>
        <v>#NAME?</v>
      </c>
      <c r="E108" s="1" t="e">
        <f t="array" ref="E108">SUM</f>
        <v>#NAME?</v>
      </c>
      <c r="F108" s="1" t="e">
        <f t="array" ref="F108">SUM</f>
        <v>#NAME?</v>
      </c>
      <c r="G108" s="1" t="e">
        <f t="array" ref="G108">SUM</f>
        <v>#NAME?</v>
      </c>
      <c r="H108" s="1" t="e">
        <f t="array" ref="H108">SUM</f>
        <v>#NAME?</v>
      </c>
      <c r="I108" s="1" t="e">
        <f t="array" ref="I108">SUM</f>
        <v>#NAME?</v>
      </c>
      <c r="J108" s="1" t="e">
        <f t="array" ref="J108">SUM</f>
        <v>#NAME?</v>
      </c>
      <c r="K108" s="1" t="e">
        <f t="array" ref="K108">SUM</f>
        <v>#NAME?</v>
      </c>
      <c r="L108" s="1" t="e">
        <f t="array" ref="L108">SUM</f>
        <v>#NAME?</v>
      </c>
      <c r="M108" s="1" t="e">
        <f t="array" ref="M108">SUM</f>
        <v>#NAME?</v>
      </c>
      <c r="N108" s="1" t="e">
        <f t="array" ref="N108">SUM</f>
        <v>#NAME?</v>
      </c>
      <c r="O108" t="s">
        <v>30</v>
      </c>
      <c r="P108">
        <v>2021</v>
      </c>
    </row>
    <row r="109" spans="1:16" x14ac:dyDescent="0.25">
      <c r="A109" t="s">
        <v>18</v>
      </c>
      <c r="B109" s="1" t="e">
        <f t="array" ref="B109">SUM</f>
        <v>#NAME?</v>
      </c>
      <c r="C109" s="1" t="e">
        <f t="array" ref="C109">SUM</f>
        <v>#NAME?</v>
      </c>
      <c r="D109" s="1" t="e">
        <f t="array" ref="D109">SUM</f>
        <v>#NAME?</v>
      </c>
      <c r="E109" s="1" t="e">
        <f t="array" ref="E109">SUM</f>
        <v>#NAME?</v>
      </c>
      <c r="F109" s="1" t="e">
        <f t="array" ref="F109">SUM</f>
        <v>#NAME?</v>
      </c>
      <c r="G109" s="1" t="e">
        <f t="array" ref="G109">SUM</f>
        <v>#NAME?</v>
      </c>
      <c r="H109" s="1" t="e">
        <f t="array" ref="H109">SUM</f>
        <v>#NAME?</v>
      </c>
      <c r="I109" s="1" t="e">
        <f t="array" ref="I109">SUM</f>
        <v>#NAME?</v>
      </c>
      <c r="J109" s="1" t="e">
        <f t="array" ref="J109">SUM</f>
        <v>#NAME?</v>
      </c>
      <c r="K109" s="1" t="e">
        <f t="array" ref="K109">SUM</f>
        <v>#NAME?</v>
      </c>
      <c r="L109" s="1" t="e">
        <f t="array" ref="L109">SUM</f>
        <v>#NAME?</v>
      </c>
      <c r="M109" s="1" t="e">
        <f t="array" ref="M109">SUM</f>
        <v>#NAME?</v>
      </c>
      <c r="N109" s="1" t="e">
        <f t="array" ref="N109">SUM</f>
        <v>#NAME?</v>
      </c>
      <c r="O109" t="s">
        <v>29</v>
      </c>
      <c r="P109">
        <v>2021</v>
      </c>
    </row>
    <row r="110" spans="1:16" x14ac:dyDescent="0.25">
      <c r="A110" t="s">
        <v>25</v>
      </c>
      <c r="B110" s="1" t="e">
        <f t="array" ref="B110">SUM</f>
        <v>#NAME?</v>
      </c>
      <c r="C110" s="1" t="e">
        <f t="array" ref="C110">SUM</f>
        <v>#NAME?</v>
      </c>
      <c r="D110" s="1" t="e">
        <f t="array" ref="D110">SUM</f>
        <v>#NAME?</v>
      </c>
      <c r="E110" s="1" t="e">
        <f t="array" ref="E110">SUM</f>
        <v>#NAME?</v>
      </c>
      <c r="F110" s="1" t="e">
        <f t="array" ref="F110">SUM</f>
        <v>#NAME?</v>
      </c>
      <c r="G110" s="1" t="e">
        <f t="array" ref="G110">SUM</f>
        <v>#NAME?</v>
      </c>
      <c r="H110" s="1" t="e">
        <f t="array" ref="H110">SUM</f>
        <v>#NAME?</v>
      </c>
      <c r="I110" s="1" t="e">
        <f t="array" ref="I110">SUM</f>
        <v>#NAME?</v>
      </c>
      <c r="J110" s="1" t="e">
        <f t="array" ref="J110">SUM</f>
        <v>#NAME?</v>
      </c>
      <c r="K110" s="1" t="e">
        <f t="array" ref="K110">SUM</f>
        <v>#NAME?</v>
      </c>
      <c r="L110" s="1" t="e">
        <f t="array" ref="L110">SUM</f>
        <v>#NAME?</v>
      </c>
      <c r="M110" s="1" t="e">
        <f t="array" ref="M110">SUM</f>
        <v>#NAME?</v>
      </c>
      <c r="N110" s="1" t="e">
        <f t="array" ref="N110">SUM</f>
        <v>#NAME?</v>
      </c>
      <c r="O110" t="s">
        <v>32</v>
      </c>
      <c r="P110">
        <v>2021</v>
      </c>
    </row>
    <row r="111" spans="1:16" x14ac:dyDescent="0.25">
      <c r="A111" t="s">
        <v>25</v>
      </c>
      <c r="B111" s="1" t="e">
        <f t="array" ref="B111">SUM</f>
        <v>#NAME?</v>
      </c>
      <c r="C111" s="1" t="e">
        <f t="array" ref="C111">SUM</f>
        <v>#NAME?</v>
      </c>
      <c r="D111" s="1" t="e">
        <f t="array" ref="D111">SUM</f>
        <v>#NAME?</v>
      </c>
      <c r="E111" s="1" t="e">
        <f t="array" ref="E111">SUM</f>
        <v>#NAME?</v>
      </c>
      <c r="F111" s="1" t="e">
        <f t="array" ref="F111">SUM</f>
        <v>#NAME?</v>
      </c>
      <c r="G111" s="1" t="e">
        <f t="array" ref="G111">SUM</f>
        <v>#NAME?</v>
      </c>
      <c r="H111" s="1" t="e">
        <f t="array" ref="H111">SUM</f>
        <v>#NAME?</v>
      </c>
      <c r="I111" s="1" t="e">
        <f t="array" ref="I111">SUM</f>
        <v>#NAME?</v>
      </c>
      <c r="J111" s="1" t="e">
        <f t="array" ref="J111">SUM</f>
        <v>#NAME?</v>
      </c>
      <c r="K111" s="1" t="e">
        <f t="array" ref="K111">SUM</f>
        <v>#NAME?</v>
      </c>
      <c r="L111" s="1" t="e">
        <f t="array" ref="L111">SUM</f>
        <v>#NAME?</v>
      </c>
      <c r="M111" s="1" t="e">
        <f t="array" ref="M111">SUM</f>
        <v>#NAME?</v>
      </c>
      <c r="N111" s="1" t="e">
        <f t="array" ref="N111">SUM</f>
        <v>#NAME?</v>
      </c>
      <c r="O111" t="s">
        <v>32</v>
      </c>
      <c r="P111">
        <v>2021</v>
      </c>
    </row>
    <row r="112" spans="1:16" x14ac:dyDescent="0.25">
      <c r="A112" t="s">
        <v>22</v>
      </c>
      <c r="B112" s="1" t="e">
        <f t="array" ref="B112">SUM</f>
        <v>#NAME?</v>
      </c>
      <c r="C112" s="1" t="e">
        <f t="array" ref="C112">SUM</f>
        <v>#NAME?</v>
      </c>
      <c r="D112" s="1" t="e">
        <f t="array" ref="D112">SUM</f>
        <v>#NAME?</v>
      </c>
      <c r="E112" s="1" t="e">
        <f t="array" ref="E112">SUM</f>
        <v>#NAME?</v>
      </c>
      <c r="F112" s="1" t="e">
        <f t="array" ref="F112">SUM</f>
        <v>#NAME?</v>
      </c>
      <c r="G112" s="1" t="e">
        <f t="array" ref="G112">SUM</f>
        <v>#NAME?</v>
      </c>
      <c r="H112" s="1" t="e">
        <f t="array" ref="H112">SUM</f>
        <v>#NAME?</v>
      </c>
      <c r="I112" s="1" t="e">
        <f t="array" ref="I112">SUM</f>
        <v>#NAME?</v>
      </c>
      <c r="J112" s="1" t="e">
        <f t="array" ref="J112">SUM</f>
        <v>#NAME?</v>
      </c>
      <c r="K112" s="1" t="e">
        <f t="array" ref="K112">SUM</f>
        <v>#NAME?</v>
      </c>
      <c r="L112" s="1" t="e">
        <f t="array" ref="L112">SUM</f>
        <v>#NAME?</v>
      </c>
      <c r="M112" s="1" t="e">
        <f t="array" ref="M112">SUM</f>
        <v>#NAME?</v>
      </c>
      <c r="N112" s="1" t="e">
        <f t="array" ref="N112">SUM</f>
        <v>#NAME?</v>
      </c>
      <c r="O112" t="s">
        <v>19</v>
      </c>
      <c r="P112">
        <v>2021</v>
      </c>
    </row>
    <row r="113" spans="1:16" x14ac:dyDescent="0.25">
      <c r="A113" t="s">
        <v>23</v>
      </c>
      <c r="B113" s="1" t="e">
        <f t="array" ref="B113">SUM</f>
        <v>#NAME?</v>
      </c>
      <c r="C113" s="1" t="e">
        <f t="array" ref="C113">SUM</f>
        <v>#NAME?</v>
      </c>
      <c r="D113" s="1" t="e">
        <f t="array" ref="D113">SUM</f>
        <v>#NAME?</v>
      </c>
      <c r="E113" s="1" t="e">
        <f t="array" ref="E113">SUM</f>
        <v>#NAME?</v>
      </c>
      <c r="F113" s="1" t="e">
        <f t="array" ref="F113">SUM</f>
        <v>#NAME?</v>
      </c>
      <c r="G113" s="1" t="e">
        <f t="array" ref="G113">SUM</f>
        <v>#NAME?</v>
      </c>
      <c r="H113" s="1" t="e">
        <f t="array" ref="H113">SUM</f>
        <v>#NAME?</v>
      </c>
      <c r="I113" s="1" t="e">
        <f t="array" ref="I113">SUM</f>
        <v>#NAME?</v>
      </c>
      <c r="J113" s="1" t="e">
        <f t="array" ref="J113">SUM</f>
        <v>#NAME?</v>
      </c>
      <c r="K113" s="1" t="e">
        <f t="array" ref="K113">SUM</f>
        <v>#NAME?</v>
      </c>
      <c r="L113" s="1" t="e">
        <f t="array" ref="L113">SUM</f>
        <v>#NAME?</v>
      </c>
      <c r="M113" s="1" t="e">
        <f t="array" ref="M113">SUM</f>
        <v>#NAME?</v>
      </c>
      <c r="N113" s="1" t="e">
        <f t="array" ref="N113">SUM</f>
        <v>#NAME?</v>
      </c>
      <c r="O113" t="s">
        <v>19</v>
      </c>
      <c r="P113">
        <v>2021</v>
      </c>
    </row>
    <row r="114" spans="1:16" x14ac:dyDescent="0.25">
      <c r="A114" t="s">
        <v>22</v>
      </c>
      <c r="B114" s="1" t="e">
        <f t="array" ref="B114">SUM</f>
        <v>#NAME?</v>
      </c>
      <c r="C114" s="1" t="e">
        <f t="array" ref="C114">SUM</f>
        <v>#NAME?</v>
      </c>
      <c r="D114" s="1" t="e">
        <f t="array" ref="D114">SUM</f>
        <v>#NAME?</v>
      </c>
      <c r="E114" s="1" t="e">
        <f t="array" ref="E114">SUM</f>
        <v>#NAME?</v>
      </c>
      <c r="F114" s="1" t="e">
        <f t="array" ref="F114">SUM</f>
        <v>#NAME?</v>
      </c>
      <c r="G114" s="1" t="e">
        <f t="array" ref="G114">SUM</f>
        <v>#NAME?</v>
      </c>
      <c r="H114" s="1" t="e">
        <f t="array" ref="H114">SUM</f>
        <v>#NAME?</v>
      </c>
      <c r="I114" s="1" t="e">
        <f t="array" ref="I114">SUM</f>
        <v>#NAME?</v>
      </c>
      <c r="J114" s="1" t="e">
        <f t="array" ref="J114">SUM</f>
        <v>#NAME?</v>
      </c>
      <c r="K114" s="1" t="e">
        <f t="array" ref="K114">SUM</f>
        <v>#NAME?</v>
      </c>
      <c r="L114" s="1" t="e">
        <f t="array" ref="L114">SUM</f>
        <v>#NAME?</v>
      </c>
      <c r="M114" s="1" t="e">
        <f t="array" ref="M114">SUM</f>
        <v>#NAME?</v>
      </c>
      <c r="N114" s="1" t="e">
        <f t="array" ref="N114">SUM</f>
        <v>#NAME?</v>
      </c>
      <c r="O114" t="s">
        <v>28</v>
      </c>
      <c r="P114">
        <v>2021</v>
      </c>
    </row>
    <row r="115" spans="1:16" x14ac:dyDescent="0.25">
      <c r="A115" t="s">
        <v>23</v>
      </c>
      <c r="B115" s="1" t="e">
        <f t="array" ref="B115">SUM</f>
        <v>#NAME?</v>
      </c>
      <c r="C115" s="1" t="e">
        <f t="array" ref="C115">SUM</f>
        <v>#NAME?</v>
      </c>
      <c r="D115" s="1" t="e">
        <f t="array" ref="D115">SUM</f>
        <v>#NAME?</v>
      </c>
      <c r="E115" s="1" t="e">
        <f t="array" ref="E115">SUM</f>
        <v>#NAME?</v>
      </c>
      <c r="F115" s="1" t="e">
        <f t="array" ref="F115">SUM</f>
        <v>#NAME?</v>
      </c>
      <c r="G115" s="1" t="e">
        <f t="array" ref="G115">SUM</f>
        <v>#NAME?</v>
      </c>
      <c r="H115" s="1" t="e">
        <f t="array" ref="H115">SUM</f>
        <v>#NAME?</v>
      </c>
      <c r="I115" s="1" t="e">
        <f t="array" ref="I115">SUM</f>
        <v>#NAME?</v>
      </c>
      <c r="J115" s="1" t="e">
        <f t="array" ref="J115">SUM</f>
        <v>#NAME?</v>
      </c>
      <c r="K115" s="1" t="e">
        <f t="array" ref="K115">SUM</f>
        <v>#NAME?</v>
      </c>
      <c r="L115" s="1" t="e">
        <f t="array" ref="L115">SUM</f>
        <v>#NAME?</v>
      </c>
      <c r="M115" s="1" t="e">
        <f t="array" ref="M115">SUM</f>
        <v>#NAME?</v>
      </c>
      <c r="N115" s="1" t="e">
        <f t="array" ref="N115">SUM</f>
        <v>#NAME?</v>
      </c>
      <c r="O115" t="s">
        <v>28</v>
      </c>
      <c r="P115">
        <v>2021</v>
      </c>
    </row>
    <row r="116" spans="1:16" x14ac:dyDescent="0.25">
      <c r="A116" t="s">
        <v>23</v>
      </c>
      <c r="B116" s="1" t="e">
        <f t="array" ref="B116">SUM</f>
        <v>#NAME?</v>
      </c>
      <c r="C116" s="1" t="e">
        <f t="array" ref="C116">SUM</f>
        <v>#NAME?</v>
      </c>
      <c r="D116" s="1" t="e">
        <f t="array" ref="D116">SUM</f>
        <v>#NAME?</v>
      </c>
      <c r="E116" s="1" t="e">
        <f t="array" ref="E116">SUM</f>
        <v>#NAME?</v>
      </c>
      <c r="F116" s="1" t="e">
        <f t="array" ref="F116">SUM</f>
        <v>#NAME?</v>
      </c>
      <c r="G116" s="1" t="e">
        <f t="array" ref="G116">SUM</f>
        <v>#NAME?</v>
      </c>
      <c r="H116" s="1" t="e">
        <f t="array" ref="H116">SUM</f>
        <v>#NAME?</v>
      </c>
      <c r="I116" s="1" t="e">
        <f t="array" ref="I116">SUM</f>
        <v>#NAME?</v>
      </c>
      <c r="J116" s="1" t="e">
        <f t="array" ref="J116">SUM</f>
        <v>#NAME?</v>
      </c>
      <c r="K116" s="1" t="e">
        <f t="array" ref="K116">SUM</f>
        <v>#NAME?</v>
      </c>
      <c r="L116" s="1" t="e">
        <f t="array" ref="L116">SUM</f>
        <v>#NAME?</v>
      </c>
      <c r="M116" s="1" t="e">
        <f t="array" ref="M116">SUM</f>
        <v>#NAME?</v>
      </c>
      <c r="N116" s="1" t="e">
        <f t="array" ref="N116">SUM</f>
        <v>#NAME?</v>
      </c>
      <c r="O116" t="s">
        <v>28</v>
      </c>
      <c r="P116">
        <v>2021</v>
      </c>
    </row>
    <row r="117" spans="1:16" x14ac:dyDescent="0.25">
      <c r="A117" t="s">
        <v>22</v>
      </c>
      <c r="B117" s="1" t="e">
        <f t="array" ref="B117">SUM</f>
        <v>#NAME?</v>
      </c>
      <c r="C117" s="1" t="e">
        <f t="array" ref="C117">SUM</f>
        <v>#NAME?</v>
      </c>
      <c r="D117" s="1" t="e">
        <f t="array" ref="D117">SUM</f>
        <v>#NAME?</v>
      </c>
      <c r="E117" s="1" t="e">
        <f t="array" ref="E117">SUM</f>
        <v>#NAME?</v>
      </c>
      <c r="F117" s="1" t="e">
        <f t="array" ref="F117">SUM</f>
        <v>#NAME?</v>
      </c>
      <c r="G117" s="1" t="e">
        <f t="array" ref="G117">SUM</f>
        <v>#NAME?</v>
      </c>
      <c r="H117" s="1" t="e">
        <f t="array" ref="H117">SUM</f>
        <v>#NAME?</v>
      </c>
      <c r="I117" s="1" t="e">
        <f t="array" ref="I117">SUM</f>
        <v>#NAME?</v>
      </c>
      <c r="J117" s="1" t="e">
        <f t="array" ref="J117">SUM</f>
        <v>#NAME?</v>
      </c>
      <c r="K117" s="1" t="e">
        <f t="array" ref="K117">SUM</f>
        <v>#NAME?</v>
      </c>
      <c r="L117" s="1" t="e">
        <f t="array" ref="L117">SUM</f>
        <v>#NAME?</v>
      </c>
      <c r="M117" s="1" t="e">
        <f t="array" ref="M117">SUM</f>
        <v>#NAME?</v>
      </c>
      <c r="N117" s="1" t="e">
        <f t="array" ref="N117">SUM</f>
        <v>#NAME?</v>
      </c>
      <c r="O117" t="s">
        <v>30</v>
      </c>
      <c r="P117">
        <v>2021</v>
      </c>
    </row>
    <row r="118" spans="1:16" x14ac:dyDescent="0.25">
      <c r="A118" t="s">
        <v>25</v>
      </c>
      <c r="B118" s="1" t="e">
        <f t="array" ref="B118">SUM</f>
        <v>#NAME?</v>
      </c>
      <c r="C118" s="1" t="e">
        <f t="array" ref="C118">SUM</f>
        <v>#NAME?</v>
      </c>
      <c r="D118" s="1" t="e">
        <f t="array" ref="D118">SUM</f>
        <v>#NAME?</v>
      </c>
      <c r="E118" s="1" t="e">
        <f t="array" ref="E118">SUM</f>
        <v>#NAME?</v>
      </c>
      <c r="F118" s="1" t="e">
        <f t="array" ref="F118">SUM</f>
        <v>#NAME?</v>
      </c>
      <c r="G118" s="1" t="e">
        <f t="array" ref="G118">SUM</f>
        <v>#NAME?</v>
      </c>
      <c r="H118" s="1" t="e">
        <f t="array" ref="H118">SUM</f>
        <v>#NAME?</v>
      </c>
      <c r="I118" s="1" t="e">
        <f t="array" ref="I118">SUM</f>
        <v>#NAME?</v>
      </c>
      <c r="J118" s="1" t="e">
        <f t="array" ref="J118">SUM</f>
        <v>#NAME?</v>
      </c>
      <c r="K118" s="1" t="e">
        <f t="array" ref="K118">SUM</f>
        <v>#NAME?</v>
      </c>
      <c r="L118" s="1" t="e">
        <f t="array" ref="L118">SUM</f>
        <v>#NAME?</v>
      </c>
      <c r="M118" s="1" t="e">
        <f t="array" ref="M118">SUM</f>
        <v>#NAME?</v>
      </c>
      <c r="N118" s="1" t="e">
        <f t="array" ref="N118">SUM</f>
        <v>#NAME?</v>
      </c>
      <c r="O118" t="s">
        <v>20</v>
      </c>
      <c r="P118">
        <v>2021</v>
      </c>
    </row>
    <row r="119" spans="1:16" x14ac:dyDescent="0.25">
      <c r="A119" t="s">
        <v>16</v>
      </c>
      <c r="B119" s="1" t="e">
        <f t="array" ref="B119">SUM</f>
        <v>#NAME?</v>
      </c>
      <c r="C119" s="1" t="e">
        <f t="array" ref="C119">SUM</f>
        <v>#NAME?</v>
      </c>
      <c r="D119" s="1" t="e">
        <f t="array" ref="D119">SUM</f>
        <v>#NAME?</v>
      </c>
      <c r="E119" s="1" t="e">
        <f t="array" ref="E119">SUM</f>
        <v>#NAME?</v>
      </c>
      <c r="F119" s="1" t="e">
        <f t="array" ref="F119">SUM</f>
        <v>#NAME?</v>
      </c>
      <c r="G119" s="1" t="e">
        <f t="array" ref="G119">SUM</f>
        <v>#NAME?</v>
      </c>
      <c r="H119" s="1" t="e">
        <f t="array" ref="H119">SUM</f>
        <v>#NAME?</v>
      </c>
      <c r="I119" s="1" t="e">
        <f t="array" ref="I119">SUM</f>
        <v>#NAME?</v>
      </c>
      <c r="J119" s="1" t="e">
        <f t="array" ref="J119">SUM</f>
        <v>#NAME?</v>
      </c>
      <c r="K119" s="1" t="e">
        <f t="array" ref="K119">SUM</f>
        <v>#NAME?</v>
      </c>
      <c r="L119" s="1" t="e">
        <f t="array" ref="L119">SUM</f>
        <v>#NAME?</v>
      </c>
      <c r="M119" s="1" t="e">
        <f t="array" ref="M119">SUM</f>
        <v>#NAME?</v>
      </c>
      <c r="N119" s="1" t="e">
        <f t="array" ref="N119">SUM</f>
        <v>#NAME?</v>
      </c>
      <c r="O119" t="s">
        <v>20</v>
      </c>
      <c r="P119">
        <v>2021</v>
      </c>
    </row>
    <row r="120" spans="1:16" x14ac:dyDescent="0.25">
      <c r="A120" t="s">
        <v>23</v>
      </c>
      <c r="B120" s="1" t="e">
        <f t="array" ref="B120">SUM</f>
        <v>#NAME?</v>
      </c>
      <c r="C120" s="1" t="e">
        <f t="array" ref="C120">SUM</f>
        <v>#NAME?</v>
      </c>
      <c r="D120" s="1" t="e">
        <f t="array" ref="D120">SUM</f>
        <v>#NAME?</v>
      </c>
      <c r="E120" s="1" t="e">
        <f t="array" ref="E120">SUM</f>
        <v>#NAME?</v>
      </c>
      <c r="F120" s="1" t="e">
        <f t="array" ref="F120">SUM</f>
        <v>#NAME?</v>
      </c>
      <c r="G120" s="1" t="e">
        <f t="array" ref="G120">SUM</f>
        <v>#NAME?</v>
      </c>
      <c r="H120" s="1" t="e">
        <f t="array" ref="H120">SUM</f>
        <v>#NAME?</v>
      </c>
      <c r="I120" s="1" t="e">
        <f t="array" ref="I120">SUM</f>
        <v>#NAME?</v>
      </c>
      <c r="J120" s="1" t="e">
        <f t="array" ref="J120">SUM</f>
        <v>#NAME?</v>
      </c>
      <c r="K120" s="1" t="e">
        <f t="array" ref="K120">SUM</f>
        <v>#NAME?</v>
      </c>
      <c r="L120" s="1" t="e">
        <f t="array" ref="L120">SUM</f>
        <v>#NAME?</v>
      </c>
      <c r="M120" s="1" t="e">
        <f t="array" ref="M120">SUM</f>
        <v>#NAME?</v>
      </c>
      <c r="N120" s="1" t="e">
        <f t="array" ref="N120">SUM</f>
        <v>#NAME?</v>
      </c>
      <c r="O120" t="s">
        <v>20</v>
      </c>
      <c r="P120">
        <v>2021</v>
      </c>
    </row>
    <row r="121" spans="1:16" x14ac:dyDescent="0.25">
      <c r="A121" t="s">
        <v>18</v>
      </c>
      <c r="B121" s="1" t="e">
        <f t="array" ref="B121">SUM</f>
        <v>#NAME?</v>
      </c>
      <c r="C121" s="1" t="e">
        <f t="array" ref="C121">SUM</f>
        <v>#NAME?</v>
      </c>
      <c r="D121" s="1" t="e">
        <f t="array" ref="D121">SUM</f>
        <v>#NAME?</v>
      </c>
      <c r="E121" s="1" t="e">
        <f t="array" ref="E121">SUM</f>
        <v>#NAME?</v>
      </c>
      <c r="F121" s="1" t="e">
        <f t="array" ref="F121">SUM</f>
        <v>#NAME?</v>
      </c>
      <c r="G121" s="1" t="e">
        <f t="array" ref="G121">SUM</f>
        <v>#NAME?</v>
      </c>
      <c r="H121" s="1" t="e">
        <f t="array" ref="H121">SUM</f>
        <v>#NAME?</v>
      </c>
      <c r="I121" s="1" t="e">
        <f t="array" ref="I121">SUM</f>
        <v>#NAME?</v>
      </c>
      <c r="J121" s="1" t="e">
        <f t="array" ref="J121">SUM</f>
        <v>#NAME?</v>
      </c>
      <c r="K121" s="1" t="e">
        <f t="array" ref="K121">SUM</f>
        <v>#NAME?</v>
      </c>
      <c r="L121" s="1" t="e">
        <f t="array" ref="L121">SUM</f>
        <v>#NAME?</v>
      </c>
      <c r="M121" s="1" t="e">
        <f t="array" ref="M121">SUM</f>
        <v>#NAME?</v>
      </c>
      <c r="N121" s="1" t="e">
        <f t="array" ref="N121">SUM</f>
        <v>#NAME?</v>
      </c>
      <c r="O121" t="s">
        <v>20</v>
      </c>
      <c r="P121">
        <v>2021</v>
      </c>
    </row>
    <row r="122" spans="1:16" x14ac:dyDescent="0.25">
      <c r="A122" t="s">
        <v>16</v>
      </c>
      <c r="B122" s="1" t="e">
        <f t="array" ref="B122">SUM</f>
        <v>#NAME?</v>
      </c>
      <c r="C122" s="1" t="e">
        <f t="array" ref="C122">SUM</f>
        <v>#NAME?</v>
      </c>
      <c r="D122" s="1" t="e">
        <f t="array" ref="D122">SUM</f>
        <v>#NAME?</v>
      </c>
      <c r="E122" s="1" t="e">
        <f t="array" ref="E122">SUM</f>
        <v>#NAME?</v>
      </c>
      <c r="F122" s="1" t="e">
        <f t="array" ref="F122">SUM</f>
        <v>#NAME?</v>
      </c>
      <c r="G122" s="1" t="e">
        <f t="array" ref="G122">SUM</f>
        <v>#NAME?</v>
      </c>
      <c r="H122" s="1" t="e">
        <f t="array" ref="H122">SUM</f>
        <v>#NAME?</v>
      </c>
      <c r="I122" s="1" t="e">
        <f t="array" ref="I122">SUM</f>
        <v>#NAME?</v>
      </c>
      <c r="J122" s="1" t="e">
        <f t="array" ref="J122">SUM</f>
        <v>#NAME?</v>
      </c>
      <c r="K122" s="1" t="e">
        <f t="array" ref="K122">SUM</f>
        <v>#NAME?</v>
      </c>
      <c r="L122" s="1" t="e">
        <f t="array" ref="L122">SUM</f>
        <v>#NAME?</v>
      </c>
      <c r="M122" s="1" t="e">
        <f t="array" ref="M122">SUM</f>
        <v>#NAME?</v>
      </c>
      <c r="N122" s="1" t="e">
        <f t="array" ref="N122">SUM</f>
        <v>#NAME?</v>
      </c>
      <c r="O122" t="s">
        <v>20</v>
      </c>
      <c r="P122">
        <v>2021</v>
      </c>
    </row>
    <row r="123" spans="1:16" x14ac:dyDescent="0.25">
      <c r="A123" t="s">
        <v>22</v>
      </c>
      <c r="B123" s="1" t="e">
        <f t="array" ref="B123">SUM</f>
        <v>#NAME?</v>
      </c>
      <c r="C123" s="1" t="e">
        <f t="array" ref="C123">SUM</f>
        <v>#NAME?</v>
      </c>
      <c r="D123" s="1" t="e">
        <f t="array" ref="D123">SUM</f>
        <v>#NAME?</v>
      </c>
      <c r="E123" s="1" t="e">
        <f t="array" ref="E123">SUM</f>
        <v>#NAME?</v>
      </c>
      <c r="F123" s="1" t="e">
        <f t="array" ref="F123">SUM</f>
        <v>#NAME?</v>
      </c>
      <c r="G123" s="1" t="e">
        <f t="array" ref="G123">SUM</f>
        <v>#NAME?</v>
      </c>
      <c r="H123" s="1" t="e">
        <f t="array" ref="H123">SUM</f>
        <v>#NAME?</v>
      </c>
      <c r="I123" s="1" t="e">
        <f t="array" ref="I123">SUM</f>
        <v>#NAME?</v>
      </c>
      <c r="J123" s="1" t="e">
        <f t="array" ref="J123">SUM</f>
        <v>#NAME?</v>
      </c>
      <c r="K123" s="1" t="e">
        <f t="array" ref="K123">SUM</f>
        <v>#NAME?</v>
      </c>
      <c r="L123" s="1" t="e">
        <f t="array" ref="L123">SUM</f>
        <v>#NAME?</v>
      </c>
      <c r="M123" s="1" t="e">
        <f t="array" ref="M123">SUM</f>
        <v>#NAME?</v>
      </c>
      <c r="N123" s="1" t="e">
        <f t="array" ref="N123">SUM</f>
        <v>#NAME?</v>
      </c>
      <c r="O123" t="s">
        <v>20</v>
      </c>
      <c r="P123">
        <v>2021</v>
      </c>
    </row>
    <row r="124" spans="1:16" x14ac:dyDescent="0.25">
      <c r="A124" t="s">
        <v>22</v>
      </c>
      <c r="B124" s="1" t="e">
        <f t="array" ref="B124">SUM</f>
        <v>#NAME?</v>
      </c>
      <c r="C124" s="1" t="e">
        <f t="array" ref="C124">SUM</f>
        <v>#NAME?</v>
      </c>
      <c r="D124" s="1" t="e">
        <f t="array" ref="D124">SUM</f>
        <v>#NAME?</v>
      </c>
      <c r="E124" s="1" t="e">
        <f t="array" ref="E124">SUM</f>
        <v>#NAME?</v>
      </c>
      <c r="F124" s="1" t="e">
        <f t="array" ref="F124">SUM</f>
        <v>#NAME?</v>
      </c>
      <c r="G124" s="1" t="e">
        <f t="array" ref="G124">SUM</f>
        <v>#NAME?</v>
      </c>
      <c r="H124" s="1" t="e">
        <f t="array" ref="H124">SUM</f>
        <v>#NAME?</v>
      </c>
      <c r="I124" s="1" t="e">
        <f t="array" ref="I124">SUM</f>
        <v>#NAME?</v>
      </c>
      <c r="J124" s="1" t="e">
        <f t="array" ref="J124">SUM</f>
        <v>#NAME?</v>
      </c>
      <c r="K124" s="1" t="e">
        <f t="array" ref="K124">SUM</f>
        <v>#NAME?</v>
      </c>
      <c r="L124" s="1" t="e">
        <f t="array" ref="L124">SUM</f>
        <v>#NAME?</v>
      </c>
      <c r="M124" s="1" t="e">
        <f t="array" ref="M124">SUM</f>
        <v>#NAME?</v>
      </c>
      <c r="N124" s="1" t="e">
        <f t="array" ref="N124">SUM</f>
        <v>#NAME?</v>
      </c>
      <c r="O124" t="s">
        <v>20</v>
      </c>
      <c r="P124">
        <v>2021</v>
      </c>
    </row>
    <row r="125" spans="1:16" x14ac:dyDescent="0.25">
      <c r="A125" t="s">
        <v>16</v>
      </c>
      <c r="B125" s="1" t="e">
        <f t="array" ref="B125">SUM</f>
        <v>#NAME?</v>
      </c>
      <c r="C125" s="1" t="e">
        <f t="array" ref="C125">SUM</f>
        <v>#NAME?</v>
      </c>
      <c r="D125" s="1" t="e">
        <f t="array" ref="D125">SUM</f>
        <v>#NAME?</v>
      </c>
      <c r="E125" s="1" t="e">
        <f t="array" ref="E125">SUM</f>
        <v>#NAME?</v>
      </c>
      <c r="F125" s="1" t="e">
        <f t="array" ref="F125">SUM</f>
        <v>#NAME?</v>
      </c>
      <c r="G125" s="1" t="e">
        <f t="array" ref="G125">SUM</f>
        <v>#NAME?</v>
      </c>
      <c r="H125" s="1" t="e">
        <f t="array" ref="H125">SUM</f>
        <v>#NAME?</v>
      </c>
      <c r="I125" s="1" t="e">
        <f t="array" ref="I125">SUM</f>
        <v>#NAME?</v>
      </c>
      <c r="J125" s="1" t="e">
        <f t="array" ref="J125">SUM</f>
        <v>#NAME?</v>
      </c>
      <c r="K125" s="1" t="e">
        <f t="array" ref="K125">SUM</f>
        <v>#NAME?</v>
      </c>
      <c r="L125" s="1" t="e">
        <f t="array" ref="L125">SUM</f>
        <v>#NAME?</v>
      </c>
      <c r="M125" s="1" t="e">
        <f t="array" ref="M125">SUM</f>
        <v>#NAME?</v>
      </c>
      <c r="N125" s="1" t="e">
        <f t="array" ref="N125">SUM</f>
        <v>#NAME?</v>
      </c>
      <c r="O125" t="s">
        <v>28</v>
      </c>
      <c r="P125">
        <v>2021</v>
      </c>
    </row>
    <row r="126" spans="1:16" x14ac:dyDescent="0.25">
      <c r="A126" t="s">
        <v>16</v>
      </c>
      <c r="B126" s="1" t="e">
        <f t="array" ref="B126">SUM</f>
        <v>#NAME?</v>
      </c>
      <c r="C126" s="1" t="e">
        <f t="array" ref="C126">SUM</f>
        <v>#NAME?</v>
      </c>
      <c r="D126" s="1" t="e">
        <f t="array" ref="D126">SUM</f>
        <v>#NAME?</v>
      </c>
      <c r="E126" s="1" t="e">
        <f t="array" ref="E126">SUM</f>
        <v>#NAME?</v>
      </c>
      <c r="F126" s="1" t="e">
        <f t="array" ref="F126">SUM</f>
        <v>#NAME?</v>
      </c>
      <c r="G126" s="1" t="e">
        <f t="array" ref="G126">SUM</f>
        <v>#NAME?</v>
      </c>
      <c r="H126" s="1" t="e">
        <f t="array" ref="H126">SUM</f>
        <v>#NAME?</v>
      </c>
      <c r="I126" s="1" t="e">
        <f t="array" ref="I126">SUM</f>
        <v>#NAME?</v>
      </c>
      <c r="J126" s="1" t="e">
        <f t="array" ref="J126">SUM</f>
        <v>#NAME?</v>
      </c>
      <c r="K126" s="1" t="e">
        <f t="array" ref="K126">SUM</f>
        <v>#NAME?</v>
      </c>
      <c r="L126" s="1" t="e">
        <f t="array" ref="L126">SUM</f>
        <v>#NAME?</v>
      </c>
      <c r="M126" s="1" t="e">
        <f t="array" ref="M126">SUM</f>
        <v>#NAME?</v>
      </c>
      <c r="N126" s="1" t="e">
        <f t="array" ref="N126">SUM</f>
        <v>#NAME?</v>
      </c>
      <c r="O126" t="s">
        <v>28</v>
      </c>
      <c r="P126">
        <v>2021</v>
      </c>
    </row>
    <row r="127" spans="1:16" x14ac:dyDescent="0.25">
      <c r="A127" t="s">
        <v>16</v>
      </c>
      <c r="B127" s="1" t="e">
        <f t="array" ref="B127">SUM</f>
        <v>#NAME?</v>
      </c>
      <c r="C127" s="1" t="e">
        <f t="array" ref="C127">SUM</f>
        <v>#NAME?</v>
      </c>
      <c r="D127" s="1" t="e">
        <f t="array" ref="D127">SUM</f>
        <v>#NAME?</v>
      </c>
      <c r="E127" s="1" t="e">
        <f t="array" ref="E127">SUM</f>
        <v>#NAME?</v>
      </c>
      <c r="F127" s="1" t="e">
        <f t="array" ref="F127">SUM</f>
        <v>#NAME?</v>
      </c>
      <c r="G127" s="1" t="e">
        <f t="array" ref="G127">SUM</f>
        <v>#NAME?</v>
      </c>
      <c r="H127" s="1" t="e">
        <f t="array" ref="H127">SUM</f>
        <v>#NAME?</v>
      </c>
      <c r="I127" s="1" t="e">
        <f t="array" ref="I127">SUM</f>
        <v>#NAME?</v>
      </c>
      <c r="J127" s="1" t="e">
        <f t="array" ref="J127">SUM</f>
        <v>#NAME?</v>
      </c>
      <c r="K127" s="1" t="e">
        <f t="array" ref="K127">SUM</f>
        <v>#NAME?</v>
      </c>
      <c r="L127" s="1" t="e">
        <f t="array" ref="L127">SUM</f>
        <v>#NAME?</v>
      </c>
      <c r="M127" s="1" t="e">
        <f t="array" ref="M127">SUM</f>
        <v>#NAME?</v>
      </c>
      <c r="N127" s="1" t="e">
        <f t="array" ref="N127">SUM</f>
        <v>#NAME?</v>
      </c>
      <c r="O127" t="s">
        <v>28</v>
      </c>
      <c r="P127">
        <v>2021</v>
      </c>
    </row>
    <row r="128" spans="1:16" x14ac:dyDescent="0.25">
      <c r="A128" t="s">
        <v>23</v>
      </c>
      <c r="B128" s="1" t="e">
        <f t="array" ref="B128">SUM</f>
        <v>#NAME?</v>
      </c>
      <c r="C128" s="1" t="e">
        <f t="array" ref="C128">SUM</f>
        <v>#NAME?</v>
      </c>
      <c r="D128" s="1" t="e">
        <f t="array" ref="D128">SUM</f>
        <v>#NAME?</v>
      </c>
      <c r="E128" s="1" t="e">
        <f t="array" ref="E128">SUM</f>
        <v>#NAME?</v>
      </c>
      <c r="F128" s="1" t="e">
        <f t="array" ref="F128">SUM</f>
        <v>#NAME?</v>
      </c>
      <c r="G128" s="1" t="e">
        <f t="array" ref="G128">SUM</f>
        <v>#NAME?</v>
      </c>
      <c r="H128" s="1" t="e">
        <f t="array" ref="H128">SUM</f>
        <v>#NAME?</v>
      </c>
      <c r="I128" s="1" t="e">
        <f t="array" ref="I128">SUM</f>
        <v>#NAME?</v>
      </c>
      <c r="J128" s="1" t="e">
        <f t="array" ref="J128">SUM</f>
        <v>#NAME?</v>
      </c>
      <c r="K128" s="1" t="e">
        <f t="array" ref="K128">SUM</f>
        <v>#NAME?</v>
      </c>
      <c r="L128" s="1" t="e">
        <f t="array" ref="L128">SUM</f>
        <v>#NAME?</v>
      </c>
      <c r="M128" s="1" t="e">
        <f t="array" ref="M128">SUM</f>
        <v>#NAME?</v>
      </c>
      <c r="N128" s="1" t="e">
        <f t="array" ref="N128">SUM</f>
        <v>#NAME?</v>
      </c>
      <c r="O128" t="s">
        <v>28</v>
      </c>
      <c r="P128">
        <v>2021</v>
      </c>
    </row>
    <row r="129" spans="1:16" x14ac:dyDescent="0.25">
      <c r="A129" t="s">
        <v>23</v>
      </c>
      <c r="B129" s="1" t="e">
        <f t="array" ref="B129">SUM</f>
        <v>#NAME?</v>
      </c>
      <c r="C129" s="1" t="e">
        <f t="array" ref="C129">SUM</f>
        <v>#NAME?</v>
      </c>
      <c r="D129" s="1" t="e">
        <f t="array" ref="D129">SUM</f>
        <v>#NAME?</v>
      </c>
      <c r="E129" s="1" t="e">
        <f t="array" ref="E129">SUM</f>
        <v>#NAME?</v>
      </c>
      <c r="F129" s="1" t="e">
        <f t="array" ref="F129">SUM</f>
        <v>#NAME?</v>
      </c>
      <c r="G129" s="1" t="e">
        <f t="array" ref="G129">SUM</f>
        <v>#NAME?</v>
      </c>
      <c r="H129" s="1" t="e">
        <f t="array" ref="H129">SUM</f>
        <v>#NAME?</v>
      </c>
      <c r="I129" s="1" t="e">
        <f t="array" ref="I129">SUM</f>
        <v>#NAME?</v>
      </c>
      <c r="J129" s="1" t="e">
        <f t="array" ref="J129">SUM</f>
        <v>#NAME?</v>
      </c>
      <c r="K129" s="1" t="e">
        <f t="array" ref="K129">SUM</f>
        <v>#NAME?</v>
      </c>
      <c r="L129" s="1" t="e">
        <f t="array" ref="L129">SUM</f>
        <v>#NAME?</v>
      </c>
      <c r="M129" s="1" t="e">
        <f t="array" ref="M129">SUM</f>
        <v>#NAME?</v>
      </c>
      <c r="N129" s="1" t="e">
        <f t="array" ref="N129">SUM</f>
        <v>#NAME?</v>
      </c>
      <c r="O129" t="s">
        <v>28</v>
      </c>
      <c r="P129">
        <v>2021</v>
      </c>
    </row>
    <row r="130" spans="1:16" x14ac:dyDescent="0.25">
      <c r="A130" t="s">
        <v>22</v>
      </c>
      <c r="B130" s="1" t="e">
        <f t="array" ref="B130">SUM</f>
        <v>#NAME?</v>
      </c>
      <c r="C130" s="1" t="e">
        <f t="array" ref="C130">SUM</f>
        <v>#NAME?</v>
      </c>
      <c r="D130" s="1" t="e">
        <f t="array" ref="D130">SUM</f>
        <v>#NAME?</v>
      </c>
      <c r="E130" s="1" t="e">
        <f t="array" ref="E130">SUM</f>
        <v>#NAME?</v>
      </c>
      <c r="F130" s="1" t="e">
        <f t="array" ref="F130">SUM</f>
        <v>#NAME?</v>
      </c>
      <c r="G130" s="1" t="e">
        <f t="array" ref="G130">SUM</f>
        <v>#NAME?</v>
      </c>
      <c r="H130" s="1" t="e">
        <f t="array" ref="H130">SUM</f>
        <v>#NAME?</v>
      </c>
      <c r="I130" s="1" t="e">
        <f t="array" ref="I130">SUM</f>
        <v>#NAME?</v>
      </c>
      <c r="J130" s="1" t="e">
        <f t="array" ref="J130">SUM</f>
        <v>#NAME?</v>
      </c>
      <c r="K130" s="1" t="e">
        <f t="array" ref="K130">SUM</f>
        <v>#NAME?</v>
      </c>
      <c r="L130" s="1" t="e">
        <f t="array" ref="L130">SUM</f>
        <v>#NAME?</v>
      </c>
      <c r="M130" s="1" t="e">
        <f t="array" ref="M130">SUM</f>
        <v>#NAME?</v>
      </c>
      <c r="N130" s="1" t="e">
        <f t="array" ref="N130">SUM</f>
        <v>#NAME?</v>
      </c>
      <c r="O130" t="s">
        <v>20</v>
      </c>
      <c r="P130">
        <v>2021</v>
      </c>
    </row>
    <row r="131" spans="1:16" x14ac:dyDescent="0.25">
      <c r="A131" t="s">
        <v>16</v>
      </c>
      <c r="B131" s="1" t="e">
        <f t="array" ref="B131">SUM</f>
        <v>#NAME?</v>
      </c>
      <c r="C131" s="1" t="e">
        <f t="array" ref="C131">SUM</f>
        <v>#NAME?</v>
      </c>
      <c r="D131" s="1" t="e">
        <f t="array" ref="D131">SUM</f>
        <v>#NAME?</v>
      </c>
      <c r="E131" s="1" t="e">
        <f t="array" ref="E131">SUM</f>
        <v>#NAME?</v>
      </c>
      <c r="F131" s="1" t="e">
        <f t="array" ref="F131">SUM</f>
        <v>#NAME?</v>
      </c>
      <c r="G131" s="1" t="e">
        <f t="array" ref="G131">SUM</f>
        <v>#NAME?</v>
      </c>
      <c r="H131" s="1" t="e">
        <f t="array" ref="H131">SUM</f>
        <v>#NAME?</v>
      </c>
      <c r="I131" s="1" t="e">
        <f t="array" ref="I131">SUM</f>
        <v>#NAME?</v>
      </c>
      <c r="J131" s="1" t="e">
        <f t="array" ref="J131">SUM</f>
        <v>#NAME?</v>
      </c>
      <c r="K131" s="1" t="e">
        <f t="array" ref="K131">SUM</f>
        <v>#NAME?</v>
      </c>
      <c r="L131" s="1" t="e">
        <f t="array" ref="L131">SUM</f>
        <v>#NAME?</v>
      </c>
      <c r="M131" s="1" t="e">
        <f t="array" ref="M131">SUM</f>
        <v>#NAME?</v>
      </c>
      <c r="N131" s="1" t="e">
        <f t="array" ref="N131">SUM</f>
        <v>#NAME?</v>
      </c>
      <c r="O131" t="s">
        <v>20</v>
      </c>
      <c r="P131">
        <v>2021</v>
      </c>
    </row>
    <row r="132" spans="1:16" x14ac:dyDescent="0.25">
      <c r="A132" t="s">
        <v>22</v>
      </c>
      <c r="B132" s="1" t="e">
        <f t="array" ref="B132">SUM</f>
        <v>#NAME?</v>
      </c>
      <c r="C132" s="1" t="e">
        <f t="array" ref="C132">SUM</f>
        <v>#NAME?</v>
      </c>
      <c r="D132" s="1" t="e">
        <f t="array" ref="D132">SUM</f>
        <v>#NAME?</v>
      </c>
      <c r="E132" s="1" t="e">
        <f t="array" ref="E132">SUM</f>
        <v>#NAME?</v>
      </c>
      <c r="F132" s="1" t="e">
        <f t="array" ref="F132">SUM</f>
        <v>#NAME?</v>
      </c>
      <c r="G132" s="1" t="e">
        <f t="array" ref="G132">SUM</f>
        <v>#NAME?</v>
      </c>
      <c r="H132" s="1" t="e">
        <f t="array" ref="H132">SUM</f>
        <v>#NAME?</v>
      </c>
      <c r="I132" s="1" t="e">
        <f t="array" ref="I132">SUM</f>
        <v>#NAME?</v>
      </c>
      <c r="J132" s="1" t="e">
        <f t="array" ref="J132">SUM</f>
        <v>#NAME?</v>
      </c>
      <c r="K132" s="1" t="e">
        <f t="array" ref="K132">SUM</f>
        <v>#NAME?</v>
      </c>
      <c r="L132" s="1" t="e">
        <f t="array" ref="L132">SUM</f>
        <v>#NAME?</v>
      </c>
      <c r="M132" s="1" t="e">
        <f t="array" ref="M132">SUM</f>
        <v>#NAME?</v>
      </c>
      <c r="N132" s="1" t="e">
        <f t="array" ref="N132">SUM</f>
        <v>#NAME?</v>
      </c>
      <c r="O132" t="s">
        <v>20</v>
      </c>
      <c r="P132">
        <v>2021</v>
      </c>
    </row>
    <row r="133" spans="1:16" x14ac:dyDescent="0.25">
      <c r="A133" t="s">
        <v>23</v>
      </c>
      <c r="B133" s="1" t="e">
        <f t="array" ref="B133">SUM</f>
        <v>#NAME?</v>
      </c>
      <c r="C133" s="1" t="e">
        <f t="array" ref="C133">SUM</f>
        <v>#NAME?</v>
      </c>
      <c r="D133" s="1" t="e">
        <f t="array" ref="D133">SUM</f>
        <v>#NAME?</v>
      </c>
      <c r="E133" s="1" t="e">
        <f t="array" ref="E133">SUM</f>
        <v>#NAME?</v>
      </c>
      <c r="F133" s="1" t="e">
        <f t="array" ref="F133">SUM</f>
        <v>#NAME?</v>
      </c>
      <c r="G133" s="1" t="e">
        <f t="array" ref="G133">SUM</f>
        <v>#NAME?</v>
      </c>
      <c r="H133" s="1" t="e">
        <f t="array" ref="H133">SUM</f>
        <v>#NAME?</v>
      </c>
      <c r="I133" s="1" t="e">
        <f t="array" ref="I133">SUM</f>
        <v>#NAME?</v>
      </c>
      <c r="J133" s="1" t="e">
        <f t="array" ref="J133">SUM</f>
        <v>#NAME?</v>
      </c>
      <c r="K133" s="1" t="e">
        <f t="array" ref="K133">SUM</f>
        <v>#NAME?</v>
      </c>
      <c r="L133" s="1" t="e">
        <f t="array" ref="L133">SUM</f>
        <v>#NAME?</v>
      </c>
      <c r="M133" s="1" t="e">
        <f t="array" ref="M133">SUM</f>
        <v>#NAME?</v>
      </c>
      <c r="N133" s="1" t="e">
        <f t="array" ref="N133">SUM</f>
        <v>#NAME?</v>
      </c>
      <c r="O133" t="s">
        <v>19</v>
      </c>
      <c r="P133">
        <v>2021</v>
      </c>
    </row>
    <row r="134" spans="1:16" x14ac:dyDescent="0.25">
      <c r="A134" t="s">
        <v>25</v>
      </c>
      <c r="B134" s="1" t="e">
        <f t="array" ref="B134">SUM</f>
        <v>#NAME?</v>
      </c>
      <c r="C134" s="1" t="e">
        <f t="array" ref="C134">SUM</f>
        <v>#NAME?</v>
      </c>
      <c r="D134" s="1" t="e">
        <f t="array" ref="D134">SUM</f>
        <v>#NAME?</v>
      </c>
      <c r="E134" s="1" t="e">
        <f t="array" ref="E134">SUM</f>
        <v>#NAME?</v>
      </c>
      <c r="F134" s="1" t="e">
        <f t="array" ref="F134">SUM</f>
        <v>#NAME?</v>
      </c>
      <c r="G134" s="1" t="e">
        <f t="array" ref="G134">SUM</f>
        <v>#NAME?</v>
      </c>
      <c r="H134" s="1" t="e">
        <f t="array" ref="H134">SUM</f>
        <v>#NAME?</v>
      </c>
      <c r="I134" s="1" t="e">
        <f t="array" ref="I134">SUM</f>
        <v>#NAME?</v>
      </c>
      <c r="J134" s="1" t="e">
        <f t="array" ref="J134">SUM</f>
        <v>#NAME?</v>
      </c>
      <c r="K134" s="1" t="e">
        <f t="array" ref="K134">SUM</f>
        <v>#NAME?</v>
      </c>
      <c r="L134" s="1" t="e">
        <f t="array" ref="L134">SUM</f>
        <v>#NAME?</v>
      </c>
      <c r="M134" s="1" t="e">
        <f t="array" ref="M134">SUM</f>
        <v>#NAME?</v>
      </c>
      <c r="N134" s="1" t="e">
        <f t="array" ref="N134">SUM</f>
        <v>#NAME?</v>
      </c>
      <c r="O134" t="s">
        <v>28</v>
      </c>
      <c r="P134">
        <v>2021</v>
      </c>
    </row>
    <row r="135" spans="1:16" x14ac:dyDescent="0.25">
      <c r="A135" t="s">
        <v>16</v>
      </c>
      <c r="B135" s="1" t="e">
        <f t="array" ref="B135">SUM</f>
        <v>#NAME?</v>
      </c>
      <c r="C135" s="1" t="e">
        <f t="array" ref="C135">SUM</f>
        <v>#NAME?</v>
      </c>
      <c r="D135" s="1" t="e">
        <f t="array" ref="D135">SUM</f>
        <v>#NAME?</v>
      </c>
      <c r="E135" s="1" t="e">
        <f t="array" ref="E135">SUM</f>
        <v>#NAME?</v>
      </c>
      <c r="F135" s="1" t="e">
        <f t="array" ref="F135">SUM</f>
        <v>#NAME?</v>
      </c>
      <c r="G135" s="1" t="e">
        <f t="array" ref="G135">SUM</f>
        <v>#NAME?</v>
      </c>
      <c r="H135" s="1" t="e">
        <f t="array" ref="H135">SUM</f>
        <v>#NAME?</v>
      </c>
      <c r="I135" s="1" t="e">
        <f t="array" ref="I135">SUM</f>
        <v>#NAME?</v>
      </c>
      <c r="J135" s="1" t="e">
        <f t="array" ref="J135">SUM</f>
        <v>#NAME?</v>
      </c>
      <c r="K135" s="1" t="e">
        <f t="array" ref="K135">SUM</f>
        <v>#NAME?</v>
      </c>
      <c r="L135" s="1" t="e">
        <f t="array" ref="L135">SUM</f>
        <v>#NAME?</v>
      </c>
      <c r="M135" s="1" t="e">
        <f t="array" ref="M135">SUM</f>
        <v>#NAME?</v>
      </c>
      <c r="N135" s="1" t="e">
        <f t="array" ref="N135">SUM</f>
        <v>#NAME?</v>
      </c>
      <c r="O135" t="s">
        <v>28</v>
      </c>
      <c r="P135">
        <v>2021</v>
      </c>
    </row>
    <row r="136" spans="1:16" x14ac:dyDescent="0.25">
      <c r="A136" t="s">
        <v>23</v>
      </c>
      <c r="B136" s="1" t="e">
        <f t="array" ref="B136">SUM</f>
        <v>#NAME?</v>
      </c>
      <c r="C136" s="1" t="e">
        <f t="array" ref="C136">SUM</f>
        <v>#NAME?</v>
      </c>
      <c r="D136" s="1" t="e">
        <f t="array" ref="D136">SUM</f>
        <v>#NAME?</v>
      </c>
      <c r="E136" s="1" t="e">
        <f t="array" ref="E136">SUM</f>
        <v>#NAME?</v>
      </c>
      <c r="F136" s="1" t="e">
        <f t="array" ref="F136">SUM</f>
        <v>#NAME?</v>
      </c>
      <c r="G136" s="1" t="e">
        <f t="array" ref="G136">SUM</f>
        <v>#NAME?</v>
      </c>
      <c r="H136" s="1" t="e">
        <f t="array" ref="H136">SUM</f>
        <v>#NAME?</v>
      </c>
      <c r="I136" s="1" t="e">
        <f t="array" ref="I136">SUM</f>
        <v>#NAME?</v>
      </c>
      <c r="J136" s="1" t="e">
        <f t="array" ref="J136">SUM</f>
        <v>#NAME?</v>
      </c>
      <c r="K136" s="1" t="e">
        <f t="array" ref="K136">SUM</f>
        <v>#NAME?</v>
      </c>
      <c r="L136" s="1" t="e">
        <f t="array" ref="L136">SUM</f>
        <v>#NAME?</v>
      </c>
      <c r="M136" s="1" t="e">
        <f t="array" ref="M136">SUM</f>
        <v>#NAME?</v>
      </c>
      <c r="N136" s="1" t="e">
        <f t="array" ref="N136">SUM</f>
        <v>#NAME?</v>
      </c>
      <c r="O136" t="s">
        <v>20</v>
      </c>
      <c r="P136">
        <v>2021</v>
      </c>
    </row>
    <row r="137" spans="1:16" x14ac:dyDescent="0.25">
      <c r="A137" t="s">
        <v>16</v>
      </c>
      <c r="B137" s="1" t="e">
        <f t="array" ref="B137">SUM</f>
        <v>#NAME?</v>
      </c>
      <c r="C137" s="1" t="e">
        <f t="array" ref="C137">SUM</f>
        <v>#NAME?</v>
      </c>
      <c r="D137" s="1" t="e">
        <f t="array" ref="D137">SUM</f>
        <v>#NAME?</v>
      </c>
      <c r="E137" s="1" t="e">
        <f t="array" ref="E137">SUM</f>
        <v>#NAME?</v>
      </c>
      <c r="F137" s="1" t="e">
        <f t="array" ref="F137">SUM</f>
        <v>#NAME?</v>
      </c>
      <c r="G137" s="1" t="e">
        <f t="array" ref="G137">SUM</f>
        <v>#NAME?</v>
      </c>
      <c r="H137" s="1" t="e">
        <f t="array" ref="H137">SUM</f>
        <v>#NAME?</v>
      </c>
      <c r="I137" s="1" t="e">
        <f t="array" ref="I137">SUM</f>
        <v>#NAME?</v>
      </c>
      <c r="J137" s="1" t="e">
        <f t="array" ref="J137">SUM</f>
        <v>#NAME?</v>
      </c>
      <c r="K137" s="1" t="e">
        <f t="array" ref="K137">SUM</f>
        <v>#NAME?</v>
      </c>
      <c r="L137" s="1" t="e">
        <f t="array" ref="L137">SUM</f>
        <v>#NAME?</v>
      </c>
      <c r="M137" s="1" t="e">
        <f t="array" ref="M137">SUM</f>
        <v>#NAME?</v>
      </c>
      <c r="N137" s="1" t="e">
        <f t="array" ref="N137">SUM</f>
        <v>#NAME?</v>
      </c>
      <c r="O137" t="s">
        <v>20</v>
      </c>
      <c r="P137">
        <v>2021</v>
      </c>
    </row>
    <row r="138" spans="1:16" x14ac:dyDescent="0.25">
      <c r="A138" t="s">
        <v>16</v>
      </c>
      <c r="B138" s="1" t="e">
        <f t="array" ref="B138">SUM</f>
        <v>#NAME?</v>
      </c>
      <c r="C138" s="1" t="e">
        <f t="array" ref="C138">SUM</f>
        <v>#NAME?</v>
      </c>
      <c r="D138" s="1" t="e">
        <f t="array" ref="D138">SUM</f>
        <v>#NAME?</v>
      </c>
      <c r="E138" s="1" t="e">
        <f t="array" ref="E138">SUM</f>
        <v>#NAME?</v>
      </c>
      <c r="F138" s="1" t="e">
        <f t="array" ref="F138">SUM</f>
        <v>#NAME?</v>
      </c>
      <c r="G138" s="1" t="e">
        <f t="array" ref="G138">SUM</f>
        <v>#NAME?</v>
      </c>
      <c r="H138" s="1" t="e">
        <f t="array" ref="H138">SUM</f>
        <v>#NAME?</v>
      </c>
      <c r="I138" s="1" t="e">
        <f t="array" ref="I138">SUM</f>
        <v>#NAME?</v>
      </c>
      <c r="J138" s="1" t="e">
        <f t="array" ref="J138">SUM</f>
        <v>#NAME?</v>
      </c>
      <c r="K138" s="1" t="e">
        <f t="array" ref="K138">SUM</f>
        <v>#NAME?</v>
      </c>
      <c r="L138" s="1" t="e">
        <f t="array" ref="L138">SUM</f>
        <v>#NAME?</v>
      </c>
      <c r="M138" s="1" t="e">
        <f t="array" ref="M138">SUM</f>
        <v>#NAME?</v>
      </c>
      <c r="N138" s="1" t="e">
        <f t="array" ref="N138">SUM</f>
        <v>#NAME?</v>
      </c>
      <c r="O138" t="s">
        <v>20</v>
      </c>
      <c r="P138">
        <v>2021</v>
      </c>
    </row>
    <row r="139" spans="1:16" x14ac:dyDescent="0.25">
      <c r="A139" t="s">
        <v>25</v>
      </c>
      <c r="B139" s="1" t="e">
        <f t="array" ref="B139">SUM</f>
        <v>#NAME?</v>
      </c>
      <c r="C139" s="1" t="e">
        <f t="array" ref="C139">SUM</f>
        <v>#NAME?</v>
      </c>
      <c r="D139" s="1" t="e">
        <f t="array" ref="D139">SUM</f>
        <v>#NAME?</v>
      </c>
      <c r="E139" s="1" t="e">
        <f t="array" ref="E139">SUM</f>
        <v>#NAME?</v>
      </c>
      <c r="F139" s="1" t="e">
        <f t="array" ref="F139">SUM</f>
        <v>#NAME?</v>
      </c>
      <c r="G139" s="1" t="e">
        <f t="array" ref="G139">SUM</f>
        <v>#NAME?</v>
      </c>
      <c r="H139" s="1" t="e">
        <f t="array" ref="H139">SUM</f>
        <v>#NAME?</v>
      </c>
      <c r="I139" s="1" t="e">
        <f t="array" ref="I139">SUM</f>
        <v>#NAME?</v>
      </c>
      <c r="J139" s="1" t="e">
        <f t="array" ref="J139">SUM</f>
        <v>#NAME?</v>
      </c>
      <c r="K139" s="1" t="e">
        <f t="array" ref="K139">SUM</f>
        <v>#NAME?</v>
      </c>
      <c r="L139" s="1" t="e">
        <f t="array" ref="L139">SUM</f>
        <v>#NAME?</v>
      </c>
      <c r="M139" s="1" t="e">
        <f t="array" ref="M139">SUM</f>
        <v>#NAME?</v>
      </c>
      <c r="N139" s="1" t="e">
        <f t="array" ref="N139">SUM</f>
        <v>#NAME?</v>
      </c>
      <c r="O139" t="s">
        <v>21</v>
      </c>
      <c r="P139">
        <v>2021</v>
      </c>
    </row>
    <row r="140" spans="1:16" x14ac:dyDescent="0.25">
      <c r="A140" t="s">
        <v>25</v>
      </c>
      <c r="B140" s="1" t="e">
        <f t="array" ref="B140">SUM</f>
        <v>#NAME?</v>
      </c>
      <c r="C140" s="1" t="e">
        <f t="array" ref="C140">SUM</f>
        <v>#NAME?</v>
      </c>
      <c r="D140" s="1" t="e">
        <f t="array" ref="D140">SUM</f>
        <v>#NAME?</v>
      </c>
      <c r="E140" s="1" t="e">
        <f t="array" ref="E140">SUM</f>
        <v>#NAME?</v>
      </c>
      <c r="F140" s="1" t="e">
        <f t="array" ref="F140">SUM</f>
        <v>#NAME?</v>
      </c>
      <c r="G140" s="1" t="e">
        <f t="array" ref="G140">SUM</f>
        <v>#NAME?</v>
      </c>
      <c r="H140" s="1" t="e">
        <f t="array" ref="H140">SUM</f>
        <v>#NAME?</v>
      </c>
      <c r="I140" s="1" t="e">
        <f t="array" ref="I140">SUM</f>
        <v>#NAME?</v>
      </c>
      <c r="J140" s="1" t="e">
        <f t="array" ref="J140">SUM</f>
        <v>#NAME?</v>
      </c>
      <c r="K140" s="1" t="e">
        <f t="array" ref="K140">SUM</f>
        <v>#NAME?</v>
      </c>
      <c r="L140" s="1" t="e">
        <f t="array" ref="L140">SUM</f>
        <v>#NAME?</v>
      </c>
      <c r="M140" s="1" t="e">
        <f t="array" ref="M140">SUM</f>
        <v>#NAME?</v>
      </c>
      <c r="N140" s="1" t="e">
        <f t="array" ref="N140">SUM</f>
        <v>#NAME?</v>
      </c>
      <c r="O140" t="s">
        <v>21</v>
      </c>
      <c r="P140">
        <v>2021</v>
      </c>
    </row>
    <row r="141" spans="1:16" x14ac:dyDescent="0.25">
      <c r="A141" t="s">
        <v>23</v>
      </c>
      <c r="B141" s="1" t="e">
        <f t="array" ref="B141">SUM</f>
        <v>#NAME?</v>
      </c>
      <c r="C141" s="1" t="e">
        <f t="array" ref="C141">SUM</f>
        <v>#NAME?</v>
      </c>
      <c r="D141" s="1" t="e">
        <f t="array" ref="D141">SUM</f>
        <v>#NAME?</v>
      </c>
      <c r="E141" s="1" t="e">
        <f t="array" ref="E141">SUM</f>
        <v>#NAME?</v>
      </c>
      <c r="F141" s="1" t="e">
        <f t="array" ref="F141">SUM</f>
        <v>#NAME?</v>
      </c>
      <c r="G141" s="1" t="e">
        <f t="array" ref="G141">SUM</f>
        <v>#NAME?</v>
      </c>
      <c r="H141" s="1" t="e">
        <f t="array" ref="H141">SUM</f>
        <v>#NAME?</v>
      </c>
      <c r="I141" s="1" t="e">
        <f t="array" ref="I141">SUM</f>
        <v>#NAME?</v>
      </c>
      <c r="J141" s="1" t="e">
        <f t="array" ref="J141">SUM</f>
        <v>#NAME?</v>
      </c>
      <c r="K141" s="1" t="e">
        <f t="array" ref="K141">SUM</f>
        <v>#NAME?</v>
      </c>
      <c r="L141" s="1" t="e">
        <f t="array" ref="L141">SUM</f>
        <v>#NAME?</v>
      </c>
      <c r="M141" s="1" t="e">
        <f t="array" ref="M141">SUM</f>
        <v>#NAME?</v>
      </c>
      <c r="N141" s="1" t="e">
        <f t="array" ref="N141">SUM</f>
        <v>#NAME?</v>
      </c>
      <c r="O141" t="s">
        <v>32</v>
      </c>
      <c r="P141">
        <v>2021</v>
      </c>
    </row>
    <row r="142" spans="1:16" x14ac:dyDescent="0.25">
      <c r="A142" t="s">
        <v>16</v>
      </c>
      <c r="B142" s="1" t="e">
        <f t="array" ref="B142">SUM</f>
        <v>#NAME?</v>
      </c>
      <c r="C142" s="1" t="e">
        <f t="array" ref="C142">SUM</f>
        <v>#NAME?</v>
      </c>
      <c r="D142" s="1" t="e">
        <f t="array" ref="D142">SUM</f>
        <v>#NAME?</v>
      </c>
      <c r="E142" s="1" t="e">
        <f t="array" ref="E142">SUM</f>
        <v>#NAME?</v>
      </c>
      <c r="F142" s="1" t="e">
        <f t="array" ref="F142">SUM</f>
        <v>#NAME?</v>
      </c>
      <c r="G142" s="1" t="e">
        <f t="array" ref="G142">SUM</f>
        <v>#NAME?</v>
      </c>
      <c r="H142" s="1" t="e">
        <f t="array" ref="H142">SUM</f>
        <v>#NAME?</v>
      </c>
      <c r="I142" s="1" t="e">
        <f t="array" ref="I142">SUM</f>
        <v>#NAME?</v>
      </c>
      <c r="J142" s="1" t="e">
        <f t="array" ref="J142">SUM</f>
        <v>#NAME?</v>
      </c>
      <c r="K142" s="1" t="e">
        <f t="array" ref="K142">SUM</f>
        <v>#NAME?</v>
      </c>
      <c r="L142" s="1" t="e">
        <f t="array" ref="L142">SUM</f>
        <v>#NAME?</v>
      </c>
      <c r="M142" s="1" t="e">
        <f t="array" ref="M142">SUM</f>
        <v>#NAME?</v>
      </c>
      <c r="N142" s="1" t="e">
        <f t="array" ref="N142">SUM</f>
        <v>#NAME?</v>
      </c>
      <c r="O142" t="s">
        <v>28</v>
      </c>
      <c r="P142">
        <v>2021</v>
      </c>
    </row>
    <row r="143" spans="1:16" x14ac:dyDescent="0.25">
      <c r="A143" t="s">
        <v>16</v>
      </c>
      <c r="B143" s="1" t="e">
        <f t="array" ref="B143">SUM</f>
        <v>#NAME?</v>
      </c>
      <c r="C143" s="1" t="e">
        <f t="array" ref="C143">SUM</f>
        <v>#NAME?</v>
      </c>
      <c r="D143" s="1" t="e">
        <f t="array" ref="D143">SUM</f>
        <v>#NAME?</v>
      </c>
      <c r="E143" s="1" t="e">
        <f t="array" ref="E143">SUM</f>
        <v>#NAME?</v>
      </c>
      <c r="F143" s="1" t="e">
        <f t="array" ref="F143">SUM</f>
        <v>#NAME?</v>
      </c>
      <c r="G143" s="1" t="e">
        <f t="array" ref="G143">SUM</f>
        <v>#NAME?</v>
      </c>
      <c r="H143" s="1" t="e">
        <f t="array" ref="H143">SUM</f>
        <v>#NAME?</v>
      </c>
      <c r="I143" s="1" t="e">
        <f t="array" ref="I143">SUM</f>
        <v>#NAME?</v>
      </c>
      <c r="J143" s="1" t="e">
        <f t="array" ref="J143">SUM</f>
        <v>#NAME?</v>
      </c>
      <c r="K143" s="1" t="e">
        <f t="array" ref="K143">SUM</f>
        <v>#NAME?</v>
      </c>
      <c r="L143" s="1" t="e">
        <f t="array" ref="L143">SUM</f>
        <v>#NAME?</v>
      </c>
      <c r="M143" s="1" t="e">
        <f t="array" ref="M143">SUM</f>
        <v>#NAME?</v>
      </c>
      <c r="N143" s="1" t="e">
        <f t="array" ref="N143">SUM</f>
        <v>#NAME?</v>
      </c>
      <c r="O143" t="s">
        <v>30</v>
      </c>
      <c r="P143">
        <v>2021</v>
      </c>
    </row>
    <row r="144" spans="1:16" x14ac:dyDescent="0.25">
      <c r="A144" t="s">
        <v>16</v>
      </c>
      <c r="B144" s="1" t="e">
        <f t="array" ref="B144">SUM</f>
        <v>#NAME?</v>
      </c>
      <c r="C144" s="1" t="e">
        <f t="array" ref="C144">SUM</f>
        <v>#NAME?</v>
      </c>
      <c r="D144" s="1" t="e">
        <f t="array" ref="D144">SUM</f>
        <v>#NAME?</v>
      </c>
      <c r="E144" s="1" t="e">
        <f t="array" ref="E144">SUM</f>
        <v>#NAME?</v>
      </c>
      <c r="F144" s="1" t="e">
        <f t="array" ref="F144">SUM</f>
        <v>#NAME?</v>
      </c>
      <c r="G144" s="1" t="e">
        <f t="array" ref="G144">SUM</f>
        <v>#NAME?</v>
      </c>
      <c r="H144" s="1" t="e">
        <f t="array" ref="H144">SUM</f>
        <v>#NAME?</v>
      </c>
      <c r="I144" s="1" t="e">
        <f t="array" ref="I144">SUM</f>
        <v>#NAME?</v>
      </c>
      <c r="J144" s="1" t="e">
        <f t="array" ref="J144">SUM</f>
        <v>#NAME?</v>
      </c>
      <c r="K144" s="1" t="e">
        <f t="array" ref="K144">SUM</f>
        <v>#NAME?</v>
      </c>
      <c r="L144" s="1" t="e">
        <f t="array" ref="L144">SUM</f>
        <v>#NAME?</v>
      </c>
      <c r="M144" s="1" t="e">
        <f t="array" ref="M144">SUM</f>
        <v>#NAME?</v>
      </c>
      <c r="N144" s="1" t="e">
        <f t="array" ref="N144">SUM</f>
        <v>#NAME?</v>
      </c>
      <c r="O144" t="s">
        <v>30</v>
      </c>
      <c r="P144">
        <v>2021</v>
      </c>
    </row>
    <row r="145" spans="1:16" x14ac:dyDescent="0.25">
      <c r="A145" t="s">
        <v>25</v>
      </c>
      <c r="B145" s="1" t="e">
        <f t="array" ref="B145">SUM</f>
        <v>#NAME?</v>
      </c>
      <c r="C145" s="1" t="e">
        <f t="array" ref="C145">SUM</f>
        <v>#NAME?</v>
      </c>
      <c r="D145" s="1" t="e">
        <f t="array" ref="D145">SUM</f>
        <v>#NAME?</v>
      </c>
      <c r="E145" s="1" t="e">
        <f t="array" ref="E145">SUM</f>
        <v>#NAME?</v>
      </c>
      <c r="F145" s="1" t="e">
        <f t="array" ref="F145">SUM</f>
        <v>#NAME?</v>
      </c>
      <c r="G145" s="1" t="e">
        <f t="array" ref="G145">SUM</f>
        <v>#NAME?</v>
      </c>
      <c r="H145" s="1" t="e">
        <f t="array" ref="H145">SUM</f>
        <v>#NAME?</v>
      </c>
      <c r="I145" s="1" t="e">
        <f t="array" ref="I145">SUM</f>
        <v>#NAME?</v>
      </c>
      <c r="J145" s="1" t="e">
        <f t="array" ref="J145">SUM</f>
        <v>#NAME?</v>
      </c>
      <c r="K145" s="1" t="e">
        <f t="array" ref="K145">SUM</f>
        <v>#NAME?</v>
      </c>
      <c r="L145" s="1" t="e">
        <f t="array" ref="L145">SUM</f>
        <v>#NAME?</v>
      </c>
      <c r="M145" s="1" t="e">
        <f t="array" ref="M145">SUM</f>
        <v>#NAME?</v>
      </c>
      <c r="N145" s="1" t="e">
        <f t="array" ref="N145">SUM</f>
        <v>#NAME?</v>
      </c>
      <c r="O145" t="s">
        <v>20</v>
      </c>
      <c r="P145">
        <v>2021</v>
      </c>
    </row>
    <row r="146" spans="1:16" x14ac:dyDescent="0.25">
      <c r="A146" t="s">
        <v>23</v>
      </c>
      <c r="B146" s="1" t="e">
        <f t="array" ref="B146">SUM</f>
        <v>#NAME?</v>
      </c>
      <c r="C146" s="1" t="e">
        <f t="array" ref="C146">SUM</f>
        <v>#NAME?</v>
      </c>
      <c r="D146" s="1" t="e">
        <f t="array" ref="D146">SUM</f>
        <v>#NAME?</v>
      </c>
      <c r="E146" s="1" t="e">
        <f t="array" ref="E146">SUM</f>
        <v>#NAME?</v>
      </c>
      <c r="F146" s="1" t="e">
        <f t="array" ref="F146">SUM</f>
        <v>#NAME?</v>
      </c>
      <c r="G146" s="1" t="e">
        <f t="array" ref="G146">SUM</f>
        <v>#NAME?</v>
      </c>
      <c r="H146" s="1" t="e">
        <f t="array" ref="H146">SUM</f>
        <v>#NAME?</v>
      </c>
      <c r="I146" s="1" t="e">
        <f t="array" ref="I146">SUM</f>
        <v>#NAME?</v>
      </c>
      <c r="J146" s="1" t="e">
        <f t="array" ref="J146">SUM</f>
        <v>#NAME?</v>
      </c>
      <c r="K146" s="1" t="e">
        <f t="array" ref="K146">SUM</f>
        <v>#NAME?</v>
      </c>
      <c r="L146" s="1" t="e">
        <f t="array" ref="L146">SUM</f>
        <v>#NAME?</v>
      </c>
      <c r="M146" s="1" t="e">
        <f t="array" ref="M146">SUM</f>
        <v>#NAME?</v>
      </c>
      <c r="N146" s="1" t="e">
        <f t="array" ref="N146">SUM</f>
        <v>#NAME?</v>
      </c>
      <c r="O146" t="s">
        <v>31</v>
      </c>
      <c r="P146">
        <v>2021</v>
      </c>
    </row>
    <row r="147" spans="1:16" x14ac:dyDescent="0.25">
      <c r="A147" t="s">
        <v>16</v>
      </c>
      <c r="B147" s="1" t="e">
        <f t="array" ref="B147">SUM</f>
        <v>#NAME?</v>
      </c>
      <c r="C147" s="1" t="e">
        <f t="array" ref="C147">SUM</f>
        <v>#NAME?</v>
      </c>
      <c r="D147" s="1" t="e">
        <f t="array" ref="D147">SUM</f>
        <v>#NAME?</v>
      </c>
      <c r="E147" s="1" t="e">
        <f t="array" ref="E147">SUM</f>
        <v>#NAME?</v>
      </c>
      <c r="F147" s="1" t="e">
        <f t="array" ref="F147">SUM</f>
        <v>#NAME?</v>
      </c>
      <c r="G147" s="1" t="e">
        <f t="array" ref="G147">SUM</f>
        <v>#NAME?</v>
      </c>
      <c r="H147" s="1" t="e">
        <f t="array" ref="H147">SUM</f>
        <v>#NAME?</v>
      </c>
      <c r="I147" s="1" t="e">
        <f t="array" ref="I147">SUM</f>
        <v>#NAME?</v>
      </c>
      <c r="J147" s="1" t="e">
        <f t="array" ref="J147">SUM</f>
        <v>#NAME?</v>
      </c>
      <c r="K147" s="1" t="e">
        <f t="array" ref="K147">SUM</f>
        <v>#NAME?</v>
      </c>
      <c r="L147" s="1" t="e">
        <f t="array" ref="L147">SUM</f>
        <v>#NAME?</v>
      </c>
      <c r="M147" s="1" t="e">
        <f t="array" ref="M147">SUM</f>
        <v>#NAME?</v>
      </c>
      <c r="N147" s="1" t="e">
        <f t="array" ref="N147">SUM</f>
        <v>#NAME?</v>
      </c>
      <c r="O147" t="s">
        <v>31</v>
      </c>
      <c r="P147">
        <v>2021</v>
      </c>
    </row>
    <row r="148" spans="1:16" x14ac:dyDescent="0.25">
      <c r="A148" t="s">
        <v>25</v>
      </c>
      <c r="B148" s="1" t="e">
        <f t="array" ref="B148">SUM</f>
        <v>#NAME?</v>
      </c>
      <c r="C148" s="1" t="e">
        <f t="array" ref="C148">SUM</f>
        <v>#NAME?</v>
      </c>
      <c r="D148" s="1" t="e">
        <f t="array" ref="D148">SUM</f>
        <v>#NAME?</v>
      </c>
      <c r="E148" s="1" t="e">
        <f t="array" ref="E148">SUM</f>
        <v>#NAME?</v>
      </c>
      <c r="F148" s="1" t="e">
        <f t="array" ref="F148">SUM</f>
        <v>#NAME?</v>
      </c>
      <c r="G148" s="1" t="e">
        <f t="array" ref="G148">SUM</f>
        <v>#NAME?</v>
      </c>
      <c r="H148" s="1" t="e">
        <f t="array" ref="H148">SUM</f>
        <v>#NAME?</v>
      </c>
      <c r="I148" s="1" t="e">
        <f t="array" ref="I148">SUM</f>
        <v>#NAME?</v>
      </c>
      <c r="J148" s="1" t="e">
        <f t="array" ref="J148">SUM</f>
        <v>#NAME?</v>
      </c>
      <c r="K148" s="1" t="e">
        <f t="array" ref="K148">SUM</f>
        <v>#NAME?</v>
      </c>
      <c r="L148" s="1" t="e">
        <f t="array" ref="L148">SUM</f>
        <v>#NAME?</v>
      </c>
      <c r="M148" s="1" t="e">
        <f t="array" ref="M148">SUM</f>
        <v>#NAME?</v>
      </c>
      <c r="N148" s="1" t="e">
        <f t="array" ref="N148">SUM</f>
        <v>#NAME?</v>
      </c>
      <c r="O148" t="s">
        <v>19</v>
      </c>
      <c r="P148">
        <v>2021</v>
      </c>
    </row>
    <row r="149" spans="1:16" x14ac:dyDescent="0.25">
      <c r="A149" t="s">
        <v>22</v>
      </c>
      <c r="B149" s="1" t="e">
        <f t="array" ref="B149">SUM</f>
        <v>#NAME?</v>
      </c>
      <c r="C149" s="1" t="e">
        <f t="array" ref="C149">SUM</f>
        <v>#NAME?</v>
      </c>
      <c r="D149" s="1" t="e">
        <f t="array" ref="D149">SUM</f>
        <v>#NAME?</v>
      </c>
      <c r="E149" s="1" t="e">
        <f t="array" ref="E149">SUM</f>
        <v>#NAME?</v>
      </c>
      <c r="F149" s="1" t="e">
        <f t="array" ref="F149">SUM</f>
        <v>#NAME?</v>
      </c>
      <c r="G149" s="1" t="e">
        <f t="array" ref="G149">SUM</f>
        <v>#NAME?</v>
      </c>
      <c r="H149" s="1" t="e">
        <f t="array" ref="H149">SUM</f>
        <v>#NAME?</v>
      </c>
      <c r="I149" s="1" t="e">
        <f t="array" ref="I149">SUM</f>
        <v>#NAME?</v>
      </c>
      <c r="J149" s="1" t="e">
        <f t="array" ref="J149">SUM</f>
        <v>#NAME?</v>
      </c>
      <c r="K149" s="1" t="e">
        <f t="array" ref="K149">SUM</f>
        <v>#NAME?</v>
      </c>
      <c r="L149" s="1" t="e">
        <f t="array" ref="L149">SUM</f>
        <v>#NAME?</v>
      </c>
      <c r="M149" s="1" t="e">
        <f t="array" ref="M149">SUM</f>
        <v>#NAME?</v>
      </c>
      <c r="N149" s="1" t="e">
        <f t="array" ref="N149">SUM</f>
        <v>#NAME?</v>
      </c>
      <c r="O149" t="s">
        <v>27</v>
      </c>
      <c r="P149">
        <v>2021</v>
      </c>
    </row>
    <row r="150" spans="1:16" x14ac:dyDescent="0.25">
      <c r="A150" t="s">
        <v>22</v>
      </c>
      <c r="B150" s="1" t="e">
        <f t="array" ref="B150">SUM</f>
        <v>#NAME?</v>
      </c>
      <c r="C150" s="1" t="e">
        <f t="array" ref="C150">SUM</f>
        <v>#NAME?</v>
      </c>
      <c r="D150" s="1" t="e">
        <f t="array" ref="D150">SUM</f>
        <v>#NAME?</v>
      </c>
      <c r="E150" s="1" t="e">
        <f t="array" ref="E150">SUM</f>
        <v>#NAME?</v>
      </c>
      <c r="F150" s="1" t="e">
        <f t="array" ref="F150">SUM</f>
        <v>#NAME?</v>
      </c>
      <c r="G150" s="1" t="e">
        <f t="array" ref="G150">SUM</f>
        <v>#NAME?</v>
      </c>
      <c r="H150" s="1" t="e">
        <f t="array" ref="H150">SUM</f>
        <v>#NAME?</v>
      </c>
      <c r="I150" s="1" t="e">
        <f t="array" ref="I150">SUM</f>
        <v>#NAME?</v>
      </c>
      <c r="J150" s="1" t="e">
        <f t="array" ref="J150">SUM</f>
        <v>#NAME?</v>
      </c>
      <c r="K150" s="1" t="e">
        <f t="array" ref="K150">SUM</f>
        <v>#NAME?</v>
      </c>
      <c r="L150" s="1" t="e">
        <f t="array" ref="L150">SUM</f>
        <v>#NAME?</v>
      </c>
      <c r="M150" s="1" t="e">
        <f t="array" ref="M150">SUM</f>
        <v>#NAME?</v>
      </c>
      <c r="N150" s="1" t="e">
        <f t="array" ref="N150">SUM</f>
        <v>#NAME?</v>
      </c>
      <c r="O150" t="s">
        <v>20</v>
      </c>
      <c r="P150">
        <v>2021</v>
      </c>
    </row>
    <row r="151" spans="1:16" x14ac:dyDescent="0.25">
      <c r="A151" t="s">
        <v>16</v>
      </c>
      <c r="B151" s="1" t="e">
        <f t="array" ref="B151">SUM</f>
        <v>#NAME?</v>
      </c>
      <c r="C151" s="1" t="e">
        <f t="array" ref="C151">SUM</f>
        <v>#NAME?</v>
      </c>
      <c r="D151" s="1" t="e">
        <f t="array" ref="D151">SUM</f>
        <v>#NAME?</v>
      </c>
      <c r="E151" s="1" t="e">
        <f t="array" ref="E151">SUM</f>
        <v>#NAME?</v>
      </c>
      <c r="F151" s="1" t="e">
        <f t="array" ref="F151">SUM</f>
        <v>#NAME?</v>
      </c>
      <c r="G151" s="1" t="e">
        <f t="array" ref="G151">SUM</f>
        <v>#NAME?</v>
      </c>
      <c r="H151" s="1" t="e">
        <f t="array" ref="H151">SUM</f>
        <v>#NAME?</v>
      </c>
      <c r="I151" s="1" t="e">
        <f t="array" ref="I151">SUM</f>
        <v>#NAME?</v>
      </c>
      <c r="J151" s="1" t="e">
        <f t="array" ref="J151">SUM</f>
        <v>#NAME?</v>
      </c>
      <c r="K151" s="1" t="e">
        <f t="array" ref="K151">SUM</f>
        <v>#NAME?</v>
      </c>
      <c r="L151" s="1" t="e">
        <f t="array" ref="L151">SUM</f>
        <v>#NAME?</v>
      </c>
      <c r="M151" s="1" t="e">
        <f t="array" ref="M151">SUM</f>
        <v>#NAME?</v>
      </c>
      <c r="N151" s="1" t="e">
        <f t="array" ref="N151">SUM</f>
        <v>#NAME?</v>
      </c>
      <c r="O151" t="s">
        <v>29</v>
      </c>
      <c r="P151">
        <v>2021</v>
      </c>
    </row>
    <row r="152" spans="1:16" x14ac:dyDescent="0.25">
      <c r="A152" t="s">
        <v>22</v>
      </c>
      <c r="B152" s="1" t="e">
        <f t="array" ref="B152">SUM</f>
        <v>#NAME?</v>
      </c>
      <c r="C152" s="1" t="e">
        <f t="array" ref="C152">SUM</f>
        <v>#NAME?</v>
      </c>
      <c r="D152" s="1" t="e">
        <f t="array" ref="D152">SUM</f>
        <v>#NAME?</v>
      </c>
      <c r="E152" s="1" t="e">
        <f t="array" ref="E152">SUM</f>
        <v>#NAME?</v>
      </c>
      <c r="F152" s="1" t="e">
        <f t="array" ref="F152">SUM</f>
        <v>#NAME?</v>
      </c>
      <c r="G152" s="1" t="e">
        <f t="array" ref="G152">SUM</f>
        <v>#NAME?</v>
      </c>
      <c r="H152" s="1" t="e">
        <f t="array" ref="H152">SUM</f>
        <v>#NAME?</v>
      </c>
      <c r="I152" s="1" t="e">
        <f t="array" ref="I152">SUM</f>
        <v>#NAME?</v>
      </c>
      <c r="J152" s="1" t="e">
        <f t="array" ref="J152">SUM</f>
        <v>#NAME?</v>
      </c>
      <c r="K152" s="1" t="e">
        <f t="array" ref="K152">SUM</f>
        <v>#NAME?</v>
      </c>
      <c r="L152" s="1" t="e">
        <f t="array" ref="L152">SUM</f>
        <v>#NAME?</v>
      </c>
      <c r="M152" s="1" t="e">
        <f t="array" ref="M152">SUM</f>
        <v>#NAME?</v>
      </c>
      <c r="N152" s="1" t="e">
        <f t="array" ref="N152">SUM</f>
        <v>#NAME?</v>
      </c>
      <c r="O152" t="s">
        <v>19</v>
      </c>
      <c r="P152">
        <v>2021</v>
      </c>
    </row>
    <row r="153" spans="1:16" x14ac:dyDescent="0.25">
      <c r="A153" t="s">
        <v>16</v>
      </c>
      <c r="B153" s="1" t="e">
        <f t="array" ref="B153">SUM</f>
        <v>#NAME?</v>
      </c>
      <c r="C153" s="1" t="e">
        <f t="array" ref="C153">SUM</f>
        <v>#NAME?</v>
      </c>
      <c r="D153" s="1" t="e">
        <f t="array" ref="D153">SUM</f>
        <v>#NAME?</v>
      </c>
      <c r="E153" s="1" t="e">
        <f t="array" ref="E153">SUM</f>
        <v>#NAME?</v>
      </c>
      <c r="F153" s="1" t="e">
        <f t="array" ref="F153">SUM</f>
        <v>#NAME?</v>
      </c>
      <c r="G153" s="1" t="e">
        <f t="array" ref="G153">SUM</f>
        <v>#NAME?</v>
      </c>
      <c r="H153" s="1" t="e">
        <f t="array" ref="H153">SUM</f>
        <v>#NAME?</v>
      </c>
      <c r="I153" s="1" t="e">
        <f t="array" ref="I153">SUM</f>
        <v>#NAME?</v>
      </c>
      <c r="J153" s="1" t="e">
        <f t="array" ref="J153">SUM</f>
        <v>#NAME?</v>
      </c>
      <c r="K153" s="1" t="e">
        <f t="array" ref="K153">SUM</f>
        <v>#NAME?</v>
      </c>
      <c r="L153" s="1" t="e">
        <f t="array" ref="L153">SUM</f>
        <v>#NAME?</v>
      </c>
      <c r="M153" s="1" t="e">
        <f t="array" ref="M153">SUM</f>
        <v>#NAME?</v>
      </c>
      <c r="N153" s="1" t="e">
        <f t="array" ref="N153">SUM</f>
        <v>#NAME?</v>
      </c>
      <c r="O153" t="s">
        <v>27</v>
      </c>
      <c r="P153">
        <v>2021</v>
      </c>
    </row>
    <row r="154" spans="1:16" x14ac:dyDescent="0.25">
      <c r="A154" t="s">
        <v>16</v>
      </c>
      <c r="B154" s="1" t="e">
        <f t="array" ref="B154">SUM</f>
        <v>#NAME?</v>
      </c>
      <c r="C154" s="1" t="e">
        <f t="array" ref="C154">SUM</f>
        <v>#NAME?</v>
      </c>
      <c r="D154" s="1" t="e">
        <f t="array" ref="D154">SUM</f>
        <v>#NAME?</v>
      </c>
      <c r="E154" s="1" t="e">
        <f t="array" ref="E154">SUM</f>
        <v>#NAME?</v>
      </c>
      <c r="F154" s="1" t="e">
        <f t="array" ref="F154">SUM</f>
        <v>#NAME?</v>
      </c>
      <c r="G154" s="1" t="e">
        <f t="array" ref="G154">SUM</f>
        <v>#NAME?</v>
      </c>
      <c r="H154" s="1" t="e">
        <f t="array" ref="H154">SUM</f>
        <v>#NAME?</v>
      </c>
      <c r="I154" s="1" t="e">
        <f t="array" ref="I154">SUM</f>
        <v>#NAME?</v>
      </c>
      <c r="J154" s="1" t="e">
        <f t="array" ref="J154">SUM</f>
        <v>#NAME?</v>
      </c>
      <c r="K154" s="1" t="e">
        <f t="array" ref="K154">SUM</f>
        <v>#NAME?</v>
      </c>
      <c r="L154" s="1" t="e">
        <f t="array" ref="L154">SUM</f>
        <v>#NAME?</v>
      </c>
      <c r="M154" s="1" t="e">
        <f t="array" ref="M154">SUM</f>
        <v>#NAME?</v>
      </c>
      <c r="N154" s="1" t="e">
        <f t="array" ref="N154">SUM</f>
        <v>#NAME?</v>
      </c>
      <c r="O154" t="s">
        <v>27</v>
      </c>
      <c r="P154">
        <v>2021</v>
      </c>
    </row>
    <row r="155" spans="1:16" x14ac:dyDescent="0.25">
      <c r="A155" t="s">
        <v>23</v>
      </c>
      <c r="B155" s="1" t="e">
        <f t="array" ref="B155">SUM</f>
        <v>#NAME?</v>
      </c>
      <c r="C155" s="1" t="e">
        <f t="array" ref="C155">SUM</f>
        <v>#NAME?</v>
      </c>
      <c r="D155" s="1" t="e">
        <f t="array" ref="D155">SUM</f>
        <v>#NAME?</v>
      </c>
      <c r="E155" s="1" t="e">
        <f t="array" ref="E155">SUM</f>
        <v>#NAME?</v>
      </c>
      <c r="F155" s="1" t="e">
        <f t="array" ref="F155">SUM</f>
        <v>#NAME?</v>
      </c>
      <c r="G155" s="1" t="e">
        <f t="array" ref="G155">SUM</f>
        <v>#NAME?</v>
      </c>
      <c r="H155" s="1" t="e">
        <f t="array" ref="H155">SUM</f>
        <v>#NAME?</v>
      </c>
      <c r="I155" s="1" t="e">
        <f t="array" ref="I155">SUM</f>
        <v>#NAME?</v>
      </c>
      <c r="J155" s="1" t="e">
        <f t="array" ref="J155">SUM</f>
        <v>#NAME?</v>
      </c>
      <c r="K155" s="1" t="e">
        <f t="array" ref="K155">SUM</f>
        <v>#NAME?</v>
      </c>
      <c r="L155" s="1" t="e">
        <f t="array" ref="L155">SUM</f>
        <v>#NAME?</v>
      </c>
      <c r="M155" s="1" t="e">
        <f t="array" ref="M155">SUM</f>
        <v>#NAME?</v>
      </c>
      <c r="N155" s="1" t="e">
        <f t="array" ref="N155">SUM</f>
        <v>#NAME?</v>
      </c>
      <c r="O155" t="s">
        <v>20</v>
      </c>
      <c r="P155">
        <v>2021</v>
      </c>
    </row>
    <row r="156" spans="1:16" x14ac:dyDescent="0.25">
      <c r="A156" t="s">
        <v>23</v>
      </c>
      <c r="B156" s="1" t="e">
        <f t="array" ref="B156">SUM</f>
        <v>#NAME?</v>
      </c>
      <c r="C156" s="1" t="e">
        <f t="array" ref="C156">SUM</f>
        <v>#NAME?</v>
      </c>
      <c r="D156" s="1" t="e">
        <f t="array" ref="D156">SUM</f>
        <v>#NAME?</v>
      </c>
      <c r="E156" s="1" t="e">
        <f t="array" ref="E156">SUM</f>
        <v>#NAME?</v>
      </c>
      <c r="F156" s="1" t="e">
        <f t="array" ref="F156">SUM</f>
        <v>#NAME?</v>
      </c>
      <c r="G156" s="1" t="e">
        <f t="array" ref="G156">SUM</f>
        <v>#NAME?</v>
      </c>
      <c r="H156" s="1" t="e">
        <f t="array" ref="H156">SUM</f>
        <v>#NAME?</v>
      </c>
      <c r="I156" s="1" t="e">
        <f t="array" ref="I156">SUM</f>
        <v>#NAME?</v>
      </c>
      <c r="J156" s="1" t="e">
        <f t="array" ref="J156">SUM</f>
        <v>#NAME?</v>
      </c>
      <c r="K156" s="1" t="e">
        <f t="array" ref="K156">SUM</f>
        <v>#NAME?</v>
      </c>
      <c r="L156" s="1" t="e">
        <f t="array" ref="L156">SUM</f>
        <v>#NAME?</v>
      </c>
      <c r="M156" s="1" t="e">
        <f t="array" ref="M156">SUM</f>
        <v>#NAME?</v>
      </c>
      <c r="N156" s="1" t="e">
        <f t="array" ref="N156">SUM</f>
        <v>#NAME?</v>
      </c>
      <c r="O156" t="s">
        <v>20</v>
      </c>
      <c r="P156">
        <v>2021</v>
      </c>
    </row>
    <row r="157" spans="1:16" x14ac:dyDescent="0.25">
      <c r="A157" t="s">
        <v>25</v>
      </c>
      <c r="B157" s="1" t="e">
        <f t="array" ref="B157">SUM</f>
        <v>#NAME?</v>
      </c>
      <c r="C157" s="1" t="e">
        <f t="array" ref="C157">SUM</f>
        <v>#NAME?</v>
      </c>
      <c r="D157" s="1" t="e">
        <f t="array" ref="D157">SUM</f>
        <v>#NAME?</v>
      </c>
      <c r="E157" s="1" t="e">
        <f t="array" ref="E157">SUM</f>
        <v>#NAME?</v>
      </c>
      <c r="F157" s="1" t="e">
        <f t="array" ref="F157">SUM</f>
        <v>#NAME?</v>
      </c>
      <c r="G157" s="1" t="e">
        <f t="array" ref="G157">SUM</f>
        <v>#NAME?</v>
      </c>
      <c r="H157" s="1" t="e">
        <f t="array" ref="H157">SUM</f>
        <v>#NAME?</v>
      </c>
      <c r="I157" s="1" t="e">
        <f t="array" ref="I157">SUM</f>
        <v>#NAME?</v>
      </c>
      <c r="J157" s="1" t="e">
        <f t="array" ref="J157">SUM</f>
        <v>#NAME?</v>
      </c>
      <c r="K157" s="1" t="e">
        <f t="array" ref="K157">SUM</f>
        <v>#NAME?</v>
      </c>
      <c r="L157" s="1" t="e">
        <f t="array" ref="L157">SUM</f>
        <v>#NAME?</v>
      </c>
      <c r="M157" s="1" t="e">
        <f t="array" ref="M157">SUM</f>
        <v>#NAME?</v>
      </c>
      <c r="N157" s="1" t="e">
        <f t="array" ref="N157">SUM</f>
        <v>#NAME?</v>
      </c>
      <c r="O157" t="s">
        <v>17</v>
      </c>
      <c r="P157">
        <v>2021</v>
      </c>
    </row>
    <row r="158" spans="1:16" x14ac:dyDescent="0.25">
      <c r="A158" t="s">
        <v>23</v>
      </c>
      <c r="B158" s="1" t="e">
        <f t="array" ref="B158">SUM</f>
        <v>#NAME?</v>
      </c>
      <c r="C158" s="1" t="e">
        <f t="array" ref="C158">SUM</f>
        <v>#NAME?</v>
      </c>
      <c r="D158" s="1" t="e">
        <f t="array" ref="D158">SUM</f>
        <v>#NAME?</v>
      </c>
      <c r="E158" s="1" t="e">
        <f t="array" ref="E158">SUM</f>
        <v>#NAME?</v>
      </c>
      <c r="F158" s="1" t="e">
        <f t="array" ref="F158">SUM</f>
        <v>#NAME?</v>
      </c>
      <c r="G158" s="1" t="e">
        <f t="array" ref="G158">SUM</f>
        <v>#NAME?</v>
      </c>
      <c r="H158" s="1" t="e">
        <f t="array" ref="H158">SUM</f>
        <v>#NAME?</v>
      </c>
      <c r="I158" s="1" t="e">
        <f t="array" ref="I158">SUM</f>
        <v>#NAME?</v>
      </c>
      <c r="J158" s="1" t="e">
        <f t="array" ref="J158">SUM</f>
        <v>#NAME?</v>
      </c>
      <c r="K158" s="1" t="e">
        <f t="array" ref="K158">SUM</f>
        <v>#NAME?</v>
      </c>
      <c r="L158" s="1" t="e">
        <f t="array" ref="L158">SUM</f>
        <v>#NAME?</v>
      </c>
      <c r="M158" s="1" t="e">
        <f t="array" ref="M158">SUM</f>
        <v>#NAME?</v>
      </c>
      <c r="N158" s="1" t="e">
        <f t="array" ref="N158">SUM</f>
        <v>#NAME?</v>
      </c>
      <c r="O158" t="s">
        <v>21</v>
      </c>
      <c r="P158">
        <v>2021</v>
      </c>
    </row>
    <row r="159" spans="1:16" x14ac:dyDescent="0.25">
      <c r="A159" t="s">
        <v>22</v>
      </c>
      <c r="B159" s="1" t="e">
        <f t="array" ref="B159">SUM</f>
        <v>#NAME?</v>
      </c>
      <c r="C159" s="1" t="e">
        <f t="array" ref="C159">SUM</f>
        <v>#NAME?</v>
      </c>
      <c r="D159" s="1" t="e">
        <f t="array" ref="D159">SUM</f>
        <v>#NAME?</v>
      </c>
      <c r="E159" s="1" t="e">
        <f t="array" ref="E159">SUM</f>
        <v>#NAME?</v>
      </c>
      <c r="F159" s="1" t="e">
        <f t="array" ref="F159">SUM</f>
        <v>#NAME?</v>
      </c>
      <c r="G159" s="1" t="e">
        <f t="array" ref="G159">SUM</f>
        <v>#NAME?</v>
      </c>
      <c r="H159" s="1" t="e">
        <f t="array" ref="H159">SUM</f>
        <v>#NAME?</v>
      </c>
      <c r="I159" s="1" t="e">
        <f t="array" ref="I159">SUM</f>
        <v>#NAME?</v>
      </c>
      <c r="J159" s="1" t="e">
        <f t="array" ref="J159">SUM</f>
        <v>#NAME?</v>
      </c>
      <c r="K159" s="1" t="e">
        <f t="array" ref="K159">SUM</f>
        <v>#NAME?</v>
      </c>
      <c r="L159" s="1" t="e">
        <f t="array" ref="L159">SUM</f>
        <v>#NAME?</v>
      </c>
      <c r="M159" s="1" t="e">
        <f t="array" ref="M159">SUM</f>
        <v>#NAME?</v>
      </c>
      <c r="N159" s="1" t="e">
        <f t="array" ref="N159">SUM</f>
        <v>#NAME?</v>
      </c>
      <c r="O159" t="s">
        <v>19</v>
      </c>
      <c r="P159">
        <v>2021</v>
      </c>
    </row>
    <row r="160" spans="1:16" x14ac:dyDescent="0.25">
      <c r="A160" t="s">
        <v>25</v>
      </c>
      <c r="B160" s="1" t="e">
        <f t="array" ref="B160">SUM</f>
        <v>#NAME?</v>
      </c>
      <c r="C160" s="1" t="e">
        <f t="array" ref="C160">SUM</f>
        <v>#NAME?</v>
      </c>
      <c r="D160" s="1" t="e">
        <f t="array" ref="D160">SUM</f>
        <v>#NAME?</v>
      </c>
      <c r="E160" s="1" t="e">
        <f t="array" ref="E160">SUM</f>
        <v>#NAME?</v>
      </c>
      <c r="F160" s="1" t="e">
        <f t="array" ref="F160">SUM</f>
        <v>#NAME?</v>
      </c>
      <c r="G160" s="1" t="e">
        <f t="array" ref="G160">SUM</f>
        <v>#NAME?</v>
      </c>
      <c r="H160" s="1" t="e">
        <f t="array" ref="H160">SUM</f>
        <v>#NAME?</v>
      </c>
      <c r="I160" s="1" t="e">
        <f t="array" ref="I160">SUM</f>
        <v>#NAME?</v>
      </c>
      <c r="J160" s="1" t="e">
        <f t="array" ref="J160">SUM</f>
        <v>#NAME?</v>
      </c>
      <c r="K160" s="1" t="e">
        <f t="array" ref="K160">SUM</f>
        <v>#NAME?</v>
      </c>
      <c r="L160" s="1" t="e">
        <f t="array" ref="L160">SUM</f>
        <v>#NAME?</v>
      </c>
      <c r="M160" s="1" t="e">
        <f t="array" ref="M160">SUM</f>
        <v>#NAME?</v>
      </c>
      <c r="N160" s="1" t="e">
        <f t="array" ref="N160">SUM</f>
        <v>#NAME?</v>
      </c>
      <c r="O160" t="s">
        <v>19</v>
      </c>
      <c r="P160">
        <v>2021</v>
      </c>
    </row>
    <row r="161" spans="1:16" x14ac:dyDescent="0.25">
      <c r="A161" t="s">
        <v>23</v>
      </c>
      <c r="B161" s="1" t="e">
        <f t="array" ref="B161">SUM</f>
        <v>#NAME?</v>
      </c>
      <c r="C161" s="1" t="e">
        <f t="array" ref="C161">SUM</f>
        <v>#NAME?</v>
      </c>
      <c r="D161" s="1" t="e">
        <f t="array" ref="D161">SUM</f>
        <v>#NAME?</v>
      </c>
      <c r="E161" s="1" t="e">
        <f t="array" ref="E161">SUM</f>
        <v>#NAME?</v>
      </c>
      <c r="F161" s="1" t="e">
        <f t="array" ref="F161">SUM</f>
        <v>#NAME?</v>
      </c>
      <c r="G161" s="1" t="e">
        <f t="array" ref="G161">SUM</f>
        <v>#NAME?</v>
      </c>
      <c r="H161" s="1" t="e">
        <f t="array" ref="H161">SUM</f>
        <v>#NAME?</v>
      </c>
      <c r="I161" s="1" t="e">
        <f t="array" ref="I161">SUM</f>
        <v>#NAME?</v>
      </c>
      <c r="J161" s="1" t="e">
        <f t="array" ref="J161">SUM</f>
        <v>#NAME?</v>
      </c>
      <c r="K161" s="1" t="e">
        <f t="array" ref="K161">SUM</f>
        <v>#NAME?</v>
      </c>
      <c r="L161" s="1" t="e">
        <f t="array" ref="L161">SUM</f>
        <v>#NAME?</v>
      </c>
      <c r="M161" s="1" t="e">
        <f t="array" ref="M161">SUM</f>
        <v>#NAME?</v>
      </c>
      <c r="N161" s="1" t="e">
        <f t="array" ref="N161">SUM</f>
        <v>#NAME?</v>
      </c>
      <c r="O161" t="s">
        <v>19</v>
      </c>
      <c r="P161">
        <v>2021</v>
      </c>
    </row>
    <row r="162" spans="1:16" x14ac:dyDescent="0.25">
      <c r="A162" t="s">
        <v>22</v>
      </c>
      <c r="B162" s="1" t="e">
        <f t="array" ref="B162">SUM</f>
        <v>#NAME?</v>
      </c>
      <c r="C162" s="1" t="e">
        <f t="array" ref="C162">SUM</f>
        <v>#NAME?</v>
      </c>
      <c r="D162" s="1" t="e">
        <f t="array" ref="D162">SUM</f>
        <v>#NAME?</v>
      </c>
      <c r="E162" s="1" t="e">
        <f t="array" ref="E162">SUM</f>
        <v>#NAME?</v>
      </c>
      <c r="F162" s="1" t="e">
        <f t="array" ref="F162">SUM</f>
        <v>#NAME?</v>
      </c>
      <c r="G162" s="1" t="e">
        <f t="array" ref="G162">SUM</f>
        <v>#NAME?</v>
      </c>
      <c r="H162" s="1" t="e">
        <f t="array" ref="H162">SUM</f>
        <v>#NAME?</v>
      </c>
      <c r="I162" s="1" t="e">
        <f t="array" ref="I162">SUM</f>
        <v>#NAME?</v>
      </c>
      <c r="J162" s="1" t="e">
        <f t="array" ref="J162">SUM</f>
        <v>#NAME?</v>
      </c>
      <c r="K162" s="1" t="e">
        <f t="array" ref="K162">SUM</f>
        <v>#NAME?</v>
      </c>
      <c r="L162" s="1" t="e">
        <f t="array" ref="L162">SUM</f>
        <v>#NAME?</v>
      </c>
      <c r="M162" s="1" t="e">
        <f t="array" ref="M162">SUM</f>
        <v>#NAME?</v>
      </c>
      <c r="N162" s="1" t="e">
        <f t="array" ref="N162">SUM</f>
        <v>#NAME?</v>
      </c>
      <c r="O162" t="s">
        <v>24</v>
      </c>
      <c r="P162">
        <v>2021</v>
      </c>
    </row>
    <row r="163" spans="1:16" x14ac:dyDescent="0.25">
      <c r="A163" t="s">
        <v>23</v>
      </c>
      <c r="B163" s="1" t="e">
        <f t="array" ref="B163">SUM</f>
        <v>#NAME?</v>
      </c>
      <c r="C163" s="1" t="e">
        <f t="array" ref="C163">SUM</f>
        <v>#NAME?</v>
      </c>
      <c r="D163" s="1" t="e">
        <f t="array" ref="D163">SUM</f>
        <v>#NAME?</v>
      </c>
      <c r="E163" s="1" t="e">
        <f t="array" ref="E163">SUM</f>
        <v>#NAME?</v>
      </c>
      <c r="F163" s="1" t="e">
        <f t="array" ref="F163">SUM</f>
        <v>#NAME?</v>
      </c>
      <c r="G163" s="1" t="e">
        <f t="array" ref="G163">SUM</f>
        <v>#NAME?</v>
      </c>
      <c r="H163" s="1" t="e">
        <f t="array" ref="H163">SUM</f>
        <v>#NAME?</v>
      </c>
      <c r="I163" s="1" t="e">
        <f t="array" ref="I163">SUM</f>
        <v>#NAME?</v>
      </c>
      <c r="J163" s="1" t="e">
        <f t="array" ref="J163">SUM</f>
        <v>#NAME?</v>
      </c>
      <c r="K163" s="1" t="e">
        <f t="array" ref="K163">SUM</f>
        <v>#NAME?</v>
      </c>
      <c r="L163" s="1" t="e">
        <f t="array" ref="L163">SUM</f>
        <v>#NAME?</v>
      </c>
      <c r="M163" s="1" t="e">
        <f t="array" ref="M163">SUM</f>
        <v>#NAME?</v>
      </c>
      <c r="N163" s="1" t="e">
        <f t="array" ref="N163">SUM</f>
        <v>#NAME?</v>
      </c>
      <c r="O163" t="s">
        <v>28</v>
      </c>
      <c r="P163">
        <v>2021</v>
      </c>
    </row>
    <row r="164" spans="1:16" x14ac:dyDescent="0.25">
      <c r="A164" t="s">
        <v>18</v>
      </c>
      <c r="B164" s="1" t="e">
        <f t="array" ref="B164">SUM</f>
        <v>#NAME?</v>
      </c>
      <c r="C164" s="1" t="e">
        <f t="array" ref="C164">SUM</f>
        <v>#NAME?</v>
      </c>
      <c r="D164" s="1" t="e">
        <f t="array" ref="D164">SUM</f>
        <v>#NAME?</v>
      </c>
      <c r="E164" s="1" t="e">
        <f t="array" ref="E164">SUM</f>
        <v>#NAME?</v>
      </c>
      <c r="F164" s="1" t="e">
        <f t="array" ref="F164">SUM</f>
        <v>#NAME?</v>
      </c>
      <c r="G164" s="1" t="e">
        <f t="array" ref="G164">SUM</f>
        <v>#NAME?</v>
      </c>
      <c r="H164" s="1" t="e">
        <f t="array" ref="H164">SUM</f>
        <v>#NAME?</v>
      </c>
      <c r="I164" s="1" t="e">
        <f t="array" ref="I164">SUM</f>
        <v>#NAME?</v>
      </c>
      <c r="J164" s="1" t="e">
        <f t="array" ref="J164">SUM</f>
        <v>#NAME?</v>
      </c>
      <c r="K164" s="1" t="e">
        <f t="array" ref="K164">SUM</f>
        <v>#NAME?</v>
      </c>
      <c r="L164" s="1" t="e">
        <f t="array" ref="L164">SUM</f>
        <v>#NAME?</v>
      </c>
      <c r="M164" s="1" t="e">
        <f t="array" ref="M164">SUM</f>
        <v>#NAME?</v>
      </c>
      <c r="N164" s="1" t="e">
        <f t="array" ref="N164">SUM</f>
        <v>#NAME?</v>
      </c>
      <c r="O164" t="s">
        <v>28</v>
      </c>
      <c r="P164">
        <v>2021</v>
      </c>
    </row>
    <row r="165" spans="1:16" x14ac:dyDescent="0.25">
      <c r="A165" t="s">
        <v>23</v>
      </c>
      <c r="B165" s="1" t="e">
        <f t="array" ref="B165">SUM</f>
        <v>#NAME?</v>
      </c>
      <c r="C165" s="1" t="e">
        <f t="array" ref="C165">SUM</f>
        <v>#NAME?</v>
      </c>
      <c r="D165" s="1" t="e">
        <f t="array" ref="D165">SUM</f>
        <v>#NAME?</v>
      </c>
      <c r="E165" s="1" t="e">
        <f t="array" ref="E165">SUM</f>
        <v>#NAME?</v>
      </c>
      <c r="F165" s="1" t="e">
        <f t="array" ref="F165">SUM</f>
        <v>#NAME?</v>
      </c>
      <c r="G165" s="1" t="e">
        <f t="array" ref="G165">SUM</f>
        <v>#NAME?</v>
      </c>
      <c r="H165" s="1" t="e">
        <f t="array" ref="H165">SUM</f>
        <v>#NAME?</v>
      </c>
      <c r="I165" s="1" t="e">
        <f t="array" ref="I165">SUM</f>
        <v>#NAME?</v>
      </c>
      <c r="J165" s="1" t="e">
        <f t="array" ref="J165">SUM</f>
        <v>#NAME?</v>
      </c>
      <c r="K165" s="1" t="e">
        <f t="array" ref="K165">SUM</f>
        <v>#NAME?</v>
      </c>
      <c r="L165" s="1" t="e">
        <f t="array" ref="L165">SUM</f>
        <v>#NAME?</v>
      </c>
      <c r="M165" s="1" t="e">
        <f t="array" ref="M165">SUM</f>
        <v>#NAME?</v>
      </c>
      <c r="N165" s="1" t="e">
        <f t="array" ref="N165">SUM</f>
        <v>#NAME?</v>
      </c>
      <c r="O165" t="s">
        <v>20</v>
      </c>
      <c r="P165">
        <v>2021</v>
      </c>
    </row>
    <row r="166" spans="1:16" x14ac:dyDescent="0.25">
      <c r="A166" t="s">
        <v>23</v>
      </c>
      <c r="B166" s="1" t="e">
        <f t="array" ref="B166">SUM</f>
        <v>#NAME?</v>
      </c>
      <c r="C166" s="1" t="e">
        <f t="array" ref="C166">SUM</f>
        <v>#NAME?</v>
      </c>
      <c r="D166" s="1" t="e">
        <f t="array" ref="D166">SUM</f>
        <v>#NAME?</v>
      </c>
      <c r="E166" s="1" t="e">
        <f t="array" ref="E166">SUM</f>
        <v>#NAME?</v>
      </c>
      <c r="F166" s="1" t="e">
        <f t="array" ref="F166">SUM</f>
        <v>#NAME?</v>
      </c>
      <c r="G166" s="1" t="e">
        <f t="array" ref="G166">SUM</f>
        <v>#NAME?</v>
      </c>
      <c r="H166" s="1" t="e">
        <f t="array" ref="H166">SUM</f>
        <v>#NAME?</v>
      </c>
      <c r="I166" s="1" t="e">
        <f t="array" ref="I166">SUM</f>
        <v>#NAME?</v>
      </c>
      <c r="J166" s="1" t="e">
        <f t="array" ref="J166">SUM</f>
        <v>#NAME?</v>
      </c>
      <c r="K166" s="1" t="e">
        <f t="array" ref="K166">SUM</f>
        <v>#NAME?</v>
      </c>
      <c r="L166" s="1" t="e">
        <f t="array" ref="L166">SUM</f>
        <v>#NAME?</v>
      </c>
      <c r="M166" s="1" t="e">
        <f t="array" ref="M166">SUM</f>
        <v>#NAME?</v>
      </c>
      <c r="N166" s="1" t="e">
        <f t="array" ref="N166">SUM</f>
        <v>#NAME?</v>
      </c>
      <c r="O166" t="s">
        <v>20</v>
      </c>
      <c r="P166">
        <v>2021</v>
      </c>
    </row>
    <row r="167" spans="1:16" x14ac:dyDescent="0.25">
      <c r="A167" t="s">
        <v>23</v>
      </c>
      <c r="B167" s="1" t="e">
        <f t="array" ref="B167">SUM</f>
        <v>#NAME?</v>
      </c>
      <c r="C167" s="1" t="e">
        <f t="array" ref="C167">SUM</f>
        <v>#NAME?</v>
      </c>
      <c r="D167" s="1" t="e">
        <f t="array" ref="D167">SUM</f>
        <v>#NAME?</v>
      </c>
      <c r="E167" s="1" t="e">
        <f t="array" ref="E167">SUM</f>
        <v>#NAME?</v>
      </c>
      <c r="F167" s="1" t="e">
        <f t="array" ref="F167">SUM</f>
        <v>#NAME?</v>
      </c>
      <c r="G167" s="1" t="e">
        <f t="array" ref="G167">SUM</f>
        <v>#NAME?</v>
      </c>
      <c r="H167" s="1" t="e">
        <f t="array" ref="H167">SUM</f>
        <v>#NAME?</v>
      </c>
      <c r="I167" s="1" t="e">
        <f t="array" ref="I167">SUM</f>
        <v>#NAME?</v>
      </c>
      <c r="J167" s="1" t="e">
        <f t="array" ref="J167">SUM</f>
        <v>#NAME?</v>
      </c>
      <c r="K167" s="1" t="e">
        <f t="array" ref="K167">SUM</f>
        <v>#NAME?</v>
      </c>
      <c r="L167" s="1" t="e">
        <f t="array" ref="L167">SUM</f>
        <v>#NAME?</v>
      </c>
      <c r="M167" s="1" t="e">
        <f t="array" ref="M167">SUM</f>
        <v>#NAME?</v>
      </c>
      <c r="N167" s="1" t="e">
        <f t="array" ref="N167">SUM</f>
        <v>#NAME?</v>
      </c>
      <c r="O167" t="s">
        <v>28</v>
      </c>
      <c r="P167">
        <v>2021</v>
      </c>
    </row>
    <row r="168" spans="1:16" x14ac:dyDescent="0.25">
      <c r="A168" t="s">
        <v>25</v>
      </c>
      <c r="B168" s="1" t="e">
        <f t="array" ref="B168">SUM</f>
        <v>#NAME?</v>
      </c>
      <c r="C168" s="1" t="e">
        <f t="array" ref="C168">SUM</f>
        <v>#NAME?</v>
      </c>
      <c r="D168" s="1" t="e">
        <f t="array" ref="D168">SUM</f>
        <v>#NAME?</v>
      </c>
      <c r="E168" s="1" t="e">
        <f t="array" ref="E168">SUM</f>
        <v>#NAME?</v>
      </c>
      <c r="F168" s="1" t="e">
        <f t="array" ref="F168">SUM</f>
        <v>#NAME?</v>
      </c>
      <c r="G168" s="1" t="e">
        <f t="array" ref="G168">SUM</f>
        <v>#NAME?</v>
      </c>
      <c r="H168" s="1" t="e">
        <f t="array" ref="H168">SUM</f>
        <v>#NAME?</v>
      </c>
      <c r="I168" s="1" t="e">
        <f t="array" ref="I168">SUM</f>
        <v>#NAME?</v>
      </c>
      <c r="J168" s="1" t="e">
        <f t="array" ref="J168">SUM</f>
        <v>#NAME?</v>
      </c>
      <c r="K168" s="1" t="e">
        <f t="array" ref="K168">SUM</f>
        <v>#NAME?</v>
      </c>
      <c r="L168" s="1" t="e">
        <f t="array" ref="L168">SUM</f>
        <v>#NAME?</v>
      </c>
      <c r="M168" s="1" t="e">
        <f t="array" ref="M168">SUM</f>
        <v>#NAME?</v>
      </c>
      <c r="N168" s="1" t="e">
        <f t="array" ref="N168">SUM</f>
        <v>#NAME?</v>
      </c>
      <c r="O168" t="s">
        <v>29</v>
      </c>
      <c r="P168">
        <v>2021</v>
      </c>
    </row>
    <row r="169" spans="1:16" x14ac:dyDescent="0.25">
      <c r="A169" t="s">
        <v>22</v>
      </c>
      <c r="B169" s="1" t="e">
        <f t="array" ref="B169">SUM</f>
        <v>#NAME?</v>
      </c>
      <c r="C169" s="1" t="e">
        <f t="array" ref="C169">SUM</f>
        <v>#NAME?</v>
      </c>
      <c r="D169" s="1" t="e">
        <f t="array" ref="D169">SUM</f>
        <v>#NAME?</v>
      </c>
      <c r="E169" s="1" t="e">
        <f t="array" ref="E169">SUM</f>
        <v>#NAME?</v>
      </c>
      <c r="F169" s="1" t="e">
        <f t="array" ref="F169">SUM</f>
        <v>#NAME?</v>
      </c>
      <c r="G169" s="1" t="e">
        <f t="array" ref="G169">SUM</f>
        <v>#NAME?</v>
      </c>
      <c r="H169" s="1" t="e">
        <f t="array" ref="H169">SUM</f>
        <v>#NAME?</v>
      </c>
      <c r="I169" s="1" t="e">
        <f t="array" ref="I169">SUM</f>
        <v>#NAME?</v>
      </c>
      <c r="J169" s="1" t="e">
        <f t="array" ref="J169">SUM</f>
        <v>#NAME?</v>
      </c>
      <c r="K169" s="1" t="e">
        <f t="array" ref="K169">SUM</f>
        <v>#NAME?</v>
      </c>
      <c r="L169" s="1" t="e">
        <f t="array" ref="L169">SUM</f>
        <v>#NAME?</v>
      </c>
      <c r="M169" s="1" t="e">
        <f t="array" ref="M169">SUM</f>
        <v>#NAME?</v>
      </c>
      <c r="N169" s="1" t="e">
        <f t="array" ref="N169">SUM</f>
        <v>#NAME?</v>
      </c>
      <c r="O169" t="s">
        <v>31</v>
      </c>
      <c r="P169">
        <v>2021</v>
      </c>
    </row>
    <row r="170" spans="1:16" x14ac:dyDescent="0.25">
      <c r="A170" t="s">
        <v>23</v>
      </c>
      <c r="B170" s="1" t="e">
        <f t="array" ref="B170">SUM</f>
        <v>#NAME?</v>
      </c>
      <c r="C170" s="1" t="e">
        <f t="array" ref="C170">SUM</f>
        <v>#NAME?</v>
      </c>
      <c r="D170" s="1" t="e">
        <f t="array" ref="D170">SUM</f>
        <v>#NAME?</v>
      </c>
      <c r="E170" s="1" t="e">
        <f t="array" ref="E170">SUM</f>
        <v>#NAME?</v>
      </c>
      <c r="F170" s="1" t="e">
        <f t="array" ref="F170">SUM</f>
        <v>#NAME?</v>
      </c>
      <c r="G170" s="1" t="e">
        <f t="array" ref="G170">SUM</f>
        <v>#NAME?</v>
      </c>
      <c r="H170" s="1" t="e">
        <f t="array" ref="H170">SUM</f>
        <v>#NAME?</v>
      </c>
      <c r="I170" s="1" t="e">
        <f t="array" ref="I170">SUM</f>
        <v>#NAME?</v>
      </c>
      <c r="J170" s="1" t="e">
        <f t="array" ref="J170">SUM</f>
        <v>#NAME?</v>
      </c>
      <c r="K170" s="1" t="e">
        <f t="array" ref="K170">SUM</f>
        <v>#NAME?</v>
      </c>
      <c r="L170" s="1" t="e">
        <f t="array" ref="L170">SUM</f>
        <v>#NAME?</v>
      </c>
      <c r="M170" s="1" t="e">
        <f t="array" ref="M170">SUM</f>
        <v>#NAME?</v>
      </c>
      <c r="N170" s="1" t="e">
        <f t="array" ref="N170">SUM</f>
        <v>#NAME?</v>
      </c>
      <c r="O170" t="s">
        <v>19</v>
      </c>
      <c r="P170">
        <v>2021</v>
      </c>
    </row>
    <row r="171" spans="1:16" x14ac:dyDescent="0.25">
      <c r="A171" t="s">
        <v>25</v>
      </c>
      <c r="B171" s="1" t="e">
        <f t="array" ref="B171">SUM</f>
        <v>#NAME?</v>
      </c>
      <c r="C171" s="1" t="e">
        <f t="array" ref="C171">SUM</f>
        <v>#NAME?</v>
      </c>
      <c r="D171" s="1" t="e">
        <f t="array" ref="D171">SUM</f>
        <v>#NAME?</v>
      </c>
      <c r="E171" s="1" t="e">
        <f t="array" ref="E171">SUM</f>
        <v>#NAME?</v>
      </c>
      <c r="F171" s="1" t="e">
        <f t="array" ref="F171">SUM</f>
        <v>#NAME?</v>
      </c>
      <c r="G171" s="1" t="e">
        <f t="array" ref="G171">SUM</f>
        <v>#NAME?</v>
      </c>
      <c r="H171" s="1" t="e">
        <f t="array" ref="H171">SUM</f>
        <v>#NAME?</v>
      </c>
      <c r="I171" s="1" t="e">
        <f t="array" ref="I171">SUM</f>
        <v>#NAME?</v>
      </c>
      <c r="J171" s="1" t="e">
        <f t="array" ref="J171">SUM</f>
        <v>#NAME?</v>
      </c>
      <c r="K171" s="1" t="e">
        <f t="array" ref="K171">SUM</f>
        <v>#NAME?</v>
      </c>
      <c r="L171" s="1" t="e">
        <f t="array" ref="L171">SUM</f>
        <v>#NAME?</v>
      </c>
      <c r="M171" s="1" t="e">
        <f t="array" ref="M171">SUM</f>
        <v>#NAME?</v>
      </c>
      <c r="N171" s="1" t="e">
        <f t="array" ref="N171">SUM</f>
        <v>#NAME?</v>
      </c>
      <c r="O171" t="s">
        <v>26</v>
      </c>
      <c r="P171">
        <v>2021</v>
      </c>
    </row>
    <row r="172" spans="1:16" x14ac:dyDescent="0.25">
      <c r="A172" t="s">
        <v>16</v>
      </c>
      <c r="B172" s="1" t="e">
        <f t="array" ref="B172">SUM</f>
        <v>#NAME?</v>
      </c>
      <c r="C172" s="1" t="e">
        <f t="array" ref="C172">SUM</f>
        <v>#NAME?</v>
      </c>
      <c r="D172" s="1" t="e">
        <f t="array" ref="D172">SUM</f>
        <v>#NAME?</v>
      </c>
      <c r="E172" s="1" t="e">
        <f t="array" ref="E172">SUM</f>
        <v>#NAME?</v>
      </c>
      <c r="F172" s="1" t="e">
        <f t="array" ref="F172">SUM</f>
        <v>#NAME?</v>
      </c>
      <c r="G172" s="1" t="e">
        <f t="array" ref="G172">SUM</f>
        <v>#NAME?</v>
      </c>
      <c r="H172" s="1" t="e">
        <f t="array" ref="H172">SUM</f>
        <v>#NAME?</v>
      </c>
      <c r="I172" s="1" t="e">
        <f t="array" ref="I172">SUM</f>
        <v>#NAME?</v>
      </c>
      <c r="J172" s="1" t="e">
        <f t="array" ref="J172">SUM</f>
        <v>#NAME?</v>
      </c>
      <c r="K172" s="1" t="e">
        <f t="array" ref="K172">SUM</f>
        <v>#NAME?</v>
      </c>
      <c r="L172" s="1" t="e">
        <f t="array" ref="L172">SUM</f>
        <v>#NAME?</v>
      </c>
      <c r="M172" s="1" t="e">
        <f t="array" ref="M172">SUM</f>
        <v>#NAME?</v>
      </c>
      <c r="N172" s="1" t="e">
        <f t="array" ref="N172">SUM</f>
        <v>#NAME?</v>
      </c>
      <c r="O172" t="s">
        <v>26</v>
      </c>
      <c r="P172">
        <v>2021</v>
      </c>
    </row>
    <row r="173" spans="1:16" x14ac:dyDescent="0.25">
      <c r="A173" t="s">
        <v>18</v>
      </c>
      <c r="B173" s="1" t="e">
        <f t="array" ref="B173">SUM</f>
        <v>#NAME?</v>
      </c>
      <c r="C173" s="1" t="e">
        <f t="array" ref="C173">SUM</f>
        <v>#NAME?</v>
      </c>
      <c r="D173" s="1" t="e">
        <f t="array" ref="D173">SUM</f>
        <v>#NAME?</v>
      </c>
      <c r="E173" s="1" t="e">
        <f t="array" ref="E173">SUM</f>
        <v>#NAME?</v>
      </c>
      <c r="F173" s="1" t="e">
        <f t="array" ref="F173">SUM</f>
        <v>#NAME?</v>
      </c>
      <c r="G173" s="1" t="e">
        <f t="array" ref="G173">SUM</f>
        <v>#NAME?</v>
      </c>
      <c r="H173" s="1" t="e">
        <f t="array" ref="H173">SUM</f>
        <v>#NAME?</v>
      </c>
      <c r="I173" s="1" t="e">
        <f t="array" ref="I173">SUM</f>
        <v>#NAME?</v>
      </c>
      <c r="J173" s="1" t="e">
        <f t="array" ref="J173">SUM</f>
        <v>#NAME?</v>
      </c>
      <c r="K173" s="1" t="e">
        <f t="array" ref="K173">SUM</f>
        <v>#NAME?</v>
      </c>
      <c r="L173" s="1" t="e">
        <f t="array" ref="L173">SUM</f>
        <v>#NAME?</v>
      </c>
      <c r="M173" s="1" t="e">
        <f t="array" ref="M173">SUM</f>
        <v>#NAME?</v>
      </c>
      <c r="N173" s="1" t="e">
        <f t="array" ref="N173">SUM</f>
        <v>#NAME?</v>
      </c>
      <c r="O173" t="s">
        <v>28</v>
      </c>
      <c r="P173">
        <v>2021</v>
      </c>
    </row>
    <row r="174" spans="1:16" x14ac:dyDescent="0.25">
      <c r="A174" t="s">
        <v>16</v>
      </c>
      <c r="B174" s="1" t="e">
        <f t="array" ref="B174">SUM</f>
        <v>#NAME?</v>
      </c>
      <c r="C174" s="1" t="e">
        <f t="array" ref="C174">SUM</f>
        <v>#NAME?</v>
      </c>
      <c r="D174" s="1" t="e">
        <f t="array" ref="D174">SUM</f>
        <v>#NAME?</v>
      </c>
      <c r="E174" s="1" t="e">
        <f t="array" ref="E174">SUM</f>
        <v>#NAME?</v>
      </c>
      <c r="F174" s="1" t="e">
        <f t="array" ref="F174">SUM</f>
        <v>#NAME?</v>
      </c>
      <c r="G174" s="1" t="e">
        <f t="array" ref="G174">SUM</f>
        <v>#NAME?</v>
      </c>
      <c r="H174" s="1" t="e">
        <f t="array" ref="H174">SUM</f>
        <v>#NAME?</v>
      </c>
      <c r="I174" s="1" t="e">
        <f t="array" ref="I174">SUM</f>
        <v>#NAME?</v>
      </c>
      <c r="J174" s="1" t="e">
        <f t="array" ref="J174">SUM</f>
        <v>#NAME?</v>
      </c>
      <c r="K174" s="1" t="e">
        <f t="array" ref="K174">SUM</f>
        <v>#NAME?</v>
      </c>
      <c r="L174" s="1" t="e">
        <f t="array" ref="L174">SUM</f>
        <v>#NAME?</v>
      </c>
      <c r="M174" s="1" t="e">
        <f t="array" ref="M174">SUM</f>
        <v>#NAME?</v>
      </c>
      <c r="N174" s="1" t="e">
        <f t="array" ref="N174">SUM</f>
        <v>#NAME?</v>
      </c>
      <c r="O174" t="s">
        <v>32</v>
      </c>
      <c r="P174">
        <v>2021</v>
      </c>
    </row>
    <row r="175" spans="1:16" x14ac:dyDescent="0.25">
      <c r="A175" t="s">
        <v>16</v>
      </c>
      <c r="B175" s="1" t="e">
        <f t="array" ref="B175">SUM</f>
        <v>#NAME?</v>
      </c>
      <c r="C175" s="1" t="e">
        <f t="array" ref="C175">SUM</f>
        <v>#NAME?</v>
      </c>
      <c r="D175" s="1" t="e">
        <f t="array" ref="D175">SUM</f>
        <v>#NAME?</v>
      </c>
      <c r="E175" s="1" t="e">
        <f t="array" ref="E175">SUM</f>
        <v>#NAME?</v>
      </c>
      <c r="F175" s="1" t="e">
        <f t="array" ref="F175">SUM</f>
        <v>#NAME?</v>
      </c>
      <c r="G175" s="1" t="e">
        <f t="array" ref="G175">SUM</f>
        <v>#NAME?</v>
      </c>
      <c r="H175" s="1" t="e">
        <f t="array" ref="H175">SUM</f>
        <v>#NAME?</v>
      </c>
      <c r="I175" s="1" t="e">
        <f t="array" ref="I175">SUM</f>
        <v>#NAME?</v>
      </c>
      <c r="J175" s="1" t="e">
        <f t="array" ref="J175">SUM</f>
        <v>#NAME?</v>
      </c>
      <c r="K175" s="1" t="e">
        <f t="array" ref="K175">SUM</f>
        <v>#NAME?</v>
      </c>
      <c r="L175" s="1" t="e">
        <f t="array" ref="L175">SUM</f>
        <v>#NAME?</v>
      </c>
      <c r="M175" s="1" t="e">
        <f t="array" ref="M175">SUM</f>
        <v>#NAME?</v>
      </c>
      <c r="N175" s="1" t="e">
        <f t="array" ref="N175">SUM</f>
        <v>#NAME?</v>
      </c>
      <c r="O175" t="s">
        <v>27</v>
      </c>
      <c r="P175">
        <v>2021</v>
      </c>
    </row>
    <row r="176" spans="1:16" x14ac:dyDescent="0.25">
      <c r="A176" t="s">
        <v>16</v>
      </c>
      <c r="B176" s="1" t="e">
        <f t="array" ref="B176">SUM</f>
        <v>#NAME?</v>
      </c>
      <c r="C176" s="1" t="e">
        <f t="array" ref="C176">SUM</f>
        <v>#NAME?</v>
      </c>
      <c r="D176" s="1" t="e">
        <f t="array" ref="D176">SUM</f>
        <v>#NAME?</v>
      </c>
      <c r="E176" s="1" t="e">
        <f t="array" ref="E176">SUM</f>
        <v>#NAME?</v>
      </c>
      <c r="F176" s="1" t="e">
        <f t="array" ref="F176">SUM</f>
        <v>#NAME?</v>
      </c>
      <c r="G176" s="1" t="e">
        <f t="array" ref="G176">SUM</f>
        <v>#NAME?</v>
      </c>
      <c r="H176" s="1" t="e">
        <f t="array" ref="H176">SUM</f>
        <v>#NAME?</v>
      </c>
      <c r="I176" s="1" t="e">
        <f t="array" ref="I176">SUM</f>
        <v>#NAME?</v>
      </c>
      <c r="J176" s="1" t="e">
        <f t="array" ref="J176">SUM</f>
        <v>#NAME?</v>
      </c>
      <c r="K176" s="1" t="e">
        <f t="array" ref="K176">SUM</f>
        <v>#NAME?</v>
      </c>
      <c r="L176" s="1" t="e">
        <f t="array" ref="L176">SUM</f>
        <v>#NAME?</v>
      </c>
      <c r="M176" s="1" t="e">
        <f t="array" ref="M176">SUM</f>
        <v>#NAME?</v>
      </c>
      <c r="N176" s="1" t="e">
        <f t="array" ref="N176">SUM</f>
        <v>#NAME?</v>
      </c>
      <c r="O176" t="s">
        <v>31</v>
      </c>
      <c r="P176">
        <v>2021</v>
      </c>
    </row>
    <row r="177" spans="1:16" x14ac:dyDescent="0.25">
      <c r="A177" t="s">
        <v>22</v>
      </c>
      <c r="B177" s="1" t="e">
        <f t="array" ref="B177">SUM</f>
        <v>#NAME?</v>
      </c>
      <c r="C177" s="1" t="e">
        <f t="array" ref="C177">SUM</f>
        <v>#NAME?</v>
      </c>
      <c r="D177" s="1" t="e">
        <f t="array" ref="D177">SUM</f>
        <v>#NAME?</v>
      </c>
      <c r="E177" s="1" t="e">
        <f t="array" ref="E177">SUM</f>
        <v>#NAME?</v>
      </c>
      <c r="F177" s="1" t="e">
        <f t="array" ref="F177">SUM</f>
        <v>#NAME?</v>
      </c>
      <c r="G177" s="1" t="e">
        <f t="array" ref="G177">SUM</f>
        <v>#NAME?</v>
      </c>
      <c r="H177" s="1" t="e">
        <f t="array" ref="H177">SUM</f>
        <v>#NAME?</v>
      </c>
      <c r="I177" s="1" t="e">
        <f t="array" ref="I177">SUM</f>
        <v>#NAME?</v>
      </c>
      <c r="J177" s="1" t="e">
        <f t="array" ref="J177">SUM</f>
        <v>#NAME?</v>
      </c>
      <c r="K177" s="1" t="e">
        <f t="array" ref="K177">SUM</f>
        <v>#NAME?</v>
      </c>
      <c r="L177" s="1" t="e">
        <f t="array" ref="L177">SUM</f>
        <v>#NAME?</v>
      </c>
      <c r="M177" s="1" t="e">
        <f t="array" ref="M177">SUM</f>
        <v>#NAME?</v>
      </c>
      <c r="N177" s="1" t="e">
        <f t="array" ref="N177">SUM</f>
        <v>#NAME?</v>
      </c>
      <c r="O177" t="s">
        <v>17</v>
      </c>
      <c r="P177">
        <v>2021</v>
      </c>
    </row>
    <row r="178" spans="1:16" x14ac:dyDescent="0.25">
      <c r="A178" t="s">
        <v>18</v>
      </c>
      <c r="B178" s="1" t="e">
        <f t="array" ref="B178">SUM</f>
        <v>#NAME?</v>
      </c>
      <c r="C178" s="1" t="e">
        <f t="array" ref="C178">SUM</f>
        <v>#NAME?</v>
      </c>
      <c r="D178" s="1" t="e">
        <f t="array" ref="D178">SUM</f>
        <v>#NAME?</v>
      </c>
      <c r="E178" s="1" t="e">
        <f t="array" ref="E178">SUM</f>
        <v>#NAME?</v>
      </c>
      <c r="F178" s="1" t="e">
        <f t="array" ref="F178">SUM</f>
        <v>#NAME?</v>
      </c>
      <c r="G178" s="1" t="e">
        <f t="array" ref="G178">SUM</f>
        <v>#NAME?</v>
      </c>
      <c r="H178" s="1" t="e">
        <f t="array" ref="H178">SUM</f>
        <v>#NAME?</v>
      </c>
      <c r="I178" s="1" t="e">
        <f t="array" ref="I178">SUM</f>
        <v>#NAME?</v>
      </c>
      <c r="J178" s="1" t="e">
        <f t="array" ref="J178">SUM</f>
        <v>#NAME?</v>
      </c>
      <c r="K178" s="1" t="e">
        <f t="array" ref="K178">SUM</f>
        <v>#NAME?</v>
      </c>
      <c r="L178" s="1" t="e">
        <f t="array" ref="L178">SUM</f>
        <v>#NAME?</v>
      </c>
      <c r="M178" s="1" t="e">
        <f t="array" ref="M178">SUM</f>
        <v>#NAME?</v>
      </c>
      <c r="N178" s="1" t="e">
        <f t="array" ref="N178">SUM</f>
        <v>#NAME?</v>
      </c>
      <c r="O178" t="s">
        <v>28</v>
      </c>
      <c r="P178">
        <v>2021</v>
      </c>
    </row>
    <row r="179" spans="1:16" x14ac:dyDescent="0.25">
      <c r="A179" t="s">
        <v>18</v>
      </c>
      <c r="B179" s="1" t="e">
        <f t="array" ref="B179">SUM</f>
        <v>#NAME?</v>
      </c>
      <c r="C179" s="1" t="e">
        <f t="array" ref="C179">SUM</f>
        <v>#NAME?</v>
      </c>
      <c r="D179" s="1" t="e">
        <f t="array" ref="D179">SUM</f>
        <v>#NAME?</v>
      </c>
      <c r="E179" s="1" t="e">
        <f t="array" ref="E179">SUM</f>
        <v>#NAME?</v>
      </c>
      <c r="F179" s="1" t="e">
        <f t="array" ref="F179">SUM</f>
        <v>#NAME?</v>
      </c>
      <c r="G179" s="1" t="e">
        <f t="array" ref="G179">SUM</f>
        <v>#NAME?</v>
      </c>
      <c r="H179" s="1" t="e">
        <f t="array" ref="H179">SUM</f>
        <v>#NAME?</v>
      </c>
      <c r="I179" s="1" t="e">
        <f t="array" ref="I179">SUM</f>
        <v>#NAME?</v>
      </c>
      <c r="J179" s="1" t="e">
        <f t="array" ref="J179">SUM</f>
        <v>#NAME?</v>
      </c>
      <c r="K179" s="1" t="e">
        <f t="array" ref="K179">SUM</f>
        <v>#NAME?</v>
      </c>
      <c r="L179" s="1" t="e">
        <f t="array" ref="L179">SUM</f>
        <v>#NAME?</v>
      </c>
      <c r="M179" s="1" t="e">
        <f t="array" ref="M179">SUM</f>
        <v>#NAME?</v>
      </c>
      <c r="N179" s="1" t="e">
        <f t="array" ref="N179">SUM</f>
        <v>#NAME?</v>
      </c>
      <c r="O179" t="s">
        <v>28</v>
      </c>
      <c r="P179">
        <v>2021</v>
      </c>
    </row>
    <row r="180" spans="1:16" x14ac:dyDescent="0.25">
      <c r="A180" t="s">
        <v>18</v>
      </c>
      <c r="B180" s="1" t="e">
        <f t="array" ref="B180">SUM</f>
        <v>#NAME?</v>
      </c>
      <c r="C180" s="1" t="e">
        <f t="array" ref="C180">SUM</f>
        <v>#NAME?</v>
      </c>
      <c r="D180" s="1" t="e">
        <f t="array" ref="D180">SUM</f>
        <v>#NAME?</v>
      </c>
      <c r="E180" s="1" t="e">
        <f t="array" ref="E180">SUM</f>
        <v>#NAME?</v>
      </c>
      <c r="F180" s="1" t="e">
        <f t="array" ref="F180">SUM</f>
        <v>#NAME?</v>
      </c>
      <c r="G180" s="1" t="e">
        <f t="array" ref="G180">SUM</f>
        <v>#NAME?</v>
      </c>
      <c r="H180" s="1" t="e">
        <f t="array" ref="H180">SUM</f>
        <v>#NAME?</v>
      </c>
      <c r="I180" s="1" t="e">
        <f t="array" ref="I180">SUM</f>
        <v>#NAME?</v>
      </c>
      <c r="J180" s="1" t="e">
        <f t="array" ref="J180">SUM</f>
        <v>#NAME?</v>
      </c>
      <c r="K180" s="1" t="e">
        <f t="array" ref="K180">SUM</f>
        <v>#NAME?</v>
      </c>
      <c r="L180" s="1" t="e">
        <f t="array" ref="L180">SUM</f>
        <v>#NAME?</v>
      </c>
      <c r="M180" s="1" t="e">
        <f t="array" ref="M180">SUM</f>
        <v>#NAME?</v>
      </c>
      <c r="N180" s="1" t="e">
        <f t="array" ref="N180">SUM</f>
        <v>#NAME?</v>
      </c>
      <c r="O180" t="s">
        <v>20</v>
      </c>
      <c r="P180">
        <v>2021</v>
      </c>
    </row>
    <row r="181" spans="1:16" x14ac:dyDescent="0.25">
      <c r="A181" t="s">
        <v>16</v>
      </c>
      <c r="B181" s="1" t="e">
        <f t="array" ref="B181">SUM</f>
        <v>#NAME?</v>
      </c>
      <c r="C181" s="1" t="e">
        <f t="array" ref="C181">SUM</f>
        <v>#NAME?</v>
      </c>
      <c r="D181" s="1" t="e">
        <f t="array" ref="D181">SUM</f>
        <v>#NAME?</v>
      </c>
      <c r="E181" s="1" t="e">
        <f t="array" ref="E181">SUM</f>
        <v>#NAME?</v>
      </c>
      <c r="F181" s="1" t="e">
        <f t="array" ref="F181">SUM</f>
        <v>#NAME?</v>
      </c>
      <c r="G181" s="1" t="e">
        <f t="array" ref="G181">SUM</f>
        <v>#NAME?</v>
      </c>
      <c r="H181" s="1" t="e">
        <f t="array" ref="H181">SUM</f>
        <v>#NAME?</v>
      </c>
      <c r="I181" s="1" t="e">
        <f t="array" ref="I181">SUM</f>
        <v>#NAME?</v>
      </c>
      <c r="J181" s="1" t="e">
        <f t="array" ref="J181">SUM</f>
        <v>#NAME?</v>
      </c>
      <c r="K181" s="1" t="e">
        <f t="array" ref="K181">SUM</f>
        <v>#NAME?</v>
      </c>
      <c r="L181" s="1" t="e">
        <f t="array" ref="L181">SUM</f>
        <v>#NAME?</v>
      </c>
      <c r="M181" s="1" t="e">
        <f t="array" ref="M181">SUM</f>
        <v>#NAME?</v>
      </c>
      <c r="N181" s="1" t="e">
        <f t="array" ref="N181">SUM</f>
        <v>#NAME?</v>
      </c>
      <c r="O181" t="s">
        <v>27</v>
      </c>
      <c r="P181">
        <v>2021</v>
      </c>
    </row>
    <row r="182" spans="1:16" x14ac:dyDescent="0.25">
      <c r="A182" t="s">
        <v>16</v>
      </c>
      <c r="B182" s="1" t="e">
        <f t="array" ref="B182">SUM</f>
        <v>#NAME?</v>
      </c>
      <c r="C182" s="1" t="e">
        <f t="array" ref="C182">SUM</f>
        <v>#NAME?</v>
      </c>
      <c r="D182" s="1" t="e">
        <f t="array" ref="D182">SUM</f>
        <v>#NAME?</v>
      </c>
      <c r="E182" s="1" t="e">
        <f t="array" ref="E182">SUM</f>
        <v>#NAME?</v>
      </c>
      <c r="F182" s="1" t="e">
        <f t="array" ref="F182">SUM</f>
        <v>#NAME?</v>
      </c>
      <c r="G182" s="1" t="e">
        <f t="array" ref="G182">SUM</f>
        <v>#NAME?</v>
      </c>
      <c r="H182" s="1" t="e">
        <f t="array" ref="H182">SUM</f>
        <v>#NAME?</v>
      </c>
      <c r="I182" s="1" t="e">
        <f t="array" ref="I182">SUM</f>
        <v>#NAME?</v>
      </c>
      <c r="J182" s="1" t="e">
        <f t="array" ref="J182">SUM</f>
        <v>#NAME?</v>
      </c>
      <c r="K182" s="1" t="e">
        <f t="array" ref="K182">SUM</f>
        <v>#NAME?</v>
      </c>
      <c r="L182" s="1" t="e">
        <f t="array" ref="L182">SUM</f>
        <v>#NAME?</v>
      </c>
      <c r="M182" s="1" t="e">
        <f t="array" ref="M182">SUM</f>
        <v>#NAME?</v>
      </c>
      <c r="N182" s="1" t="e">
        <f t="array" ref="N182">SUM</f>
        <v>#NAME?</v>
      </c>
      <c r="O182" t="s">
        <v>28</v>
      </c>
      <c r="P182">
        <v>2021</v>
      </c>
    </row>
    <row r="183" spans="1:16" x14ac:dyDescent="0.25">
      <c r="A183" t="s">
        <v>25</v>
      </c>
      <c r="B183" s="1" t="e">
        <f t="array" ref="B183">SUM</f>
        <v>#NAME?</v>
      </c>
      <c r="C183" s="1" t="e">
        <f t="array" ref="C183">SUM</f>
        <v>#NAME?</v>
      </c>
      <c r="D183" s="1" t="e">
        <f t="array" ref="D183">SUM</f>
        <v>#NAME?</v>
      </c>
      <c r="E183" s="1" t="e">
        <f t="array" ref="E183">SUM</f>
        <v>#NAME?</v>
      </c>
      <c r="F183" s="1" t="e">
        <f t="array" ref="F183">SUM</f>
        <v>#NAME?</v>
      </c>
      <c r="G183" s="1" t="e">
        <f t="array" ref="G183">SUM</f>
        <v>#NAME?</v>
      </c>
      <c r="H183" s="1" t="e">
        <f t="array" ref="H183">SUM</f>
        <v>#NAME?</v>
      </c>
      <c r="I183" s="1" t="e">
        <f t="array" ref="I183">SUM</f>
        <v>#NAME?</v>
      </c>
      <c r="J183" s="1" t="e">
        <f t="array" ref="J183">SUM</f>
        <v>#NAME?</v>
      </c>
      <c r="K183" s="1" t="e">
        <f t="array" ref="K183">SUM</f>
        <v>#NAME?</v>
      </c>
      <c r="L183" s="1" t="e">
        <f t="array" ref="L183">SUM</f>
        <v>#NAME?</v>
      </c>
      <c r="M183" s="1" t="e">
        <f t="array" ref="M183">SUM</f>
        <v>#NAME?</v>
      </c>
      <c r="N183" s="1" t="e">
        <f t="array" ref="N183">SUM</f>
        <v>#NAME?</v>
      </c>
      <c r="O183" t="s">
        <v>28</v>
      </c>
      <c r="P183">
        <v>2021</v>
      </c>
    </row>
    <row r="184" spans="1:16" x14ac:dyDescent="0.25">
      <c r="A184" t="s">
        <v>16</v>
      </c>
      <c r="B184" s="1" t="e">
        <f t="array" ref="B184">SUM</f>
        <v>#NAME?</v>
      </c>
      <c r="C184" s="1" t="e">
        <f t="array" ref="C184">SUM</f>
        <v>#NAME?</v>
      </c>
      <c r="D184" s="1" t="e">
        <f t="array" ref="D184">SUM</f>
        <v>#NAME?</v>
      </c>
      <c r="E184" s="1" t="e">
        <f t="array" ref="E184">SUM</f>
        <v>#NAME?</v>
      </c>
      <c r="F184" s="1" t="e">
        <f t="array" ref="F184">SUM</f>
        <v>#NAME?</v>
      </c>
      <c r="G184" s="1" t="e">
        <f t="array" ref="G184">SUM</f>
        <v>#NAME?</v>
      </c>
      <c r="H184" s="1" t="e">
        <f t="array" ref="H184">SUM</f>
        <v>#NAME?</v>
      </c>
      <c r="I184" s="1" t="e">
        <f t="array" ref="I184">SUM</f>
        <v>#NAME?</v>
      </c>
      <c r="J184" s="1" t="e">
        <f t="array" ref="J184">SUM</f>
        <v>#NAME?</v>
      </c>
      <c r="K184" s="1" t="e">
        <f t="array" ref="K184">SUM</f>
        <v>#NAME?</v>
      </c>
      <c r="L184" s="1" t="e">
        <f t="array" ref="L184">SUM</f>
        <v>#NAME?</v>
      </c>
      <c r="M184" s="1" t="e">
        <f t="array" ref="M184">SUM</f>
        <v>#NAME?</v>
      </c>
      <c r="N184" s="1" t="e">
        <f t="array" ref="N184">SUM</f>
        <v>#NAME?</v>
      </c>
      <c r="O184" t="s">
        <v>20</v>
      </c>
      <c r="P184">
        <v>2021</v>
      </c>
    </row>
    <row r="185" spans="1:16" x14ac:dyDescent="0.25">
      <c r="A185" t="s">
        <v>18</v>
      </c>
      <c r="B185" s="1" t="e">
        <f t="array" ref="B185">SUM</f>
        <v>#NAME?</v>
      </c>
      <c r="C185" s="1" t="e">
        <f t="array" ref="C185">SUM</f>
        <v>#NAME?</v>
      </c>
      <c r="D185" s="1" t="e">
        <f t="array" ref="D185">SUM</f>
        <v>#NAME?</v>
      </c>
      <c r="E185" s="1" t="e">
        <f t="array" ref="E185">SUM</f>
        <v>#NAME?</v>
      </c>
      <c r="F185" s="1" t="e">
        <f t="array" ref="F185">SUM</f>
        <v>#NAME?</v>
      </c>
      <c r="G185" s="1" t="e">
        <f t="array" ref="G185">SUM</f>
        <v>#NAME?</v>
      </c>
      <c r="H185" s="1" t="e">
        <f t="array" ref="H185">SUM</f>
        <v>#NAME?</v>
      </c>
      <c r="I185" s="1" t="e">
        <f t="array" ref="I185">SUM</f>
        <v>#NAME?</v>
      </c>
      <c r="J185" s="1" t="e">
        <f t="array" ref="J185">SUM</f>
        <v>#NAME?</v>
      </c>
      <c r="K185" s="1" t="e">
        <f t="array" ref="K185">SUM</f>
        <v>#NAME?</v>
      </c>
      <c r="L185" s="1" t="e">
        <f t="array" ref="L185">SUM</f>
        <v>#NAME?</v>
      </c>
      <c r="M185" s="1" t="e">
        <f t="array" ref="M185">SUM</f>
        <v>#NAME?</v>
      </c>
      <c r="N185" s="1" t="e">
        <f t="array" ref="N185">SUM</f>
        <v>#NAME?</v>
      </c>
      <c r="O185" t="s">
        <v>21</v>
      </c>
      <c r="P185">
        <v>2021</v>
      </c>
    </row>
    <row r="186" spans="1:16" x14ac:dyDescent="0.25">
      <c r="A186" t="s">
        <v>25</v>
      </c>
      <c r="B186" s="1" t="e">
        <f t="array" ref="B186">SUM</f>
        <v>#NAME?</v>
      </c>
      <c r="C186" s="1" t="e">
        <f t="array" ref="C186">SUM</f>
        <v>#NAME?</v>
      </c>
      <c r="D186" s="1" t="e">
        <f t="array" ref="D186">SUM</f>
        <v>#NAME?</v>
      </c>
      <c r="E186" s="1" t="e">
        <f t="array" ref="E186">SUM</f>
        <v>#NAME?</v>
      </c>
      <c r="F186" s="1" t="e">
        <f t="array" ref="F186">SUM</f>
        <v>#NAME?</v>
      </c>
      <c r="G186" s="1" t="e">
        <f t="array" ref="G186">SUM</f>
        <v>#NAME?</v>
      </c>
      <c r="H186" s="1" t="e">
        <f t="array" ref="H186">SUM</f>
        <v>#NAME?</v>
      </c>
      <c r="I186" s="1" t="e">
        <f t="array" ref="I186">SUM</f>
        <v>#NAME?</v>
      </c>
      <c r="J186" s="1" t="e">
        <f t="array" ref="J186">SUM</f>
        <v>#NAME?</v>
      </c>
      <c r="K186" s="1" t="e">
        <f t="array" ref="K186">SUM</f>
        <v>#NAME?</v>
      </c>
      <c r="L186" s="1" t="e">
        <f t="array" ref="L186">SUM</f>
        <v>#NAME?</v>
      </c>
      <c r="M186" s="1" t="e">
        <f t="array" ref="M186">SUM</f>
        <v>#NAME?</v>
      </c>
      <c r="N186" s="1" t="e">
        <f t="array" ref="N186">SUM</f>
        <v>#NAME?</v>
      </c>
      <c r="O186" t="s">
        <v>26</v>
      </c>
      <c r="P186">
        <v>2021</v>
      </c>
    </row>
    <row r="187" spans="1:16" x14ac:dyDescent="0.25">
      <c r="A187" t="s">
        <v>16</v>
      </c>
      <c r="B187" s="1" t="e">
        <f t="array" ref="B187">SUM</f>
        <v>#NAME?</v>
      </c>
      <c r="C187" s="1" t="e">
        <f t="array" ref="C187">SUM</f>
        <v>#NAME?</v>
      </c>
      <c r="D187" s="1" t="e">
        <f t="array" ref="D187">SUM</f>
        <v>#NAME?</v>
      </c>
      <c r="E187" s="1" t="e">
        <f t="array" ref="E187">SUM</f>
        <v>#NAME?</v>
      </c>
      <c r="F187" s="1" t="e">
        <f t="array" ref="F187">SUM</f>
        <v>#NAME?</v>
      </c>
      <c r="G187" s="1" t="e">
        <f t="array" ref="G187">SUM</f>
        <v>#NAME?</v>
      </c>
      <c r="H187" s="1" t="e">
        <f t="array" ref="H187">SUM</f>
        <v>#NAME?</v>
      </c>
      <c r="I187" s="1" t="e">
        <f t="array" ref="I187">SUM</f>
        <v>#NAME?</v>
      </c>
      <c r="J187" s="1" t="e">
        <f t="array" ref="J187">SUM</f>
        <v>#NAME?</v>
      </c>
      <c r="K187" s="1" t="e">
        <f t="array" ref="K187">SUM</f>
        <v>#NAME?</v>
      </c>
      <c r="L187" s="1" t="e">
        <f t="array" ref="L187">SUM</f>
        <v>#NAME?</v>
      </c>
      <c r="M187" s="1" t="e">
        <f t="array" ref="M187">SUM</f>
        <v>#NAME?</v>
      </c>
      <c r="N187" s="1" t="e">
        <f t="array" ref="N187">SUM</f>
        <v>#NAME?</v>
      </c>
      <c r="O187" t="s">
        <v>28</v>
      </c>
      <c r="P187">
        <v>2021</v>
      </c>
    </row>
    <row r="188" spans="1:16" x14ac:dyDescent="0.25">
      <c r="A188" t="s">
        <v>25</v>
      </c>
      <c r="B188" s="1" t="e">
        <f t="array" ref="B188">SUM</f>
        <v>#NAME?</v>
      </c>
      <c r="C188" s="1" t="e">
        <f t="array" ref="C188">SUM</f>
        <v>#NAME?</v>
      </c>
      <c r="D188" s="1" t="e">
        <f t="array" ref="D188">SUM</f>
        <v>#NAME?</v>
      </c>
      <c r="E188" s="1" t="e">
        <f t="array" ref="E188">SUM</f>
        <v>#NAME?</v>
      </c>
      <c r="F188" s="1" t="e">
        <f t="array" ref="F188">SUM</f>
        <v>#NAME?</v>
      </c>
      <c r="G188" s="1" t="e">
        <f t="array" ref="G188">SUM</f>
        <v>#NAME?</v>
      </c>
      <c r="H188" s="1" t="e">
        <f t="array" ref="H188">SUM</f>
        <v>#NAME?</v>
      </c>
      <c r="I188" s="1" t="e">
        <f t="array" ref="I188">SUM</f>
        <v>#NAME?</v>
      </c>
      <c r="J188" s="1" t="e">
        <f t="array" ref="J188">SUM</f>
        <v>#NAME?</v>
      </c>
      <c r="K188" s="1" t="e">
        <f t="array" ref="K188">SUM</f>
        <v>#NAME?</v>
      </c>
      <c r="L188" s="1" t="e">
        <f t="array" ref="L188">SUM</f>
        <v>#NAME?</v>
      </c>
      <c r="M188" s="1" t="e">
        <f t="array" ref="M188">SUM</f>
        <v>#NAME?</v>
      </c>
      <c r="N188" s="1" t="e">
        <f t="array" ref="N188">SUM</f>
        <v>#NAME?</v>
      </c>
      <c r="O188" t="s">
        <v>28</v>
      </c>
      <c r="P188">
        <v>2021</v>
      </c>
    </row>
    <row r="189" spans="1:16" x14ac:dyDescent="0.25">
      <c r="A189" t="s">
        <v>23</v>
      </c>
      <c r="B189" s="1" t="e">
        <f t="array" ref="B189">SUM</f>
        <v>#NAME?</v>
      </c>
      <c r="C189" s="1" t="e">
        <f t="array" ref="C189">SUM</f>
        <v>#NAME?</v>
      </c>
      <c r="D189" s="1" t="e">
        <f t="array" ref="D189">SUM</f>
        <v>#NAME?</v>
      </c>
      <c r="E189" s="1" t="e">
        <f t="array" ref="E189">SUM</f>
        <v>#NAME?</v>
      </c>
      <c r="F189" s="1" t="e">
        <f t="array" ref="F189">SUM</f>
        <v>#NAME?</v>
      </c>
      <c r="G189" s="1" t="e">
        <f t="array" ref="G189">SUM</f>
        <v>#NAME?</v>
      </c>
      <c r="H189" s="1" t="e">
        <f t="array" ref="H189">SUM</f>
        <v>#NAME?</v>
      </c>
      <c r="I189" s="1" t="e">
        <f t="array" ref="I189">SUM</f>
        <v>#NAME?</v>
      </c>
      <c r="J189" s="1" t="e">
        <f t="array" ref="J189">SUM</f>
        <v>#NAME?</v>
      </c>
      <c r="K189" s="1" t="e">
        <f t="array" ref="K189">SUM</f>
        <v>#NAME?</v>
      </c>
      <c r="L189" s="1" t="e">
        <f t="array" ref="L189">SUM</f>
        <v>#NAME?</v>
      </c>
      <c r="M189" s="1" t="e">
        <f t="array" ref="M189">SUM</f>
        <v>#NAME?</v>
      </c>
      <c r="N189" s="1" t="e">
        <f t="array" ref="N189">SUM</f>
        <v>#NAME?</v>
      </c>
      <c r="O189" t="s">
        <v>20</v>
      </c>
      <c r="P189">
        <v>2021</v>
      </c>
    </row>
    <row r="190" spans="1:16" x14ac:dyDescent="0.25">
      <c r="A190" t="s">
        <v>16</v>
      </c>
      <c r="B190" s="1" t="e">
        <f t="array" ref="B190">SUM</f>
        <v>#NAME?</v>
      </c>
      <c r="C190" s="1" t="e">
        <f t="array" ref="C190">SUM</f>
        <v>#NAME?</v>
      </c>
      <c r="D190" s="1" t="e">
        <f t="array" ref="D190">SUM</f>
        <v>#NAME?</v>
      </c>
      <c r="E190" s="1" t="e">
        <f t="array" ref="E190">SUM</f>
        <v>#NAME?</v>
      </c>
      <c r="F190" s="1" t="e">
        <f t="array" ref="F190">SUM</f>
        <v>#NAME?</v>
      </c>
      <c r="G190" s="1" t="e">
        <f t="array" ref="G190">SUM</f>
        <v>#NAME?</v>
      </c>
      <c r="H190" s="1" t="e">
        <f t="array" ref="H190">SUM</f>
        <v>#NAME?</v>
      </c>
      <c r="I190" s="1" t="e">
        <f t="array" ref="I190">SUM</f>
        <v>#NAME?</v>
      </c>
      <c r="J190" s="1" t="e">
        <f t="array" ref="J190">SUM</f>
        <v>#NAME?</v>
      </c>
      <c r="K190" s="1" t="e">
        <f t="array" ref="K190">SUM</f>
        <v>#NAME?</v>
      </c>
      <c r="L190" s="1" t="e">
        <f t="array" ref="L190">SUM</f>
        <v>#NAME?</v>
      </c>
      <c r="M190" s="1" t="e">
        <f t="array" ref="M190">SUM</f>
        <v>#NAME?</v>
      </c>
      <c r="N190" s="1" t="e">
        <f t="array" ref="N190">SUM</f>
        <v>#NAME?</v>
      </c>
      <c r="O190" t="s">
        <v>17</v>
      </c>
      <c r="P190">
        <v>2021</v>
      </c>
    </row>
    <row r="191" spans="1:16" x14ac:dyDescent="0.25">
      <c r="A191" t="s">
        <v>23</v>
      </c>
      <c r="B191" s="1" t="e">
        <f t="array" ref="B191">SUM</f>
        <v>#NAME?</v>
      </c>
      <c r="C191" s="1" t="e">
        <f t="array" ref="C191">SUM</f>
        <v>#NAME?</v>
      </c>
      <c r="D191" s="1" t="e">
        <f t="array" ref="D191">SUM</f>
        <v>#NAME?</v>
      </c>
      <c r="E191" s="1" t="e">
        <f t="array" ref="E191">SUM</f>
        <v>#NAME?</v>
      </c>
      <c r="F191" s="1" t="e">
        <f t="array" ref="F191">SUM</f>
        <v>#NAME?</v>
      </c>
      <c r="G191" s="1" t="e">
        <f t="array" ref="G191">SUM</f>
        <v>#NAME?</v>
      </c>
      <c r="H191" s="1" t="e">
        <f t="array" ref="H191">SUM</f>
        <v>#NAME?</v>
      </c>
      <c r="I191" s="1" t="e">
        <f t="array" ref="I191">SUM</f>
        <v>#NAME?</v>
      </c>
      <c r="J191" s="1" t="e">
        <f t="array" ref="J191">SUM</f>
        <v>#NAME?</v>
      </c>
      <c r="K191" s="1" t="e">
        <f t="array" ref="K191">SUM</f>
        <v>#NAME?</v>
      </c>
      <c r="L191" s="1" t="e">
        <f t="array" ref="L191">SUM</f>
        <v>#NAME?</v>
      </c>
      <c r="M191" s="1" t="e">
        <f t="array" ref="M191">SUM</f>
        <v>#NAME?</v>
      </c>
      <c r="N191" s="1" t="e">
        <f t="array" ref="N191">SUM</f>
        <v>#NAME?</v>
      </c>
      <c r="O191" t="s">
        <v>21</v>
      </c>
      <c r="P191">
        <v>2021</v>
      </c>
    </row>
    <row r="192" spans="1:16" x14ac:dyDescent="0.25">
      <c r="A192" t="s">
        <v>25</v>
      </c>
      <c r="B192" s="1" t="e">
        <f t="array" ref="B192">SUM</f>
        <v>#NAME?</v>
      </c>
      <c r="C192" s="1" t="e">
        <f t="array" ref="C192">SUM</f>
        <v>#NAME?</v>
      </c>
      <c r="D192" s="1" t="e">
        <f t="array" ref="D192">SUM</f>
        <v>#NAME?</v>
      </c>
      <c r="E192" s="1" t="e">
        <f t="array" ref="E192">SUM</f>
        <v>#NAME?</v>
      </c>
      <c r="F192" s="1" t="e">
        <f t="array" ref="F192">SUM</f>
        <v>#NAME?</v>
      </c>
      <c r="G192" s="1" t="e">
        <f t="array" ref="G192">SUM</f>
        <v>#NAME?</v>
      </c>
      <c r="H192" s="1" t="e">
        <f t="array" ref="H192">SUM</f>
        <v>#NAME?</v>
      </c>
      <c r="I192" s="1" t="e">
        <f t="array" ref="I192">SUM</f>
        <v>#NAME?</v>
      </c>
      <c r="J192" s="1" t="e">
        <f t="array" ref="J192">SUM</f>
        <v>#NAME?</v>
      </c>
      <c r="K192" s="1" t="e">
        <f t="array" ref="K192">SUM</f>
        <v>#NAME?</v>
      </c>
      <c r="L192" s="1" t="e">
        <f t="array" ref="L192">SUM</f>
        <v>#NAME?</v>
      </c>
      <c r="M192" s="1" t="e">
        <f t="array" ref="M192">SUM</f>
        <v>#NAME?</v>
      </c>
      <c r="N192" s="1" t="e">
        <f t="array" ref="N192">SUM</f>
        <v>#NAME?</v>
      </c>
      <c r="O192" t="s">
        <v>31</v>
      </c>
      <c r="P192">
        <v>2021</v>
      </c>
    </row>
    <row r="193" spans="1:16" x14ac:dyDescent="0.25">
      <c r="A193" t="s">
        <v>25</v>
      </c>
      <c r="B193" s="1" t="e">
        <f t="array" ref="B193">SUM</f>
        <v>#NAME?</v>
      </c>
      <c r="C193" s="1" t="e">
        <f t="array" ref="C193">SUM</f>
        <v>#NAME?</v>
      </c>
      <c r="D193" s="1" t="e">
        <f t="array" ref="D193">SUM</f>
        <v>#NAME?</v>
      </c>
      <c r="E193" s="1" t="e">
        <f t="array" ref="E193">SUM</f>
        <v>#NAME?</v>
      </c>
      <c r="F193" s="1" t="e">
        <f t="array" ref="F193">SUM</f>
        <v>#NAME?</v>
      </c>
      <c r="G193" s="1" t="e">
        <f t="array" ref="G193">SUM</f>
        <v>#NAME?</v>
      </c>
      <c r="H193" s="1" t="e">
        <f t="array" ref="H193">SUM</f>
        <v>#NAME?</v>
      </c>
      <c r="I193" s="1" t="e">
        <f t="array" ref="I193">SUM</f>
        <v>#NAME?</v>
      </c>
      <c r="J193" s="1" t="e">
        <f t="array" ref="J193">SUM</f>
        <v>#NAME?</v>
      </c>
      <c r="K193" s="1" t="e">
        <f t="array" ref="K193">SUM</f>
        <v>#NAME?</v>
      </c>
      <c r="L193" s="1" t="e">
        <f t="array" ref="L193">SUM</f>
        <v>#NAME?</v>
      </c>
      <c r="M193" s="1" t="e">
        <f t="array" ref="M193">SUM</f>
        <v>#NAME?</v>
      </c>
      <c r="N193" s="1" t="e">
        <f t="array" ref="N193">SUM</f>
        <v>#NAME?</v>
      </c>
      <c r="O193" t="s">
        <v>32</v>
      </c>
      <c r="P193">
        <v>2021</v>
      </c>
    </row>
    <row r="194" spans="1:16" x14ac:dyDescent="0.25">
      <c r="A194" t="s">
        <v>16</v>
      </c>
      <c r="B194" s="1" t="e">
        <f t="array" ref="B194">SUM</f>
        <v>#NAME?</v>
      </c>
      <c r="C194" s="1" t="e">
        <f t="array" ref="C194">SUM</f>
        <v>#NAME?</v>
      </c>
      <c r="D194" s="1" t="e">
        <f t="array" ref="D194">SUM</f>
        <v>#NAME?</v>
      </c>
      <c r="E194" s="1" t="e">
        <f t="array" ref="E194">SUM</f>
        <v>#NAME?</v>
      </c>
      <c r="F194" s="1" t="e">
        <f t="array" ref="F194">SUM</f>
        <v>#NAME?</v>
      </c>
      <c r="G194" s="1" t="e">
        <f t="array" ref="G194">SUM</f>
        <v>#NAME?</v>
      </c>
      <c r="H194" s="1" t="e">
        <f t="array" ref="H194">SUM</f>
        <v>#NAME?</v>
      </c>
      <c r="I194" s="1" t="e">
        <f t="array" ref="I194">SUM</f>
        <v>#NAME?</v>
      </c>
      <c r="J194" s="1" t="e">
        <f t="array" ref="J194">SUM</f>
        <v>#NAME?</v>
      </c>
      <c r="K194" s="1" t="e">
        <f t="array" ref="K194">SUM</f>
        <v>#NAME?</v>
      </c>
      <c r="L194" s="1" t="e">
        <f t="array" ref="L194">SUM</f>
        <v>#NAME?</v>
      </c>
      <c r="M194" s="1" t="e">
        <f t="array" ref="M194">SUM</f>
        <v>#NAME?</v>
      </c>
      <c r="N194" s="1" t="e">
        <f t="array" ref="N194">SUM</f>
        <v>#NAME?</v>
      </c>
      <c r="O194" t="s">
        <v>24</v>
      </c>
      <c r="P194">
        <v>2021</v>
      </c>
    </row>
    <row r="195" spans="1:16" x14ac:dyDescent="0.25">
      <c r="A195" t="s">
        <v>23</v>
      </c>
      <c r="B195" s="1" t="e">
        <f t="array" ref="B195">SUM</f>
        <v>#NAME?</v>
      </c>
      <c r="C195" s="1" t="e">
        <f t="array" ref="C195">SUM</f>
        <v>#NAME?</v>
      </c>
      <c r="D195" s="1" t="e">
        <f t="array" ref="D195">SUM</f>
        <v>#NAME?</v>
      </c>
      <c r="E195" s="1" t="e">
        <f t="array" ref="E195">SUM</f>
        <v>#NAME?</v>
      </c>
      <c r="F195" s="1" t="e">
        <f t="array" ref="F195">SUM</f>
        <v>#NAME?</v>
      </c>
      <c r="G195" s="1" t="e">
        <f t="array" ref="G195">SUM</f>
        <v>#NAME?</v>
      </c>
      <c r="H195" s="1" t="e">
        <f t="array" ref="H195">SUM</f>
        <v>#NAME?</v>
      </c>
      <c r="I195" s="1" t="e">
        <f t="array" ref="I195">SUM</f>
        <v>#NAME?</v>
      </c>
      <c r="J195" s="1" t="e">
        <f t="array" ref="J195">SUM</f>
        <v>#NAME?</v>
      </c>
      <c r="K195" s="1" t="e">
        <f t="array" ref="K195">SUM</f>
        <v>#NAME?</v>
      </c>
      <c r="L195" s="1" t="e">
        <f t="array" ref="L195">SUM</f>
        <v>#NAME?</v>
      </c>
      <c r="M195" s="1" t="e">
        <f t="array" ref="M195">SUM</f>
        <v>#NAME?</v>
      </c>
      <c r="N195" s="1" t="e">
        <f t="array" ref="N195">SUM</f>
        <v>#NAME?</v>
      </c>
      <c r="O195" t="s">
        <v>24</v>
      </c>
      <c r="P195">
        <v>2021</v>
      </c>
    </row>
    <row r="196" spans="1:16" x14ac:dyDescent="0.25">
      <c r="A196" t="s">
        <v>18</v>
      </c>
      <c r="B196" s="1" t="e">
        <f t="array" ref="B196">SUM</f>
        <v>#NAME?</v>
      </c>
      <c r="C196" s="1" t="e">
        <f t="array" ref="C196">SUM</f>
        <v>#NAME?</v>
      </c>
      <c r="D196" s="1" t="e">
        <f t="array" ref="D196">SUM</f>
        <v>#NAME?</v>
      </c>
      <c r="E196" s="1" t="e">
        <f t="array" ref="E196">SUM</f>
        <v>#NAME?</v>
      </c>
      <c r="F196" s="1" t="e">
        <f t="array" ref="F196">SUM</f>
        <v>#NAME?</v>
      </c>
      <c r="G196" s="1" t="e">
        <f t="array" ref="G196">SUM</f>
        <v>#NAME?</v>
      </c>
      <c r="H196" s="1" t="e">
        <f t="array" ref="H196">SUM</f>
        <v>#NAME?</v>
      </c>
      <c r="I196" s="1" t="e">
        <f t="array" ref="I196">SUM</f>
        <v>#NAME?</v>
      </c>
      <c r="J196" s="1" t="e">
        <f t="array" ref="J196">SUM</f>
        <v>#NAME?</v>
      </c>
      <c r="K196" s="1" t="e">
        <f t="array" ref="K196">SUM</f>
        <v>#NAME?</v>
      </c>
      <c r="L196" s="1" t="e">
        <f t="array" ref="L196">SUM</f>
        <v>#NAME?</v>
      </c>
      <c r="M196" s="1" t="e">
        <f t="array" ref="M196">SUM</f>
        <v>#NAME?</v>
      </c>
      <c r="N196" s="1" t="e">
        <f t="array" ref="N196">SUM</f>
        <v>#NAME?</v>
      </c>
      <c r="O196" t="s">
        <v>27</v>
      </c>
      <c r="P196">
        <v>2021</v>
      </c>
    </row>
    <row r="197" spans="1:16" x14ac:dyDescent="0.25">
      <c r="A197" t="s">
        <v>16</v>
      </c>
      <c r="B197" s="1" t="e">
        <f t="array" ref="B197">SUM</f>
        <v>#NAME?</v>
      </c>
      <c r="C197" s="1" t="e">
        <f t="array" ref="C197">SUM</f>
        <v>#NAME?</v>
      </c>
      <c r="D197" s="1" t="e">
        <f t="array" ref="D197">SUM</f>
        <v>#NAME?</v>
      </c>
      <c r="E197" s="1" t="e">
        <f t="array" ref="E197">SUM</f>
        <v>#NAME?</v>
      </c>
      <c r="F197" s="1" t="e">
        <f t="array" ref="F197">SUM</f>
        <v>#NAME?</v>
      </c>
      <c r="G197" s="1" t="e">
        <f t="array" ref="G197">SUM</f>
        <v>#NAME?</v>
      </c>
      <c r="H197" s="1" t="e">
        <f t="array" ref="H197">SUM</f>
        <v>#NAME?</v>
      </c>
      <c r="I197" s="1" t="e">
        <f t="array" ref="I197">SUM</f>
        <v>#NAME?</v>
      </c>
      <c r="J197" s="1" t="e">
        <f t="array" ref="J197">SUM</f>
        <v>#NAME?</v>
      </c>
      <c r="K197" s="1" t="e">
        <f t="array" ref="K197">SUM</f>
        <v>#NAME?</v>
      </c>
      <c r="L197" s="1" t="e">
        <f t="array" ref="L197">SUM</f>
        <v>#NAME?</v>
      </c>
      <c r="M197" s="1" t="e">
        <f t="array" ref="M197">SUM</f>
        <v>#NAME?</v>
      </c>
      <c r="N197" s="1" t="e">
        <f t="array" ref="N197">SUM</f>
        <v>#NAME?</v>
      </c>
      <c r="O197" t="s">
        <v>27</v>
      </c>
      <c r="P197">
        <v>2021</v>
      </c>
    </row>
    <row r="198" spans="1:16" x14ac:dyDescent="0.25">
      <c r="A198" t="s">
        <v>16</v>
      </c>
      <c r="B198" s="1" t="e">
        <f t="array" ref="B198">SUM</f>
        <v>#NAME?</v>
      </c>
      <c r="C198" s="1" t="e">
        <f t="array" ref="C198">SUM</f>
        <v>#NAME?</v>
      </c>
      <c r="D198" s="1" t="e">
        <f t="array" ref="D198">SUM</f>
        <v>#NAME?</v>
      </c>
      <c r="E198" s="1" t="e">
        <f t="array" ref="E198">SUM</f>
        <v>#NAME?</v>
      </c>
      <c r="F198" s="1" t="e">
        <f t="array" ref="F198">SUM</f>
        <v>#NAME?</v>
      </c>
      <c r="G198" s="1" t="e">
        <f t="array" ref="G198">SUM</f>
        <v>#NAME?</v>
      </c>
      <c r="H198" s="1" t="e">
        <f t="array" ref="H198">SUM</f>
        <v>#NAME?</v>
      </c>
      <c r="I198" s="1" t="e">
        <f t="array" ref="I198">SUM</f>
        <v>#NAME?</v>
      </c>
      <c r="J198" s="1" t="e">
        <f t="array" ref="J198">SUM</f>
        <v>#NAME?</v>
      </c>
      <c r="K198" s="1" t="e">
        <f t="array" ref="K198">SUM</f>
        <v>#NAME?</v>
      </c>
      <c r="L198" s="1" t="e">
        <f t="array" ref="L198">SUM</f>
        <v>#NAME?</v>
      </c>
      <c r="M198" s="1" t="e">
        <f t="array" ref="M198">SUM</f>
        <v>#NAME?</v>
      </c>
      <c r="N198" s="1" t="e">
        <f t="array" ref="N198">SUM</f>
        <v>#NAME?</v>
      </c>
      <c r="O198" t="s">
        <v>27</v>
      </c>
      <c r="P198">
        <v>2021</v>
      </c>
    </row>
    <row r="199" spans="1:16" x14ac:dyDescent="0.25">
      <c r="A199" t="s">
        <v>18</v>
      </c>
      <c r="B199" s="1" t="e">
        <f t="array" ref="B199">SUM</f>
        <v>#NAME?</v>
      </c>
      <c r="C199" s="1" t="e">
        <f t="array" ref="C199">SUM</f>
        <v>#NAME?</v>
      </c>
      <c r="D199" s="1" t="e">
        <f t="array" ref="D199">SUM</f>
        <v>#NAME?</v>
      </c>
      <c r="E199" s="1" t="e">
        <f t="array" ref="E199">SUM</f>
        <v>#NAME?</v>
      </c>
      <c r="F199" s="1" t="e">
        <f t="array" ref="F199">SUM</f>
        <v>#NAME?</v>
      </c>
      <c r="G199" s="1" t="e">
        <f t="array" ref="G199">SUM</f>
        <v>#NAME?</v>
      </c>
      <c r="H199" s="1" t="e">
        <f t="array" ref="H199">SUM</f>
        <v>#NAME?</v>
      </c>
      <c r="I199" s="1" t="e">
        <f t="array" ref="I199">SUM</f>
        <v>#NAME?</v>
      </c>
      <c r="J199" s="1" t="e">
        <f t="array" ref="J199">SUM</f>
        <v>#NAME?</v>
      </c>
      <c r="K199" s="1" t="e">
        <f t="array" ref="K199">SUM</f>
        <v>#NAME?</v>
      </c>
      <c r="L199" s="1" t="e">
        <f t="array" ref="L199">SUM</f>
        <v>#NAME?</v>
      </c>
      <c r="M199" s="1" t="e">
        <f t="array" ref="M199">SUM</f>
        <v>#NAME?</v>
      </c>
      <c r="N199" s="1" t="e">
        <f t="array" ref="N199">SUM</f>
        <v>#NAME?</v>
      </c>
      <c r="O199" t="s">
        <v>28</v>
      </c>
      <c r="P199">
        <v>2021</v>
      </c>
    </row>
    <row r="200" spans="1:16" x14ac:dyDescent="0.25">
      <c r="A200" t="s">
        <v>18</v>
      </c>
      <c r="B200" s="1" t="e">
        <f t="array" ref="B200">SUM</f>
        <v>#NAME?</v>
      </c>
      <c r="C200" s="1" t="e">
        <f t="array" ref="C200">SUM</f>
        <v>#NAME?</v>
      </c>
      <c r="D200" s="1" t="e">
        <f t="array" ref="D200">SUM</f>
        <v>#NAME?</v>
      </c>
      <c r="E200" s="1" t="e">
        <f t="array" ref="E200">SUM</f>
        <v>#NAME?</v>
      </c>
      <c r="F200" s="1" t="e">
        <f t="array" ref="F200">SUM</f>
        <v>#NAME?</v>
      </c>
      <c r="G200" s="1" t="e">
        <f t="array" ref="G200">SUM</f>
        <v>#NAME?</v>
      </c>
      <c r="H200" s="1" t="e">
        <f t="array" ref="H200">SUM</f>
        <v>#NAME?</v>
      </c>
      <c r="I200" s="1" t="e">
        <f t="array" ref="I200">SUM</f>
        <v>#NAME?</v>
      </c>
      <c r="J200" s="1" t="e">
        <f t="array" ref="J200">SUM</f>
        <v>#NAME?</v>
      </c>
      <c r="K200" s="1" t="e">
        <f t="array" ref="K200">SUM</f>
        <v>#NAME?</v>
      </c>
      <c r="L200" s="1" t="e">
        <f t="array" ref="L200">SUM</f>
        <v>#NAME?</v>
      </c>
      <c r="M200" s="1" t="e">
        <f t="array" ref="M200">SUM</f>
        <v>#NAME?</v>
      </c>
      <c r="N200" s="1" t="e">
        <f t="array" ref="N200">SUM</f>
        <v>#NAME?</v>
      </c>
      <c r="O200" t="s">
        <v>28</v>
      </c>
      <c r="P200">
        <v>2021</v>
      </c>
    </row>
    <row r="201" spans="1:16" x14ac:dyDescent="0.25">
      <c r="A201" t="s">
        <v>16</v>
      </c>
      <c r="B201" s="1" t="e">
        <f t="array" ref="B201">SUM</f>
        <v>#NAME?</v>
      </c>
      <c r="C201" s="1" t="e">
        <f t="array" ref="C201">SUM</f>
        <v>#NAME?</v>
      </c>
      <c r="D201" s="1" t="e">
        <f t="array" ref="D201">SUM</f>
        <v>#NAME?</v>
      </c>
      <c r="E201" s="1" t="e">
        <f t="array" ref="E201">SUM</f>
        <v>#NAME?</v>
      </c>
      <c r="F201" s="1" t="e">
        <f t="array" ref="F201">SUM</f>
        <v>#NAME?</v>
      </c>
      <c r="G201" s="1" t="e">
        <f t="array" ref="G201">SUM</f>
        <v>#NAME?</v>
      </c>
      <c r="H201" s="1" t="e">
        <f t="array" ref="H201">SUM</f>
        <v>#NAME?</v>
      </c>
      <c r="I201" s="1" t="e">
        <f t="array" ref="I201">SUM</f>
        <v>#NAME?</v>
      </c>
      <c r="J201" s="1" t="e">
        <f t="array" ref="J201">SUM</f>
        <v>#NAME?</v>
      </c>
      <c r="K201" s="1" t="e">
        <f t="array" ref="K201">SUM</f>
        <v>#NAME?</v>
      </c>
      <c r="L201" s="1" t="e">
        <f t="array" ref="L201">SUM</f>
        <v>#NAME?</v>
      </c>
      <c r="M201" s="1" t="e">
        <f t="array" ref="M201">SUM</f>
        <v>#NAME?</v>
      </c>
      <c r="N201" s="1" t="e">
        <f t="array" ref="N201">SUM</f>
        <v>#NAME?</v>
      </c>
      <c r="O201" t="s">
        <v>20</v>
      </c>
      <c r="P201">
        <v>2021</v>
      </c>
    </row>
    <row r="202" spans="1:16" x14ac:dyDescent="0.25">
      <c r="A202" t="s">
        <v>23</v>
      </c>
      <c r="B202" s="1" t="e">
        <f t="array" ref="B202">SUM</f>
        <v>#NAME?</v>
      </c>
      <c r="C202" s="1" t="e">
        <f t="array" ref="C202">SUM</f>
        <v>#NAME?</v>
      </c>
      <c r="D202" s="1" t="e">
        <f t="array" ref="D202">SUM</f>
        <v>#NAME?</v>
      </c>
      <c r="E202" s="1" t="e">
        <f t="array" ref="E202">SUM</f>
        <v>#NAME?</v>
      </c>
      <c r="F202" s="1" t="e">
        <f t="array" ref="F202">SUM</f>
        <v>#NAME?</v>
      </c>
      <c r="G202" s="1" t="e">
        <f t="array" ref="G202">SUM</f>
        <v>#NAME?</v>
      </c>
      <c r="H202" s="1" t="e">
        <f t="array" ref="H202">SUM</f>
        <v>#NAME?</v>
      </c>
      <c r="I202" s="1" t="e">
        <f t="array" ref="I202">SUM</f>
        <v>#NAME?</v>
      </c>
      <c r="J202" s="1" t="e">
        <f t="array" ref="J202">SUM</f>
        <v>#NAME?</v>
      </c>
      <c r="K202" s="1" t="e">
        <f t="array" ref="K202">SUM</f>
        <v>#NAME?</v>
      </c>
      <c r="L202" s="1" t="e">
        <f t="array" ref="L202">SUM</f>
        <v>#NAME?</v>
      </c>
      <c r="M202" s="1" t="e">
        <f t="array" ref="M202">SUM</f>
        <v>#NAME?</v>
      </c>
      <c r="N202" s="1" t="e">
        <f t="array" ref="N202">SUM</f>
        <v>#NAME?</v>
      </c>
      <c r="O202" t="s">
        <v>20</v>
      </c>
      <c r="P202">
        <v>2021</v>
      </c>
    </row>
    <row r="203" spans="1:16" x14ac:dyDescent="0.25">
      <c r="A203" t="s">
        <v>22</v>
      </c>
      <c r="B203" s="1" t="e">
        <f t="array" ref="B203">SUM</f>
        <v>#NAME?</v>
      </c>
      <c r="C203" s="1" t="e">
        <f t="array" ref="C203">SUM</f>
        <v>#NAME?</v>
      </c>
      <c r="D203" s="1" t="e">
        <f t="array" ref="D203">SUM</f>
        <v>#NAME?</v>
      </c>
      <c r="E203" s="1" t="e">
        <f t="array" ref="E203">SUM</f>
        <v>#NAME?</v>
      </c>
      <c r="F203" s="1" t="e">
        <f t="array" ref="F203">SUM</f>
        <v>#NAME?</v>
      </c>
      <c r="G203" s="1" t="e">
        <f t="array" ref="G203">SUM</f>
        <v>#NAME?</v>
      </c>
      <c r="H203" s="1" t="e">
        <f t="array" ref="H203">SUM</f>
        <v>#NAME?</v>
      </c>
      <c r="I203" s="1" t="e">
        <f t="array" ref="I203">SUM</f>
        <v>#NAME?</v>
      </c>
      <c r="J203" s="1" t="e">
        <f t="array" ref="J203">SUM</f>
        <v>#NAME?</v>
      </c>
      <c r="K203" s="1" t="e">
        <f t="array" ref="K203">SUM</f>
        <v>#NAME?</v>
      </c>
      <c r="L203" s="1" t="e">
        <f t="array" ref="L203">SUM</f>
        <v>#NAME?</v>
      </c>
      <c r="M203" s="1" t="e">
        <f t="array" ref="M203">SUM</f>
        <v>#NAME?</v>
      </c>
      <c r="N203" s="1" t="e">
        <f t="array" ref="N203">SUM</f>
        <v>#NAME?</v>
      </c>
      <c r="O203" t="s">
        <v>21</v>
      </c>
      <c r="P203">
        <v>2021</v>
      </c>
    </row>
    <row r="204" spans="1:16" x14ac:dyDescent="0.25">
      <c r="A204" t="s">
        <v>16</v>
      </c>
      <c r="B204" s="1" t="e">
        <f t="array" ref="B204">SUM</f>
        <v>#NAME?</v>
      </c>
      <c r="C204" s="1" t="e">
        <f t="array" ref="C204">SUM</f>
        <v>#NAME?</v>
      </c>
      <c r="D204" s="1" t="e">
        <f t="array" ref="D204">SUM</f>
        <v>#NAME?</v>
      </c>
      <c r="E204" s="1" t="e">
        <f t="array" ref="E204">SUM</f>
        <v>#NAME?</v>
      </c>
      <c r="F204" s="1" t="e">
        <f t="array" ref="F204">SUM</f>
        <v>#NAME?</v>
      </c>
      <c r="G204" s="1" t="e">
        <f t="array" ref="G204">SUM</f>
        <v>#NAME?</v>
      </c>
      <c r="H204" s="1" t="e">
        <f t="array" ref="H204">SUM</f>
        <v>#NAME?</v>
      </c>
      <c r="I204" s="1" t="e">
        <f t="array" ref="I204">SUM</f>
        <v>#NAME?</v>
      </c>
      <c r="J204" s="1" t="e">
        <f t="array" ref="J204">SUM</f>
        <v>#NAME?</v>
      </c>
      <c r="K204" s="1" t="e">
        <f t="array" ref="K204">SUM</f>
        <v>#NAME?</v>
      </c>
      <c r="L204" s="1" t="e">
        <f t="array" ref="L204">SUM</f>
        <v>#NAME?</v>
      </c>
      <c r="M204" s="1" t="e">
        <f t="array" ref="M204">SUM</f>
        <v>#NAME?</v>
      </c>
      <c r="N204" s="1" t="e">
        <f t="array" ref="N204">SUM</f>
        <v>#NAME?</v>
      </c>
      <c r="O204" t="s">
        <v>27</v>
      </c>
      <c r="P204">
        <v>2021</v>
      </c>
    </row>
    <row r="205" spans="1:16" x14ac:dyDescent="0.25">
      <c r="A205" t="s">
        <v>16</v>
      </c>
      <c r="B205" s="1" t="e">
        <f t="array" ref="B205">SUM</f>
        <v>#NAME?</v>
      </c>
      <c r="C205" s="1" t="e">
        <f t="array" ref="C205">SUM</f>
        <v>#NAME?</v>
      </c>
      <c r="D205" s="1" t="e">
        <f t="array" ref="D205">SUM</f>
        <v>#NAME?</v>
      </c>
      <c r="E205" s="1" t="e">
        <f t="array" ref="E205">SUM</f>
        <v>#NAME?</v>
      </c>
      <c r="F205" s="1" t="e">
        <f t="array" ref="F205">SUM</f>
        <v>#NAME?</v>
      </c>
      <c r="G205" s="1" t="e">
        <f t="array" ref="G205">SUM</f>
        <v>#NAME?</v>
      </c>
      <c r="H205" s="1" t="e">
        <f t="array" ref="H205">SUM</f>
        <v>#NAME?</v>
      </c>
      <c r="I205" s="1" t="e">
        <f t="array" ref="I205">SUM</f>
        <v>#NAME?</v>
      </c>
      <c r="J205" s="1" t="e">
        <f t="array" ref="J205">SUM</f>
        <v>#NAME?</v>
      </c>
      <c r="K205" s="1" t="e">
        <f t="array" ref="K205">SUM</f>
        <v>#NAME?</v>
      </c>
      <c r="L205" s="1" t="e">
        <f t="array" ref="L205">SUM</f>
        <v>#NAME?</v>
      </c>
      <c r="M205" s="1" t="e">
        <f t="array" ref="M205">SUM</f>
        <v>#NAME?</v>
      </c>
      <c r="N205" s="1" t="e">
        <f t="array" ref="N205">SUM</f>
        <v>#NAME?</v>
      </c>
      <c r="O205" t="s">
        <v>28</v>
      </c>
      <c r="P205">
        <v>2021</v>
      </c>
    </row>
    <row r="206" spans="1:16" x14ac:dyDescent="0.25">
      <c r="A206" t="s">
        <v>22</v>
      </c>
      <c r="B206" s="1" t="e">
        <f t="array" ref="B206">SUM</f>
        <v>#NAME?</v>
      </c>
      <c r="C206" s="1" t="e">
        <f t="array" ref="C206">SUM</f>
        <v>#NAME?</v>
      </c>
      <c r="D206" s="1" t="e">
        <f t="array" ref="D206">SUM</f>
        <v>#NAME?</v>
      </c>
      <c r="E206" s="1" t="e">
        <f t="array" ref="E206">SUM</f>
        <v>#NAME?</v>
      </c>
      <c r="F206" s="1" t="e">
        <f t="array" ref="F206">SUM</f>
        <v>#NAME?</v>
      </c>
      <c r="G206" s="1" t="e">
        <f t="array" ref="G206">SUM</f>
        <v>#NAME?</v>
      </c>
      <c r="H206" s="1" t="e">
        <f t="array" ref="H206">SUM</f>
        <v>#NAME?</v>
      </c>
      <c r="I206" s="1" t="e">
        <f t="array" ref="I206">SUM</f>
        <v>#NAME?</v>
      </c>
      <c r="J206" s="1" t="e">
        <f t="array" ref="J206">SUM</f>
        <v>#NAME?</v>
      </c>
      <c r="K206" s="1" t="e">
        <f t="array" ref="K206">SUM</f>
        <v>#NAME?</v>
      </c>
      <c r="L206" s="1" t="e">
        <f t="array" ref="L206">SUM</f>
        <v>#NAME?</v>
      </c>
      <c r="M206" s="1" t="e">
        <f t="array" ref="M206">SUM</f>
        <v>#NAME?</v>
      </c>
      <c r="N206" s="1" t="e">
        <f t="array" ref="N206">SUM</f>
        <v>#NAME?</v>
      </c>
      <c r="O206" t="s">
        <v>32</v>
      </c>
      <c r="P206">
        <v>2021</v>
      </c>
    </row>
    <row r="207" spans="1:16" x14ac:dyDescent="0.25">
      <c r="A207" t="s">
        <v>16</v>
      </c>
      <c r="B207" s="1" t="e">
        <f t="array" ref="B207">SUM</f>
        <v>#NAME?</v>
      </c>
      <c r="C207" s="1" t="e">
        <f t="array" ref="C207">SUM</f>
        <v>#NAME?</v>
      </c>
      <c r="D207" s="1" t="e">
        <f t="array" ref="D207">SUM</f>
        <v>#NAME?</v>
      </c>
      <c r="E207" s="1" t="e">
        <f t="array" ref="E207">SUM</f>
        <v>#NAME?</v>
      </c>
      <c r="F207" s="1" t="e">
        <f t="array" ref="F207">SUM</f>
        <v>#NAME?</v>
      </c>
      <c r="G207" s="1" t="e">
        <f t="array" ref="G207">SUM</f>
        <v>#NAME?</v>
      </c>
      <c r="H207" s="1" t="e">
        <f t="array" ref="H207">SUM</f>
        <v>#NAME?</v>
      </c>
      <c r="I207" s="1" t="e">
        <f t="array" ref="I207">SUM</f>
        <v>#NAME?</v>
      </c>
      <c r="J207" s="1" t="e">
        <f t="array" ref="J207">SUM</f>
        <v>#NAME?</v>
      </c>
      <c r="K207" s="1" t="e">
        <f t="array" ref="K207">SUM</f>
        <v>#NAME?</v>
      </c>
      <c r="L207" s="1" t="e">
        <f t="array" ref="L207">SUM</f>
        <v>#NAME?</v>
      </c>
      <c r="M207" s="1" t="e">
        <f t="array" ref="M207">SUM</f>
        <v>#NAME?</v>
      </c>
      <c r="N207" s="1" t="e">
        <f t="array" ref="N207">SUM</f>
        <v>#NAME?</v>
      </c>
      <c r="O207" t="s">
        <v>27</v>
      </c>
      <c r="P207">
        <v>2021</v>
      </c>
    </row>
    <row r="208" spans="1:16" x14ac:dyDescent="0.25">
      <c r="A208" t="s">
        <v>16</v>
      </c>
      <c r="B208" s="1" t="e">
        <f t="array" ref="B208">SUM</f>
        <v>#NAME?</v>
      </c>
      <c r="C208" s="1" t="e">
        <f t="array" ref="C208">SUM</f>
        <v>#NAME?</v>
      </c>
      <c r="D208" s="1" t="e">
        <f t="array" ref="D208">SUM</f>
        <v>#NAME?</v>
      </c>
      <c r="E208" s="1" t="e">
        <f t="array" ref="E208">SUM</f>
        <v>#NAME?</v>
      </c>
      <c r="F208" s="1" t="e">
        <f t="array" ref="F208">SUM</f>
        <v>#NAME?</v>
      </c>
      <c r="G208" s="1" t="e">
        <f t="array" ref="G208">SUM</f>
        <v>#NAME?</v>
      </c>
      <c r="H208" s="1" t="e">
        <f t="array" ref="H208">SUM</f>
        <v>#NAME?</v>
      </c>
      <c r="I208" s="1" t="e">
        <f t="array" ref="I208">SUM</f>
        <v>#NAME?</v>
      </c>
      <c r="J208" s="1" t="e">
        <f t="array" ref="J208">SUM</f>
        <v>#NAME?</v>
      </c>
      <c r="K208" s="1" t="e">
        <f t="array" ref="K208">SUM</f>
        <v>#NAME?</v>
      </c>
      <c r="L208" s="1" t="e">
        <f t="array" ref="L208">SUM</f>
        <v>#NAME?</v>
      </c>
      <c r="M208" s="1" t="e">
        <f t="array" ref="M208">SUM</f>
        <v>#NAME?</v>
      </c>
      <c r="N208" s="1" t="e">
        <f t="array" ref="N208">SUM</f>
        <v>#NAME?</v>
      </c>
      <c r="O208" t="s">
        <v>28</v>
      </c>
      <c r="P208">
        <v>2021</v>
      </c>
    </row>
    <row r="209" spans="1:16" x14ac:dyDescent="0.25">
      <c r="A209" t="s">
        <v>18</v>
      </c>
      <c r="B209" s="1" t="e">
        <f t="array" ref="B209">SUM</f>
        <v>#NAME?</v>
      </c>
      <c r="C209" s="1" t="e">
        <f t="array" ref="C209">SUM</f>
        <v>#NAME?</v>
      </c>
      <c r="D209" s="1" t="e">
        <f t="array" ref="D209">SUM</f>
        <v>#NAME?</v>
      </c>
      <c r="E209" s="1" t="e">
        <f t="array" ref="E209">SUM</f>
        <v>#NAME?</v>
      </c>
      <c r="F209" s="1" t="e">
        <f t="array" ref="F209">SUM</f>
        <v>#NAME?</v>
      </c>
      <c r="G209" s="1" t="e">
        <f t="array" ref="G209">SUM</f>
        <v>#NAME?</v>
      </c>
      <c r="H209" s="1" t="e">
        <f t="array" ref="H209">SUM</f>
        <v>#NAME?</v>
      </c>
      <c r="I209" s="1" t="e">
        <f t="array" ref="I209">SUM</f>
        <v>#NAME?</v>
      </c>
      <c r="J209" s="1" t="e">
        <f t="array" ref="J209">SUM</f>
        <v>#NAME?</v>
      </c>
      <c r="K209" s="1" t="e">
        <f t="array" ref="K209">SUM</f>
        <v>#NAME?</v>
      </c>
      <c r="L209" s="1" t="e">
        <f t="array" ref="L209">SUM</f>
        <v>#NAME?</v>
      </c>
      <c r="M209" s="1" t="e">
        <f t="array" ref="M209">SUM</f>
        <v>#NAME?</v>
      </c>
      <c r="N209" s="1" t="e">
        <f t="array" ref="N209">SUM</f>
        <v>#NAME?</v>
      </c>
      <c r="O209" t="s">
        <v>28</v>
      </c>
      <c r="P209">
        <v>2021</v>
      </c>
    </row>
    <row r="210" spans="1:16" x14ac:dyDescent="0.25">
      <c r="A210" t="s">
        <v>16</v>
      </c>
      <c r="B210" s="1" t="e">
        <f t="array" ref="B210">SUM</f>
        <v>#NAME?</v>
      </c>
      <c r="C210" s="1" t="e">
        <f t="array" ref="C210">SUM</f>
        <v>#NAME?</v>
      </c>
      <c r="D210" s="1" t="e">
        <f t="array" ref="D210">SUM</f>
        <v>#NAME?</v>
      </c>
      <c r="E210" s="1" t="e">
        <f t="array" ref="E210">SUM</f>
        <v>#NAME?</v>
      </c>
      <c r="F210" s="1" t="e">
        <f t="array" ref="F210">SUM</f>
        <v>#NAME?</v>
      </c>
      <c r="G210" s="1" t="e">
        <f t="array" ref="G210">SUM</f>
        <v>#NAME?</v>
      </c>
      <c r="H210" s="1" t="e">
        <f t="array" ref="H210">SUM</f>
        <v>#NAME?</v>
      </c>
      <c r="I210" s="1" t="e">
        <f t="array" ref="I210">SUM</f>
        <v>#NAME?</v>
      </c>
      <c r="J210" s="1" t="e">
        <f t="array" ref="J210">SUM</f>
        <v>#NAME?</v>
      </c>
      <c r="K210" s="1" t="e">
        <f t="array" ref="K210">SUM</f>
        <v>#NAME?</v>
      </c>
      <c r="L210" s="1" t="e">
        <f t="array" ref="L210">SUM</f>
        <v>#NAME?</v>
      </c>
      <c r="M210" s="1" t="e">
        <f t="array" ref="M210">SUM</f>
        <v>#NAME?</v>
      </c>
      <c r="N210" s="1" t="e">
        <f t="array" ref="N210">SUM</f>
        <v>#NAME?</v>
      </c>
      <c r="O210" t="s">
        <v>29</v>
      </c>
      <c r="P210">
        <v>2021</v>
      </c>
    </row>
    <row r="211" spans="1:16" x14ac:dyDescent="0.25">
      <c r="A211" t="s">
        <v>23</v>
      </c>
      <c r="B211" s="1" t="e">
        <f t="array" ref="B211">SUM</f>
        <v>#NAME?</v>
      </c>
      <c r="C211" s="1" t="e">
        <f t="array" ref="C211">SUM</f>
        <v>#NAME?</v>
      </c>
      <c r="D211" s="1" t="e">
        <f t="array" ref="D211">SUM</f>
        <v>#NAME?</v>
      </c>
      <c r="E211" s="1" t="e">
        <f t="array" ref="E211">SUM</f>
        <v>#NAME?</v>
      </c>
      <c r="F211" s="1" t="e">
        <f t="array" ref="F211">SUM</f>
        <v>#NAME?</v>
      </c>
      <c r="G211" s="1" t="e">
        <f t="array" ref="G211">SUM</f>
        <v>#NAME?</v>
      </c>
      <c r="H211" s="1" t="e">
        <f t="array" ref="H211">SUM</f>
        <v>#NAME?</v>
      </c>
      <c r="I211" s="1" t="e">
        <f t="array" ref="I211">SUM</f>
        <v>#NAME?</v>
      </c>
      <c r="J211" s="1" t="e">
        <f t="array" ref="J211">SUM</f>
        <v>#NAME?</v>
      </c>
      <c r="K211" s="1" t="e">
        <f t="array" ref="K211">SUM</f>
        <v>#NAME?</v>
      </c>
      <c r="L211" s="1" t="e">
        <f t="array" ref="L211">SUM</f>
        <v>#NAME?</v>
      </c>
      <c r="M211" s="1" t="e">
        <f t="array" ref="M211">SUM</f>
        <v>#NAME?</v>
      </c>
      <c r="N211" s="1" t="e">
        <f t="array" ref="N211">SUM</f>
        <v>#NAME?</v>
      </c>
      <c r="O211" t="s">
        <v>31</v>
      </c>
      <c r="P211">
        <v>2021</v>
      </c>
    </row>
    <row r="212" spans="1:16" x14ac:dyDescent="0.25">
      <c r="A212" t="s">
        <v>16</v>
      </c>
      <c r="B212" s="1" t="e">
        <f t="array" ref="B212">SUM</f>
        <v>#NAME?</v>
      </c>
      <c r="C212" s="1" t="e">
        <f t="array" ref="C212">SUM</f>
        <v>#NAME?</v>
      </c>
      <c r="D212" s="1" t="e">
        <f t="array" ref="D212">SUM</f>
        <v>#NAME?</v>
      </c>
      <c r="E212" s="1" t="e">
        <f t="array" ref="E212">SUM</f>
        <v>#NAME?</v>
      </c>
      <c r="F212" s="1" t="e">
        <f t="array" ref="F212">SUM</f>
        <v>#NAME?</v>
      </c>
      <c r="G212" s="1" t="e">
        <f t="array" ref="G212">SUM</f>
        <v>#NAME?</v>
      </c>
      <c r="H212" s="1" t="e">
        <f t="array" ref="H212">SUM</f>
        <v>#NAME?</v>
      </c>
      <c r="I212" s="1" t="e">
        <f t="array" ref="I212">SUM</f>
        <v>#NAME?</v>
      </c>
      <c r="J212" s="1" t="e">
        <f t="array" ref="J212">SUM</f>
        <v>#NAME?</v>
      </c>
      <c r="K212" s="1" t="e">
        <f t="array" ref="K212">SUM</f>
        <v>#NAME?</v>
      </c>
      <c r="L212" s="1" t="e">
        <f t="array" ref="L212">SUM</f>
        <v>#NAME?</v>
      </c>
      <c r="M212" s="1" t="e">
        <f t="array" ref="M212">SUM</f>
        <v>#NAME?</v>
      </c>
      <c r="N212" s="1" t="e">
        <f t="array" ref="N212">SUM</f>
        <v>#NAME?</v>
      </c>
      <c r="O212" t="s">
        <v>27</v>
      </c>
      <c r="P212">
        <v>2021</v>
      </c>
    </row>
    <row r="213" spans="1:16" x14ac:dyDescent="0.25">
      <c r="A213" t="s">
        <v>18</v>
      </c>
      <c r="B213" s="1" t="e">
        <f t="array" ref="B213">SUM</f>
        <v>#NAME?</v>
      </c>
      <c r="C213" s="1" t="e">
        <f t="array" ref="C213">SUM</f>
        <v>#NAME?</v>
      </c>
      <c r="D213" s="1" t="e">
        <f t="array" ref="D213">SUM</f>
        <v>#NAME?</v>
      </c>
      <c r="E213" s="1" t="e">
        <f t="array" ref="E213">SUM</f>
        <v>#NAME?</v>
      </c>
      <c r="F213" s="1" t="e">
        <f t="array" ref="F213">SUM</f>
        <v>#NAME?</v>
      </c>
      <c r="G213" s="1" t="e">
        <f t="array" ref="G213">SUM</f>
        <v>#NAME?</v>
      </c>
      <c r="H213" s="1" t="e">
        <f t="array" ref="H213">SUM</f>
        <v>#NAME?</v>
      </c>
      <c r="I213" s="1" t="e">
        <f t="array" ref="I213">SUM</f>
        <v>#NAME?</v>
      </c>
      <c r="J213" s="1" t="e">
        <f t="array" ref="J213">SUM</f>
        <v>#NAME?</v>
      </c>
      <c r="K213" s="1" t="e">
        <f t="array" ref="K213">SUM</f>
        <v>#NAME?</v>
      </c>
      <c r="L213" s="1" t="e">
        <f t="array" ref="L213">SUM</f>
        <v>#NAME?</v>
      </c>
      <c r="M213" s="1" t="e">
        <f t="array" ref="M213">SUM</f>
        <v>#NAME?</v>
      </c>
      <c r="N213" s="1" t="e">
        <f t="array" ref="N213">SUM</f>
        <v>#NAME?</v>
      </c>
      <c r="O213" t="s">
        <v>28</v>
      </c>
      <c r="P213">
        <v>2021</v>
      </c>
    </row>
    <row r="214" spans="1:16" x14ac:dyDescent="0.25">
      <c r="A214" t="s">
        <v>16</v>
      </c>
      <c r="B214" s="1" t="e">
        <f t="array" ref="B214">SUM</f>
        <v>#NAME?</v>
      </c>
      <c r="C214" s="1" t="e">
        <f t="array" ref="C214">SUM</f>
        <v>#NAME?</v>
      </c>
      <c r="D214" s="1" t="e">
        <f t="array" ref="D214">SUM</f>
        <v>#NAME?</v>
      </c>
      <c r="E214" s="1" t="e">
        <f t="array" ref="E214">SUM</f>
        <v>#NAME?</v>
      </c>
      <c r="F214" s="1" t="e">
        <f t="array" ref="F214">SUM</f>
        <v>#NAME?</v>
      </c>
      <c r="G214" s="1" t="e">
        <f t="array" ref="G214">SUM</f>
        <v>#NAME?</v>
      </c>
      <c r="H214" s="1" t="e">
        <f t="array" ref="H214">SUM</f>
        <v>#NAME?</v>
      </c>
      <c r="I214" s="1" t="e">
        <f t="array" ref="I214">SUM</f>
        <v>#NAME?</v>
      </c>
      <c r="J214" s="1" t="e">
        <f t="array" ref="J214">SUM</f>
        <v>#NAME?</v>
      </c>
      <c r="K214" s="1" t="e">
        <f t="array" ref="K214">SUM</f>
        <v>#NAME?</v>
      </c>
      <c r="L214" s="1" t="e">
        <f t="array" ref="L214">SUM</f>
        <v>#NAME?</v>
      </c>
      <c r="M214" s="1" t="e">
        <f t="array" ref="M214">SUM</f>
        <v>#NAME?</v>
      </c>
      <c r="N214" s="1" t="e">
        <f t="array" ref="N214">SUM</f>
        <v>#NAME?</v>
      </c>
      <c r="O214" t="s">
        <v>20</v>
      </c>
      <c r="P214">
        <v>2021</v>
      </c>
    </row>
    <row r="215" spans="1:16" x14ac:dyDescent="0.25">
      <c r="A215" t="s">
        <v>16</v>
      </c>
      <c r="B215" s="1" t="e">
        <f t="array" ref="B215">SUM</f>
        <v>#NAME?</v>
      </c>
      <c r="C215" s="1" t="e">
        <f t="array" ref="C215">SUM</f>
        <v>#NAME?</v>
      </c>
      <c r="D215" s="1" t="e">
        <f t="array" ref="D215">SUM</f>
        <v>#NAME?</v>
      </c>
      <c r="E215" s="1" t="e">
        <f t="array" ref="E215">SUM</f>
        <v>#NAME?</v>
      </c>
      <c r="F215" s="1" t="e">
        <f t="array" ref="F215">SUM</f>
        <v>#NAME?</v>
      </c>
      <c r="G215" s="1" t="e">
        <f t="array" ref="G215">SUM</f>
        <v>#NAME?</v>
      </c>
      <c r="H215" s="1" t="e">
        <f t="array" ref="H215">SUM</f>
        <v>#NAME?</v>
      </c>
      <c r="I215" s="1" t="e">
        <f t="array" ref="I215">SUM</f>
        <v>#NAME?</v>
      </c>
      <c r="J215" s="1" t="e">
        <f t="array" ref="J215">SUM</f>
        <v>#NAME?</v>
      </c>
      <c r="K215" s="1" t="e">
        <f t="array" ref="K215">SUM</f>
        <v>#NAME?</v>
      </c>
      <c r="L215" s="1" t="e">
        <f t="array" ref="L215">SUM</f>
        <v>#NAME?</v>
      </c>
      <c r="M215" s="1" t="e">
        <f t="array" ref="M215">SUM</f>
        <v>#NAME?</v>
      </c>
      <c r="N215" s="1" t="e">
        <f t="array" ref="N215">SUM</f>
        <v>#NAME?</v>
      </c>
      <c r="O215" t="s">
        <v>28</v>
      </c>
      <c r="P215">
        <v>2021</v>
      </c>
    </row>
    <row r="216" spans="1:16" x14ac:dyDescent="0.25">
      <c r="A216" t="s">
        <v>16</v>
      </c>
      <c r="B216" s="1" t="e">
        <f t="array" ref="B216">SUM</f>
        <v>#NAME?</v>
      </c>
      <c r="C216" s="1" t="e">
        <f t="array" ref="C216">SUM</f>
        <v>#NAME?</v>
      </c>
      <c r="D216" s="1" t="e">
        <f t="array" ref="D216">SUM</f>
        <v>#NAME?</v>
      </c>
      <c r="E216" s="1" t="e">
        <f t="array" ref="E216">SUM</f>
        <v>#NAME?</v>
      </c>
      <c r="F216" s="1" t="e">
        <f t="array" ref="F216">SUM</f>
        <v>#NAME?</v>
      </c>
      <c r="G216" s="1" t="e">
        <f t="array" ref="G216">SUM</f>
        <v>#NAME?</v>
      </c>
      <c r="H216" s="1" t="e">
        <f t="array" ref="H216">SUM</f>
        <v>#NAME?</v>
      </c>
      <c r="I216" s="1" t="e">
        <f t="array" ref="I216">SUM</f>
        <v>#NAME?</v>
      </c>
      <c r="J216" s="1" t="e">
        <f t="array" ref="J216">SUM</f>
        <v>#NAME?</v>
      </c>
      <c r="K216" s="1" t="e">
        <f t="array" ref="K216">SUM</f>
        <v>#NAME?</v>
      </c>
      <c r="L216" s="1" t="e">
        <f t="array" ref="L216">SUM</f>
        <v>#NAME?</v>
      </c>
      <c r="M216" s="1" t="e">
        <f t="array" ref="M216">SUM</f>
        <v>#NAME?</v>
      </c>
      <c r="N216" s="1" t="e">
        <f t="array" ref="N216">SUM</f>
        <v>#NAME?</v>
      </c>
      <c r="O216" t="s">
        <v>17</v>
      </c>
      <c r="P216">
        <v>2021</v>
      </c>
    </row>
    <row r="217" spans="1:16" x14ac:dyDescent="0.25">
      <c r="A217" t="s">
        <v>16</v>
      </c>
      <c r="B217" s="1" t="e">
        <f t="array" ref="B217">SUM</f>
        <v>#NAME?</v>
      </c>
      <c r="C217" s="1" t="e">
        <f t="array" ref="C217">SUM</f>
        <v>#NAME?</v>
      </c>
      <c r="D217" s="1" t="e">
        <f t="array" ref="D217">SUM</f>
        <v>#NAME?</v>
      </c>
      <c r="E217" s="1" t="e">
        <f t="array" ref="E217">SUM</f>
        <v>#NAME?</v>
      </c>
      <c r="F217" s="1" t="e">
        <f t="array" ref="F217">SUM</f>
        <v>#NAME?</v>
      </c>
      <c r="G217" s="1" t="e">
        <f t="array" ref="G217">SUM</f>
        <v>#NAME?</v>
      </c>
      <c r="H217" s="1" t="e">
        <f t="array" ref="H217">SUM</f>
        <v>#NAME?</v>
      </c>
      <c r="I217" s="1" t="e">
        <f t="array" ref="I217">SUM</f>
        <v>#NAME?</v>
      </c>
      <c r="J217" s="1" t="e">
        <f t="array" ref="J217">SUM</f>
        <v>#NAME?</v>
      </c>
      <c r="K217" s="1" t="e">
        <f t="array" ref="K217">SUM</f>
        <v>#NAME?</v>
      </c>
      <c r="L217" s="1" t="e">
        <f t="array" ref="L217">SUM</f>
        <v>#NAME?</v>
      </c>
      <c r="M217" s="1" t="e">
        <f t="array" ref="M217">SUM</f>
        <v>#NAME?</v>
      </c>
      <c r="N217" s="1" t="e">
        <f t="array" ref="N217">SUM</f>
        <v>#NAME?</v>
      </c>
      <c r="O217" t="s">
        <v>27</v>
      </c>
      <c r="P217">
        <v>2021</v>
      </c>
    </row>
    <row r="218" spans="1:16" x14ac:dyDescent="0.25">
      <c r="A218" t="s">
        <v>16</v>
      </c>
      <c r="B218" s="1" t="e">
        <f t="array" ref="B218">SUM</f>
        <v>#NAME?</v>
      </c>
      <c r="C218" s="1" t="e">
        <f t="array" ref="C218">SUM</f>
        <v>#NAME?</v>
      </c>
      <c r="D218" s="1" t="e">
        <f t="array" ref="D218">SUM</f>
        <v>#NAME?</v>
      </c>
      <c r="E218" s="1" t="e">
        <f t="array" ref="E218">SUM</f>
        <v>#NAME?</v>
      </c>
      <c r="F218" s="1" t="e">
        <f t="array" ref="F218">SUM</f>
        <v>#NAME?</v>
      </c>
      <c r="G218" s="1" t="e">
        <f t="array" ref="G218">SUM</f>
        <v>#NAME?</v>
      </c>
      <c r="H218" s="1" t="e">
        <f t="array" ref="H218">SUM</f>
        <v>#NAME?</v>
      </c>
      <c r="I218" s="1" t="e">
        <f t="array" ref="I218">SUM</f>
        <v>#NAME?</v>
      </c>
      <c r="J218" s="1" t="e">
        <f t="array" ref="J218">SUM</f>
        <v>#NAME?</v>
      </c>
      <c r="K218" s="1" t="e">
        <f t="array" ref="K218">SUM</f>
        <v>#NAME?</v>
      </c>
      <c r="L218" s="1" t="e">
        <f t="array" ref="L218">SUM</f>
        <v>#NAME?</v>
      </c>
      <c r="M218" s="1" t="e">
        <f t="array" ref="M218">SUM</f>
        <v>#NAME?</v>
      </c>
      <c r="N218" s="1" t="e">
        <f t="array" ref="N218">SUM</f>
        <v>#NAME?</v>
      </c>
      <c r="O218" t="s">
        <v>28</v>
      </c>
      <c r="P218">
        <v>2021</v>
      </c>
    </row>
    <row r="219" spans="1:16" x14ac:dyDescent="0.25">
      <c r="A219" t="s">
        <v>22</v>
      </c>
      <c r="B219" s="1" t="e">
        <f t="array" ref="B219">SUM</f>
        <v>#NAME?</v>
      </c>
      <c r="C219" s="1" t="e">
        <f t="array" ref="C219">SUM</f>
        <v>#NAME?</v>
      </c>
      <c r="D219" s="1" t="e">
        <f t="array" ref="D219">SUM</f>
        <v>#NAME?</v>
      </c>
      <c r="E219" s="1" t="e">
        <f t="array" ref="E219">SUM</f>
        <v>#NAME?</v>
      </c>
      <c r="F219" s="1" t="e">
        <f t="array" ref="F219">SUM</f>
        <v>#NAME?</v>
      </c>
      <c r="G219" s="1" t="e">
        <f t="array" ref="G219">SUM</f>
        <v>#NAME?</v>
      </c>
      <c r="H219" s="1" t="e">
        <f t="array" ref="H219">SUM</f>
        <v>#NAME?</v>
      </c>
      <c r="I219" s="1" t="e">
        <f t="array" ref="I219">SUM</f>
        <v>#NAME?</v>
      </c>
      <c r="J219" s="1" t="e">
        <f t="array" ref="J219">SUM</f>
        <v>#NAME?</v>
      </c>
      <c r="K219" s="1" t="e">
        <f t="array" ref="K219">SUM</f>
        <v>#NAME?</v>
      </c>
      <c r="L219" s="1" t="e">
        <f t="array" ref="L219">SUM</f>
        <v>#NAME?</v>
      </c>
      <c r="M219" s="1" t="e">
        <f t="array" ref="M219">SUM</f>
        <v>#NAME?</v>
      </c>
      <c r="N219" s="1" t="e">
        <f t="array" ref="N219">SUM</f>
        <v>#NAME?</v>
      </c>
      <c r="O219" t="s">
        <v>20</v>
      </c>
      <c r="P219">
        <v>2020</v>
      </c>
    </row>
    <row r="220" spans="1:16" x14ac:dyDescent="0.25">
      <c r="A220" t="s">
        <v>22</v>
      </c>
      <c r="B220" s="1" t="e">
        <f t="array" ref="B220">SUM</f>
        <v>#NAME?</v>
      </c>
      <c r="C220" s="1" t="e">
        <f t="array" ref="C220">SUM</f>
        <v>#NAME?</v>
      </c>
      <c r="D220" s="1" t="e">
        <f t="array" ref="D220">SUM</f>
        <v>#NAME?</v>
      </c>
      <c r="E220" s="1" t="e">
        <f t="array" ref="E220">SUM</f>
        <v>#NAME?</v>
      </c>
      <c r="F220" s="1" t="e">
        <f t="array" ref="F220">SUM</f>
        <v>#NAME?</v>
      </c>
      <c r="G220" s="1" t="e">
        <f t="array" ref="G220">SUM</f>
        <v>#NAME?</v>
      </c>
      <c r="H220" s="1" t="e">
        <f t="array" ref="H220">SUM</f>
        <v>#NAME?</v>
      </c>
      <c r="I220" s="1" t="e">
        <f t="array" ref="I220">SUM</f>
        <v>#NAME?</v>
      </c>
      <c r="J220" s="1" t="e">
        <f t="array" ref="J220">SUM</f>
        <v>#NAME?</v>
      </c>
      <c r="K220" s="1" t="e">
        <f t="array" ref="K220">SUM</f>
        <v>#NAME?</v>
      </c>
      <c r="L220" s="1" t="e">
        <f t="array" ref="L220">SUM</f>
        <v>#NAME?</v>
      </c>
      <c r="M220" s="1" t="e">
        <f t="array" ref="M220">SUM</f>
        <v>#NAME?</v>
      </c>
      <c r="N220" s="1" t="e">
        <f t="array" ref="N220">SUM</f>
        <v>#NAME?</v>
      </c>
      <c r="O220" t="s">
        <v>20</v>
      </c>
      <c r="P220">
        <v>2021</v>
      </c>
    </row>
    <row r="221" spans="1:16" x14ac:dyDescent="0.25">
      <c r="A221" t="s">
        <v>16</v>
      </c>
      <c r="B221" s="1" t="e">
        <f t="array" ref="B221">SUM</f>
        <v>#NAME?</v>
      </c>
      <c r="C221" s="1" t="e">
        <f t="array" ref="C221">SUM</f>
        <v>#NAME?</v>
      </c>
      <c r="D221" s="1" t="e">
        <f t="array" ref="D221">SUM</f>
        <v>#NAME?</v>
      </c>
      <c r="E221" s="1" t="e">
        <f t="array" ref="E221">SUM</f>
        <v>#NAME?</v>
      </c>
      <c r="F221" s="1" t="e">
        <f t="array" ref="F221">SUM</f>
        <v>#NAME?</v>
      </c>
      <c r="G221" s="1" t="e">
        <f t="array" ref="G221">SUM</f>
        <v>#NAME?</v>
      </c>
      <c r="H221" s="1" t="e">
        <f t="array" ref="H221">SUM</f>
        <v>#NAME?</v>
      </c>
      <c r="I221" s="1" t="e">
        <f t="array" ref="I221">SUM</f>
        <v>#NAME?</v>
      </c>
      <c r="J221" s="1" t="e">
        <f t="array" ref="J221">SUM</f>
        <v>#NAME?</v>
      </c>
      <c r="K221" s="1" t="e">
        <f t="array" ref="K221">SUM</f>
        <v>#NAME?</v>
      </c>
      <c r="L221" s="1" t="e">
        <f t="array" ref="L221">SUM</f>
        <v>#NAME?</v>
      </c>
      <c r="M221" s="1" t="e">
        <f t="array" ref="M221">SUM</f>
        <v>#NAME?</v>
      </c>
      <c r="N221" s="1" t="e">
        <f t="array" ref="N221">SUM</f>
        <v>#NAME?</v>
      </c>
      <c r="O221" t="s">
        <v>28</v>
      </c>
      <c r="P221">
        <v>2021</v>
      </c>
    </row>
    <row r="222" spans="1:16" x14ac:dyDescent="0.25">
      <c r="A222" t="s">
        <v>16</v>
      </c>
      <c r="B222" s="1" t="e">
        <f t="array" ref="B222">SUM</f>
        <v>#NAME?</v>
      </c>
      <c r="C222" s="1" t="e">
        <f t="array" ref="C222">SUM</f>
        <v>#NAME?</v>
      </c>
      <c r="D222" s="1" t="e">
        <f t="array" ref="D222">SUM</f>
        <v>#NAME?</v>
      </c>
      <c r="E222" s="1" t="e">
        <f t="array" ref="E222">SUM</f>
        <v>#NAME?</v>
      </c>
      <c r="F222" s="1" t="e">
        <f t="array" ref="F222">SUM</f>
        <v>#NAME?</v>
      </c>
      <c r="G222" s="1" t="e">
        <f t="array" ref="G222">SUM</f>
        <v>#NAME?</v>
      </c>
      <c r="H222" s="1" t="e">
        <f t="array" ref="H222">SUM</f>
        <v>#NAME?</v>
      </c>
      <c r="I222" s="1" t="e">
        <f t="array" ref="I222">SUM</f>
        <v>#NAME?</v>
      </c>
      <c r="J222" s="1" t="e">
        <f t="array" ref="J222">SUM</f>
        <v>#NAME?</v>
      </c>
      <c r="K222" s="1" t="e">
        <f t="array" ref="K222">SUM</f>
        <v>#NAME?</v>
      </c>
      <c r="L222" s="1" t="e">
        <f t="array" ref="L222">SUM</f>
        <v>#NAME?</v>
      </c>
      <c r="M222" s="1" t="e">
        <f t="array" ref="M222">SUM</f>
        <v>#NAME?</v>
      </c>
      <c r="N222" s="1" t="e">
        <f t="array" ref="N222">SUM</f>
        <v>#NAME?</v>
      </c>
      <c r="O222" t="s">
        <v>24</v>
      </c>
      <c r="P222">
        <v>2021</v>
      </c>
    </row>
    <row r="223" spans="1:16" x14ac:dyDescent="0.25">
      <c r="A223" t="s">
        <v>22</v>
      </c>
      <c r="B223" s="1" t="e">
        <f t="array" ref="B223">SUM</f>
        <v>#NAME?</v>
      </c>
      <c r="C223" s="1" t="e">
        <f t="array" ref="C223">SUM</f>
        <v>#NAME?</v>
      </c>
      <c r="D223" s="1" t="e">
        <f t="array" ref="D223">SUM</f>
        <v>#NAME?</v>
      </c>
      <c r="E223" s="1" t="e">
        <f t="array" ref="E223">SUM</f>
        <v>#NAME?</v>
      </c>
      <c r="F223" s="1" t="e">
        <f t="array" ref="F223">SUM</f>
        <v>#NAME?</v>
      </c>
      <c r="G223" s="1" t="e">
        <f t="array" ref="G223">SUM</f>
        <v>#NAME?</v>
      </c>
      <c r="H223" s="1" t="e">
        <f t="array" ref="H223">SUM</f>
        <v>#NAME?</v>
      </c>
      <c r="I223" s="1" t="e">
        <f t="array" ref="I223">SUM</f>
        <v>#NAME?</v>
      </c>
      <c r="J223" s="1" t="e">
        <f t="array" ref="J223">SUM</f>
        <v>#NAME?</v>
      </c>
      <c r="K223" s="1" t="e">
        <f t="array" ref="K223">SUM</f>
        <v>#NAME?</v>
      </c>
      <c r="L223" s="1" t="e">
        <f t="array" ref="L223">SUM</f>
        <v>#NAME?</v>
      </c>
      <c r="M223" s="1" t="e">
        <f t="array" ref="M223">SUM</f>
        <v>#NAME?</v>
      </c>
      <c r="N223" s="1" t="e">
        <f t="array" ref="N223">SUM</f>
        <v>#NAME?</v>
      </c>
      <c r="O223" t="s">
        <v>26</v>
      </c>
      <c r="P223">
        <v>2021</v>
      </c>
    </row>
    <row r="224" spans="1:16" x14ac:dyDescent="0.25">
      <c r="A224" t="s">
        <v>16</v>
      </c>
      <c r="B224" s="1" t="e">
        <f t="array" ref="B224">SUM</f>
        <v>#NAME?</v>
      </c>
      <c r="C224" s="1" t="e">
        <f t="array" ref="C224">SUM</f>
        <v>#NAME?</v>
      </c>
      <c r="D224" s="1" t="e">
        <f t="array" ref="D224">SUM</f>
        <v>#NAME?</v>
      </c>
      <c r="E224" s="1" t="e">
        <f t="array" ref="E224">SUM</f>
        <v>#NAME?</v>
      </c>
      <c r="F224" s="1" t="e">
        <f t="array" ref="F224">SUM</f>
        <v>#NAME?</v>
      </c>
      <c r="G224" s="1" t="e">
        <f t="array" ref="G224">SUM</f>
        <v>#NAME?</v>
      </c>
      <c r="H224" s="1" t="e">
        <f t="array" ref="H224">SUM</f>
        <v>#NAME?</v>
      </c>
      <c r="I224" s="1" t="e">
        <f t="array" ref="I224">SUM</f>
        <v>#NAME?</v>
      </c>
      <c r="J224" s="1" t="e">
        <f t="array" ref="J224">SUM</f>
        <v>#NAME?</v>
      </c>
      <c r="K224" s="1" t="e">
        <f t="array" ref="K224">SUM</f>
        <v>#NAME?</v>
      </c>
      <c r="L224" s="1" t="e">
        <f t="array" ref="L224">SUM</f>
        <v>#NAME?</v>
      </c>
      <c r="M224" s="1" t="e">
        <f t="array" ref="M224">SUM</f>
        <v>#NAME?</v>
      </c>
      <c r="N224" s="1" t="e">
        <f t="array" ref="N224">SUM</f>
        <v>#NAME?</v>
      </c>
      <c r="O224" t="s">
        <v>28</v>
      </c>
      <c r="P224">
        <v>2021</v>
      </c>
    </row>
    <row r="225" spans="1:16" x14ac:dyDescent="0.25">
      <c r="A225" t="s">
        <v>22</v>
      </c>
      <c r="B225" s="1" t="e">
        <f t="array" ref="B225">SUM</f>
        <v>#NAME?</v>
      </c>
      <c r="C225" s="1" t="e">
        <f t="array" ref="C225">SUM</f>
        <v>#NAME?</v>
      </c>
      <c r="D225" s="1" t="e">
        <f t="array" ref="D225">SUM</f>
        <v>#NAME?</v>
      </c>
      <c r="E225" s="1" t="e">
        <f t="array" ref="E225">SUM</f>
        <v>#NAME?</v>
      </c>
      <c r="F225" s="1" t="e">
        <f t="array" ref="F225">SUM</f>
        <v>#NAME?</v>
      </c>
      <c r="G225" s="1" t="e">
        <f t="array" ref="G225">SUM</f>
        <v>#NAME?</v>
      </c>
      <c r="H225" s="1" t="e">
        <f t="array" ref="H225">SUM</f>
        <v>#NAME?</v>
      </c>
      <c r="I225" s="1" t="e">
        <f t="array" ref="I225">SUM</f>
        <v>#NAME?</v>
      </c>
      <c r="J225" s="1" t="e">
        <f t="array" ref="J225">SUM</f>
        <v>#NAME?</v>
      </c>
      <c r="K225" s="1" t="e">
        <f t="array" ref="K225">SUM</f>
        <v>#NAME?</v>
      </c>
      <c r="L225" s="1" t="e">
        <f t="array" ref="L225">SUM</f>
        <v>#NAME?</v>
      </c>
      <c r="M225" s="1" t="e">
        <f t="array" ref="M225">SUM</f>
        <v>#NAME?</v>
      </c>
      <c r="N225" s="1" t="e">
        <f t="array" ref="N225">SUM</f>
        <v>#NAME?</v>
      </c>
      <c r="O225" t="s">
        <v>29</v>
      </c>
      <c r="P225">
        <v>2021</v>
      </c>
    </row>
    <row r="226" spans="1:16" x14ac:dyDescent="0.25">
      <c r="A226" t="s">
        <v>22</v>
      </c>
      <c r="B226" s="1" t="e">
        <f t="array" ref="B226">SUM</f>
        <v>#NAME?</v>
      </c>
      <c r="C226" s="1" t="e">
        <f t="array" ref="C226">SUM</f>
        <v>#NAME?</v>
      </c>
      <c r="D226" s="1" t="e">
        <f t="array" ref="D226">SUM</f>
        <v>#NAME?</v>
      </c>
      <c r="E226" s="1" t="e">
        <f t="array" ref="E226">SUM</f>
        <v>#NAME?</v>
      </c>
      <c r="F226" s="1" t="e">
        <f t="array" ref="F226">SUM</f>
        <v>#NAME?</v>
      </c>
      <c r="G226" s="1" t="e">
        <f t="array" ref="G226">SUM</f>
        <v>#NAME?</v>
      </c>
      <c r="H226" s="1" t="e">
        <f t="array" ref="H226">SUM</f>
        <v>#NAME?</v>
      </c>
      <c r="I226" s="1" t="e">
        <f t="array" ref="I226">SUM</f>
        <v>#NAME?</v>
      </c>
      <c r="J226" s="1" t="e">
        <f t="array" ref="J226">SUM</f>
        <v>#NAME?</v>
      </c>
      <c r="K226" s="1" t="e">
        <f t="array" ref="K226">SUM</f>
        <v>#NAME?</v>
      </c>
      <c r="L226" s="1" t="e">
        <f t="array" ref="L226">SUM</f>
        <v>#NAME?</v>
      </c>
      <c r="M226" s="1" t="e">
        <f t="array" ref="M226">SUM</f>
        <v>#NAME?</v>
      </c>
      <c r="N226" s="1" t="e">
        <f t="array" ref="N226">SUM</f>
        <v>#NAME?</v>
      </c>
      <c r="O226" t="s">
        <v>29</v>
      </c>
      <c r="P226">
        <v>2021</v>
      </c>
    </row>
    <row r="227" spans="1:16" x14ac:dyDescent="0.25">
      <c r="A227" t="s">
        <v>16</v>
      </c>
      <c r="B227" s="1" t="e">
        <f t="array" ref="B227">SUM</f>
        <v>#NAME?</v>
      </c>
      <c r="C227" s="1" t="e">
        <f t="array" ref="C227">SUM</f>
        <v>#NAME?</v>
      </c>
      <c r="D227" s="1" t="e">
        <f t="array" ref="D227">SUM</f>
        <v>#NAME?</v>
      </c>
      <c r="E227" s="1" t="e">
        <f t="array" ref="E227">SUM</f>
        <v>#NAME?</v>
      </c>
      <c r="F227" s="1" t="e">
        <f t="array" ref="F227">SUM</f>
        <v>#NAME?</v>
      </c>
      <c r="G227" s="1" t="e">
        <f t="array" ref="G227">SUM</f>
        <v>#NAME?</v>
      </c>
      <c r="H227" s="1" t="e">
        <f t="array" ref="H227">SUM</f>
        <v>#NAME?</v>
      </c>
      <c r="I227" s="1" t="e">
        <f t="array" ref="I227">SUM</f>
        <v>#NAME?</v>
      </c>
      <c r="J227" s="1" t="e">
        <f t="array" ref="J227">SUM</f>
        <v>#NAME?</v>
      </c>
      <c r="K227" s="1" t="e">
        <f t="array" ref="K227">SUM</f>
        <v>#NAME?</v>
      </c>
      <c r="L227" s="1" t="e">
        <f t="array" ref="L227">SUM</f>
        <v>#NAME?</v>
      </c>
      <c r="M227" s="1" t="e">
        <f t="array" ref="M227">SUM</f>
        <v>#NAME?</v>
      </c>
      <c r="N227" s="1" t="e">
        <f t="array" ref="N227">SUM</f>
        <v>#NAME?</v>
      </c>
      <c r="O227" t="s">
        <v>32</v>
      </c>
      <c r="P227">
        <v>2021</v>
      </c>
    </row>
    <row r="228" spans="1:16" x14ac:dyDescent="0.25">
      <c r="A228" t="s">
        <v>25</v>
      </c>
      <c r="B228" s="1" t="e">
        <f t="array" ref="B228">SUM</f>
        <v>#NAME?</v>
      </c>
      <c r="C228" s="1" t="e">
        <f t="array" ref="C228">SUM</f>
        <v>#NAME?</v>
      </c>
      <c r="D228" s="1" t="e">
        <f t="array" ref="D228">SUM</f>
        <v>#NAME?</v>
      </c>
      <c r="E228" s="1" t="e">
        <f t="array" ref="E228">SUM</f>
        <v>#NAME?</v>
      </c>
      <c r="F228" s="1" t="e">
        <f t="array" ref="F228">SUM</f>
        <v>#NAME?</v>
      </c>
      <c r="G228" s="1" t="e">
        <f t="array" ref="G228">SUM</f>
        <v>#NAME?</v>
      </c>
      <c r="H228" s="1" t="e">
        <f t="array" ref="H228">SUM</f>
        <v>#NAME?</v>
      </c>
      <c r="I228" s="1" t="e">
        <f t="array" ref="I228">SUM</f>
        <v>#NAME?</v>
      </c>
      <c r="J228" s="1" t="e">
        <f t="array" ref="J228">SUM</f>
        <v>#NAME?</v>
      </c>
      <c r="K228" s="1" t="e">
        <f t="array" ref="K228">SUM</f>
        <v>#NAME?</v>
      </c>
      <c r="L228" s="1" t="e">
        <f t="array" ref="L228">SUM</f>
        <v>#NAME?</v>
      </c>
      <c r="M228" s="1" t="e">
        <f t="array" ref="M228">SUM</f>
        <v>#NAME?</v>
      </c>
      <c r="N228" s="1" t="e">
        <f t="array" ref="N228">SUM</f>
        <v>#NAME?</v>
      </c>
      <c r="O228" t="s">
        <v>19</v>
      </c>
      <c r="P228">
        <v>2021</v>
      </c>
    </row>
    <row r="229" spans="1:16" x14ac:dyDescent="0.25">
      <c r="A229" t="s">
        <v>16</v>
      </c>
      <c r="B229" s="1" t="e">
        <f t="array" ref="B229">SUM</f>
        <v>#NAME?</v>
      </c>
      <c r="C229" s="1" t="e">
        <f t="array" ref="C229">SUM</f>
        <v>#NAME?</v>
      </c>
      <c r="D229" s="1" t="e">
        <f t="array" ref="D229">SUM</f>
        <v>#NAME?</v>
      </c>
      <c r="E229" s="1" t="e">
        <f t="array" ref="E229">SUM</f>
        <v>#NAME?</v>
      </c>
      <c r="F229" s="1" t="e">
        <f t="array" ref="F229">SUM</f>
        <v>#NAME?</v>
      </c>
      <c r="G229" s="1" t="e">
        <f t="array" ref="G229">SUM</f>
        <v>#NAME?</v>
      </c>
      <c r="H229" s="1" t="e">
        <f t="array" ref="H229">SUM</f>
        <v>#NAME?</v>
      </c>
      <c r="I229" s="1" t="e">
        <f t="array" ref="I229">SUM</f>
        <v>#NAME?</v>
      </c>
      <c r="J229" s="1" t="e">
        <f t="array" ref="J229">SUM</f>
        <v>#NAME?</v>
      </c>
      <c r="K229" s="1" t="e">
        <f t="array" ref="K229">SUM</f>
        <v>#NAME?</v>
      </c>
      <c r="L229" s="1" t="e">
        <f t="array" ref="L229">SUM</f>
        <v>#NAME?</v>
      </c>
      <c r="M229" s="1" t="e">
        <f t="array" ref="M229">SUM</f>
        <v>#NAME?</v>
      </c>
      <c r="N229" s="1" t="e">
        <f t="array" ref="N229">SUM</f>
        <v>#NAME?</v>
      </c>
      <c r="O229" t="s">
        <v>30</v>
      </c>
      <c r="P229">
        <v>2021</v>
      </c>
    </row>
    <row r="230" spans="1:16" x14ac:dyDescent="0.25">
      <c r="A230" t="s">
        <v>18</v>
      </c>
      <c r="B230" s="1" t="e">
        <f t="array" ref="B230">SUM</f>
        <v>#NAME?</v>
      </c>
      <c r="C230" s="1" t="e">
        <f t="array" ref="C230">SUM</f>
        <v>#NAME?</v>
      </c>
      <c r="D230" s="1" t="e">
        <f t="array" ref="D230">SUM</f>
        <v>#NAME?</v>
      </c>
      <c r="E230" s="1" t="e">
        <f t="array" ref="E230">SUM</f>
        <v>#NAME?</v>
      </c>
      <c r="F230" s="1" t="e">
        <f t="array" ref="F230">SUM</f>
        <v>#NAME?</v>
      </c>
      <c r="G230" s="1" t="e">
        <f t="array" ref="G230">SUM</f>
        <v>#NAME?</v>
      </c>
      <c r="H230" s="1" t="e">
        <f t="array" ref="H230">SUM</f>
        <v>#NAME?</v>
      </c>
      <c r="I230" s="1" t="e">
        <f t="array" ref="I230">SUM</f>
        <v>#NAME?</v>
      </c>
      <c r="J230" s="1" t="e">
        <f t="array" ref="J230">SUM</f>
        <v>#NAME?</v>
      </c>
      <c r="K230" s="1" t="e">
        <f t="array" ref="K230">SUM</f>
        <v>#NAME?</v>
      </c>
      <c r="L230" s="1" t="e">
        <f t="array" ref="L230">SUM</f>
        <v>#NAME?</v>
      </c>
      <c r="M230" s="1" t="e">
        <f t="array" ref="M230">SUM</f>
        <v>#NAME?</v>
      </c>
      <c r="N230" s="1" t="e">
        <f t="array" ref="N230">SUM</f>
        <v>#NAME?</v>
      </c>
      <c r="O230" t="s">
        <v>30</v>
      </c>
      <c r="P230">
        <v>2021</v>
      </c>
    </row>
    <row r="231" spans="1:16" x14ac:dyDescent="0.25">
      <c r="A231" t="s">
        <v>16</v>
      </c>
      <c r="B231" s="1" t="e">
        <f t="array" ref="B231">SUM</f>
        <v>#NAME?</v>
      </c>
      <c r="C231" s="1" t="e">
        <f t="array" ref="C231">SUM</f>
        <v>#NAME?</v>
      </c>
      <c r="D231" s="1" t="e">
        <f t="array" ref="D231">SUM</f>
        <v>#NAME?</v>
      </c>
      <c r="E231" s="1" t="e">
        <f t="array" ref="E231">SUM</f>
        <v>#NAME?</v>
      </c>
      <c r="F231" s="1" t="e">
        <f t="array" ref="F231">SUM</f>
        <v>#NAME?</v>
      </c>
      <c r="G231" s="1" t="e">
        <f t="array" ref="G231">SUM</f>
        <v>#NAME?</v>
      </c>
      <c r="H231" s="1" t="e">
        <f t="array" ref="H231">SUM</f>
        <v>#NAME?</v>
      </c>
      <c r="I231" s="1" t="e">
        <f t="array" ref="I231">SUM</f>
        <v>#NAME?</v>
      </c>
      <c r="J231" s="1" t="e">
        <f t="array" ref="J231">SUM</f>
        <v>#NAME?</v>
      </c>
      <c r="K231" s="1" t="e">
        <f t="array" ref="K231">SUM</f>
        <v>#NAME?</v>
      </c>
      <c r="L231" s="1" t="e">
        <f t="array" ref="L231">SUM</f>
        <v>#NAME?</v>
      </c>
      <c r="M231" s="1" t="e">
        <f t="array" ref="M231">SUM</f>
        <v>#NAME?</v>
      </c>
      <c r="N231" s="1" t="e">
        <f t="array" ref="N231">SUM</f>
        <v>#NAME?</v>
      </c>
      <c r="O231" t="s">
        <v>20</v>
      </c>
      <c r="P231">
        <v>2021</v>
      </c>
    </row>
    <row r="232" spans="1:16" x14ac:dyDescent="0.25">
      <c r="A232" t="s">
        <v>16</v>
      </c>
      <c r="B232" s="1" t="e">
        <f t="array" ref="B232">SUM</f>
        <v>#NAME?</v>
      </c>
      <c r="C232" s="1" t="e">
        <f t="array" ref="C232">SUM</f>
        <v>#NAME?</v>
      </c>
      <c r="D232" s="1" t="e">
        <f t="array" ref="D232">SUM</f>
        <v>#NAME?</v>
      </c>
      <c r="E232" s="1" t="e">
        <f t="array" ref="E232">SUM</f>
        <v>#NAME?</v>
      </c>
      <c r="F232" s="1" t="e">
        <f t="array" ref="F232">SUM</f>
        <v>#NAME?</v>
      </c>
      <c r="G232" s="1" t="e">
        <f t="array" ref="G232">SUM</f>
        <v>#NAME?</v>
      </c>
      <c r="H232" s="1" t="e">
        <f t="array" ref="H232">SUM</f>
        <v>#NAME?</v>
      </c>
      <c r="I232" s="1" t="e">
        <f t="array" ref="I232">SUM</f>
        <v>#NAME?</v>
      </c>
      <c r="J232" s="1" t="e">
        <f t="array" ref="J232">SUM</f>
        <v>#NAME?</v>
      </c>
      <c r="K232" s="1" t="e">
        <f t="array" ref="K232">SUM</f>
        <v>#NAME?</v>
      </c>
      <c r="L232" s="1" t="e">
        <f t="array" ref="L232">SUM</f>
        <v>#NAME?</v>
      </c>
      <c r="M232" s="1" t="e">
        <f t="array" ref="M232">SUM</f>
        <v>#NAME?</v>
      </c>
      <c r="N232" s="1" t="e">
        <f t="array" ref="N232">SUM</f>
        <v>#NAME?</v>
      </c>
      <c r="O232" t="s">
        <v>20</v>
      </c>
      <c r="P232">
        <v>2021</v>
      </c>
    </row>
    <row r="233" spans="1:16" x14ac:dyDescent="0.25">
      <c r="A233" t="s">
        <v>16</v>
      </c>
      <c r="B233" s="1" t="e">
        <f t="array" ref="B233">SUM</f>
        <v>#NAME?</v>
      </c>
      <c r="C233" s="1" t="e">
        <f t="array" ref="C233">SUM</f>
        <v>#NAME?</v>
      </c>
      <c r="D233" s="1" t="e">
        <f t="array" ref="D233">SUM</f>
        <v>#NAME?</v>
      </c>
      <c r="E233" s="1" t="e">
        <f t="array" ref="E233">SUM</f>
        <v>#NAME?</v>
      </c>
      <c r="F233" s="1" t="e">
        <f t="array" ref="F233">SUM</f>
        <v>#NAME?</v>
      </c>
      <c r="G233" s="1" t="e">
        <f t="array" ref="G233">SUM</f>
        <v>#NAME?</v>
      </c>
      <c r="H233" s="1" t="e">
        <f t="array" ref="H233">SUM</f>
        <v>#NAME?</v>
      </c>
      <c r="I233" s="1" t="e">
        <f t="array" ref="I233">SUM</f>
        <v>#NAME?</v>
      </c>
      <c r="J233" s="1" t="e">
        <f t="array" ref="J233">SUM</f>
        <v>#NAME?</v>
      </c>
      <c r="K233" s="1" t="e">
        <f t="array" ref="K233">SUM</f>
        <v>#NAME?</v>
      </c>
      <c r="L233" s="1" t="e">
        <f t="array" ref="L233">SUM</f>
        <v>#NAME?</v>
      </c>
      <c r="M233" s="1" t="e">
        <f t="array" ref="M233">SUM</f>
        <v>#NAME?</v>
      </c>
      <c r="N233" s="1" t="e">
        <f t="array" ref="N233">SUM</f>
        <v>#NAME?</v>
      </c>
      <c r="O233" t="s">
        <v>17</v>
      </c>
      <c r="P233">
        <v>2021</v>
      </c>
    </row>
    <row r="234" spans="1:16" x14ac:dyDescent="0.25">
      <c r="A234" t="s">
        <v>23</v>
      </c>
      <c r="B234" s="1" t="e">
        <f t="array" ref="B234">SUM</f>
        <v>#NAME?</v>
      </c>
      <c r="C234" s="1" t="e">
        <f t="array" ref="C234">SUM</f>
        <v>#NAME?</v>
      </c>
      <c r="D234" s="1" t="e">
        <f t="array" ref="D234">SUM</f>
        <v>#NAME?</v>
      </c>
      <c r="E234" s="1" t="e">
        <f t="array" ref="E234">SUM</f>
        <v>#NAME?</v>
      </c>
      <c r="F234" s="1" t="e">
        <f t="array" ref="F234">SUM</f>
        <v>#NAME?</v>
      </c>
      <c r="G234" s="1" t="e">
        <f t="array" ref="G234">SUM</f>
        <v>#NAME?</v>
      </c>
      <c r="H234" s="1" t="e">
        <f t="array" ref="H234">SUM</f>
        <v>#NAME?</v>
      </c>
      <c r="I234" s="1" t="e">
        <f t="array" ref="I234">SUM</f>
        <v>#NAME?</v>
      </c>
      <c r="J234" s="1" t="e">
        <f t="array" ref="J234">SUM</f>
        <v>#NAME?</v>
      </c>
      <c r="K234" s="1" t="e">
        <f t="array" ref="K234">SUM</f>
        <v>#NAME?</v>
      </c>
      <c r="L234" s="1" t="e">
        <f t="array" ref="L234">SUM</f>
        <v>#NAME?</v>
      </c>
      <c r="M234" s="1" t="e">
        <f t="array" ref="M234">SUM</f>
        <v>#NAME?</v>
      </c>
      <c r="N234" s="1" t="e">
        <f t="array" ref="N234">SUM</f>
        <v>#NAME?</v>
      </c>
      <c r="O234" t="s">
        <v>24</v>
      </c>
      <c r="P234">
        <v>2021</v>
      </c>
    </row>
    <row r="235" spans="1:16" x14ac:dyDescent="0.25">
      <c r="A235" t="s">
        <v>16</v>
      </c>
      <c r="B235" s="1" t="e">
        <f t="array" ref="B235">SUM</f>
        <v>#NAME?</v>
      </c>
      <c r="C235" s="1" t="e">
        <f t="array" ref="C235">SUM</f>
        <v>#NAME?</v>
      </c>
      <c r="D235" s="1" t="e">
        <f t="array" ref="D235">SUM</f>
        <v>#NAME?</v>
      </c>
      <c r="E235" s="1" t="e">
        <f t="array" ref="E235">SUM</f>
        <v>#NAME?</v>
      </c>
      <c r="F235" s="1" t="e">
        <f t="array" ref="F235">SUM</f>
        <v>#NAME?</v>
      </c>
      <c r="G235" s="1" t="e">
        <f t="array" ref="G235">SUM</f>
        <v>#NAME?</v>
      </c>
      <c r="H235" s="1" t="e">
        <f t="array" ref="H235">SUM</f>
        <v>#NAME?</v>
      </c>
      <c r="I235" s="1" t="e">
        <f t="array" ref="I235">SUM</f>
        <v>#NAME?</v>
      </c>
      <c r="J235" s="1" t="e">
        <f t="array" ref="J235">SUM</f>
        <v>#NAME?</v>
      </c>
      <c r="K235" s="1" t="e">
        <f t="array" ref="K235">SUM</f>
        <v>#NAME?</v>
      </c>
      <c r="L235" s="1" t="e">
        <f t="array" ref="L235">SUM</f>
        <v>#NAME?</v>
      </c>
      <c r="M235" s="1" t="e">
        <f t="array" ref="M235">SUM</f>
        <v>#NAME?</v>
      </c>
      <c r="N235" s="1" t="e">
        <f t="array" ref="N235">SUM</f>
        <v>#NAME?</v>
      </c>
      <c r="O235" t="s">
        <v>27</v>
      </c>
      <c r="P235">
        <v>2021</v>
      </c>
    </row>
    <row r="236" spans="1:16" x14ac:dyDescent="0.25">
      <c r="A236" t="s">
        <v>22</v>
      </c>
      <c r="B236" s="1" t="e">
        <f t="array" ref="B236">SUM</f>
        <v>#NAME?</v>
      </c>
      <c r="C236" s="1" t="e">
        <f t="array" ref="C236">SUM</f>
        <v>#NAME?</v>
      </c>
      <c r="D236" s="1" t="e">
        <f t="array" ref="D236">SUM</f>
        <v>#NAME?</v>
      </c>
      <c r="E236" s="1" t="e">
        <f t="array" ref="E236">SUM</f>
        <v>#NAME?</v>
      </c>
      <c r="F236" s="1" t="e">
        <f t="array" ref="F236">SUM</f>
        <v>#NAME?</v>
      </c>
      <c r="G236" s="1" t="e">
        <f t="array" ref="G236">SUM</f>
        <v>#NAME?</v>
      </c>
      <c r="H236" s="1" t="e">
        <f t="array" ref="H236">SUM</f>
        <v>#NAME?</v>
      </c>
      <c r="I236" s="1" t="e">
        <f t="array" ref="I236">SUM</f>
        <v>#NAME?</v>
      </c>
      <c r="J236" s="1" t="e">
        <f t="array" ref="J236">SUM</f>
        <v>#NAME?</v>
      </c>
      <c r="K236" s="1" t="e">
        <f t="array" ref="K236">SUM</f>
        <v>#NAME?</v>
      </c>
      <c r="L236" s="1" t="e">
        <f t="array" ref="L236">SUM</f>
        <v>#NAME?</v>
      </c>
      <c r="M236" s="1" t="e">
        <f t="array" ref="M236">SUM</f>
        <v>#NAME?</v>
      </c>
      <c r="N236" s="1" t="e">
        <f t="array" ref="N236">SUM</f>
        <v>#NAME?</v>
      </c>
      <c r="O236" t="s">
        <v>30</v>
      </c>
      <c r="P236">
        <v>2021</v>
      </c>
    </row>
    <row r="237" spans="1:16" x14ac:dyDescent="0.25">
      <c r="A237" t="s">
        <v>25</v>
      </c>
      <c r="B237" s="1" t="e">
        <f t="array" ref="B237">SUM</f>
        <v>#NAME?</v>
      </c>
      <c r="C237" s="1" t="e">
        <f t="array" ref="C237">SUM</f>
        <v>#NAME?</v>
      </c>
      <c r="D237" s="1" t="e">
        <f t="array" ref="D237">SUM</f>
        <v>#NAME?</v>
      </c>
      <c r="E237" s="1" t="e">
        <f t="array" ref="E237">SUM</f>
        <v>#NAME?</v>
      </c>
      <c r="F237" s="1" t="e">
        <f t="array" ref="F237">SUM</f>
        <v>#NAME?</v>
      </c>
      <c r="G237" s="1" t="e">
        <f t="array" ref="G237">SUM</f>
        <v>#NAME?</v>
      </c>
      <c r="H237" s="1" t="e">
        <f t="array" ref="H237">SUM</f>
        <v>#NAME?</v>
      </c>
      <c r="I237" s="1" t="e">
        <f t="array" ref="I237">SUM</f>
        <v>#NAME?</v>
      </c>
      <c r="J237" s="1" t="e">
        <f t="array" ref="J237">SUM</f>
        <v>#NAME?</v>
      </c>
      <c r="K237" s="1" t="e">
        <f t="array" ref="K237">SUM</f>
        <v>#NAME?</v>
      </c>
      <c r="L237" s="1" t="e">
        <f t="array" ref="L237">SUM</f>
        <v>#NAME?</v>
      </c>
      <c r="M237" s="1" t="e">
        <f t="array" ref="M237">SUM</f>
        <v>#NAME?</v>
      </c>
      <c r="N237" s="1" t="e">
        <f t="array" ref="N237">SUM</f>
        <v>#NAME?</v>
      </c>
      <c r="O237" t="s">
        <v>20</v>
      </c>
      <c r="P237">
        <v>2021</v>
      </c>
    </row>
    <row r="238" spans="1:16" x14ac:dyDescent="0.25">
      <c r="A238" t="s">
        <v>16</v>
      </c>
      <c r="B238" s="1" t="e">
        <f t="array" ref="B238">SUM</f>
        <v>#NAME?</v>
      </c>
      <c r="C238" s="1" t="e">
        <f t="array" ref="C238">SUM</f>
        <v>#NAME?</v>
      </c>
      <c r="D238" s="1" t="e">
        <f t="array" ref="D238">SUM</f>
        <v>#NAME?</v>
      </c>
      <c r="E238" s="1" t="e">
        <f t="array" ref="E238">SUM</f>
        <v>#NAME?</v>
      </c>
      <c r="F238" s="1" t="e">
        <f t="array" ref="F238">SUM</f>
        <v>#NAME?</v>
      </c>
      <c r="G238" s="1" t="e">
        <f t="array" ref="G238">SUM</f>
        <v>#NAME?</v>
      </c>
      <c r="H238" s="1" t="e">
        <f t="array" ref="H238">SUM</f>
        <v>#NAME?</v>
      </c>
      <c r="I238" s="1" t="e">
        <f t="array" ref="I238">SUM</f>
        <v>#NAME?</v>
      </c>
      <c r="J238" s="1" t="e">
        <f t="array" ref="J238">SUM</f>
        <v>#NAME?</v>
      </c>
      <c r="K238" s="1" t="e">
        <f t="array" ref="K238">SUM</f>
        <v>#NAME?</v>
      </c>
      <c r="L238" s="1" t="e">
        <f t="array" ref="L238">SUM</f>
        <v>#NAME?</v>
      </c>
      <c r="M238" s="1" t="e">
        <f t="array" ref="M238">SUM</f>
        <v>#NAME?</v>
      </c>
      <c r="N238" s="1" t="e">
        <f t="array" ref="N238">SUM</f>
        <v>#NAME?</v>
      </c>
      <c r="O238" t="s">
        <v>29</v>
      </c>
      <c r="P238">
        <v>2021</v>
      </c>
    </row>
    <row r="239" spans="1:16" x14ac:dyDescent="0.25">
      <c r="A239" t="s">
        <v>23</v>
      </c>
      <c r="B239" s="1" t="e">
        <f t="array" ref="B239">SUM</f>
        <v>#NAME?</v>
      </c>
      <c r="C239" s="1" t="e">
        <f t="array" ref="C239">SUM</f>
        <v>#NAME?</v>
      </c>
      <c r="D239" s="1" t="e">
        <f t="array" ref="D239">SUM</f>
        <v>#NAME?</v>
      </c>
      <c r="E239" s="1" t="e">
        <f t="array" ref="E239">SUM</f>
        <v>#NAME?</v>
      </c>
      <c r="F239" s="1" t="e">
        <f t="array" ref="F239">SUM</f>
        <v>#NAME?</v>
      </c>
      <c r="G239" s="1" t="e">
        <f t="array" ref="G239">SUM</f>
        <v>#NAME?</v>
      </c>
      <c r="H239" s="1" t="e">
        <f t="array" ref="H239">SUM</f>
        <v>#NAME?</v>
      </c>
      <c r="I239" s="1" t="e">
        <f t="array" ref="I239">SUM</f>
        <v>#NAME?</v>
      </c>
      <c r="J239" s="1" t="e">
        <f t="array" ref="J239">SUM</f>
        <v>#NAME?</v>
      </c>
      <c r="K239" s="1" t="e">
        <f t="array" ref="K239">SUM</f>
        <v>#NAME?</v>
      </c>
      <c r="L239" s="1" t="e">
        <f t="array" ref="L239">SUM</f>
        <v>#NAME?</v>
      </c>
      <c r="M239" s="1" t="e">
        <f t="array" ref="M239">SUM</f>
        <v>#NAME?</v>
      </c>
      <c r="N239" s="1" t="e">
        <f t="array" ref="N239">SUM</f>
        <v>#NAME?</v>
      </c>
      <c r="O239" t="s">
        <v>21</v>
      </c>
      <c r="P239">
        <v>2021</v>
      </c>
    </row>
    <row r="240" spans="1:16" x14ac:dyDescent="0.25">
      <c r="A240" t="s">
        <v>23</v>
      </c>
      <c r="B240" s="1" t="e">
        <f t="array" ref="B240">SUM</f>
        <v>#NAME?</v>
      </c>
      <c r="C240" s="1" t="e">
        <f t="array" ref="C240">SUM</f>
        <v>#NAME?</v>
      </c>
      <c r="D240" s="1" t="e">
        <f t="array" ref="D240">SUM</f>
        <v>#NAME?</v>
      </c>
      <c r="E240" s="1" t="e">
        <f t="array" ref="E240">SUM</f>
        <v>#NAME?</v>
      </c>
      <c r="F240" s="1" t="e">
        <f t="array" ref="F240">SUM</f>
        <v>#NAME?</v>
      </c>
      <c r="G240" s="1" t="e">
        <f t="array" ref="G240">SUM</f>
        <v>#NAME?</v>
      </c>
      <c r="H240" s="1" t="e">
        <f t="array" ref="H240">SUM</f>
        <v>#NAME?</v>
      </c>
      <c r="I240" s="1" t="e">
        <f t="array" ref="I240">SUM</f>
        <v>#NAME?</v>
      </c>
      <c r="J240" s="1" t="e">
        <f t="array" ref="J240">SUM</f>
        <v>#NAME?</v>
      </c>
      <c r="K240" s="1" t="e">
        <f t="array" ref="K240">SUM</f>
        <v>#NAME?</v>
      </c>
      <c r="L240" s="1" t="e">
        <f t="array" ref="L240">SUM</f>
        <v>#NAME?</v>
      </c>
      <c r="M240" s="1" t="e">
        <f t="array" ref="M240">SUM</f>
        <v>#NAME?</v>
      </c>
      <c r="N240" s="1" t="e">
        <f t="array" ref="N240">SUM</f>
        <v>#NAME?</v>
      </c>
      <c r="O240" t="s">
        <v>21</v>
      </c>
      <c r="P240">
        <v>2021</v>
      </c>
    </row>
    <row r="241" spans="1:16" x14ac:dyDescent="0.25">
      <c r="A241" t="s">
        <v>25</v>
      </c>
      <c r="B241" s="1" t="e">
        <f t="array" ref="B241">SUM</f>
        <v>#NAME?</v>
      </c>
      <c r="C241" s="1" t="e">
        <f t="array" ref="C241">SUM</f>
        <v>#NAME?</v>
      </c>
      <c r="D241" s="1" t="e">
        <f t="array" ref="D241">SUM</f>
        <v>#NAME?</v>
      </c>
      <c r="E241" s="1" t="e">
        <f t="array" ref="E241">SUM</f>
        <v>#NAME?</v>
      </c>
      <c r="F241" s="1" t="e">
        <f t="array" ref="F241">SUM</f>
        <v>#NAME?</v>
      </c>
      <c r="G241" s="1" t="e">
        <f t="array" ref="G241">SUM</f>
        <v>#NAME?</v>
      </c>
      <c r="H241" s="1" t="e">
        <f t="array" ref="H241">SUM</f>
        <v>#NAME?</v>
      </c>
      <c r="I241" s="1" t="e">
        <f t="array" ref="I241">SUM</f>
        <v>#NAME?</v>
      </c>
      <c r="J241" s="1" t="e">
        <f t="array" ref="J241">SUM</f>
        <v>#NAME?</v>
      </c>
      <c r="K241" s="1" t="e">
        <f t="array" ref="K241">SUM</f>
        <v>#NAME?</v>
      </c>
      <c r="L241" s="1" t="e">
        <f t="array" ref="L241">SUM</f>
        <v>#NAME?</v>
      </c>
      <c r="M241" s="1" t="e">
        <f t="array" ref="M241">SUM</f>
        <v>#NAME?</v>
      </c>
      <c r="N241" s="1" t="e">
        <f t="array" ref="N241">SUM</f>
        <v>#NAME?</v>
      </c>
      <c r="O241" t="s">
        <v>31</v>
      </c>
      <c r="P241">
        <v>2021</v>
      </c>
    </row>
    <row r="242" spans="1:16" x14ac:dyDescent="0.25">
      <c r="A242" t="s">
        <v>16</v>
      </c>
      <c r="B242" s="1" t="e">
        <f t="array" ref="B242">SUM</f>
        <v>#NAME?</v>
      </c>
      <c r="C242" s="1" t="e">
        <f t="array" ref="C242">SUM</f>
        <v>#NAME?</v>
      </c>
      <c r="D242" s="1" t="e">
        <f t="array" ref="D242">SUM</f>
        <v>#NAME?</v>
      </c>
      <c r="E242" s="1" t="e">
        <f t="array" ref="E242">SUM</f>
        <v>#NAME?</v>
      </c>
      <c r="F242" s="1" t="e">
        <f t="array" ref="F242">SUM</f>
        <v>#NAME?</v>
      </c>
      <c r="G242" s="1" t="e">
        <f t="array" ref="G242">SUM</f>
        <v>#NAME?</v>
      </c>
      <c r="H242" s="1" t="e">
        <f t="array" ref="H242">SUM</f>
        <v>#NAME?</v>
      </c>
      <c r="I242" s="1" t="e">
        <f t="array" ref="I242">SUM</f>
        <v>#NAME?</v>
      </c>
      <c r="J242" s="1" t="e">
        <f t="array" ref="J242">SUM</f>
        <v>#NAME?</v>
      </c>
      <c r="K242" s="1" t="e">
        <f t="array" ref="K242">SUM</f>
        <v>#NAME?</v>
      </c>
      <c r="L242" s="1" t="e">
        <f t="array" ref="L242">SUM</f>
        <v>#NAME?</v>
      </c>
      <c r="M242" s="1" t="e">
        <f t="array" ref="M242">SUM</f>
        <v>#NAME?</v>
      </c>
      <c r="N242" s="1" t="e">
        <f t="array" ref="N242">SUM</f>
        <v>#NAME?</v>
      </c>
      <c r="O242" t="s">
        <v>32</v>
      </c>
      <c r="P242">
        <v>2021</v>
      </c>
    </row>
    <row r="243" spans="1:16" x14ac:dyDescent="0.25">
      <c r="A243" t="s">
        <v>25</v>
      </c>
      <c r="B243" s="1" t="e">
        <f t="array" ref="B243">SUM</f>
        <v>#NAME?</v>
      </c>
      <c r="C243" s="1" t="e">
        <f t="array" ref="C243">SUM</f>
        <v>#NAME?</v>
      </c>
      <c r="D243" s="1" t="e">
        <f t="array" ref="D243">SUM</f>
        <v>#NAME?</v>
      </c>
      <c r="E243" s="1" t="e">
        <f t="array" ref="E243">SUM</f>
        <v>#NAME?</v>
      </c>
      <c r="F243" s="1" t="e">
        <f t="array" ref="F243">SUM</f>
        <v>#NAME?</v>
      </c>
      <c r="G243" s="1" t="e">
        <f t="array" ref="G243">SUM</f>
        <v>#NAME?</v>
      </c>
      <c r="H243" s="1" t="e">
        <f t="array" ref="H243">SUM</f>
        <v>#NAME?</v>
      </c>
      <c r="I243" s="1" t="e">
        <f t="array" ref="I243">SUM</f>
        <v>#NAME?</v>
      </c>
      <c r="J243" s="1" t="e">
        <f t="array" ref="J243">SUM</f>
        <v>#NAME?</v>
      </c>
      <c r="K243" s="1" t="e">
        <f t="array" ref="K243">SUM</f>
        <v>#NAME?</v>
      </c>
      <c r="L243" s="1" t="e">
        <f t="array" ref="L243">SUM</f>
        <v>#NAME?</v>
      </c>
      <c r="M243" s="1" t="e">
        <f t="array" ref="M243">SUM</f>
        <v>#NAME?</v>
      </c>
      <c r="N243" s="1" t="e">
        <f t="array" ref="N243">SUM</f>
        <v>#NAME?</v>
      </c>
      <c r="O243" t="s">
        <v>19</v>
      </c>
      <c r="P243">
        <v>2021</v>
      </c>
    </row>
    <row r="244" spans="1:16" x14ac:dyDescent="0.25">
      <c r="A244" t="s">
        <v>16</v>
      </c>
      <c r="B244" s="1" t="e">
        <f t="array" ref="B244">SUM</f>
        <v>#NAME?</v>
      </c>
      <c r="C244" s="1" t="e">
        <f t="array" ref="C244">SUM</f>
        <v>#NAME?</v>
      </c>
      <c r="D244" s="1" t="e">
        <f t="array" ref="D244">SUM</f>
        <v>#NAME?</v>
      </c>
      <c r="E244" s="1" t="e">
        <f t="array" ref="E244">SUM</f>
        <v>#NAME?</v>
      </c>
      <c r="F244" s="1" t="e">
        <f t="array" ref="F244">SUM</f>
        <v>#NAME?</v>
      </c>
      <c r="G244" s="1" t="e">
        <f t="array" ref="G244">SUM</f>
        <v>#NAME?</v>
      </c>
      <c r="H244" s="1" t="e">
        <f t="array" ref="H244">SUM</f>
        <v>#NAME?</v>
      </c>
      <c r="I244" s="1" t="e">
        <f t="array" ref="I244">SUM</f>
        <v>#NAME?</v>
      </c>
      <c r="J244" s="1" t="e">
        <f t="array" ref="J244">SUM</f>
        <v>#NAME?</v>
      </c>
      <c r="K244" s="1" t="e">
        <f t="array" ref="K244">SUM</f>
        <v>#NAME?</v>
      </c>
      <c r="L244" s="1" t="e">
        <f t="array" ref="L244">SUM</f>
        <v>#NAME?</v>
      </c>
      <c r="M244" s="1" t="e">
        <f t="array" ref="M244">SUM</f>
        <v>#NAME?</v>
      </c>
      <c r="N244" s="1" t="e">
        <f t="array" ref="N244">SUM</f>
        <v>#NAME?</v>
      </c>
      <c r="O244" t="s">
        <v>19</v>
      </c>
      <c r="P244">
        <v>2021</v>
      </c>
    </row>
    <row r="245" spans="1:16" x14ac:dyDescent="0.25">
      <c r="A245" t="s">
        <v>18</v>
      </c>
      <c r="B245" s="1" t="e">
        <f t="array" ref="B245">SUM</f>
        <v>#NAME?</v>
      </c>
      <c r="C245" s="1" t="e">
        <f t="array" ref="C245">SUM</f>
        <v>#NAME?</v>
      </c>
      <c r="D245" s="1" t="e">
        <f t="array" ref="D245">SUM</f>
        <v>#NAME?</v>
      </c>
      <c r="E245" s="1" t="e">
        <f t="array" ref="E245">SUM</f>
        <v>#NAME?</v>
      </c>
      <c r="F245" s="1" t="e">
        <f t="array" ref="F245">SUM</f>
        <v>#NAME?</v>
      </c>
      <c r="G245" s="1" t="e">
        <f t="array" ref="G245">SUM</f>
        <v>#NAME?</v>
      </c>
      <c r="H245" s="1" t="e">
        <f t="array" ref="H245">SUM</f>
        <v>#NAME?</v>
      </c>
      <c r="I245" s="1" t="e">
        <f t="array" ref="I245">SUM</f>
        <v>#NAME?</v>
      </c>
      <c r="J245" s="1" t="e">
        <f t="array" ref="J245">SUM</f>
        <v>#NAME?</v>
      </c>
      <c r="K245" s="1" t="e">
        <f t="array" ref="K245">SUM</f>
        <v>#NAME?</v>
      </c>
      <c r="L245" s="1" t="e">
        <f t="array" ref="L245">SUM</f>
        <v>#NAME?</v>
      </c>
      <c r="M245" s="1" t="e">
        <f t="array" ref="M245">SUM</f>
        <v>#NAME?</v>
      </c>
      <c r="N245" s="1" t="e">
        <f t="array" ref="N245">SUM</f>
        <v>#NAME?</v>
      </c>
      <c r="O245" t="s">
        <v>27</v>
      </c>
      <c r="P245">
        <v>2021</v>
      </c>
    </row>
    <row r="246" spans="1:16" x14ac:dyDescent="0.25">
      <c r="A246" t="s">
        <v>16</v>
      </c>
      <c r="B246" s="1" t="e">
        <f t="array" ref="B246">SUM</f>
        <v>#NAME?</v>
      </c>
      <c r="C246" s="1" t="e">
        <f t="array" ref="C246">SUM</f>
        <v>#NAME?</v>
      </c>
      <c r="D246" s="1" t="e">
        <f t="array" ref="D246">SUM</f>
        <v>#NAME?</v>
      </c>
      <c r="E246" s="1" t="e">
        <f t="array" ref="E246">SUM</f>
        <v>#NAME?</v>
      </c>
      <c r="F246" s="1" t="e">
        <f t="array" ref="F246">SUM</f>
        <v>#NAME?</v>
      </c>
      <c r="G246" s="1" t="e">
        <f t="array" ref="G246">SUM</f>
        <v>#NAME?</v>
      </c>
      <c r="H246" s="1" t="e">
        <f t="array" ref="H246">SUM</f>
        <v>#NAME?</v>
      </c>
      <c r="I246" s="1" t="e">
        <f t="array" ref="I246">SUM</f>
        <v>#NAME?</v>
      </c>
      <c r="J246" s="1" t="e">
        <f t="array" ref="J246">SUM</f>
        <v>#NAME?</v>
      </c>
      <c r="K246" s="1" t="e">
        <f t="array" ref="K246">SUM</f>
        <v>#NAME?</v>
      </c>
      <c r="L246" s="1" t="e">
        <f t="array" ref="L246">SUM</f>
        <v>#NAME?</v>
      </c>
      <c r="M246" s="1" t="e">
        <f t="array" ref="M246">SUM</f>
        <v>#NAME?</v>
      </c>
      <c r="N246" s="1" t="e">
        <f t="array" ref="N246">SUM</f>
        <v>#NAME?</v>
      </c>
      <c r="O246" t="s">
        <v>28</v>
      </c>
      <c r="P246">
        <v>2021</v>
      </c>
    </row>
    <row r="247" spans="1:16" x14ac:dyDescent="0.25">
      <c r="A247" t="s">
        <v>16</v>
      </c>
      <c r="B247" s="1" t="e">
        <f t="array" ref="B247">SUM</f>
        <v>#NAME?</v>
      </c>
      <c r="C247" s="1" t="e">
        <f t="array" ref="C247">SUM</f>
        <v>#NAME?</v>
      </c>
      <c r="D247" s="1" t="e">
        <f t="array" ref="D247">SUM</f>
        <v>#NAME?</v>
      </c>
      <c r="E247" s="1" t="e">
        <f t="array" ref="E247">SUM</f>
        <v>#NAME?</v>
      </c>
      <c r="F247" s="1" t="e">
        <f t="array" ref="F247">SUM</f>
        <v>#NAME?</v>
      </c>
      <c r="G247" s="1" t="e">
        <f t="array" ref="G247">SUM</f>
        <v>#NAME?</v>
      </c>
      <c r="H247" s="1" t="e">
        <f t="array" ref="H247">SUM</f>
        <v>#NAME?</v>
      </c>
      <c r="I247" s="1" t="e">
        <f t="array" ref="I247">SUM</f>
        <v>#NAME?</v>
      </c>
      <c r="J247" s="1" t="e">
        <f t="array" ref="J247">SUM</f>
        <v>#NAME?</v>
      </c>
      <c r="K247" s="1" t="e">
        <f t="array" ref="K247">SUM</f>
        <v>#NAME?</v>
      </c>
      <c r="L247" s="1" t="e">
        <f t="array" ref="L247">SUM</f>
        <v>#NAME?</v>
      </c>
      <c r="M247" s="1" t="e">
        <f t="array" ref="M247">SUM</f>
        <v>#NAME?</v>
      </c>
      <c r="N247" s="1" t="e">
        <f t="array" ref="N247">SUM</f>
        <v>#NAME?</v>
      </c>
      <c r="O247" t="s">
        <v>28</v>
      </c>
      <c r="P247">
        <v>2021</v>
      </c>
    </row>
    <row r="248" spans="1:16" x14ac:dyDescent="0.25">
      <c r="A248" t="s">
        <v>23</v>
      </c>
      <c r="B248" s="1" t="e">
        <f t="array" ref="B248">SUM</f>
        <v>#NAME?</v>
      </c>
      <c r="C248" s="1" t="e">
        <f t="array" ref="C248">SUM</f>
        <v>#NAME?</v>
      </c>
      <c r="D248" s="1" t="e">
        <f t="array" ref="D248">SUM</f>
        <v>#NAME?</v>
      </c>
      <c r="E248" s="1" t="e">
        <f t="array" ref="E248">SUM</f>
        <v>#NAME?</v>
      </c>
      <c r="F248" s="1" t="e">
        <f t="array" ref="F248">SUM</f>
        <v>#NAME?</v>
      </c>
      <c r="G248" s="1" t="e">
        <f t="array" ref="G248">SUM</f>
        <v>#NAME?</v>
      </c>
      <c r="H248" s="1" t="e">
        <f t="array" ref="H248">SUM</f>
        <v>#NAME?</v>
      </c>
      <c r="I248" s="1" t="e">
        <f t="array" ref="I248">SUM</f>
        <v>#NAME?</v>
      </c>
      <c r="J248" s="1" t="e">
        <f t="array" ref="J248">SUM</f>
        <v>#NAME?</v>
      </c>
      <c r="K248" s="1" t="e">
        <f t="array" ref="K248">SUM</f>
        <v>#NAME?</v>
      </c>
      <c r="L248" s="1" t="e">
        <f t="array" ref="L248">SUM</f>
        <v>#NAME?</v>
      </c>
      <c r="M248" s="1" t="e">
        <f t="array" ref="M248">SUM</f>
        <v>#NAME?</v>
      </c>
      <c r="N248" s="1" t="e">
        <f t="array" ref="N248">SUM</f>
        <v>#NAME?</v>
      </c>
      <c r="O248" t="s">
        <v>28</v>
      </c>
      <c r="P248">
        <v>2021</v>
      </c>
    </row>
    <row r="249" spans="1:16" x14ac:dyDescent="0.25">
      <c r="A249" t="s">
        <v>23</v>
      </c>
      <c r="B249" s="1" t="e">
        <f t="array" ref="B249">SUM</f>
        <v>#NAME?</v>
      </c>
      <c r="C249" s="1" t="e">
        <f t="array" ref="C249">SUM</f>
        <v>#NAME?</v>
      </c>
      <c r="D249" s="1" t="e">
        <f t="array" ref="D249">SUM</f>
        <v>#NAME?</v>
      </c>
      <c r="E249" s="1" t="e">
        <f t="array" ref="E249">SUM</f>
        <v>#NAME?</v>
      </c>
      <c r="F249" s="1" t="e">
        <f t="array" ref="F249">SUM</f>
        <v>#NAME?</v>
      </c>
      <c r="G249" s="1" t="e">
        <f t="array" ref="G249">SUM</f>
        <v>#NAME?</v>
      </c>
      <c r="H249" s="1" t="e">
        <f t="array" ref="H249">SUM</f>
        <v>#NAME?</v>
      </c>
      <c r="I249" s="1" t="e">
        <f t="array" ref="I249">SUM</f>
        <v>#NAME?</v>
      </c>
      <c r="J249" s="1" t="e">
        <f t="array" ref="J249">SUM</f>
        <v>#NAME?</v>
      </c>
      <c r="K249" s="1" t="e">
        <f t="array" ref="K249">SUM</f>
        <v>#NAME?</v>
      </c>
      <c r="L249" s="1" t="e">
        <f t="array" ref="L249">SUM</f>
        <v>#NAME?</v>
      </c>
      <c r="M249" s="1" t="e">
        <f t="array" ref="M249">SUM</f>
        <v>#NAME?</v>
      </c>
      <c r="N249" s="1" t="e">
        <f t="array" ref="N249">SUM</f>
        <v>#NAME?</v>
      </c>
      <c r="O249" t="s">
        <v>28</v>
      </c>
      <c r="P249">
        <v>2021</v>
      </c>
    </row>
    <row r="250" spans="1:16" x14ac:dyDescent="0.25">
      <c r="A250" t="s">
        <v>16</v>
      </c>
      <c r="B250" s="1" t="e">
        <f t="array" ref="B250">SUM</f>
        <v>#NAME?</v>
      </c>
      <c r="C250" s="1" t="e">
        <f t="array" ref="C250">SUM</f>
        <v>#NAME?</v>
      </c>
      <c r="D250" s="1" t="e">
        <f t="array" ref="D250">SUM</f>
        <v>#NAME?</v>
      </c>
      <c r="E250" s="1" t="e">
        <f t="array" ref="E250">SUM</f>
        <v>#NAME?</v>
      </c>
      <c r="F250" s="1" t="e">
        <f t="array" ref="F250">SUM</f>
        <v>#NAME?</v>
      </c>
      <c r="G250" s="1" t="e">
        <f t="array" ref="G250">SUM</f>
        <v>#NAME?</v>
      </c>
      <c r="H250" s="1" t="e">
        <f t="array" ref="H250">SUM</f>
        <v>#NAME?</v>
      </c>
      <c r="I250" s="1" t="e">
        <f t="array" ref="I250">SUM</f>
        <v>#NAME?</v>
      </c>
      <c r="J250" s="1" t="e">
        <f t="array" ref="J250">SUM</f>
        <v>#NAME?</v>
      </c>
      <c r="K250" s="1" t="e">
        <f t="array" ref="K250">SUM</f>
        <v>#NAME?</v>
      </c>
      <c r="L250" s="1" t="e">
        <f t="array" ref="L250">SUM</f>
        <v>#NAME?</v>
      </c>
      <c r="M250" s="1" t="e">
        <f t="array" ref="M250">SUM</f>
        <v>#NAME?</v>
      </c>
      <c r="N250" s="1" t="e">
        <f t="array" ref="N250">SUM</f>
        <v>#NAME?</v>
      </c>
      <c r="O250" t="s">
        <v>20</v>
      </c>
      <c r="P250">
        <v>2021</v>
      </c>
    </row>
    <row r="251" spans="1:16" x14ac:dyDescent="0.25">
      <c r="A251" t="s">
        <v>16</v>
      </c>
      <c r="B251" s="1" t="e">
        <f t="array" ref="B251">SUM</f>
        <v>#NAME?</v>
      </c>
      <c r="C251" s="1" t="e">
        <f t="array" ref="C251">SUM</f>
        <v>#NAME?</v>
      </c>
      <c r="D251" s="1" t="e">
        <f t="array" ref="D251">SUM</f>
        <v>#NAME?</v>
      </c>
      <c r="E251" s="1" t="e">
        <f t="array" ref="E251">SUM</f>
        <v>#NAME?</v>
      </c>
      <c r="F251" s="1" t="e">
        <f t="array" ref="F251">SUM</f>
        <v>#NAME?</v>
      </c>
      <c r="G251" s="1" t="e">
        <f t="array" ref="G251">SUM</f>
        <v>#NAME?</v>
      </c>
      <c r="H251" s="1" t="e">
        <f t="array" ref="H251">SUM</f>
        <v>#NAME?</v>
      </c>
      <c r="I251" s="1" t="e">
        <f t="array" ref="I251">SUM</f>
        <v>#NAME?</v>
      </c>
      <c r="J251" s="1" t="e">
        <f t="array" ref="J251">SUM</f>
        <v>#NAME?</v>
      </c>
      <c r="K251" s="1" t="e">
        <f t="array" ref="K251">SUM</f>
        <v>#NAME?</v>
      </c>
      <c r="L251" s="1" t="e">
        <f t="array" ref="L251">SUM</f>
        <v>#NAME?</v>
      </c>
      <c r="M251" s="1" t="e">
        <f t="array" ref="M251">SUM</f>
        <v>#NAME?</v>
      </c>
      <c r="N251" s="1" t="e">
        <f t="array" ref="N251">SUM</f>
        <v>#NAME?</v>
      </c>
      <c r="O251" t="s">
        <v>20</v>
      </c>
      <c r="P251">
        <v>2021</v>
      </c>
    </row>
    <row r="252" spans="1:16" x14ac:dyDescent="0.25">
      <c r="A252" t="s">
        <v>16</v>
      </c>
      <c r="B252" s="1" t="e">
        <f t="array" ref="B252">SUM</f>
        <v>#NAME?</v>
      </c>
      <c r="C252" s="1" t="e">
        <f t="array" ref="C252">SUM</f>
        <v>#NAME?</v>
      </c>
      <c r="D252" s="1" t="e">
        <f t="array" ref="D252">SUM</f>
        <v>#NAME?</v>
      </c>
      <c r="E252" s="1" t="e">
        <f t="array" ref="E252">SUM</f>
        <v>#NAME?</v>
      </c>
      <c r="F252" s="1" t="e">
        <f t="array" ref="F252">SUM</f>
        <v>#NAME?</v>
      </c>
      <c r="G252" s="1" t="e">
        <f t="array" ref="G252">SUM</f>
        <v>#NAME?</v>
      </c>
      <c r="H252" s="1" t="e">
        <f t="array" ref="H252">SUM</f>
        <v>#NAME?</v>
      </c>
      <c r="I252" s="1" t="e">
        <f t="array" ref="I252">SUM</f>
        <v>#NAME?</v>
      </c>
      <c r="J252" s="1" t="e">
        <f t="array" ref="J252">SUM</f>
        <v>#NAME?</v>
      </c>
      <c r="K252" s="1" t="e">
        <f t="array" ref="K252">SUM</f>
        <v>#NAME?</v>
      </c>
      <c r="L252" s="1" t="e">
        <f t="array" ref="L252">SUM</f>
        <v>#NAME?</v>
      </c>
      <c r="M252" s="1" t="e">
        <f t="array" ref="M252">SUM</f>
        <v>#NAME?</v>
      </c>
      <c r="N252" s="1" t="e">
        <f t="array" ref="N252">SUM</f>
        <v>#NAME?</v>
      </c>
      <c r="O252" t="s">
        <v>20</v>
      </c>
      <c r="P252">
        <v>2021</v>
      </c>
    </row>
    <row r="253" spans="1:16" x14ac:dyDescent="0.25">
      <c r="A253" t="s">
        <v>18</v>
      </c>
      <c r="B253" s="1" t="e">
        <f t="array" ref="B253">SUM</f>
        <v>#NAME?</v>
      </c>
      <c r="C253" s="1" t="e">
        <f t="array" ref="C253">SUM</f>
        <v>#NAME?</v>
      </c>
      <c r="D253" s="1" t="e">
        <f t="array" ref="D253">SUM</f>
        <v>#NAME?</v>
      </c>
      <c r="E253" s="1" t="e">
        <f t="array" ref="E253">SUM</f>
        <v>#NAME?</v>
      </c>
      <c r="F253" s="1" t="e">
        <f t="array" ref="F253">SUM</f>
        <v>#NAME?</v>
      </c>
      <c r="G253" s="1" t="e">
        <f t="array" ref="G253">SUM</f>
        <v>#NAME?</v>
      </c>
      <c r="H253" s="1" t="e">
        <f t="array" ref="H253">SUM</f>
        <v>#NAME?</v>
      </c>
      <c r="I253" s="1" t="e">
        <f t="array" ref="I253">SUM</f>
        <v>#NAME?</v>
      </c>
      <c r="J253" s="1" t="e">
        <f t="array" ref="J253">SUM</f>
        <v>#NAME?</v>
      </c>
      <c r="K253" s="1" t="e">
        <f t="array" ref="K253">SUM</f>
        <v>#NAME?</v>
      </c>
      <c r="L253" s="1" t="e">
        <f t="array" ref="L253">SUM</f>
        <v>#NAME?</v>
      </c>
      <c r="M253" s="1" t="e">
        <f t="array" ref="M253">SUM</f>
        <v>#NAME?</v>
      </c>
      <c r="N253" s="1" t="e">
        <f t="array" ref="N253">SUM</f>
        <v>#NAME?</v>
      </c>
      <c r="O253" t="s">
        <v>20</v>
      </c>
      <c r="P253">
        <v>2021</v>
      </c>
    </row>
    <row r="254" spans="1:16" x14ac:dyDescent="0.25">
      <c r="A254" t="s">
        <v>18</v>
      </c>
      <c r="B254" s="1" t="e">
        <f t="array" ref="B254">SUM</f>
        <v>#NAME?</v>
      </c>
      <c r="C254" s="1" t="e">
        <f t="array" ref="C254">SUM</f>
        <v>#NAME?</v>
      </c>
      <c r="D254" s="1" t="e">
        <f t="array" ref="D254">SUM</f>
        <v>#NAME?</v>
      </c>
      <c r="E254" s="1" t="e">
        <f t="array" ref="E254">SUM</f>
        <v>#NAME?</v>
      </c>
      <c r="F254" s="1" t="e">
        <f t="array" ref="F254">SUM</f>
        <v>#NAME?</v>
      </c>
      <c r="G254" s="1" t="e">
        <f t="array" ref="G254">SUM</f>
        <v>#NAME?</v>
      </c>
      <c r="H254" s="1" t="e">
        <f t="array" ref="H254">SUM</f>
        <v>#NAME?</v>
      </c>
      <c r="I254" s="1" t="e">
        <f t="array" ref="I254">SUM</f>
        <v>#NAME?</v>
      </c>
      <c r="J254" s="1" t="e">
        <f t="array" ref="J254">SUM</f>
        <v>#NAME?</v>
      </c>
      <c r="K254" s="1" t="e">
        <f t="array" ref="K254">SUM</f>
        <v>#NAME?</v>
      </c>
      <c r="L254" s="1" t="e">
        <f t="array" ref="L254">SUM</f>
        <v>#NAME?</v>
      </c>
      <c r="M254" s="1" t="e">
        <f t="array" ref="M254">SUM</f>
        <v>#NAME?</v>
      </c>
      <c r="N254" s="1" t="e">
        <f t="array" ref="N254">SUM</f>
        <v>#NAME?</v>
      </c>
      <c r="O254" t="s">
        <v>17</v>
      </c>
      <c r="P254">
        <v>2021</v>
      </c>
    </row>
    <row r="255" spans="1:16" x14ac:dyDescent="0.25">
      <c r="A255" t="s">
        <v>18</v>
      </c>
      <c r="B255" s="1" t="e">
        <f t="array" ref="B255">SUM</f>
        <v>#NAME?</v>
      </c>
      <c r="C255" s="1" t="e">
        <f t="array" ref="C255">SUM</f>
        <v>#NAME?</v>
      </c>
      <c r="D255" s="1" t="e">
        <f t="array" ref="D255">SUM</f>
        <v>#NAME?</v>
      </c>
      <c r="E255" s="1" t="e">
        <f t="array" ref="E255">SUM</f>
        <v>#NAME?</v>
      </c>
      <c r="F255" s="1" t="e">
        <f t="array" ref="F255">SUM</f>
        <v>#NAME?</v>
      </c>
      <c r="G255" s="1" t="e">
        <f t="array" ref="G255">SUM</f>
        <v>#NAME?</v>
      </c>
      <c r="H255" s="1" t="e">
        <f t="array" ref="H255">SUM</f>
        <v>#NAME?</v>
      </c>
      <c r="I255" s="1" t="e">
        <f t="array" ref="I255">SUM</f>
        <v>#NAME?</v>
      </c>
      <c r="J255" s="1" t="e">
        <f t="array" ref="J255">SUM</f>
        <v>#NAME?</v>
      </c>
      <c r="K255" s="1" t="e">
        <f t="array" ref="K255">SUM</f>
        <v>#NAME?</v>
      </c>
      <c r="L255" s="1" t="e">
        <f t="array" ref="L255">SUM</f>
        <v>#NAME?</v>
      </c>
      <c r="M255" s="1" t="e">
        <f t="array" ref="M255">SUM</f>
        <v>#NAME?</v>
      </c>
      <c r="N255" s="1" t="e">
        <f t="array" ref="N255">SUM</f>
        <v>#NAME?</v>
      </c>
      <c r="O255" t="s">
        <v>17</v>
      </c>
      <c r="P255">
        <v>2021</v>
      </c>
    </row>
    <row r="256" spans="1:16" x14ac:dyDescent="0.25">
      <c r="A256" t="s">
        <v>23</v>
      </c>
      <c r="B256" s="1" t="e">
        <f t="array" ref="B256">SUM</f>
        <v>#NAME?</v>
      </c>
      <c r="C256" s="1" t="e">
        <f t="array" ref="C256">SUM</f>
        <v>#NAME?</v>
      </c>
      <c r="D256" s="1" t="e">
        <f t="array" ref="D256">SUM</f>
        <v>#NAME?</v>
      </c>
      <c r="E256" s="1" t="e">
        <f t="array" ref="E256">SUM</f>
        <v>#NAME?</v>
      </c>
      <c r="F256" s="1" t="e">
        <f t="array" ref="F256">SUM</f>
        <v>#NAME?</v>
      </c>
      <c r="G256" s="1" t="e">
        <f t="array" ref="G256">SUM</f>
        <v>#NAME?</v>
      </c>
      <c r="H256" s="1" t="e">
        <f t="array" ref="H256">SUM</f>
        <v>#NAME?</v>
      </c>
      <c r="I256" s="1" t="e">
        <f t="array" ref="I256">SUM</f>
        <v>#NAME?</v>
      </c>
      <c r="J256" s="1" t="e">
        <f t="array" ref="J256">SUM</f>
        <v>#NAME?</v>
      </c>
      <c r="K256" s="1" t="e">
        <f t="array" ref="K256">SUM</f>
        <v>#NAME?</v>
      </c>
      <c r="L256" s="1" t="e">
        <f t="array" ref="L256">SUM</f>
        <v>#NAME?</v>
      </c>
      <c r="M256" s="1" t="e">
        <f t="array" ref="M256">SUM</f>
        <v>#NAME?</v>
      </c>
      <c r="N256" s="1" t="e">
        <f t="array" ref="N256">SUM</f>
        <v>#NAME?</v>
      </c>
      <c r="O256" t="s">
        <v>29</v>
      </c>
      <c r="P256">
        <v>2021</v>
      </c>
    </row>
    <row r="257" spans="1:16" x14ac:dyDescent="0.25">
      <c r="A257" t="s">
        <v>16</v>
      </c>
      <c r="B257" s="1" t="e">
        <f t="array" ref="B257">SUM</f>
        <v>#NAME?</v>
      </c>
      <c r="C257" s="1" t="e">
        <f t="array" ref="C257">SUM</f>
        <v>#NAME?</v>
      </c>
      <c r="D257" s="1" t="e">
        <f t="array" ref="D257">SUM</f>
        <v>#NAME?</v>
      </c>
      <c r="E257" s="1" t="e">
        <f t="array" ref="E257">SUM</f>
        <v>#NAME?</v>
      </c>
      <c r="F257" s="1" t="e">
        <f t="array" ref="F257">SUM</f>
        <v>#NAME?</v>
      </c>
      <c r="G257" s="1" t="e">
        <f t="array" ref="G257">SUM</f>
        <v>#NAME?</v>
      </c>
      <c r="H257" s="1" t="e">
        <f t="array" ref="H257">SUM</f>
        <v>#NAME?</v>
      </c>
      <c r="I257" s="1" t="e">
        <f t="array" ref="I257">SUM</f>
        <v>#NAME?</v>
      </c>
      <c r="J257" s="1" t="e">
        <f t="array" ref="J257">SUM</f>
        <v>#NAME?</v>
      </c>
      <c r="K257" s="1" t="e">
        <f t="array" ref="K257">SUM</f>
        <v>#NAME?</v>
      </c>
      <c r="L257" s="1" t="e">
        <f t="array" ref="L257">SUM</f>
        <v>#NAME?</v>
      </c>
      <c r="M257" s="1" t="e">
        <f t="array" ref="M257">SUM</f>
        <v>#NAME?</v>
      </c>
      <c r="N257" s="1" t="e">
        <f t="array" ref="N257">SUM</f>
        <v>#NAME?</v>
      </c>
      <c r="O257" t="s">
        <v>19</v>
      </c>
      <c r="P257">
        <v>2021</v>
      </c>
    </row>
    <row r="258" spans="1:16" x14ac:dyDescent="0.25">
      <c r="A258" t="s">
        <v>16</v>
      </c>
      <c r="B258" s="1" t="e">
        <f t="array" ref="B258">SUM</f>
        <v>#NAME?</v>
      </c>
      <c r="C258" s="1" t="e">
        <f t="array" ref="C258">SUM</f>
        <v>#NAME?</v>
      </c>
      <c r="D258" s="1" t="e">
        <f t="array" ref="D258">SUM</f>
        <v>#NAME?</v>
      </c>
      <c r="E258" s="1" t="e">
        <f t="array" ref="E258">SUM</f>
        <v>#NAME?</v>
      </c>
      <c r="F258" s="1" t="e">
        <f t="array" ref="F258">SUM</f>
        <v>#NAME?</v>
      </c>
      <c r="G258" s="1" t="e">
        <f t="array" ref="G258">SUM</f>
        <v>#NAME?</v>
      </c>
      <c r="H258" s="1" t="e">
        <f t="array" ref="H258">SUM</f>
        <v>#NAME?</v>
      </c>
      <c r="I258" s="1" t="e">
        <f t="array" ref="I258">SUM</f>
        <v>#NAME?</v>
      </c>
      <c r="J258" s="1" t="e">
        <f t="array" ref="J258">SUM</f>
        <v>#NAME?</v>
      </c>
      <c r="K258" s="1" t="e">
        <f t="array" ref="K258">SUM</f>
        <v>#NAME?</v>
      </c>
      <c r="L258" s="1" t="e">
        <f t="array" ref="L258">SUM</f>
        <v>#NAME?</v>
      </c>
      <c r="M258" s="1" t="e">
        <f t="array" ref="M258">SUM</f>
        <v>#NAME?</v>
      </c>
      <c r="N258" s="1" t="e">
        <f t="array" ref="N258">SUM</f>
        <v>#NAME?</v>
      </c>
      <c r="O258" t="s">
        <v>26</v>
      </c>
      <c r="P258">
        <v>2021</v>
      </c>
    </row>
    <row r="259" spans="1:16" x14ac:dyDescent="0.25">
      <c r="A259" t="s">
        <v>16</v>
      </c>
      <c r="B259" s="1" t="e">
        <f t="array" ref="B259">SUM</f>
        <v>#NAME?</v>
      </c>
      <c r="C259" s="1" t="e">
        <f t="array" ref="C259">SUM</f>
        <v>#NAME?</v>
      </c>
      <c r="D259" s="1" t="e">
        <f t="array" ref="D259">SUM</f>
        <v>#NAME?</v>
      </c>
      <c r="E259" s="1" t="e">
        <f t="array" ref="E259">SUM</f>
        <v>#NAME?</v>
      </c>
      <c r="F259" s="1" t="e">
        <f t="array" ref="F259">SUM</f>
        <v>#NAME?</v>
      </c>
      <c r="G259" s="1" t="e">
        <f t="array" ref="G259">SUM</f>
        <v>#NAME?</v>
      </c>
      <c r="H259" s="1" t="e">
        <f t="array" ref="H259">SUM</f>
        <v>#NAME?</v>
      </c>
      <c r="I259" s="1" t="e">
        <f t="array" ref="I259">SUM</f>
        <v>#NAME?</v>
      </c>
      <c r="J259" s="1" t="e">
        <f t="array" ref="J259">SUM</f>
        <v>#NAME?</v>
      </c>
      <c r="K259" s="1" t="e">
        <f t="array" ref="K259">SUM</f>
        <v>#NAME?</v>
      </c>
      <c r="L259" s="1" t="e">
        <f t="array" ref="L259">SUM</f>
        <v>#NAME?</v>
      </c>
      <c r="M259" s="1" t="e">
        <f t="array" ref="M259">SUM</f>
        <v>#NAME?</v>
      </c>
      <c r="N259" s="1" t="e">
        <f t="array" ref="N259">SUM</f>
        <v>#NAME?</v>
      </c>
      <c r="O259" t="s">
        <v>26</v>
      </c>
      <c r="P259">
        <v>2021</v>
      </c>
    </row>
    <row r="260" spans="1:16" x14ac:dyDescent="0.25">
      <c r="A260" t="s">
        <v>23</v>
      </c>
      <c r="B260" s="1" t="e">
        <f t="array" ref="B260">SUM</f>
        <v>#NAME?</v>
      </c>
      <c r="C260" s="1" t="e">
        <f t="array" ref="C260">SUM</f>
        <v>#NAME?</v>
      </c>
      <c r="D260" s="1" t="e">
        <f t="array" ref="D260">SUM</f>
        <v>#NAME?</v>
      </c>
      <c r="E260" s="1" t="e">
        <f t="array" ref="E260">SUM</f>
        <v>#NAME?</v>
      </c>
      <c r="F260" s="1" t="e">
        <f t="array" ref="F260">SUM</f>
        <v>#NAME?</v>
      </c>
      <c r="G260" s="1" t="e">
        <f t="array" ref="G260">SUM</f>
        <v>#NAME?</v>
      </c>
      <c r="H260" s="1" t="e">
        <f t="array" ref="H260">SUM</f>
        <v>#NAME?</v>
      </c>
      <c r="I260" s="1" t="e">
        <f t="array" ref="I260">SUM</f>
        <v>#NAME?</v>
      </c>
      <c r="J260" s="1" t="e">
        <f t="array" ref="J260">SUM</f>
        <v>#NAME?</v>
      </c>
      <c r="K260" s="1" t="e">
        <f t="array" ref="K260">SUM</f>
        <v>#NAME?</v>
      </c>
      <c r="L260" s="1" t="e">
        <f t="array" ref="L260">SUM</f>
        <v>#NAME?</v>
      </c>
      <c r="M260" s="1" t="e">
        <f t="array" ref="M260">SUM</f>
        <v>#NAME?</v>
      </c>
      <c r="N260" s="1" t="e">
        <f t="array" ref="N260">SUM</f>
        <v>#NAME?</v>
      </c>
      <c r="O260" t="s">
        <v>28</v>
      </c>
      <c r="P260">
        <v>2021</v>
      </c>
    </row>
    <row r="261" spans="1:16" x14ac:dyDescent="0.25">
      <c r="A261" t="s">
        <v>23</v>
      </c>
      <c r="B261" s="1" t="e">
        <f t="array" ref="B261">SUM</f>
        <v>#NAME?</v>
      </c>
      <c r="C261" s="1" t="e">
        <f t="array" ref="C261">SUM</f>
        <v>#NAME?</v>
      </c>
      <c r="D261" s="1" t="e">
        <f t="array" ref="D261">SUM</f>
        <v>#NAME?</v>
      </c>
      <c r="E261" s="1" t="e">
        <f t="array" ref="E261">SUM</f>
        <v>#NAME?</v>
      </c>
      <c r="F261" s="1" t="e">
        <f t="array" ref="F261">SUM</f>
        <v>#NAME?</v>
      </c>
      <c r="G261" s="1" t="e">
        <f t="array" ref="G261">SUM</f>
        <v>#NAME?</v>
      </c>
      <c r="H261" s="1" t="e">
        <f t="array" ref="H261">SUM</f>
        <v>#NAME?</v>
      </c>
      <c r="I261" s="1" t="e">
        <f t="array" ref="I261">SUM</f>
        <v>#NAME?</v>
      </c>
      <c r="J261" s="1" t="e">
        <f t="array" ref="J261">SUM</f>
        <v>#NAME?</v>
      </c>
      <c r="K261" s="1" t="e">
        <f t="array" ref="K261">SUM</f>
        <v>#NAME?</v>
      </c>
      <c r="L261" s="1" t="e">
        <f t="array" ref="L261">SUM</f>
        <v>#NAME?</v>
      </c>
      <c r="M261" s="1" t="e">
        <f t="array" ref="M261">SUM</f>
        <v>#NAME?</v>
      </c>
      <c r="N261" s="1" t="e">
        <f t="array" ref="N261">SUM</f>
        <v>#NAME?</v>
      </c>
      <c r="O261" t="s">
        <v>28</v>
      </c>
      <c r="P261">
        <v>2021</v>
      </c>
    </row>
    <row r="262" spans="1:16" x14ac:dyDescent="0.25">
      <c r="A262" t="s">
        <v>16</v>
      </c>
      <c r="B262" s="1" t="e">
        <f t="array" ref="B262">SUM</f>
        <v>#NAME?</v>
      </c>
      <c r="C262" s="1" t="e">
        <f t="array" ref="C262">SUM</f>
        <v>#NAME?</v>
      </c>
      <c r="D262" s="1" t="e">
        <f t="array" ref="D262">SUM</f>
        <v>#NAME?</v>
      </c>
      <c r="E262" s="1" t="e">
        <f t="array" ref="E262">SUM</f>
        <v>#NAME?</v>
      </c>
      <c r="F262" s="1" t="e">
        <f t="array" ref="F262">SUM</f>
        <v>#NAME?</v>
      </c>
      <c r="G262" s="1" t="e">
        <f t="array" ref="G262">SUM</f>
        <v>#NAME?</v>
      </c>
      <c r="H262" s="1" t="e">
        <f t="array" ref="H262">SUM</f>
        <v>#NAME?</v>
      </c>
      <c r="I262" s="1" t="e">
        <f t="array" ref="I262">SUM</f>
        <v>#NAME?</v>
      </c>
      <c r="J262" s="1" t="e">
        <f t="array" ref="J262">SUM</f>
        <v>#NAME?</v>
      </c>
      <c r="K262" s="1" t="e">
        <f t="array" ref="K262">SUM</f>
        <v>#NAME?</v>
      </c>
      <c r="L262" s="1" t="e">
        <f t="array" ref="L262">SUM</f>
        <v>#NAME?</v>
      </c>
      <c r="M262" s="1" t="e">
        <f t="array" ref="M262">SUM</f>
        <v>#NAME?</v>
      </c>
      <c r="N262" s="1" t="e">
        <f t="array" ref="N262">SUM</f>
        <v>#NAME?</v>
      </c>
      <c r="O262" t="s">
        <v>20</v>
      </c>
      <c r="P262">
        <v>2021</v>
      </c>
    </row>
    <row r="263" spans="1:16" x14ac:dyDescent="0.25">
      <c r="A263" t="s">
        <v>25</v>
      </c>
      <c r="B263" s="1" t="e">
        <f t="array" ref="B263">SUM</f>
        <v>#NAME?</v>
      </c>
      <c r="C263" s="1" t="e">
        <f t="array" ref="C263">SUM</f>
        <v>#NAME?</v>
      </c>
      <c r="D263" s="1" t="e">
        <f t="array" ref="D263">SUM</f>
        <v>#NAME?</v>
      </c>
      <c r="E263" s="1" t="e">
        <f t="array" ref="E263">SUM</f>
        <v>#NAME?</v>
      </c>
      <c r="F263" s="1" t="e">
        <f t="array" ref="F263">SUM</f>
        <v>#NAME?</v>
      </c>
      <c r="G263" s="1" t="e">
        <f t="array" ref="G263">SUM</f>
        <v>#NAME?</v>
      </c>
      <c r="H263" s="1" t="e">
        <f t="array" ref="H263">SUM</f>
        <v>#NAME?</v>
      </c>
      <c r="I263" s="1" t="e">
        <f t="array" ref="I263">SUM</f>
        <v>#NAME?</v>
      </c>
      <c r="J263" s="1" t="e">
        <f t="array" ref="J263">SUM</f>
        <v>#NAME?</v>
      </c>
      <c r="K263" s="1" t="e">
        <f t="array" ref="K263">SUM</f>
        <v>#NAME?</v>
      </c>
      <c r="L263" s="1" t="e">
        <f t="array" ref="L263">SUM</f>
        <v>#NAME?</v>
      </c>
      <c r="M263" s="1" t="e">
        <f t="array" ref="M263">SUM</f>
        <v>#NAME?</v>
      </c>
      <c r="N263" s="1" t="e">
        <f t="array" ref="N263">SUM</f>
        <v>#NAME?</v>
      </c>
      <c r="O263" t="s">
        <v>20</v>
      </c>
      <c r="P263">
        <v>2021</v>
      </c>
    </row>
    <row r="264" spans="1:16" x14ac:dyDescent="0.25">
      <c r="A264" t="s">
        <v>16</v>
      </c>
      <c r="B264" s="1" t="e">
        <f t="array" ref="B264">SUM</f>
        <v>#NAME?</v>
      </c>
      <c r="C264" s="1" t="e">
        <f t="array" ref="C264">SUM</f>
        <v>#NAME?</v>
      </c>
      <c r="D264" s="1" t="e">
        <f t="array" ref="D264">SUM</f>
        <v>#NAME?</v>
      </c>
      <c r="E264" s="1" t="e">
        <f t="array" ref="E264">SUM</f>
        <v>#NAME?</v>
      </c>
      <c r="F264" s="1" t="e">
        <f t="array" ref="F264">SUM</f>
        <v>#NAME?</v>
      </c>
      <c r="G264" s="1" t="e">
        <f t="array" ref="G264">SUM</f>
        <v>#NAME?</v>
      </c>
      <c r="H264" s="1" t="e">
        <f t="array" ref="H264">SUM</f>
        <v>#NAME?</v>
      </c>
      <c r="I264" s="1" t="e">
        <f t="array" ref="I264">SUM</f>
        <v>#NAME?</v>
      </c>
      <c r="J264" s="1" t="e">
        <f t="array" ref="J264">SUM</f>
        <v>#NAME?</v>
      </c>
      <c r="K264" s="1" t="e">
        <f t="array" ref="K264">SUM</f>
        <v>#NAME?</v>
      </c>
      <c r="L264" s="1" t="e">
        <f t="array" ref="L264">SUM</f>
        <v>#NAME?</v>
      </c>
      <c r="M264" s="1" t="e">
        <f t="array" ref="M264">SUM</f>
        <v>#NAME?</v>
      </c>
      <c r="N264" s="1" t="e">
        <f t="array" ref="N264">SUM</f>
        <v>#NAME?</v>
      </c>
      <c r="O264" t="s">
        <v>28</v>
      </c>
      <c r="P264">
        <v>2021</v>
      </c>
    </row>
    <row r="265" spans="1:16" x14ac:dyDescent="0.25">
      <c r="A265" t="s">
        <v>16</v>
      </c>
      <c r="B265" s="1" t="e">
        <f t="array" ref="B265">SUM</f>
        <v>#NAME?</v>
      </c>
      <c r="C265" s="1" t="e">
        <f t="array" ref="C265">SUM</f>
        <v>#NAME?</v>
      </c>
      <c r="D265" s="1" t="e">
        <f t="array" ref="D265">SUM</f>
        <v>#NAME?</v>
      </c>
      <c r="E265" s="1" t="e">
        <f t="array" ref="E265">SUM</f>
        <v>#NAME?</v>
      </c>
      <c r="F265" s="1" t="e">
        <f t="array" ref="F265">SUM</f>
        <v>#NAME?</v>
      </c>
      <c r="G265" s="1" t="e">
        <f t="array" ref="G265">SUM</f>
        <v>#NAME?</v>
      </c>
      <c r="H265" s="1" t="e">
        <f t="array" ref="H265">SUM</f>
        <v>#NAME?</v>
      </c>
      <c r="I265" s="1" t="e">
        <f t="array" ref="I265">SUM</f>
        <v>#NAME?</v>
      </c>
      <c r="J265" s="1" t="e">
        <f t="array" ref="J265">SUM</f>
        <v>#NAME?</v>
      </c>
      <c r="K265" s="1" t="e">
        <f t="array" ref="K265">SUM</f>
        <v>#NAME?</v>
      </c>
      <c r="L265" s="1" t="e">
        <f t="array" ref="L265">SUM</f>
        <v>#NAME?</v>
      </c>
      <c r="M265" s="1" t="e">
        <f t="array" ref="M265">SUM</f>
        <v>#NAME?</v>
      </c>
      <c r="N265" s="1" t="e">
        <f t="array" ref="N265">SUM</f>
        <v>#NAME?</v>
      </c>
      <c r="O265" t="s">
        <v>30</v>
      </c>
      <c r="P265">
        <v>2021</v>
      </c>
    </row>
    <row r="266" spans="1:16" x14ac:dyDescent="0.25">
      <c r="A266" t="s">
        <v>16</v>
      </c>
      <c r="B266" s="1" t="e">
        <f t="array" ref="B266">SUM</f>
        <v>#NAME?</v>
      </c>
      <c r="C266" s="1" t="e">
        <f t="array" ref="C266">SUM</f>
        <v>#NAME?</v>
      </c>
      <c r="D266" s="1" t="e">
        <f t="array" ref="D266">SUM</f>
        <v>#NAME?</v>
      </c>
      <c r="E266" s="1" t="e">
        <f t="array" ref="E266">SUM</f>
        <v>#NAME?</v>
      </c>
      <c r="F266" s="1" t="e">
        <f t="array" ref="F266">SUM</f>
        <v>#NAME?</v>
      </c>
      <c r="G266" s="1" t="e">
        <f t="array" ref="G266">SUM</f>
        <v>#NAME?</v>
      </c>
      <c r="H266" s="1" t="e">
        <f t="array" ref="H266">SUM</f>
        <v>#NAME?</v>
      </c>
      <c r="I266" s="1" t="e">
        <f t="array" ref="I266">SUM</f>
        <v>#NAME?</v>
      </c>
      <c r="J266" s="1" t="e">
        <f t="array" ref="J266">SUM</f>
        <v>#NAME?</v>
      </c>
      <c r="K266" s="1" t="e">
        <f t="array" ref="K266">SUM</f>
        <v>#NAME?</v>
      </c>
      <c r="L266" s="1" t="e">
        <f t="array" ref="L266">SUM</f>
        <v>#NAME?</v>
      </c>
      <c r="M266" s="1" t="e">
        <f t="array" ref="M266">SUM</f>
        <v>#NAME?</v>
      </c>
      <c r="N266" s="1" t="e">
        <f t="array" ref="N266">SUM</f>
        <v>#NAME?</v>
      </c>
      <c r="O266" t="s">
        <v>30</v>
      </c>
      <c r="P266">
        <v>2021</v>
      </c>
    </row>
    <row r="267" spans="1:16" x14ac:dyDescent="0.25">
      <c r="A267" t="s">
        <v>16</v>
      </c>
      <c r="B267" s="1" t="e">
        <f t="array" ref="B267">SUM</f>
        <v>#NAME?</v>
      </c>
      <c r="C267" s="1" t="e">
        <f t="array" ref="C267">SUM</f>
        <v>#NAME?</v>
      </c>
      <c r="D267" s="1" t="e">
        <f t="array" ref="D267">SUM</f>
        <v>#NAME?</v>
      </c>
      <c r="E267" s="1" t="e">
        <f t="array" ref="E267">SUM</f>
        <v>#NAME?</v>
      </c>
      <c r="F267" s="1" t="e">
        <f t="array" ref="F267">SUM</f>
        <v>#NAME?</v>
      </c>
      <c r="G267" s="1" t="e">
        <f t="array" ref="G267">SUM</f>
        <v>#NAME?</v>
      </c>
      <c r="H267" s="1" t="e">
        <f t="array" ref="H267">SUM</f>
        <v>#NAME?</v>
      </c>
      <c r="I267" s="1" t="e">
        <f t="array" ref="I267">SUM</f>
        <v>#NAME?</v>
      </c>
      <c r="J267" s="1" t="e">
        <f t="array" ref="J267">SUM</f>
        <v>#NAME?</v>
      </c>
      <c r="K267" s="1" t="e">
        <f t="array" ref="K267">SUM</f>
        <v>#NAME?</v>
      </c>
      <c r="L267" s="1" t="e">
        <f t="array" ref="L267">SUM</f>
        <v>#NAME?</v>
      </c>
      <c r="M267" s="1" t="e">
        <f t="array" ref="M267">SUM</f>
        <v>#NAME?</v>
      </c>
      <c r="N267" s="1" t="e">
        <f t="array" ref="N267">SUM</f>
        <v>#NAME?</v>
      </c>
      <c r="O267" t="s">
        <v>20</v>
      </c>
      <c r="P267">
        <v>2021</v>
      </c>
    </row>
    <row r="268" spans="1:16" x14ac:dyDescent="0.25">
      <c r="A268" t="s">
        <v>16</v>
      </c>
      <c r="B268" s="1" t="e">
        <f t="array" ref="B268">SUM</f>
        <v>#NAME?</v>
      </c>
      <c r="C268" s="1" t="e">
        <f t="array" ref="C268">SUM</f>
        <v>#NAME?</v>
      </c>
      <c r="D268" s="1" t="e">
        <f t="array" ref="D268">SUM</f>
        <v>#NAME?</v>
      </c>
      <c r="E268" s="1" t="e">
        <f t="array" ref="E268">SUM</f>
        <v>#NAME?</v>
      </c>
      <c r="F268" s="1" t="e">
        <f t="array" ref="F268">SUM</f>
        <v>#NAME?</v>
      </c>
      <c r="G268" s="1" t="e">
        <f t="array" ref="G268">SUM</f>
        <v>#NAME?</v>
      </c>
      <c r="H268" s="1" t="e">
        <f t="array" ref="H268">SUM</f>
        <v>#NAME?</v>
      </c>
      <c r="I268" s="1" t="e">
        <f t="array" ref="I268">SUM</f>
        <v>#NAME?</v>
      </c>
      <c r="J268" s="1" t="e">
        <f t="array" ref="J268">SUM</f>
        <v>#NAME?</v>
      </c>
      <c r="K268" s="1" t="e">
        <f t="array" ref="K268">SUM</f>
        <v>#NAME?</v>
      </c>
      <c r="L268" s="1" t="e">
        <f t="array" ref="L268">SUM</f>
        <v>#NAME?</v>
      </c>
      <c r="M268" s="1" t="e">
        <f t="array" ref="M268">SUM</f>
        <v>#NAME?</v>
      </c>
      <c r="N268" s="1" t="e">
        <f t="array" ref="N268">SUM</f>
        <v>#NAME?</v>
      </c>
      <c r="O268" t="s">
        <v>20</v>
      </c>
      <c r="P268">
        <v>2021</v>
      </c>
    </row>
    <row r="269" spans="1:16" x14ac:dyDescent="0.25">
      <c r="A269" t="s">
        <v>16</v>
      </c>
      <c r="B269" s="1" t="e">
        <f t="array" ref="B269">SUM</f>
        <v>#NAME?</v>
      </c>
      <c r="C269" s="1" t="e">
        <f t="array" ref="C269">SUM</f>
        <v>#NAME?</v>
      </c>
      <c r="D269" s="1" t="e">
        <f t="array" ref="D269">SUM</f>
        <v>#NAME?</v>
      </c>
      <c r="E269" s="1" t="e">
        <f t="array" ref="E269">SUM</f>
        <v>#NAME?</v>
      </c>
      <c r="F269" s="1" t="e">
        <f t="array" ref="F269">SUM</f>
        <v>#NAME?</v>
      </c>
      <c r="G269" s="1" t="e">
        <f t="array" ref="G269">SUM</f>
        <v>#NAME?</v>
      </c>
      <c r="H269" s="1" t="e">
        <f t="array" ref="H269">SUM</f>
        <v>#NAME?</v>
      </c>
      <c r="I269" s="1" t="e">
        <f t="array" ref="I269">SUM</f>
        <v>#NAME?</v>
      </c>
      <c r="J269" s="1" t="e">
        <f t="array" ref="J269">SUM</f>
        <v>#NAME?</v>
      </c>
      <c r="K269" s="1" t="e">
        <f t="array" ref="K269">SUM</f>
        <v>#NAME?</v>
      </c>
      <c r="L269" s="1" t="e">
        <f t="array" ref="L269">SUM</f>
        <v>#NAME?</v>
      </c>
      <c r="M269" s="1" t="e">
        <f t="array" ref="M269">SUM</f>
        <v>#NAME?</v>
      </c>
      <c r="N269" s="1" t="e">
        <f t="array" ref="N269">SUM</f>
        <v>#NAME?</v>
      </c>
      <c r="O269" t="s">
        <v>20</v>
      </c>
      <c r="P269">
        <v>2021</v>
      </c>
    </row>
    <row r="270" spans="1:16" x14ac:dyDescent="0.25">
      <c r="A270" t="s">
        <v>16</v>
      </c>
      <c r="B270" s="1" t="e">
        <f t="array" ref="B270">SUM</f>
        <v>#NAME?</v>
      </c>
      <c r="C270" s="1" t="e">
        <f t="array" ref="C270">SUM</f>
        <v>#NAME?</v>
      </c>
      <c r="D270" s="1" t="e">
        <f t="array" ref="D270">SUM</f>
        <v>#NAME?</v>
      </c>
      <c r="E270" s="1" t="e">
        <f t="array" ref="E270">SUM</f>
        <v>#NAME?</v>
      </c>
      <c r="F270" s="1" t="e">
        <f t="array" ref="F270">SUM</f>
        <v>#NAME?</v>
      </c>
      <c r="G270" s="1" t="e">
        <f t="array" ref="G270">SUM</f>
        <v>#NAME?</v>
      </c>
      <c r="H270" s="1" t="e">
        <f t="array" ref="H270">SUM</f>
        <v>#NAME?</v>
      </c>
      <c r="I270" s="1" t="e">
        <f t="array" ref="I270">SUM</f>
        <v>#NAME?</v>
      </c>
      <c r="J270" s="1" t="e">
        <f t="array" ref="J270">SUM</f>
        <v>#NAME?</v>
      </c>
      <c r="K270" s="1" t="e">
        <f t="array" ref="K270">SUM</f>
        <v>#NAME?</v>
      </c>
      <c r="L270" s="1" t="e">
        <f t="array" ref="L270">SUM</f>
        <v>#NAME?</v>
      </c>
      <c r="M270" s="1" t="e">
        <f t="array" ref="M270">SUM</f>
        <v>#NAME?</v>
      </c>
      <c r="N270" s="1" t="e">
        <f t="array" ref="N270">SUM</f>
        <v>#NAME?</v>
      </c>
      <c r="O270" t="s">
        <v>29</v>
      </c>
      <c r="P270">
        <v>2021</v>
      </c>
    </row>
    <row r="271" spans="1:16" x14ac:dyDescent="0.25">
      <c r="A271" t="s">
        <v>16</v>
      </c>
      <c r="B271" s="1" t="e">
        <f t="array" ref="B271">SUM</f>
        <v>#NAME?</v>
      </c>
      <c r="C271" s="1" t="e">
        <f t="array" ref="C271">SUM</f>
        <v>#NAME?</v>
      </c>
      <c r="D271" s="1" t="e">
        <f t="array" ref="D271">SUM</f>
        <v>#NAME?</v>
      </c>
      <c r="E271" s="1" t="e">
        <f t="array" ref="E271">SUM</f>
        <v>#NAME?</v>
      </c>
      <c r="F271" s="1" t="e">
        <f t="array" ref="F271">SUM</f>
        <v>#NAME?</v>
      </c>
      <c r="G271" s="1" t="e">
        <f t="array" ref="G271">SUM</f>
        <v>#NAME?</v>
      </c>
      <c r="H271" s="1" t="e">
        <f t="array" ref="H271">SUM</f>
        <v>#NAME?</v>
      </c>
      <c r="I271" s="1" t="e">
        <f t="array" ref="I271">SUM</f>
        <v>#NAME?</v>
      </c>
      <c r="J271" s="1" t="e">
        <f t="array" ref="J271">SUM</f>
        <v>#NAME?</v>
      </c>
      <c r="K271" s="1" t="e">
        <f t="array" ref="K271">SUM</f>
        <v>#NAME?</v>
      </c>
      <c r="L271" s="1" t="e">
        <f t="array" ref="L271">SUM</f>
        <v>#NAME?</v>
      </c>
      <c r="M271" s="1" t="e">
        <f t="array" ref="M271">SUM</f>
        <v>#NAME?</v>
      </c>
      <c r="N271" s="1" t="e">
        <f t="array" ref="N271">SUM</f>
        <v>#NAME?</v>
      </c>
      <c r="O271" t="s">
        <v>26</v>
      </c>
      <c r="P271">
        <v>2021</v>
      </c>
    </row>
    <row r="272" spans="1:16" x14ac:dyDescent="0.25">
      <c r="A272" t="s">
        <v>16</v>
      </c>
      <c r="B272" s="1" t="e">
        <f t="array" ref="B272">SUM</f>
        <v>#NAME?</v>
      </c>
      <c r="C272" s="1" t="e">
        <f t="array" ref="C272">SUM</f>
        <v>#NAME?</v>
      </c>
      <c r="D272" s="1" t="e">
        <f t="array" ref="D272">SUM</f>
        <v>#NAME?</v>
      </c>
      <c r="E272" s="1" t="e">
        <f t="array" ref="E272">SUM</f>
        <v>#NAME?</v>
      </c>
      <c r="F272" s="1" t="e">
        <f t="array" ref="F272">SUM</f>
        <v>#NAME?</v>
      </c>
      <c r="G272" s="1" t="e">
        <f t="array" ref="G272">SUM</f>
        <v>#NAME?</v>
      </c>
      <c r="H272" s="1" t="e">
        <f t="array" ref="H272">SUM</f>
        <v>#NAME?</v>
      </c>
      <c r="I272" s="1" t="e">
        <f t="array" ref="I272">SUM</f>
        <v>#NAME?</v>
      </c>
      <c r="J272" s="1" t="e">
        <f t="array" ref="J272">SUM</f>
        <v>#NAME?</v>
      </c>
      <c r="K272" s="1" t="e">
        <f t="array" ref="K272">SUM</f>
        <v>#NAME?</v>
      </c>
      <c r="L272" s="1" t="e">
        <f t="array" ref="L272">SUM</f>
        <v>#NAME?</v>
      </c>
      <c r="M272" s="1" t="e">
        <f t="array" ref="M272">SUM</f>
        <v>#NAME?</v>
      </c>
      <c r="N272" s="1" t="e">
        <f t="array" ref="N272">SUM</f>
        <v>#NAME?</v>
      </c>
      <c r="O272" t="s">
        <v>28</v>
      </c>
      <c r="P272">
        <v>2021</v>
      </c>
    </row>
    <row r="273" spans="1:16" x14ac:dyDescent="0.25">
      <c r="A273" t="s">
        <v>25</v>
      </c>
      <c r="B273" s="1" t="e">
        <f t="array" ref="B273">SUM</f>
        <v>#NAME?</v>
      </c>
      <c r="C273" s="1" t="e">
        <f t="array" ref="C273">SUM</f>
        <v>#NAME?</v>
      </c>
      <c r="D273" s="1" t="e">
        <f t="array" ref="D273">SUM</f>
        <v>#NAME?</v>
      </c>
      <c r="E273" s="1" t="e">
        <f t="array" ref="E273">SUM</f>
        <v>#NAME?</v>
      </c>
      <c r="F273" s="1" t="e">
        <f t="array" ref="F273">SUM</f>
        <v>#NAME?</v>
      </c>
      <c r="G273" s="1" t="e">
        <f t="array" ref="G273">SUM</f>
        <v>#NAME?</v>
      </c>
      <c r="H273" s="1" t="e">
        <f t="array" ref="H273">SUM</f>
        <v>#NAME?</v>
      </c>
      <c r="I273" s="1" t="e">
        <f t="array" ref="I273">SUM</f>
        <v>#NAME?</v>
      </c>
      <c r="J273" s="1" t="e">
        <f t="array" ref="J273">SUM</f>
        <v>#NAME?</v>
      </c>
      <c r="K273" s="1" t="e">
        <f t="array" ref="K273">SUM</f>
        <v>#NAME?</v>
      </c>
      <c r="L273" s="1" t="e">
        <f t="array" ref="L273">SUM</f>
        <v>#NAME?</v>
      </c>
      <c r="M273" s="1" t="e">
        <f t="array" ref="M273">SUM</f>
        <v>#NAME?</v>
      </c>
      <c r="N273" s="1" t="e">
        <f t="array" ref="N273">SUM</f>
        <v>#NAME?</v>
      </c>
      <c r="O273" t="s">
        <v>20</v>
      </c>
      <c r="P273">
        <v>2021</v>
      </c>
    </row>
    <row r="274" spans="1:16" x14ac:dyDescent="0.25">
      <c r="A274" t="s">
        <v>18</v>
      </c>
      <c r="B274" s="1" t="e">
        <f t="array" ref="B274">SUM</f>
        <v>#NAME?</v>
      </c>
      <c r="C274" s="1" t="e">
        <f t="array" ref="C274">SUM</f>
        <v>#NAME?</v>
      </c>
      <c r="D274" s="1" t="e">
        <f t="array" ref="D274">SUM</f>
        <v>#NAME?</v>
      </c>
      <c r="E274" s="1" t="e">
        <f t="array" ref="E274">SUM</f>
        <v>#NAME?</v>
      </c>
      <c r="F274" s="1" t="e">
        <f t="array" ref="F274">SUM</f>
        <v>#NAME?</v>
      </c>
      <c r="G274" s="1" t="e">
        <f t="array" ref="G274">SUM</f>
        <v>#NAME?</v>
      </c>
      <c r="H274" s="1" t="e">
        <f t="array" ref="H274">SUM</f>
        <v>#NAME?</v>
      </c>
      <c r="I274" s="1" t="e">
        <f t="array" ref="I274">SUM</f>
        <v>#NAME?</v>
      </c>
      <c r="J274" s="1" t="e">
        <f t="array" ref="J274">SUM</f>
        <v>#NAME?</v>
      </c>
      <c r="K274" s="1" t="e">
        <f t="array" ref="K274">SUM</f>
        <v>#NAME?</v>
      </c>
      <c r="L274" s="1" t="e">
        <f t="array" ref="L274">SUM</f>
        <v>#NAME?</v>
      </c>
      <c r="M274" s="1" t="e">
        <f t="array" ref="M274">SUM</f>
        <v>#NAME?</v>
      </c>
      <c r="N274" s="1" t="e">
        <f t="array" ref="N274">SUM</f>
        <v>#NAME?</v>
      </c>
      <c r="O274" t="s">
        <v>31</v>
      </c>
      <c r="P274">
        <v>2021</v>
      </c>
    </row>
    <row r="275" spans="1:16" x14ac:dyDescent="0.25">
      <c r="A275" t="s">
        <v>16</v>
      </c>
      <c r="B275" s="1" t="e">
        <f t="array" ref="B275">SUM</f>
        <v>#NAME?</v>
      </c>
      <c r="C275" s="1" t="e">
        <f t="array" ref="C275">SUM</f>
        <v>#NAME?</v>
      </c>
      <c r="D275" s="1" t="e">
        <f t="array" ref="D275">SUM</f>
        <v>#NAME?</v>
      </c>
      <c r="E275" s="1" t="e">
        <f t="array" ref="E275">SUM</f>
        <v>#NAME?</v>
      </c>
      <c r="F275" s="1" t="e">
        <f t="array" ref="F275">SUM</f>
        <v>#NAME?</v>
      </c>
      <c r="G275" s="1" t="e">
        <f t="array" ref="G275">SUM</f>
        <v>#NAME?</v>
      </c>
      <c r="H275" s="1" t="e">
        <f t="array" ref="H275">SUM</f>
        <v>#NAME?</v>
      </c>
      <c r="I275" s="1" t="e">
        <f t="array" ref="I275">SUM</f>
        <v>#NAME?</v>
      </c>
      <c r="J275" s="1" t="e">
        <f t="array" ref="J275">SUM</f>
        <v>#NAME?</v>
      </c>
      <c r="K275" s="1" t="e">
        <f t="array" ref="K275">SUM</f>
        <v>#NAME?</v>
      </c>
      <c r="L275" s="1" t="e">
        <f t="array" ref="L275">SUM</f>
        <v>#NAME?</v>
      </c>
      <c r="M275" s="1" t="e">
        <f t="array" ref="M275">SUM</f>
        <v>#NAME?</v>
      </c>
      <c r="N275" s="1" t="e">
        <f t="array" ref="N275">SUM</f>
        <v>#NAME?</v>
      </c>
      <c r="O275" t="s">
        <v>17</v>
      </c>
      <c r="P275">
        <v>2021</v>
      </c>
    </row>
    <row r="276" spans="1:16" x14ac:dyDescent="0.25">
      <c r="A276" t="s">
        <v>18</v>
      </c>
      <c r="B276" s="1" t="e">
        <f t="array" ref="B276">SUM</f>
        <v>#NAME?</v>
      </c>
      <c r="C276" s="1" t="e">
        <f t="array" ref="C276">SUM</f>
        <v>#NAME?</v>
      </c>
      <c r="D276" s="1" t="e">
        <f t="array" ref="D276">SUM</f>
        <v>#NAME?</v>
      </c>
      <c r="E276" s="1" t="e">
        <f t="array" ref="E276">SUM</f>
        <v>#NAME?</v>
      </c>
      <c r="F276" s="1" t="e">
        <f t="array" ref="F276">SUM</f>
        <v>#NAME?</v>
      </c>
      <c r="G276" s="1" t="e">
        <f t="array" ref="G276">SUM</f>
        <v>#NAME?</v>
      </c>
      <c r="H276" s="1" t="e">
        <f t="array" ref="H276">SUM</f>
        <v>#NAME?</v>
      </c>
      <c r="I276" s="1" t="e">
        <f t="array" ref="I276">SUM</f>
        <v>#NAME?</v>
      </c>
      <c r="J276" s="1" t="e">
        <f t="array" ref="J276">SUM</f>
        <v>#NAME?</v>
      </c>
      <c r="K276" s="1" t="e">
        <f t="array" ref="K276">SUM</f>
        <v>#NAME?</v>
      </c>
      <c r="L276" s="1" t="e">
        <f t="array" ref="L276">SUM</f>
        <v>#NAME?</v>
      </c>
      <c r="M276" s="1" t="e">
        <f t="array" ref="M276">SUM</f>
        <v>#NAME?</v>
      </c>
      <c r="N276" s="1" t="e">
        <f t="array" ref="N276">SUM</f>
        <v>#NAME?</v>
      </c>
      <c r="O276" t="s">
        <v>19</v>
      </c>
      <c r="P276">
        <v>2021</v>
      </c>
    </row>
    <row r="277" spans="1:16" x14ac:dyDescent="0.25">
      <c r="A277" t="s">
        <v>22</v>
      </c>
      <c r="B277" s="1" t="e">
        <f t="array" ref="B277">SUM</f>
        <v>#NAME?</v>
      </c>
      <c r="C277" s="1" t="e">
        <f t="array" ref="C277">SUM</f>
        <v>#NAME?</v>
      </c>
      <c r="D277" s="1" t="e">
        <f t="array" ref="D277">SUM</f>
        <v>#NAME?</v>
      </c>
      <c r="E277" s="1" t="e">
        <f t="array" ref="E277">SUM</f>
        <v>#NAME?</v>
      </c>
      <c r="F277" s="1" t="e">
        <f t="array" ref="F277">SUM</f>
        <v>#NAME?</v>
      </c>
      <c r="G277" s="1" t="e">
        <f t="array" ref="G277">SUM</f>
        <v>#NAME?</v>
      </c>
      <c r="H277" s="1" t="e">
        <f t="array" ref="H277">SUM</f>
        <v>#NAME?</v>
      </c>
      <c r="I277" s="1" t="e">
        <f t="array" ref="I277">SUM</f>
        <v>#NAME?</v>
      </c>
      <c r="J277" s="1" t="e">
        <f t="array" ref="J277">SUM</f>
        <v>#NAME?</v>
      </c>
      <c r="K277" s="1" t="e">
        <f t="array" ref="K277">SUM</f>
        <v>#NAME?</v>
      </c>
      <c r="L277" s="1" t="e">
        <f t="array" ref="L277">SUM</f>
        <v>#NAME?</v>
      </c>
      <c r="M277" s="1" t="e">
        <f t="array" ref="M277">SUM</f>
        <v>#NAME?</v>
      </c>
      <c r="N277" s="1" t="e">
        <f t="array" ref="N277">SUM</f>
        <v>#NAME?</v>
      </c>
      <c r="O277" t="s">
        <v>27</v>
      </c>
      <c r="P277">
        <v>2021</v>
      </c>
    </row>
    <row r="278" spans="1:16" x14ac:dyDescent="0.25">
      <c r="A278" t="s">
        <v>22</v>
      </c>
      <c r="B278" s="1" t="e">
        <f t="array" ref="B278">SUM</f>
        <v>#NAME?</v>
      </c>
      <c r="C278" s="1" t="e">
        <f t="array" ref="C278">SUM</f>
        <v>#NAME?</v>
      </c>
      <c r="D278" s="1" t="e">
        <f t="array" ref="D278">SUM</f>
        <v>#NAME?</v>
      </c>
      <c r="E278" s="1" t="e">
        <f t="array" ref="E278">SUM</f>
        <v>#NAME?</v>
      </c>
      <c r="F278" s="1" t="e">
        <f t="array" ref="F278">SUM</f>
        <v>#NAME?</v>
      </c>
      <c r="G278" s="1" t="e">
        <f t="array" ref="G278">SUM</f>
        <v>#NAME?</v>
      </c>
      <c r="H278" s="1" t="e">
        <f t="array" ref="H278">SUM</f>
        <v>#NAME?</v>
      </c>
      <c r="I278" s="1" t="e">
        <f t="array" ref="I278">SUM</f>
        <v>#NAME?</v>
      </c>
      <c r="J278" s="1" t="e">
        <f t="array" ref="J278">SUM</f>
        <v>#NAME?</v>
      </c>
      <c r="K278" s="1" t="e">
        <f t="array" ref="K278">SUM</f>
        <v>#NAME?</v>
      </c>
      <c r="L278" s="1" t="e">
        <f t="array" ref="L278">SUM</f>
        <v>#NAME?</v>
      </c>
      <c r="M278" s="1" t="e">
        <f t="array" ref="M278">SUM</f>
        <v>#NAME?</v>
      </c>
      <c r="N278" s="1" t="e">
        <f t="array" ref="N278">SUM</f>
        <v>#NAME?</v>
      </c>
      <c r="O278" t="s">
        <v>28</v>
      </c>
      <c r="P278">
        <v>2021</v>
      </c>
    </row>
    <row r="279" spans="1:16" x14ac:dyDescent="0.25">
      <c r="A279" t="s">
        <v>18</v>
      </c>
      <c r="B279" s="1" t="e">
        <f t="array" ref="B279">SUM</f>
        <v>#NAME?</v>
      </c>
      <c r="C279" s="1" t="e">
        <f t="array" ref="C279">SUM</f>
        <v>#NAME?</v>
      </c>
      <c r="D279" s="1" t="e">
        <f t="array" ref="D279">SUM</f>
        <v>#NAME?</v>
      </c>
      <c r="E279" s="1" t="e">
        <f t="array" ref="E279">SUM</f>
        <v>#NAME?</v>
      </c>
      <c r="F279" s="1" t="e">
        <f t="array" ref="F279">SUM</f>
        <v>#NAME?</v>
      </c>
      <c r="G279" s="1" t="e">
        <f t="array" ref="G279">SUM</f>
        <v>#NAME?</v>
      </c>
      <c r="H279" s="1" t="e">
        <f t="array" ref="H279">SUM</f>
        <v>#NAME?</v>
      </c>
      <c r="I279" s="1" t="e">
        <f t="array" ref="I279">SUM</f>
        <v>#NAME?</v>
      </c>
      <c r="J279" s="1" t="e">
        <f t="array" ref="J279">SUM</f>
        <v>#NAME?</v>
      </c>
      <c r="K279" s="1" t="e">
        <f t="array" ref="K279">SUM</f>
        <v>#NAME?</v>
      </c>
      <c r="L279" s="1" t="e">
        <f t="array" ref="L279">SUM</f>
        <v>#NAME?</v>
      </c>
      <c r="M279" s="1" t="e">
        <f t="array" ref="M279">SUM</f>
        <v>#NAME?</v>
      </c>
      <c r="N279" s="1" t="e">
        <f t="array" ref="N279">SUM</f>
        <v>#NAME?</v>
      </c>
      <c r="O279" t="s">
        <v>30</v>
      </c>
      <c r="P279">
        <v>2021</v>
      </c>
    </row>
    <row r="280" spans="1:16" x14ac:dyDescent="0.25">
      <c r="A280" t="s">
        <v>16</v>
      </c>
      <c r="B280" s="1" t="e">
        <f t="array" ref="B280">SUM</f>
        <v>#NAME?</v>
      </c>
      <c r="C280" s="1" t="e">
        <f t="array" ref="C280">SUM</f>
        <v>#NAME?</v>
      </c>
      <c r="D280" s="1" t="e">
        <f t="array" ref="D280">SUM</f>
        <v>#NAME?</v>
      </c>
      <c r="E280" s="1" t="e">
        <f t="array" ref="E280">SUM</f>
        <v>#NAME?</v>
      </c>
      <c r="F280" s="1" t="e">
        <f t="array" ref="F280">SUM</f>
        <v>#NAME?</v>
      </c>
      <c r="G280" s="1" t="e">
        <f t="array" ref="G280">SUM</f>
        <v>#NAME?</v>
      </c>
      <c r="H280" s="1" t="e">
        <f t="array" ref="H280">SUM</f>
        <v>#NAME?</v>
      </c>
      <c r="I280" s="1" t="e">
        <f t="array" ref="I280">SUM</f>
        <v>#NAME?</v>
      </c>
      <c r="J280" s="1" t="e">
        <f t="array" ref="J280">SUM</f>
        <v>#NAME?</v>
      </c>
      <c r="K280" s="1" t="e">
        <f t="array" ref="K280">SUM</f>
        <v>#NAME?</v>
      </c>
      <c r="L280" s="1" t="e">
        <f t="array" ref="L280">SUM</f>
        <v>#NAME?</v>
      </c>
      <c r="M280" s="1" t="e">
        <f t="array" ref="M280">SUM</f>
        <v>#NAME?</v>
      </c>
      <c r="N280" s="1" t="e">
        <f t="array" ref="N280">SUM</f>
        <v>#NAME?</v>
      </c>
      <c r="O280" t="s">
        <v>30</v>
      </c>
      <c r="P280">
        <v>2021</v>
      </c>
    </row>
    <row r="281" spans="1:16" x14ac:dyDescent="0.25">
      <c r="A281" t="s">
        <v>23</v>
      </c>
      <c r="B281" s="1" t="e">
        <f t="array" ref="B281">SUM</f>
        <v>#NAME?</v>
      </c>
      <c r="C281" s="1" t="e">
        <f t="array" ref="C281">SUM</f>
        <v>#NAME?</v>
      </c>
      <c r="D281" s="1" t="e">
        <f t="array" ref="D281">SUM</f>
        <v>#NAME?</v>
      </c>
      <c r="E281" s="1" t="e">
        <f t="array" ref="E281">SUM</f>
        <v>#NAME?</v>
      </c>
      <c r="F281" s="1" t="e">
        <f t="array" ref="F281">SUM</f>
        <v>#NAME?</v>
      </c>
      <c r="G281" s="1" t="e">
        <f t="array" ref="G281">SUM</f>
        <v>#NAME?</v>
      </c>
      <c r="H281" s="1" t="e">
        <f t="array" ref="H281">SUM</f>
        <v>#NAME?</v>
      </c>
      <c r="I281" s="1" t="e">
        <f t="array" ref="I281">SUM</f>
        <v>#NAME?</v>
      </c>
      <c r="J281" s="1" t="e">
        <f t="array" ref="J281">SUM</f>
        <v>#NAME?</v>
      </c>
      <c r="K281" s="1" t="e">
        <f t="array" ref="K281">SUM</f>
        <v>#NAME?</v>
      </c>
      <c r="L281" s="1" t="e">
        <f t="array" ref="L281">SUM</f>
        <v>#NAME?</v>
      </c>
      <c r="M281" s="1" t="e">
        <f t="array" ref="M281">SUM</f>
        <v>#NAME?</v>
      </c>
      <c r="N281" s="1" t="e">
        <f t="array" ref="N281">SUM</f>
        <v>#NAME?</v>
      </c>
      <c r="O281" t="s">
        <v>20</v>
      </c>
      <c r="P281">
        <v>2021</v>
      </c>
    </row>
    <row r="282" spans="1:16" x14ac:dyDescent="0.25">
      <c r="A282" t="s">
        <v>16</v>
      </c>
      <c r="B282" s="1" t="e">
        <f t="array" ref="B282">SUM</f>
        <v>#NAME?</v>
      </c>
      <c r="C282" s="1" t="e">
        <f t="array" ref="C282">SUM</f>
        <v>#NAME?</v>
      </c>
      <c r="D282" s="1" t="e">
        <f t="array" ref="D282">SUM</f>
        <v>#NAME?</v>
      </c>
      <c r="E282" s="1" t="e">
        <f t="array" ref="E282">SUM</f>
        <v>#NAME?</v>
      </c>
      <c r="F282" s="1" t="e">
        <f t="array" ref="F282">SUM</f>
        <v>#NAME?</v>
      </c>
      <c r="G282" s="1" t="e">
        <f t="array" ref="G282">SUM</f>
        <v>#NAME?</v>
      </c>
      <c r="H282" s="1" t="e">
        <f t="array" ref="H282">SUM</f>
        <v>#NAME?</v>
      </c>
      <c r="I282" s="1" t="e">
        <f t="array" ref="I282">SUM</f>
        <v>#NAME?</v>
      </c>
      <c r="J282" s="1" t="e">
        <f t="array" ref="J282">SUM</f>
        <v>#NAME?</v>
      </c>
      <c r="K282" s="1" t="e">
        <f t="array" ref="K282">SUM</f>
        <v>#NAME?</v>
      </c>
      <c r="L282" s="1" t="e">
        <f t="array" ref="L282">SUM</f>
        <v>#NAME?</v>
      </c>
      <c r="M282" s="1" t="e">
        <f t="array" ref="M282">SUM</f>
        <v>#NAME?</v>
      </c>
      <c r="N282" s="1" t="e">
        <f t="array" ref="N282">SUM</f>
        <v>#NAME?</v>
      </c>
      <c r="O282" t="s">
        <v>31</v>
      </c>
      <c r="P282">
        <v>2021</v>
      </c>
    </row>
    <row r="283" spans="1:16" x14ac:dyDescent="0.25">
      <c r="A283" t="s">
        <v>16</v>
      </c>
      <c r="B283" s="1" t="e">
        <f t="array" ref="B283">SUM</f>
        <v>#NAME?</v>
      </c>
      <c r="C283" s="1" t="e">
        <f t="array" ref="C283">SUM</f>
        <v>#NAME?</v>
      </c>
      <c r="D283" s="1" t="e">
        <f t="array" ref="D283">SUM</f>
        <v>#NAME?</v>
      </c>
      <c r="E283" s="1" t="e">
        <f t="array" ref="E283">SUM</f>
        <v>#NAME?</v>
      </c>
      <c r="F283" s="1" t="e">
        <f t="array" ref="F283">SUM</f>
        <v>#NAME?</v>
      </c>
      <c r="G283" s="1" t="e">
        <f t="array" ref="G283">SUM</f>
        <v>#NAME?</v>
      </c>
      <c r="H283" s="1" t="e">
        <f t="array" ref="H283">SUM</f>
        <v>#NAME?</v>
      </c>
      <c r="I283" s="1" t="e">
        <f t="array" ref="I283">SUM</f>
        <v>#NAME?</v>
      </c>
      <c r="J283" s="1" t="e">
        <f t="array" ref="J283">SUM</f>
        <v>#NAME?</v>
      </c>
      <c r="K283" s="1" t="e">
        <f t="array" ref="K283">SUM</f>
        <v>#NAME?</v>
      </c>
      <c r="L283" s="1" t="e">
        <f t="array" ref="L283">SUM</f>
        <v>#NAME?</v>
      </c>
      <c r="M283" s="1" t="e">
        <f t="array" ref="M283">SUM</f>
        <v>#NAME?</v>
      </c>
      <c r="N283" s="1" t="e">
        <f t="array" ref="N283">SUM</f>
        <v>#NAME?</v>
      </c>
      <c r="O283" t="s">
        <v>32</v>
      </c>
      <c r="P283">
        <v>2021</v>
      </c>
    </row>
    <row r="284" spans="1:16" x14ac:dyDescent="0.25">
      <c r="A284" t="s">
        <v>16</v>
      </c>
      <c r="B284" s="1" t="e">
        <f t="array" ref="B284">SUM</f>
        <v>#NAME?</v>
      </c>
      <c r="C284" s="1" t="e">
        <f t="array" ref="C284">SUM</f>
        <v>#NAME?</v>
      </c>
      <c r="D284" s="1" t="e">
        <f t="array" ref="D284">SUM</f>
        <v>#NAME?</v>
      </c>
      <c r="E284" s="1" t="e">
        <f t="array" ref="E284">SUM</f>
        <v>#NAME?</v>
      </c>
      <c r="F284" s="1" t="e">
        <f t="array" ref="F284">SUM</f>
        <v>#NAME?</v>
      </c>
      <c r="G284" s="1" t="e">
        <f t="array" ref="G284">SUM</f>
        <v>#NAME?</v>
      </c>
      <c r="H284" s="1" t="e">
        <f t="array" ref="H284">SUM</f>
        <v>#NAME?</v>
      </c>
      <c r="I284" s="1" t="e">
        <f t="array" ref="I284">SUM</f>
        <v>#NAME?</v>
      </c>
      <c r="J284" s="1" t="e">
        <f t="array" ref="J284">SUM</f>
        <v>#NAME?</v>
      </c>
      <c r="K284" s="1" t="e">
        <f t="array" ref="K284">SUM</f>
        <v>#NAME?</v>
      </c>
      <c r="L284" s="1" t="e">
        <f t="array" ref="L284">SUM</f>
        <v>#NAME?</v>
      </c>
      <c r="M284" s="1" t="e">
        <f t="array" ref="M284">SUM</f>
        <v>#NAME?</v>
      </c>
      <c r="N284" s="1" t="e">
        <f t="array" ref="N284">SUM</f>
        <v>#NAME?</v>
      </c>
      <c r="O284" t="s">
        <v>28</v>
      </c>
      <c r="P284">
        <v>2021</v>
      </c>
    </row>
    <row r="285" spans="1:16" x14ac:dyDescent="0.25">
      <c r="A285" t="s">
        <v>22</v>
      </c>
      <c r="B285" s="1" t="e">
        <f t="array" ref="B285">SUM</f>
        <v>#NAME?</v>
      </c>
      <c r="C285" s="1" t="e">
        <f t="array" ref="C285">SUM</f>
        <v>#NAME?</v>
      </c>
      <c r="D285" s="1" t="e">
        <f t="array" ref="D285">SUM</f>
        <v>#NAME?</v>
      </c>
      <c r="E285" s="1" t="e">
        <f t="array" ref="E285">SUM</f>
        <v>#NAME?</v>
      </c>
      <c r="F285" s="1" t="e">
        <f t="array" ref="F285">SUM</f>
        <v>#NAME?</v>
      </c>
      <c r="G285" s="1" t="e">
        <f t="array" ref="G285">SUM</f>
        <v>#NAME?</v>
      </c>
      <c r="H285" s="1" t="e">
        <f t="array" ref="H285">SUM</f>
        <v>#NAME?</v>
      </c>
      <c r="I285" s="1" t="e">
        <f t="array" ref="I285">SUM</f>
        <v>#NAME?</v>
      </c>
      <c r="J285" s="1" t="e">
        <f t="array" ref="J285">SUM</f>
        <v>#NAME?</v>
      </c>
      <c r="K285" s="1" t="e">
        <f t="array" ref="K285">SUM</f>
        <v>#NAME?</v>
      </c>
      <c r="L285" s="1" t="e">
        <f t="array" ref="L285">SUM</f>
        <v>#NAME?</v>
      </c>
      <c r="M285" s="1" t="e">
        <f t="array" ref="M285">SUM</f>
        <v>#NAME?</v>
      </c>
      <c r="N285" s="1" t="e">
        <f t="array" ref="N285">SUM</f>
        <v>#NAME?</v>
      </c>
      <c r="O285" t="s">
        <v>30</v>
      </c>
      <c r="P285">
        <v>2021</v>
      </c>
    </row>
    <row r="286" spans="1:16" x14ac:dyDescent="0.25">
      <c r="A286" t="s">
        <v>16</v>
      </c>
      <c r="B286" s="1" t="e">
        <f t="array" ref="B286">SUM</f>
        <v>#NAME?</v>
      </c>
      <c r="C286" s="1" t="e">
        <f t="array" ref="C286">SUM</f>
        <v>#NAME?</v>
      </c>
      <c r="D286" s="1" t="e">
        <f t="array" ref="D286">SUM</f>
        <v>#NAME?</v>
      </c>
      <c r="E286" s="1" t="e">
        <f t="array" ref="E286">SUM</f>
        <v>#NAME?</v>
      </c>
      <c r="F286" s="1" t="e">
        <f t="array" ref="F286">SUM</f>
        <v>#NAME?</v>
      </c>
      <c r="G286" s="1" t="e">
        <f t="array" ref="G286">SUM</f>
        <v>#NAME?</v>
      </c>
      <c r="H286" s="1" t="e">
        <f t="array" ref="H286">SUM</f>
        <v>#NAME?</v>
      </c>
      <c r="I286" s="1" t="e">
        <f t="array" ref="I286">SUM</f>
        <v>#NAME?</v>
      </c>
      <c r="J286" s="1" t="e">
        <f t="array" ref="J286">SUM</f>
        <v>#NAME?</v>
      </c>
      <c r="K286" s="1" t="e">
        <f t="array" ref="K286">SUM</f>
        <v>#NAME?</v>
      </c>
      <c r="L286" s="1" t="e">
        <f t="array" ref="L286">SUM</f>
        <v>#NAME?</v>
      </c>
      <c r="M286" s="1" t="e">
        <f t="array" ref="M286">SUM</f>
        <v>#NAME?</v>
      </c>
      <c r="N286" s="1" t="e">
        <f t="array" ref="N286">SUM</f>
        <v>#NAME?</v>
      </c>
      <c r="O286" t="s">
        <v>19</v>
      </c>
      <c r="P286">
        <v>2021</v>
      </c>
    </row>
    <row r="287" spans="1:16" x14ac:dyDescent="0.25">
      <c r="A287" t="s">
        <v>22</v>
      </c>
      <c r="B287" s="1" t="e">
        <f t="array" ref="B287">SUM</f>
        <v>#NAME?</v>
      </c>
      <c r="C287" s="1" t="e">
        <f t="array" ref="C287">SUM</f>
        <v>#NAME?</v>
      </c>
      <c r="D287" s="1" t="e">
        <f t="array" ref="D287">SUM</f>
        <v>#NAME?</v>
      </c>
      <c r="E287" s="1" t="e">
        <f t="array" ref="E287">SUM</f>
        <v>#NAME?</v>
      </c>
      <c r="F287" s="1" t="e">
        <f t="array" ref="F287">SUM</f>
        <v>#NAME?</v>
      </c>
      <c r="G287" s="1" t="e">
        <f t="array" ref="G287">SUM</f>
        <v>#NAME?</v>
      </c>
      <c r="H287" s="1" t="e">
        <f t="array" ref="H287">SUM</f>
        <v>#NAME?</v>
      </c>
      <c r="I287" s="1" t="e">
        <f t="array" ref="I287">SUM</f>
        <v>#NAME?</v>
      </c>
      <c r="J287" s="1" t="e">
        <f t="array" ref="J287">SUM</f>
        <v>#NAME?</v>
      </c>
      <c r="K287" s="1" t="e">
        <f t="array" ref="K287">SUM</f>
        <v>#NAME?</v>
      </c>
      <c r="L287" s="1" t="e">
        <f t="array" ref="L287">SUM</f>
        <v>#NAME?</v>
      </c>
      <c r="M287" s="1" t="e">
        <f t="array" ref="M287">SUM</f>
        <v>#NAME?</v>
      </c>
      <c r="N287" s="1" t="e">
        <f t="array" ref="N287">SUM</f>
        <v>#NAME?</v>
      </c>
      <c r="O287" t="s">
        <v>28</v>
      </c>
      <c r="P287">
        <v>2021</v>
      </c>
    </row>
    <row r="288" spans="1:16" x14ac:dyDescent="0.25">
      <c r="A288" t="s">
        <v>16</v>
      </c>
      <c r="B288" s="1" t="e">
        <f t="array" ref="B288">SUM</f>
        <v>#NAME?</v>
      </c>
      <c r="C288" s="1" t="e">
        <f t="array" ref="C288">SUM</f>
        <v>#NAME?</v>
      </c>
      <c r="D288" s="1" t="e">
        <f t="array" ref="D288">SUM</f>
        <v>#NAME?</v>
      </c>
      <c r="E288" s="1" t="e">
        <f t="array" ref="E288">SUM</f>
        <v>#NAME?</v>
      </c>
      <c r="F288" s="1" t="e">
        <f t="array" ref="F288">SUM</f>
        <v>#NAME?</v>
      </c>
      <c r="G288" s="1" t="e">
        <f t="array" ref="G288">SUM</f>
        <v>#NAME?</v>
      </c>
      <c r="H288" s="1" t="e">
        <f t="array" ref="H288">SUM</f>
        <v>#NAME?</v>
      </c>
      <c r="I288" s="1" t="e">
        <f t="array" ref="I288">SUM</f>
        <v>#NAME?</v>
      </c>
      <c r="J288" s="1" t="e">
        <f t="array" ref="J288">SUM</f>
        <v>#NAME?</v>
      </c>
      <c r="K288" s="1" t="e">
        <f t="array" ref="K288">SUM</f>
        <v>#NAME?</v>
      </c>
      <c r="L288" s="1" t="e">
        <f t="array" ref="L288">SUM</f>
        <v>#NAME?</v>
      </c>
      <c r="M288" s="1" t="e">
        <f t="array" ref="M288">SUM</f>
        <v>#NAME?</v>
      </c>
      <c r="N288" s="1" t="e">
        <f t="array" ref="N288">SUM</f>
        <v>#NAME?</v>
      </c>
      <c r="O288" t="s">
        <v>28</v>
      </c>
      <c r="P288">
        <v>2021</v>
      </c>
    </row>
    <row r="289" spans="1:16" x14ac:dyDescent="0.25">
      <c r="A289" t="s">
        <v>23</v>
      </c>
      <c r="B289" s="1" t="e">
        <f t="array" ref="B289">SUM</f>
        <v>#NAME?</v>
      </c>
      <c r="C289" s="1" t="e">
        <f t="array" ref="C289">SUM</f>
        <v>#NAME?</v>
      </c>
      <c r="D289" s="1" t="e">
        <f t="array" ref="D289">SUM</f>
        <v>#NAME?</v>
      </c>
      <c r="E289" s="1" t="e">
        <f t="array" ref="E289">SUM</f>
        <v>#NAME?</v>
      </c>
      <c r="F289" s="1" t="e">
        <f t="array" ref="F289">SUM</f>
        <v>#NAME?</v>
      </c>
      <c r="G289" s="1" t="e">
        <f t="array" ref="G289">SUM</f>
        <v>#NAME?</v>
      </c>
      <c r="H289" s="1" t="e">
        <f t="array" ref="H289">SUM</f>
        <v>#NAME?</v>
      </c>
      <c r="I289" s="1" t="e">
        <f t="array" ref="I289">SUM</f>
        <v>#NAME?</v>
      </c>
      <c r="J289" s="1" t="e">
        <f t="array" ref="J289">SUM</f>
        <v>#NAME?</v>
      </c>
      <c r="K289" s="1" t="e">
        <f t="array" ref="K289">SUM</f>
        <v>#NAME?</v>
      </c>
      <c r="L289" s="1" t="e">
        <f t="array" ref="L289">SUM</f>
        <v>#NAME?</v>
      </c>
      <c r="M289" s="1" t="e">
        <f t="array" ref="M289">SUM</f>
        <v>#NAME?</v>
      </c>
      <c r="N289" s="1" t="e">
        <f t="array" ref="N289">SUM</f>
        <v>#NAME?</v>
      </c>
      <c r="O289" t="s">
        <v>29</v>
      </c>
      <c r="P289">
        <v>2021</v>
      </c>
    </row>
    <row r="290" spans="1:16" x14ac:dyDescent="0.25">
      <c r="A290" t="s">
        <v>23</v>
      </c>
      <c r="B290" s="1" t="e">
        <f t="array" ref="B290">SUM</f>
        <v>#NAME?</v>
      </c>
      <c r="C290" s="1" t="e">
        <f t="array" ref="C290">SUM</f>
        <v>#NAME?</v>
      </c>
      <c r="D290" s="1" t="e">
        <f t="array" ref="D290">SUM</f>
        <v>#NAME?</v>
      </c>
      <c r="E290" s="1" t="e">
        <f t="array" ref="E290">SUM</f>
        <v>#NAME?</v>
      </c>
      <c r="F290" s="1" t="e">
        <f t="array" ref="F290">SUM</f>
        <v>#NAME?</v>
      </c>
      <c r="G290" s="1" t="e">
        <f t="array" ref="G290">SUM</f>
        <v>#NAME?</v>
      </c>
      <c r="H290" s="1" t="e">
        <f t="array" ref="H290">SUM</f>
        <v>#NAME?</v>
      </c>
      <c r="I290" s="1" t="e">
        <f t="array" ref="I290">SUM</f>
        <v>#NAME?</v>
      </c>
      <c r="J290" s="1" t="e">
        <f t="array" ref="J290">SUM</f>
        <v>#NAME?</v>
      </c>
      <c r="K290" s="1" t="e">
        <f t="array" ref="K290">SUM</f>
        <v>#NAME?</v>
      </c>
      <c r="L290" s="1" t="e">
        <f t="array" ref="L290">SUM</f>
        <v>#NAME?</v>
      </c>
      <c r="M290" s="1" t="e">
        <f t="array" ref="M290">SUM</f>
        <v>#NAME?</v>
      </c>
      <c r="N290" s="1" t="e">
        <f t="array" ref="N290">SUM</f>
        <v>#NAME?</v>
      </c>
      <c r="O290" t="s">
        <v>29</v>
      </c>
      <c r="P290">
        <v>2021</v>
      </c>
    </row>
    <row r="291" spans="1:16" x14ac:dyDescent="0.25">
      <c r="A291" t="s">
        <v>18</v>
      </c>
      <c r="B291" s="1" t="e">
        <f t="array" ref="B291">SUM</f>
        <v>#NAME?</v>
      </c>
      <c r="C291" s="1" t="e">
        <f t="array" ref="C291">SUM</f>
        <v>#NAME?</v>
      </c>
      <c r="D291" s="1" t="e">
        <f t="array" ref="D291">SUM</f>
        <v>#NAME?</v>
      </c>
      <c r="E291" s="1" t="e">
        <f t="array" ref="E291">SUM</f>
        <v>#NAME?</v>
      </c>
      <c r="F291" s="1" t="e">
        <f t="array" ref="F291">SUM</f>
        <v>#NAME?</v>
      </c>
      <c r="G291" s="1" t="e">
        <f t="array" ref="G291">SUM</f>
        <v>#NAME?</v>
      </c>
      <c r="H291" s="1" t="e">
        <f t="array" ref="H291">SUM</f>
        <v>#NAME?</v>
      </c>
      <c r="I291" s="1" t="e">
        <f t="array" ref="I291">SUM</f>
        <v>#NAME?</v>
      </c>
      <c r="J291" s="1" t="e">
        <f t="array" ref="J291">SUM</f>
        <v>#NAME?</v>
      </c>
      <c r="K291" s="1" t="e">
        <f t="array" ref="K291">SUM</f>
        <v>#NAME?</v>
      </c>
      <c r="L291" s="1" t="e">
        <f t="array" ref="L291">SUM</f>
        <v>#NAME?</v>
      </c>
      <c r="M291" s="1" t="e">
        <f t="array" ref="M291">SUM</f>
        <v>#NAME?</v>
      </c>
      <c r="N291" s="1" t="e">
        <f t="array" ref="N291">SUM</f>
        <v>#NAME?</v>
      </c>
      <c r="O291" t="s">
        <v>32</v>
      </c>
      <c r="P291">
        <v>2021</v>
      </c>
    </row>
    <row r="292" spans="1:16" x14ac:dyDescent="0.25">
      <c r="A292" t="s">
        <v>16</v>
      </c>
      <c r="B292" s="1" t="e">
        <f t="array" ref="B292">SUM</f>
        <v>#NAME?</v>
      </c>
      <c r="C292" s="1" t="e">
        <f t="array" ref="C292">SUM</f>
        <v>#NAME?</v>
      </c>
      <c r="D292" s="1" t="e">
        <f t="array" ref="D292">SUM</f>
        <v>#NAME?</v>
      </c>
      <c r="E292" s="1" t="e">
        <f t="array" ref="E292">SUM</f>
        <v>#NAME?</v>
      </c>
      <c r="F292" s="1" t="e">
        <f t="array" ref="F292">SUM</f>
        <v>#NAME?</v>
      </c>
      <c r="G292" s="1" t="e">
        <f t="array" ref="G292">SUM</f>
        <v>#NAME?</v>
      </c>
      <c r="H292" s="1" t="e">
        <f t="array" ref="H292">SUM</f>
        <v>#NAME?</v>
      </c>
      <c r="I292" s="1" t="e">
        <f t="array" ref="I292">SUM</f>
        <v>#NAME?</v>
      </c>
      <c r="J292" s="1" t="e">
        <f t="array" ref="J292">SUM</f>
        <v>#NAME?</v>
      </c>
      <c r="K292" s="1" t="e">
        <f t="array" ref="K292">SUM</f>
        <v>#NAME?</v>
      </c>
      <c r="L292" s="1" t="e">
        <f t="array" ref="L292">SUM</f>
        <v>#NAME?</v>
      </c>
      <c r="M292" s="1" t="e">
        <f t="array" ref="M292">SUM</f>
        <v>#NAME?</v>
      </c>
      <c r="N292" s="1" t="e">
        <f t="array" ref="N292">SUM</f>
        <v>#NAME?</v>
      </c>
      <c r="O292" t="s">
        <v>19</v>
      </c>
      <c r="P292">
        <v>2021</v>
      </c>
    </row>
    <row r="293" spans="1:16" x14ac:dyDescent="0.25">
      <c r="A293" t="s">
        <v>16</v>
      </c>
      <c r="B293" s="1" t="e">
        <f t="array" ref="B293">SUM</f>
        <v>#NAME?</v>
      </c>
      <c r="C293" s="1" t="e">
        <f t="array" ref="C293">SUM</f>
        <v>#NAME?</v>
      </c>
      <c r="D293" s="1" t="e">
        <f t="array" ref="D293">SUM</f>
        <v>#NAME?</v>
      </c>
      <c r="E293" s="1" t="e">
        <f t="array" ref="E293">SUM</f>
        <v>#NAME?</v>
      </c>
      <c r="F293" s="1" t="e">
        <f t="array" ref="F293">SUM</f>
        <v>#NAME?</v>
      </c>
      <c r="G293" s="1" t="e">
        <f t="array" ref="G293">SUM</f>
        <v>#NAME?</v>
      </c>
      <c r="H293" s="1" t="e">
        <f t="array" ref="H293">SUM</f>
        <v>#NAME?</v>
      </c>
      <c r="I293" s="1" t="e">
        <f t="array" ref="I293">SUM</f>
        <v>#NAME?</v>
      </c>
      <c r="J293" s="1" t="e">
        <f t="array" ref="J293">SUM</f>
        <v>#NAME?</v>
      </c>
      <c r="K293" s="1" t="e">
        <f t="array" ref="K293">SUM</f>
        <v>#NAME?</v>
      </c>
      <c r="L293" s="1" t="e">
        <f t="array" ref="L293">SUM</f>
        <v>#NAME?</v>
      </c>
      <c r="M293" s="1" t="e">
        <f t="array" ref="M293">SUM</f>
        <v>#NAME?</v>
      </c>
      <c r="N293" s="1" t="e">
        <f t="array" ref="N293">SUM</f>
        <v>#NAME?</v>
      </c>
      <c r="O293" t="s">
        <v>19</v>
      </c>
      <c r="P293">
        <v>2021</v>
      </c>
    </row>
    <row r="294" spans="1:16" x14ac:dyDescent="0.25">
      <c r="A294" t="s">
        <v>25</v>
      </c>
      <c r="B294" s="1" t="e">
        <f t="array" ref="B294">SUM</f>
        <v>#NAME?</v>
      </c>
      <c r="C294" s="1" t="e">
        <f t="array" ref="C294">SUM</f>
        <v>#NAME?</v>
      </c>
      <c r="D294" s="1" t="e">
        <f t="array" ref="D294">SUM</f>
        <v>#NAME?</v>
      </c>
      <c r="E294" s="1" t="e">
        <f t="array" ref="E294">SUM</f>
        <v>#NAME?</v>
      </c>
      <c r="F294" s="1" t="e">
        <f t="array" ref="F294">SUM</f>
        <v>#NAME?</v>
      </c>
      <c r="G294" s="1" t="e">
        <f t="array" ref="G294">SUM</f>
        <v>#NAME?</v>
      </c>
      <c r="H294" s="1" t="e">
        <f t="array" ref="H294">SUM</f>
        <v>#NAME?</v>
      </c>
      <c r="I294" s="1" t="e">
        <f t="array" ref="I294">SUM</f>
        <v>#NAME?</v>
      </c>
      <c r="J294" s="1" t="e">
        <f t="array" ref="J294">SUM</f>
        <v>#NAME?</v>
      </c>
      <c r="K294" s="1" t="e">
        <f t="array" ref="K294">SUM</f>
        <v>#NAME?</v>
      </c>
      <c r="L294" s="1" t="e">
        <f t="array" ref="L294">SUM</f>
        <v>#NAME?</v>
      </c>
      <c r="M294" s="1" t="e">
        <f t="array" ref="M294">SUM</f>
        <v>#NAME?</v>
      </c>
      <c r="N294" s="1" t="e">
        <f t="array" ref="N294">SUM</f>
        <v>#NAME?</v>
      </c>
      <c r="O294" t="s">
        <v>28</v>
      </c>
      <c r="P294">
        <v>2021</v>
      </c>
    </row>
    <row r="295" spans="1:16" x14ac:dyDescent="0.25">
      <c r="A295" t="s">
        <v>16</v>
      </c>
      <c r="B295" s="1" t="e">
        <f t="array" ref="B295">SUM</f>
        <v>#NAME?</v>
      </c>
      <c r="C295" s="1" t="e">
        <f t="array" ref="C295">SUM</f>
        <v>#NAME?</v>
      </c>
      <c r="D295" s="1" t="e">
        <f t="array" ref="D295">SUM</f>
        <v>#NAME?</v>
      </c>
      <c r="E295" s="1" t="e">
        <f t="array" ref="E295">SUM</f>
        <v>#NAME?</v>
      </c>
      <c r="F295" s="1" t="e">
        <f t="array" ref="F295">SUM</f>
        <v>#NAME?</v>
      </c>
      <c r="G295" s="1" t="e">
        <f t="array" ref="G295">SUM</f>
        <v>#NAME?</v>
      </c>
      <c r="H295" s="1" t="e">
        <f t="array" ref="H295">SUM</f>
        <v>#NAME?</v>
      </c>
      <c r="I295" s="1" t="e">
        <f t="array" ref="I295">SUM</f>
        <v>#NAME?</v>
      </c>
      <c r="J295" s="1" t="e">
        <f t="array" ref="J295">SUM</f>
        <v>#NAME?</v>
      </c>
      <c r="K295" s="1" t="e">
        <f t="array" ref="K295">SUM</f>
        <v>#NAME?</v>
      </c>
      <c r="L295" s="1" t="e">
        <f t="array" ref="L295">SUM</f>
        <v>#NAME?</v>
      </c>
      <c r="M295" s="1" t="e">
        <f t="array" ref="M295">SUM</f>
        <v>#NAME?</v>
      </c>
      <c r="N295" s="1" t="e">
        <f t="array" ref="N295">SUM</f>
        <v>#NAME?</v>
      </c>
      <c r="O295" t="s">
        <v>28</v>
      </c>
      <c r="P295">
        <v>2021</v>
      </c>
    </row>
    <row r="296" spans="1:16" x14ac:dyDescent="0.25">
      <c r="A296" t="s">
        <v>18</v>
      </c>
      <c r="B296" s="1" t="e">
        <f t="array" ref="B296">SUM</f>
        <v>#NAME?</v>
      </c>
      <c r="C296" s="1" t="e">
        <f t="array" ref="C296">SUM</f>
        <v>#NAME?</v>
      </c>
      <c r="D296" s="1" t="e">
        <f t="array" ref="D296">SUM</f>
        <v>#NAME?</v>
      </c>
      <c r="E296" s="1" t="e">
        <f t="array" ref="E296">SUM</f>
        <v>#NAME?</v>
      </c>
      <c r="F296" s="1" t="e">
        <f t="array" ref="F296">SUM</f>
        <v>#NAME?</v>
      </c>
      <c r="G296" s="1" t="e">
        <f t="array" ref="G296">SUM</f>
        <v>#NAME?</v>
      </c>
      <c r="H296" s="1" t="e">
        <f t="array" ref="H296">SUM</f>
        <v>#NAME?</v>
      </c>
      <c r="I296" s="1" t="e">
        <f t="array" ref="I296">SUM</f>
        <v>#NAME?</v>
      </c>
      <c r="J296" s="1" t="e">
        <f t="array" ref="J296">SUM</f>
        <v>#NAME?</v>
      </c>
      <c r="K296" s="1" t="e">
        <f t="array" ref="K296">SUM</f>
        <v>#NAME?</v>
      </c>
      <c r="L296" s="1" t="e">
        <f t="array" ref="L296">SUM</f>
        <v>#NAME?</v>
      </c>
      <c r="M296" s="1" t="e">
        <f t="array" ref="M296">SUM</f>
        <v>#NAME?</v>
      </c>
      <c r="N296" s="1" t="e">
        <f t="array" ref="N296">SUM</f>
        <v>#NAME?</v>
      </c>
      <c r="O296" t="s">
        <v>19</v>
      </c>
      <c r="P296">
        <v>2021</v>
      </c>
    </row>
    <row r="297" spans="1:16" x14ac:dyDescent="0.25">
      <c r="A297" t="s">
        <v>16</v>
      </c>
      <c r="B297" s="1" t="e">
        <f t="array" ref="B297">SUM</f>
        <v>#NAME?</v>
      </c>
      <c r="C297" s="1" t="e">
        <f t="array" ref="C297">SUM</f>
        <v>#NAME?</v>
      </c>
      <c r="D297" s="1" t="e">
        <f t="array" ref="D297">SUM</f>
        <v>#NAME?</v>
      </c>
      <c r="E297" s="1" t="e">
        <f t="array" ref="E297">SUM</f>
        <v>#NAME?</v>
      </c>
      <c r="F297" s="1" t="e">
        <f t="array" ref="F297">SUM</f>
        <v>#NAME?</v>
      </c>
      <c r="G297" s="1" t="e">
        <f t="array" ref="G297">SUM</f>
        <v>#NAME?</v>
      </c>
      <c r="H297" s="1" t="e">
        <f t="array" ref="H297">SUM</f>
        <v>#NAME?</v>
      </c>
      <c r="I297" s="1" t="e">
        <f t="array" ref="I297">SUM</f>
        <v>#NAME?</v>
      </c>
      <c r="J297" s="1" t="e">
        <f t="array" ref="J297">SUM</f>
        <v>#NAME?</v>
      </c>
      <c r="K297" s="1" t="e">
        <f t="array" ref="K297">SUM</f>
        <v>#NAME?</v>
      </c>
      <c r="L297" s="1" t="e">
        <f t="array" ref="L297">SUM</f>
        <v>#NAME?</v>
      </c>
      <c r="M297" s="1" t="e">
        <f t="array" ref="M297">SUM</f>
        <v>#NAME?</v>
      </c>
      <c r="N297" s="1" t="e">
        <f t="array" ref="N297">SUM</f>
        <v>#NAME?</v>
      </c>
      <c r="O297" t="s">
        <v>19</v>
      </c>
      <c r="P297">
        <v>2021</v>
      </c>
    </row>
    <row r="298" spans="1:16" x14ac:dyDescent="0.25">
      <c r="A298" t="s">
        <v>25</v>
      </c>
      <c r="B298" s="1" t="e">
        <f t="array" ref="B298">SUM</f>
        <v>#NAME?</v>
      </c>
      <c r="C298" s="1" t="e">
        <f t="array" ref="C298">SUM</f>
        <v>#NAME?</v>
      </c>
      <c r="D298" s="1" t="e">
        <f t="array" ref="D298">SUM</f>
        <v>#NAME?</v>
      </c>
      <c r="E298" s="1" t="e">
        <f t="array" ref="E298">SUM</f>
        <v>#NAME?</v>
      </c>
      <c r="F298" s="1" t="e">
        <f t="array" ref="F298">SUM</f>
        <v>#NAME?</v>
      </c>
      <c r="G298" s="1" t="e">
        <f t="array" ref="G298">SUM</f>
        <v>#NAME?</v>
      </c>
      <c r="H298" s="1" t="e">
        <f t="array" ref="H298">SUM</f>
        <v>#NAME?</v>
      </c>
      <c r="I298" s="1" t="e">
        <f t="array" ref="I298">SUM</f>
        <v>#NAME?</v>
      </c>
      <c r="J298" s="1" t="e">
        <f t="array" ref="J298">SUM</f>
        <v>#NAME?</v>
      </c>
      <c r="K298" s="1" t="e">
        <f t="array" ref="K298">SUM</f>
        <v>#NAME?</v>
      </c>
      <c r="L298" s="1" t="e">
        <f t="array" ref="L298">SUM</f>
        <v>#NAME?</v>
      </c>
      <c r="M298" s="1" t="e">
        <f t="array" ref="M298">SUM</f>
        <v>#NAME?</v>
      </c>
      <c r="N298" s="1" t="e">
        <f t="array" ref="N298">SUM</f>
        <v>#NAME?</v>
      </c>
      <c r="O298" t="s">
        <v>28</v>
      </c>
      <c r="P298">
        <v>2021</v>
      </c>
    </row>
    <row r="299" spans="1:16" x14ac:dyDescent="0.25">
      <c r="A299" t="s">
        <v>16</v>
      </c>
      <c r="B299" s="1" t="e">
        <f t="array" ref="B299">SUM</f>
        <v>#NAME?</v>
      </c>
      <c r="C299" s="1" t="e">
        <f t="array" ref="C299">SUM</f>
        <v>#NAME?</v>
      </c>
      <c r="D299" s="1" t="e">
        <f t="array" ref="D299">SUM</f>
        <v>#NAME?</v>
      </c>
      <c r="E299" s="1" t="e">
        <f t="array" ref="E299">SUM</f>
        <v>#NAME?</v>
      </c>
      <c r="F299" s="1" t="e">
        <f t="array" ref="F299">SUM</f>
        <v>#NAME?</v>
      </c>
      <c r="G299" s="1" t="e">
        <f t="array" ref="G299">SUM</f>
        <v>#NAME?</v>
      </c>
      <c r="H299" s="1" t="e">
        <f t="array" ref="H299">SUM</f>
        <v>#NAME?</v>
      </c>
      <c r="I299" s="1" t="e">
        <f t="array" ref="I299">SUM</f>
        <v>#NAME?</v>
      </c>
      <c r="J299" s="1" t="e">
        <f t="array" ref="J299">SUM</f>
        <v>#NAME?</v>
      </c>
      <c r="K299" s="1" t="e">
        <f t="array" ref="K299">SUM</f>
        <v>#NAME?</v>
      </c>
      <c r="L299" s="1" t="e">
        <f t="array" ref="L299">SUM</f>
        <v>#NAME?</v>
      </c>
      <c r="M299" s="1" t="e">
        <f t="array" ref="M299">SUM</f>
        <v>#NAME?</v>
      </c>
      <c r="N299" s="1" t="e">
        <f t="array" ref="N299">SUM</f>
        <v>#NAME?</v>
      </c>
      <c r="O299" t="s">
        <v>30</v>
      </c>
      <c r="P299">
        <v>2021</v>
      </c>
    </row>
    <row r="300" spans="1:16" x14ac:dyDescent="0.25">
      <c r="A300" t="s">
        <v>25</v>
      </c>
      <c r="B300" s="1" t="e">
        <f t="array" ref="B300">SUM</f>
        <v>#NAME?</v>
      </c>
      <c r="C300" s="1" t="e">
        <f t="array" ref="C300">SUM</f>
        <v>#NAME?</v>
      </c>
      <c r="D300" s="1" t="e">
        <f t="array" ref="D300">SUM</f>
        <v>#NAME?</v>
      </c>
      <c r="E300" s="1" t="e">
        <f t="array" ref="E300">SUM</f>
        <v>#NAME?</v>
      </c>
      <c r="F300" s="1" t="e">
        <f t="array" ref="F300">SUM</f>
        <v>#NAME?</v>
      </c>
      <c r="G300" s="1" t="e">
        <f t="array" ref="G300">SUM</f>
        <v>#NAME?</v>
      </c>
      <c r="H300" s="1" t="e">
        <f t="array" ref="H300">SUM</f>
        <v>#NAME?</v>
      </c>
      <c r="I300" s="1" t="e">
        <f t="array" ref="I300">SUM</f>
        <v>#NAME?</v>
      </c>
      <c r="J300" s="1" t="e">
        <f t="array" ref="J300">SUM</f>
        <v>#NAME?</v>
      </c>
      <c r="K300" s="1" t="e">
        <f t="array" ref="K300">SUM</f>
        <v>#NAME?</v>
      </c>
      <c r="L300" s="1" t="e">
        <f t="array" ref="L300">SUM</f>
        <v>#NAME?</v>
      </c>
      <c r="M300" s="1" t="e">
        <f t="array" ref="M300">SUM</f>
        <v>#NAME?</v>
      </c>
      <c r="N300" s="1" t="e">
        <f t="array" ref="N300">SUM</f>
        <v>#NAME?</v>
      </c>
      <c r="O300" t="s">
        <v>20</v>
      </c>
      <c r="P300">
        <v>2021</v>
      </c>
    </row>
    <row r="301" spans="1:16" x14ac:dyDescent="0.25">
      <c r="A301" t="s">
        <v>23</v>
      </c>
      <c r="B301" s="1" t="e">
        <f t="array" ref="B301">SUM</f>
        <v>#NAME?</v>
      </c>
      <c r="C301" s="1" t="e">
        <f t="array" ref="C301">SUM</f>
        <v>#NAME?</v>
      </c>
      <c r="D301" s="1" t="e">
        <f t="array" ref="D301">SUM</f>
        <v>#NAME?</v>
      </c>
      <c r="E301" s="1" t="e">
        <f t="array" ref="E301">SUM</f>
        <v>#NAME?</v>
      </c>
      <c r="F301" s="1" t="e">
        <f t="array" ref="F301">SUM</f>
        <v>#NAME?</v>
      </c>
      <c r="G301" s="1" t="e">
        <f t="array" ref="G301">SUM</f>
        <v>#NAME?</v>
      </c>
      <c r="H301" s="1" t="e">
        <f t="array" ref="H301">SUM</f>
        <v>#NAME?</v>
      </c>
      <c r="I301" s="1" t="e">
        <f t="array" ref="I301">SUM</f>
        <v>#NAME?</v>
      </c>
      <c r="J301" s="1" t="e">
        <f t="array" ref="J301">SUM</f>
        <v>#NAME?</v>
      </c>
      <c r="K301" s="1" t="e">
        <f t="array" ref="K301">SUM</f>
        <v>#NAME?</v>
      </c>
      <c r="L301" s="1" t="e">
        <f t="array" ref="L301">SUM</f>
        <v>#NAME?</v>
      </c>
      <c r="M301" s="1" t="e">
        <f t="array" ref="M301">SUM</f>
        <v>#NAME?</v>
      </c>
      <c r="N301" s="1" t="e">
        <f t="array" ref="N301">SUM</f>
        <v>#NAME?</v>
      </c>
      <c r="O301" t="s">
        <v>17</v>
      </c>
      <c r="P301">
        <v>2021</v>
      </c>
    </row>
    <row r="302" spans="1:16" x14ac:dyDescent="0.25">
      <c r="A302" t="s">
        <v>16</v>
      </c>
      <c r="B302" s="1" t="e">
        <f t="array" ref="B302">SUM</f>
        <v>#NAME?</v>
      </c>
      <c r="C302" s="1" t="e">
        <f t="array" ref="C302">SUM</f>
        <v>#NAME?</v>
      </c>
      <c r="D302" s="1" t="e">
        <f t="array" ref="D302">SUM</f>
        <v>#NAME?</v>
      </c>
      <c r="E302" s="1" t="e">
        <f t="array" ref="E302">SUM</f>
        <v>#NAME?</v>
      </c>
      <c r="F302" s="1" t="e">
        <f t="array" ref="F302">SUM</f>
        <v>#NAME?</v>
      </c>
      <c r="G302" s="1" t="e">
        <f t="array" ref="G302">SUM</f>
        <v>#NAME?</v>
      </c>
      <c r="H302" s="1" t="e">
        <f t="array" ref="H302">SUM</f>
        <v>#NAME?</v>
      </c>
      <c r="I302" s="1" t="e">
        <f t="array" ref="I302">SUM</f>
        <v>#NAME?</v>
      </c>
      <c r="J302" s="1" t="e">
        <f t="array" ref="J302">SUM</f>
        <v>#NAME?</v>
      </c>
      <c r="K302" s="1" t="e">
        <f t="array" ref="K302">SUM</f>
        <v>#NAME?</v>
      </c>
      <c r="L302" s="1" t="e">
        <f t="array" ref="L302">SUM</f>
        <v>#NAME?</v>
      </c>
      <c r="M302" s="1" t="e">
        <f t="array" ref="M302">SUM</f>
        <v>#NAME?</v>
      </c>
      <c r="N302" s="1" t="e">
        <f t="array" ref="N302">SUM</f>
        <v>#NAME?</v>
      </c>
      <c r="O302" t="s">
        <v>27</v>
      </c>
      <c r="P302">
        <v>2021</v>
      </c>
    </row>
    <row r="303" spans="1:16" x14ac:dyDescent="0.25">
      <c r="A303" t="s">
        <v>16</v>
      </c>
      <c r="B303" s="1" t="e">
        <f t="array" ref="B303">SUM</f>
        <v>#NAME?</v>
      </c>
      <c r="C303" s="1" t="e">
        <f t="array" ref="C303">SUM</f>
        <v>#NAME?</v>
      </c>
      <c r="D303" s="1" t="e">
        <f t="array" ref="D303">SUM</f>
        <v>#NAME?</v>
      </c>
      <c r="E303" s="1" t="e">
        <f t="array" ref="E303">SUM</f>
        <v>#NAME?</v>
      </c>
      <c r="F303" s="1" t="e">
        <f t="array" ref="F303">SUM</f>
        <v>#NAME?</v>
      </c>
      <c r="G303" s="1" t="e">
        <f t="array" ref="G303">SUM</f>
        <v>#NAME?</v>
      </c>
      <c r="H303" s="1" t="e">
        <f t="array" ref="H303">SUM</f>
        <v>#NAME?</v>
      </c>
      <c r="I303" s="1" t="e">
        <f t="array" ref="I303">SUM</f>
        <v>#NAME?</v>
      </c>
      <c r="J303" s="1" t="e">
        <f t="array" ref="J303">SUM</f>
        <v>#NAME?</v>
      </c>
      <c r="K303" s="1" t="e">
        <f t="array" ref="K303">SUM</f>
        <v>#NAME?</v>
      </c>
      <c r="L303" s="1" t="e">
        <f t="array" ref="L303">SUM</f>
        <v>#NAME?</v>
      </c>
      <c r="M303" s="1" t="e">
        <f t="array" ref="M303">SUM</f>
        <v>#NAME?</v>
      </c>
      <c r="N303" s="1" t="e">
        <f t="array" ref="N303">SUM</f>
        <v>#NAME?</v>
      </c>
      <c r="O303" t="s">
        <v>28</v>
      </c>
      <c r="P303">
        <v>2021</v>
      </c>
    </row>
    <row r="304" spans="1:16" x14ac:dyDescent="0.25">
      <c r="A304" t="s">
        <v>16</v>
      </c>
      <c r="B304" s="1" t="e">
        <f t="array" ref="B304">SUM</f>
        <v>#NAME?</v>
      </c>
      <c r="C304" s="1" t="e">
        <f t="array" ref="C304">SUM</f>
        <v>#NAME?</v>
      </c>
      <c r="D304" s="1" t="e">
        <f t="array" ref="D304">SUM</f>
        <v>#NAME?</v>
      </c>
      <c r="E304" s="1" t="e">
        <f t="array" ref="E304">SUM</f>
        <v>#NAME?</v>
      </c>
      <c r="F304" s="1" t="e">
        <f t="array" ref="F304">SUM</f>
        <v>#NAME?</v>
      </c>
      <c r="G304" s="1" t="e">
        <f t="array" ref="G304">SUM</f>
        <v>#NAME?</v>
      </c>
      <c r="H304" s="1" t="e">
        <f t="array" ref="H304">SUM</f>
        <v>#NAME?</v>
      </c>
      <c r="I304" s="1" t="e">
        <f t="array" ref="I304">SUM</f>
        <v>#NAME?</v>
      </c>
      <c r="J304" s="1" t="e">
        <f t="array" ref="J304">SUM</f>
        <v>#NAME?</v>
      </c>
      <c r="K304" s="1" t="e">
        <f t="array" ref="K304">SUM</f>
        <v>#NAME?</v>
      </c>
      <c r="L304" s="1" t="e">
        <f t="array" ref="L304">SUM</f>
        <v>#NAME?</v>
      </c>
      <c r="M304" s="1" t="e">
        <f t="array" ref="M304">SUM</f>
        <v>#NAME?</v>
      </c>
      <c r="N304" s="1" t="e">
        <f t="array" ref="N304">SUM</f>
        <v>#NAME?</v>
      </c>
      <c r="O304" t="s">
        <v>28</v>
      </c>
      <c r="P304">
        <v>2021</v>
      </c>
    </row>
    <row r="305" spans="1:16" x14ac:dyDescent="0.25">
      <c r="A305" t="s">
        <v>16</v>
      </c>
      <c r="B305" s="1" t="e">
        <f t="array" ref="B305">SUM</f>
        <v>#NAME?</v>
      </c>
      <c r="C305" s="1" t="e">
        <f t="array" ref="C305">SUM</f>
        <v>#NAME?</v>
      </c>
      <c r="D305" s="1" t="e">
        <f t="array" ref="D305">SUM</f>
        <v>#NAME?</v>
      </c>
      <c r="E305" s="1" t="e">
        <f t="array" ref="E305">SUM</f>
        <v>#NAME?</v>
      </c>
      <c r="F305" s="1" t="e">
        <f t="array" ref="F305">SUM</f>
        <v>#NAME?</v>
      </c>
      <c r="G305" s="1" t="e">
        <f t="array" ref="G305">SUM</f>
        <v>#NAME?</v>
      </c>
      <c r="H305" s="1" t="e">
        <f t="array" ref="H305">SUM</f>
        <v>#NAME?</v>
      </c>
      <c r="I305" s="1" t="e">
        <f t="array" ref="I305">SUM</f>
        <v>#NAME?</v>
      </c>
      <c r="J305" s="1" t="e">
        <f t="array" ref="J305">SUM</f>
        <v>#NAME?</v>
      </c>
      <c r="K305" s="1" t="e">
        <f t="array" ref="K305">SUM</f>
        <v>#NAME?</v>
      </c>
      <c r="L305" s="1" t="e">
        <f t="array" ref="L305">SUM</f>
        <v>#NAME?</v>
      </c>
      <c r="M305" s="1" t="e">
        <f t="array" ref="M305">SUM</f>
        <v>#NAME?</v>
      </c>
      <c r="N305" s="1" t="e">
        <f t="array" ref="N305">SUM</f>
        <v>#NAME?</v>
      </c>
      <c r="O305" t="s">
        <v>28</v>
      </c>
      <c r="P305">
        <v>2021</v>
      </c>
    </row>
    <row r="306" spans="1:16" x14ac:dyDescent="0.25">
      <c r="A306" t="s">
        <v>16</v>
      </c>
      <c r="B306" s="1" t="e">
        <f t="array" ref="B306">SUM</f>
        <v>#NAME?</v>
      </c>
      <c r="C306" s="1" t="e">
        <f t="array" ref="C306">SUM</f>
        <v>#NAME?</v>
      </c>
      <c r="D306" s="1" t="e">
        <f t="array" ref="D306">SUM</f>
        <v>#NAME?</v>
      </c>
      <c r="E306" s="1" t="e">
        <f t="array" ref="E306">SUM</f>
        <v>#NAME?</v>
      </c>
      <c r="F306" s="1" t="e">
        <f t="array" ref="F306">SUM</f>
        <v>#NAME?</v>
      </c>
      <c r="G306" s="1" t="e">
        <f t="array" ref="G306">SUM</f>
        <v>#NAME?</v>
      </c>
      <c r="H306" s="1" t="e">
        <f t="array" ref="H306">SUM</f>
        <v>#NAME?</v>
      </c>
      <c r="I306" s="1" t="e">
        <f t="array" ref="I306">SUM</f>
        <v>#NAME?</v>
      </c>
      <c r="J306" s="1" t="e">
        <f t="array" ref="J306">SUM</f>
        <v>#NAME?</v>
      </c>
      <c r="K306" s="1" t="e">
        <f t="array" ref="K306">SUM</f>
        <v>#NAME?</v>
      </c>
      <c r="L306" s="1" t="e">
        <f t="array" ref="L306">SUM</f>
        <v>#NAME?</v>
      </c>
      <c r="M306" s="1" t="e">
        <f t="array" ref="M306">SUM</f>
        <v>#NAME?</v>
      </c>
      <c r="N306" s="1" t="e">
        <f t="array" ref="N306">SUM</f>
        <v>#NAME?</v>
      </c>
      <c r="O306" t="s">
        <v>28</v>
      </c>
      <c r="P306">
        <v>2021</v>
      </c>
    </row>
    <row r="307" spans="1:16" x14ac:dyDescent="0.25">
      <c r="A307" t="s">
        <v>18</v>
      </c>
      <c r="B307" s="1" t="e">
        <f t="array" ref="B307">SUM</f>
        <v>#NAME?</v>
      </c>
      <c r="C307" s="1" t="e">
        <f t="array" ref="C307">SUM</f>
        <v>#NAME?</v>
      </c>
      <c r="D307" s="1" t="e">
        <f t="array" ref="D307">SUM</f>
        <v>#NAME?</v>
      </c>
      <c r="E307" s="1" t="e">
        <f t="array" ref="E307">SUM</f>
        <v>#NAME?</v>
      </c>
      <c r="F307" s="1" t="e">
        <f t="array" ref="F307">SUM</f>
        <v>#NAME?</v>
      </c>
      <c r="G307" s="1" t="e">
        <f t="array" ref="G307">SUM</f>
        <v>#NAME?</v>
      </c>
      <c r="H307" s="1" t="e">
        <f t="array" ref="H307">SUM</f>
        <v>#NAME?</v>
      </c>
      <c r="I307" s="1" t="e">
        <f t="array" ref="I307">SUM</f>
        <v>#NAME?</v>
      </c>
      <c r="J307" s="1" t="e">
        <f t="array" ref="J307">SUM</f>
        <v>#NAME?</v>
      </c>
      <c r="K307" s="1" t="e">
        <f t="array" ref="K307">SUM</f>
        <v>#NAME?</v>
      </c>
      <c r="L307" s="1" t="e">
        <f t="array" ref="L307">SUM</f>
        <v>#NAME?</v>
      </c>
      <c r="M307" s="1" t="e">
        <f t="array" ref="M307">SUM</f>
        <v>#NAME?</v>
      </c>
      <c r="N307" s="1" t="e">
        <f t="array" ref="N307">SUM</f>
        <v>#NAME?</v>
      </c>
      <c r="O307" t="s">
        <v>26</v>
      </c>
      <c r="P307">
        <v>2021</v>
      </c>
    </row>
    <row r="308" spans="1:16" x14ac:dyDescent="0.25">
      <c r="A308" t="s">
        <v>18</v>
      </c>
      <c r="B308" s="1" t="e">
        <f t="array" ref="B308">SUM</f>
        <v>#NAME?</v>
      </c>
      <c r="C308" s="1" t="e">
        <f t="array" ref="C308">SUM</f>
        <v>#NAME?</v>
      </c>
      <c r="D308" s="1" t="e">
        <f t="array" ref="D308">SUM</f>
        <v>#NAME?</v>
      </c>
      <c r="E308" s="1" t="e">
        <f t="array" ref="E308">SUM</f>
        <v>#NAME?</v>
      </c>
      <c r="F308" s="1" t="e">
        <f t="array" ref="F308">SUM</f>
        <v>#NAME?</v>
      </c>
      <c r="G308" s="1" t="e">
        <f t="array" ref="G308">SUM</f>
        <v>#NAME?</v>
      </c>
      <c r="H308" s="1" t="e">
        <f t="array" ref="H308">SUM</f>
        <v>#NAME?</v>
      </c>
      <c r="I308" s="1" t="e">
        <f t="array" ref="I308">SUM</f>
        <v>#NAME?</v>
      </c>
      <c r="J308" s="1" t="e">
        <f t="array" ref="J308">SUM</f>
        <v>#NAME?</v>
      </c>
      <c r="K308" s="1" t="e">
        <f t="array" ref="K308">SUM</f>
        <v>#NAME?</v>
      </c>
      <c r="L308" s="1" t="e">
        <f t="array" ref="L308">SUM</f>
        <v>#NAME?</v>
      </c>
      <c r="M308" s="1" t="e">
        <f t="array" ref="M308">SUM</f>
        <v>#NAME?</v>
      </c>
      <c r="N308" s="1" t="e">
        <f t="array" ref="N308">SUM</f>
        <v>#NAME?</v>
      </c>
      <c r="O308" t="s">
        <v>26</v>
      </c>
      <c r="P308">
        <v>2021</v>
      </c>
    </row>
    <row r="309" spans="1:16" x14ac:dyDescent="0.25">
      <c r="A309" t="s">
        <v>18</v>
      </c>
      <c r="B309" s="1" t="e">
        <f t="array" ref="B309">SUM</f>
        <v>#NAME?</v>
      </c>
      <c r="C309" s="1" t="e">
        <f t="array" ref="C309">SUM</f>
        <v>#NAME?</v>
      </c>
      <c r="D309" s="1" t="e">
        <f t="array" ref="D309">SUM</f>
        <v>#NAME?</v>
      </c>
      <c r="E309" s="1" t="e">
        <f t="array" ref="E309">SUM</f>
        <v>#NAME?</v>
      </c>
      <c r="F309" s="1" t="e">
        <f t="array" ref="F309">SUM</f>
        <v>#NAME?</v>
      </c>
      <c r="G309" s="1" t="e">
        <f t="array" ref="G309">SUM</f>
        <v>#NAME?</v>
      </c>
      <c r="H309" s="1" t="e">
        <f t="array" ref="H309">SUM</f>
        <v>#NAME?</v>
      </c>
      <c r="I309" s="1" t="e">
        <f t="array" ref="I309">SUM</f>
        <v>#NAME?</v>
      </c>
      <c r="J309" s="1" t="e">
        <f t="array" ref="J309">SUM</f>
        <v>#NAME?</v>
      </c>
      <c r="K309" s="1" t="e">
        <f t="array" ref="K309">SUM</f>
        <v>#NAME?</v>
      </c>
      <c r="L309" s="1" t="e">
        <f t="array" ref="L309">SUM</f>
        <v>#NAME?</v>
      </c>
      <c r="M309" s="1" t="e">
        <f t="array" ref="M309">SUM</f>
        <v>#NAME?</v>
      </c>
      <c r="N309" s="1" t="e">
        <f t="array" ref="N309">SUM</f>
        <v>#NAME?</v>
      </c>
      <c r="O309" t="s">
        <v>28</v>
      </c>
      <c r="P309">
        <v>2021</v>
      </c>
    </row>
    <row r="310" spans="1:16" x14ac:dyDescent="0.25">
      <c r="A310" t="s">
        <v>16</v>
      </c>
      <c r="B310" s="1" t="e">
        <f t="array" ref="B310">SUM</f>
        <v>#NAME?</v>
      </c>
      <c r="C310" s="1" t="e">
        <f t="array" ref="C310">SUM</f>
        <v>#NAME?</v>
      </c>
      <c r="D310" s="1" t="e">
        <f t="array" ref="D310">SUM</f>
        <v>#NAME?</v>
      </c>
      <c r="E310" s="1" t="e">
        <f t="array" ref="E310">SUM</f>
        <v>#NAME?</v>
      </c>
      <c r="F310" s="1" t="e">
        <f t="array" ref="F310">SUM</f>
        <v>#NAME?</v>
      </c>
      <c r="G310" s="1" t="e">
        <f t="array" ref="G310">SUM</f>
        <v>#NAME?</v>
      </c>
      <c r="H310" s="1" t="e">
        <f t="array" ref="H310">SUM</f>
        <v>#NAME?</v>
      </c>
      <c r="I310" s="1" t="e">
        <f t="array" ref="I310">SUM</f>
        <v>#NAME?</v>
      </c>
      <c r="J310" s="1" t="e">
        <f t="array" ref="J310">SUM</f>
        <v>#NAME?</v>
      </c>
      <c r="K310" s="1" t="e">
        <f t="array" ref="K310">SUM</f>
        <v>#NAME?</v>
      </c>
      <c r="L310" s="1" t="e">
        <f t="array" ref="L310">SUM</f>
        <v>#NAME?</v>
      </c>
      <c r="M310" s="1" t="e">
        <f t="array" ref="M310">SUM</f>
        <v>#NAME?</v>
      </c>
      <c r="N310" s="1" t="e">
        <f t="array" ref="N310">SUM</f>
        <v>#NAME?</v>
      </c>
      <c r="O310" t="s">
        <v>28</v>
      </c>
      <c r="P310">
        <v>2021</v>
      </c>
    </row>
    <row r="311" spans="1:16" x14ac:dyDescent="0.25">
      <c r="A311" t="s">
        <v>16</v>
      </c>
      <c r="B311" s="1" t="e">
        <f t="array" ref="B311">SUM</f>
        <v>#NAME?</v>
      </c>
      <c r="C311" s="1" t="e">
        <f t="array" ref="C311">SUM</f>
        <v>#NAME?</v>
      </c>
      <c r="D311" s="1" t="e">
        <f t="array" ref="D311">SUM</f>
        <v>#NAME?</v>
      </c>
      <c r="E311" s="1" t="e">
        <f t="array" ref="E311">SUM</f>
        <v>#NAME?</v>
      </c>
      <c r="F311" s="1" t="e">
        <f t="array" ref="F311">SUM</f>
        <v>#NAME?</v>
      </c>
      <c r="G311" s="1" t="e">
        <f t="array" ref="G311">SUM</f>
        <v>#NAME?</v>
      </c>
      <c r="H311" s="1" t="e">
        <f t="array" ref="H311">SUM</f>
        <v>#NAME?</v>
      </c>
      <c r="I311" s="1" t="e">
        <f t="array" ref="I311">SUM</f>
        <v>#NAME?</v>
      </c>
      <c r="J311" s="1" t="e">
        <f t="array" ref="J311">SUM</f>
        <v>#NAME?</v>
      </c>
      <c r="K311" s="1" t="e">
        <f t="array" ref="K311">SUM</f>
        <v>#NAME?</v>
      </c>
      <c r="L311" s="1" t="e">
        <f t="array" ref="L311">SUM</f>
        <v>#NAME?</v>
      </c>
      <c r="M311" s="1" t="e">
        <f t="array" ref="M311">SUM</f>
        <v>#NAME?</v>
      </c>
      <c r="N311" s="1" t="e">
        <f t="array" ref="N311">SUM</f>
        <v>#NAME?</v>
      </c>
      <c r="O311" t="s">
        <v>26</v>
      </c>
      <c r="P311">
        <v>2021</v>
      </c>
    </row>
    <row r="312" spans="1:16" x14ac:dyDescent="0.25">
      <c r="A312" t="s">
        <v>16</v>
      </c>
      <c r="B312" s="1" t="e">
        <f t="array" ref="B312">SUM</f>
        <v>#NAME?</v>
      </c>
      <c r="C312" s="1" t="e">
        <f t="array" ref="C312">SUM</f>
        <v>#NAME?</v>
      </c>
      <c r="D312" s="1" t="e">
        <f t="array" ref="D312">SUM</f>
        <v>#NAME?</v>
      </c>
      <c r="E312" s="1" t="e">
        <f t="array" ref="E312">SUM</f>
        <v>#NAME?</v>
      </c>
      <c r="F312" s="1" t="e">
        <f t="array" ref="F312">SUM</f>
        <v>#NAME?</v>
      </c>
      <c r="G312" s="1" t="e">
        <f t="array" ref="G312">SUM</f>
        <v>#NAME?</v>
      </c>
      <c r="H312" s="1" t="e">
        <f t="array" ref="H312">SUM</f>
        <v>#NAME?</v>
      </c>
      <c r="I312" s="1" t="e">
        <f t="array" ref="I312">SUM</f>
        <v>#NAME?</v>
      </c>
      <c r="J312" s="1" t="e">
        <f t="array" ref="J312">SUM</f>
        <v>#NAME?</v>
      </c>
      <c r="K312" s="1" t="e">
        <f t="array" ref="K312">SUM</f>
        <v>#NAME?</v>
      </c>
      <c r="L312" s="1" t="e">
        <f t="array" ref="L312">SUM</f>
        <v>#NAME?</v>
      </c>
      <c r="M312" s="1" t="e">
        <f t="array" ref="M312">SUM</f>
        <v>#NAME?</v>
      </c>
      <c r="N312" s="1" t="e">
        <f t="array" ref="N312">SUM</f>
        <v>#NAME?</v>
      </c>
      <c r="O312" t="s">
        <v>30</v>
      </c>
      <c r="P312">
        <v>2021</v>
      </c>
    </row>
    <row r="313" spans="1:16" x14ac:dyDescent="0.25">
      <c r="A313" t="s">
        <v>18</v>
      </c>
      <c r="B313" s="1" t="e">
        <f t="array" ref="B313">SUM</f>
        <v>#NAME?</v>
      </c>
      <c r="C313" s="1" t="e">
        <f t="array" ref="C313">SUM</f>
        <v>#NAME?</v>
      </c>
      <c r="D313" s="1" t="e">
        <f t="array" ref="D313">SUM</f>
        <v>#NAME?</v>
      </c>
      <c r="E313" s="1" t="e">
        <f t="array" ref="E313">SUM</f>
        <v>#NAME?</v>
      </c>
      <c r="F313" s="1" t="e">
        <f t="array" ref="F313">SUM</f>
        <v>#NAME?</v>
      </c>
      <c r="G313" s="1" t="e">
        <f t="array" ref="G313">SUM</f>
        <v>#NAME?</v>
      </c>
      <c r="H313" s="1" t="e">
        <f t="array" ref="H313">SUM</f>
        <v>#NAME?</v>
      </c>
      <c r="I313" s="1" t="e">
        <f t="array" ref="I313">SUM</f>
        <v>#NAME?</v>
      </c>
      <c r="J313" s="1" t="e">
        <f t="array" ref="J313">SUM</f>
        <v>#NAME?</v>
      </c>
      <c r="K313" s="1" t="e">
        <f t="array" ref="K313">SUM</f>
        <v>#NAME?</v>
      </c>
      <c r="L313" s="1" t="e">
        <f t="array" ref="L313">SUM</f>
        <v>#NAME?</v>
      </c>
      <c r="M313" s="1" t="e">
        <f t="array" ref="M313">SUM</f>
        <v>#NAME?</v>
      </c>
      <c r="N313" s="1" t="e">
        <f t="array" ref="N313">SUM</f>
        <v>#NAME?</v>
      </c>
      <c r="O313" t="s">
        <v>28</v>
      </c>
      <c r="P313">
        <v>2021</v>
      </c>
    </row>
    <row r="314" spans="1:16" x14ac:dyDescent="0.25">
      <c r="A314" t="s">
        <v>22</v>
      </c>
      <c r="B314" s="1" t="e">
        <f t="array" ref="B314">SUM</f>
        <v>#NAME?</v>
      </c>
      <c r="C314" s="1" t="e">
        <f t="array" ref="C314">SUM</f>
        <v>#NAME?</v>
      </c>
      <c r="D314" s="1" t="e">
        <f t="array" ref="D314">SUM</f>
        <v>#NAME?</v>
      </c>
      <c r="E314" s="1" t="e">
        <f t="array" ref="E314">SUM</f>
        <v>#NAME?</v>
      </c>
      <c r="F314" s="1" t="e">
        <f t="array" ref="F314">SUM</f>
        <v>#NAME?</v>
      </c>
      <c r="G314" s="1" t="e">
        <f t="array" ref="G314">SUM</f>
        <v>#NAME?</v>
      </c>
      <c r="H314" s="1" t="e">
        <f t="array" ref="H314">SUM</f>
        <v>#NAME?</v>
      </c>
      <c r="I314" s="1" t="e">
        <f t="array" ref="I314">SUM</f>
        <v>#NAME?</v>
      </c>
      <c r="J314" s="1" t="e">
        <f t="array" ref="J314">SUM</f>
        <v>#NAME?</v>
      </c>
      <c r="K314" s="1" t="e">
        <f t="array" ref="K314">SUM</f>
        <v>#NAME?</v>
      </c>
      <c r="L314" s="1" t="e">
        <f t="array" ref="L314">SUM</f>
        <v>#NAME?</v>
      </c>
      <c r="M314" s="1" t="e">
        <f t="array" ref="M314">SUM</f>
        <v>#NAME?</v>
      </c>
      <c r="N314" s="1" t="e">
        <f t="array" ref="N314">SUM</f>
        <v>#NAME?</v>
      </c>
      <c r="O314" t="s">
        <v>29</v>
      </c>
      <c r="P314">
        <v>2021</v>
      </c>
    </row>
    <row r="315" spans="1:16" x14ac:dyDescent="0.25">
      <c r="A315" t="s">
        <v>22</v>
      </c>
      <c r="B315" s="1" t="e">
        <f t="array" ref="B315">SUM</f>
        <v>#NAME?</v>
      </c>
      <c r="C315" s="1" t="e">
        <f t="array" ref="C315">SUM</f>
        <v>#NAME?</v>
      </c>
      <c r="D315" s="1" t="e">
        <f t="array" ref="D315">SUM</f>
        <v>#NAME?</v>
      </c>
      <c r="E315" s="1" t="e">
        <f t="array" ref="E315">SUM</f>
        <v>#NAME?</v>
      </c>
      <c r="F315" s="1" t="e">
        <f t="array" ref="F315">SUM</f>
        <v>#NAME?</v>
      </c>
      <c r="G315" s="1" t="e">
        <f t="array" ref="G315">SUM</f>
        <v>#NAME?</v>
      </c>
      <c r="H315" s="1" t="e">
        <f t="array" ref="H315">SUM</f>
        <v>#NAME?</v>
      </c>
      <c r="I315" s="1" t="e">
        <f t="array" ref="I315">SUM</f>
        <v>#NAME?</v>
      </c>
      <c r="J315" s="1" t="e">
        <f t="array" ref="J315">SUM</f>
        <v>#NAME?</v>
      </c>
      <c r="K315" s="1" t="e">
        <f t="array" ref="K315">SUM</f>
        <v>#NAME?</v>
      </c>
      <c r="L315" s="1" t="e">
        <f t="array" ref="L315">SUM</f>
        <v>#NAME?</v>
      </c>
      <c r="M315" s="1" t="e">
        <f t="array" ref="M315">SUM</f>
        <v>#NAME?</v>
      </c>
      <c r="N315" s="1" t="e">
        <f t="array" ref="N315">SUM</f>
        <v>#NAME?</v>
      </c>
      <c r="O315" t="s">
        <v>26</v>
      </c>
      <c r="P315">
        <v>2021</v>
      </c>
    </row>
    <row r="316" spans="1:16" x14ac:dyDescent="0.25">
      <c r="A316" t="s">
        <v>16</v>
      </c>
      <c r="B316" s="1" t="e">
        <f t="array" ref="B316">SUM</f>
        <v>#NAME?</v>
      </c>
      <c r="C316" s="1" t="e">
        <f t="array" ref="C316">SUM</f>
        <v>#NAME?</v>
      </c>
      <c r="D316" s="1" t="e">
        <f t="array" ref="D316">SUM</f>
        <v>#NAME?</v>
      </c>
      <c r="E316" s="1" t="e">
        <f t="array" ref="E316">SUM</f>
        <v>#NAME?</v>
      </c>
      <c r="F316" s="1" t="e">
        <f t="array" ref="F316">SUM</f>
        <v>#NAME?</v>
      </c>
      <c r="G316" s="1" t="e">
        <f t="array" ref="G316">SUM</f>
        <v>#NAME?</v>
      </c>
      <c r="H316" s="1" t="e">
        <f t="array" ref="H316">SUM</f>
        <v>#NAME?</v>
      </c>
      <c r="I316" s="1" t="e">
        <f t="array" ref="I316">SUM</f>
        <v>#NAME?</v>
      </c>
      <c r="J316" s="1" t="e">
        <f t="array" ref="J316">SUM</f>
        <v>#NAME?</v>
      </c>
      <c r="K316" s="1" t="e">
        <f t="array" ref="K316">SUM</f>
        <v>#NAME?</v>
      </c>
      <c r="L316" s="1" t="e">
        <f t="array" ref="L316">SUM</f>
        <v>#NAME?</v>
      </c>
      <c r="M316" s="1" t="e">
        <f t="array" ref="M316">SUM</f>
        <v>#NAME?</v>
      </c>
      <c r="N316" s="1" t="e">
        <f t="array" ref="N316">SUM</f>
        <v>#NAME?</v>
      </c>
      <c r="O316" t="s">
        <v>27</v>
      </c>
      <c r="P316">
        <v>2021</v>
      </c>
    </row>
    <row r="317" spans="1:16" x14ac:dyDescent="0.25">
      <c r="A317" t="s">
        <v>22</v>
      </c>
      <c r="B317" s="1" t="e">
        <f t="array" ref="B317">SUM</f>
        <v>#NAME?</v>
      </c>
      <c r="C317" s="1" t="e">
        <f t="array" ref="C317">SUM</f>
        <v>#NAME?</v>
      </c>
      <c r="D317" s="1" t="e">
        <f t="array" ref="D317">SUM</f>
        <v>#NAME?</v>
      </c>
      <c r="E317" s="1" t="e">
        <f t="array" ref="E317">SUM</f>
        <v>#NAME?</v>
      </c>
      <c r="F317" s="1" t="e">
        <f t="array" ref="F317">SUM</f>
        <v>#NAME?</v>
      </c>
      <c r="G317" s="1" t="e">
        <f t="array" ref="G317">SUM</f>
        <v>#NAME?</v>
      </c>
      <c r="H317" s="1" t="e">
        <f t="array" ref="H317">SUM</f>
        <v>#NAME?</v>
      </c>
      <c r="I317" s="1" t="e">
        <f t="array" ref="I317">SUM</f>
        <v>#NAME?</v>
      </c>
      <c r="J317" s="1" t="e">
        <f t="array" ref="J317">SUM</f>
        <v>#NAME?</v>
      </c>
      <c r="K317" s="1" t="e">
        <f t="array" ref="K317">SUM</f>
        <v>#NAME?</v>
      </c>
      <c r="L317" s="1" t="e">
        <f t="array" ref="L317">SUM</f>
        <v>#NAME?</v>
      </c>
      <c r="M317" s="1" t="e">
        <f t="array" ref="M317">SUM</f>
        <v>#NAME?</v>
      </c>
      <c r="N317" s="1" t="e">
        <f t="array" ref="N317">SUM</f>
        <v>#NAME?</v>
      </c>
      <c r="O317" t="s">
        <v>17</v>
      </c>
      <c r="P317">
        <v>2021</v>
      </c>
    </row>
    <row r="318" spans="1:16" x14ac:dyDescent="0.25">
      <c r="A318" t="s">
        <v>22</v>
      </c>
      <c r="B318" s="1" t="e">
        <f t="array" ref="B318">SUM</f>
        <v>#NAME?</v>
      </c>
      <c r="C318" s="1" t="e">
        <f t="array" ref="C318">SUM</f>
        <v>#NAME?</v>
      </c>
      <c r="D318" s="1" t="e">
        <f t="array" ref="D318">SUM</f>
        <v>#NAME?</v>
      </c>
      <c r="E318" s="1" t="e">
        <f t="array" ref="E318">SUM</f>
        <v>#NAME?</v>
      </c>
      <c r="F318" s="1" t="e">
        <f t="array" ref="F318">SUM</f>
        <v>#NAME?</v>
      </c>
      <c r="G318" s="1" t="e">
        <f t="array" ref="G318">SUM</f>
        <v>#NAME?</v>
      </c>
      <c r="H318" s="1" t="e">
        <f t="array" ref="H318">SUM</f>
        <v>#NAME?</v>
      </c>
      <c r="I318" s="1" t="e">
        <f t="array" ref="I318">SUM</f>
        <v>#NAME?</v>
      </c>
      <c r="J318" s="1" t="e">
        <f t="array" ref="J318">SUM</f>
        <v>#NAME?</v>
      </c>
      <c r="K318" s="1" t="e">
        <f t="array" ref="K318">SUM</f>
        <v>#NAME?</v>
      </c>
      <c r="L318" s="1" t="e">
        <f t="array" ref="L318">SUM</f>
        <v>#NAME?</v>
      </c>
      <c r="M318" s="1" t="e">
        <f t="array" ref="M318">SUM</f>
        <v>#NAME?</v>
      </c>
      <c r="N318" s="1" t="e">
        <f t="array" ref="N318">SUM</f>
        <v>#NAME?</v>
      </c>
      <c r="O318" t="s">
        <v>30</v>
      </c>
      <c r="P318">
        <v>2021</v>
      </c>
    </row>
    <row r="319" spans="1:16" x14ac:dyDescent="0.25">
      <c r="A319" t="s">
        <v>16</v>
      </c>
      <c r="B319" s="1" t="e">
        <f t="array" ref="B319">SUM</f>
        <v>#NAME?</v>
      </c>
      <c r="C319" s="1" t="e">
        <f t="array" ref="C319">SUM</f>
        <v>#NAME?</v>
      </c>
      <c r="D319" s="1" t="e">
        <f t="array" ref="D319">SUM</f>
        <v>#NAME?</v>
      </c>
      <c r="E319" s="1" t="e">
        <f t="array" ref="E319">SUM</f>
        <v>#NAME?</v>
      </c>
      <c r="F319" s="1" t="e">
        <f t="array" ref="F319">SUM</f>
        <v>#NAME?</v>
      </c>
      <c r="G319" s="1" t="e">
        <f t="array" ref="G319">SUM</f>
        <v>#NAME?</v>
      </c>
      <c r="H319" s="1" t="e">
        <f t="array" ref="H319">SUM</f>
        <v>#NAME?</v>
      </c>
      <c r="I319" s="1" t="e">
        <f t="array" ref="I319">SUM</f>
        <v>#NAME?</v>
      </c>
      <c r="J319" s="1" t="e">
        <f t="array" ref="J319">SUM</f>
        <v>#NAME?</v>
      </c>
      <c r="K319" s="1" t="e">
        <f t="array" ref="K319">SUM</f>
        <v>#NAME?</v>
      </c>
      <c r="L319" s="1" t="e">
        <f t="array" ref="L319">SUM</f>
        <v>#NAME?</v>
      </c>
      <c r="M319" s="1" t="e">
        <f t="array" ref="M319">SUM</f>
        <v>#NAME?</v>
      </c>
      <c r="N319" s="1" t="e">
        <f t="array" ref="N319">SUM</f>
        <v>#NAME?</v>
      </c>
      <c r="O319" t="s">
        <v>27</v>
      </c>
      <c r="P319">
        <v>2021</v>
      </c>
    </row>
    <row r="320" spans="1:16" x14ac:dyDescent="0.25">
      <c r="A320" t="s">
        <v>18</v>
      </c>
      <c r="B320" s="1" t="e">
        <f t="array" ref="B320">SUM</f>
        <v>#NAME?</v>
      </c>
      <c r="C320" s="1" t="e">
        <f t="array" ref="C320">SUM</f>
        <v>#NAME?</v>
      </c>
      <c r="D320" s="1" t="e">
        <f t="array" ref="D320">SUM</f>
        <v>#NAME?</v>
      </c>
      <c r="E320" s="1" t="e">
        <f t="array" ref="E320">SUM</f>
        <v>#NAME?</v>
      </c>
      <c r="F320" s="1" t="e">
        <f t="array" ref="F320">SUM</f>
        <v>#NAME?</v>
      </c>
      <c r="G320" s="1" t="e">
        <f t="array" ref="G320">SUM</f>
        <v>#NAME?</v>
      </c>
      <c r="H320" s="1" t="e">
        <f t="array" ref="H320">SUM</f>
        <v>#NAME?</v>
      </c>
      <c r="I320" s="1" t="e">
        <f t="array" ref="I320">SUM</f>
        <v>#NAME?</v>
      </c>
      <c r="J320" s="1" t="e">
        <f t="array" ref="J320">SUM</f>
        <v>#NAME?</v>
      </c>
      <c r="K320" s="1" t="e">
        <f t="array" ref="K320">SUM</f>
        <v>#NAME?</v>
      </c>
      <c r="L320" s="1" t="e">
        <f t="array" ref="L320">SUM</f>
        <v>#NAME?</v>
      </c>
      <c r="M320" s="1" t="e">
        <f t="array" ref="M320">SUM</f>
        <v>#NAME?</v>
      </c>
      <c r="N320" s="1" t="e">
        <f t="array" ref="N320">SUM</f>
        <v>#NAME?</v>
      </c>
      <c r="O320" t="s">
        <v>32</v>
      </c>
      <c r="P320">
        <v>2021</v>
      </c>
    </row>
    <row r="321" spans="1:16" x14ac:dyDescent="0.25">
      <c r="A321" t="s">
        <v>16</v>
      </c>
      <c r="B321" s="1" t="e">
        <f t="array" ref="B321">SUM</f>
        <v>#NAME?</v>
      </c>
      <c r="C321" s="1" t="e">
        <f t="array" ref="C321">SUM</f>
        <v>#NAME?</v>
      </c>
      <c r="D321" s="1" t="e">
        <f t="array" ref="D321">SUM</f>
        <v>#NAME?</v>
      </c>
      <c r="E321" s="1" t="e">
        <f t="array" ref="E321">SUM</f>
        <v>#NAME?</v>
      </c>
      <c r="F321" s="1" t="e">
        <f t="array" ref="F321">SUM</f>
        <v>#NAME?</v>
      </c>
      <c r="G321" s="1" t="e">
        <f t="array" ref="G321">SUM</f>
        <v>#NAME?</v>
      </c>
      <c r="H321" s="1" t="e">
        <f t="array" ref="H321">SUM</f>
        <v>#NAME?</v>
      </c>
      <c r="I321" s="1" t="e">
        <f t="array" ref="I321">SUM</f>
        <v>#NAME?</v>
      </c>
      <c r="J321" s="1" t="e">
        <f t="array" ref="J321">SUM</f>
        <v>#NAME?</v>
      </c>
      <c r="K321" s="1" t="e">
        <f t="array" ref="K321">SUM</f>
        <v>#NAME?</v>
      </c>
      <c r="L321" s="1" t="e">
        <f t="array" ref="L321">SUM</f>
        <v>#NAME?</v>
      </c>
      <c r="M321" s="1" t="e">
        <f t="array" ref="M321">SUM</f>
        <v>#NAME?</v>
      </c>
      <c r="N321" s="1" t="e">
        <f t="array" ref="N321">SUM</f>
        <v>#NAME?</v>
      </c>
      <c r="O321" t="s">
        <v>19</v>
      </c>
      <c r="P321">
        <v>2021</v>
      </c>
    </row>
    <row r="322" spans="1:16" x14ac:dyDescent="0.25">
      <c r="A322" t="s">
        <v>16</v>
      </c>
      <c r="B322" s="1" t="e">
        <f t="array" ref="B322">SUM</f>
        <v>#NAME?</v>
      </c>
      <c r="C322" s="1" t="e">
        <f t="array" ref="C322">SUM</f>
        <v>#NAME?</v>
      </c>
      <c r="D322" s="1" t="e">
        <f t="array" ref="D322">SUM</f>
        <v>#NAME?</v>
      </c>
      <c r="E322" s="1" t="e">
        <f t="array" ref="E322">SUM</f>
        <v>#NAME?</v>
      </c>
      <c r="F322" s="1" t="e">
        <f t="array" ref="F322">SUM</f>
        <v>#NAME?</v>
      </c>
      <c r="G322" s="1" t="e">
        <f t="array" ref="G322">SUM</f>
        <v>#NAME?</v>
      </c>
      <c r="H322" s="1" t="e">
        <f t="array" ref="H322">SUM</f>
        <v>#NAME?</v>
      </c>
      <c r="I322" s="1" t="e">
        <f t="array" ref="I322">SUM</f>
        <v>#NAME?</v>
      </c>
      <c r="J322" s="1" t="e">
        <f t="array" ref="J322">SUM</f>
        <v>#NAME?</v>
      </c>
      <c r="K322" s="1" t="e">
        <f t="array" ref="K322">SUM</f>
        <v>#NAME?</v>
      </c>
      <c r="L322" s="1" t="e">
        <f t="array" ref="L322">SUM</f>
        <v>#NAME?</v>
      </c>
      <c r="M322" s="1" t="e">
        <f t="array" ref="M322">SUM</f>
        <v>#NAME?</v>
      </c>
      <c r="N322" s="1" t="e">
        <f t="array" ref="N322">SUM</f>
        <v>#NAME?</v>
      </c>
      <c r="O322" t="s">
        <v>30</v>
      </c>
      <c r="P322">
        <v>2021</v>
      </c>
    </row>
    <row r="323" spans="1:16" x14ac:dyDescent="0.25">
      <c r="A323" t="s">
        <v>16</v>
      </c>
      <c r="B323" s="1" t="e">
        <f t="array" ref="B323">SUM</f>
        <v>#NAME?</v>
      </c>
      <c r="C323" s="1" t="e">
        <f t="array" ref="C323">SUM</f>
        <v>#NAME?</v>
      </c>
      <c r="D323" s="1" t="e">
        <f t="array" ref="D323">SUM</f>
        <v>#NAME?</v>
      </c>
      <c r="E323" s="1" t="e">
        <f t="array" ref="E323">SUM</f>
        <v>#NAME?</v>
      </c>
      <c r="F323" s="1" t="e">
        <f t="array" ref="F323">SUM</f>
        <v>#NAME?</v>
      </c>
      <c r="G323" s="1" t="e">
        <f t="array" ref="G323">SUM</f>
        <v>#NAME?</v>
      </c>
      <c r="H323" s="1" t="e">
        <f t="array" ref="H323">SUM</f>
        <v>#NAME?</v>
      </c>
      <c r="I323" s="1" t="e">
        <f t="array" ref="I323">SUM</f>
        <v>#NAME?</v>
      </c>
      <c r="J323" s="1" t="e">
        <f t="array" ref="J323">SUM</f>
        <v>#NAME?</v>
      </c>
      <c r="K323" s="1" t="e">
        <f t="array" ref="K323">SUM</f>
        <v>#NAME?</v>
      </c>
      <c r="L323" s="1" t="e">
        <f t="array" ref="L323">SUM</f>
        <v>#NAME?</v>
      </c>
      <c r="M323" s="1" t="e">
        <f t="array" ref="M323">SUM</f>
        <v>#NAME?</v>
      </c>
      <c r="N323" s="1" t="e">
        <f t="array" ref="N323">SUM</f>
        <v>#NAME?</v>
      </c>
      <c r="O323" t="s">
        <v>20</v>
      </c>
      <c r="P323">
        <v>2021</v>
      </c>
    </row>
    <row r="324" spans="1:16" x14ac:dyDescent="0.25">
      <c r="A324" t="s">
        <v>22</v>
      </c>
      <c r="B324" s="1" t="e">
        <f t="array" ref="B324">SUM</f>
        <v>#NAME?</v>
      </c>
      <c r="C324" s="1" t="e">
        <f t="array" ref="C324">SUM</f>
        <v>#NAME?</v>
      </c>
      <c r="D324" s="1" t="e">
        <f t="array" ref="D324">SUM</f>
        <v>#NAME?</v>
      </c>
      <c r="E324" s="1" t="e">
        <f t="array" ref="E324">SUM</f>
        <v>#NAME?</v>
      </c>
      <c r="F324" s="1" t="e">
        <f t="array" ref="F324">SUM</f>
        <v>#NAME?</v>
      </c>
      <c r="G324" s="1" t="e">
        <f t="array" ref="G324">SUM</f>
        <v>#NAME?</v>
      </c>
      <c r="H324" s="1" t="e">
        <f t="array" ref="H324">SUM</f>
        <v>#NAME?</v>
      </c>
      <c r="I324" s="1" t="e">
        <f t="array" ref="I324">SUM</f>
        <v>#NAME?</v>
      </c>
      <c r="J324" s="1" t="e">
        <f t="array" ref="J324">SUM</f>
        <v>#NAME?</v>
      </c>
      <c r="K324" s="1" t="e">
        <f t="array" ref="K324">SUM</f>
        <v>#NAME?</v>
      </c>
      <c r="L324" s="1" t="e">
        <f t="array" ref="L324">SUM</f>
        <v>#NAME?</v>
      </c>
      <c r="M324" s="1" t="e">
        <f t="array" ref="M324">SUM</f>
        <v>#NAME?</v>
      </c>
      <c r="N324" s="1" t="e">
        <f t="array" ref="N324">SUM</f>
        <v>#NAME?</v>
      </c>
      <c r="O324" t="s">
        <v>31</v>
      </c>
      <c r="P324">
        <v>2021</v>
      </c>
    </row>
    <row r="325" spans="1:16" x14ac:dyDescent="0.25">
      <c r="A325" t="s">
        <v>22</v>
      </c>
      <c r="B325" s="1" t="e">
        <f t="array" ref="B325">SUM</f>
        <v>#NAME?</v>
      </c>
      <c r="C325" s="1" t="e">
        <f t="array" ref="C325">SUM</f>
        <v>#NAME?</v>
      </c>
      <c r="D325" s="1" t="e">
        <f t="array" ref="D325">SUM</f>
        <v>#NAME?</v>
      </c>
      <c r="E325" s="1" t="e">
        <f t="array" ref="E325">SUM</f>
        <v>#NAME?</v>
      </c>
      <c r="F325" s="1" t="e">
        <f t="array" ref="F325">SUM</f>
        <v>#NAME?</v>
      </c>
      <c r="G325" s="1" t="e">
        <f t="array" ref="G325">SUM</f>
        <v>#NAME?</v>
      </c>
      <c r="H325" s="1" t="e">
        <f t="array" ref="H325">SUM</f>
        <v>#NAME?</v>
      </c>
      <c r="I325" s="1" t="e">
        <f t="array" ref="I325">SUM</f>
        <v>#NAME?</v>
      </c>
      <c r="J325" s="1" t="e">
        <f t="array" ref="J325">SUM</f>
        <v>#NAME?</v>
      </c>
      <c r="K325" s="1" t="e">
        <f t="array" ref="K325">SUM</f>
        <v>#NAME?</v>
      </c>
      <c r="L325" s="1" t="e">
        <f t="array" ref="L325">SUM</f>
        <v>#NAME?</v>
      </c>
      <c r="M325" s="1" t="e">
        <f t="array" ref="M325">SUM</f>
        <v>#NAME?</v>
      </c>
      <c r="N325" s="1" t="e">
        <f t="array" ref="N325">SUM</f>
        <v>#NAME?</v>
      </c>
      <c r="O325" t="s">
        <v>27</v>
      </c>
      <c r="P325">
        <v>2021</v>
      </c>
    </row>
    <row r="326" spans="1:16" x14ac:dyDescent="0.25">
      <c r="A326" t="s">
        <v>16</v>
      </c>
      <c r="B326" s="1" t="e">
        <f t="array" ref="B326">SUM</f>
        <v>#NAME?</v>
      </c>
      <c r="C326" s="1" t="e">
        <f t="array" ref="C326">SUM</f>
        <v>#NAME?</v>
      </c>
      <c r="D326" s="1" t="e">
        <f t="array" ref="D326">SUM</f>
        <v>#NAME?</v>
      </c>
      <c r="E326" s="1" t="e">
        <f t="array" ref="E326">SUM</f>
        <v>#NAME?</v>
      </c>
      <c r="F326" s="1" t="e">
        <f t="array" ref="F326">SUM</f>
        <v>#NAME?</v>
      </c>
      <c r="G326" s="1" t="e">
        <f t="array" ref="G326">SUM</f>
        <v>#NAME?</v>
      </c>
      <c r="H326" s="1" t="e">
        <f t="array" ref="H326">SUM</f>
        <v>#NAME?</v>
      </c>
      <c r="I326" s="1" t="e">
        <f t="array" ref="I326">SUM</f>
        <v>#NAME?</v>
      </c>
      <c r="J326" s="1" t="e">
        <f t="array" ref="J326">SUM</f>
        <v>#NAME?</v>
      </c>
      <c r="K326" s="1" t="e">
        <f t="array" ref="K326">SUM</f>
        <v>#NAME?</v>
      </c>
      <c r="L326" s="1" t="e">
        <f t="array" ref="L326">SUM</f>
        <v>#NAME?</v>
      </c>
      <c r="M326" s="1" t="e">
        <f t="array" ref="M326">SUM</f>
        <v>#NAME?</v>
      </c>
      <c r="N326" s="1" t="e">
        <f t="array" ref="N326">SUM</f>
        <v>#NAME?</v>
      </c>
      <c r="O326" t="s">
        <v>20</v>
      </c>
      <c r="P326">
        <v>2021</v>
      </c>
    </row>
    <row r="327" spans="1:16" x14ac:dyDescent="0.25">
      <c r="A327" t="s">
        <v>16</v>
      </c>
      <c r="B327" s="1" t="e">
        <f t="array" ref="B327">SUM</f>
        <v>#NAME?</v>
      </c>
      <c r="C327" s="1" t="e">
        <f t="array" ref="C327">SUM</f>
        <v>#NAME?</v>
      </c>
      <c r="D327" s="1" t="e">
        <f t="array" ref="D327">SUM</f>
        <v>#NAME?</v>
      </c>
      <c r="E327" s="1" t="e">
        <f t="array" ref="E327">SUM</f>
        <v>#NAME?</v>
      </c>
      <c r="F327" s="1" t="e">
        <f t="array" ref="F327">SUM</f>
        <v>#NAME?</v>
      </c>
      <c r="G327" s="1" t="e">
        <f t="array" ref="G327">SUM</f>
        <v>#NAME?</v>
      </c>
      <c r="H327" s="1" t="e">
        <f t="array" ref="H327">SUM</f>
        <v>#NAME?</v>
      </c>
      <c r="I327" s="1" t="e">
        <f t="array" ref="I327">SUM</f>
        <v>#NAME?</v>
      </c>
      <c r="J327" s="1" t="e">
        <f t="array" ref="J327">SUM</f>
        <v>#NAME?</v>
      </c>
      <c r="K327" s="1" t="e">
        <f t="array" ref="K327">SUM</f>
        <v>#NAME?</v>
      </c>
      <c r="L327" s="1" t="e">
        <f t="array" ref="L327">SUM</f>
        <v>#NAME?</v>
      </c>
      <c r="M327" s="1" t="e">
        <f t="array" ref="M327">SUM</f>
        <v>#NAME?</v>
      </c>
      <c r="N327" s="1" t="e">
        <f t="array" ref="N327">SUM</f>
        <v>#NAME?</v>
      </c>
      <c r="O327" t="s">
        <v>19</v>
      </c>
      <c r="P327">
        <v>2021</v>
      </c>
    </row>
    <row r="328" spans="1:16" x14ac:dyDescent="0.25">
      <c r="A328" t="s">
        <v>16</v>
      </c>
      <c r="B328" s="1" t="e">
        <f t="array" ref="B328">SUM</f>
        <v>#NAME?</v>
      </c>
      <c r="C328" s="1" t="e">
        <f t="array" ref="C328">SUM</f>
        <v>#NAME?</v>
      </c>
      <c r="D328" s="1" t="e">
        <f t="array" ref="D328">SUM</f>
        <v>#NAME?</v>
      </c>
      <c r="E328" s="1" t="e">
        <f t="array" ref="E328">SUM</f>
        <v>#NAME?</v>
      </c>
      <c r="F328" s="1" t="e">
        <f t="array" ref="F328">SUM</f>
        <v>#NAME?</v>
      </c>
      <c r="G328" s="1" t="e">
        <f t="array" ref="G328">SUM</f>
        <v>#NAME?</v>
      </c>
      <c r="H328" s="1" t="e">
        <f t="array" ref="H328">SUM</f>
        <v>#NAME?</v>
      </c>
      <c r="I328" s="1" t="e">
        <f t="array" ref="I328">SUM</f>
        <v>#NAME?</v>
      </c>
      <c r="J328" s="1" t="e">
        <f t="array" ref="J328">SUM</f>
        <v>#NAME?</v>
      </c>
      <c r="K328" s="1" t="e">
        <f t="array" ref="K328">SUM</f>
        <v>#NAME?</v>
      </c>
      <c r="L328" s="1" t="e">
        <f t="array" ref="L328">SUM</f>
        <v>#NAME?</v>
      </c>
      <c r="M328" s="1" t="e">
        <f t="array" ref="M328">SUM</f>
        <v>#NAME?</v>
      </c>
      <c r="N328" s="1" t="e">
        <f t="array" ref="N328">SUM</f>
        <v>#NAME?</v>
      </c>
      <c r="O328" t="s">
        <v>21</v>
      </c>
      <c r="P328">
        <v>2021</v>
      </c>
    </row>
    <row r="329" spans="1:16" x14ac:dyDescent="0.25">
      <c r="A329" t="s">
        <v>25</v>
      </c>
      <c r="B329" s="1" t="e">
        <f t="array" ref="B329">SUM</f>
        <v>#NAME?</v>
      </c>
      <c r="C329" s="1" t="e">
        <f t="array" ref="C329">SUM</f>
        <v>#NAME?</v>
      </c>
      <c r="D329" s="1" t="e">
        <f t="array" ref="D329">SUM</f>
        <v>#NAME?</v>
      </c>
      <c r="E329" s="1" t="e">
        <f t="array" ref="E329">SUM</f>
        <v>#NAME?</v>
      </c>
      <c r="F329" s="1" t="e">
        <f t="array" ref="F329">SUM</f>
        <v>#NAME?</v>
      </c>
      <c r="G329" s="1" t="e">
        <f t="array" ref="G329">SUM</f>
        <v>#NAME?</v>
      </c>
      <c r="H329" s="1" t="e">
        <f t="array" ref="H329">SUM</f>
        <v>#NAME?</v>
      </c>
      <c r="I329" s="1" t="e">
        <f t="array" ref="I329">SUM</f>
        <v>#NAME?</v>
      </c>
      <c r="J329" s="1" t="e">
        <f t="array" ref="J329">SUM</f>
        <v>#NAME?</v>
      </c>
      <c r="K329" s="1" t="e">
        <f t="array" ref="K329">SUM</f>
        <v>#NAME?</v>
      </c>
      <c r="L329" s="1" t="e">
        <f t="array" ref="L329">SUM</f>
        <v>#NAME?</v>
      </c>
      <c r="M329" s="1" t="e">
        <f t="array" ref="M329">SUM</f>
        <v>#NAME?</v>
      </c>
      <c r="N329" s="1" t="e">
        <f t="array" ref="N329">SUM</f>
        <v>#NAME?</v>
      </c>
      <c r="O329" t="s">
        <v>19</v>
      </c>
      <c r="P329">
        <v>2021</v>
      </c>
    </row>
    <row r="330" spans="1:16" x14ac:dyDescent="0.25">
      <c r="A330" t="s">
        <v>25</v>
      </c>
      <c r="B330" s="1" t="e">
        <f t="array" ref="B330">SUM</f>
        <v>#NAME?</v>
      </c>
      <c r="C330" s="1" t="e">
        <f t="array" ref="C330">SUM</f>
        <v>#NAME?</v>
      </c>
      <c r="D330" s="1" t="e">
        <f t="array" ref="D330">SUM</f>
        <v>#NAME?</v>
      </c>
      <c r="E330" s="1" t="e">
        <f t="array" ref="E330">SUM</f>
        <v>#NAME?</v>
      </c>
      <c r="F330" s="1" t="e">
        <f t="array" ref="F330">SUM</f>
        <v>#NAME?</v>
      </c>
      <c r="G330" s="1" t="e">
        <f t="array" ref="G330">SUM</f>
        <v>#NAME?</v>
      </c>
      <c r="H330" s="1" t="e">
        <f t="array" ref="H330">SUM</f>
        <v>#NAME?</v>
      </c>
      <c r="I330" s="1" t="e">
        <f t="array" ref="I330">SUM</f>
        <v>#NAME?</v>
      </c>
      <c r="J330" s="1" t="e">
        <f t="array" ref="J330">SUM</f>
        <v>#NAME?</v>
      </c>
      <c r="K330" s="1" t="e">
        <f t="array" ref="K330">SUM</f>
        <v>#NAME?</v>
      </c>
      <c r="L330" s="1" t="e">
        <f t="array" ref="L330">SUM</f>
        <v>#NAME?</v>
      </c>
      <c r="M330" s="1" t="e">
        <f t="array" ref="M330">SUM</f>
        <v>#NAME?</v>
      </c>
      <c r="N330" s="1" t="e">
        <f t="array" ref="N330">SUM</f>
        <v>#NAME?</v>
      </c>
      <c r="O330" t="s">
        <v>28</v>
      </c>
      <c r="P330">
        <v>2021</v>
      </c>
    </row>
    <row r="331" spans="1:16" x14ac:dyDescent="0.25">
      <c r="A331" t="s">
        <v>16</v>
      </c>
      <c r="B331" s="1" t="e">
        <f t="array" ref="B331">SUM</f>
        <v>#NAME?</v>
      </c>
      <c r="C331" s="1" t="e">
        <f t="array" ref="C331">SUM</f>
        <v>#NAME?</v>
      </c>
      <c r="D331" s="1" t="e">
        <f t="array" ref="D331">SUM</f>
        <v>#NAME?</v>
      </c>
      <c r="E331" s="1" t="e">
        <f t="array" ref="E331">SUM</f>
        <v>#NAME?</v>
      </c>
      <c r="F331" s="1" t="e">
        <f t="array" ref="F331">SUM</f>
        <v>#NAME?</v>
      </c>
      <c r="G331" s="1" t="e">
        <f t="array" ref="G331">SUM</f>
        <v>#NAME?</v>
      </c>
      <c r="H331" s="1" t="e">
        <f t="array" ref="H331">SUM</f>
        <v>#NAME?</v>
      </c>
      <c r="I331" s="1" t="e">
        <f t="array" ref="I331">SUM</f>
        <v>#NAME?</v>
      </c>
      <c r="J331" s="1" t="e">
        <f t="array" ref="J331">SUM</f>
        <v>#NAME?</v>
      </c>
      <c r="K331" s="1" t="e">
        <f t="array" ref="K331">SUM</f>
        <v>#NAME?</v>
      </c>
      <c r="L331" s="1" t="e">
        <f t="array" ref="L331">SUM</f>
        <v>#NAME?</v>
      </c>
      <c r="M331" s="1" t="e">
        <f t="array" ref="M331">SUM</f>
        <v>#NAME?</v>
      </c>
      <c r="N331" s="1" t="e">
        <f t="array" ref="N331">SUM</f>
        <v>#NAME?</v>
      </c>
      <c r="O331" t="s">
        <v>28</v>
      </c>
      <c r="P331">
        <v>2021</v>
      </c>
    </row>
    <row r="332" spans="1:16" x14ac:dyDescent="0.25">
      <c r="A332" t="s">
        <v>25</v>
      </c>
      <c r="B332" s="1" t="e">
        <f t="array" ref="B332">SUM</f>
        <v>#NAME?</v>
      </c>
      <c r="C332" s="1" t="e">
        <f t="array" ref="C332">SUM</f>
        <v>#NAME?</v>
      </c>
      <c r="D332" s="1" t="e">
        <f t="array" ref="D332">SUM</f>
        <v>#NAME?</v>
      </c>
      <c r="E332" s="1" t="e">
        <f t="array" ref="E332">SUM</f>
        <v>#NAME?</v>
      </c>
      <c r="F332" s="1" t="e">
        <f t="array" ref="F332">SUM</f>
        <v>#NAME?</v>
      </c>
      <c r="G332" s="1" t="e">
        <f t="array" ref="G332">SUM</f>
        <v>#NAME?</v>
      </c>
      <c r="H332" s="1" t="e">
        <f t="array" ref="H332">SUM</f>
        <v>#NAME?</v>
      </c>
      <c r="I332" s="1" t="e">
        <f t="array" ref="I332">SUM</f>
        <v>#NAME?</v>
      </c>
      <c r="J332" s="1" t="e">
        <f t="array" ref="J332">SUM</f>
        <v>#NAME?</v>
      </c>
      <c r="K332" s="1" t="e">
        <f t="array" ref="K332">SUM</f>
        <v>#NAME?</v>
      </c>
      <c r="L332" s="1" t="e">
        <f t="array" ref="L332">SUM</f>
        <v>#NAME?</v>
      </c>
      <c r="M332" s="1" t="e">
        <f t="array" ref="M332">SUM</f>
        <v>#NAME?</v>
      </c>
      <c r="N332" s="1" t="e">
        <f t="array" ref="N332">SUM</f>
        <v>#NAME?</v>
      </c>
      <c r="O332" t="s">
        <v>28</v>
      </c>
      <c r="P332">
        <v>2021</v>
      </c>
    </row>
    <row r="333" spans="1:16" x14ac:dyDescent="0.25">
      <c r="A333" t="s">
        <v>23</v>
      </c>
      <c r="B333" s="1" t="e">
        <f t="array" ref="B333">SUM</f>
        <v>#NAME?</v>
      </c>
      <c r="C333" s="1" t="e">
        <f t="array" ref="C333">SUM</f>
        <v>#NAME?</v>
      </c>
      <c r="D333" s="1" t="e">
        <f t="array" ref="D333">SUM</f>
        <v>#NAME?</v>
      </c>
      <c r="E333" s="1" t="e">
        <f t="array" ref="E333">SUM</f>
        <v>#NAME?</v>
      </c>
      <c r="F333" s="1" t="e">
        <f t="array" ref="F333">SUM</f>
        <v>#NAME?</v>
      </c>
      <c r="G333" s="1" t="e">
        <f t="array" ref="G333">SUM</f>
        <v>#NAME?</v>
      </c>
      <c r="H333" s="1" t="e">
        <f t="array" ref="H333">SUM</f>
        <v>#NAME?</v>
      </c>
      <c r="I333" s="1" t="e">
        <f t="array" ref="I333">SUM</f>
        <v>#NAME?</v>
      </c>
      <c r="J333" s="1" t="e">
        <f t="array" ref="J333">SUM</f>
        <v>#NAME?</v>
      </c>
      <c r="K333" s="1" t="e">
        <f t="array" ref="K333">SUM</f>
        <v>#NAME?</v>
      </c>
      <c r="L333" s="1" t="e">
        <f t="array" ref="L333">SUM</f>
        <v>#NAME?</v>
      </c>
      <c r="M333" s="1" t="e">
        <f t="array" ref="M333">SUM</f>
        <v>#NAME?</v>
      </c>
      <c r="N333" s="1" t="e">
        <f t="array" ref="N333">SUM</f>
        <v>#NAME?</v>
      </c>
      <c r="O333" t="s">
        <v>30</v>
      </c>
      <c r="P333">
        <v>2021</v>
      </c>
    </row>
    <row r="334" spans="1:16" x14ac:dyDescent="0.25">
      <c r="A334" t="s">
        <v>25</v>
      </c>
      <c r="B334" s="1" t="e">
        <f t="array" ref="B334">SUM</f>
        <v>#NAME?</v>
      </c>
      <c r="C334" s="1" t="e">
        <f t="array" ref="C334">SUM</f>
        <v>#NAME?</v>
      </c>
      <c r="D334" s="1" t="e">
        <f t="array" ref="D334">SUM</f>
        <v>#NAME?</v>
      </c>
      <c r="E334" s="1" t="e">
        <f t="array" ref="E334">SUM</f>
        <v>#NAME?</v>
      </c>
      <c r="F334" s="1" t="e">
        <f t="array" ref="F334">SUM</f>
        <v>#NAME?</v>
      </c>
      <c r="G334" s="1" t="e">
        <f t="array" ref="G334">SUM</f>
        <v>#NAME?</v>
      </c>
      <c r="H334" s="1" t="e">
        <f t="array" ref="H334">SUM</f>
        <v>#NAME?</v>
      </c>
      <c r="I334" s="1" t="e">
        <f t="array" ref="I334">SUM</f>
        <v>#NAME?</v>
      </c>
      <c r="J334" s="1" t="e">
        <f t="array" ref="J334">SUM</f>
        <v>#NAME?</v>
      </c>
      <c r="K334" s="1" t="e">
        <f t="array" ref="K334">SUM</f>
        <v>#NAME?</v>
      </c>
      <c r="L334" s="1" t="e">
        <f t="array" ref="L334">SUM</f>
        <v>#NAME?</v>
      </c>
      <c r="M334" s="1" t="e">
        <f t="array" ref="M334">SUM</f>
        <v>#NAME?</v>
      </c>
      <c r="N334" s="1" t="e">
        <f t="array" ref="N334">SUM</f>
        <v>#NAME?</v>
      </c>
      <c r="O334" t="s">
        <v>32</v>
      </c>
      <c r="P334">
        <v>2021</v>
      </c>
    </row>
    <row r="335" spans="1:16" x14ac:dyDescent="0.25">
      <c r="A335" t="s">
        <v>25</v>
      </c>
      <c r="B335" s="1" t="e">
        <f t="array" ref="B335">SUM</f>
        <v>#NAME?</v>
      </c>
      <c r="C335" s="1" t="e">
        <f t="array" ref="C335">SUM</f>
        <v>#NAME?</v>
      </c>
      <c r="D335" s="1" t="e">
        <f t="array" ref="D335">SUM</f>
        <v>#NAME?</v>
      </c>
      <c r="E335" s="1" t="e">
        <f t="array" ref="E335">SUM</f>
        <v>#NAME?</v>
      </c>
      <c r="F335" s="1" t="e">
        <f t="array" ref="F335">SUM</f>
        <v>#NAME?</v>
      </c>
      <c r="G335" s="1" t="e">
        <f t="array" ref="G335">SUM</f>
        <v>#NAME?</v>
      </c>
      <c r="H335" s="1" t="e">
        <f t="array" ref="H335">SUM</f>
        <v>#NAME?</v>
      </c>
      <c r="I335" s="1" t="e">
        <f t="array" ref="I335">SUM</f>
        <v>#NAME?</v>
      </c>
      <c r="J335" s="1" t="e">
        <f t="array" ref="J335">SUM</f>
        <v>#NAME?</v>
      </c>
      <c r="K335" s="1" t="e">
        <f t="array" ref="K335">SUM</f>
        <v>#NAME?</v>
      </c>
      <c r="L335" s="1" t="e">
        <f t="array" ref="L335">SUM</f>
        <v>#NAME?</v>
      </c>
      <c r="M335" s="1" t="e">
        <f t="array" ref="M335">SUM</f>
        <v>#NAME?</v>
      </c>
      <c r="N335" s="1" t="e">
        <f t="array" ref="N335">SUM</f>
        <v>#NAME?</v>
      </c>
      <c r="O335" t="s">
        <v>19</v>
      </c>
      <c r="P335">
        <v>2021</v>
      </c>
    </row>
    <row r="336" spans="1:16" x14ac:dyDescent="0.25">
      <c r="A336" t="s">
        <v>23</v>
      </c>
      <c r="B336" s="1" t="e">
        <f t="array" ref="B336">SUM</f>
        <v>#NAME?</v>
      </c>
      <c r="C336" s="1" t="e">
        <f t="array" ref="C336">SUM</f>
        <v>#NAME?</v>
      </c>
      <c r="D336" s="1" t="e">
        <f t="array" ref="D336">SUM</f>
        <v>#NAME?</v>
      </c>
      <c r="E336" s="1" t="e">
        <f t="array" ref="E336">SUM</f>
        <v>#NAME?</v>
      </c>
      <c r="F336" s="1" t="e">
        <f t="array" ref="F336">SUM</f>
        <v>#NAME?</v>
      </c>
      <c r="G336" s="1" t="e">
        <f t="array" ref="G336">SUM</f>
        <v>#NAME?</v>
      </c>
      <c r="H336" s="1" t="e">
        <f t="array" ref="H336">SUM</f>
        <v>#NAME?</v>
      </c>
      <c r="I336" s="1" t="e">
        <f t="array" ref="I336">SUM</f>
        <v>#NAME?</v>
      </c>
      <c r="J336" s="1" t="e">
        <f t="array" ref="J336">SUM</f>
        <v>#NAME?</v>
      </c>
      <c r="K336" s="1" t="e">
        <f t="array" ref="K336">SUM</f>
        <v>#NAME?</v>
      </c>
      <c r="L336" s="1" t="e">
        <f t="array" ref="L336">SUM</f>
        <v>#NAME?</v>
      </c>
      <c r="M336" s="1" t="e">
        <f t="array" ref="M336">SUM</f>
        <v>#NAME?</v>
      </c>
      <c r="N336" s="1" t="e">
        <f t="array" ref="N336">SUM</f>
        <v>#NAME?</v>
      </c>
      <c r="O336" t="s">
        <v>24</v>
      </c>
      <c r="P336">
        <v>2021</v>
      </c>
    </row>
    <row r="337" spans="1:16" x14ac:dyDescent="0.25">
      <c r="A337" t="s">
        <v>18</v>
      </c>
      <c r="B337" s="1" t="e">
        <f t="array" ref="B337">SUM</f>
        <v>#NAME?</v>
      </c>
      <c r="C337" s="1" t="e">
        <f t="array" ref="C337">SUM</f>
        <v>#NAME?</v>
      </c>
      <c r="D337" s="1" t="e">
        <f t="array" ref="D337">SUM</f>
        <v>#NAME?</v>
      </c>
      <c r="E337" s="1" t="e">
        <f t="array" ref="E337">SUM</f>
        <v>#NAME?</v>
      </c>
      <c r="F337" s="1" t="e">
        <f t="array" ref="F337">SUM</f>
        <v>#NAME?</v>
      </c>
      <c r="G337" s="1" t="e">
        <f t="array" ref="G337">SUM</f>
        <v>#NAME?</v>
      </c>
      <c r="H337" s="1" t="e">
        <f t="array" ref="H337">SUM</f>
        <v>#NAME?</v>
      </c>
      <c r="I337" s="1" t="e">
        <f t="array" ref="I337">SUM</f>
        <v>#NAME?</v>
      </c>
      <c r="J337" s="1" t="e">
        <f t="array" ref="J337">SUM</f>
        <v>#NAME?</v>
      </c>
      <c r="K337" s="1" t="e">
        <f t="array" ref="K337">SUM</f>
        <v>#NAME?</v>
      </c>
      <c r="L337" s="1" t="e">
        <f t="array" ref="L337">SUM</f>
        <v>#NAME?</v>
      </c>
      <c r="M337" s="1" t="e">
        <f t="array" ref="M337">SUM</f>
        <v>#NAME?</v>
      </c>
      <c r="N337" s="1" t="e">
        <f t="array" ref="N337">SUM</f>
        <v>#NAME?</v>
      </c>
      <c r="O337" t="s">
        <v>26</v>
      </c>
      <c r="P337">
        <v>2021</v>
      </c>
    </row>
    <row r="338" spans="1:16" x14ac:dyDescent="0.25">
      <c r="A338" t="s">
        <v>18</v>
      </c>
      <c r="B338" s="1" t="e">
        <f t="array" ref="B338">SUM</f>
        <v>#NAME?</v>
      </c>
      <c r="C338" s="1" t="e">
        <f t="array" ref="C338">SUM</f>
        <v>#NAME?</v>
      </c>
      <c r="D338" s="1" t="e">
        <f t="array" ref="D338">SUM</f>
        <v>#NAME?</v>
      </c>
      <c r="E338" s="1" t="e">
        <f t="array" ref="E338">SUM</f>
        <v>#NAME?</v>
      </c>
      <c r="F338" s="1" t="e">
        <f t="array" ref="F338">SUM</f>
        <v>#NAME?</v>
      </c>
      <c r="G338" s="1" t="e">
        <f t="array" ref="G338">SUM</f>
        <v>#NAME?</v>
      </c>
      <c r="H338" s="1" t="e">
        <f t="array" ref="H338">SUM</f>
        <v>#NAME?</v>
      </c>
      <c r="I338" s="1" t="e">
        <f t="array" ref="I338">SUM</f>
        <v>#NAME?</v>
      </c>
      <c r="J338" s="1" t="e">
        <f t="array" ref="J338">SUM</f>
        <v>#NAME?</v>
      </c>
      <c r="K338" s="1" t="e">
        <f t="array" ref="K338">SUM</f>
        <v>#NAME?</v>
      </c>
      <c r="L338" s="1" t="e">
        <f t="array" ref="L338">SUM</f>
        <v>#NAME?</v>
      </c>
      <c r="M338" s="1" t="e">
        <f t="array" ref="M338">SUM</f>
        <v>#NAME?</v>
      </c>
      <c r="N338" s="1" t="e">
        <f t="array" ref="N338">SUM</f>
        <v>#NAME?</v>
      </c>
      <c r="O338" t="s">
        <v>27</v>
      </c>
      <c r="P338">
        <v>2021</v>
      </c>
    </row>
    <row r="339" spans="1:16" x14ac:dyDescent="0.25">
      <c r="A339" t="s">
        <v>16</v>
      </c>
      <c r="B339" s="1" t="e">
        <f t="array" ref="B339">SUM</f>
        <v>#NAME?</v>
      </c>
      <c r="C339" s="1" t="e">
        <f t="array" ref="C339">SUM</f>
        <v>#NAME?</v>
      </c>
      <c r="D339" s="1" t="e">
        <f t="array" ref="D339">SUM</f>
        <v>#NAME?</v>
      </c>
      <c r="E339" s="1" t="e">
        <f t="array" ref="E339">SUM</f>
        <v>#NAME?</v>
      </c>
      <c r="F339" s="1" t="e">
        <f t="array" ref="F339">SUM</f>
        <v>#NAME?</v>
      </c>
      <c r="G339" s="1" t="e">
        <f t="array" ref="G339">SUM</f>
        <v>#NAME?</v>
      </c>
      <c r="H339" s="1" t="e">
        <f t="array" ref="H339">SUM</f>
        <v>#NAME?</v>
      </c>
      <c r="I339" s="1" t="e">
        <f t="array" ref="I339">SUM</f>
        <v>#NAME?</v>
      </c>
      <c r="J339" s="1" t="e">
        <f t="array" ref="J339">SUM</f>
        <v>#NAME?</v>
      </c>
      <c r="K339" s="1" t="e">
        <f t="array" ref="K339">SUM</f>
        <v>#NAME?</v>
      </c>
      <c r="L339" s="1" t="e">
        <f t="array" ref="L339">SUM</f>
        <v>#NAME?</v>
      </c>
      <c r="M339" s="1" t="e">
        <f t="array" ref="M339">SUM</f>
        <v>#NAME?</v>
      </c>
      <c r="N339" s="1" t="e">
        <f t="array" ref="N339">SUM</f>
        <v>#NAME?</v>
      </c>
      <c r="O339" t="s">
        <v>27</v>
      </c>
      <c r="P339">
        <v>2021</v>
      </c>
    </row>
    <row r="340" spans="1:16" x14ac:dyDescent="0.25">
      <c r="A340" t="s">
        <v>25</v>
      </c>
      <c r="B340" s="1" t="e">
        <f t="array" ref="B340">SUM</f>
        <v>#NAME?</v>
      </c>
      <c r="C340" s="1" t="e">
        <f t="array" ref="C340">SUM</f>
        <v>#NAME?</v>
      </c>
      <c r="D340" s="1" t="e">
        <f t="array" ref="D340">SUM</f>
        <v>#NAME?</v>
      </c>
      <c r="E340" s="1" t="e">
        <f t="array" ref="E340">SUM</f>
        <v>#NAME?</v>
      </c>
      <c r="F340" s="1" t="e">
        <f t="array" ref="F340">SUM</f>
        <v>#NAME?</v>
      </c>
      <c r="G340" s="1" t="e">
        <f t="array" ref="G340">SUM</f>
        <v>#NAME?</v>
      </c>
      <c r="H340" s="1" t="e">
        <f t="array" ref="H340">SUM</f>
        <v>#NAME?</v>
      </c>
      <c r="I340" s="1" t="e">
        <f t="array" ref="I340">SUM</f>
        <v>#NAME?</v>
      </c>
      <c r="J340" s="1" t="e">
        <f t="array" ref="J340">SUM</f>
        <v>#NAME?</v>
      </c>
      <c r="K340" s="1" t="e">
        <f t="array" ref="K340">SUM</f>
        <v>#NAME?</v>
      </c>
      <c r="L340" s="1" t="e">
        <f t="array" ref="L340">SUM</f>
        <v>#NAME?</v>
      </c>
      <c r="M340" s="1" t="e">
        <f t="array" ref="M340">SUM</f>
        <v>#NAME?</v>
      </c>
      <c r="N340" s="1" t="e">
        <f t="array" ref="N340">SUM</f>
        <v>#NAME?</v>
      </c>
      <c r="O340" t="s">
        <v>27</v>
      </c>
      <c r="P340">
        <v>2021</v>
      </c>
    </row>
    <row r="341" spans="1:16" x14ac:dyDescent="0.25">
      <c r="A341" t="s">
        <v>25</v>
      </c>
      <c r="B341" s="1" t="e">
        <f t="array" ref="B341">SUM</f>
        <v>#NAME?</v>
      </c>
      <c r="C341" s="1" t="e">
        <f t="array" ref="C341">SUM</f>
        <v>#NAME?</v>
      </c>
      <c r="D341" s="1" t="e">
        <f t="array" ref="D341">SUM</f>
        <v>#NAME?</v>
      </c>
      <c r="E341" s="1" t="e">
        <f t="array" ref="E341">SUM</f>
        <v>#NAME?</v>
      </c>
      <c r="F341" s="1" t="e">
        <f t="array" ref="F341">SUM</f>
        <v>#NAME?</v>
      </c>
      <c r="G341" s="1" t="e">
        <f t="array" ref="G341">SUM</f>
        <v>#NAME?</v>
      </c>
      <c r="H341" s="1" t="e">
        <f t="array" ref="H341">SUM</f>
        <v>#NAME?</v>
      </c>
      <c r="I341" s="1" t="e">
        <f t="array" ref="I341">SUM</f>
        <v>#NAME?</v>
      </c>
      <c r="J341" s="1" t="e">
        <f t="array" ref="J341">SUM</f>
        <v>#NAME?</v>
      </c>
      <c r="K341" s="1" t="e">
        <f t="array" ref="K341">SUM</f>
        <v>#NAME?</v>
      </c>
      <c r="L341" s="1" t="e">
        <f t="array" ref="L341">SUM</f>
        <v>#NAME?</v>
      </c>
      <c r="M341" s="1" t="e">
        <f t="array" ref="M341">SUM</f>
        <v>#NAME?</v>
      </c>
      <c r="N341" s="1" t="e">
        <f t="array" ref="N341">SUM</f>
        <v>#NAME?</v>
      </c>
      <c r="O341" t="s">
        <v>30</v>
      </c>
      <c r="P341">
        <v>2021</v>
      </c>
    </row>
    <row r="342" spans="1:16" x14ac:dyDescent="0.25">
      <c r="A342" t="s">
        <v>22</v>
      </c>
      <c r="B342" s="1" t="e">
        <f t="array" ref="B342">SUM</f>
        <v>#NAME?</v>
      </c>
      <c r="C342" s="1" t="e">
        <f t="array" ref="C342">SUM</f>
        <v>#NAME?</v>
      </c>
      <c r="D342" s="1" t="e">
        <f t="array" ref="D342">SUM</f>
        <v>#NAME?</v>
      </c>
      <c r="E342" s="1" t="e">
        <f t="array" ref="E342">SUM</f>
        <v>#NAME?</v>
      </c>
      <c r="F342" s="1" t="e">
        <f t="array" ref="F342">SUM</f>
        <v>#NAME?</v>
      </c>
      <c r="G342" s="1" t="e">
        <f t="array" ref="G342">SUM</f>
        <v>#NAME?</v>
      </c>
      <c r="H342" s="1" t="e">
        <f t="array" ref="H342">SUM</f>
        <v>#NAME?</v>
      </c>
      <c r="I342" s="1" t="e">
        <f t="array" ref="I342">SUM</f>
        <v>#NAME?</v>
      </c>
      <c r="J342" s="1" t="e">
        <f t="array" ref="J342">SUM</f>
        <v>#NAME?</v>
      </c>
      <c r="K342" s="1" t="e">
        <f t="array" ref="K342">SUM</f>
        <v>#NAME?</v>
      </c>
      <c r="L342" s="1" t="e">
        <f t="array" ref="L342">SUM</f>
        <v>#NAME?</v>
      </c>
      <c r="M342" s="1" t="e">
        <f t="array" ref="M342">SUM</f>
        <v>#NAME?</v>
      </c>
      <c r="N342" s="1" t="e">
        <f t="array" ref="N342">SUM</f>
        <v>#NAME?</v>
      </c>
      <c r="O342" t="s">
        <v>30</v>
      </c>
      <c r="P342">
        <v>2021</v>
      </c>
    </row>
    <row r="343" spans="1:16" x14ac:dyDescent="0.25">
      <c r="A343" t="s">
        <v>16</v>
      </c>
      <c r="B343" s="1" t="e">
        <f t="array" ref="B343">SUM</f>
        <v>#NAME?</v>
      </c>
      <c r="C343" s="1" t="e">
        <f t="array" ref="C343">SUM</f>
        <v>#NAME?</v>
      </c>
      <c r="D343" s="1" t="e">
        <f t="array" ref="D343">SUM</f>
        <v>#NAME?</v>
      </c>
      <c r="E343" s="1" t="e">
        <f t="array" ref="E343">SUM</f>
        <v>#NAME?</v>
      </c>
      <c r="F343" s="1" t="e">
        <f t="array" ref="F343">SUM</f>
        <v>#NAME?</v>
      </c>
      <c r="G343" s="1" t="e">
        <f t="array" ref="G343">SUM</f>
        <v>#NAME?</v>
      </c>
      <c r="H343" s="1" t="e">
        <f t="array" ref="H343">SUM</f>
        <v>#NAME?</v>
      </c>
      <c r="I343" s="1" t="e">
        <f t="array" ref="I343">SUM</f>
        <v>#NAME?</v>
      </c>
      <c r="J343" s="1" t="e">
        <f t="array" ref="J343">SUM</f>
        <v>#NAME?</v>
      </c>
      <c r="K343" s="1" t="e">
        <f t="array" ref="K343">SUM</f>
        <v>#NAME?</v>
      </c>
      <c r="L343" s="1" t="e">
        <f t="array" ref="L343">SUM</f>
        <v>#NAME?</v>
      </c>
      <c r="M343" s="1" t="e">
        <f t="array" ref="M343">SUM</f>
        <v>#NAME?</v>
      </c>
      <c r="N343" s="1" t="e">
        <f t="array" ref="N343">SUM</f>
        <v>#NAME?</v>
      </c>
      <c r="O343" t="s">
        <v>20</v>
      </c>
      <c r="P343">
        <v>2021</v>
      </c>
    </row>
    <row r="344" spans="1:16" x14ac:dyDescent="0.25">
      <c r="A344" t="s">
        <v>25</v>
      </c>
      <c r="B344" s="1" t="e">
        <f t="array" ref="B344">SUM</f>
        <v>#NAME?</v>
      </c>
      <c r="C344" s="1" t="e">
        <f t="array" ref="C344">SUM</f>
        <v>#NAME?</v>
      </c>
      <c r="D344" s="1" t="e">
        <f t="array" ref="D344">SUM</f>
        <v>#NAME?</v>
      </c>
      <c r="E344" s="1" t="e">
        <f t="array" ref="E344">SUM</f>
        <v>#NAME?</v>
      </c>
      <c r="F344" s="1" t="e">
        <f t="array" ref="F344">SUM</f>
        <v>#NAME?</v>
      </c>
      <c r="G344" s="1" t="e">
        <f t="array" ref="G344">SUM</f>
        <v>#NAME?</v>
      </c>
      <c r="H344" s="1" t="e">
        <f t="array" ref="H344">SUM</f>
        <v>#NAME?</v>
      </c>
      <c r="I344" s="1" t="e">
        <f t="array" ref="I344">SUM</f>
        <v>#NAME?</v>
      </c>
      <c r="J344" s="1" t="e">
        <f t="array" ref="J344">SUM</f>
        <v>#NAME?</v>
      </c>
      <c r="K344" s="1" t="e">
        <f t="array" ref="K344">SUM</f>
        <v>#NAME?</v>
      </c>
      <c r="L344" s="1" t="e">
        <f t="array" ref="L344">SUM</f>
        <v>#NAME?</v>
      </c>
      <c r="M344" s="1" t="e">
        <f t="array" ref="M344">SUM</f>
        <v>#NAME?</v>
      </c>
      <c r="N344" s="1" t="e">
        <f t="array" ref="N344">SUM</f>
        <v>#NAME?</v>
      </c>
      <c r="O344" t="s">
        <v>24</v>
      </c>
      <c r="P344">
        <v>2021</v>
      </c>
    </row>
    <row r="345" spans="1:16" x14ac:dyDescent="0.25">
      <c r="A345" t="s">
        <v>16</v>
      </c>
      <c r="B345" s="1" t="e">
        <f t="array" ref="B345">SUM</f>
        <v>#NAME?</v>
      </c>
      <c r="C345" s="1" t="e">
        <f t="array" ref="C345">SUM</f>
        <v>#NAME?</v>
      </c>
      <c r="D345" s="1" t="e">
        <f t="array" ref="D345">SUM</f>
        <v>#NAME?</v>
      </c>
      <c r="E345" s="1" t="e">
        <f t="array" ref="E345">SUM</f>
        <v>#NAME?</v>
      </c>
      <c r="F345" s="1" t="e">
        <f t="array" ref="F345">SUM</f>
        <v>#NAME?</v>
      </c>
      <c r="G345" s="1" t="e">
        <f t="array" ref="G345">SUM</f>
        <v>#NAME?</v>
      </c>
      <c r="H345" s="1" t="e">
        <f t="array" ref="H345">SUM</f>
        <v>#NAME?</v>
      </c>
      <c r="I345" s="1" t="e">
        <f t="array" ref="I345">SUM</f>
        <v>#NAME?</v>
      </c>
      <c r="J345" s="1" t="e">
        <f t="array" ref="J345">SUM</f>
        <v>#NAME?</v>
      </c>
      <c r="K345" s="1" t="e">
        <f t="array" ref="K345">SUM</f>
        <v>#NAME?</v>
      </c>
      <c r="L345" s="1" t="e">
        <f t="array" ref="L345">SUM</f>
        <v>#NAME?</v>
      </c>
      <c r="M345" s="1" t="e">
        <f t="array" ref="M345">SUM</f>
        <v>#NAME?</v>
      </c>
      <c r="N345" s="1" t="e">
        <f t="array" ref="N345">SUM</f>
        <v>#NAME?</v>
      </c>
      <c r="O345" t="s">
        <v>26</v>
      </c>
      <c r="P345">
        <v>2021</v>
      </c>
    </row>
    <row r="346" spans="1:16" x14ac:dyDescent="0.25">
      <c r="A346" t="s">
        <v>23</v>
      </c>
      <c r="B346" s="1" t="e">
        <f t="array" ref="B346">SUM</f>
        <v>#NAME?</v>
      </c>
      <c r="C346" s="1" t="e">
        <f t="array" ref="C346">SUM</f>
        <v>#NAME?</v>
      </c>
      <c r="D346" s="1" t="e">
        <f t="array" ref="D346">SUM</f>
        <v>#NAME?</v>
      </c>
      <c r="E346" s="1" t="e">
        <f t="array" ref="E346">SUM</f>
        <v>#NAME?</v>
      </c>
      <c r="F346" s="1" t="e">
        <f t="array" ref="F346">SUM</f>
        <v>#NAME?</v>
      </c>
      <c r="G346" s="1" t="e">
        <f t="array" ref="G346">SUM</f>
        <v>#NAME?</v>
      </c>
      <c r="H346" s="1" t="e">
        <f t="array" ref="H346">SUM</f>
        <v>#NAME?</v>
      </c>
      <c r="I346" s="1" t="e">
        <f t="array" ref="I346">SUM</f>
        <v>#NAME?</v>
      </c>
      <c r="J346" s="1" t="e">
        <f t="array" ref="J346">SUM</f>
        <v>#NAME?</v>
      </c>
      <c r="K346" s="1" t="e">
        <f t="array" ref="K346">SUM</f>
        <v>#NAME?</v>
      </c>
      <c r="L346" s="1" t="e">
        <f t="array" ref="L346">SUM</f>
        <v>#NAME?</v>
      </c>
      <c r="M346" s="1" t="e">
        <f t="array" ref="M346">SUM</f>
        <v>#NAME?</v>
      </c>
      <c r="N346" s="1" t="e">
        <f t="array" ref="N346">SUM</f>
        <v>#NAME?</v>
      </c>
      <c r="O346" t="s">
        <v>27</v>
      </c>
      <c r="P346">
        <v>2021</v>
      </c>
    </row>
    <row r="347" spans="1:16" x14ac:dyDescent="0.25">
      <c r="A347" t="s">
        <v>16</v>
      </c>
      <c r="B347" s="1" t="e">
        <f t="array" ref="B347">SUM</f>
        <v>#NAME?</v>
      </c>
      <c r="C347" s="1" t="e">
        <f t="array" ref="C347">SUM</f>
        <v>#NAME?</v>
      </c>
      <c r="D347" s="1" t="e">
        <f t="array" ref="D347">SUM</f>
        <v>#NAME?</v>
      </c>
      <c r="E347" s="1" t="e">
        <f t="array" ref="E347">SUM</f>
        <v>#NAME?</v>
      </c>
      <c r="F347" s="1" t="e">
        <f t="array" ref="F347">SUM</f>
        <v>#NAME?</v>
      </c>
      <c r="G347" s="1" t="e">
        <f t="array" ref="G347">SUM</f>
        <v>#NAME?</v>
      </c>
      <c r="H347" s="1" t="e">
        <f t="array" ref="H347">SUM</f>
        <v>#NAME?</v>
      </c>
      <c r="I347" s="1" t="e">
        <f t="array" ref="I347">SUM</f>
        <v>#NAME?</v>
      </c>
      <c r="J347" s="1" t="e">
        <f t="array" ref="J347">SUM</f>
        <v>#NAME?</v>
      </c>
      <c r="K347" s="1" t="e">
        <f t="array" ref="K347">SUM</f>
        <v>#NAME?</v>
      </c>
      <c r="L347" s="1" t="e">
        <f t="array" ref="L347">SUM</f>
        <v>#NAME?</v>
      </c>
      <c r="M347" s="1" t="e">
        <f t="array" ref="M347">SUM</f>
        <v>#NAME?</v>
      </c>
      <c r="N347" s="1" t="e">
        <f t="array" ref="N347">SUM</f>
        <v>#NAME?</v>
      </c>
      <c r="O347" t="s">
        <v>28</v>
      </c>
      <c r="P347">
        <v>2021</v>
      </c>
    </row>
    <row r="348" spans="1:16" x14ac:dyDescent="0.25">
      <c r="A348" t="s">
        <v>16</v>
      </c>
      <c r="B348" s="1" t="e">
        <f t="array" ref="B348">SUM</f>
        <v>#NAME?</v>
      </c>
      <c r="C348" s="1" t="e">
        <f t="array" ref="C348">SUM</f>
        <v>#NAME?</v>
      </c>
      <c r="D348" s="1" t="e">
        <f t="array" ref="D348">SUM</f>
        <v>#NAME?</v>
      </c>
      <c r="E348" s="1" t="e">
        <f t="array" ref="E348">SUM</f>
        <v>#NAME?</v>
      </c>
      <c r="F348" s="1" t="e">
        <f t="array" ref="F348">SUM</f>
        <v>#NAME?</v>
      </c>
      <c r="G348" s="1" t="e">
        <f t="array" ref="G348">SUM</f>
        <v>#NAME?</v>
      </c>
      <c r="H348" s="1" t="e">
        <f t="array" ref="H348">SUM</f>
        <v>#NAME?</v>
      </c>
      <c r="I348" s="1" t="e">
        <f t="array" ref="I348">SUM</f>
        <v>#NAME?</v>
      </c>
      <c r="J348" s="1" t="e">
        <f t="array" ref="J348">SUM</f>
        <v>#NAME?</v>
      </c>
      <c r="K348" s="1" t="e">
        <f t="array" ref="K348">SUM</f>
        <v>#NAME?</v>
      </c>
      <c r="L348" s="1" t="e">
        <f t="array" ref="L348">SUM</f>
        <v>#NAME?</v>
      </c>
      <c r="M348" s="1" t="e">
        <f t="array" ref="M348">SUM</f>
        <v>#NAME?</v>
      </c>
      <c r="N348" s="1" t="e">
        <f t="array" ref="N348">SUM</f>
        <v>#NAME?</v>
      </c>
      <c r="O348" t="s">
        <v>20</v>
      </c>
      <c r="P348">
        <v>2021</v>
      </c>
    </row>
    <row r="349" spans="1:16" x14ac:dyDescent="0.25">
      <c r="A349" t="s">
        <v>25</v>
      </c>
      <c r="B349" s="1" t="e">
        <f t="array" ref="B349">SUM</f>
        <v>#NAME?</v>
      </c>
      <c r="C349" s="1" t="e">
        <f t="array" ref="C349">SUM</f>
        <v>#NAME?</v>
      </c>
      <c r="D349" s="1" t="e">
        <f t="array" ref="D349">SUM</f>
        <v>#NAME?</v>
      </c>
      <c r="E349" s="1" t="e">
        <f t="array" ref="E349">SUM</f>
        <v>#NAME?</v>
      </c>
      <c r="F349" s="1" t="e">
        <f t="array" ref="F349">SUM</f>
        <v>#NAME?</v>
      </c>
      <c r="G349" s="1" t="e">
        <f t="array" ref="G349">SUM</f>
        <v>#NAME?</v>
      </c>
      <c r="H349" s="1" t="e">
        <f t="array" ref="H349">SUM</f>
        <v>#NAME?</v>
      </c>
      <c r="I349" s="1" t="e">
        <f t="array" ref="I349">SUM</f>
        <v>#NAME?</v>
      </c>
      <c r="J349" s="1" t="e">
        <f t="array" ref="J349">SUM</f>
        <v>#NAME?</v>
      </c>
      <c r="K349" s="1" t="e">
        <f t="array" ref="K349">SUM</f>
        <v>#NAME?</v>
      </c>
      <c r="L349" s="1" t="e">
        <f t="array" ref="L349">SUM</f>
        <v>#NAME?</v>
      </c>
      <c r="M349" s="1" t="e">
        <f t="array" ref="M349">SUM</f>
        <v>#NAME?</v>
      </c>
      <c r="N349" s="1" t="e">
        <f t="array" ref="N349">SUM</f>
        <v>#NAME?</v>
      </c>
      <c r="O349" t="s">
        <v>20</v>
      </c>
      <c r="P349">
        <v>2021</v>
      </c>
    </row>
    <row r="350" spans="1:16" x14ac:dyDescent="0.25">
      <c r="A350" t="s">
        <v>16</v>
      </c>
      <c r="B350" s="1" t="e">
        <f t="array" ref="B350">SUM</f>
        <v>#NAME?</v>
      </c>
      <c r="C350" s="1" t="e">
        <f t="array" ref="C350">SUM</f>
        <v>#NAME?</v>
      </c>
      <c r="D350" s="1" t="e">
        <f t="array" ref="D350">SUM</f>
        <v>#NAME?</v>
      </c>
      <c r="E350" s="1" t="e">
        <f t="array" ref="E350">SUM</f>
        <v>#NAME?</v>
      </c>
      <c r="F350" s="1" t="e">
        <f t="array" ref="F350">SUM</f>
        <v>#NAME?</v>
      </c>
      <c r="G350" s="1" t="e">
        <f t="array" ref="G350">SUM</f>
        <v>#NAME?</v>
      </c>
      <c r="H350" s="1" t="e">
        <f t="array" ref="H350">SUM</f>
        <v>#NAME?</v>
      </c>
      <c r="I350" s="1" t="e">
        <f t="array" ref="I350">SUM</f>
        <v>#NAME?</v>
      </c>
      <c r="J350" s="1" t="e">
        <f t="array" ref="J350">SUM</f>
        <v>#NAME?</v>
      </c>
      <c r="K350" s="1" t="e">
        <f t="array" ref="K350">SUM</f>
        <v>#NAME?</v>
      </c>
      <c r="L350" s="1" t="e">
        <f t="array" ref="L350">SUM</f>
        <v>#NAME?</v>
      </c>
      <c r="M350" s="1" t="e">
        <f t="array" ref="M350">SUM</f>
        <v>#NAME?</v>
      </c>
      <c r="N350" s="1" t="e">
        <f t="array" ref="N350">SUM</f>
        <v>#NAME?</v>
      </c>
      <c r="O350" t="s">
        <v>20</v>
      </c>
      <c r="P350">
        <v>2021</v>
      </c>
    </row>
    <row r="351" spans="1:16" x14ac:dyDescent="0.25">
      <c r="A351" t="s">
        <v>22</v>
      </c>
      <c r="B351" s="1" t="e">
        <f t="array" ref="B351">SUM</f>
        <v>#NAME?</v>
      </c>
      <c r="C351" s="1" t="e">
        <f t="array" ref="C351">SUM</f>
        <v>#NAME?</v>
      </c>
      <c r="D351" s="1" t="e">
        <f t="array" ref="D351">SUM</f>
        <v>#NAME?</v>
      </c>
      <c r="E351" s="1" t="e">
        <f t="array" ref="E351">SUM</f>
        <v>#NAME?</v>
      </c>
      <c r="F351" s="1" t="e">
        <f t="array" ref="F351">SUM</f>
        <v>#NAME?</v>
      </c>
      <c r="G351" s="1" t="e">
        <f t="array" ref="G351">SUM</f>
        <v>#NAME?</v>
      </c>
      <c r="H351" s="1" t="e">
        <f t="array" ref="H351">SUM</f>
        <v>#NAME?</v>
      </c>
      <c r="I351" s="1" t="e">
        <f t="array" ref="I351">SUM</f>
        <v>#NAME?</v>
      </c>
      <c r="J351" s="1" t="e">
        <f t="array" ref="J351">SUM</f>
        <v>#NAME?</v>
      </c>
      <c r="K351" s="1" t="e">
        <f t="array" ref="K351">SUM</f>
        <v>#NAME?</v>
      </c>
      <c r="L351" s="1" t="e">
        <f t="array" ref="L351">SUM</f>
        <v>#NAME?</v>
      </c>
      <c r="M351" s="1" t="e">
        <f t="array" ref="M351">SUM</f>
        <v>#NAME?</v>
      </c>
      <c r="N351" s="1" t="e">
        <f t="array" ref="N351">SUM</f>
        <v>#NAME?</v>
      </c>
      <c r="O351" t="s">
        <v>17</v>
      </c>
      <c r="P351">
        <v>2021</v>
      </c>
    </row>
    <row r="352" spans="1:16" x14ac:dyDescent="0.25">
      <c r="A352" t="s">
        <v>25</v>
      </c>
      <c r="B352" s="1" t="e">
        <f t="array" ref="B352">SUM</f>
        <v>#NAME?</v>
      </c>
      <c r="C352" s="1" t="e">
        <f t="array" ref="C352">SUM</f>
        <v>#NAME?</v>
      </c>
      <c r="D352" s="1" t="e">
        <f t="array" ref="D352">SUM</f>
        <v>#NAME?</v>
      </c>
      <c r="E352" s="1" t="e">
        <f t="array" ref="E352">SUM</f>
        <v>#NAME?</v>
      </c>
      <c r="F352" s="1" t="e">
        <f t="array" ref="F352">SUM</f>
        <v>#NAME?</v>
      </c>
      <c r="G352" s="1" t="e">
        <f t="array" ref="G352">SUM</f>
        <v>#NAME?</v>
      </c>
      <c r="H352" s="1" t="e">
        <f t="array" ref="H352">SUM</f>
        <v>#NAME?</v>
      </c>
      <c r="I352" s="1" t="e">
        <f t="array" ref="I352">SUM</f>
        <v>#NAME?</v>
      </c>
      <c r="J352" s="1" t="e">
        <f t="array" ref="J352">SUM</f>
        <v>#NAME?</v>
      </c>
      <c r="K352" s="1" t="e">
        <f t="array" ref="K352">SUM</f>
        <v>#NAME?</v>
      </c>
      <c r="L352" s="1" t="e">
        <f t="array" ref="L352">SUM</f>
        <v>#NAME?</v>
      </c>
      <c r="M352" s="1" t="e">
        <f t="array" ref="M352">SUM</f>
        <v>#NAME?</v>
      </c>
      <c r="N352" s="1" t="e">
        <f t="array" ref="N352">SUM</f>
        <v>#NAME?</v>
      </c>
      <c r="O352" t="s">
        <v>29</v>
      </c>
      <c r="P352">
        <v>2021</v>
      </c>
    </row>
    <row r="353" spans="1:16" x14ac:dyDescent="0.25">
      <c r="A353" t="s">
        <v>25</v>
      </c>
      <c r="B353" s="1" t="e">
        <f t="array" ref="B353">SUM</f>
        <v>#NAME?</v>
      </c>
      <c r="C353" s="1" t="e">
        <f t="array" ref="C353">SUM</f>
        <v>#NAME?</v>
      </c>
      <c r="D353" s="1" t="e">
        <f t="array" ref="D353">SUM</f>
        <v>#NAME?</v>
      </c>
      <c r="E353" s="1" t="e">
        <f t="array" ref="E353">SUM</f>
        <v>#NAME?</v>
      </c>
      <c r="F353" s="1" t="e">
        <f t="array" ref="F353">SUM</f>
        <v>#NAME?</v>
      </c>
      <c r="G353" s="1" t="e">
        <f t="array" ref="G353">SUM</f>
        <v>#NAME?</v>
      </c>
      <c r="H353" s="1" t="e">
        <f t="array" ref="H353">SUM</f>
        <v>#NAME?</v>
      </c>
      <c r="I353" s="1" t="e">
        <f t="array" ref="I353">SUM</f>
        <v>#NAME?</v>
      </c>
      <c r="J353" s="1" t="e">
        <f t="array" ref="J353">SUM</f>
        <v>#NAME?</v>
      </c>
      <c r="K353" s="1" t="e">
        <f t="array" ref="K353">SUM</f>
        <v>#NAME?</v>
      </c>
      <c r="L353" s="1" t="e">
        <f t="array" ref="L353">SUM</f>
        <v>#NAME?</v>
      </c>
      <c r="M353" s="1" t="e">
        <f t="array" ref="M353">SUM</f>
        <v>#NAME?</v>
      </c>
      <c r="N353" s="1" t="e">
        <f t="array" ref="N353">SUM</f>
        <v>#NAME?</v>
      </c>
      <c r="O353" t="s">
        <v>29</v>
      </c>
      <c r="P353">
        <v>2021</v>
      </c>
    </row>
    <row r="354" spans="1:16" x14ac:dyDescent="0.25">
      <c r="A354" t="s">
        <v>23</v>
      </c>
      <c r="B354" s="1" t="e">
        <f t="array" ref="B354">SUM</f>
        <v>#NAME?</v>
      </c>
      <c r="C354" s="1" t="e">
        <f t="array" ref="C354">SUM</f>
        <v>#NAME?</v>
      </c>
      <c r="D354" s="1" t="e">
        <f t="array" ref="D354">SUM</f>
        <v>#NAME?</v>
      </c>
      <c r="E354" s="1" t="e">
        <f t="array" ref="E354">SUM</f>
        <v>#NAME?</v>
      </c>
      <c r="F354" s="1" t="e">
        <f t="array" ref="F354">SUM</f>
        <v>#NAME?</v>
      </c>
      <c r="G354" s="1" t="e">
        <f t="array" ref="G354">SUM</f>
        <v>#NAME?</v>
      </c>
      <c r="H354" s="1" t="e">
        <f t="array" ref="H354">SUM</f>
        <v>#NAME?</v>
      </c>
      <c r="I354" s="1" t="e">
        <f t="array" ref="I354">SUM</f>
        <v>#NAME?</v>
      </c>
      <c r="J354" s="1" t="e">
        <f t="array" ref="J354">SUM</f>
        <v>#NAME?</v>
      </c>
      <c r="K354" s="1" t="e">
        <f t="array" ref="K354">SUM</f>
        <v>#NAME?</v>
      </c>
      <c r="L354" s="1" t="e">
        <f t="array" ref="L354">SUM</f>
        <v>#NAME?</v>
      </c>
      <c r="M354" s="1" t="e">
        <f t="array" ref="M354">SUM</f>
        <v>#NAME?</v>
      </c>
      <c r="N354" s="1" t="e">
        <f t="array" ref="N354">SUM</f>
        <v>#NAME?</v>
      </c>
      <c r="O354" t="s">
        <v>32</v>
      </c>
      <c r="P354">
        <v>2021</v>
      </c>
    </row>
    <row r="355" spans="1:16" x14ac:dyDescent="0.25">
      <c r="A355" t="s">
        <v>16</v>
      </c>
      <c r="B355" s="1" t="e">
        <f t="array" ref="B355">SUM</f>
        <v>#NAME?</v>
      </c>
      <c r="C355" s="1" t="e">
        <f t="array" ref="C355">SUM</f>
        <v>#NAME?</v>
      </c>
      <c r="D355" s="1" t="e">
        <f t="array" ref="D355">SUM</f>
        <v>#NAME?</v>
      </c>
      <c r="E355" s="1" t="e">
        <f t="array" ref="E355">SUM</f>
        <v>#NAME?</v>
      </c>
      <c r="F355" s="1" t="e">
        <f t="array" ref="F355">SUM</f>
        <v>#NAME?</v>
      </c>
      <c r="G355" s="1" t="e">
        <f t="array" ref="G355">SUM</f>
        <v>#NAME?</v>
      </c>
      <c r="H355" s="1" t="e">
        <f t="array" ref="H355">SUM</f>
        <v>#NAME?</v>
      </c>
      <c r="I355" s="1" t="e">
        <f t="array" ref="I355">SUM</f>
        <v>#NAME?</v>
      </c>
      <c r="J355" s="1" t="e">
        <f t="array" ref="J355">SUM</f>
        <v>#NAME?</v>
      </c>
      <c r="K355" s="1" t="e">
        <f t="array" ref="K355">SUM</f>
        <v>#NAME?</v>
      </c>
      <c r="L355" s="1" t="e">
        <f t="array" ref="L355">SUM</f>
        <v>#NAME?</v>
      </c>
      <c r="M355" s="1" t="e">
        <f t="array" ref="M355">SUM</f>
        <v>#NAME?</v>
      </c>
      <c r="N355" s="1" t="e">
        <f t="array" ref="N355">SUM</f>
        <v>#NAME?</v>
      </c>
      <c r="O355" t="s">
        <v>27</v>
      </c>
      <c r="P355">
        <v>2021</v>
      </c>
    </row>
    <row r="356" spans="1:16" x14ac:dyDescent="0.25">
      <c r="A356" t="s">
        <v>23</v>
      </c>
      <c r="B356" s="1" t="e">
        <f t="array" ref="B356">SUM</f>
        <v>#NAME?</v>
      </c>
      <c r="C356" s="1" t="e">
        <f t="array" ref="C356">SUM</f>
        <v>#NAME?</v>
      </c>
      <c r="D356" s="1" t="e">
        <f t="array" ref="D356">SUM</f>
        <v>#NAME?</v>
      </c>
      <c r="E356" s="1" t="e">
        <f t="array" ref="E356">SUM</f>
        <v>#NAME?</v>
      </c>
      <c r="F356" s="1" t="e">
        <f t="array" ref="F356">SUM</f>
        <v>#NAME?</v>
      </c>
      <c r="G356" s="1" t="e">
        <f t="array" ref="G356">SUM</f>
        <v>#NAME?</v>
      </c>
      <c r="H356" s="1" t="e">
        <f t="array" ref="H356">SUM</f>
        <v>#NAME?</v>
      </c>
      <c r="I356" s="1" t="e">
        <f t="array" ref="I356">SUM</f>
        <v>#NAME?</v>
      </c>
      <c r="J356" s="1" t="e">
        <f t="array" ref="J356">SUM</f>
        <v>#NAME?</v>
      </c>
      <c r="K356" s="1" t="e">
        <f t="array" ref="K356">SUM</f>
        <v>#NAME?</v>
      </c>
      <c r="L356" s="1" t="e">
        <f t="array" ref="L356">SUM</f>
        <v>#NAME?</v>
      </c>
      <c r="M356" s="1" t="e">
        <f t="array" ref="M356">SUM</f>
        <v>#NAME?</v>
      </c>
      <c r="N356" s="1" t="e">
        <f t="array" ref="N356">SUM</f>
        <v>#NAME?</v>
      </c>
      <c r="O356" t="s">
        <v>27</v>
      </c>
      <c r="P356">
        <v>2021</v>
      </c>
    </row>
    <row r="357" spans="1:16" x14ac:dyDescent="0.25">
      <c r="A357" t="s">
        <v>16</v>
      </c>
      <c r="B357" s="1" t="e">
        <f t="array" ref="B357">SUM</f>
        <v>#NAME?</v>
      </c>
      <c r="C357" s="1" t="e">
        <f t="array" ref="C357">SUM</f>
        <v>#NAME?</v>
      </c>
      <c r="D357" s="1" t="e">
        <f t="array" ref="D357">SUM</f>
        <v>#NAME?</v>
      </c>
      <c r="E357" s="1" t="e">
        <f t="array" ref="E357">SUM</f>
        <v>#NAME?</v>
      </c>
      <c r="F357" s="1" t="e">
        <f t="array" ref="F357">SUM</f>
        <v>#NAME?</v>
      </c>
      <c r="G357" s="1" t="e">
        <f t="array" ref="G357">SUM</f>
        <v>#NAME?</v>
      </c>
      <c r="H357" s="1" t="e">
        <f t="array" ref="H357">SUM</f>
        <v>#NAME?</v>
      </c>
      <c r="I357" s="1" t="e">
        <f t="array" ref="I357">SUM</f>
        <v>#NAME?</v>
      </c>
      <c r="J357" s="1" t="e">
        <f t="array" ref="J357">SUM</f>
        <v>#NAME?</v>
      </c>
      <c r="K357" s="1" t="e">
        <f t="array" ref="K357">SUM</f>
        <v>#NAME?</v>
      </c>
      <c r="L357" s="1" t="e">
        <f t="array" ref="L357">SUM</f>
        <v>#NAME?</v>
      </c>
      <c r="M357" s="1" t="e">
        <f t="array" ref="M357">SUM</f>
        <v>#NAME?</v>
      </c>
      <c r="N357" s="1" t="e">
        <f t="array" ref="N357">SUM</f>
        <v>#NAME?</v>
      </c>
      <c r="O357" t="s">
        <v>30</v>
      </c>
      <c r="P357">
        <v>2021</v>
      </c>
    </row>
    <row r="358" spans="1:16" x14ac:dyDescent="0.25">
      <c r="A358" t="s">
        <v>25</v>
      </c>
      <c r="B358" s="1" t="e">
        <f t="array" ref="B358">SUM</f>
        <v>#NAME?</v>
      </c>
      <c r="C358" s="1" t="e">
        <f t="array" ref="C358">SUM</f>
        <v>#NAME?</v>
      </c>
      <c r="D358" s="1" t="e">
        <f t="array" ref="D358">SUM</f>
        <v>#NAME?</v>
      </c>
      <c r="E358" s="1" t="e">
        <f t="array" ref="E358">SUM</f>
        <v>#NAME?</v>
      </c>
      <c r="F358" s="1" t="e">
        <f t="array" ref="F358">SUM</f>
        <v>#NAME?</v>
      </c>
      <c r="G358" s="1" t="e">
        <f t="array" ref="G358">SUM</f>
        <v>#NAME?</v>
      </c>
      <c r="H358" s="1" t="e">
        <f t="array" ref="H358">SUM</f>
        <v>#NAME?</v>
      </c>
      <c r="I358" s="1" t="e">
        <f t="array" ref="I358">SUM</f>
        <v>#NAME?</v>
      </c>
      <c r="J358" s="1" t="e">
        <f t="array" ref="J358">SUM</f>
        <v>#NAME?</v>
      </c>
      <c r="K358" s="1" t="e">
        <f t="array" ref="K358">SUM</f>
        <v>#NAME?</v>
      </c>
      <c r="L358" s="1" t="e">
        <f t="array" ref="L358">SUM</f>
        <v>#NAME?</v>
      </c>
      <c r="M358" s="1" t="e">
        <f t="array" ref="M358">SUM</f>
        <v>#NAME?</v>
      </c>
      <c r="N358" s="1" t="e">
        <f t="array" ref="N358">SUM</f>
        <v>#NAME?</v>
      </c>
      <c r="O358" t="s">
        <v>20</v>
      </c>
      <c r="P358">
        <v>2021</v>
      </c>
    </row>
    <row r="359" spans="1:16" x14ac:dyDescent="0.25">
      <c r="A359" t="s">
        <v>16</v>
      </c>
      <c r="B359" s="1" t="e">
        <f t="array" ref="B359">SUM</f>
        <v>#NAME?</v>
      </c>
      <c r="C359" s="1" t="e">
        <f t="array" ref="C359">SUM</f>
        <v>#NAME?</v>
      </c>
      <c r="D359" s="1" t="e">
        <f t="array" ref="D359">SUM</f>
        <v>#NAME?</v>
      </c>
      <c r="E359" s="1" t="e">
        <f t="array" ref="E359">SUM</f>
        <v>#NAME?</v>
      </c>
      <c r="F359" s="1" t="e">
        <f t="array" ref="F359">SUM</f>
        <v>#NAME?</v>
      </c>
      <c r="G359" s="1" t="e">
        <f t="array" ref="G359">SUM</f>
        <v>#NAME?</v>
      </c>
      <c r="H359" s="1" t="e">
        <f t="array" ref="H359">SUM</f>
        <v>#NAME?</v>
      </c>
      <c r="I359" s="1" t="e">
        <f t="array" ref="I359">SUM</f>
        <v>#NAME?</v>
      </c>
      <c r="J359" s="1" t="e">
        <f t="array" ref="J359">SUM</f>
        <v>#NAME?</v>
      </c>
      <c r="K359" s="1" t="e">
        <f t="array" ref="K359">SUM</f>
        <v>#NAME?</v>
      </c>
      <c r="L359" s="1" t="e">
        <f t="array" ref="L359">SUM</f>
        <v>#NAME?</v>
      </c>
      <c r="M359" s="1" t="e">
        <f t="array" ref="M359">SUM</f>
        <v>#NAME?</v>
      </c>
      <c r="N359" s="1" t="e">
        <f t="array" ref="N359">SUM</f>
        <v>#NAME?</v>
      </c>
      <c r="O359" t="s">
        <v>29</v>
      </c>
      <c r="P359">
        <v>2021</v>
      </c>
    </row>
    <row r="360" spans="1:16" x14ac:dyDescent="0.25">
      <c r="A360" t="s">
        <v>16</v>
      </c>
      <c r="B360" s="1" t="e">
        <f t="array" ref="B360">SUM</f>
        <v>#NAME?</v>
      </c>
      <c r="C360" s="1" t="e">
        <f t="array" ref="C360">SUM</f>
        <v>#NAME?</v>
      </c>
      <c r="D360" s="1" t="e">
        <f t="array" ref="D360">SUM</f>
        <v>#NAME?</v>
      </c>
      <c r="E360" s="1" t="e">
        <f t="array" ref="E360">SUM</f>
        <v>#NAME?</v>
      </c>
      <c r="F360" s="1" t="e">
        <f t="array" ref="F360">SUM</f>
        <v>#NAME?</v>
      </c>
      <c r="G360" s="1" t="e">
        <f t="array" ref="G360">SUM</f>
        <v>#NAME?</v>
      </c>
      <c r="H360" s="1" t="e">
        <f t="array" ref="H360">SUM</f>
        <v>#NAME?</v>
      </c>
      <c r="I360" s="1" t="e">
        <f t="array" ref="I360">SUM</f>
        <v>#NAME?</v>
      </c>
      <c r="J360" s="1" t="e">
        <f t="array" ref="J360">SUM</f>
        <v>#NAME?</v>
      </c>
      <c r="K360" s="1" t="e">
        <f t="array" ref="K360">SUM</f>
        <v>#NAME?</v>
      </c>
      <c r="L360" s="1" t="e">
        <f t="array" ref="L360">SUM</f>
        <v>#NAME?</v>
      </c>
      <c r="M360" s="1" t="e">
        <f t="array" ref="M360">SUM</f>
        <v>#NAME?</v>
      </c>
      <c r="N360" s="1" t="e">
        <f t="array" ref="N360">SUM</f>
        <v>#NAME?</v>
      </c>
      <c r="O360" t="s">
        <v>19</v>
      </c>
      <c r="P360">
        <v>2021</v>
      </c>
    </row>
    <row r="361" spans="1:16" x14ac:dyDescent="0.25">
      <c r="A361" t="s">
        <v>16</v>
      </c>
      <c r="B361" s="1" t="e">
        <f t="array" ref="B361">SUM</f>
        <v>#NAME?</v>
      </c>
      <c r="C361" s="1" t="e">
        <f t="array" ref="C361">SUM</f>
        <v>#NAME?</v>
      </c>
      <c r="D361" s="1" t="e">
        <f t="array" ref="D361">SUM</f>
        <v>#NAME?</v>
      </c>
      <c r="E361" s="1" t="e">
        <f t="array" ref="E361">SUM</f>
        <v>#NAME?</v>
      </c>
      <c r="F361" s="1" t="e">
        <f t="array" ref="F361">SUM</f>
        <v>#NAME?</v>
      </c>
      <c r="G361" s="1" t="e">
        <f t="array" ref="G361">SUM</f>
        <v>#NAME?</v>
      </c>
      <c r="H361" s="1" t="e">
        <f t="array" ref="H361">SUM</f>
        <v>#NAME?</v>
      </c>
      <c r="I361" s="1" t="e">
        <f t="array" ref="I361">SUM</f>
        <v>#NAME?</v>
      </c>
      <c r="J361" s="1" t="e">
        <f t="array" ref="J361">SUM</f>
        <v>#NAME?</v>
      </c>
      <c r="K361" s="1" t="e">
        <f t="array" ref="K361">SUM</f>
        <v>#NAME?</v>
      </c>
      <c r="L361" s="1" t="e">
        <f t="array" ref="L361">SUM</f>
        <v>#NAME?</v>
      </c>
      <c r="M361" s="1" t="e">
        <f t="array" ref="M361">SUM</f>
        <v>#NAME?</v>
      </c>
      <c r="N361" s="1" t="e">
        <f t="array" ref="N361">SUM</f>
        <v>#NAME?</v>
      </c>
      <c r="O361" t="s">
        <v>32</v>
      </c>
      <c r="P361">
        <v>2021</v>
      </c>
    </row>
    <row r="362" spans="1:16" x14ac:dyDescent="0.25">
      <c r="A362" t="s">
        <v>16</v>
      </c>
      <c r="B362" s="1" t="e">
        <f t="array" ref="B362">SUM</f>
        <v>#NAME?</v>
      </c>
      <c r="C362" s="1" t="e">
        <f t="array" ref="C362">SUM</f>
        <v>#NAME?</v>
      </c>
      <c r="D362" s="1" t="e">
        <f t="array" ref="D362">SUM</f>
        <v>#NAME?</v>
      </c>
      <c r="E362" s="1" t="e">
        <f t="array" ref="E362">SUM</f>
        <v>#NAME?</v>
      </c>
      <c r="F362" s="1" t="e">
        <f t="array" ref="F362">SUM</f>
        <v>#NAME?</v>
      </c>
      <c r="G362" s="1" t="e">
        <f t="array" ref="G362">SUM</f>
        <v>#NAME?</v>
      </c>
      <c r="H362" s="1" t="e">
        <f t="array" ref="H362">SUM</f>
        <v>#NAME?</v>
      </c>
      <c r="I362" s="1" t="e">
        <f t="array" ref="I362">SUM</f>
        <v>#NAME?</v>
      </c>
      <c r="J362" s="1" t="e">
        <f t="array" ref="J362">SUM</f>
        <v>#NAME?</v>
      </c>
      <c r="K362" s="1" t="e">
        <f t="array" ref="K362">SUM</f>
        <v>#NAME?</v>
      </c>
      <c r="L362" s="1" t="e">
        <f t="array" ref="L362">SUM</f>
        <v>#NAME?</v>
      </c>
      <c r="M362" s="1" t="e">
        <f t="array" ref="M362">SUM</f>
        <v>#NAME?</v>
      </c>
      <c r="N362" s="1" t="e">
        <f t="array" ref="N362">SUM</f>
        <v>#NAME?</v>
      </c>
      <c r="O362" t="s">
        <v>19</v>
      </c>
      <c r="P362">
        <v>2021</v>
      </c>
    </row>
    <row r="363" spans="1:16" x14ac:dyDescent="0.25">
      <c r="A363" t="s">
        <v>23</v>
      </c>
      <c r="B363" s="1" t="e">
        <f t="array" ref="B363">SUM</f>
        <v>#NAME?</v>
      </c>
      <c r="C363" s="1" t="e">
        <f t="array" ref="C363">SUM</f>
        <v>#NAME?</v>
      </c>
      <c r="D363" s="1" t="e">
        <f t="array" ref="D363">SUM</f>
        <v>#NAME?</v>
      </c>
      <c r="E363" s="1" t="e">
        <f t="array" ref="E363">SUM</f>
        <v>#NAME?</v>
      </c>
      <c r="F363" s="1" t="e">
        <f t="array" ref="F363">SUM</f>
        <v>#NAME?</v>
      </c>
      <c r="G363" s="1" t="e">
        <f t="array" ref="G363">SUM</f>
        <v>#NAME?</v>
      </c>
      <c r="H363" s="1" t="e">
        <f t="array" ref="H363">SUM</f>
        <v>#NAME?</v>
      </c>
      <c r="I363" s="1" t="e">
        <f t="array" ref="I363">SUM</f>
        <v>#NAME?</v>
      </c>
      <c r="J363" s="1" t="e">
        <f t="array" ref="J363">SUM</f>
        <v>#NAME?</v>
      </c>
      <c r="K363" s="1" t="e">
        <f t="array" ref="K363">SUM</f>
        <v>#NAME?</v>
      </c>
      <c r="L363" s="1" t="e">
        <f t="array" ref="L363">SUM</f>
        <v>#NAME?</v>
      </c>
      <c r="M363" s="1" t="e">
        <f t="array" ref="M363">SUM</f>
        <v>#NAME?</v>
      </c>
      <c r="N363" s="1" t="e">
        <f t="array" ref="N363">SUM</f>
        <v>#NAME?</v>
      </c>
      <c r="O363" t="s">
        <v>26</v>
      </c>
      <c r="P363">
        <v>2021</v>
      </c>
    </row>
    <row r="364" spans="1:16" x14ac:dyDescent="0.25">
      <c r="A364" t="s">
        <v>18</v>
      </c>
      <c r="B364" s="1" t="e">
        <f t="array" ref="B364">SUM</f>
        <v>#NAME?</v>
      </c>
      <c r="C364" s="1" t="e">
        <f t="array" ref="C364">SUM</f>
        <v>#NAME?</v>
      </c>
      <c r="D364" s="1" t="e">
        <f t="array" ref="D364">SUM</f>
        <v>#NAME?</v>
      </c>
      <c r="E364" s="1" t="e">
        <f t="array" ref="E364">SUM</f>
        <v>#NAME?</v>
      </c>
      <c r="F364" s="1" t="e">
        <f t="array" ref="F364">SUM</f>
        <v>#NAME?</v>
      </c>
      <c r="G364" s="1" t="e">
        <f t="array" ref="G364">SUM</f>
        <v>#NAME?</v>
      </c>
      <c r="H364" s="1" t="e">
        <f t="array" ref="H364">SUM</f>
        <v>#NAME?</v>
      </c>
      <c r="I364" s="1" t="e">
        <f t="array" ref="I364">SUM</f>
        <v>#NAME?</v>
      </c>
      <c r="J364" s="1" t="e">
        <f t="array" ref="J364">SUM</f>
        <v>#NAME?</v>
      </c>
      <c r="K364" s="1" t="e">
        <f t="array" ref="K364">SUM</f>
        <v>#NAME?</v>
      </c>
      <c r="L364" s="1" t="e">
        <f t="array" ref="L364">SUM</f>
        <v>#NAME?</v>
      </c>
      <c r="M364" s="1" t="e">
        <f t="array" ref="M364">SUM</f>
        <v>#NAME?</v>
      </c>
      <c r="N364" s="1" t="e">
        <f t="array" ref="N364">SUM</f>
        <v>#NAME?</v>
      </c>
      <c r="O364" t="s">
        <v>30</v>
      </c>
      <c r="P364">
        <v>2021</v>
      </c>
    </row>
    <row r="365" spans="1:16" x14ac:dyDescent="0.25">
      <c r="A365" t="s">
        <v>16</v>
      </c>
      <c r="B365" s="1" t="e">
        <f t="array" ref="B365">SUM</f>
        <v>#NAME?</v>
      </c>
      <c r="C365" s="1" t="e">
        <f t="array" ref="C365">SUM</f>
        <v>#NAME?</v>
      </c>
      <c r="D365" s="1" t="e">
        <f t="array" ref="D365">SUM</f>
        <v>#NAME?</v>
      </c>
      <c r="E365" s="1" t="e">
        <f t="array" ref="E365">SUM</f>
        <v>#NAME?</v>
      </c>
      <c r="F365" s="1" t="e">
        <f t="array" ref="F365">SUM</f>
        <v>#NAME?</v>
      </c>
      <c r="G365" s="1" t="e">
        <f t="array" ref="G365">SUM</f>
        <v>#NAME?</v>
      </c>
      <c r="H365" s="1" t="e">
        <f t="array" ref="H365">SUM</f>
        <v>#NAME?</v>
      </c>
      <c r="I365" s="1" t="e">
        <f t="array" ref="I365">SUM</f>
        <v>#NAME?</v>
      </c>
      <c r="J365" s="1" t="e">
        <f t="array" ref="J365">SUM</f>
        <v>#NAME?</v>
      </c>
      <c r="K365" s="1" t="e">
        <f t="array" ref="K365">SUM</f>
        <v>#NAME?</v>
      </c>
      <c r="L365" s="1" t="e">
        <f t="array" ref="L365">SUM</f>
        <v>#NAME?</v>
      </c>
      <c r="M365" s="1" t="e">
        <f t="array" ref="M365">SUM</f>
        <v>#NAME?</v>
      </c>
      <c r="N365" s="1" t="e">
        <f t="array" ref="N365">SUM</f>
        <v>#NAME?</v>
      </c>
      <c r="O365" t="s">
        <v>20</v>
      </c>
      <c r="P365">
        <v>2021</v>
      </c>
    </row>
    <row r="366" spans="1:16" x14ac:dyDescent="0.25">
      <c r="A366" t="s">
        <v>18</v>
      </c>
      <c r="B366" s="1" t="e">
        <f t="array" ref="B366">SUM</f>
        <v>#NAME?</v>
      </c>
      <c r="C366" s="1" t="e">
        <f t="array" ref="C366">SUM</f>
        <v>#NAME?</v>
      </c>
      <c r="D366" s="1" t="e">
        <f t="array" ref="D366">SUM</f>
        <v>#NAME?</v>
      </c>
      <c r="E366" s="1" t="e">
        <f t="array" ref="E366">SUM</f>
        <v>#NAME?</v>
      </c>
      <c r="F366" s="1" t="e">
        <f t="array" ref="F366">SUM</f>
        <v>#NAME?</v>
      </c>
      <c r="G366" s="1" t="e">
        <f t="array" ref="G366">SUM</f>
        <v>#NAME?</v>
      </c>
      <c r="H366" s="1" t="e">
        <f t="array" ref="H366">SUM</f>
        <v>#NAME?</v>
      </c>
      <c r="I366" s="1" t="e">
        <f t="array" ref="I366">SUM</f>
        <v>#NAME?</v>
      </c>
      <c r="J366" s="1" t="e">
        <f t="array" ref="J366">SUM</f>
        <v>#NAME?</v>
      </c>
      <c r="K366" s="1" t="e">
        <f t="array" ref="K366">SUM</f>
        <v>#NAME?</v>
      </c>
      <c r="L366" s="1" t="e">
        <f t="array" ref="L366">SUM</f>
        <v>#NAME?</v>
      </c>
      <c r="M366" s="1" t="e">
        <f t="array" ref="M366">SUM</f>
        <v>#NAME?</v>
      </c>
      <c r="N366" s="1" t="e">
        <f t="array" ref="N366">SUM</f>
        <v>#NAME?</v>
      </c>
      <c r="O366" t="s">
        <v>21</v>
      </c>
      <c r="P366">
        <v>2021</v>
      </c>
    </row>
    <row r="367" spans="1:16" x14ac:dyDescent="0.25">
      <c r="A367" t="s">
        <v>16</v>
      </c>
      <c r="B367" s="1" t="e">
        <f t="array" ref="B367">SUM</f>
        <v>#NAME?</v>
      </c>
      <c r="C367" s="1" t="e">
        <f t="array" ref="C367">SUM</f>
        <v>#NAME?</v>
      </c>
      <c r="D367" s="1" t="e">
        <f t="array" ref="D367">SUM</f>
        <v>#NAME?</v>
      </c>
      <c r="E367" s="1" t="e">
        <f t="array" ref="E367">SUM</f>
        <v>#NAME?</v>
      </c>
      <c r="F367" s="1" t="e">
        <f t="array" ref="F367">SUM</f>
        <v>#NAME?</v>
      </c>
      <c r="G367" s="1" t="e">
        <f t="array" ref="G367">SUM</f>
        <v>#NAME?</v>
      </c>
      <c r="H367" s="1" t="e">
        <f t="array" ref="H367">SUM</f>
        <v>#NAME?</v>
      </c>
      <c r="I367" s="1" t="e">
        <f t="array" ref="I367">SUM</f>
        <v>#NAME?</v>
      </c>
      <c r="J367" s="1" t="e">
        <f t="array" ref="J367">SUM</f>
        <v>#NAME?</v>
      </c>
      <c r="K367" s="1" t="e">
        <f t="array" ref="K367">SUM</f>
        <v>#NAME?</v>
      </c>
      <c r="L367" s="1" t="e">
        <f t="array" ref="L367">SUM</f>
        <v>#NAME?</v>
      </c>
      <c r="M367" s="1" t="e">
        <f t="array" ref="M367">SUM</f>
        <v>#NAME?</v>
      </c>
      <c r="N367" s="1" t="e">
        <f t="array" ref="N367">SUM</f>
        <v>#NAME?</v>
      </c>
      <c r="O367" t="s">
        <v>19</v>
      </c>
      <c r="P367">
        <v>2021</v>
      </c>
    </row>
    <row r="368" spans="1:16" x14ac:dyDescent="0.25">
      <c r="A368" t="s">
        <v>16</v>
      </c>
      <c r="B368" s="1" t="e">
        <f t="array" ref="B368">SUM</f>
        <v>#NAME?</v>
      </c>
      <c r="C368" s="1" t="e">
        <f t="array" ref="C368">SUM</f>
        <v>#NAME?</v>
      </c>
      <c r="D368" s="1" t="e">
        <f t="array" ref="D368">SUM</f>
        <v>#NAME?</v>
      </c>
      <c r="E368" s="1" t="e">
        <f t="array" ref="E368">SUM</f>
        <v>#NAME?</v>
      </c>
      <c r="F368" s="1" t="e">
        <f t="array" ref="F368">SUM</f>
        <v>#NAME?</v>
      </c>
      <c r="G368" s="1" t="e">
        <f t="array" ref="G368">SUM</f>
        <v>#NAME?</v>
      </c>
      <c r="H368" s="1" t="e">
        <f t="array" ref="H368">SUM</f>
        <v>#NAME?</v>
      </c>
      <c r="I368" s="1" t="e">
        <f t="array" ref="I368">SUM</f>
        <v>#NAME?</v>
      </c>
      <c r="J368" s="1" t="e">
        <f t="array" ref="J368">SUM</f>
        <v>#NAME?</v>
      </c>
      <c r="K368" s="1" t="e">
        <f t="array" ref="K368">SUM</f>
        <v>#NAME?</v>
      </c>
      <c r="L368" s="1" t="e">
        <f t="array" ref="L368">SUM</f>
        <v>#NAME?</v>
      </c>
      <c r="M368" s="1" t="e">
        <f t="array" ref="M368">SUM</f>
        <v>#NAME?</v>
      </c>
      <c r="N368" s="1" t="e">
        <f t="array" ref="N368">SUM</f>
        <v>#NAME?</v>
      </c>
      <c r="O368" t="s">
        <v>24</v>
      </c>
      <c r="P368">
        <v>2021</v>
      </c>
    </row>
    <row r="369" spans="1:16" x14ac:dyDescent="0.25">
      <c r="A369" t="s">
        <v>25</v>
      </c>
      <c r="B369" s="1" t="e">
        <f t="array" ref="B369">SUM</f>
        <v>#NAME?</v>
      </c>
      <c r="C369" s="1" t="e">
        <f t="array" ref="C369">SUM</f>
        <v>#NAME?</v>
      </c>
      <c r="D369" s="1" t="e">
        <f t="array" ref="D369">SUM</f>
        <v>#NAME?</v>
      </c>
      <c r="E369" s="1" t="e">
        <f t="array" ref="E369">SUM</f>
        <v>#NAME?</v>
      </c>
      <c r="F369" s="1" t="e">
        <f t="array" ref="F369">SUM</f>
        <v>#NAME?</v>
      </c>
      <c r="G369" s="1" t="e">
        <f t="array" ref="G369">SUM</f>
        <v>#NAME?</v>
      </c>
      <c r="H369" s="1" t="e">
        <f t="array" ref="H369">SUM</f>
        <v>#NAME?</v>
      </c>
      <c r="I369" s="1" t="e">
        <f t="array" ref="I369">SUM</f>
        <v>#NAME?</v>
      </c>
      <c r="J369" s="1" t="e">
        <f t="array" ref="J369">SUM</f>
        <v>#NAME?</v>
      </c>
      <c r="K369" s="1" t="e">
        <f t="array" ref="K369">SUM</f>
        <v>#NAME?</v>
      </c>
      <c r="L369" s="1" t="e">
        <f t="array" ref="L369">SUM</f>
        <v>#NAME?</v>
      </c>
      <c r="M369" s="1" t="e">
        <f t="array" ref="M369">SUM</f>
        <v>#NAME?</v>
      </c>
      <c r="N369" s="1" t="e">
        <f t="array" ref="N369">SUM</f>
        <v>#NAME?</v>
      </c>
      <c r="O369" t="s">
        <v>26</v>
      </c>
      <c r="P369">
        <v>2021</v>
      </c>
    </row>
    <row r="370" spans="1:16" x14ac:dyDescent="0.25">
      <c r="A370" t="s">
        <v>25</v>
      </c>
      <c r="B370" s="1" t="e">
        <f t="array" ref="B370">SUM</f>
        <v>#NAME?</v>
      </c>
      <c r="C370" s="1" t="e">
        <f t="array" ref="C370">SUM</f>
        <v>#NAME?</v>
      </c>
      <c r="D370" s="1" t="e">
        <f t="array" ref="D370">SUM</f>
        <v>#NAME?</v>
      </c>
      <c r="E370" s="1" t="e">
        <f t="array" ref="E370">SUM</f>
        <v>#NAME?</v>
      </c>
      <c r="F370" s="1" t="e">
        <f t="array" ref="F370">SUM</f>
        <v>#NAME?</v>
      </c>
      <c r="G370" s="1" t="e">
        <f t="array" ref="G370">SUM</f>
        <v>#NAME?</v>
      </c>
      <c r="H370" s="1" t="e">
        <f t="array" ref="H370">SUM</f>
        <v>#NAME?</v>
      </c>
      <c r="I370" s="1" t="e">
        <f t="array" ref="I370">SUM</f>
        <v>#NAME?</v>
      </c>
      <c r="J370" s="1" t="e">
        <f t="array" ref="J370">SUM</f>
        <v>#NAME?</v>
      </c>
      <c r="K370" s="1" t="e">
        <f t="array" ref="K370">SUM</f>
        <v>#NAME?</v>
      </c>
      <c r="L370" s="1" t="e">
        <f t="array" ref="L370">SUM</f>
        <v>#NAME?</v>
      </c>
      <c r="M370" s="1" t="e">
        <f t="array" ref="M370">SUM</f>
        <v>#NAME?</v>
      </c>
      <c r="N370" s="1" t="e">
        <f t="array" ref="N370">SUM</f>
        <v>#NAME?</v>
      </c>
      <c r="O370" t="s">
        <v>27</v>
      </c>
      <c r="P370">
        <v>2021</v>
      </c>
    </row>
    <row r="371" spans="1:16" x14ac:dyDescent="0.25">
      <c r="A371" t="s">
        <v>18</v>
      </c>
      <c r="B371" s="1" t="e">
        <f t="array" ref="B371">SUM</f>
        <v>#NAME?</v>
      </c>
      <c r="C371" s="1" t="e">
        <f t="array" ref="C371">SUM</f>
        <v>#NAME?</v>
      </c>
      <c r="D371" s="1" t="e">
        <f t="array" ref="D371">SUM</f>
        <v>#NAME?</v>
      </c>
      <c r="E371" s="1" t="e">
        <f t="array" ref="E371">SUM</f>
        <v>#NAME?</v>
      </c>
      <c r="F371" s="1" t="e">
        <f t="array" ref="F371">SUM</f>
        <v>#NAME?</v>
      </c>
      <c r="G371" s="1" t="e">
        <f t="array" ref="G371">SUM</f>
        <v>#NAME?</v>
      </c>
      <c r="H371" s="1" t="e">
        <f t="array" ref="H371">SUM</f>
        <v>#NAME?</v>
      </c>
      <c r="I371" s="1" t="e">
        <f t="array" ref="I371">SUM</f>
        <v>#NAME?</v>
      </c>
      <c r="J371" s="1" t="e">
        <f t="array" ref="J371">SUM</f>
        <v>#NAME?</v>
      </c>
      <c r="K371" s="1" t="e">
        <f t="array" ref="K371">SUM</f>
        <v>#NAME?</v>
      </c>
      <c r="L371" s="1" t="e">
        <f t="array" ref="L371">SUM</f>
        <v>#NAME?</v>
      </c>
      <c r="M371" s="1" t="e">
        <f t="array" ref="M371">SUM</f>
        <v>#NAME?</v>
      </c>
      <c r="N371" s="1" t="e">
        <f t="array" ref="N371">SUM</f>
        <v>#NAME?</v>
      </c>
      <c r="O371" t="s">
        <v>20</v>
      </c>
      <c r="P371">
        <v>2021</v>
      </c>
    </row>
    <row r="372" spans="1:16" x14ac:dyDescent="0.25">
      <c r="A372" t="s">
        <v>23</v>
      </c>
      <c r="B372" s="1" t="e">
        <f t="array" ref="B372">SUM</f>
        <v>#NAME?</v>
      </c>
      <c r="C372" s="1" t="e">
        <f t="array" ref="C372">SUM</f>
        <v>#NAME?</v>
      </c>
      <c r="D372" s="1" t="e">
        <f t="array" ref="D372">SUM</f>
        <v>#NAME?</v>
      </c>
      <c r="E372" s="1" t="e">
        <f t="array" ref="E372">SUM</f>
        <v>#NAME?</v>
      </c>
      <c r="F372" s="1" t="e">
        <f t="array" ref="F372">SUM</f>
        <v>#NAME?</v>
      </c>
      <c r="G372" s="1" t="e">
        <f t="array" ref="G372">SUM</f>
        <v>#NAME?</v>
      </c>
      <c r="H372" s="1" t="e">
        <f t="array" ref="H372">SUM</f>
        <v>#NAME?</v>
      </c>
      <c r="I372" s="1" t="e">
        <f t="array" ref="I372">SUM</f>
        <v>#NAME?</v>
      </c>
      <c r="J372" s="1" t="e">
        <f t="array" ref="J372">SUM</f>
        <v>#NAME?</v>
      </c>
      <c r="K372" s="1" t="e">
        <f t="array" ref="K372">SUM</f>
        <v>#NAME?</v>
      </c>
      <c r="L372" s="1" t="e">
        <f t="array" ref="L372">SUM</f>
        <v>#NAME?</v>
      </c>
      <c r="M372" s="1" t="e">
        <f t="array" ref="M372">SUM</f>
        <v>#NAME?</v>
      </c>
      <c r="N372" s="1" t="e">
        <f t="array" ref="N372">SUM</f>
        <v>#NAME?</v>
      </c>
      <c r="O372" t="s">
        <v>21</v>
      </c>
      <c r="P372">
        <v>2021</v>
      </c>
    </row>
    <row r="373" spans="1:16" x14ac:dyDescent="0.25">
      <c r="A373" t="s">
        <v>16</v>
      </c>
      <c r="B373" s="1" t="e">
        <f t="array" ref="B373">SUM</f>
        <v>#NAME?</v>
      </c>
      <c r="C373" s="1" t="e">
        <f t="array" ref="C373">SUM</f>
        <v>#NAME?</v>
      </c>
      <c r="D373" s="1" t="e">
        <f t="array" ref="D373">SUM</f>
        <v>#NAME?</v>
      </c>
      <c r="E373" s="1" t="e">
        <f t="array" ref="E373">SUM</f>
        <v>#NAME?</v>
      </c>
      <c r="F373" s="1" t="e">
        <f t="array" ref="F373">SUM</f>
        <v>#NAME?</v>
      </c>
      <c r="G373" s="1" t="e">
        <f t="array" ref="G373">SUM</f>
        <v>#NAME?</v>
      </c>
      <c r="H373" s="1" t="e">
        <f t="array" ref="H373">SUM</f>
        <v>#NAME?</v>
      </c>
      <c r="I373" s="1" t="e">
        <f t="array" ref="I373">SUM</f>
        <v>#NAME?</v>
      </c>
      <c r="J373" s="1" t="e">
        <f t="array" ref="J373">SUM</f>
        <v>#NAME?</v>
      </c>
      <c r="K373" s="1" t="e">
        <f t="array" ref="K373">SUM</f>
        <v>#NAME?</v>
      </c>
      <c r="L373" s="1" t="e">
        <f t="array" ref="L373">SUM</f>
        <v>#NAME?</v>
      </c>
      <c r="M373" s="1" t="e">
        <f t="array" ref="M373">SUM</f>
        <v>#NAME?</v>
      </c>
      <c r="N373" s="1" t="e">
        <f t="array" ref="N373">SUM</f>
        <v>#NAME?</v>
      </c>
      <c r="O373" t="s">
        <v>31</v>
      </c>
      <c r="P373">
        <v>2021</v>
      </c>
    </row>
    <row r="374" spans="1:16" x14ac:dyDescent="0.25">
      <c r="A374" t="s">
        <v>16</v>
      </c>
      <c r="B374" s="1" t="e">
        <f t="array" ref="B374">SUM</f>
        <v>#NAME?</v>
      </c>
      <c r="C374" s="1" t="e">
        <f t="array" ref="C374">SUM</f>
        <v>#NAME?</v>
      </c>
      <c r="D374" s="1" t="e">
        <f t="array" ref="D374">SUM</f>
        <v>#NAME?</v>
      </c>
      <c r="E374" s="1" t="e">
        <f t="array" ref="E374">SUM</f>
        <v>#NAME?</v>
      </c>
      <c r="F374" s="1" t="e">
        <f t="array" ref="F374">SUM</f>
        <v>#NAME?</v>
      </c>
      <c r="G374" s="1" t="e">
        <f t="array" ref="G374">SUM</f>
        <v>#NAME?</v>
      </c>
      <c r="H374" s="1" t="e">
        <f t="array" ref="H374">SUM</f>
        <v>#NAME?</v>
      </c>
      <c r="I374" s="1" t="e">
        <f t="array" ref="I374">SUM</f>
        <v>#NAME?</v>
      </c>
      <c r="J374" s="1" t="e">
        <f t="array" ref="J374">SUM</f>
        <v>#NAME?</v>
      </c>
      <c r="K374" s="1" t="e">
        <f t="array" ref="K374">SUM</f>
        <v>#NAME?</v>
      </c>
      <c r="L374" s="1" t="e">
        <f t="array" ref="L374">SUM</f>
        <v>#NAME?</v>
      </c>
      <c r="M374" s="1" t="e">
        <f t="array" ref="M374">SUM</f>
        <v>#NAME?</v>
      </c>
      <c r="N374" s="1" t="e">
        <f t="array" ref="N374">SUM</f>
        <v>#NAME?</v>
      </c>
      <c r="O374" t="s">
        <v>32</v>
      </c>
      <c r="P374">
        <v>2021</v>
      </c>
    </row>
    <row r="375" spans="1:16" x14ac:dyDescent="0.25">
      <c r="A375" t="s">
        <v>16</v>
      </c>
      <c r="B375" s="1" t="e">
        <f t="array" ref="B375">SUM</f>
        <v>#NAME?</v>
      </c>
      <c r="C375" s="1" t="e">
        <f t="array" ref="C375">SUM</f>
        <v>#NAME?</v>
      </c>
      <c r="D375" s="1" t="e">
        <f t="array" ref="D375">SUM</f>
        <v>#NAME?</v>
      </c>
      <c r="E375" s="1" t="e">
        <f t="array" ref="E375">SUM</f>
        <v>#NAME?</v>
      </c>
      <c r="F375" s="1" t="e">
        <f t="array" ref="F375">SUM</f>
        <v>#NAME?</v>
      </c>
      <c r="G375" s="1" t="e">
        <f t="array" ref="G375">SUM</f>
        <v>#NAME?</v>
      </c>
      <c r="H375" s="1" t="e">
        <f t="array" ref="H375">SUM</f>
        <v>#NAME?</v>
      </c>
      <c r="I375" s="1" t="e">
        <f t="array" ref="I375">SUM</f>
        <v>#NAME?</v>
      </c>
      <c r="J375" s="1" t="e">
        <f t="array" ref="J375">SUM</f>
        <v>#NAME?</v>
      </c>
      <c r="K375" s="1" t="e">
        <f t="array" ref="K375">SUM</f>
        <v>#NAME?</v>
      </c>
      <c r="L375" s="1" t="e">
        <f t="array" ref="L375">SUM</f>
        <v>#NAME?</v>
      </c>
      <c r="M375" s="1" t="e">
        <f t="array" ref="M375">SUM</f>
        <v>#NAME?</v>
      </c>
      <c r="N375" s="1" t="e">
        <f t="array" ref="N375">SUM</f>
        <v>#NAME?</v>
      </c>
      <c r="O375" t="s">
        <v>19</v>
      </c>
      <c r="P375">
        <v>2021</v>
      </c>
    </row>
    <row r="376" spans="1:16" x14ac:dyDescent="0.25">
      <c r="A376" t="s">
        <v>25</v>
      </c>
      <c r="B376" s="1" t="e">
        <f t="array" ref="B376">SUM</f>
        <v>#NAME?</v>
      </c>
      <c r="C376" s="1" t="e">
        <f t="array" ref="C376">SUM</f>
        <v>#NAME?</v>
      </c>
      <c r="D376" s="1" t="e">
        <f t="array" ref="D376">SUM</f>
        <v>#NAME?</v>
      </c>
      <c r="E376" s="1" t="e">
        <f t="array" ref="E376">SUM</f>
        <v>#NAME?</v>
      </c>
      <c r="F376" s="1" t="e">
        <f t="array" ref="F376">SUM</f>
        <v>#NAME?</v>
      </c>
      <c r="G376" s="1" t="e">
        <f t="array" ref="G376">SUM</f>
        <v>#NAME?</v>
      </c>
      <c r="H376" s="1" t="e">
        <f t="array" ref="H376">SUM</f>
        <v>#NAME?</v>
      </c>
      <c r="I376" s="1" t="e">
        <f t="array" ref="I376">SUM</f>
        <v>#NAME?</v>
      </c>
      <c r="J376" s="1" t="e">
        <f t="array" ref="J376">SUM</f>
        <v>#NAME?</v>
      </c>
      <c r="K376" s="1" t="e">
        <f t="array" ref="K376">SUM</f>
        <v>#NAME?</v>
      </c>
      <c r="L376" s="1" t="e">
        <f t="array" ref="L376">SUM</f>
        <v>#NAME?</v>
      </c>
      <c r="M376" s="1" t="e">
        <f t="array" ref="M376">SUM</f>
        <v>#NAME?</v>
      </c>
      <c r="N376" s="1" t="e">
        <f t="array" ref="N376">SUM</f>
        <v>#NAME?</v>
      </c>
      <c r="O376" t="s">
        <v>19</v>
      </c>
      <c r="P376">
        <v>2021</v>
      </c>
    </row>
    <row r="377" spans="1:16" x14ac:dyDescent="0.25">
      <c r="A377" t="s">
        <v>16</v>
      </c>
      <c r="B377" s="1" t="e">
        <f t="array" ref="B377">SUM</f>
        <v>#NAME?</v>
      </c>
      <c r="C377" s="1" t="e">
        <f t="array" ref="C377">SUM</f>
        <v>#NAME?</v>
      </c>
      <c r="D377" s="1" t="e">
        <f t="array" ref="D377">SUM</f>
        <v>#NAME?</v>
      </c>
      <c r="E377" s="1" t="e">
        <f t="array" ref="E377">SUM</f>
        <v>#NAME?</v>
      </c>
      <c r="F377" s="1" t="e">
        <f t="array" ref="F377">SUM</f>
        <v>#NAME?</v>
      </c>
      <c r="G377" s="1" t="e">
        <f t="array" ref="G377">SUM</f>
        <v>#NAME?</v>
      </c>
      <c r="H377" s="1" t="e">
        <f t="array" ref="H377">SUM</f>
        <v>#NAME?</v>
      </c>
      <c r="I377" s="1" t="e">
        <f t="array" ref="I377">SUM</f>
        <v>#NAME?</v>
      </c>
      <c r="J377" s="1" t="e">
        <f t="array" ref="J377">SUM</f>
        <v>#NAME?</v>
      </c>
      <c r="K377" s="1" t="e">
        <f t="array" ref="K377">SUM</f>
        <v>#NAME?</v>
      </c>
      <c r="L377" s="1" t="e">
        <f t="array" ref="L377">SUM</f>
        <v>#NAME?</v>
      </c>
      <c r="M377" s="1" t="e">
        <f t="array" ref="M377">SUM</f>
        <v>#NAME?</v>
      </c>
      <c r="N377" s="1" t="e">
        <f t="array" ref="N377">SUM</f>
        <v>#NAME?</v>
      </c>
      <c r="O377" t="s">
        <v>26</v>
      </c>
      <c r="P377">
        <v>2021</v>
      </c>
    </row>
    <row r="378" spans="1:16" x14ac:dyDescent="0.25">
      <c r="A378" t="s">
        <v>16</v>
      </c>
      <c r="B378" s="1" t="e">
        <f t="array" ref="B378">SUM</f>
        <v>#NAME?</v>
      </c>
      <c r="C378" s="1" t="e">
        <f t="array" ref="C378">SUM</f>
        <v>#NAME?</v>
      </c>
      <c r="D378" s="1" t="e">
        <f t="array" ref="D378">SUM</f>
        <v>#NAME?</v>
      </c>
      <c r="E378" s="1" t="e">
        <f t="array" ref="E378">SUM</f>
        <v>#NAME?</v>
      </c>
      <c r="F378" s="1" t="e">
        <f t="array" ref="F378">SUM</f>
        <v>#NAME?</v>
      </c>
      <c r="G378" s="1" t="e">
        <f t="array" ref="G378">SUM</f>
        <v>#NAME?</v>
      </c>
      <c r="H378" s="1" t="e">
        <f t="array" ref="H378">SUM</f>
        <v>#NAME?</v>
      </c>
      <c r="I378" s="1" t="e">
        <f t="array" ref="I378">SUM</f>
        <v>#NAME?</v>
      </c>
      <c r="J378" s="1" t="e">
        <f t="array" ref="J378">SUM</f>
        <v>#NAME?</v>
      </c>
      <c r="K378" s="1" t="e">
        <f t="array" ref="K378">SUM</f>
        <v>#NAME?</v>
      </c>
      <c r="L378" s="1" t="e">
        <f t="array" ref="L378">SUM</f>
        <v>#NAME?</v>
      </c>
      <c r="M378" s="1" t="e">
        <f t="array" ref="M378">SUM</f>
        <v>#NAME?</v>
      </c>
      <c r="N378" s="1" t="e">
        <f t="array" ref="N378">SUM</f>
        <v>#NAME?</v>
      </c>
      <c r="O378" t="s">
        <v>26</v>
      </c>
      <c r="P378">
        <v>2021</v>
      </c>
    </row>
    <row r="379" spans="1:16" x14ac:dyDescent="0.25">
      <c r="A379" t="s">
        <v>16</v>
      </c>
      <c r="B379" s="1" t="e">
        <f t="array" ref="B379">SUM</f>
        <v>#NAME?</v>
      </c>
      <c r="C379" s="1" t="e">
        <f t="array" ref="C379">SUM</f>
        <v>#NAME?</v>
      </c>
      <c r="D379" s="1" t="e">
        <f t="array" ref="D379">SUM</f>
        <v>#NAME?</v>
      </c>
      <c r="E379" s="1" t="e">
        <f t="array" ref="E379">SUM</f>
        <v>#NAME?</v>
      </c>
      <c r="F379" s="1" t="e">
        <f t="array" ref="F379">SUM</f>
        <v>#NAME?</v>
      </c>
      <c r="G379" s="1" t="e">
        <f t="array" ref="G379">SUM</f>
        <v>#NAME?</v>
      </c>
      <c r="H379" s="1" t="e">
        <f t="array" ref="H379">SUM</f>
        <v>#NAME?</v>
      </c>
      <c r="I379" s="1" t="e">
        <f t="array" ref="I379">SUM</f>
        <v>#NAME?</v>
      </c>
      <c r="J379" s="1" t="e">
        <f t="array" ref="J379">SUM</f>
        <v>#NAME?</v>
      </c>
      <c r="K379" s="1" t="e">
        <f t="array" ref="K379">SUM</f>
        <v>#NAME?</v>
      </c>
      <c r="L379" s="1" t="e">
        <f t="array" ref="L379">SUM</f>
        <v>#NAME?</v>
      </c>
      <c r="M379" s="1" t="e">
        <f t="array" ref="M379">SUM</f>
        <v>#NAME?</v>
      </c>
      <c r="N379" s="1" t="e">
        <f t="array" ref="N379">SUM</f>
        <v>#NAME?</v>
      </c>
      <c r="O379" t="s">
        <v>27</v>
      </c>
      <c r="P379">
        <v>2021</v>
      </c>
    </row>
    <row r="380" spans="1:16" x14ac:dyDescent="0.25">
      <c r="A380" t="s">
        <v>16</v>
      </c>
      <c r="B380" s="1" t="e">
        <f t="array" ref="B380">SUM</f>
        <v>#NAME?</v>
      </c>
      <c r="C380" s="1" t="e">
        <f t="array" ref="C380">SUM</f>
        <v>#NAME?</v>
      </c>
      <c r="D380" s="1" t="e">
        <f t="array" ref="D380">SUM</f>
        <v>#NAME?</v>
      </c>
      <c r="E380" s="1" t="e">
        <f t="array" ref="E380">SUM</f>
        <v>#NAME?</v>
      </c>
      <c r="F380" s="1" t="e">
        <f t="array" ref="F380">SUM</f>
        <v>#NAME?</v>
      </c>
      <c r="G380" s="1" t="e">
        <f t="array" ref="G380">SUM</f>
        <v>#NAME?</v>
      </c>
      <c r="H380" s="1" t="e">
        <f t="array" ref="H380">SUM</f>
        <v>#NAME?</v>
      </c>
      <c r="I380" s="1" t="e">
        <f t="array" ref="I380">SUM</f>
        <v>#NAME?</v>
      </c>
      <c r="J380" s="1" t="e">
        <f t="array" ref="J380">SUM</f>
        <v>#NAME?</v>
      </c>
      <c r="K380" s="1" t="e">
        <f t="array" ref="K380">SUM</f>
        <v>#NAME?</v>
      </c>
      <c r="L380" s="1" t="e">
        <f t="array" ref="L380">SUM</f>
        <v>#NAME?</v>
      </c>
      <c r="M380" s="1" t="e">
        <f t="array" ref="M380">SUM</f>
        <v>#NAME?</v>
      </c>
      <c r="N380" s="1" t="e">
        <f t="array" ref="N380">SUM</f>
        <v>#NAME?</v>
      </c>
      <c r="O380" t="s">
        <v>27</v>
      </c>
      <c r="P380">
        <v>2021</v>
      </c>
    </row>
    <row r="381" spans="1:16" x14ac:dyDescent="0.25">
      <c r="A381" t="s">
        <v>16</v>
      </c>
      <c r="B381" s="1" t="e">
        <f t="array" ref="B381">SUM</f>
        <v>#NAME?</v>
      </c>
      <c r="C381" s="1" t="e">
        <f t="array" ref="C381">SUM</f>
        <v>#NAME?</v>
      </c>
      <c r="D381" s="1" t="e">
        <f t="array" ref="D381">SUM</f>
        <v>#NAME?</v>
      </c>
      <c r="E381" s="1" t="e">
        <f t="array" ref="E381">SUM</f>
        <v>#NAME?</v>
      </c>
      <c r="F381" s="1" t="e">
        <f t="array" ref="F381">SUM</f>
        <v>#NAME?</v>
      </c>
      <c r="G381" s="1" t="e">
        <f t="array" ref="G381">SUM</f>
        <v>#NAME?</v>
      </c>
      <c r="H381" s="1" t="e">
        <f t="array" ref="H381">SUM</f>
        <v>#NAME?</v>
      </c>
      <c r="I381" s="1" t="e">
        <f t="array" ref="I381">SUM</f>
        <v>#NAME?</v>
      </c>
      <c r="J381" s="1" t="e">
        <f t="array" ref="J381">SUM</f>
        <v>#NAME?</v>
      </c>
      <c r="K381" s="1" t="e">
        <f t="array" ref="K381">SUM</f>
        <v>#NAME?</v>
      </c>
      <c r="L381" s="1" t="e">
        <f t="array" ref="L381">SUM</f>
        <v>#NAME?</v>
      </c>
      <c r="M381" s="1" t="e">
        <f t="array" ref="M381">SUM</f>
        <v>#NAME?</v>
      </c>
      <c r="N381" s="1" t="e">
        <f t="array" ref="N381">SUM</f>
        <v>#NAME?</v>
      </c>
      <c r="O381" t="s">
        <v>27</v>
      </c>
      <c r="P381">
        <v>2021</v>
      </c>
    </row>
    <row r="382" spans="1:16" x14ac:dyDescent="0.25">
      <c r="A382" t="s">
        <v>16</v>
      </c>
      <c r="B382" s="1" t="e">
        <f t="array" ref="B382">SUM</f>
        <v>#NAME?</v>
      </c>
      <c r="C382" s="1" t="e">
        <f t="array" ref="C382">SUM</f>
        <v>#NAME?</v>
      </c>
      <c r="D382" s="1" t="e">
        <f t="array" ref="D382">SUM</f>
        <v>#NAME?</v>
      </c>
      <c r="E382" s="1" t="e">
        <f t="array" ref="E382">SUM</f>
        <v>#NAME?</v>
      </c>
      <c r="F382" s="1" t="e">
        <f t="array" ref="F382">SUM</f>
        <v>#NAME?</v>
      </c>
      <c r="G382" s="1" t="e">
        <f t="array" ref="G382">SUM</f>
        <v>#NAME?</v>
      </c>
      <c r="H382" s="1" t="e">
        <f t="array" ref="H382">SUM</f>
        <v>#NAME?</v>
      </c>
      <c r="I382" s="1" t="e">
        <f t="array" ref="I382">SUM</f>
        <v>#NAME?</v>
      </c>
      <c r="J382" s="1" t="e">
        <f t="array" ref="J382">SUM</f>
        <v>#NAME?</v>
      </c>
      <c r="K382" s="1" t="e">
        <f t="array" ref="K382">SUM</f>
        <v>#NAME?</v>
      </c>
      <c r="L382" s="1" t="e">
        <f t="array" ref="L382">SUM</f>
        <v>#NAME?</v>
      </c>
      <c r="M382" s="1" t="e">
        <f t="array" ref="M382">SUM</f>
        <v>#NAME?</v>
      </c>
      <c r="N382" s="1" t="e">
        <f t="array" ref="N382">SUM</f>
        <v>#NAME?</v>
      </c>
      <c r="O382" t="s">
        <v>30</v>
      </c>
      <c r="P382">
        <v>2021</v>
      </c>
    </row>
    <row r="383" spans="1:16" x14ac:dyDescent="0.25">
      <c r="A383" t="s">
        <v>16</v>
      </c>
      <c r="B383" s="1" t="e">
        <f t="array" ref="B383">SUM</f>
        <v>#NAME?</v>
      </c>
      <c r="C383" s="1" t="e">
        <f t="array" ref="C383">SUM</f>
        <v>#NAME?</v>
      </c>
      <c r="D383" s="1" t="e">
        <f t="array" ref="D383">SUM</f>
        <v>#NAME?</v>
      </c>
      <c r="E383" s="1" t="e">
        <f t="array" ref="E383">SUM</f>
        <v>#NAME?</v>
      </c>
      <c r="F383" s="1" t="e">
        <f t="array" ref="F383">SUM</f>
        <v>#NAME?</v>
      </c>
      <c r="G383" s="1" t="e">
        <f t="array" ref="G383">SUM</f>
        <v>#NAME?</v>
      </c>
      <c r="H383" s="1" t="e">
        <f t="array" ref="H383">SUM</f>
        <v>#NAME?</v>
      </c>
      <c r="I383" s="1" t="e">
        <f t="array" ref="I383">SUM</f>
        <v>#NAME?</v>
      </c>
      <c r="J383" s="1" t="e">
        <f t="array" ref="J383">SUM</f>
        <v>#NAME?</v>
      </c>
      <c r="K383" s="1" t="e">
        <f t="array" ref="K383">SUM</f>
        <v>#NAME?</v>
      </c>
      <c r="L383" s="1" t="e">
        <f t="array" ref="L383">SUM</f>
        <v>#NAME?</v>
      </c>
      <c r="M383" s="1" t="e">
        <f t="array" ref="M383">SUM</f>
        <v>#NAME?</v>
      </c>
      <c r="N383" s="1" t="e">
        <f t="array" ref="N383">SUM</f>
        <v>#NAME?</v>
      </c>
      <c r="O383" t="s">
        <v>20</v>
      </c>
      <c r="P383">
        <v>2021</v>
      </c>
    </row>
    <row r="384" spans="1:16" x14ac:dyDescent="0.25">
      <c r="A384" t="s">
        <v>16</v>
      </c>
      <c r="B384" s="1" t="e">
        <f t="array" ref="B384">SUM</f>
        <v>#NAME?</v>
      </c>
      <c r="C384" s="1" t="e">
        <f t="array" ref="C384">SUM</f>
        <v>#NAME?</v>
      </c>
      <c r="D384" s="1" t="e">
        <f t="array" ref="D384">SUM</f>
        <v>#NAME?</v>
      </c>
      <c r="E384" s="1" t="e">
        <f t="array" ref="E384">SUM</f>
        <v>#NAME?</v>
      </c>
      <c r="F384" s="1" t="e">
        <f t="array" ref="F384">SUM</f>
        <v>#NAME?</v>
      </c>
      <c r="G384" s="1" t="e">
        <f t="array" ref="G384">SUM</f>
        <v>#NAME?</v>
      </c>
      <c r="H384" s="1" t="e">
        <f t="array" ref="H384">SUM</f>
        <v>#NAME?</v>
      </c>
      <c r="I384" s="1" t="e">
        <f t="array" ref="I384">SUM</f>
        <v>#NAME?</v>
      </c>
      <c r="J384" s="1" t="e">
        <f t="array" ref="J384">SUM</f>
        <v>#NAME?</v>
      </c>
      <c r="K384" s="1" t="e">
        <f t="array" ref="K384">SUM</f>
        <v>#NAME?</v>
      </c>
      <c r="L384" s="1" t="e">
        <f t="array" ref="L384">SUM</f>
        <v>#NAME?</v>
      </c>
      <c r="M384" s="1" t="e">
        <f t="array" ref="M384">SUM</f>
        <v>#NAME?</v>
      </c>
      <c r="N384" s="1" t="e">
        <f t="array" ref="N384">SUM</f>
        <v>#NAME?</v>
      </c>
      <c r="O384" t="s">
        <v>20</v>
      </c>
      <c r="P384">
        <v>2021</v>
      </c>
    </row>
    <row r="385" spans="1:16" x14ac:dyDescent="0.25">
      <c r="A385" t="s">
        <v>22</v>
      </c>
      <c r="B385" s="1" t="e">
        <f t="array" ref="B385">SUM</f>
        <v>#NAME?</v>
      </c>
      <c r="C385" s="1" t="e">
        <f t="array" ref="C385">SUM</f>
        <v>#NAME?</v>
      </c>
      <c r="D385" s="1" t="e">
        <f t="array" ref="D385">SUM</f>
        <v>#NAME?</v>
      </c>
      <c r="E385" s="1" t="e">
        <f t="array" ref="E385">SUM</f>
        <v>#NAME?</v>
      </c>
      <c r="F385" s="1" t="e">
        <f t="array" ref="F385">SUM</f>
        <v>#NAME?</v>
      </c>
      <c r="G385" s="1" t="e">
        <f t="array" ref="G385">SUM</f>
        <v>#NAME?</v>
      </c>
      <c r="H385" s="1" t="e">
        <f t="array" ref="H385">SUM</f>
        <v>#NAME?</v>
      </c>
      <c r="I385" s="1" t="e">
        <f t="array" ref="I385">SUM</f>
        <v>#NAME?</v>
      </c>
      <c r="J385" s="1" t="e">
        <f t="array" ref="J385">SUM</f>
        <v>#NAME?</v>
      </c>
      <c r="K385" s="1" t="e">
        <f t="array" ref="K385">SUM</f>
        <v>#NAME?</v>
      </c>
      <c r="L385" s="1" t="e">
        <f t="array" ref="L385">SUM</f>
        <v>#NAME?</v>
      </c>
      <c r="M385" s="1" t="e">
        <f t="array" ref="M385">SUM</f>
        <v>#NAME?</v>
      </c>
      <c r="N385" s="1" t="e">
        <f t="array" ref="N385">SUM</f>
        <v>#NAME?</v>
      </c>
      <c r="O385" t="s">
        <v>21</v>
      </c>
      <c r="P385">
        <v>2021</v>
      </c>
    </row>
    <row r="386" spans="1:16" x14ac:dyDescent="0.25">
      <c r="A386" t="s">
        <v>16</v>
      </c>
      <c r="B386" s="1" t="e">
        <f t="array" ref="B386">SUM</f>
        <v>#NAME?</v>
      </c>
      <c r="C386" s="1" t="e">
        <f t="array" ref="C386">SUM</f>
        <v>#NAME?</v>
      </c>
      <c r="D386" s="1" t="e">
        <f t="array" ref="D386">SUM</f>
        <v>#NAME?</v>
      </c>
      <c r="E386" s="1" t="e">
        <f t="array" ref="E386">SUM</f>
        <v>#NAME?</v>
      </c>
      <c r="F386" s="1" t="e">
        <f t="array" ref="F386">SUM</f>
        <v>#NAME?</v>
      </c>
      <c r="G386" s="1" t="e">
        <f t="array" ref="G386">SUM</f>
        <v>#NAME?</v>
      </c>
      <c r="H386" s="1" t="e">
        <f t="array" ref="H386">SUM</f>
        <v>#NAME?</v>
      </c>
      <c r="I386" s="1" t="e">
        <f t="array" ref="I386">SUM</f>
        <v>#NAME?</v>
      </c>
      <c r="J386" s="1" t="e">
        <f t="array" ref="J386">SUM</f>
        <v>#NAME?</v>
      </c>
      <c r="K386" s="1" t="e">
        <f t="array" ref="K386">SUM</f>
        <v>#NAME?</v>
      </c>
      <c r="L386" s="1" t="e">
        <f t="array" ref="L386">SUM</f>
        <v>#NAME?</v>
      </c>
      <c r="M386" s="1" t="e">
        <f t="array" ref="M386">SUM</f>
        <v>#NAME?</v>
      </c>
      <c r="N386" s="1" t="e">
        <f t="array" ref="N386">SUM</f>
        <v>#NAME?</v>
      </c>
      <c r="O386" t="s">
        <v>19</v>
      </c>
      <c r="P386">
        <v>2021</v>
      </c>
    </row>
    <row r="387" spans="1:16" x14ac:dyDescent="0.25">
      <c r="A387" t="s">
        <v>16</v>
      </c>
      <c r="B387" s="1" t="e">
        <f t="array" ref="B387">SUM</f>
        <v>#NAME?</v>
      </c>
      <c r="C387" s="1" t="e">
        <f t="array" ref="C387">SUM</f>
        <v>#NAME?</v>
      </c>
      <c r="D387" s="1" t="e">
        <f t="array" ref="D387">SUM</f>
        <v>#NAME?</v>
      </c>
      <c r="E387" s="1" t="e">
        <f t="array" ref="E387">SUM</f>
        <v>#NAME?</v>
      </c>
      <c r="F387" s="1" t="e">
        <f t="array" ref="F387">SUM</f>
        <v>#NAME?</v>
      </c>
      <c r="G387" s="1" t="e">
        <f t="array" ref="G387">SUM</f>
        <v>#NAME?</v>
      </c>
      <c r="H387" s="1" t="e">
        <f t="array" ref="H387">SUM</f>
        <v>#NAME?</v>
      </c>
      <c r="I387" s="1" t="e">
        <f t="array" ref="I387">SUM</f>
        <v>#NAME?</v>
      </c>
      <c r="J387" s="1" t="e">
        <f t="array" ref="J387">SUM</f>
        <v>#NAME?</v>
      </c>
      <c r="K387" s="1" t="e">
        <f t="array" ref="K387">SUM</f>
        <v>#NAME?</v>
      </c>
      <c r="L387" s="1" t="e">
        <f t="array" ref="L387">SUM</f>
        <v>#NAME?</v>
      </c>
      <c r="M387" s="1" t="e">
        <f t="array" ref="M387">SUM</f>
        <v>#NAME?</v>
      </c>
      <c r="N387" s="1" t="e">
        <f t="array" ref="N387">SUM</f>
        <v>#NAME?</v>
      </c>
      <c r="O387" t="s">
        <v>19</v>
      </c>
      <c r="P387">
        <v>2021</v>
      </c>
    </row>
    <row r="388" spans="1:16" x14ac:dyDescent="0.25">
      <c r="A388" t="s">
        <v>25</v>
      </c>
      <c r="B388" s="1" t="e">
        <f t="array" ref="B388">SUM</f>
        <v>#NAME?</v>
      </c>
      <c r="C388" s="1" t="e">
        <f t="array" ref="C388">SUM</f>
        <v>#NAME?</v>
      </c>
      <c r="D388" s="1" t="e">
        <f t="array" ref="D388">SUM</f>
        <v>#NAME?</v>
      </c>
      <c r="E388" s="1" t="e">
        <f t="array" ref="E388">SUM</f>
        <v>#NAME?</v>
      </c>
      <c r="F388" s="1" t="e">
        <f t="array" ref="F388">SUM</f>
        <v>#NAME?</v>
      </c>
      <c r="G388" s="1" t="e">
        <f t="array" ref="G388">SUM</f>
        <v>#NAME?</v>
      </c>
      <c r="H388" s="1" t="e">
        <f t="array" ref="H388">SUM</f>
        <v>#NAME?</v>
      </c>
      <c r="I388" s="1" t="e">
        <f t="array" ref="I388">SUM</f>
        <v>#NAME?</v>
      </c>
      <c r="J388" s="1" t="e">
        <f t="array" ref="J388">SUM</f>
        <v>#NAME?</v>
      </c>
      <c r="K388" s="1" t="e">
        <f t="array" ref="K388">SUM</f>
        <v>#NAME?</v>
      </c>
      <c r="L388" s="1" t="e">
        <f t="array" ref="L388">SUM</f>
        <v>#NAME?</v>
      </c>
      <c r="M388" s="1" t="e">
        <f t="array" ref="M388">SUM</f>
        <v>#NAME?</v>
      </c>
      <c r="N388" s="1" t="e">
        <f t="array" ref="N388">SUM</f>
        <v>#NAME?</v>
      </c>
      <c r="O388" t="s">
        <v>30</v>
      </c>
      <c r="P388">
        <v>2021</v>
      </c>
    </row>
    <row r="389" spans="1:16" x14ac:dyDescent="0.25">
      <c r="A389" t="s">
        <v>25</v>
      </c>
      <c r="B389" s="1" t="e">
        <f t="array" ref="B389">SUM</f>
        <v>#NAME?</v>
      </c>
      <c r="C389" s="1" t="e">
        <f t="array" ref="C389">SUM</f>
        <v>#NAME?</v>
      </c>
      <c r="D389" s="1" t="e">
        <f t="array" ref="D389">SUM</f>
        <v>#NAME?</v>
      </c>
      <c r="E389" s="1" t="e">
        <f t="array" ref="E389">SUM</f>
        <v>#NAME?</v>
      </c>
      <c r="F389" s="1" t="e">
        <f t="array" ref="F389">SUM</f>
        <v>#NAME?</v>
      </c>
      <c r="G389" s="1" t="e">
        <f t="array" ref="G389">SUM</f>
        <v>#NAME?</v>
      </c>
      <c r="H389" s="1" t="e">
        <f t="array" ref="H389">SUM</f>
        <v>#NAME?</v>
      </c>
      <c r="I389" s="1" t="e">
        <f t="array" ref="I389">SUM</f>
        <v>#NAME?</v>
      </c>
      <c r="J389" s="1" t="e">
        <f t="array" ref="J389">SUM</f>
        <v>#NAME?</v>
      </c>
      <c r="K389" s="1" t="e">
        <f t="array" ref="K389">SUM</f>
        <v>#NAME?</v>
      </c>
      <c r="L389" s="1" t="e">
        <f t="array" ref="L389">SUM</f>
        <v>#NAME?</v>
      </c>
      <c r="M389" s="1" t="e">
        <f t="array" ref="M389">SUM</f>
        <v>#NAME?</v>
      </c>
      <c r="N389" s="1" t="e">
        <f t="array" ref="N389">SUM</f>
        <v>#NAME?</v>
      </c>
      <c r="O389" t="s">
        <v>20</v>
      </c>
      <c r="P389">
        <v>2021</v>
      </c>
    </row>
    <row r="390" spans="1:16" x14ac:dyDescent="0.25">
      <c r="A390" t="s">
        <v>16</v>
      </c>
      <c r="B390" s="1" t="e">
        <f t="array" ref="B390">SUM</f>
        <v>#NAME?</v>
      </c>
      <c r="C390" s="1" t="e">
        <f t="array" ref="C390">SUM</f>
        <v>#NAME?</v>
      </c>
      <c r="D390" s="1" t="e">
        <f t="array" ref="D390">SUM</f>
        <v>#NAME?</v>
      </c>
      <c r="E390" s="1" t="e">
        <f t="array" ref="E390">SUM</f>
        <v>#NAME?</v>
      </c>
      <c r="F390" s="1" t="e">
        <f t="array" ref="F390">SUM</f>
        <v>#NAME?</v>
      </c>
      <c r="G390" s="1" t="e">
        <f t="array" ref="G390">SUM</f>
        <v>#NAME?</v>
      </c>
      <c r="H390" s="1" t="e">
        <f t="array" ref="H390">SUM</f>
        <v>#NAME?</v>
      </c>
      <c r="I390" s="1" t="e">
        <f t="array" ref="I390">SUM</f>
        <v>#NAME?</v>
      </c>
      <c r="J390" s="1" t="e">
        <f t="array" ref="J390">SUM</f>
        <v>#NAME?</v>
      </c>
      <c r="K390" s="1" t="e">
        <f t="array" ref="K390">SUM</f>
        <v>#NAME?</v>
      </c>
      <c r="L390" s="1" t="e">
        <f t="array" ref="L390">SUM</f>
        <v>#NAME?</v>
      </c>
      <c r="M390" s="1" t="e">
        <f t="array" ref="M390">SUM</f>
        <v>#NAME?</v>
      </c>
      <c r="N390" s="1" t="e">
        <f t="array" ref="N390">SUM</f>
        <v>#NAME?</v>
      </c>
      <c r="O390" t="s">
        <v>31</v>
      </c>
      <c r="P390">
        <v>2021</v>
      </c>
    </row>
    <row r="391" spans="1:16" x14ac:dyDescent="0.25">
      <c r="A391" t="s">
        <v>16</v>
      </c>
      <c r="B391" s="1" t="e">
        <f t="array" ref="B391">SUM</f>
        <v>#NAME?</v>
      </c>
      <c r="C391" s="1" t="e">
        <f t="array" ref="C391">SUM</f>
        <v>#NAME?</v>
      </c>
      <c r="D391" s="1" t="e">
        <f t="array" ref="D391">SUM</f>
        <v>#NAME?</v>
      </c>
      <c r="E391" s="1" t="e">
        <f t="array" ref="E391">SUM</f>
        <v>#NAME?</v>
      </c>
      <c r="F391" s="1" t="e">
        <f t="array" ref="F391">SUM</f>
        <v>#NAME?</v>
      </c>
      <c r="G391" s="1" t="e">
        <f t="array" ref="G391">SUM</f>
        <v>#NAME?</v>
      </c>
      <c r="H391" s="1" t="e">
        <f t="array" ref="H391">SUM</f>
        <v>#NAME?</v>
      </c>
      <c r="I391" s="1" t="e">
        <f t="array" ref="I391">SUM</f>
        <v>#NAME?</v>
      </c>
      <c r="J391" s="1" t="e">
        <f t="array" ref="J391">SUM</f>
        <v>#NAME?</v>
      </c>
      <c r="K391" s="1" t="e">
        <f t="array" ref="K391">SUM</f>
        <v>#NAME?</v>
      </c>
      <c r="L391" s="1" t="e">
        <f t="array" ref="L391">SUM</f>
        <v>#NAME?</v>
      </c>
      <c r="M391" s="1" t="e">
        <f t="array" ref="M391">SUM</f>
        <v>#NAME?</v>
      </c>
      <c r="N391" s="1" t="e">
        <f t="array" ref="N391">SUM</f>
        <v>#NAME?</v>
      </c>
      <c r="O391" t="s">
        <v>19</v>
      </c>
      <c r="P391">
        <v>2021</v>
      </c>
    </row>
    <row r="392" spans="1:16" x14ac:dyDescent="0.25">
      <c r="A392" t="s">
        <v>16</v>
      </c>
      <c r="B392" s="1" t="e">
        <f t="array" ref="B392">SUM</f>
        <v>#NAME?</v>
      </c>
      <c r="C392" s="1" t="e">
        <f t="array" ref="C392">SUM</f>
        <v>#NAME?</v>
      </c>
      <c r="D392" s="1" t="e">
        <f t="array" ref="D392">SUM</f>
        <v>#NAME?</v>
      </c>
      <c r="E392" s="1" t="e">
        <f t="array" ref="E392">SUM</f>
        <v>#NAME?</v>
      </c>
      <c r="F392" s="1" t="e">
        <f t="array" ref="F392">SUM</f>
        <v>#NAME?</v>
      </c>
      <c r="G392" s="1" t="e">
        <f t="array" ref="G392">SUM</f>
        <v>#NAME?</v>
      </c>
      <c r="H392" s="1" t="e">
        <f t="array" ref="H392">SUM</f>
        <v>#NAME?</v>
      </c>
      <c r="I392" s="1" t="e">
        <f t="array" ref="I392">SUM</f>
        <v>#NAME?</v>
      </c>
      <c r="J392" s="1" t="e">
        <f t="array" ref="J392">SUM</f>
        <v>#NAME?</v>
      </c>
      <c r="K392" s="1" t="e">
        <f t="array" ref="K392">SUM</f>
        <v>#NAME?</v>
      </c>
      <c r="L392" s="1" t="e">
        <f t="array" ref="L392">SUM</f>
        <v>#NAME?</v>
      </c>
      <c r="M392" s="1" t="e">
        <f t="array" ref="M392">SUM</f>
        <v>#NAME?</v>
      </c>
      <c r="N392" s="1" t="e">
        <f t="array" ref="N392">SUM</f>
        <v>#NAME?</v>
      </c>
      <c r="O392" t="s">
        <v>26</v>
      </c>
      <c r="P392">
        <v>2021</v>
      </c>
    </row>
    <row r="393" spans="1:16" x14ac:dyDescent="0.25">
      <c r="A393" t="s">
        <v>16</v>
      </c>
      <c r="B393" s="1" t="e">
        <f t="array" ref="B393">SUM</f>
        <v>#NAME?</v>
      </c>
      <c r="C393" s="1" t="e">
        <f t="array" ref="C393">SUM</f>
        <v>#NAME?</v>
      </c>
      <c r="D393" s="1" t="e">
        <f t="array" ref="D393">SUM</f>
        <v>#NAME?</v>
      </c>
      <c r="E393" s="1" t="e">
        <f t="array" ref="E393">SUM</f>
        <v>#NAME?</v>
      </c>
      <c r="F393" s="1" t="e">
        <f t="array" ref="F393">SUM</f>
        <v>#NAME?</v>
      </c>
      <c r="G393" s="1" t="e">
        <f t="array" ref="G393">SUM</f>
        <v>#NAME?</v>
      </c>
      <c r="H393" s="1" t="e">
        <f t="array" ref="H393">SUM</f>
        <v>#NAME?</v>
      </c>
      <c r="I393" s="1" t="e">
        <f t="array" ref="I393">SUM</f>
        <v>#NAME?</v>
      </c>
      <c r="J393" s="1" t="e">
        <f t="array" ref="J393">SUM</f>
        <v>#NAME?</v>
      </c>
      <c r="K393" s="1" t="e">
        <f t="array" ref="K393">SUM</f>
        <v>#NAME?</v>
      </c>
      <c r="L393" s="1" t="e">
        <f t="array" ref="L393">SUM</f>
        <v>#NAME?</v>
      </c>
      <c r="M393" s="1" t="e">
        <f t="array" ref="M393">SUM</f>
        <v>#NAME?</v>
      </c>
      <c r="N393" s="1" t="e">
        <f t="array" ref="N393">SUM</f>
        <v>#NAME?</v>
      </c>
      <c r="O393" t="s">
        <v>26</v>
      </c>
      <c r="P393">
        <v>2021</v>
      </c>
    </row>
    <row r="394" spans="1:16" x14ac:dyDescent="0.25">
      <c r="A394" t="s">
        <v>25</v>
      </c>
      <c r="B394" s="1" t="e">
        <f t="array" ref="B394">SUM</f>
        <v>#NAME?</v>
      </c>
      <c r="C394" s="1" t="e">
        <f t="array" ref="C394">SUM</f>
        <v>#NAME?</v>
      </c>
      <c r="D394" s="1" t="e">
        <f t="array" ref="D394">SUM</f>
        <v>#NAME?</v>
      </c>
      <c r="E394" s="1" t="e">
        <f t="array" ref="E394">SUM</f>
        <v>#NAME?</v>
      </c>
      <c r="F394" s="1" t="e">
        <f t="array" ref="F394">SUM</f>
        <v>#NAME?</v>
      </c>
      <c r="G394" s="1" t="e">
        <f t="array" ref="G394">SUM</f>
        <v>#NAME?</v>
      </c>
      <c r="H394" s="1" t="e">
        <f t="array" ref="H394">SUM</f>
        <v>#NAME?</v>
      </c>
      <c r="I394" s="1" t="e">
        <f t="array" ref="I394">SUM</f>
        <v>#NAME?</v>
      </c>
      <c r="J394" s="1" t="e">
        <f t="array" ref="J394">SUM</f>
        <v>#NAME?</v>
      </c>
      <c r="K394" s="1" t="e">
        <f t="array" ref="K394">SUM</f>
        <v>#NAME?</v>
      </c>
      <c r="L394" s="1" t="e">
        <f t="array" ref="L394">SUM</f>
        <v>#NAME?</v>
      </c>
      <c r="M394" s="1" t="e">
        <f t="array" ref="M394">SUM</f>
        <v>#NAME?</v>
      </c>
      <c r="N394" s="1" t="e">
        <f t="array" ref="N394">SUM</f>
        <v>#NAME?</v>
      </c>
      <c r="O394" t="s">
        <v>27</v>
      </c>
      <c r="P394">
        <v>2021</v>
      </c>
    </row>
    <row r="395" spans="1:16" x14ac:dyDescent="0.25">
      <c r="A395" t="s">
        <v>25</v>
      </c>
      <c r="B395" s="1" t="e">
        <f t="array" ref="B395">SUM</f>
        <v>#NAME?</v>
      </c>
      <c r="C395" s="1" t="e">
        <f t="array" ref="C395">SUM</f>
        <v>#NAME?</v>
      </c>
      <c r="D395" s="1" t="e">
        <f t="array" ref="D395">SUM</f>
        <v>#NAME?</v>
      </c>
      <c r="E395" s="1" t="e">
        <f t="array" ref="E395">SUM</f>
        <v>#NAME?</v>
      </c>
      <c r="F395" s="1" t="e">
        <f t="array" ref="F395">SUM</f>
        <v>#NAME?</v>
      </c>
      <c r="G395" s="1" t="e">
        <f t="array" ref="G395">SUM</f>
        <v>#NAME?</v>
      </c>
      <c r="H395" s="1" t="e">
        <f t="array" ref="H395">SUM</f>
        <v>#NAME?</v>
      </c>
      <c r="I395" s="1" t="e">
        <f t="array" ref="I395">SUM</f>
        <v>#NAME?</v>
      </c>
      <c r="J395" s="1" t="e">
        <f t="array" ref="J395">SUM</f>
        <v>#NAME?</v>
      </c>
      <c r="K395" s="1" t="e">
        <f t="array" ref="K395">SUM</f>
        <v>#NAME?</v>
      </c>
      <c r="L395" s="1" t="e">
        <f t="array" ref="L395">SUM</f>
        <v>#NAME?</v>
      </c>
      <c r="M395" s="1" t="e">
        <f t="array" ref="M395">SUM</f>
        <v>#NAME?</v>
      </c>
      <c r="N395" s="1" t="e">
        <f t="array" ref="N395">SUM</f>
        <v>#NAME?</v>
      </c>
      <c r="O395" t="s">
        <v>20</v>
      </c>
      <c r="P395">
        <v>2021</v>
      </c>
    </row>
    <row r="396" spans="1:16" x14ac:dyDescent="0.25">
      <c r="A396" t="s">
        <v>16</v>
      </c>
      <c r="B396" s="1" t="e">
        <f t="array" ref="B396">SUM</f>
        <v>#NAME?</v>
      </c>
      <c r="C396" s="1" t="e">
        <f t="array" ref="C396">SUM</f>
        <v>#NAME?</v>
      </c>
      <c r="D396" s="1" t="e">
        <f t="array" ref="D396">SUM</f>
        <v>#NAME?</v>
      </c>
      <c r="E396" s="1" t="e">
        <f t="array" ref="E396">SUM</f>
        <v>#NAME?</v>
      </c>
      <c r="F396" s="1" t="e">
        <f t="array" ref="F396">SUM</f>
        <v>#NAME?</v>
      </c>
      <c r="G396" s="1" t="e">
        <f t="array" ref="G396">SUM</f>
        <v>#NAME?</v>
      </c>
      <c r="H396" s="1" t="e">
        <f t="array" ref="H396">SUM</f>
        <v>#NAME?</v>
      </c>
      <c r="I396" s="1" t="e">
        <f t="array" ref="I396">SUM</f>
        <v>#NAME?</v>
      </c>
      <c r="J396" s="1" t="e">
        <f t="array" ref="J396">SUM</f>
        <v>#NAME?</v>
      </c>
      <c r="K396" s="1" t="e">
        <f t="array" ref="K396">SUM</f>
        <v>#NAME?</v>
      </c>
      <c r="L396" s="1" t="e">
        <f t="array" ref="L396">SUM</f>
        <v>#NAME?</v>
      </c>
      <c r="M396" s="1" t="e">
        <f t="array" ref="M396">SUM</f>
        <v>#NAME?</v>
      </c>
      <c r="N396" s="1" t="e">
        <f t="array" ref="N396">SUM</f>
        <v>#NAME?</v>
      </c>
      <c r="O396" t="s">
        <v>19</v>
      </c>
      <c r="P396">
        <v>2021</v>
      </c>
    </row>
    <row r="397" spans="1:16" x14ac:dyDescent="0.25">
      <c r="A397" t="s">
        <v>16</v>
      </c>
      <c r="B397" s="1" t="e">
        <f t="array" ref="B397">SUM</f>
        <v>#NAME?</v>
      </c>
      <c r="C397" s="1" t="e">
        <f t="array" ref="C397">SUM</f>
        <v>#NAME?</v>
      </c>
      <c r="D397" s="1" t="e">
        <f t="array" ref="D397">SUM</f>
        <v>#NAME?</v>
      </c>
      <c r="E397" s="1" t="e">
        <f t="array" ref="E397">SUM</f>
        <v>#NAME?</v>
      </c>
      <c r="F397" s="1" t="e">
        <f t="array" ref="F397">SUM</f>
        <v>#NAME?</v>
      </c>
      <c r="G397" s="1" t="e">
        <f t="array" ref="G397">SUM</f>
        <v>#NAME?</v>
      </c>
      <c r="H397" s="1" t="e">
        <f t="array" ref="H397">SUM</f>
        <v>#NAME?</v>
      </c>
      <c r="I397" s="1" t="e">
        <f t="array" ref="I397">SUM</f>
        <v>#NAME?</v>
      </c>
      <c r="J397" s="1" t="e">
        <f t="array" ref="J397">SUM</f>
        <v>#NAME?</v>
      </c>
      <c r="K397" s="1" t="e">
        <f t="array" ref="K397">SUM</f>
        <v>#NAME?</v>
      </c>
      <c r="L397" s="1" t="e">
        <f t="array" ref="L397">SUM</f>
        <v>#NAME?</v>
      </c>
      <c r="M397" s="1" t="e">
        <f t="array" ref="M397">SUM</f>
        <v>#NAME?</v>
      </c>
      <c r="N397" s="1" t="e">
        <f t="array" ref="N397">SUM</f>
        <v>#NAME?</v>
      </c>
      <c r="O397" t="s">
        <v>19</v>
      </c>
      <c r="P397">
        <v>2021</v>
      </c>
    </row>
    <row r="398" spans="1:16" x14ac:dyDescent="0.25">
      <c r="A398" t="s">
        <v>16</v>
      </c>
      <c r="B398" s="1" t="e">
        <f t="array" ref="B398">SUM</f>
        <v>#NAME?</v>
      </c>
      <c r="C398" s="1" t="e">
        <f t="array" ref="C398">SUM</f>
        <v>#NAME?</v>
      </c>
      <c r="D398" s="1" t="e">
        <f t="array" ref="D398">SUM</f>
        <v>#NAME?</v>
      </c>
      <c r="E398" s="1" t="e">
        <f t="array" ref="E398">SUM</f>
        <v>#NAME?</v>
      </c>
      <c r="F398" s="1" t="e">
        <f t="array" ref="F398">SUM</f>
        <v>#NAME?</v>
      </c>
      <c r="G398" s="1" t="e">
        <f t="array" ref="G398">SUM</f>
        <v>#NAME?</v>
      </c>
      <c r="H398" s="1" t="e">
        <f t="array" ref="H398">SUM</f>
        <v>#NAME?</v>
      </c>
      <c r="I398" s="1" t="e">
        <f t="array" ref="I398">SUM</f>
        <v>#NAME?</v>
      </c>
      <c r="J398" s="1" t="e">
        <f t="array" ref="J398">SUM</f>
        <v>#NAME?</v>
      </c>
      <c r="K398" s="1" t="e">
        <f t="array" ref="K398">SUM</f>
        <v>#NAME?</v>
      </c>
      <c r="L398" s="1" t="e">
        <f t="array" ref="L398">SUM</f>
        <v>#NAME?</v>
      </c>
      <c r="M398" s="1" t="e">
        <f t="array" ref="M398">SUM</f>
        <v>#NAME?</v>
      </c>
      <c r="N398" s="1" t="e">
        <f t="array" ref="N398">SUM</f>
        <v>#NAME?</v>
      </c>
      <c r="O398" t="s">
        <v>19</v>
      </c>
      <c r="P398">
        <v>2021</v>
      </c>
    </row>
    <row r="399" spans="1:16" x14ac:dyDescent="0.25">
      <c r="A399" t="s">
        <v>25</v>
      </c>
      <c r="B399" s="1" t="e">
        <f t="array" ref="B399">SUM</f>
        <v>#NAME?</v>
      </c>
      <c r="C399" s="1" t="e">
        <f t="array" ref="C399">SUM</f>
        <v>#NAME?</v>
      </c>
      <c r="D399" s="1" t="e">
        <f t="array" ref="D399">SUM</f>
        <v>#NAME?</v>
      </c>
      <c r="E399" s="1" t="e">
        <f t="array" ref="E399">SUM</f>
        <v>#NAME?</v>
      </c>
      <c r="F399" s="1" t="e">
        <f t="array" ref="F399">SUM</f>
        <v>#NAME?</v>
      </c>
      <c r="G399" s="1" t="e">
        <f t="array" ref="G399">SUM</f>
        <v>#NAME?</v>
      </c>
      <c r="H399" s="1" t="e">
        <f t="array" ref="H399">SUM</f>
        <v>#NAME?</v>
      </c>
      <c r="I399" s="1" t="e">
        <f t="array" ref="I399">SUM</f>
        <v>#NAME?</v>
      </c>
      <c r="J399" s="1" t="e">
        <f t="array" ref="J399">SUM</f>
        <v>#NAME?</v>
      </c>
      <c r="K399" s="1" t="e">
        <f t="array" ref="K399">SUM</f>
        <v>#NAME?</v>
      </c>
      <c r="L399" s="1" t="e">
        <f t="array" ref="L399">SUM</f>
        <v>#NAME?</v>
      </c>
      <c r="M399" s="1" t="e">
        <f t="array" ref="M399">SUM</f>
        <v>#NAME?</v>
      </c>
      <c r="N399" s="1" t="e">
        <f t="array" ref="N399">SUM</f>
        <v>#NAME?</v>
      </c>
      <c r="O399" t="s">
        <v>19</v>
      </c>
      <c r="P399">
        <v>2021</v>
      </c>
    </row>
    <row r="400" spans="1:16" x14ac:dyDescent="0.25">
      <c r="A400" t="s">
        <v>16</v>
      </c>
      <c r="B400" s="1" t="e">
        <f t="array" ref="B400">SUM</f>
        <v>#NAME?</v>
      </c>
      <c r="C400" s="1" t="e">
        <f t="array" ref="C400">SUM</f>
        <v>#NAME?</v>
      </c>
      <c r="D400" s="1" t="e">
        <f t="array" ref="D400">SUM</f>
        <v>#NAME?</v>
      </c>
      <c r="E400" s="1" t="e">
        <f t="array" ref="E400">SUM</f>
        <v>#NAME?</v>
      </c>
      <c r="F400" s="1" t="e">
        <f t="array" ref="F400">SUM</f>
        <v>#NAME?</v>
      </c>
      <c r="G400" s="1" t="e">
        <f t="array" ref="G400">SUM</f>
        <v>#NAME?</v>
      </c>
      <c r="H400" s="1" t="e">
        <f t="array" ref="H400">SUM</f>
        <v>#NAME?</v>
      </c>
      <c r="I400" s="1" t="e">
        <f t="array" ref="I400">SUM</f>
        <v>#NAME?</v>
      </c>
      <c r="J400" s="1" t="e">
        <f t="array" ref="J400">SUM</f>
        <v>#NAME?</v>
      </c>
      <c r="K400" s="1" t="e">
        <f t="array" ref="K400">SUM</f>
        <v>#NAME?</v>
      </c>
      <c r="L400" s="1" t="e">
        <f t="array" ref="L400">SUM</f>
        <v>#NAME?</v>
      </c>
      <c r="M400" s="1" t="e">
        <f t="array" ref="M400">SUM</f>
        <v>#NAME?</v>
      </c>
      <c r="N400" s="1" t="e">
        <f t="array" ref="N400">SUM</f>
        <v>#NAME?</v>
      </c>
      <c r="O400" t="s">
        <v>30</v>
      </c>
      <c r="P400">
        <v>2021</v>
      </c>
    </row>
    <row r="401" spans="1:16" x14ac:dyDescent="0.25">
      <c r="A401" t="s">
        <v>18</v>
      </c>
      <c r="B401" s="1" t="e">
        <f t="array" ref="B401">SUM</f>
        <v>#NAME?</v>
      </c>
      <c r="C401" s="1" t="e">
        <f t="array" ref="C401">SUM</f>
        <v>#NAME?</v>
      </c>
      <c r="D401" s="1" t="e">
        <f t="array" ref="D401">SUM</f>
        <v>#NAME?</v>
      </c>
      <c r="E401" s="1" t="e">
        <f t="array" ref="E401">SUM</f>
        <v>#NAME?</v>
      </c>
      <c r="F401" s="1" t="e">
        <f t="array" ref="F401">SUM</f>
        <v>#NAME?</v>
      </c>
      <c r="G401" s="1" t="e">
        <f t="array" ref="G401">SUM</f>
        <v>#NAME?</v>
      </c>
      <c r="H401" s="1" t="e">
        <f t="array" ref="H401">SUM</f>
        <v>#NAME?</v>
      </c>
      <c r="I401" s="1" t="e">
        <f t="array" ref="I401">SUM</f>
        <v>#NAME?</v>
      </c>
      <c r="J401" s="1" t="e">
        <f t="array" ref="J401">SUM</f>
        <v>#NAME?</v>
      </c>
      <c r="K401" s="1" t="e">
        <f t="array" ref="K401">SUM</f>
        <v>#NAME?</v>
      </c>
      <c r="L401" s="1" t="e">
        <f t="array" ref="L401">SUM</f>
        <v>#NAME?</v>
      </c>
      <c r="M401" s="1" t="e">
        <f t="array" ref="M401">SUM</f>
        <v>#NAME?</v>
      </c>
      <c r="N401" s="1" t="e">
        <f t="array" ref="N401">SUM</f>
        <v>#NAME?</v>
      </c>
      <c r="O401" t="s">
        <v>20</v>
      </c>
      <c r="P401">
        <v>2021</v>
      </c>
    </row>
    <row r="402" spans="1:16" x14ac:dyDescent="0.25">
      <c r="A402" t="s">
        <v>22</v>
      </c>
      <c r="B402" s="1" t="e">
        <f t="array" ref="B402">SUM</f>
        <v>#NAME?</v>
      </c>
      <c r="C402" s="1" t="e">
        <f t="array" ref="C402">SUM</f>
        <v>#NAME?</v>
      </c>
      <c r="D402" s="1" t="e">
        <f t="array" ref="D402">SUM</f>
        <v>#NAME?</v>
      </c>
      <c r="E402" s="1" t="e">
        <f t="array" ref="E402">SUM</f>
        <v>#NAME?</v>
      </c>
      <c r="F402" s="1" t="e">
        <f t="array" ref="F402">SUM</f>
        <v>#NAME?</v>
      </c>
      <c r="G402" s="1" t="e">
        <f t="array" ref="G402">SUM</f>
        <v>#NAME?</v>
      </c>
      <c r="H402" s="1" t="e">
        <f t="array" ref="H402">SUM</f>
        <v>#NAME?</v>
      </c>
      <c r="I402" s="1" t="e">
        <f t="array" ref="I402">SUM</f>
        <v>#NAME?</v>
      </c>
      <c r="J402" s="1" t="e">
        <f t="array" ref="J402">SUM</f>
        <v>#NAME?</v>
      </c>
      <c r="K402" s="1" t="e">
        <f t="array" ref="K402">SUM</f>
        <v>#NAME?</v>
      </c>
      <c r="L402" s="1" t="e">
        <f t="array" ref="L402">SUM</f>
        <v>#NAME?</v>
      </c>
      <c r="M402" s="1" t="e">
        <f t="array" ref="M402">SUM</f>
        <v>#NAME?</v>
      </c>
      <c r="N402" s="1" t="e">
        <f t="array" ref="N402">SUM</f>
        <v>#NAME?</v>
      </c>
      <c r="O402" t="s">
        <v>20</v>
      </c>
      <c r="P402">
        <v>2021</v>
      </c>
    </row>
    <row r="403" spans="1:16" x14ac:dyDescent="0.25">
      <c r="A403" t="s">
        <v>25</v>
      </c>
      <c r="B403" s="1" t="e">
        <f t="array" ref="B403">SUM</f>
        <v>#NAME?</v>
      </c>
      <c r="C403" s="1" t="e">
        <f t="array" ref="C403">SUM</f>
        <v>#NAME?</v>
      </c>
      <c r="D403" s="1" t="e">
        <f t="array" ref="D403">SUM</f>
        <v>#NAME?</v>
      </c>
      <c r="E403" s="1" t="e">
        <f t="array" ref="E403">SUM</f>
        <v>#NAME?</v>
      </c>
      <c r="F403" s="1" t="e">
        <f t="array" ref="F403">SUM</f>
        <v>#NAME?</v>
      </c>
      <c r="G403" s="1" t="e">
        <f t="array" ref="G403">SUM</f>
        <v>#NAME?</v>
      </c>
      <c r="H403" s="1" t="e">
        <f t="array" ref="H403">SUM</f>
        <v>#NAME?</v>
      </c>
      <c r="I403" s="1" t="e">
        <f t="array" ref="I403">SUM</f>
        <v>#NAME?</v>
      </c>
      <c r="J403" s="1" t="e">
        <f t="array" ref="J403">SUM</f>
        <v>#NAME?</v>
      </c>
      <c r="K403" s="1" t="e">
        <f t="array" ref="K403">SUM</f>
        <v>#NAME?</v>
      </c>
      <c r="L403" s="1" t="e">
        <f t="array" ref="L403">SUM</f>
        <v>#NAME?</v>
      </c>
      <c r="M403" s="1" t="e">
        <f t="array" ref="M403">SUM</f>
        <v>#NAME?</v>
      </c>
      <c r="N403" s="1" t="e">
        <f t="array" ref="N403">SUM</f>
        <v>#NAME?</v>
      </c>
      <c r="O403" t="s">
        <v>20</v>
      </c>
      <c r="P403">
        <v>2021</v>
      </c>
    </row>
    <row r="404" spans="1:16" x14ac:dyDescent="0.25">
      <c r="A404" t="s">
        <v>16</v>
      </c>
      <c r="B404" s="1" t="e">
        <f t="array" ref="B404">SUM</f>
        <v>#NAME?</v>
      </c>
      <c r="C404" s="1" t="e">
        <f t="array" ref="C404">SUM</f>
        <v>#NAME?</v>
      </c>
      <c r="D404" s="1" t="e">
        <f t="array" ref="D404">SUM</f>
        <v>#NAME?</v>
      </c>
      <c r="E404" s="1" t="e">
        <f t="array" ref="E404">SUM</f>
        <v>#NAME?</v>
      </c>
      <c r="F404" s="1" t="e">
        <f t="array" ref="F404">SUM</f>
        <v>#NAME?</v>
      </c>
      <c r="G404" s="1" t="e">
        <f t="array" ref="G404">SUM</f>
        <v>#NAME?</v>
      </c>
      <c r="H404" s="1" t="e">
        <f t="array" ref="H404">SUM</f>
        <v>#NAME?</v>
      </c>
      <c r="I404" s="1" t="e">
        <f t="array" ref="I404">SUM</f>
        <v>#NAME?</v>
      </c>
      <c r="J404" s="1" t="e">
        <f t="array" ref="J404">SUM</f>
        <v>#NAME?</v>
      </c>
      <c r="K404" s="1" t="e">
        <f t="array" ref="K404">SUM</f>
        <v>#NAME?</v>
      </c>
      <c r="L404" s="1" t="e">
        <f t="array" ref="L404">SUM</f>
        <v>#NAME?</v>
      </c>
      <c r="M404" s="1" t="e">
        <f t="array" ref="M404">SUM</f>
        <v>#NAME?</v>
      </c>
      <c r="N404" s="1" t="e">
        <f t="array" ref="N404">SUM</f>
        <v>#NAME?</v>
      </c>
      <c r="O404" t="s">
        <v>24</v>
      </c>
      <c r="P404">
        <v>2021</v>
      </c>
    </row>
    <row r="405" spans="1:16" x14ac:dyDescent="0.25">
      <c r="A405" t="s">
        <v>25</v>
      </c>
      <c r="B405" s="1" t="e">
        <f t="array" ref="B405">SUM</f>
        <v>#NAME?</v>
      </c>
      <c r="C405" s="1" t="e">
        <f t="array" ref="C405">SUM</f>
        <v>#NAME?</v>
      </c>
      <c r="D405" s="1" t="e">
        <f t="array" ref="D405">SUM</f>
        <v>#NAME?</v>
      </c>
      <c r="E405" s="1" t="e">
        <f t="array" ref="E405">SUM</f>
        <v>#NAME?</v>
      </c>
      <c r="F405" s="1" t="e">
        <f t="array" ref="F405">SUM</f>
        <v>#NAME?</v>
      </c>
      <c r="G405" s="1" t="e">
        <f t="array" ref="G405">SUM</f>
        <v>#NAME?</v>
      </c>
      <c r="H405" s="1" t="e">
        <f t="array" ref="H405">SUM</f>
        <v>#NAME?</v>
      </c>
      <c r="I405" s="1" t="e">
        <f t="array" ref="I405">SUM</f>
        <v>#NAME?</v>
      </c>
      <c r="J405" s="1" t="e">
        <f t="array" ref="J405">SUM</f>
        <v>#NAME?</v>
      </c>
      <c r="K405" s="1" t="e">
        <f t="array" ref="K405">SUM</f>
        <v>#NAME?</v>
      </c>
      <c r="L405" s="1" t="e">
        <f t="array" ref="L405">SUM</f>
        <v>#NAME?</v>
      </c>
      <c r="M405" s="1" t="e">
        <f t="array" ref="M405">SUM</f>
        <v>#NAME?</v>
      </c>
      <c r="N405" s="1" t="e">
        <f t="array" ref="N405">SUM</f>
        <v>#NAME?</v>
      </c>
      <c r="O405" t="s">
        <v>19</v>
      </c>
      <c r="P405">
        <v>2021</v>
      </c>
    </row>
    <row r="406" spans="1:16" x14ac:dyDescent="0.25">
      <c r="A406" t="s">
        <v>22</v>
      </c>
      <c r="B406" s="1" t="e">
        <f t="array" ref="B406">SUM</f>
        <v>#NAME?</v>
      </c>
      <c r="C406" s="1" t="e">
        <f t="array" ref="C406">SUM</f>
        <v>#NAME?</v>
      </c>
      <c r="D406" s="1" t="e">
        <f t="array" ref="D406">SUM</f>
        <v>#NAME?</v>
      </c>
      <c r="E406" s="1" t="e">
        <f t="array" ref="E406">SUM</f>
        <v>#NAME?</v>
      </c>
      <c r="F406" s="1" t="e">
        <f t="array" ref="F406">SUM</f>
        <v>#NAME?</v>
      </c>
      <c r="G406" s="1" t="e">
        <f t="array" ref="G406">SUM</f>
        <v>#NAME?</v>
      </c>
      <c r="H406" s="1" t="e">
        <f t="array" ref="H406">SUM</f>
        <v>#NAME?</v>
      </c>
      <c r="I406" s="1" t="e">
        <f t="array" ref="I406">SUM</f>
        <v>#NAME?</v>
      </c>
      <c r="J406" s="1" t="e">
        <f t="array" ref="J406">SUM</f>
        <v>#NAME?</v>
      </c>
      <c r="K406" s="1" t="e">
        <f t="array" ref="K406">SUM</f>
        <v>#NAME?</v>
      </c>
      <c r="L406" s="1" t="e">
        <f t="array" ref="L406">SUM</f>
        <v>#NAME?</v>
      </c>
      <c r="M406" s="1" t="e">
        <f t="array" ref="M406">SUM</f>
        <v>#NAME?</v>
      </c>
      <c r="N406" s="1" t="e">
        <f t="array" ref="N406">SUM</f>
        <v>#NAME?</v>
      </c>
      <c r="O406" t="s">
        <v>28</v>
      </c>
      <c r="P406">
        <v>2021</v>
      </c>
    </row>
    <row r="407" spans="1:16" x14ac:dyDescent="0.25">
      <c r="A407" t="s">
        <v>25</v>
      </c>
      <c r="B407" s="1" t="e">
        <f t="array" ref="B407">SUM</f>
        <v>#NAME?</v>
      </c>
      <c r="C407" s="1" t="e">
        <f t="array" ref="C407">SUM</f>
        <v>#NAME?</v>
      </c>
      <c r="D407" s="1" t="e">
        <f t="array" ref="D407">SUM</f>
        <v>#NAME?</v>
      </c>
      <c r="E407" s="1" t="e">
        <f t="array" ref="E407">SUM</f>
        <v>#NAME?</v>
      </c>
      <c r="F407" s="1" t="e">
        <f t="array" ref="F407">SUM</f>
        <v>#NAME?</v>
      </c>
      <c r="G407" s="1" t="e">
        <f t="array" ref="G407">SUM</f>
        <v>#NAME?</v>
      </c>
      <c r="H407" s="1" t="e">
        <f t="array" ref="H407">SUM</f>
        <v>#NAME?</v>
      </c>
      <c r="I407" s="1" t="e">
        <f t="array" ref="I407">SUM</f>
        <v>#NAME?</v>
      </c>
      <c r="J407" s="1" t="e">
        <f t="array" ref="J407">SUM</f>
        <v>#NAME?</v>
      </c>
      <c r="K407" s="1" t="e">
        <f t="array" ref="K407">SUM</f>
        <v>#NAME?</v>
      </c>
      <c r="L407" s="1" t="e">
        <f t="array" ref="L407">SUM</f>
        <v>#NAME?</v>
      </c>
      <c r="M407" s="1" t="e">
        <f t="array" ref="M407">SUM</f>
        <v>#NAME?</v>
      </c>
      <c r="N407" s="1" t="e">
        <f t="array" ref="N407">SUM</f>
        <v>#NAME?</v>
      </c>
      <c r="O407" t="s">
        <v>31</v>
      </c>
      <c r="P407">
        <v>2021</v>
      </c>
    </row>
    <row r="408" spans="1:16" x14ac:dyDescent="0.25">
      <c r="A408" t="s">
        <v>16</v>
      </c>
      <c r="B408" s="1" t="e">
        <f t="array" ref="B408">SUM</f>
        <v>#NAME?</v>
      </c>
      <c r="C408" s="1" t="e">
        <f t="array" ref="C408">SUM</f>
        <v>#NAME?</v>
      </c>
      <c r="D408" s="1" t="e">
        <f t="array" ref="D408">SUM</f>
        <v>#NAME?</v>
      </c>
      <c r="E408" s="1" t="e">
        <f t="array" ref="E408">SUM</f>
        <v>#NAME?</v>
      </c>
      <c r="F408" s="1" t="e">
        <f t="array" ref="F408">SUM</f>
        <v>#NAME?</v>
      </c>
      <c r="G408" s="1" t="e">
        <f t="array" ref="G408">SUM</f>
        <v>#NAME?</v>
      </c>
      <c r="H408" s="1" t="e">
        <f t="array" ref="H408">SUM</f>
        <v>#NAME?</v>
      </c>
      <c r="I408" s="1" t="e">
        <f t="array" ref="I408">SUM</f>
        <v>#NAME?</v>
      </c>
      <c r="J408" s="1" t="e">
        <f t="array" ref="J408">SUM</f>
        <v>#NAME?</v>
      </c>
      <c r="K408" s="1" t="e">
        <f t="array" ref="K408">SUM</f>
        <v>#NAME?</v>
      </c>
      <c r="L408" s="1" t="e">
        <f t="array" ref="L408">SUM</f>
        <v>#NAME?</v>
      </c>
      <c r="M408" s="1" t="e">
        <f t="array" ref="M408">SUM</f>
        <v>#NAME?</v>
      </c>
      <c r="N408" s="1" t="e">
        <f t="array" ref="N408">SUM</f>
        <v>#NAME?</v>
      </c>
      <c r="O408" t="s">
        <v>32</v>
      </c>
      <c r="P408">
        <v>2021</v>
      </c>
    </row>
    <row r="409" spans="1:16" x14ac:dyDescent="0.25">
      <c r="A409" t="s">
        <v>25</v>
      </c>
      <c r="B409" s="1" t="e">
        <f t="array" ref="B409">SUM</f>
        <v>#NAME?</v>
      </c>
      <c r="C409" s="1" t="e">
        <f t="array" ref="C409">SUM</f>
        <v>#NAME?</v>
      </c>
      <c r="D409" s="1" t="e">
        <f t="array" ref="D409">SUM</f>
        <v>#NAME?</v>
      </c>
      <c r="E409" s="1" t="e">
        <f t="array" ref="E409">SUM</f>
        <v>#NAME?</v>
      </c>
      <c r="F409" s="1" t="e">
        <f t="array" ref="F409">SUM</f>
        <v>#NAME?</v>
      </c>
      <c r="G409" s="1" t="e">
        <f t="array" ref="G409">SUM</f>
        <v>#NAME?</v>
      </c>
      <c r="H409" s="1" t="e">
        <f t="array" ref="H409">SUM</f>
        <v>#NAME?</v>
      </c>
      <c r="I409" s="1" t="e">
        <f t="array" ref="I409">SUM</f>
        <v>#NAME?</v>
      </c>
      <c r="J409" s="1" t="e">
        <f t="array" ref="J409">SUM</f>
        <v>#NAME?</v>
      </c>
      <c r="K409" s="1" t="e">
        <f t="array" ref="K409">SUM</f>
        <v>#NAME?</v>
      </c>
      <c r="L409" s="1" t="e">
        <f t="array" ref="L409">SUM</f>
        <v>#NAME?</v>
      </c>
      <c r="M409" s="1" t="e">
        <f t="array" ref="M409">SUM</f>
        <v>#NAME?</v>
      </c>
      <c r="N409" s="1" t="e">
        <f t="array" ref="N409">SUM</f>
        <v>#NAME?</v>
      </c>
      <c r="O409" t="s">
        <v>27</v>
      </c>
      <c r="P409">
        <v>2021</v>
      </c>
    </row>
    <row r="410" spans="1:16" x14ac:dyDescent="0.25">
      <c r="A410" t="s">
        <v>22</v>
      </c>
      <c r="B410" s="1" t="e">
        <f t="array" ref="B410">SUM</f>
        <v>#NAME?</v>
      </c>
      <c r="C410" s="1" t="e">
        <f t="array" ref="C410">SUM</f>
        <v>#NAME?</v>
      </c>
      <c r="D410" s="1" t="e">
        <f t="array" ref="D410">SUM</f>
        <v>#NAME?</v>
      </c>
      <c r="E410" s="1" t="e">
        <f t="array" ref="E410">SUM</f>
        <v>#NAME?</v>
      </c>
      <c r="F410" s="1" t="e">
        <f t="array" ref="F410">SUM</f>
        <v>#NAME?</v>
      </c>
      <c r="G410" s="1" t="e">
        <f t="array" ref="G410">SUM</f>
        <v>#NAME?</v>
      </c>
      <c r="H410" s="1" t="e">
        <f t="array" ref="H410">SUM</f>
        <v>#NAME?</v>
      </c>
      <c r="I410" s="1" t="e">
        <f t="array" ref="I410">SUM</f>
        <v>#NAME?</v>
      </c>
      <c r="J410" s="1" t="e">
        <f t="array" ref="J410">SUM</f>
        <v>#NAME?</v>
      </c>
      <c r="K410" s="1" t="e">
        <f t="array" ref="K410">SUM</f>
        <v>#NAME?</v>
      </c>
      <c r="L410" s="1" t="e">
        <f t="array" ref="L410">SUM</f>
        <v>#NAME?</v>
      </c>
      <c r="M410" s="1" t="e">
        <f t="array" ref="M410">SUM</f>
        <v>#NAME?</v>
      </c>
      <c r="N410" s="1" t="e">
        <f t="array" ref="N410">SUM</f>
        <v>#NAME?</v>
      </c>
      <c r="O410" t="s">
        <v>30</v>
      </c>
      <c r="P410">
        <v>2021</v>
      </c>
    </row>
    <row r="411" spans="1:16" x14ac:dyDescent="0.25">
      <c r="A411" t="s">
        <v>23</v>
      </c>
      <c r="B411" s="1" t="e">
        <f t="array" ref="B411">SUM</f>
        <v>#NAME?</v>
      </c>
      <c r="C411" s="1" t="e">
        <f t="array" ref="C411">SUM</f>
        <v>#NAME?</v>
      </c>
      <c r="D411" s="1" t="e">
        <f t="array" ref="D411">SUM</f>
        <v>#NAME?</v>
      </c>
      <c r="E411" s="1" t="e">
        <f t="array" ref="E411">SUM</f>
        <v>#NAME?</v>
      </c>
      <c r="F411" s="1" t="e">
        <f t="array" ref="F411">SUM</f>
        <v>#NAME?</v>
      </c>
      <c r="G411" s="1" t="e">
        <f t="array" ref="G411">SUM</f>
        <v>#NAME?</v>
      </c>
      <c r="H411" s="1" t="e">
        <f t="array" ref="H411">SUM</f>
        <v>#NAME?</v>
      </c>
      <c r="I411" s="1" t="e">
        <f t="array" ref="I411">SUM</f>
        <v>#NAME?</v>
      </c>
      <c r="J411" s="1" t="e">
        <f t="array" ref="J411">SUM</f>
        <v>#NAME?</v>
      </c>
      <c r="K411" s="1" t="e">
        <f t="array" ref="K411">SUM</f>
        <v>#NAME?</v>
      </c>
      <c r="L411" s="1" t="e">
        <f t="array" ref="L411">SUM</f>
        <v>#NAME?</v>
      </c>
      <c r="M411" s="1" t="e">
        <f t="array" ref="M411">SUM</f>
        <v>#NAME?</v>
      </c>
      <c r="N411" s="1" t="e">
        <f t="array" ref="N411">SUM</f>
        <v>#NAME?</v>
      </c>
      <c r="O411" t="s">
        <v>30</v>
      </c>
      <c r="P411">
        <v>2021</v>
      </c>
    </row>
    <row r="412" spans="1:16" x14ac:dyDescent="0.25">
      <c r="A412" t="s">
        <v>16</v>
      </c>
      <c r="B412" s="1" t="e">
        <f t="array" ref="B412">SUM</f>
        <v>#NAME?</v>
      </c>
      <c r="C412" s="1" t="e">
        <f t="array" ref="C412">SUM</f>
        <v>#NAME?</v>
      </c>
      <c r="D412" s="1" t="e">
        <f t="array" ref="D412">SUM</f>
        <v>#NAME?</v>
      </c>
      <c r="E412" s="1" t="e">
        <f t="array" ref="E412">SUM</f>
        <v>#NAME?</v>
      </c>
      <c r="F412" s="1" t="e">
        <f t="array" ref="F412">SUM</f>
        <v>#NAME?</v>
      </c>
      <c r="G412" s="1" t="e">
        <f t="array" ref="G412">SUM</f>
        <v>#NAME?</v>
      </c>
      <c r="H412" s="1" t="e">
        <f t="array" ref="H412">SUM</f>
        <v>#NAME?</v>
      </c>
      <c r="I412" s="1" t="e">
        <f t="array" ref="I412">SUM</f>
        <v>#NAME?</v>
      </c>
      <c r="J412" s="1" t="e">
        <f t="array" ref="J412">SUM</f>
        <v>#NAME?</v>
      </c>
      <c r="K412" s="1" t="e">
        <f t="array" ref="K412">SUM</f>
        <v>#NAME?</v>
      </c>
      <c r="L412" s="1" t="e">
        <f t="array" ref="L412">SUM</f>
        <v>#NAME?</v>
      </c>
      <c r="M412" s="1" t="e">
        <f t="array" ref="M412">SUM</f>
        <v>#NAME?</v>
      </c>
      <c r="N412" s="1" t="e">
        <f t="array" ref="N412">SUM</f>
        <v>#NAME?</v>
      </c>
      <c r="O412" t="s">
        <v>20</v>
      </c>
      <c r="P412">
        <v>2021</v>
      </c>
    </row>
    <row r="413" spans="1:16" x14ac:dyDescent="0.25">
      <c r="A413" t="s">
        <v>23</v>
      </c>
      <c r="B413" s="1" t="e">
        <f t="array" ref="B413">SUM</f>
        <v>#NAME?</v>
      </c>
      <c r="C413" s="1" t="e">
        <f t="array" ref="C413">SUM</f>
        <v>#NAME?</v>
      </c>
      <c r="D413" s="1" t="e">
        <f t="array" ref="D413">SUM</f>
        <v>#NAME?</v>
      </c>
      <c r="E413" s="1" t="e">
        <f t="array" ref="E413">SUM</f>
        <v>#NAME?</v>
      </c>
      <c r="F413" s="1" t="e">
        <f t="array" ref="F413">SUM</f>
        <v>#NAME?</v>
      </c>
      <c r="G413" s="1" t="e">
        <f t="array" ref="G413">SUM</f>
        <v>#NAME?</v>
      </c>
      <c r="H413" s="1" t="e">
        <f t="array" ref="H413">SUM</f>
        <v>#NAME?</v>
      </c>
      <c r="I413" s="1" t="e">
        <f t="array" ref="I413">SUM</f>
        <v>#NAME?</v>
      </c>
      <c r="J413" s="1" t="e">
        <f t="array" ref="J413">SUM</f>
        <v>#NAME?</v>
      </c>
      <c r="K413" s="1" t="e">
        <f t="array" ref="K413">SUM</f>
        <v>#NAME?</v>
      </c>
      <c r="L413" s="1" t="e">
        <f t="array" ref="L413">SUM</f>
        <v>#NAME?</v>
      </c>
      <c r="M413" s="1" t="e">
        <f t="array" ref="M413">SUM</f>
        <v>#NAME?</v>
      </c>
      <c r="N413" s="1" t="e">
        <f t="array" ref="N413">SUM</f>
        <v>#NAME?</v>
      </c>
      <c r="O413" t="s">
        <v>20</v>
      </c>
      <c r="P413">
        <v>2021</v>
      </c>
    </row>
    <row r="414" spans="1:16" x14ac:dyDescent="0.25">
      <c r="A414" t="s">
        <v>25</v>
      </c>
      <c r="B414" s="1" t="e">
        <f t="array" ref="B414">SUM</f>
        <v>#NAME?</v>
      </c>
      <c r="C414" s="1" t="e">
        <f t="array" ref="C414">SUM</f>
        <v>#NAME?</v>
      </c>
      <c r="D414" s="1" t="e">
        <f t="array" ref="D414">SUM</f>
        <v>#NAME?</v>
      </c>
      <c r="E414" s="1" t="e">
        <f t="array" ref="E414">SUM</f>
        <v>#NAME?</v>
      </c>
      <c r="F414" s="1" t="e">
        <f t="array" ref="F414">SUM</f>
        <v>#NAME?</v>
      </c>
      <c r="G414" s="1" t="e">
        <f t="array" ref="G414">SUM</f>
        <v>#NAME?</v>
      </c>
      <c r="H414" s="1" t="e">
        <f t="array" ref="H414">SUM</f>
        <v>#NAME?</v>
      </c>
      <c r="I414" s="1" t="e">
        <f t="array" ref="I414">SUM</f>
        <v>#NAME?</v>
      </c>
      <c r="J414" s="1" t="e">
        <f t="array" ref="J414">SUM</f>
        <v>#NAME?</v>
      </c>
      <c r="K414" s="1" t="e">
        <f t="array" ref="K414">SUM</f>
        <v>#NAME?</v>
      </c>
      <c r="L414" s="1" t="e">
        <f t="array" ref="L414">SUM</f>
        <v>#NAME?</v>
      </c>
      <c r="M414" s="1" t="e">
        <f t="array" ref="M414">SUM</f>
        <v>#NAME?</v>
      </c>
      <c r="N414" s="1" t="e">
        <f t="array" ref="N414">SUM</f>
        <v>#NAME?</v>
      </c>
      <c r="O414" t="s">
        <v>20</v>
      </c>
      <c r="P414">
        <v>2021</v>
      </c>
    </row>
    <row r="415" spans="1:16" x14ac:dyDescent="0.25">
      <c r="A415" t="s">
        <v>25</v>
      </c>
      <c r="B415" s="1" t="e">
        <f t="array" ref="B415">SUM</f>
        <v>#NAME?</v>
      </c>
      <c r="C415" s="1" t="e">
        <f t="array" ref="C415">SUM</f>
        <v>#NAME?</v>
      </c>
      <c r="D415" s="1" t="e">
        <f t="array" ref="D415">SUM</f>
        <v>#NAME?</v>
      </c>
      <c r="E415" s="1" t="e">
        <f t="array" ref="E415">SUM</f>
        <v>#NAME?</v>
      </c>
      <c r="F415" s="1" t="e">
        <f t="array" ref="F415">SUM</f>
        <v>#NAME?</v>
      </c>
      <c r="G415" s="1" t="e">
        <f t="array" ref="G415">SUM</f>
        <v>#NAME?</v>
      </c>
      <c r="H415" s="1" t="e">
        <f t="array" ref="H415">SUM</f>
        <v>#NAME?</v>
      </c>
      <c r="I415" s="1" t="e">
        <f t="array" ref="I415">SUM</f>
        <v>#NAME?</v>
      </c>
      <c r="J415" s="1" t="e">
        <f t="array" ref="J415">SUM</f>
        <v>#NAME?</v>
      </c>
      <c r="K415" s="1" t="e">
        <f t="array" ref="K415">SUM</f>
        <v>#NAME?</v>
      </c>
      <c r="L415" s="1" t="e">
        <f t="array" ref="L415">SUM</f>
        <v>#NAME?</v>
      </c>
      <c r="M415" s="1" t="e">
        <f t="array" ref="M415">SUM</f>
        <v>#NAME?</v>
      </c>
      <c r="N415" s="1" t="e">
        <f t="array" ref="N415">SUM</f>
        <v>#NAME?</v>
      </c>
      <c r="O415" t="s">
        <v>17</v>
      </c>
      <c r="P415">
        <v>2021</v>
      </c>
    </row>
    <row r="416" spans="1:16" x14ac:dyDescent="0.25">
      <c r="A416" t="s">
        <v>16</v>
      </c>
      <c r="B416" s="1" t="e">
        <f t="array" ref="B416">SUM</f>
        <v>#NAME?</v>
      </c>
      <c r="C416" s="1" t="e">
        <f t="array" ref="C416">SUM</f>
        <v>#NAME?</v>
      </c>
      <c r="D416" s="1" t="e">
        <f t="array" ref="D416">SUM</f>
        <v>#NAME?</v>
      </c>
      <c r="E416" s="1" t="e">
        <f t="array" ref="E416">SUM</f>
        <v>#NAME?</v>
      </c>
      <c r="F416" s="1" t="e">
        <f t="array" ref="F416">SUM</f>
        <v>#NAME?</v>
      </c>
      <c r="G416" s="1" t="e">
        <f t="array" ref="G416">SUM</f>
        <v>#NAME?</v>
      </c>
      <c r="H416" s="1" t="e">
        <f t="array" ref="H416">SUM</f>
        <v>#NAME?</v>
      </c>
      <c r="I416" s="1" t="e">
        <f t="array" ref="I416">SUM</f>
        <v>#NAME?</v>
      </c>
      <c r="J416" s="1" t="e">
        <f t="array" ref="J416">SUM</f>
        <v>#NAME?</v>
      </c>
      <c r="K416" s="1" t="e">
        <f t="array" ref="K416">SUM</f>
        <v>#NAME?</v>
      </c>
      <c r="L416" s="1" t="e">
        <f t="array" ref="L416">SUM</f>
        <v>#NAME?</v>
      </c>
      <c r="M416" s="1" t="e">
        <f t="array" ref="M416">SUM</f>
        <v>#NAME?</v>
      </c>
      <c r="N416" s="1" t="e">
        <f t="array" ref="N416">SUM</f>
        <v>#NAME?</v>
      </c>
      <c r="O416" t="s">
        <v>17</v>
      </c>
      <c r="P416">
        <v>2021</v>
      </c>
    </row>
    <row r="417" spans="1:16" x14ac:dyDescent="0.25">
      <c r="A417" t="s">
        <v>18</v>
      </c>
      <c r="B417" s="1" t="e">
        <f t="array" ref="B417">SUM</f>
        <v>#NAME?</v>
      </c>
      <c r="C417" s="1" t="e">
        <f t="array" ref="C417">SUM</f>
        <v>#NAME?</v>
      </c>
      <c r="D417" s="1" t="e">
        <f t="array" ref="D417">SUM</f>
        <v>#NAME?</v>
      </c>
      <c r="E417" s="1" t="e">
        <f t="array" ref="E417">SUM</f>
        <v>#NAME?</v>
      </c>
      <c r="F417" s="1" t="e">
        <f t="array" ref="F417">SUM</f>
        <v>#NAME?</v>
      </c>
      <c r="G417" s="1" t="e">
        <f t="array" ref="G417">SUM</f>
        <v>#NAME?</v>
      </c>
      <c r="H417" s="1" t="e">
        <f t="array" ref="H417">SUM</f>
        <v>#NAME?</v>
      </c>
      <c r="I417" s="1" t="e">
        <f t="array" ref="I417">SUM</f>
        <v>#NAME?</v>
      </c>
      <c r="J417" s="1" t="e">
        <f t="array" ref="J417">SUM</f>
        <v>#NAME?</v>
      </c>
      <c r="K417" s="1" t="e">
        <f t="array" ref="K417">SUM</f>
        <v>#NAME?</v>
      </c>
      <c r="L417" s="1" t="e">
        <f t="array" ref="L417">SUM</f>
        <v>#NAME?</v>
      </c>
      <c r="M417" s="1" t="e">
        <f t="array" ref="M417">SUM</f>
        <v>#NAME?</v>
      </c>
      <c r="N417" s="1" t="e">
        <f t="array" ref="N417">SUM</f>
        <v>#NAME?</v>
      </c>
      <c r="O417" t="s">
        <v>31</v>
      </c>
      <c r="P417">
        <v>2021</v>
      </c>
    </row>
    <row r="418" spans="1:16" x14ac:dyDescent="0.25">
      <c r="A418" t="s">
        <v>25</v>
      </c>
      <c r="B418" s="1" t="e">
        <f t="array" ref="B418">SUM</f>
        <v>#NAME?</v>
      </c>
      <c r="C418" s="1" t="e">
        <f t="array" ref="C418">SUM</f>
        <v>#NAME?</v>
      </c>
      <c r="D418" s="1" t="e">
        <f t="array" ref="D418">SUM</f>
        <v>#NAME?</v>
      </c>
      <c r="E418" s="1" t="e">
        <f t="array" ref="E418">SUM</f>
        <v>#NAME?</v>
      </c>
      <c r="F418" s="1" t="e">
        <f t="array" ref="F418">SUM</f>
        <v>#NAME?</v>
      </c>
      <c r="G418" s="1" t="e">
        <f t="array" ref="G418">SUM</f>
        <v>#NAME?</v>
      </c>
      <c r="H418" s="1" t="e">
        <f t="array" ref="H418">SUM</f>
        <v>#NAME?</v>
      </c>
      <c r="I418" s="1" t="e">
        <f t="array" ref="I418">SUM</f>
        <v>#NAME?</v>
      </c>
      <c r="J418" s="1" t="e">
        <f t="array" ref="J418">SUM</f>
        <v>#NAME?</v>
      </c>
      <c r="K418" s="1" t="e">
        <f t="array" ref="K418">SUM</f>
        <v>#NAME?</v>
      </c>
      <c r="L418" s="1" t="e">
        <f t="array" ref="L418">SUM</f>
        <v>#NAME?</v>
      </c>
      <c r="M418" s="1" t="e">
        <f t="array" ref="M418">SUM</f>
        <v>#NAME?</v>
      </c>
      <c r="N418" s="1" t="e">
        <f t="array" ref="N418">SUM</f>
        <v>#NAME?</v>
      </c>
      <c r="O418" t="s">
        <v>19</v>
      </c>
      <c r="P418">
        <v>2021</v>
      </c>
    </row>
    <row r="419" spans="1:16" x14ac:dyDescent="0.25">
      <c r="A419" t="s">
        <v>18</v>
      </c>
      <c r="B419" s="1" t="e">
        <f t="array" ref="B419">SUM</f>
        <v>#NAME?</v>
      </c>
      <c r="C419" s="1" t="e">
        <f t="array" ref="C419">SUM</f>
        <v>#NAME?</v>
      </c>
      <c r="D419" s="1" t="e">
        <f t="array" ref="D419">SUM</f>
        <v>#NAME?</v>
      </c>
      <c r="E419" s="1" t="e">
        <f t="array" ref="E419">SUM</f>
        <v>#NAME?</v>
      </c>
      <c r="F419" s="1" t="e">
        <f t="array" ref="F419">SUM</f>
        <v>#NAME?</v>
      </c>
      <c r="G419" s="1" t="e">
        <f t="array" ref="G419">SUM</f>
        <v>#NAME?</v>
      </c>
      <c r="H419" s="1" t="e">
        <f t="array" ref="H419">SUM</f>
        <v>#NAME?</v>
      </c>
      <c r="I419" s="1" t="e">
        <f t="array" ref="I419">SUM</f>
        <v>#NAME?</v>
      </c>
      <c r="J419" s="1" t="e">
        <f t="array" ref="J419">SUM</f>
        <v>#NAME?</v>
      </c>
      <c r="K419" s="1" t="e">
        <f t="array" ref="K419">SUM</f>
        <v>#NAME?</v>
      </c>
      <c r="L419" s="1" t="e">
        <f t="array" ref="L419">SUM</f>
        <v>#NAME?</v>
      </c>
      <c r="M419" s="1" t="e">
        <f t="array" ref="M419">SUM</f>
        <v>#NAME?</v>
      </c>
      <c r="N419" s="1" t="e">
        <f t="array" ref="N419">SUM</f>
        <v>#NAME?</v>
      </c>
      <c r="O419" t="s">
        <v>28</v>
      </c>
      <c r="P419">
        <v>2021</v>
      </c>
    </row>
    <row r="420" spans="1:16" x14ac:dyDescent="0.25">
      <c r="A420" t="s">
        <v>22</v>
      </c>
      <c r="B420" s="1" t="e">
        <f t="array" ref="B420">SUM</f>
        <v>#NAME?</v>
      </c>
      <c r="C420" s="1" t="e">
        <f t="array" ref="C420">SUM</f>
        <v>#NAME?</v>
      </c>
      <c r="D420" s="1" t="e">
        <f t="array" ref="D420">SUM</f>
        <v>#NAME?</v>
      </c>
      <c r="E420" s="1" t="e">
        <f t="array" ref="E420">SUM</f>
        <v>#NAME?</v>
      </c>
      <c r="F420" s="1" t="e">
        <f t="array" ref="F420">SUM</f>
        <v>#NAME?</v>
      </c>
      <c r="G420" s="1" t="e">
        <f t="array" ref="G420">SUM</f>
        <v>#NAME?</v>
      </c>
      <c r="H420" s="1" t="e">
        <f t="array" ref="H420">SUM</f>
        <v>#NAME?</v>
      </c>
      <c r="I420" s="1" t="e">
        <f t="array" ref="I420">SUM</f>
        <v>#NAME?</v>
      </c>
      <c r="J420" s="1" t="e">
        <f t="array" ref="J420">SUM</f>
        <v>#NAME?</v>
      </c>
      <c r="K420" s="1" t="e">
        <f t="array" ref="K420">SUM</f>
        <v>#NAME?</v>
      </c>
      <c r="L420" s="1" t="e">
        <f t="array" ref="L420">SUM</f>
        <v>#NAME?</v>
      </c>
      <c r="M420" s="1" t="e">
        <f t="array" ref="M420">SUM</f>
        <v>#NAME?</v>
      </c>
      <c r="N420" s="1" t="e">
        <f t="array" ref="N420">SUM</f>
        <v>#NAME?</v>
      </c>
      <c r="O420" t="s">
        <v>28</v>
      </c>
      <c r="P420">
        <v>2021</v>
      </c>
    </row>
    <row r="421" spans="1:16" x14ac:dyDescent="0.25">
      <c r="A421" t="s">
        <v>25</v>
      </c>
      <c r="B421" s="1" t="e">
        <f t="array" ref="B421">SUM</f>
        <v>#NAME?</v>
      </c>
      <c r="C421" s="1" t="e">
        <f t="array" ref="C421">SUM</f>
        <v>#NAME?</v>
      </c>
      <c r="D421" s="1" t="e">
        <f t="array" ref="D421">SUM</f>
        <v>#NAME?</v>
      </c>
      <c r="E421" s="1" t="e">
        <f t="array" ref="E421">SUM</f>
        <v>#NAME?</v>
      </c>
      <c r="F421" s="1" t="e">
        <f t="array" ref="F421">SUM</f>
        <v>#NAME?</v>
      </c>
      <c r="G421" s="1" t="e">
        <f t="array" ref="G421">SUM</f>
        <v>#NAME?</v>
      </c>
      <c r="H421" s="1" t="e">
        <f t="array" ref="H421">SUM</f>
        <v>#NAME?</v>
      </c>
      <c r="I421" s="1" t="e">
        <f t="array" ref="I421">SUM</f>
        <v>#NAME?</v>
      </c>
      <c r="J421" s="1" t="e">
        <f t="array" ref="J421">SUM</f>
        <v>#NAME?</v>
      </c>
      <c r="K421" s="1" t="e">
        <f t="array" ref="K421">SUM</f>
        <v>#NAME?</v>
      </c>
      <c r="L421" s="1" t="e">
        <f t="array" ref="L421">SUM</f>
        <v>#NAME?</v>
      </c>
      <c r="M421" s="1" t="e">
        <f t="array" ref="M421">SUM</f>
        <v>#NAME?</v>
      </c>
      <c r="N421" s="1" t="e">
        <f t="array" ref="N421">SUM</f>
        <v>#NAME?</v>
      </c>
      <c r="O421" t="s">
        <v>30</v>
      </c>
      <c r="P421">
        <v>2021</v>
      </c>
    </row>
    <row r="422" spans="1:16" x14ac:dyDescent="0.25">
      <c r="A422" t="s">
        <v>22</v>
      </c>
      <c r="B422" s="1" t="e">
        <f t="array" ref="B422">SUM</f>
        <v>#NAME?</v>
      </c>
      <c r="C422" s="1" t="e">
        <f t="array" ref="C422">SUM</f>
        <v>#NAME?</v>
      </c>
      <c r="D422" s="1" t="e">
        <f t="array" ref="D422">SUM</f>
        <v>#NAME?</v>
      </c>
      <c r="E422" s="1" t="e">
        <f t="array" ref="E422">SUM</f>
        <v>#NAME?</v>
      </c>
      <c r="F422" s="1" t="e">
        <f t="array" ref="F422">SUM</f>
        <v>#NAME?</v>
      </c>
      <c r="G422" s="1" t="e">
        <f t="array" ref="G422">SUM</f>
        <v>#NAME?</v>
      </c>
      <c r="H422" s="1" t="e">
        <f t="array" ref="H422">SUM</f>
        <v>#NAME?</v>
      </c>
      <c r="I422" s="1" t="e">
        <f t="array" ref="I422">SUM</f>
        <v>#NAME?</v>
      </c>
      <c r="J422" s="1" t="e">
        <f t="array" ref="J422">SUM</f>
        <v>#NAME?</v>
      </c>
      <c r="K422" s="1" t="e">
        <f t="array" ref="K422">SUM</f>
        <v>#NAME?</v>
      </c>
      <c r="L422" s="1" t="e">
        <f t="array" ref="L422">SUM</f>
        <v>#NAME?</v>
      </c>
      <c r="M422" s="1" t="e">
        <f t="array" ref="M422">SUM</f>
        <v>#NAME?</v>
      </c>
      <c r="N422" s="1" t="e">
        <f t="array" ref="N422">SUM</f>
        <v>#NAME?</v>
      </c>
      <c r="O422" t="s">
        <v>30</v>
      </c>
      <c r="P422">
        <v>2021</v>
      </c>
    </row>
    <row r="423" spans="1:16" x14ac:dyDescent="0.25">
      <c r="A423" t="s">
        <v>23</v>
      </c>
      <c r="B423" s="1" t="e">
        <f t="array" ref="B423">SUM</f>
        <v>#NAME?</v>
      </c>
      <c r="C423" s="1" t="e">
        <f t="array" ref="C423">SUM</f>
        <v>#NAME?</v>
      </c>
      <c r="D423" s="1" t="e">
        <f t="array" ref="D423">SUM</f>
        <v>#NAME?</v>
      </c>
      <c r="E423" s="1" t="e">
        <f t="array" ref="E423">SUM</f>
        <v>#NAME?</v>
      </c>
      <c r="F423" s="1" t="e">
        <f t="array" ref="F423">SUM</f>
        <v>#NAME?</v>
      </c>
      <c r="G423" s="1" t="e">
        <f t="array" ref="G423">SUM</f>
        <v>#NAME?</v>
      </c>
      <c r="H423" s="1" t="e">
        <f t="array" ref="H423">SUM</f>
        <v>#NAME?</v>
      </c>
      <c r="I423" s="1" t="e">
        <f t="array" ref="I423">SUM</f>
        <v>#NAME?</v>
      </c>
      <c r="J423" s="1" t="e">
        <f t="array" ref="J423">SUM</f>
        <v>#NAME?</v>
      </c>
      <c r="K423" s="1" t="e">
        <f t="array" ref="K423">SUM</f>
        <v>#NAME?</v>
      </c>
      <c r="L423" s="1" t="e">
        <f t="array" ref="L423">SUM</f>
        <v>#NAME?</v>
      </c>
      <c r="M423" s="1" t="e">
        <f t="array" ref="M423">SUM</f>
        <v>#NAME?</v>
      </c>
      <c r="N423" s="1" t="e">
        <f t="array" ref="N423">SUM</f>
        <v>#NAME?</v>
      </c>
      <c r="O423" t="s">
        <v>20</v>
      </c>
      <c r="P423">
        <v>2021</v>
      </c>
    </row>
    <row r="424" spans="1:16" x14ac:dyDescent="0.25">
      <c r="A424" t="s">
        <v>18</v>
      </c>
      <c r="B424" s="1" t="e">
        <f t="array" ref="B424">SUM</f>
        <v>#NAME?</v>
      </c>
      <c r="C424" s="1" t="e">
        <f t="array" ref="C424">SUM</f>
        <v>#NAME?</v>
      </c>
      <c r="D424" s="1" t="e">
        <f t="array" ref="D424">SUM</f>
        <v>#NAME?</v>
      </c>
      <c r="E424" s="1" t="e">
        <f t="array" ref="E424">SUM</f>
        <v>#NAME?</v>
      </c>
      <c r="F424" s="1" t="e">
        <f t="array" ref="F424">SUM</f>
        <v>#NAME?</v>
      </c>
      <c r="G424" s="1" t="e">
        <f t="array" ref="G424">SUM</f>
        <v>#NAME?</v>
      </c>
      <c r="H424" s="1" t="e">
        <f t="array" ref="H424">SUM</f>
        <v>#NAME?</v>
      </c>
      <c r="I424" s="1" t="e">
        <f t="array" ref="I424">SUM</f>
        <v>#NAME?</v>
      </c>
      <c r="J424" s="1" t="e">
        <f t="array" ref="J424">SUM</f>
        <v>#NAME?</v>
      </c>
      <c r="K424" s="1" t="e">
        <f t="array" ref="K424">SUM</f>
        <v>#NAME?</v>
      </c>
      <c r="L424" s="1" t="e">
        <f t="array" ref="L424">SUM</f>
        <v>#NAME?</v>
      </c>
      <c r="M424" s="1" t="e">
        <f t="array" ref="M424">SUM</f>
        <v>#NAME?</v>
      </c>
      <c r="N424" s="1" t="e">
        <f t="array" ref="N424">SUM</f>
        <v>#NAME?</v>
      </c>
      <c r="O424" t="s">
        <v>32</v>
      </c>
      <c r="P424">
        <v>2021</v>
      </c>
    </row>
    <row r="425" spans="1:16" x14ac:dyDescent="0.25">
      <c r="A425" t="s">
        <v>25</v>
      </c>
      <c r="B425" s="1" t="e">
        <f t="array" ref="B425">SUM</f>
        <v>#NAME?</v>
      </c>
      <c r="C425" s="1" t="e">
        <f t="array" ref="C425">SUM</f>
        <v>#NAME?</v>
      </c>
      <c r="D425" s="1" t="e">
        <f t="array" ref="D425">SUM</f>
        <v>#NAME?</v>
      </c>
      <c r="E425" s="1" t="e">
        <f t="array" ref="E425">SUM</f>
        <v>#NAME?</v>
      </c>
      <c r="F425" s="1" t="e">
        <f t="array" ref="F425">SUM</f>
        <v>#NAME?</v>
      </c>
      <c r="G425" s="1" t="e">
        <f t="array" ref="G425">SUM</f>
        <v>#NAME?</v>
      </c>
      <c r="H425" s="1" t="e">
        <f t="array" ref="H425">SUM</f>
        <v>#NAME?</v>
      </c>
      <c r="I425" s="1" t="e">
        <f t="array" ref="I425">SUM</f>
        <v>#NAME?</v>
      </c>
      <c r="J425" s="1" t="e">
        <f t="array" ref="J425">SUM</f>
        <v>#NAME?</v>
      </c>
      <c r="K425" s="1" t="e">
        <f t="array" ref="K425">SUM</f>
        <v>#NAME?</v>
      </c>
      <c r="L425" s="1" t="e">
        <f t="array" ref="L425">SUM</f>
        <v>#NAME?</v>
      </c>
      <c r="M425" s="1" t="e">
        <f t="array" ref="M425">SUM</f>
        <v>#NAME?</v>
      </c>
      <c r="N425" s="1" t="e">
        <f t="array" ref="N425">SUM</f>
        <v>#NAME?</v>
      </c>
      <c r="O425" t="s">
        <v>24</v>
      </c>
      <c r="P425">
        <v>2021</v>
      </c>
    </row>
    <row r="426" spans="1:16" x14ac:dyDescent="0.25">
      <c r="A426" t="s">
        <v>16</v>
      </c>
      <c r="B426" s="1" t="e">
        <f t="array" ref="B426">SUM</f>
        <v>#NAME?</v>
      </c>
      <c r="C426" s="1" t="e">
        <f t="array" ref="C426">SUM</f>
        <v>#NAME?</v>
      </c>
      <c r="D426" s="1" t="e">
        <f t="array" ref="D426">SUM</f>
        <v>#NAME?</v>
      </c>
      <c r="E426" s="1" t="e">
        <f t="array" ref="E426">SUM</f>
        <v>#NAME?</v>
      </c>
      <c r="F426" s="1" t="e">
        <f t="array" ref="F426">SUM</f>
        <v>#NAME?</v>
      </c>
      <c r="G426" s="1" t="e">
        <f t="array" ref="G426">SUM</f>
        <v>#NAME?</v>
      </c>
      <c r="H426" s="1" t="e">
        <f t="array" ref="H426">SUM</f>
        <v>#NAME?</v>
      </c>
      <c r="I426" s="1" t="e">
        <f t="array" ref="I426">SUM</f>
        <v>#NAME?</v>
      </c>
      <c r="J426" s="1" t="e">
        <f t="array" ref="J426">SUM</f>
        <v>#NAME?</v>
      </c>
      <c r="K426" s="1" t="e">
        <f t="array" ref="K426">SUM</f>
        <v>#NAME?</v>
      </c>
      <c r="L426" s="1" t="e">
        <f t="array" ref="L426">SUM</f>
        <v>#NAME?</v>
      </c>
      <c r="M426" s="1" t="e">
        <f t="array" ref="M426">SUM</f>
        <v>#NAME?</v>
      </c>
      <c r="N426" s="1" t="e">
        <f t="array" ref="N426">SUM</f>
        <v>#NAME?</v>
      </c>
      <c r="O426" t="s">
        <v>24</v>
      </c>
      <c r="P426">
        <v>2021</v>
      </c>
    </row>
    <row r="427" spans="1:16" x14ac:dyDescent="0.25">
      <c r="A427" t="s">
        <v>23</v>
      </c>
      <c r="B427" s="1" t="e">
        <f t="array" ref="B427">SUM</f>
        <v>#NAME?</v>
      </c>
      <c r="C427" s="1" t="e">
        <f t="array" ref="C427">SUM</f>
        <v>#NAME?</v>
      </c>
      <c r="D427" s="1" t="e">
        <f t="array" ref="D427">SUM</f>
        <v>#NAME?</v>
      </c>
      <c r="E427" s="1" t="e">
        <f t="array" ref="E427">SUM</f>
        <v>#NAME?</v>
      </c>
      <c r="F427" s="1" t="e">
        <f t="array" ref="F427">SUM</f>
        <v>#NAME?</v>
      </c>
      <c r="G427" s="1" t="e">
        <f t="array" ref="G427">SUM</f>
        <v>#NAME?</v>
      </c>
      <c r="H427" s="1" t="e">
        <f t="array" ref="H427">SUM</f>
        <v>#NAME?</v>
      </c>
      <c r="I427" s="1" t="e">
        <f t="array" ref="I427">SUM</f>
        <v>#NAME?</v>
      </c>
      <c r="J427" s="1" t="e">
        <f t="array" ref="J427">SUM</f>
        <v>#NAME?</v>
      </c>
      <c r="K427" s="1" t="e">
        <f t="array" ref="K427">SUM</f>
        <v>#NAME?</v>
      </c>
      <c r="L427" s="1" t="e">
        <f t="array" ref="L427">SUM</f>
        <v>#NAME?</v>
      </c>
      <c r="M427" s="1" t="e">
        <f t="array" ref="M427">SUM</f>
        <v>#NAME?</v>
      </c>
      <c r="N427" s="1" t="e">
        <f t="array" ref="N427">SUM</f>
        <v>#NAME?</v>
      </c>
      <c r="O427" t="s">
        <v>27</v>
      </c>
      <c r="P427">
        <v>2021</v>
      </c>
    </row>
    <row r="428" spans="1:16" x14ac:dyDescent="0.25">
      <c r="A428" t="s">
        <v>23</v>
      </c>
      <c r="B428" s="1" t="e">
        <f t="array" ref="B428">SUM</f>
        <v>#NAME?</v>
      </c>
      <c r="C428" s="1" t="e">
        <f t="array" ref="C428">SUM</f>
        <v>#NAME?</v>
      </c>
      <c r="D428" s="1" t="e">
        <f t="array" ref="D428">SUM</f>
        <v>#NAME?</v>
      </c>
      <c r="E428" s="1" t="e">
        <f t="array" ref="E428">SUM</f>
        <v>#NAME?</v>
      </c>
      <c r="F428" s="1" t="e">
        <f t="array" ref="F428">SUM</f>
        <v>#NAME?</v>
      </c>
      <c r="G428" s="1" t="e">
        <f t="array" ref="G428">SUM</f>
        <v>#NAME?</v>
      </c>
      <c r="H428" s="1" t="e">
        <f t="array" ref="H428">SUM</f>
        <v>#NAME?</v>
      </c>
      <c r="I428" s="1" t="e">
        <f t="array" ref="I428">SUM</f>
        <v>#NAME?</v>
      </c>
      <c r="J428" s="1" t="e">
        <f t="array" ref="J428">SUM</f>
        <v>#NAME?</v>
      </c>
      <c r="K428" s="1" t="e">
        <f t="array" ref="K428">SUM</f>
        <v>#NAME?</v>
      </c>
      <c r="L428" s="1" t="e">
        <f t="array" ref="L428">SUM</f>
        <v>#NAME?</v>
      </c>
      <c r="M428" s="1" t="e">
        <f t="array" ref="M428">SUM</f>
        <v>#NAME?</v>
      </c>
      <c r="N428" s="1" t="e">
        <f t="array" ref="N428">SUM</f>
        <v>#NAME?</v>
      </c>
      <c r="O428" t="s">
        <v>27</v>
      </c>
      <c r="P428">
        <v>2021</v>
      </c>
    </row>
    <row r="429" spans="1:16" x14ac:dyDescent="0.25">
      <c r="A429" t="s">
        <v>16</v>
      </c>
      <c r="B429" s="1" t="e">
        <f t="array" ref="B429">SUM</f>
        <v>#NAME?</v>
      </c>
      <c r="C429" s="1" t="e">
        <f t="array" ref="C429">SUM</f>
        <v>#NAME?</v>
      </c>
      <c r="D429" s="1" t="e">
        <f t="array" ref="D429">SUM</f>
        <v>#NAME?</v>
      </c>
      <c r="E429" s="1" t="e">
        <f t="array" ref="E429">SUM</f>
        <v>#NAME?</v>
      </c>
      <c r="F429" s="1" t="e">
        <f t="array" ref="F429">SUM</f>
        <v>#NAME?</v>
      </c>
      <c r="G429" s="1" t="e">
        <f t="array" ref="G429">SUM</f>
        <v>#NAME?</v>
      </c>
      <c r="H429" s="1" t="e">
        <f t="array" ref="H429">SUM</f>
        <v>#NAME?</v>
      </c>
      <c r="I429" s="1" t="e">
        <f t="array" ref="I429">SUM</f>
        <v>#NAME?</v>
      </c>
      <c r="J429" s="1" t="e">
        <f t="array" ref="J429">SUM</f>
        <v>#NAME?</v>
      </c>
      <c r="K429" s="1" t="e">
        <f t="array" ref="K429">SUM</f>
        <v>#NAME?</v>
      </c>
      <c r="L429" s="1" t="e">
        <f t="array" ref="L429">SUM</f>
        <v>#NAME?</v>
      </c>
      <c r="M429" s="1" t="e">
        <f t="array" ref="M429">SUM</f>
        <v>#NAME?</v>
      </c>
      <c r="N429" s="1" t="e">
        <f t="array" ref="N429">SUM</f>
        <v>#NAME?</v>
      </c>
      <c r="O429" t="s">
        <v>28</v>
      </c>
      <c r="P429">
        <v>2021</v>
      </c>
    </row>
    <row r="430" spans="1:16" x14ac:dyDescent="0.25">
      <c r="A430" t="s">
        <v>22</v>
      </c>
      <c r="B430" s="1" t="e">
        <f t="array" ref="B430">SUM</f>
        <v>#NAME?</v>
      </c>
      <c r="C430" s="1" t="e">
        <f t="array" ref="C430">SUM</f>
        <v>#NAME?</v>
      </c>
      <c r="D430" s="1" t="e">
        <f t="array" ref="D430">SUM</f>
        <v>#NAME?</v>
      </c>
      <c r="E430" s="1" t="e">
        <f t="array" ref="E430">SUM</f>
        <v>#NAME?</v>
      </c>
      <c r="F430" s="1" t="e">
        <f t="array" ref="F430">SUM</f>
        <v>#NAME?</v>
      </c>
      <c r="G430" s="1" t="e">
        <f t="array" ref="G430">SUM</f>
        <v>#NAME?</v>
      </c>
      <c r="H430" s="1" t="e">
        <f t="array" ref="H430">SUM</f>
        <v>#NAME?</v>
      </c>
      <c r="I430" s="1" t="e">
        <f t="array" ref="I430">SUM</f>
        <v>#NAME?</v>
      </c>
      <c r="J430" s="1" t="e">
        <f t="array" ref="J430">SUM</f>
        <v>#NAME?</v>
      </c>
      <c r="K430" s="1" t="e">
        <f t="array" ref="K430">SUM</f>
        <v>#NAME?</v>
      </c>
      <c r="L430" s="1" t="e">
        <f t="array" ref="L430">SUM</f>
        <v>#NAME?</v>
      </c>
      <c r="M430" s="1" t="e">
        <f t="array" ref="M430">SUM</f>
        <v>#NAME?</v>
      </c>
      <c r="N430" s="1" t="e">
        <f t="array" ref="N430">SUM</f>
        <v>#NAME?</v>
      </c>
      <c r="O430" t="s">
        <v>17</v>
      </c>
      <c r="P430">
        <v>2021</v>
      </c>
    </row>
    <row r="431" spans="1:16" x14ac:dyDescent="0.25">
      <c r="A431" t="s">
        <v>25</v>
      </c>
      <c r="B431" s="1" t="e">
        <f t="array" ref="B431">SUM</f>
        <v>#NAME?</v>
      </c>
      <c r="C431" s="1" t="e">
        <f t="array" ref="C431">SUM</f>
        <v>#NAME?</v>
      </c>
      <c r="D431" s="1" t="e">
        <f t="array" ref="D431">SUM</f>
        <v>#NAME?</v>
      </c>
      <c r="E431" s="1" t="e">
        <f t="array" ref="E431">SUM</f>
        <v>#NAME?</v>
      </c>
      <c r="F431" s="1" t="e">
        <f t="array" ref="F431">SUM</f>
        <v>#NAME?</v>
      </c>
      <c r="G431" s="1" t="e">
        <f t="array" ref="G431">SUM</f>
        <v>#NAME?</v>
      </c>
      <c r="H431" s="1" t="e">
        <f t="array" ref="H431">SUM</f>
        <v>#NAME?</v>
      </c>
      <c r="I431" s="1" t="e">
        <f t="array" ref="I431">SUM</f>
        <v>#NAME?</v>
      </c>
      <c r="J431" s="1" t="e">
        <f t="array" ref="J431">SUM</f>
        <v>#NAME?</v>
      </c>
      <c r="K431" s="1" t="e">
        <f t="array" ref="K431">SUM</f>
        <v>#NAME?</v>
      </c>
      <c r="L431" s="1" t="e">
        <f t="array" ref="L431">SUM</f>
        <v>#NAME?</v>
      </c>
      <c r="M431" s="1" t="e">
        <f t="array" ref="M431">SUM</f>
        <v>#NAME?</v>
      </c>
      <c r="N431" s="1" t="e">
        <f t="array" ref="N431">SUM</f>
        <v>#NAME?</v>
      </c>
      <c r="O431" t="s">
        <v>29</v>
      </c>
      <c r="P431">
        <v>2021</v>
      </c>
    </row>
    <row r="432" spans="1:16" x14ac:dyDescent="0.25">
      <c r="A432" t="s">
        <v>16</v>
      </c>
      <c r="B432" s="1" t="e">
        <f t="array" ref="B432">SUM</f>
        <v>#NAME?</v>
      </c>
      <c r="C432" s="1" t="e">
        <f t="array" ref="C432">SUM</f>
        <v>#NAME?</v>
      </c>
      <c r="D432" s="1" t="e">
        <f t="array" ref="D432">SUM</f>
        <v>#NAME?</v>
      </c>
      <c r="E432" s="1" t="e">
        <f t="array" ref="E432">SUM</f>
        <v>#NAME?</v>
      </c>
      <c r="F432" s="1" t="e">
        <f t="array" ref="F432">SUM</f>
        <v>#NAME?</v>
      </c>
      <c r="G432" s="1" t="e">
        <f t="array" ref="G432">SUM</f>
        <v>#NAME?</v>
      </c>
      <c r="H432" s="1" t="e">
        <f t="array" ref="H432">SUM</f>
        <v>#NAME?</v>
      </c>
      <c r="I432" s="1" t="e">
        <f t="array" ref="I432">SUM</f>
        <v>#NAME?</v>
      </c>
      <c r="J432" s="1" t="e">
        <f t="array" ref="J432">SUM</f>
        <v>#NAME?</v>
      </c>
      <c r="K432" s="1" t="e">
        <f t="array" ref="K432">SUM</f>
        <v>#NAME?</v>
      </c>
      <c r="L432" s="1" t="e">
        <f t="array" ref="L432">SUM</f>
        <v>#NAME?</v>
      </c>
      <c r="M432" s="1" t="e">
        <f t="array" ref="M432">SUM</f>
        <v>#NAME?</v>
      </c>
      <c r="N432" s="1" t="e">
        <f t="array" ref="N432">SUM</f>
        <v>#NAME?</v>
      </c>
      <c r="O432" t="s">
        <v>31</v>
      </c>
      <c r="P432">
        <v>2021</v>
      </c>
    </row>
    <row r="433" spans="1:16" x14ac:dyDescent="0.25">
      <c r="A433" t="s">
        <v>22</v>
      </c>
      <c r="B433" s="1" t="e">
        <f t="array" ref="B433">SUM</f>
        <v>#NAME?</v>
      </c>
      <c r="C433" s="1" t="e">
        <f t="array" ref="C433">SUM</f>
        <v>#NAME?</v>
      </c>
      <c r="D433" s="1" t="e">
        <f t="array" ref="D433">SUM</f>
        <v>#NAME?</v>
      </c>
      <c r="E433" s="1" t="e">
        <f t="array" ref="E433">SUM</f>
        <v>#NAME?</v>
      </c>
      <c r="F433" s="1" t="e">
        <f t="array" ref="F433">SUM</f>
        <v>#NAME?</v>
      </c>
      <c r="G433" s="1" t="e">
        <f t="array" ref="G433">SUM</f>
        <v>#NAME?</v>
      </c>
      <c r="H433" s="1" t="e">
        <f t="array" ref="H433">SUM</f>
        <v>#NAME?</v>
      </c>
      <c r="I433" s="1" t="e">
        <f t="array" ref="I433">SUM</f>
        <v>#NAME?</v>
      </c>
      <c r="J433" s="1" t="e">
        <f t="array" ref="J433">SUM</f>
        <v>#NAME?</v>
      </c>
      <c r="K433" s="1" t="e">
        <f t="array" ref="K433">SUM</f>
        <v>#NAME?</v>
      </c>
      <c r="L433" s="1" t="e">
        <f t="array" ref="L433">SUM</f>
        <v>#NAME?</v>
      </c>
      <c r="M433" s="1" t="e">
        <f t="array" ref="M433">SUM</f>
        <v>#NAME?</v>
      </c>
      <c r="N433" s="1" t="e">
        <f t="array" ref="N433">SUM</f>
        <v>#NAME?</v>
      </c>
      <c r="O433" t="s">
        <v>32</v>
      </c>
      <c r="P433">
        <v>2021</v>
      </c>
    </row>
    <row r="434" spans="1:16" x14ac:dyDescent="0.25">
      <c r="A434" t="s">
        <v>25</v>
      </c>
      <c r="B434" s="1" t="e">
        <f t="array" ref="B434">SUM</f>
        <v>#NAME?</v>
      </c>
      <c r="C434" s="1" t="e">
        <f t="array" ref="C434">SUM</f>
        <v>#NAME?</v>
      </c>
      <c r="D434" s="1" t="e">
        <f t="array" ref="D434">SUM</f>
        <v>#NAME?</v>
      </c>
      <c r="E434" s="1" t="e">
        <f t="array" ref="E434">SUM</f>
        <v>#NAME?</v>
      </c>
      <c r="F434" s="1" t="e">
        <f t="array" ref="F434">SUM</f>
        <v>#NAME?</v>
      </c>
      <c r="G434" s="1" t="e">
        <f t="array" ref="G434">SUM</f>
        <v>#NAME?</v>
      </c>
      <c r="H434" s="1" t="e">
        <f t="array" ref="H434">SUM</f>
        <v>#NAME?</v>
      </c>
      <c r="I434" s="1" t="e">
        <f t="array" ref="I434">SUM</f>
        <v>#NAME?</v>
      </c>
      <c r="J434" s="1" t="e">
        <f t="array" ref="J434">SUM</f>
        <v>#NAME?</v>
      </c>
      <c r="K434" s="1" t="e">
        <f t="array" ref="K434">SUM</f>
        <v>#NAME?</v>
      </c>
      <c r="L434" s="1" t="e">
        <f t="array" ref="L434">SUM</f>
        <v>#NAME?</v>
      </c>
      <c r="M434" s="1" t="e">
        <f t="array" ref="M434">SUM</f>
        <v>#NAME?</v>
      </c>
      <c r="N434" s="1" t="e">
        <f t="array" ref="N434">SUM</f>
        <v>#NAME?</v>
      </c>
      <c r="O434" t="s">
        <v>27</v>
      </c>
      <c r="P434">
        <v>2021</v>
      </c>
    </row>
    <row r="435" spans="1:16" x14ac:dyDescent="0.25">
      <c r="A435" t="s">
        <v>22</v>
      </c>
      <c r="B435" s="1" t="e">
        <f t="array" ref="B435">SUM</f>
        <v>#NAME?</v>
      </c>
      <c r="C435" s="1" t="e">
        <f t="array" ref="C435">SUM</f>
        <v>#NAME?</v>
      </c>
      <c r="D435" s="1" t="e">
        <f t="array" ref="D435">SUM</f>
        <v>#NAME?</v>
      </c>
      <c r="E435" s="1" t="e">
        <f t="array" ref="E435">SUM</f>
        <v>#NAME?</v>
      </c>
      <c r="F435" s="1" t="e">
        <f t="array" ref="F435">SUM</f>
        <v>#NAME?</v>
      </c>
      <c r="G435" s="1" t="e">
        <f t="array" ref="G435">SUM</f>
        <v>#NAME?</v>
      </c>
      <c r="H435" s="1" t="e">
        <f t="array" ref="H435">SUM</f>
        <v>#NAME?</v>
      </c>
      <c r="I435" s="1" t="e">
        <f t="array" ref="I435">SUM</f>
        <v>#NAME?</v>
      </c>
      <c r="J435" s="1" t="e">
        <f t="array" ref="J435">SUM</f>
        <v>#NAME?</v>
      </c>
      <c r="K435" s="1" t="e">
        <f t="array" ref="K435">SUM</f>
        <v>#NAME?</v>
      </c>
      <c r="L435" s="1" t="e">
        <f t="array" ref="L435">SUM</f>
        <v>#NAME?</v>
      </c>
      <c r="M435" s="1" t="e">
        <f t="array" ref="M435">SUM</f>
        <v>#NAME?</v>
      </c>
      <c r="N435" s="1" t="e">
        <f t="array" ref="N435">SUM</f>
        <v>#NAME?</v>
      </c>
      <c r="O435" t="s">
        <v>27</v>
      </c>
      <c r="P435">
        <v>2021</v>
      </c>
    </row>
    <row r="436" spans="1:16" x14ac:dyDescent="0.25">
      <c r="A436" t="s">
        <v>18</v>
      </c>
      <c r="B436" s="1" t="e">
        <f t="array" ref="B436">SUM</f>
        <v>#NAME?</v>
      </c>
      <c r="C436" s="1" t="e">
        <f t="array" ref="C436">SUM</f>
        <v>#NAME?</v>
      </c>
      <c r="D436" s="1" t="e">
        <f t="array" ref="D436">SUM</f>
        <v>#NAME?</v>
      </c>
      <c r="E436" s="1" t="e">
        <f t="array" ref="E436">SUM</f>
        <v>#NAME?</v>
      </c>
      <c r="F436" s="1" t="e">
        <f t="array" ref="F436">SUM</f>
        <v>#NAME?</v>
      </c>
      <c r="G436" s="1" t="e">
        <f t="array" ref="G436">SUM</f>
        <v>#NAME?</v>
      </c>
      <c r="H436" s="1" t="e">
        <f t="array" ref="H436">SUM</f>
        <v>#NAME?</v>
      </c>
      <c r="I436" s="1" t="e">
        <f t="array" ref="I436">SUM</f>
        <v>#NAME?</v>
      </c>
      <c r="J436" s="1" t="e">
        <f t="array" ref="J436">SUM</f>
        <v>#NAME?</v>
      </c>
      <c r="K436" s="1" t="e">
        <f t="array" ref="K436">SUM</f>
        <v>#NAME?</v>
      </c>
      <c r="L436" s="1" t="e">
        <f t="array" ref="L436">SUM</f>
        <v>#NAME?</v>
      </c>
      <c r="M436" s="1" t="e">
        <f t="array" ref="M436">SUM</f>
        <v>#NAME?</v>
      </c>
      <c r="N436" s="1" t="e">
        <f t="array" ref="N436">SUM</f>
        <v>#NAME?</v>
      </c>
      <c r="O436" t="s">
        <v>28</v>
      </c>
      <c r="P436">
        <v>2021</v>
      </c>
    </row>
    <row r="437" spans="1:16" x14ac:dyDescent="0.25">
      <c r="A437" t="s">
        <v>23</v>
      </c>
      <c r="B437" s="1" t="e">
        <f t="array" ref="B437">SUM</f>
        <v>#NAME?</v>
      </c>
      <c r="C437" s="1" t="e">
        <f t="array" ref="C437">SUM</f>
        <v>#NAME?</v>
      </c>
      <c r="D437" s="1" t="e">
        <f t="array" ref="D437">SUM</f>
        <v>#NAME?</v>
      </c>
      <c r="E437" s="1" t="e">
        <f t="array" ref="E437">SUM</f>
        <v>#NAME?</v>
      </c>
      <c r="F437" s="1" t="e">
        <f t="array" ref="F437">SUM</f>
        <v>#NAME?</v>
      </c>
      <c r="G437" s="1" t="e">
        <f t="array" ref="G437">SUM</f>
        <v>#NAME?</v>
      </c>
      <c r="H437" s="1" t="e">
        <f t="array" ref="H437">SUM</f>
        <v>#NAME?</v>
      </c>
      <c r="I437" s="1" t="e">
        <f t="array" ref="I437">SUM</f>
        <v>#NAME?</v>
      </c>
      <c r="J437" s="1" t="e">
        <f t="array" ref="J437">SUM</f>
        <v>#NAME?</v>
      </c>
      <c r="K437" s="1" t="e">
        <f t="array" ref="K437">SUM</f>
        <v>#NAME?</v>
      </c>
      <c r="L437" s="1" t="e">
        <f t="array" ref="L437">SUM</f>
        <v>#NAME?</v>
      </c>
      <c r="M437" s="1" t="e">
        <f t="array" ref="M437">SUM</f>
        <v>#NAME?</v>
      </c>
      <c r="N437" s="1" t="e">
        <f t="array" ref="N437">SUM</f>
        <v>#NAME?</v>
      </c>
      <c r="O437" t="s">
        <v>30</v>
      </c>
      <c r="P437">
        <v>2021</v>
      </c>
    </row>
    <row r="438" spans="1:16" x14ac:dyDescent="0.25">
      <c r="A438" t="s">
        <v>16</v>
      </c>
      <c r="B438" s="1" t="e">
        <f t="array" ref="B438">SUM</f>
        <v>#NAME?</v>
      </c>
      <c r="C438" s="1" t="e">
        <f t="array" ref="C438">SUM</f>
        <v>#NAME?</v>
      </c>
      <c r="D438" s="1" t="e">
        <f t="array" ref="D438">SUM</f>
        <v>#NAME?</v>
      </c>
      <c r="E438" s="1" t="e">
        <f t="array" ref="E438">SUM</f>
        <v>#NAME?</v>
      </c>
      <c r="F438" s="1" t="e">
        <f t="array" ref="F438">SUM</f>
        <v>#NAME?</v>
      </c>
      <c r="G438" s="1" t="e">
        <f t="array" ref="G438">SUM</f>
        <v>#NAME?</v>
      </c>
      <c r="H438" s="1" t="e">
        <f t="array" ref="H438">SUM</f>
        <v>#NAME?</v>
      </c>
      <c r="I438" s="1" t="e">
        <f t="array" ref="I438">SUM</f>
        <v>#NAME?</v>
      </c>
      <c r="J438" s="1" t="e">
        <f t="array" ref="J438">SUM</f>
        <v>#NAME?</v>
      </c>
      <c r="K438" s="1" t="e">
        <f t="array" ref="K438">SUM</f>
        <v>#NAME?</v>
      </c>
      <c r="L438" s="1" t="e">
        <f t="array" ref="L438">SUM</f>
        <v>#NAME?</v>
      </c>
      <c r="M438" s="1" t="e">
        <f t="array" ref="M438">SUM</f>
        <v>#NAME?</v>
      </c>
      <c r="N438" s="1" t="e">
        <f t="array" ref="N438">SUM</f>
        <v>#NAME?</v>
      </c>
      <c r="O438" t="s">
        <v>27</v>
      </c>
      <c r="P438">
        <v>2021</v>
      </c>
    </row>
    <row r="439" spans="1:16" x14ac:dyDescent="0.25">
      <c r="A439" t="s">
        <v>16</v>
      </c>
      <c r="B439" s="1" t="e">
        <f t="array" ref="B439">SUM</f>
        <v>#NAME?</v>
      </c>
      <c r="C439" s="1" t="e">
        <f t="array" ref="C439">SUM</f>
        <v>#NAME?</v>
      </c>
      <c r="D439" s="1" t="e">
        <f t="array" ref="D439">SUM</f>
        <v>#NAME?</v>
      </c>
      <c r="E439" s="1" t="e">
        <f t="array" ref="E439">SUM</f>
        <v>#NAME?</v>
      </c>
      <c r="F439" s="1" t="e">
        <f t="array" ref="F439">SUM</f>
        <v>#NAME?</v>
      </c>
      <c r="G439" s="1" t="e">
        <f t="array" ref="G439">SUM</f>
        <v>#NAME?</v>
      </c>
      <c r="H439" s="1" t="e">
        <f t="array" ref="H439">SUM</f>
        <v>#NAME?</v>
      </c>
      <c r="I439" s="1" t="e">
        <f t="array" ref="I439">SUM</f>
        <v>#NAME?</v>
      </c>
      <c r="J439" s="1" t="e">
        <f t="array" ref="J439">SUM</f>
        <v>#NAME?</v>
      </c>
      <c r="K439" s="1" t="e">
        <f t="array" ref="K439">SUM</f>
        <v>#NAME?</v>
      </c>
      <c r="L439" s="1" t="e">
        <f t="array" ref="L439">SUM</f>
        <v>#NAME?</v>
      </c>
      <c r="M439" s="1" t="e">
        <f t="array" ref="M439">SUM</f>
        <v>#NAME?</v>
      </c>
      <c r="N439" s="1" t="e">
        <f t="array" ref="N439">SUM</f>
        <v>#NAME?</v>
      </c>
      <c r="O439" t="s">
        <v>28</v>
      </c>
      <c r="P439">
        <v>2021</v>
      </c>
    </row>
    <row r="440" spans="1:16" x14ac:dyDescent="0.25">
      <c r="A440" t="s">
        <v>18</v>
      </c>
      <c r="B440" s="1" t="e">
        <f t="array" ref="B440">SUM</f>
        <v>#NAME?</v>
      </c>
      <c r="C440" s="1" t="e">
        <f t="array" ref="C440">SUM</f>
        <v>#NAME?</v>
      </c>
      <c r="D440" s="1" t="e">
        <f t="array" ref="D440">SUM</f>
        <v>#NAME?</v>
      </c>
      <c r="E440" s="1" t="e">
        <f t="array" ref="E440">SUM</f>
        <v>#NAME?</v>
      </c>
      <c r="F440" s="1" t="e">
        <f t="array" ref="F440">SUM</f>
        <v>#NAME?</v>
      </c>
      <c r="G440" s="1" t="e">
        <f t="array" ref="G440">SUM</f>
        <v>#NAME?</v>
      </c>
      <c r="H440" s="1" t="e">
        <f t="array" ref="H440">SUM</f>
        <v>#NAME?</v>
      </c>
      <c r="I440" s="1" t="e">
        <f t="array" ref="I440">SUM</f>
        <v>#NAME?</v>
      </c>
      <c r="J440" s="1" t="e">
        <f t="array" ref="J440">SUM</f>
        <v>#NAME?</v>
      </c>
      <c r="K440" s="1" t="e">
        <f t="array" ref="K440">SUM</f>
        <v>#NAME?</v>
      </c>
      <c r="L440" s="1" t="e">
        <f t="array" ref="L440">SUM</f>
        <v>#NAME?</v>
      </c>
      <c r="M440" s="1" t="e">
        <f t="array" ref="M440">SUM</f>
        <v>#NAME?</v>
      </c>
      <c r="N440" s="1" t="e">
        <f t="array" ref="N440">SUM</f>
        <v>#NAME?</v>
      </c>
      <c r="O440" t="s">
        <v>30</v>
      </c>
      <c r="P440">
        <v>2021</v>
      </c>
    </row>
    <row r="441" spans="1:16" x14ac:dyDescent="0.25">
      <c r="A441" t="s">
        <v>16</v>
      </c>
      <c r="B441" s="1" t="e">
        <f t="array" ref="B441">SUM</f>
        <v>#NAME?</v>
      </c>
      <c r="C441" s="1" t="e">
        <f t="array" ref="C441">SUM</f>
        <v>#NAME?</v>
      </c>
      <c r="D441" s="1" t="e">
        <f t="array" ref="D441">SUM</f>
        <v>#NAME?</v>
      </c>
      <c r="E441" s="1" t="e">
        <f t="array" ref="E441">SUM</f>
        <v>#NAME?</v>
      </c>
      <c r="F441" s="1" t="e">
        <f t="array" ref="F441">SUM</f>
        <v>#NAME?</v>
      </c>
      <c r="G441" s="1" t="e">
        <f t="array" ref="G441">SUM</f>
        <v>#NAME?</v>
      </c>
      <c r="H441" s="1" t="e">
        <f t="array" ref="H441">SUM</f>
        <v>#NAME?</v>
      </c>
      <c r="I441" s="1" t="e">
        <f t="array" ref="I441">SUM</f>
        <v>#NAME?</v>
      </c>
      <c r="J441" s="1" t="e">
        <f t="array" ref="J441">SUM</f>
        <v>#NAME?</v>
      </c>
      <c r="K441" s="1" t="e">
        <f t="array" ref="K441">SUM</f>
        <v>#NAME?</v>
      </c>
      <c r="L441" s="1" t="e">
        <f t="array" ref="L441">SUM</f>
        <v>#NAME?</v>
      </c>
      <c r="M441" s="1" t="e">
        <f t="array" ref="M441">SUM</f>
        <v>#NAME?</v>
      </c>
      <c r="N441" s="1" t="e">
        <f t="array" ref="N441">SUM</f>
        <v>#NAME?</v>
      </c>
      <c r="O441" t="s">
        <v>30</v>
      </c>
      <c r="P441">
        <v>2021</v>
      </c>
    </row>
    <row r="442" spans="1:16" x14ac:dyDescent="0.25">
      <c r="A442" t="s">
        <v>16</v>
      </c>
      <c r="B442" s="1" t="e">
        <f t="array" ref="B442">SUM</f>
        <v>#NAME?</v>
      </c>
      <c r="C442" s="1" t="e">
        <f t="array" ref="C442">SUM</f>
        <v>#NAME?</v>
      </c>
      <c r="D442" s="1" t="e">
        <f t="array" ref="D442">SUM</f>
        <v>#NAME?</v>
      </c>
      <c r="E442" s="1" t="e">
        <f t="array" ref="E442">SUM</f>
        <v>#NAME?</v>
      </c>
      <c r="F442" s="1" t="e">
        <f t="array" ref="F442">SUM</f>
        <v>#NAME?</v>
      </c>
      <c r="G442" s="1" t="e">
        <f t="array" ref="G442">SUM</f>
        <v>#NAME?</v>
      </c>
      <c r="H442" s="1" t="e">
        <f t="array" ref="H442">SUM</f>
        <v>#NAME?</v>
      </c>
      <c r="I442" s="1" t="e">
        <f t="array" ref="I442">SUM</f>
        <v>#NAME?</v>
      </c>
      <c r="J442" s="1" t="e">
        <f t="array" ref="J442">SUM</f>
        <v>#NAME?</v>
      </c>
      <c r="K442" s="1" t="e">
        <f t="array" ref="K442">SUM</f>
        <v>#NAME?</v>
      </c>
      <c r="L442" s="1" t="e">
        <f t="array" ref="L442">SUM</f>
        <v>#NAME?</v>
      </c>
      <c r="M442" s="1" t="e">
        <f t="array" ref="M442">SUM</f>
        <v>#NAME?</v>
      </c>
      <c r="N442" s="1" t="e">
        <f t="array" ref="N442">SUM</f>
        <v>#NAME?</v>
      </c>
      <c r="O442" t="s">
        <v>32</v>
      </c>
      <c r="P442">
        <v>2021</v>
      </c>
    </row>
    <row r="443" spans="1:16" x14ac:dyDescent="0.25">
      <c r="A443" t="s">
        <v>16</v>
      </c>
      <c r="B443" s="1" t="e">
        <f t="array" ref="B443">SUM</f>
        <v>#NAME?</v>
      </c>
      <c r="C443" s="1" t="e">
        <f t="array" ref="C443">SUM</f>
        <v>#NAME?</v>
      </c>
      <c r="D443" s="1" t="e">
        <f t="array" ref="D443">SUM</f>
        <v>#NAME?</v>
      </c>
      <c r="E443" s="1" t="e">
        <f t="array" ref="E443">SUM</f>
        <v>#NAME?</v>
      </c>
      <c r="F443" s="1" t="e">
        <f t="array" ref="F443">SUM</f>
        <v>#NAME?</v>
      </c>
      <c r="G443" s="1" t="e">
        <f t="array" ref="G443">SUM</f>
        <v>#NAME?</v>
      </c>
      <c r="H443" s="1" t="e">
        <f t="array" ref="H443">SUM</f>
        <v>#NAME?</v>
      </c>
      <c r="I443" s="1" t="e">
        <f t="array" ref="I443">SUM</f>
        <v>#NAME?</v>
      </c>
      <c r="J443" s="1" t="e">
        <f t="array" ref="J443">SUM</f>
        <v>#NAME?</v>
      </c>
      <c r="K443" s="1" t="e">
        <f t="array" ref="K443">SUM</f>
        <v>#NAME?</v>
      </c>
      <c r="L443" s="1" t="e">
        <f t="array" ref="L443">SUM</f>
        <v>#NAME?</v>
      </c>
      <c r="M443" s="1" t="e">
        <f t="array" ref="M443">SUM</f>
        <v>#NAME?</v>
      </c>
      <c r="N443" s="1" t="e">
        <f t="array" ref="N443">SUM</f>
        <v>#NAME?</v>
      </c>
      <c r="O443" t="s">
        <v>24</v>
      </c>
      <c r="P443">
        <v>2021</v>
      </c>
    </row>
    <row r="444" spans="1:16" x14ac:dyDescent="0.25">
      <c r="A444" t="s">
        <v>22</v>
      </c>
      <c r="B444" s="1" t="e">
        <f t="array" ref="B444">SUM</f>
        <v>#NAME?</v>
      </c>
      <c r="C444" s="1" t="e">
        <f t="array" ref="C444">SUM</f>
        <v>#NAME?</v>
      </c>
      <c r="D444" s="1" t="e">
        <f t="array" ref="D444">SUM</f>
        <v>#NAME?</v>
      </c>
      <c r="E444" s="1" t="e">
        <f t="array" ref="E444">SUM</f>
        <v>#NAME?</v>
      </c>
      <c r="F444" s="1" t="e">
        <f t="array" ref="F444">SUM</f>
        <v>#NAME?</v>
      </c>
      <c r="G444" s="1" t="e">
        <f t="array" ref="G444">SUM</f>
        <v>#NAME?</v>
      </c>
      <c r="H444" s="1" t="e">
        <f t="array" ref="H444">SUM</f>
        <v>#NAME?</v>
      </c>
      <c r="I444" s="1" t="e">
        <f t="array" ref="I444">SUM</f>
        <v>#NAME?</v>
      </c>
      <c r="J444" s="1" t="e">
        <f t="array" ref="J444">SUM</f>
        <v>#NAME?</v>
      </c>
      <c r="K444" s="1" t="e">
        <f t="array" ref="K444">SUM</f>
        <v>#NAME?</v>
      </c>
      <c r="L444" s="1" t="e">
        <f t="array" ref="L444">SUM</f>
        <v>#NAME?</v>
      </c>
      <c r="M444" s="1" t="e">
        <f t="array" ref="M444">SUM</f>
        <v>#NAME?</v>
      </c>
      <c r="N444" s="1" t="e">
        <f t="array" ref="N444">SUM</f>
        <v>#NAME?</v>
      </c>
      <c r="O444" t="s">
        <v>27</v>
      </c>
      <c r="P444">
        <v>2021</v>
      </c>
    </row>
    <row r="445" spans="1:16" x14ac:dyDescent="0.25">
      <c r="A445" t="s">
        <v>16</v>
      </c>
      <c r="B445" s="1" t="e">
        <f t="array" ref="B445">SUM</f>
        <v>#NAME?</v>
      </c>
      <c r="C445" s="1" t="e">
        <f t="array" ref="C445">SUM</f>
        <v>#NAME?</v>
      </c>
      <c r="D445" s="1" t="e">
        <f t="array" ref="D445">SUM</f>
        <v>#NAME?</v>
      </c>
      <c r="E445" s="1" t="e">
        <f t="array" ref="E445">SUM</f>
        <v>#NAME?</v>
      </c>
      <c r="F445" s="1" t="e">
        <f t="array" ref="F445">SUM</f>
        <v>#NAME?</v>
      </c>
      <c r="G445" s="1" t="e">
        <f t="array" ref="G445">SUM</f>
        <v>#NAME?</v>
      </c>
      <c r="H445" s="1" t="e">
        <f t="array" ref="H445">SUM</f>
        <v>#NAME?</v>
      </c>
      <c r="I445" s="1" t="e">
        <f t="array" ref="I445">SUM</f>
        <v>#NAME?</v>
      </c>
      <c r="J445" s="1" t="e">
        <f t="array" ref="J445">SUM</f>
        <v>#NAME?</v>
      </c>
      <c r="K445" s="1" t="e">
        <f t="array" ref="K445">SUM</f>
        <v>#NAME?</v>
      </c>
      <c r="L445" s="1" t="e">
        <f t="array" ref="L445">SUM</f>
        <v>#NAME?</v>
      </c>
      <c r="M445" s="1" t="e">
        <f t="array" ref="M445">SUM</f>
        <v>#NAME?</v>
      </c>
      <c r="N445" s="1" t="e">
        <f t="array" ref="N445">SUM</f>
        <v>#NAME?</v>
      </c>
      <c r="O445" t="s">
        <v>20</v>
      </c>
      <c r="P445">
        <v>2021</v>
      </c>
    </row>
    <row r="446" spans="1:16" x14ac:dyDescent="0.25">
      <c r="A446" t="s">
        <v>16</v>
      </c>
      <c r="B446" s="1" t="e">
        <f t="array" ref="B446">SUM</f>
        <v>#NAME?</v>
      </c>
      <c r="C446" s="1" t="e">
        <f t="array" ref="C446">SUM</f>
        <v>#NAME?</v>
      </c>
      <c r="D446" s="1" t="e">
        <f t="array" ref="D446">SUM</f>
        <v>#NAME?</v>
      </c>
      <c r="E446" s="1" t="e">
        <f t="array" ref="E446">SUM</f>
        <v>#NAME?</v>
      </c>
      <c r="F446" s="1" t="e">
        <f t="array" ref="F446">SUM</f>
        <v>#NAME?</v>
      </c>
      <c r="G446" s="1" t="e">
        <f t="array" ref="G446">SUM</f>
        <v>#NAME?</v>
      </c>
      <c r="H446" s="1" t="e">
        <f t="array" ref="H446">SUM</f>
        <v>#NAME?</v>
      </c>
      <c r="I446" s="1" t="e">
        <f t="array" ref="I446">SUM</f>
        <v>#NAME?</v>
      </c>
      <c r="J446" s="1" t="e">
        <f t="array" ref="J446">SUM</f>
        <v>#NAME?</v>
      </c>
      <c r="K446" s="1" t="e">
        <f t="array" ref="K446">SUM</f>
        <v>#NAME?</v>
      </c>
      <c r="L446" s="1" t="e">
        <f t="array" ref="L446">SUM</f>
        <v>#NAME?</v>
      </c>
      <c r="M446" s="1" t="e">
        <f t="array" ref="M446">SUM</f>
        <v>#NAME?</v>
      </c>
      <c r="N446" s="1" t="e">
        <f t="array" ref="N446">SUM</f>
        <v>#NAME?</v>
      </c>
      <c r="O446" t="s">
        <v>21</v>
      </c>
      <c r="P446">
        <v>2021</v>
      </c>
    </row>
    <row r="447" spans="1:16" x14ac:dyDescent="0.25">
      <c r="A447" t="s">
        <v>16</v>
      </c>
      <c r="B447" s="1" t="e">
        <f t="array" ref="B447">SUM</f>
        <v>#NAME?</v>
      </c>
      <c r="C447" s="1" t="e">
        <f t="array" ref="C447">SUM</f>
        <v>#NAME?</v>
      </c>
      <c r="D447" s="1" t="e">
        <f t="array" ref="D447">SUM</f>
        <v>#NAME?</v>
      </c>
      <c r="E447" s="1" t="e">
        <f t="array" ref="E447">SUM</f>
        <v>#NAME?</v>
      </c>
      <c r="F447" s="1" t="e">
        <f t="array" ref="F447">SUM</f>
        <v>#NAME?</v>
      </c>
      <c r="G447" s="1" t="e">
        <f t="array" ref="G447">SUM</f>
        <v>#NAME?</v>
      </c>
      <c r="H447" s="1" t="e">
        <f t="array" ref="H447">SUM</f>
        <v>#NAME?</v>
      </c>
      <c r="I447" s="1" t="e">
        <f t="array" ref="I447">SUM</f>
        <v>#NAME?</v>
      </c>
      <c r="J447" s="1" t="e">
        <f t="array" ref="J447">SUM</f>
        <v>#NAME?</v>
      </c>
      <c r="K447" s="1" t="e">
        <f t="array" ref="K447">SUM</f>
        <v>#NAME?</v>
      </c>
      <c r="L447" s="1" t="e">
        <f t="array" ref="L447">SUM</f>
        <v>#NAME?</v>
      </c>
      <c r="M447" s="1" t="e">
        <f t="array" ref="M447">SUM</f>
        <v>#NAME?</v>
      </c>
      <c r="N447" s="1" t="e">
        <f t="array" ref="N447">SUM</f>
        <v>#NAME?</v>
      </c>
      <c r="O447" t="s">
        <v>19</v>
      </c>
      <c r="P447">
        <v>2021</v>
      </c>
    </row>
    <row r="448" spans="1:16" x14ac:dyDescent="0.25">
      <c r="A448" t="s">
        <v>16</v>
      </c>
      <c r="B448" s="1" t="e">
        <f t="array" ref="B448">SUM</f>
        <v>#NAME?</v>
      </c>
      <c r="C448" s="1" t="e">
        <f t="array" ref="C448">SUM</f>
        <v>#NAME?</v>
      </c>
      <c r="D448" s="1" t="e">
        <f t="array" ref="D448">SUM</f>
        <v>#NAME?</v>
      </c>
      <c r="E448" s="1" t="e">
        <f t="array" ref="E448">SUM</f>
        <v>#NAME?</v>
      </c>
      <c r="F448" s="1" t="e">
        <f t="array" ref="F448">SUM</f>
        <v>#NAME?</v>
      </c>
      <c r="G448" s="1" t="e">
        <f t="array" ref="G448">SUM</f>
        <v>#NAME?</v>
      </c>
      <c r="H448" s="1" t="e">
        <f t="array" ref="H448">SUM</f>
        <v>#NAME?</v>
      </c>
      <c r="I448" s="1" t="e">
        <f t="array" ref="I448">SUM</f>
        <v>#NAME?</v>
      </c>
      <c r="J448" s="1" t="e">
        <f t="array" ref="J448">SUM</f>
        <v>#NAME?</v>
      </c>
      <c r="K448" s="1" t="e">
        <f t="array" ref="K448">SUM</f>
        <v>#NAME?</v>
      </c>
      <c r="L448" s="1" t="e">
        <f t="array" ref="L448">SUM</f>
        <v>#NAME?</v>
      </c>
      <c r="M448" s="1" t="e">
        <f t="array" ref="M448">SUM</f>
        <v>#NAME?</v>
      </c>
      <c r="N448" s="1" t="e">
        <f t="array" ref="N448">SUM</f>
        <v>#NAME?</v>
      </c>
      <c r="O448" t="s">
        <v>28</v>
      </c>
      <c r="P448">
        <v>2021</v>
      </c>
    </row>
    <row r="449" spans="1:16" x14ac:dyDescent="0.25">
      <c r="A449" t="s">
        <v>22</v>
      </c>
      <c r="B449" s="1" t="e">
        <f t="array" ref="B449">SUM</f>
        <v>#NAME?</v>
      </c>
      <c r="C449" s="1" t="e">
        <f t="array" ref="C449">SUM</f>
        <v>#NAME?</v>
      </c>
      <c r="D449" s="1" t="e">
        <f t="array" ref="D449">SUM</f>
        <v>#NAME?</v>
      </c>
      <c r="E449" s="1" t="e">
        <f t="array" ref="E449">SUM</f>
        <v>#NAME?</v>
      </c>
      <c r="F449" s="1" t="e">
        <f t="array" ref="F449">SUM</f>
        <v>#NAME?</v>
      </c>
      <c r="G449" s="1" t="e">
        <f t="array" ref="G449">SUM</f>
        <v>#NAME?</v>
      </c>
      <c r="H449" s="1" t="e">
        <f t="array" ref="H449">SUM</f>
        <v>#NAME?</v>
      </c>
      <c r="I449" s="1" t="e">
        <f t="array" ref="I449">SUM</f>
        <v>#NAME?</v>
      </c>
      <c r="J449" s="1" t="e">
        <f t="array" ref="J449">SUM</f>
        <v>#NAME?</v>
      </c>
      <c r="K449" s="1" t="e">
        <f t="array" ref="K449">SUM</f>
        <v>#NAME?</v>
      </c>
      <c r="L449" s="1" t="e">
        <f t="array" ref="L449">SUM</f>
        <v>#NAME?</v>
      </c>
      <c r="M449" s="1" t="e">
        <f t="array" ref="M449">SUM</f>
        <v>#NAME?</v>
      </c>
      <c r="N449" s="1" t="e">
        <f t="array" ref="N449">SUM</f>
        <v>#NAME?</v>
      </c>
      <c r="O449" t="s">
        <v>21</v>
      </c>
      <c r="P449">
        <v>2021</v>
      </c>
    </row>
    <row r="450" spans="1:16" x14ac:dyDescent="0.25">
      <c r="A450" t="s">
        <v>18</v>
      </c>
      <c r="B450" s="1" t="e">
        <f t="array" ref="B450">SUM</f>
        <v>#NAME?</v>
      </c>
      <c r="C450" s="1" t="e">
        <f t="array" ref="C450">SUM</f>
        <v>#NAME?</v>
      </c>
      <c r="D450" s="1" t="e">
        <f t="array" ref="D450">SUM</f>
        <v>#NAME?</v>
      </c>
      <c r="E450" s="1" t="e">
        <f t="array" ref="E450">SUM</f>
        <v>#NAME?</v>
      </c>
      <c r="F450" s="1" t="e">
        <f t="array" ref="F450">SUM</f>
        <v>#NAME?</v>
      </c>
      <c r="G450" s="1" t="e">
        <f t="array" ref="G450">SUM</f>
        <v>#NAME?</v>
      </c>
      <c r="H450" s="1" t="e">
        <f t="array" ref="H450">SUM</f>
        <v>#NAME?</v>
      </c>
      <c r="I450" s="1" t="e">
        <f t="array" ref="I450">SUM</f>
        <v>#NAME?</v>
      </c>
      <c r="J450" s="1" t="e">
        <f t="array" ref="J450">SUM</f>
        <v>#NAME?</v>
      </c>
      <c r="K450" s="1" t="e">
        <f t="array" ref="K450">SUM</f>
        <v>#NAME?</v>
      </c>
      <c r="L450" s="1" t="e">
        <f t="array" ref="L450">SUM</f>
        <v>#NAME?</v>
      </c>
      <c r="M450" s="1" t="e">
        <f t="array" ref="M450">SUM</f>
        <v>#NAME?</v>
      </c>
      <c r="N450" s="1" t="e">
        <f t="array" ref="N450">SUM</f>
        <v>#NAME?</v>
      </c>
      <c r="O450" t="s">
        <v>31</v>
      </c>
      <c r="P450">
        <v>2021</v>
      </c>
    </row>
    <row r="451" spans="1:16" x14ac:dyDescent="0.25">
      <c r="A451" t="s">
        <v>16</v>
      </c>
      <c r="B451" s="1" t="e">
        <f t="array" ref="B451">SUM</f>
        <v>#NAME?</v>
      </c>
      <c r="C451" s="1" t="e">
        <f t="array" ref="C451">SUM</f>
        <v>#NAME?</v>
      </c>
      <c r="D451" s="1" t="e">
        <f t="array" ref="D451">SUM</f>
        <v>#NAME?</v>
      </c>
      <c r="E451" s="1" t="e">
        <f t="array" ref="E451">SUM</f>
        <v>#NAME?</v>
      </c>
      <c r="F451" s="1" t="e">
        <f t="array" ref="F451">SUM</f>
        <v>#NAME?</v>
      </c>
      <c r="G451" s="1" t="e">
        <f t="array" ref="G451">SUM</f>
        <v>#NAME?</v>
      </c>
      <c r="H451" s="1" t="e">
        <f t="array" ref="H451">SUM</f>
        <v>#NAME?</v>
      </c>
      <c r="I451" s="1" t="e">
        <f t="array" ref="I451">SUM</f>
        <v>#NAME?</v>
      </c>
      <c r="J451" s="1" t="e">
        <f t="array" ref="J451">SUM</f>
        <v>#NAME?</v>
      </c>
      <c r="K451" s="1" t="e">
        <f t="array" ref="K451">SUM</f>
        <v>#NAME?</v>
      </c>
      <c r="L451" s="1" t="e">
        <f t="array" ref="L451">SUM</f>
        <v>#NAME?</v>
      </c>
      <c r="M451" s="1" t="e">
        <f t="array" ref="M451">SUM</f>
        <v>#NAME?</v>
      </c>
      <c r="N451" s="1" t="e">
        <f t="array" ref="N451">SUM</f>
        <v>#NAME?</v>
      </c>
      <c r="O451" t="s">
        <v>28</v>
      </c>
      <c r="P451">
        <v>2021</v>
      </c>
    </row>
    <row r="452" spans="1:16" x14ac:dyDescent="0.25">
      <c r="A452" t="s">
        <v>16</v>
      </c>
      <c r="B452" s="1" t="e">
        <f t="array" ref="B452">SUM</f>
        <v>#NAME?</v>
      </c>
      <c r="C452" s="1" t="e">
        <f t="array" ref="C452">SUM</f>
        <v>#NAME?</v>
      </c>
      <c r="D452" s="1" t="e">
        <f t="array" ref="D452">SUM</f>
        <v>#NAME?</v>
      </c>
      <c r="E452" s="1" t="e">
        <f t="array" ref="E452">SUM</f>
        <v>#NAME?</v>
      </c>
      <c r="F452" s="1" t="e">
        <f t="array" ref="F452">SUM</f>
        <v>#NAME?</v>
      </c>
      <c r="G452" s="1" t="e">
        <f t="array" ref="G452">SUM</f>
        <v>#NAME?</v>
      </c>
      <c r="H452" s="1" t="e">
        <f t="array" ref="H452">SUM</f>
        <v>#NAME?</v>
      </c>
      <c r="I452" s="1" t="e">
        <f t="array" ref="I452">SUM</f>
        <v>#NAME?</v>
      </c>
      <c r="J452" s="1" t="e">
        <f t="array" ref="J452">SUM</f>
        <v>#NAME?</v>
      </c>
      <c r="K452" s="1" t="e">
        <f t="array" ref="K452">SUM</f>
        <v>#NAME?</v>
      </c>
      <c r="L452" s="1" t="e">
        <f t="array" ref="L452">SUM</f>
        <v>#NAME?</v>
      </c>
      <c r="M452" s="1" t="e">
        <f t="array" ref="M452">SUM</f>
        <v>#NAME?</v>
      </c>
      <c r="N452" s="1" t="e">
        <f t="array" ref="N452">SUM</f>
        <v>#NAME?</v>
      </c>
      <c r="O452" t="s">
        <v>30</v>
      </c>
      <c r="P452">
        <v>2021</v>
      </c>
    </row>
    <row r="453" spans="1:16" x14ac:dyDescent="0.25">
      <c r="A453" t="s">
        <v>16</v>
      </c>
      <c r="B453" s="1" t="e">
        <f t="array" ref="B453">SUM</f>
        <v>#NAME?</v>
      </c>
      <c r="C453" s="1" t="e">
        <f t="array" ref="C453">SUM</f>
        <v>#NAME?</v>
      </c>
      <c r="D453" s="1" t="e">
        <f t="array" ref="D453">SUM</f>
        <v>#NAME?</v>
      </c>
      <c r="E453" s="1" t="e">
        <f t="array" ref="E453">SUM</f>
        <v>#NAME?</v>
      </c>
      <c r="F453" s="1" t="e">
        <f t="array" ref="F453">SUM</f>
        <v>#NAME?</v>
      </c>
      <c r="G453" s="1" t="e">
        <f t="array" ref="G453">SUM</f>
        <v>#NAME?</v>
      </c>
      <c r="H453" s="1" t="e">
        <f t="array" ref="H453">SUM</f>
        <v>#NAME?</v>
      </c>
      <c r="I453" s="1" t="e">
        <f t="array" ref="I453">SUM</f>
        <v>#NAME?</v>
      </c>
      <c r="J453" s="1" t="e">
        <f t="array" ref="J453">SUM</f>
        <v>#NAME?</v>
      </c>
      <c r="K453" s="1" t="e">
        <f t="array" ref="K453">SUM</f>
        <v>#NAME?</v>
      </c>
      <c r="L453" s="1" t="e">
        <f t="array" ref="L453">SUM</f>
        <v>#NAME?</v>
      </c>
      <c r="M453" s="1" t="e">
        <f t="array" ref="M453">SUM</f>
        <v>#NAME?</v>
      </c>
      <c r="N453" s="1" t="e">
        <f t="array" ref="N453">SUM</f>
        <v>#NAME?</v>
      </c>
      <c r="O453" t="s">
        <v>20</v>
      </c>
      <c r="P453">
        <v>2021</v>
      </c>
    </row>
    <row r="454" spans="1:16" x14ac:dyDescent="0.25">
      <c r="A454" t="s">
        <v>16</v>
      </c>
      <c r="B454" s="1" t="e">
        <f t="array" ref="B454">SUM</f>
        <v>#NAME?</v>
      </c>
      <c r="C454" s="1" t="e">
        <f t="array" ref="C454">SUM</f>
        <v>#NAME?</v>
      </c>
      <c r="D454" s="1" t="e">
        <f t="array" ref="D454">SUM</f>
        <v>#NAME?</v>
      </c>
      <c r="E454" s="1" t="e">
        <f t="array" ref="E454">SUM</f>
        <v>#NAME?</v>
      </c>
      <c r="F454" s="1" t="e">
        <f t="array" ref="F454">SUM</f>
        <v>#NAME?</v>
      </c>
      <c r="G454" s="1" t="e">
        <f t="array" ref="G454">SUM</f>
        <v>#NAME?</v>
      </c>
      <c r="H454" s="1" t="e">
        <f t="array" ref="H454">SUM</f>
        <v>#NAME?</v>
      </c>
      <c r="I454" s="1" t="e">
        <f t="array" ref="I454">SUM</f>
        <v>#NAME?</v>
      </c>
      <c r="J454" s="1" t="e">
        <f t="array" ref="J454">SUM</f>
        <v>#NAME?</v>
      </c>
      <c r="K454" s="1" t="e">
        <f t="array" ref="K454">SUM</f>
        <v>#NAME?</v>
      </c>
      <c r="L454" s="1" t="e">
        <f t="array" ref="L454">SUM</f>
        <v>#NAME?</v>
      </c>
      <c r="M454" s="1" t="e">
        <f t="array" ref="M454">SUM</f>
        <v>#NAME?</v>
      </c>
      <c r="N454" s="1" t="e">
        <f t="array" ref="N454">SUM</f>
        <v>#NAME?</v>
      </c>
      <c r="O454" t="s">
        <v>19</v>
      </c>
      <c r="P454">
        <v>2021</v>
      </c>
    </row>
    <row r="455" spans="1:16" x14ac:dyDescent="0.25">
      <c r="A455" t="s">
        <v>18</v>
      </c>
      <c r="B455" s="1" t="e">
        <f t="array" ref="B455">SUM</f>
        <v>#NAME?</v>
      </c>
      <c r="C455" s="1" t="e">
        <f t="array" ref="C455">SUM</f>
        <v>#NAME?</v>
      </c>
      <c r="D455" s="1" t="e">
        <f t="array" ref="D455">SUM</f>
        <v>#NAME?</v>
      </c>
      <c r="E455" s="1" t="e">
        <f t="array" ref="E455">SUM</f>
        <v>#NAME?</v>
      </c>
      <c r="F455" s="1" t="e">
        <f t="array" ref="F455">SUM</f>
        <v>#NAME?</v>
      </c>
      <c r="G455" s="1" t="e">
        <f t="array" ref="G455">SUM</f>
        <v>#NAME?</v>
      </c>
      <c r="H455" s="1" t="e">
        <f t="array" ref="H455">SUM</f>
        <v>#NAME?</v>
      </c>
      <c r="I455" s="1" t="e">
        <f t="array" ref="I455">SUM</f>
        <v>#NAME?</v>
      </c>
      <c r="J455" s="1" t="e">
        <f t="array" ref="J455">SUM</f>
        <v>#NAME?</v>
      </c>
      <c r="K455" s="1" t="e">
        <f t="array" ref="K455">SUM</f>
        <v>#NAME?</v>
      </c>
      <c r="L455" s="1" t="e">
        <f t="array" ref="L455">SUM</f>
        <v>#NAME?</v>
      </c>
      <c r="M455" s="1" t="e">
        <f t="array" ref="M455">SUM</f>
        <v>#NAME?</v>
      </c>
      <c r="N455" s="1" t="e">
        <f t="array" ref="N455">SUM</f>
        <v>#NAME?</v>
      </c>
      <c r="O455" t="s">
        <v>24</v>
      </c>
      <c r="P455">
        <v>2021</v>
      </c>
    </row>
    <row r="456" spans="1:16" x14ac:dyDescent="0.25">
      <c r="A456" t="s">
        <v>22</v>
      </c>
      <c r="B456" s="1" t="e">
        <f t="array" ref="B456">SUM</f>
        <v>#NAME?</v>
      </c>
      <c r="C456" s="1" t="e">
        <f t="array" ref="C456">SUM</f>
        <v>#NAME?</v>
      </c>
      <c r="D456" s="1" t="e">
        <f t="array" ref="D456">SUM</f>
        <v>#NAME?</v>
      </c>
      <c r="E456" s="1" t="e">
        <f t="array" ref="E456">SUM</f>
        <v>#NAME?</v>
      </c>
      <c r="F456" s="1" t="e">
        <f t="array" ref="F456">SUM</f>
        <v>#NAME?</v>
      </c>
      <c r="G456" s="1" t="e">
        <f t="array" ref="G456">SUM</f>
        <v>#NAME?</v>
      </c>
      <c r="H456" s="1" t="e">
        <f t="array" ref="H456">SUM</f>
        <v>#NAME?</v>
      </c>
      <c r="I456" s="1" t="e">
        <f t="array" ref="I456">SUM</f>
        <v>#NAME?</v>
      </c>
      <c r="J456" s="1" t="e">
        <f t="array" ref="J456">SUM</f>
        <v>#NAME?</v>
      </c>
      <c r="K456" s="1" t="e">
        <f t="array" ref="K456">SUM</f>
        <v>#NAME?</v>
      </c>
      <c r="L456" s="1" t="e">
        <f t="array" ref="L456">SUM</f>
        <v>#NAME?</v>
      </c>
      <c r="M456" s="1" t="e">
        <f t="array" ref="M456">SUM</f>
        <v>#NAME?</v>
      </c>
      <c r="N456" s="1" t="e">
        <f t="array" ref="N456">SUM</f>
        <v>#NAME?</v>
      </c>
      <c r="O456" t="s">
        <v>20</v>
      </c>
      <c r="P456">
        <v>2021</v>
      </c>
    </row>
    <row r="457" spans="1:16" x14ac:dyDescent="0.25">
      <c r="A457" t="s">
        <v>22</v>
      </c>
      <c r="B457" s="1" t="e">
        <f t="array" ref="B457">SUM</f>
        <v>#NAME?</v>
      </c>
      <c r="C457" s="1" t="e">
        <f t="array" ref="C457">SUM</f>
        <v>#NAME?</v>
      </c>
      <c r="D457" s="1" t="e">
        <f t="array" ref="D457">SUM</f>
        <v>#NAME?</v>
      </c>
      <c r="E457" s="1" t="e">
        <f t="array" ref="E457">SUM</f>
        <v>#NAME?</v>
      </c>
      <c r="F457" s="1" t="e">
        <f t="array" ref="F457">SUM</f>
        <v>#NAME?</v>
      </c>
      <c r="G457" s="1" t="e">
        <f t="array" ref="G457">SUM</f>
        <v>#NAME?</v>
      </c>
      <c r="H457" s="1" t="e">
        <f t="array" ref="H457">SUM</f>
        <v>#NAME?</v>
      </c>
      <c r="I457" s="1" t="e">
        <f t="array" ref="I457">SUM</f>
        <v>#NAME?</v>
      </c>
      <c r="J457" s="1" t="e">
        <f t="array" ref="J457">SUM</f>
        <v>#NAME?</v>
      </c>
      <c r="K457" s="1" t="e">
        <f t="array" ref="K457">SUM</f>
        <v>#NAME?</v>
      </c>
      <c r="L457" s="1" t="e">
        <f t="array" ref="L457">SUM</f>
        <v>#NAME?</v>
      </c>
      <c r="M457" s="1" t="e">
        <f t="array" ref="M457">SUM</f>
        <v>#NAME?</v>
      </c>
      <c r="N457" s="1" t="e">
        <f t="array" ref="N457">SUM</f>
        <v>#NAME?</v>
      </c>
      <c r="O457" t="s">
        <v>28</v>
      </c>
      <c r="P457">
        <v>2021</v>
      </c>
    </row>
    <row r="458" spans="1:16" x14ac:dyDescent="0.25">
      <c r="A458" t="s">
        <v>16</v>
      </c>
      <c r="B458" s="1" t="e">
        <f t="array" ref="B458">SUM</f>
        <v>#NAME?</v>
      </c>
      <c r="C458" s="1" t="e">
        <f t="array" ref="C458">SUM</f>
        <v>#NAME?</v>
      </c>
      <c r="D458" s="1" t="e">
        <f t="array" ref="D458">SUM</f>
        <v>#NAME?</v>
      </c>
      <c r="E458" s="1" t="e">
        <f t="array" ref="E458">SUM</f>
        <v>#NAME?</v>
      </c>
      <c r="F458" s="1" t="e">
        <f t="array" ref="F458">SUM</f>
        <v>#NAME?</v>
      </c>
      <c r="G458" s="1" t="e">
        <f t="array" ref="G458">SUM</f>
        <v>#NAME?</v>
      </c>
      <c r="H458" s="1" t="e">
        <f t="array" ref="H458">SUM</f>
        <v>#NAME?</v>
      </c>
      <c r="I458" s="1" t="e">
        <f t="array" ref="I458">SUM</f>
        <v>#NAME?</v>
      </c>
      <c r="J458" s="1" t="e">
        <f t="array" ref="J458">SUM</f>
        <v>#NAME?</v>
      </c>
      <c r="K458" s="1" t="e">
        <f t="array" ref="K458">SUM</f>
        <v>#NAME?</v>
      </c>
      <c r="L458" s="1" t="e">
        <f t="array" ref="L458">SUM</f>
        <v>#NAME?</v>
      </c>
      <c r="M458" s="1" t="e">
        <f t="array" ref="M458">SUM</f>
        <v>#NAME?</v>
      </c>
      <c r="N458" s="1" t="e">
        <f t="array" ref="N458">SUM</f>
        <v>#NAME?</v>
      </c>
      <c r="O458" t="s">
        <v>27</v>
      </c>
      <c r="P458">
        <v>2021</v>
      </c>
    </row>
    <row r="459" spans="1:16" x14ac:dyDescent="0.25">
      <c r="A459" t="s">
        <v>22</v>
      </c>
      <c r="B459" s="1" t="e">
        <f t="array" ref="B459">SUM</f>
        <v>#NAME?</v>
      </c>
      <c r="C459" s="1" t="e">
        <f t="array" ref="C459">SUM</f>
        <v>#NAME?</v>
      </c>
      <c r="D459" s="1" t="e">
        <f t="array" ref="D459">SUM</f>
        <v>#NAME?</v>
      </c>
      <c r="E459" s="1" t="e">
        <f t="array" ref="E459">SUM</f>
        <v>#NAME?</v>
      </c>
      <c r="F459" s="1" t="e">
        <f t="array" ref="F459">SUM</f>
        <v>#NAME?</v>
      </c>
      <c r="G459" s="1" t="e">
        <f t="array" ref="G459">SUM</f>
        <v>#NAME?</v>
      </c>
      <c r="H459" s="1" t="e">
        <f t="array" ref="H459">SUM</f>
        <v>#NAME?</v>
      </c>
      <c r="I459" s="1" t="e">
        <f t="array" ref="I459">SUM</f>
        <v>#NAME?</v>
      </c>
      <c r="J459" s="1" t="e">
        <f t="array" ref="J459">SUM</f>
        <v>#NAME?</v>
      </c>
      <c r="K459" s="1" t="e">
        <f t="array" ref="K459">SUM</f>
        <v>#NAME?</v>
      </c>
      <c r="L459" s="1" t="e">
        <f t="array" ref="L459">SUM</f>
        <v>#NAME?</v>
      </c>
      <c r="M459" s="1" t="e">
        <f t="array" ref="M459">SUM</f>
        <v>#NAME?</v>
      </c>
      <c r="N459" s="1" t="e">
        <f t="array" ref="N459">SUM</f>
        <v>#NAME?</v>
      </c>
      <c r="O459" t="s">
        <v>28</v>
      </c>
      <c r="P459">
        <v>2021</v>
      </c>
    </row>
    <row r="460" spans="1:16" x14ac:dyDescent="0.25">
      <c r="A460" t="s">
        <v>23</v>
      </c>
      <c r="B460" s="1" t="e">
        <f t="array" ref="B460">SUM</f>
        <v>#NAME?</v>
      </c>
      <c r="C460" s="1" t="e">
        <f t="array" ref="C460">SUM</f>
        <v>#NAME?</v>
      </c>
      <c r="D460" s="1" t="e">
        <f t="array" ref="D460">SUM</f>
        <v>#NAME?</v>
      </c>
      <c r="E460" s="1" t="e">
        <f t="array" ref="E460">SUM</f>
        <v>#NAME?</v>
      </c>
      <c r="F460" s="1" t="e">
        <f t="array" ref="F460">SUM</f>
        <v>#NAME?</v>
      </c>
      <c r="G460" s="1" t="e">
        <f t="array" ref="G460">SUM</f>
        <v>#NAME?</v>
      </c>
      <c r="H460" s="1" t="e">
        <f t="array" ref="H460">SUM</f>
        <v>#NAME?</v>
      </c>
      <c r="I460" s="1" t="e">
        <f t="array" ref="I460">SUM</f>
        <v>#NAME?</v>
      </c>
      <c r="J460" s="1" t="e">
        <f t="array" ref="J460">SUM</f>
        <v>#NAME?</v>
      </c>
      <c r="K460" s="1" t="e">
        <f t="array" ref="K460">SUM</f>
        <v>#NAME?</v>
      </c>
      <c r="L460" s="1" t="e">
        <f t="array" ref="L460">SUM</f>
        <v>#NAME?</v>
      </c>
      <c r="M460" s="1" t="e">
        <f t="array" ref="M460">SUM</f>
        <v>#NAME?</v>
      </c>
      <c r="N460" s="1" t="e">
        <f t="array" ref="N460">SUM</f>
        <v>#NAME?</v>
      </c>
      <c r="O460" t="s">
        <v>31</v>
      </c>
      <c r="P460">
        <v>2021</v>
      </c>
    </row>
    <row r="461" spans="1:16" x14ac:dyDescent="0.25">
      <c r="A461" t="s">
        <v>23</v>
      </c>
      <c r="B461" s="1" t="e">
        <f t="array" ref="B461">SUM</f>
        <v>#NAME?</v>
      </c>
      <c r="C461" s="1" t="e">
        <f t="array" ref="C461">SUM</f>
        <v>#NAME?</v>
      </c>
      <c r="D461" s="1" t="e">
        <f t="array" ref="D461">SUM</f>
        <v>#NAME?</v>
      </c>
      <c r="E461" s="1" t="e">
        <f t="array" ref="E461">SUM</f>
        <v>#NAME?</v>
      </c>
      <c r="F461" s="1" t="e">
        <f t="array" ref="F461">SUM</f>
        <v>#NAME?</v>
      </c>
      <c r="G461" s="1" t="e">
        <f t="array" ref="G461">SUM</f>
        <v>#NAME?</v>
      </c>
      <c r="H461" s="1" t="e">
        <f t="array" ref="H461">SUM</f>
        <v>#NAME?</v>
      </c>
      <c r="I461" s="1" t="e">
        <f t="array" ref="I461">SUM</f>
        <v>#NAME?</v>
      </c>
      <c r="J461" s="1" t="e">
        <f t="array" ref="J461">SUM</f>
        <v>#NAME?</v>
      </c>
      <c r="K461" s="1" t="e">
        <f t="array" ref="K461">SUM</f>
        <v>#NAME?</v>
      </c>
      <c r="L461" s="1" t="e">
        <f t="array" ref="L461">SUM</f>
        <v>#NAME?</v>
      </c>
      <c r="M461" s="1" t="e">
        <f t="array" ref="M461">SUM</f>
        <v>#NAME?</v>
      </c>
      <c r="N461" s="1" t="e">
        <f t="array" ref="N461">SUM</f>
        <v>#NAME?</v>
      </c>
      <c r="O461" t="s">
        <v>20</v>
      </c>
      <c r="P461">
        <v>2021</v>
      </c>
    </row>
    <row r="462" spans="1:16" x14ac:dyDescent="0.25">
      <c r="A462" t="s">
        <v>16</v>
      </c>
      <c r="B462" s="1" t="e">
        <f t="array" ref="B462">SUM</f>
        <v>#NAME?</v>
      </c>
      <c r="C462" s="1" t="e">
        <f t="array" ref="C462">SUM</f>
        <v>#NAME?</v>
      </c>
      <c r="D462" s="1" t="e">
        <f t="array" ref="D462">SUM</f>
        <v>#NAME?</v>
      </c>
      <c r="E462" s="1" t="e">
        <f t="array" ref="E462">SUM</f>
        <v>#NAME?</v>
      </c>
      <c r="F462" s="1" t="e">
        <f t="array" ref="F462">SUM</f>
        <v>#NAME?</v>
      </c>
      <c r="G462" s="1" t="e">
        <f t="array" ref="G462">SUM</f>
        <v>#NAME?</v>
      </c>
      <c r="H462" s="1" t="e">
        <f t="array" ref="H462">SUM</f>
        <v>#NAME?</v>
      </c>
      <c r="I462" s="1" t="e">
        <f t="array" ref="I462">SUM</f>
        <v>#NAME?</v>
      </c>
      <c r="J462" s="1" t="e">
        <f t="array" ref="J462">SUM</f>
        <v>#NAME?</v>
      </c>
      <c r="K462" s="1" t="e">
        <f t="array" ref="K462">SUM</f>
        <v>#NAME?</v>
      </c>
      <c r="L462" s="1" t="e">
        <f t="array" ref="L462">SUM</f>
        <v>#NAME?</v>
      </c>
      <c r="M462" s="1" t="e">
        <f t="array" ref="M462">SUM</f>
        <v>#NAME?</v>
      </c>
      <c r="N462" s="1" t="e">
        <f t="array" ref="N462">SUM</f>
        <v>#NAME?</v>
      </c>
      <c r="O462" t="s">
        <v>32</v>
      </c>
      <c r="P462">
        <v>2021</v>
      </c>
    </row>
    <row r="463" spans="1:16" x14ac:dyDescent="0.25">
      <c r="A463" t="s">
        <v>23</v>
      </c>
      <c r="B463" s="1" t="e">
        <f t="array" ref="B463">SUM</f>
        <v>#NAME?</v>
      </c>
      <c r="C463" s="1" t="e">
        <f t="array" ref="C463">SUM</f>
        <v>#NAME?</v>
      </c>
      <c r="D463" s="1" t="e">
        <f t="array" ref="D463">SUM</f>
        <v>#NAME?</v>
      </c>
      <c r="E463" s="1" t="e">
        <f t="array" ref="E463">SUM</f>
        <v>#NAME?</v>
      </c>
      <c r="F463" s="1" t="e">
        <f t="array" ref="F463">SUM</f>
        <v>#NAME?</v>
      </c>
      <c r="G463" s="1" t="e">
        <f t="array" ref="G463">SUM</f>
        <v>#NAME?</v>
      </c>
      <c r="H463" s="1" t="e">
        <f t="array" ref="H463">SUM</f>
        <v>#NAME?</v>
      </c>
      <c r="I463" s="1" t="e">
        <f t="array" ref="I463">SUM</f>
        <v>#NAME?</v>
      </c>
      <c r="J463" s="1" t="e">
        <f t="array" ref="J463">SUM</f>
        <v>#NAME?</v>
      </c>
      <c r="K463" s="1" t="e">
        <f t="array" ref="K463">SUM</f>
        <v>#NAME?</v>
      </c>
      <c r="L463" s="1" t="e">
        <f t="array" ref="L463">SUM</f>
        <v>#NAME?</v>
      </c>
      <c r="M463" s="1" t="e">
        <f t="array" ref="M463">SUM</f>
        <v>#NAME?</v>
      </c>
      <c r="N463" s="1" t="e">
        <f t="array" ref="N463">SUM</f>
        <v>#NAME?</v>
      </c>
      <c r="O463" t="s">
        <v>30</v>
      </c>
      <c r="P463">
        <v>2021</v>
      </c>
    </row>
    <row r="464" spans="1:16" x14ac:dyDescent="0.25">
      <c r="A464" t="s">
        <v>18</v>
      </c>
      <c r="B464" s="1" t="e">
        <f t="array" ref="B464">SUM</f>
        <v>#NAME?</v>
      </c>
      <c r="C464" s="1" t="e">
        <f t="array" ref="C464">SUM</f>
        <v>#NAME?</v>
      </c>
      <c r="D464" s="1" t="e">
        <f t="array" ref="D464">SUM</f>
        <v>#NAME?</v>
      </c>
      <c r="E464" s="1" t="e">
        <f t="array" ref="E464">SUM</f>
        <v>#NAME?</v>
      </c>
      <c r="F464" s="1" t="e">
        <f t="array" ref="F464">SUM</f>
        <v>#NAME?</v>
      </c>
      <c r="G464" s="1" t="e">
        <f t="array" ref="G464">SUM</f>
        <v>#NAME?</v>
      </c>
      <c r="H464" s="1" t="e">
        <f t="array" ref="H464">SUM</f>
        <v>#NAME?</v>
      </c>
      <c r="I464" s="1" t="e">
        <f t="array" ref="I464">SUM</f>
        <v>#NAME?</v>
      </c>
      <c r="J464" s="1" t="e">
        <f t="array" ref="J464">SUM</f>
        <v>#NAME?</v>
      </c>
      <c r="K464" s="1" t="e">
        <f t="array" ref="K464">SUM</f>
        <v>#NAME?</v>
      </c>
      <c r="L464" s="1" t="e">
        <f t="array" ref="L464">SUM</f>
        <v>#NAME?</v>
      </c>
      <c r="M464" s="1" t="e">
        <f t="array" ref="M464">SUM</f>
        <v>#NAME?</v>
      </c>
      <c r="N464" s="1" t="e">
        <f t="array" ref="N464">SUM</f>
        <v>#NAME?</v>
      </c>
      <c r="O464" t="s">
        <v>20</v>
      </c>
      <c r="P464">
        <v>2021</v>
      </c>
    </row>
    <row r="465" spans="1:16" x14ac:dyDescent="0.25">
      <c r="A465" t="s">
        <v>16</v>
      </c>
      <c r="B465" s="1" t="e">
        <f t="array" ref="B465">SUM</f>
        <v>#NAME?</v>
      </c>
      <c r="C465" s="1" t="e">
        <f t="array" ref="C465">SUM</f>
        <v>#NAME?</v>
      </c>
      <c r="D465" s="1" t="e">
        <f t="array" ref="D465">SUM</f>
        <v>#NAME?</v>
      </c>
      <c r="E465" s="1" t="e">
        <f t="array" ref="E465">SUM</f>
        <v>#NAME?</v>
      </c>
      <c r="F465" s="1" t="e">
        <f t="array" ref="F465">SUM</f>
        <v>#NAME?</v>
      </c>
      <c r="G465" s="1" t="e">
        <f t="array" ref="G465">SUM</f>
        <v>#NAME?</v>
      </c>
      <c r="H465" s="1" t="e">
        <f t="array" ref="H465">SUM</f>
        <v>#NAME?</v>
      </c>
      <c r="I465" s="1" t="e">
        <f t="array" ref="I465">SUM</f>
        <v>#NAME?</v>
      </c>
      <c r="J465" s="1" t="e">
        <f t="array" ref="J465">SUM</f>
        <v>#NAME?</v>
      </c>
      <c r="K465" s="1" t="e">
        <f t="array" ref="K465">SUM</f>
        <v>#NAME?</v>
      </c>
      <c r="L465" s="1" t="e">
        <f t="array" ref="L465">SUM</f>
        <v>#NAME?</v>
      </c>
      <c r="M465" s="1" t="e">
        <f t="array" ref="M465">SUM</f>
        <v>#NAME?</v>
      </c>
      <c r="N465" s="1" t="e">
        <f t="array" ref="N465">SUM</f>
        <v>#NAME?</v>
      </c>
      <c r="O465" t="s">
        <v>21</v>
      </c>
      <c r="P465">
        <v>2021</v>
      </c>
    </row>
    <row r="466" spans="1:16" x14ac:dyDescent="0.25">
      <c r="A466" t="s">
        <v>25</v>
      </c>
      <c r="B466" s="1" t="e">
        <f t="array" ref="B466">SUM</f>
        <v>#NAME?</v>
      </c>
      <c r="C466" s="1" t="e">
        <f t="array" ref="C466">SUM</f>
        <v>#NAME?</v>
      </c>
      <c r="D466" s="1" t="e">
        <f t="array" ref="D466">SUM</f>
        <v>#NAME?</v>
      </c>
      <c r="E466" s="1" t="e">
        <f t="array" ref="E466">SUM</f>
        <v>#NAME?</v>
      </c>
      <c r="F466" s="1" t="e">
        <f t="array" ref="F466">SUM</f>
        <v>#NAME?</v>
      </c>
      <c r="G466" s="1" t="e">
        <f t="array" ref="G466">SUM</f>
        <v>#NAME?</v>
      </c>
      <c r="H466" s="1" t="e">
        <f t="array" ref="H466">SUM</f>
        <v>#NAME?</v>
      </c>
      <c r="I466" s="1" t="e">
        <f t="array" ref="I466">SUM</f>
        <v>#NAME?</v>
      </c>
      <c r="J466" s="1" t="e">
        <f t="array" ref="J466">SUM</f>
        <v>#NAME?</v>
      </c>
      <c r="K466" s="1" t="e">
        <f t="array" ref="K466">SUM</f>
        <v>#NAME?</v>
      </c>
      <c r="L466" s="1" t="e">
        <f t="array" ref="L466">SUM</f>
        <v>#NAME?</v>
      </c>
      <c r="M466" s="1" t="e">
        <f t="array" ref="M466">SUM</f>
        <v>#NAME?</v>
      </c>
      <c r="N466" s="1" t="e">
        <f t="array" ref="N466">SUM</f>
        <v>#NAME?</v>
      </c>
      <c r="O466" t="s">
        <v>32</v>
      </c>
      <c r="P466">
        <v>2021</v>
      </c>
    </row>
    <row r="467" spans="1:16" x14ac:dyDescent="0.25">
      <c r="A467" t="s">
        <v>18</v>
      </c>
      <c r="B467" s="1" t="e">
        <f t="array" ref="B467">SUM</f>
        <v>#NAME?</v>
      </c>
      <c r="C467" s="1" t="e">
        <f t="array" ref="C467">SUM</f>
        <v>#NAME?</v>
      </c>
      <c r="D467" s="1" t="e">
        <f t="array" ref="D467">SUM</f>
        <v>#NAME?</v>
      </c>
      <c r="E467" s="1" t="e">
        <f t="array" ref="E467">SUM</f>
        <v>#NAME?</v>
      </c>
      <c r="F467" s="1" t="e">
        <f t="array" ref="F467">SUM</f>
        <v>#NAME?</v>
      </c>
      <c r="G467" s="1" t="e">
        <f t="array" ref="G467">SUM</f>
        <v>#NAME?</v>
      </c>
      <c r="H467" s="1" t="e">
        <f t="array" ref="H467">SUM</f>
        <v>#NAME?</v>
      </c>
      <c r="I467" s="1" t="e">
        <f t="array" ref="I467">SUM</f>
        <v>#NAME?</v>
      </c>
      <c r="J467" s="1" t="e">
        <f t="array" ref="J467">SUM</f>
        <v>#NAME?</v>
      </c>
      <c r="K467" s="1" t="e">
        <f t="array" ref="K467">SUM</f>
        <v>#NAME?</v>
      </c>
      <c r="L467" s="1" t="e">
        <f t="array" ref="L467">SUM</f>
        <v>#NAME?</v>
      </c>
      <c r="M467" s="1" t="e">
        <f t="array" ref="M467">SUM</f>
        <v>#NAME?</v>
      </c>
      <c r="N467" s="1" t="e">
        <f t="array" ref="N467">SUM</f>
        <v>#NAME?</v>
      </c>
      <c r="O467" t="s">
        <v>28</v>
      </c>
      <c r="P467">
        <v>2021</v>
      </c>
    </row>
    <row r="468" spans="1:16" x14ac:dyDescent="0.25">
      <c r="A468" t="s">
        <v>16</v>
      </c>
      <c r="B468" s="1" t="e">
        <f t="array" ref="B468">SUM</f>
        <v>#NAME?</v>
      </c>
      <c r="C468" s="1" t="e">
        <f t="array" ref="C468">SUM</f>
        <v>#NAME?</v>
      </c>
      <c r="D468" s="1" t="e">
        <f t="array" ref="D468">SUM</f>
        <v>#NAME?</v>
      </c>
      <c r="E468" s="1" t="e">
        <f t="array" ref="E468">SUM</f>
        <v>#NAME?</v>
      </c>
      <c r="F468" s="1" t="e">
        <f t="array" ref="F468">SUM</f>
        <v>#NAME?</v>
      </c>
      <c r="G468" s="1" t="e">
        <f t="array" ref="G468">SUM</f>
        <v>#NAME?</v>
      </c>
      <c r="H468" s="1" t="e">
        <f t="array" ref="H468">SUM</f>
        <v>#NAME?</v>
      </c>
      <c r="I468" s="1" t="e">
        <f t="array" ref="I468">SUM</f>
        <v>#NAME?</v>
      </c>
      <c r="J468" s="1" t="e">
        <f t="array" ref="J468">SUM</f>
        <v>#NAME?</v>
      </c>
      <c r="K468" s="1" t="e">
        <f t="array" ref="K468">SUM</f>
        <v>#NAME?</v>
      </c>
      <c r="L468" s="1" t="e">
        <f t="array" ref="L468">SUM</f>
        <v>#NAME?</v>
      </c>
      <c r="M468" s="1" t="e">
        <f t="array" ref="M468">SUM</f>
        <v>#NAME?</v>
      </c>
      <c r="N468" s="1" t="e">
        <f t="array" ref="N468">SUM</f>
        <v>#NAME?</v>
      </c>
      <c r="O468" t="s">
        <v>28</v>
      </c>
      <c r="P468">
        <v>2021</v>
      </c>
    </row>
    <row r="469" spans="1:16" x14ac:dyDescent="0.25">
      <c r="A469" t="s">
        <v>18</v>
      </c>
      <c r="B469" s="1" t="e">
        <f t="array" ref="B469">SUM</f>
        <v>#NAME?</v>
      </c>
      <c r="C469" s="1" t="e">
        <f t="array" ref="C469">SUM</f>
        <v>#NAME?</v>
      </c>
      <c r="D469" s="1" t="e">
        <f t="array" ref="D469">SUM</f>
        <v>#NAME?</v>
      </c>
      <c r="E469" s="1" t="e">
        <f t="array" ref="E469">SUM</f>
        <v>#NAME?</v>
      </c>
      <c r="F469" s="1" t="e">
        <f t="array" ref="F469">SUM</f>
        <v>#NAME?</v>
      </c>
      <c r="G469" s="1" t="e">
        <f t="array" ref="G469">SUM</f>
        <v>#NAME?</v>
      </c>
      <c r="H469" s="1" t="e">
        <f t="array" ref="H469">SUM</f>
        <v>#NAME?</v>
      </c>
      <c r="I469" s="1" t="e">
        <f t="array" ref="I469">SUM</f>
        <v>#NAME?</v>
      </c>
      <c r="J469" s="1" t="e">
        <f t="array" ref="J469">SUM</f>
        <v>#NAME?</v>
      </c>
      <c r="K469" s="1" t="e">
        <f t="array" ref="K469">SUM</f>
        <v>#NAME?</v>
      </c>
      <c r="L469" s="1" t="e">
        <f t="array" ref="L469">SUM</f>
        <v>#NAME?</v>
      </c>
      <c r="M469" s="1" t="e">
        <f t="array" ref="M469">SUM</f>
        <v>#NAME?</v>
      </c>
      <c r="N469" s="1" t="e">
        <f t="array" ref="N469">SUM</f>
        <v>#NAME?</v>
      </c>
      <c r="O469" t="s">
        <v>17</v>
      </c>
      <c r="P469">
        <v>2021</v>
      </c>
    </row>
    <row r="470" spans="1:16" x14ac:dyDescent="0.25">
      <c r="A470" t="s">
        <v>18</v>
      </c>
      <c r="B470" s="1" t="e">
        <f t="array" ref="B470">SUM</f>
        <v>#NAME?</v>
      </c>
      <c r="C470" s="1" t="e">
        <f t="array" ref="C470">SUM</f>
        <v>#NAME?</v>
      </c>
      <c r="D470" s="1" t="e">
        <f t="array" ref="D470">SUM</f>
        <v>#NAME?</v>
      </c>
      <c r="E470" s="1" t="e">
        <f t="array" ref="E470">SUM</f>
        <v>#NAME?</v>
      </c>
      <c r="F470" s="1" t="e">
        <f t="array" ref="F470">SUM</f>
        <v>#NAME?</v>
      </c>
      <c r="G470" s="1" t="e">
        <f t="array" ref="G470">SUM</f>
        <v>#NAME?</v>
      </c>
      <c r="H470" s="1" t="e">
        <f t="array" ref="H470">SUM</f>
        <v>#NAME?</v>
      </c>
      <c r="I470" s="1" t="e">
        <f t="array" ref="I470">SUM</f>
        <v>#NAME?</v>
      </c>
      <c r="J470" s="1" t="e">
        <f t="array" ref="J470">SUM</f>
        <v>#NAME?</v>
      </c>
      <c r="K470" s="1" t="e">
        <f t="array" ref="K470">SUM</f>
        <v>#NAME?</v>
      </c>
      <c r="L470" s="1" t="e">
        <f t="array" ref="L470">SUM</f>
        <v>#NAME?</v>
      </c>
      <c r="M470" s="1" t="e">
        <f t="array" ref="M470">SUM</f>
        <v>#NAME?</v>
      </c>
      <c r="N470" s="1" t="e">
        <f t="array" ref="N470">SUM</f>
        <v>#NAME?</v>
      </c>
      <c r="O470" t="s">
        <v>31</v>
      </c>
      <c r="P470">
        <v>2021</v>
      </c>
    </row>
    <row r="471" spans="1:16" x14ac:dyDescent="0.25">
      <c r="A471" t="s">
        <v>18</v>
      </c>
      <c r="B471" s="1" t="e">
        <f t="array" ref="B471">SUM</f>
        <v>#NAME?</v>
      </c>
      <c r="C471" s="1" t="e">
        <f t="array" ref="C471">SUM</f>
        <v>#NAME?</v>
      </c>
      <c r="D471" s="1" t="e">
        <f t="array" ref="D471">SUM</f>
        <v>#NAME?</v>
      </c>
      <c r="E471" s="1" t="e">
        <f t="array" ref="E471">SUM</f>
        <v>#NAME?</v>
      </c>
      <c r="F471" s="1" t="e">
        <f t="array" ref="F471">SUM</f>
        <v>#NAME?</v>
      </c>
      <c r="G471" s="1" t="e">
        <f t="array" ref="G471">SUM</f>
        <v>#NAME?</v>
      </c>
      <c r="H471" s="1" t="e">
        <f t="array" ref="H471">SUM</f>
        <v>#NAME?</v>
      </c>
      <c r="I471" s="1" t="e">
        <f t="array" ref="I471">SUM</f>
        <v>#NAME?</v>
      </c>
      <c r="J471" s="1" t="e">
        <f t="array" ref="J471">SUM</f>
        <v>#NAME?</v>
      </c>
      <c r="K471" s="1" t="e">
        <f t="array" ref="K471">SUM</f>
        <v>#NAME?</v>
      </c>
      <c r="L471" s="1" t="e">
        <f t="array" ref="L471">SUM</f>
        <v>#NAME?</v>
      </c>
      <c r="M471" s="1" t="e">
        <f t="array" ref="M471">SUM</f>
        <v>#NAME?</v>
      </c>
      <c r="N471" s="1" t="e">
        <f t="array" ref="N471">SUM</f>
        <v>#NAME?</v>
      </c>
      <c r="O471" t="s">
        <v>32</v>
      </c>
      <c r="P471">
        <v>2021</v>
      </c>
    </row>
    <row r="472" spans="1:16" x14ac:dyDescent="0.25">
      <c r="A472" t="s">
        <v>16</v>
      </c>
      <c r="B472" s="1" t="e">
        <f t="array" ref="B472">SUM</f>
        <v>#NAME?</v>
      </c>
      <c r="C472" s="1" t="e">
        <f t="array" ref="C472">SUM</f>
        <v>#NAME?</v>
      </c>
      <c r="D472" s="1" t="e">
        <f t="array" ref="D472">SUM</f>
        <v>#NAME?</v>
      </c>
      <c r="E472" s="1" t="e">
        <f t="array" ref="E472">SUM</f>
        <v>#NAME?</v>
      </c>
      <c r="F472" s="1" t="e">
        <f t="array" ref="F472">SUM</f>
        <v>#NAME?</v>
      </c>
      <c r="G472" s="1" t="e">
        <f t="array" ref="G472">SUM</f>
        <v>#NAME?</v>
      </c>
      <c r="H472" s="1" t="e">
        <f t="array" ref="H472">SUM</f>
        <v>#NAME?</v>
      </c>
      <c r="I472" s="1" t="e">
        <f t="array" ref="I472">SUM</f>
        <v>#NAME?</v>
      </c>
      <c r="J472" s="1" t="e">
        <f t="array" ref="J472">SUM</f>
        <v>#NAME?</v>
      </c>
      <c r="K472" s="1" t="e">
        <f t="array" ref="K472">SUM</f>
        <v>#NAME?</v>
      </c>
      <c r="L472" s="1" t="e">
        <f t="array" ref="L472">SUM</f>
        <v>#NAME?</v>
      </c>
      <c r="M472" s="1" t="e">
        <f t="array" ref="M472">SUM</f>
        <v>#NAME?</v>
      </c>
      <c r="N472" s="1" t="e">
        <f t="array" ref="N472">SUM</f>
        <v>#NAME?</v>
      </c>
      <c r="O472" t="s">
        <v>24</v>
      </c>
      <c r="P472">
        <v>2021</v>
      </c>
    </row>
    <row r="473" spans="1:16" x14ac:dyDescent="0.25">
      <c r="A473" t="s">
        <v>23</v>
      </c>
      <c r="B473" s="1" t="e">
        <f t="array" ref="B473">SUM</f>
        <v>#NAME?</v>
      </c>
      <c r="C473" s="1" t="e">
        <f t="array" ref="C473">SUM</f>
        <v>#NAME?</v>
      </c>
      <c r="D473" s="1" t="e">
        <f t="array" ref="D473">SUM</f>
        <v>#NAME?</v>
      </c>
      <c r="E473" s="1" t="e">
        <f t="array" ref="E473">SUM</f>
        <v>#NAME?</v>
      </c>
      <c r="F473" s="1" t="e">
        <f t="array" ref="F473">SUM</f>
        <v>#NAME?</v>
      </c>
      <c r="G473" s="1" t="e">
        <f t="array" ref="G473">SUM</f>
        <v>#NAME?</v>
      </c>
      <c r="H473" s="1" t="e">
        <f t="array" ref="H473">SUM</f>
        <v>#NAME?</v>
      </c>
      <c r="I473" s="1" t="e">
        <f t="array" ref="I473">SUM</f>
        <v>#NAME?</v>
      </c>
      <c r="J473" s="1" t="e">
        <f t="array" ref="J473">SUM</f>
        <v>#NAME?</v>
      </c>
      <c r="K473" s="1" t="e">
        <f t="array" ref="K473">SUM</f>
        <v>#NAME?</v>
      </c>
      <c r="L473" s="1" t="e">
        <f t="array" ref="L473">SUM</f>
        <v>#NAME?</v>
      </c>
      <c r="M473" s="1" t="e">
        <f t="array" ref="M473">SUM</f>
        <v>#NAME?</v>
      </c>
      <c r="N473" s="1" t="e">
        <f t="array" ref="N473">SUM</f>
        <v>#NAME?</v>
      </c>
      <c r="O473" t="s">
        <v>27</v>
      </c>
      <c r="P473">
        <v>2021</v>
      </c>
    </row>
    <row r="474" spans="1:16" x14ac:dyDescent="0.25">
      <c r="A474" t="s">
        <v>25</v>
      </c>
      <c r="B474" s="1" t="e">
        <f t="array" ref="B474">SUM</f>
        <v>#NAME?</v>
      </c>
      <c r="C474" s="1" t="e">
        <f t="array" ref="C474">SUM</f>
        <v>#NAME?</v>
      </c>
      <c r="D474" s="1" t="e">
        <f t="array" ref="D474">SUM</f>
        <v>#NAME?</v>
      </c>
      <c r="E474" s="1" t="e">
        <f t="array" ref="E474">SUM</f>
        <v>#NAME?</v>
      </c>
      <c r="F474" s="1" t="e">
        <f t="array" ref="F474">SUM</f>
        <v>#NAME?</v>
      </c>
      <c r="G474" s="1" t="e">
        <f t="array" ref="G474">SUM</f>
        <v>#NAME?</v>
      </c>
      <c r="H474" s="1" t="e">
        <f t="array" ref="H474">SUM</f>
        <v>#NAME?</v>
      </c>
      <c r="I474" s="1" t="e">
        <f t="array" ref="I474">SUM</f>
        <v>#NAME?</v>
      </c>
      <c r="J474" s="1" t="e">
        <f t="array" ref="J474">SUM</f>
        <v>#NAME?</v>
      </c>
      <c r="K474" s="1" t="e">
        <f t="array" ref="K474">SUM</f>
        <v>#NAME?</v>
      </c>
      <c r="L474" s="1" t="e">
        <f t="array" ref="L474">SUM</f>
        <v>#NAME?</v>
      </c>
      <c r="M474" s="1" t="e">
        <f t="array" ref="M474">SUM</f>
        <v>#NAME?</v>
      </c>
      <c r="N474" s="1" t="e">
        <f t="array" ref="N474">SUM</f>
        <v>#NAME?</v>
      </c>
      <c r="O474" t="s">
        <v>28</v>
      </c>
      <c r="P474">
        <v>2021</v>
      </c>
    </row>
    <row r="475" spans="1:16" x14ac:dyDescent="0.25">
      <c r="A475" t="s">
        <v>16</v>
      </c>
      <c r="B475" s="1" t="e">
        <f t="array" ref="B475">SUM</f>
        <v>#NAME?</v>
      </c>
      <c r="C475" s="1" t="e">
        <f t="array" ref="C475">SUM</f>
        <v>#NAME?</v>
      </c>
      <c r="D475" s="1" t="e">
        <f t="array" ref="D475">SUM</f>
        <v>#NAME?</v>
      </c>
      <c r="E475" s="1" t="e">
        <f t="array" ref="E475">SUM</f>
        <v>#NAME?</v>
      </c>
      <c r="F475" s="1" t="e">
        <f t="array" ref="F475">SUM</f>
        <v>#NAME?</v>
      </c>
      <c r="G475" s="1" t="e">
        <f t="array" ref="G475">SUM</f>
        <v>#NAME?</v>
      </c>
      <c r="H475" s="1" t="e">
        <f t="array" ref="H475">SUM</f>
        <v>#NAME?</v>
      </c>
      <c r="I475" s="1" t="e">
        <f t="array" ref="I475">SUM</f>
        <v>#NAME?</v>
      </c>
      <c r="J475" s="1" t="e">
        <f t="array" ref="J475">SUM</f>
        <v>#NAME?</v>
      </c>
      <c r="K475" s="1" t="e">
        <f t="array" ref="K475">SUM</f>
        <v>#NAME?</v>
      </c>
      <c r="L475" s="1" t="e">
        <f t="array" ref="L475">SUM</f>
        <v>#NAME?</v>
      </c>
      <c r="M475" s="1" t="e">
        <f t="array" ref="M475">SUM</f>
        <v>#NAME?</v>
      </c>
      <c r="N475" s="1" t="e">
        <f t="array" ref="N475">SUM</f>
        <v>#NAME?</v>
      </c>
      <c r="O475" t="s">
        <v>28</v>
      </c>
      <c r="P475">
        <v>2021</v>
      </c>
    </row>
    <row r="476" spans="1:16" x14ac:dyDescent="0.25">
      <c r="A476" t="s">
        <v>16</v>
      </c>
      <c r="B476" s="1" t="e">
        <f t="array" ref="B476">SUM</f>
        <v>#NAME?</v>
      </c>
      <c r="C476" s="1" t="e">
        <f t="array" ref="C476">SUM</f>
        <v>#NAME?</v>
      </c>
      <c r="D476" s="1" t="e">
        <f t="array" ref="D476">SUM</f>
        <v>#NAME?</v>
      </c>
      <c r="E476" s="1" t="e">
        <f t="array" ref="E476">SUM</f>
        <v>#NAME?</v>
      </c>
      <c r="F476" s="1" t="e">
        <f t="array" ref="F476">SUM</f>
        <v>#NAME?</v>
      </c>
      <c r="G476" s="1" t="e">
        <f t="array" ref="G476">SUM</f>
        <v>#NAME?</v>
      </c>
      <c r="H476" s="1" t="e">
        <f t="array" ref="H476">SUM</f>
        <v>#NAME?</v>
      </c>
      <c r="I476" s="1" t="e">
        <f t="array" ref="I476">SUM</f>
        <v>#NAME?</v>
      </c>
      <c r="J476" s="1" t="e">
        <f t="array" ref="J476">SUM</f>
        <v>#NAME?</v>
      </c>
      <c r="K476" s="1" t="e">
        <f t="array" ref="K476">SUM</f>
        <v>#NAME?</v>
      </c>
      <c r="L476" s="1" t="e">
        <f t="array" ref="L476">SUM</f>
        <v>#NAME?</v>
      </c>
      <c r="M476" s="1" t="e">
        <f t="array" ref="M476">SUM</f>
        <v>#NAME?</v>
      </c>
      <c r="N476" s="1" t="e">
        <f t="array" ref="N476">SUM</f>
        <v>#NAME?</v>
      </c>
      <c r="O476" t="s">
        <v>30</v>
      </c>
      <c r="P476">
        <v>2021</v>
      </c>
    </row>
    <row r="477" spans="1:16" x14ac:dyDescent="0.25">
      <c r="A477" t="s">
        <v>23</v>
      </c>
      <c r="B477" s="1" t="e">
        <f t="array" ref="B477">SUM</f>
        <v>#NAME?</v>
      </c>
      <c r="C477" s="1" t="e">
        <f t="array" ref="C477">SUM</f>
        <v>#NAME?</v>
      </c>
      <c r="D477" s="1" t="e">
        <f t="array" ref="D477">SUM</f>
        <v>#NAME?</v>
      </c>
      <c r="E477" s="1" t="e">
        <f t="array" ref="E477">SUM</f>
        <v>#NAME?</v>
      </c>
      <c r="F477" s="1" t="e">
        <f t="array" ref="F477">SUM</f>
        <v>#NAME?</v>
      </c>
      <c r="G477" s="1" t="e">
        <f t="array" ref="G477">SUM</f>
        <v>#NAME?</v>
      </c>
      <c r="H477" s="1" t="e">
        <f t="array" ref="H477">SUM</f>
        <v>#NAME?</v>
      </c>
      <c r="I477" s="1" t="e">
        <f t="array" ref="I477">SUM</f>
        <v>#NAME?</v>
      </c>
      <c r="J477" s="1" t="e">
        <f t="array" ref="J477">SUM</f>
        <v>#NAME?</v>
      </c>
      <c r="K477" s="1" t="e">
        <f t="array" ref="K477">SUM</f>
        <v>#NAME?</v>
      </c>
      <c r="L477" s="1" t="e">
        <f t="array" ref="L477">SUM</f>
        <v>#NAME?</v>
      </c>
      <c r="M477" s="1" t="e">
        <f t="array" ref="M477">SUM</f>
        <v>#NAME?</v>
      </c>
      <c r="N477" s="1" t="e">
        <f t="array" ref="N477">SUM</f>
        <v>#NAME?</v>
      </c>
      <c r="O477" t="s">
        <v>20</v>
      </c>
      <c r="P477">
        <v>2021</v>
      </c>
    </row>
    <row r="478" spans="1:16" x14ac:dyDescent="0.25">
      <c r="A478" t="s">
        <v>25</v>
      </c>
      <c r="B478" s="1" t="e">
        <f t="array" ref="B478">SUM</f>
        <v>#NAME?</v>
      </c>
      <c r="C478" s="1" t="e">
        <f t="array" ref="C478">SUM</f>
        <v>#NAME?</v>
      </c>
      <c r="D478" s="1" t="e">
        <f t="array" ref="D478">SUM</f>
        <v>#NAME?</v>
      </c>
      <c r="E478" s="1" t="e">
        <f t="array" ref="E478">SUM</f>
        <v>#NAME?</v>
      </c>
      <c r="F478" s="1" t="e">
        <f t="array" ref="F478">SUM</f>
        <v>#NAME?</v>
      </c>
      <c r="G478" s="1" t="e">
        <f t="array" ref="G478">SUM</f>
        <v>#NAME?</v>
      </c>
      <c r="H478" s="1" t="e">
        <f t="array" ref="H478">SUM</f>
        <v>#NAME?</v>
      </c>
      <c r="I478" s="1" t="e">
        <f t="array" ref="I478">SUM</f>
        <v>#NAME?</v>
      </c>
      <c r="J478" s="1" t="e">
        <f t="array" ref="J478">SUM</f>
        <v>#NAME?</v>
      </c>
      <c r="K478" s="1" t="e">
        <f t="array" ref="K478">SUM</f>
        <v>#NAME?</v>
      </c>
      <c r="L478" s="1" t="e">
        <f t="array" ref="L478">SUM</f>
        <v>#NAME?</v>
      </c>
      <c r="M478" s="1" t="e">
        <f t="array" ref="M478">SUM</f>
        <v>#NAME?</v>
      </c>
      <c r="N478" s="1" t="e">
        <f t="array" ref="N478">SUM</f>
        <v>#NAME?</v>
      </c>
      <c r="O478" t="s">
        <v>20</v>
      </c>
      <c r="P478">
        <v>2021</v>
      </c>
    </row>
    <row r="479" spans="1:16" x14ac:dyDescent="0.25">
      <c r="A479" t="s">
        <v>23</v>
      </c>
      <c r="B479" s="1" t="e">
        <f t="array" ref="B479">SUM</f>
        <v>#NAME?</v>
      </c>
      <c r="C479" s="1" t="e">
        <f t="array" ref="C479">SUM</f>
        <v>#NAME?</v>
      </c>
      <c r="D479" s="1" t="e">
        <f t="array" ref="D479">SUM</f>
        <v>#NAME?</v>
      </c>
      <c r="E479" s="1" t="e">
        <f t="array" ref="E479">SUM</f>
        <v>#NAME?</v>
      </c>
      <c r="F479" s="1" t="e">
        <f t="array" ref="F479">SUM</f>
        <v>#NAME?</v>
      </c>
      <c r="G479" s="1" t="e">
        <f t="array" ref="G479">SUM</f>
        <v>#NAME?</v>
      </c>
      <c r="H479" s="1" t="e">
        <f t="array" ref="H479">SUM</f>
        <v>#NAME?</v>
      </c>
      <c r="I479" s="1" t="e">
        <f t="array" ref="I479">SUM</f>
        <v>#NAME?</v>
      </c>
      <c r="J479" s="1" t="e">
        <f t="array" ref="J479">SUM</f>
        <v>#NAME?</v>
      </c>
      <c r="K479" s="1" t="e">
        <f t="array" ref="K479">SUM</f>
        <v>#NAME?</v>
      </c>
      <c r="L479" s="1" t="e">
        <f t="array" ref="L479">SUM</f>
        <v>#NAME?</v>
      </c>
      <c r="M479" s="1" t="e">
        <f t="array" ref="M479">SUM</f>
        <v>#NAME?</v>
      </c>
      <c r="N479" s="1" t="e">
        <f t="array" ref="N479">SUM</f>
        <v>#NAME?</v>
      </c>
      <c r="O479" t="s">
        <v>32</v>
      </c>
      <c r="P479">
        <v>2021</v>
      </c>
    </row>
    <row r="480" spans="1:16" x14ac:dyDescent="0.25">
      <c r="A480" t="s">
        <v>18</v>
      </c>
      <c r="B480" s="1" t="e">
        <f t="array" ref="B480">SUM</f>
        <v>#NAME?</v>
      </c>
      <c r="C480" s="1" t="e">
        <f t="array" ref="C480">SUM</f>
        <v>#NAME?</v>
      </c>
      <c r="D480" s="1" t="e">
        <f t="array" ref="D480">SUM</f>
        <v>#NAME?</v>
      </c>
      <c r="E480" s="1" t="e">
        <f t="array" ref="E480">SUM</f>
        <v>#NAME?</v>
      </c>
      <c r="F480" s="1" t="e">
        <f t="array" ref="F480">SUM</f>
        <v>#NAME?</v>
      </c>
      <c r="G480" s="1" t="e">
        <f t="array" ref="G480">SUM</f>
        <v>#NAME?</v>
      </c>
      <c r="H480" s="1" t="e">
        <f t="array" ref="H480">SUM</f>
        <v>#NAME?</v>
      </c>
      <c r="I480" s="1" t="e">
        <f t="array" ref="I480">SUM</f>
        <v>#NAME?</v>
      </c>
      <c r="J480" s="1" t="e">
        <f t="array" ref="J480">SUM</f>
        <v>#NAME?</v>
      </c>
      <c r="K480" s="1" t="e">
        <f t="array" ref="K480">SUM</f>
        <v>#NAME?</v>
      </c>
      <c r="L480" s="1" t="e">
        <f t="array" ref="L480">SUM</f>
        <v>#NAME?</v>
      </c>
      <c r="M480" s="1" t="e">
        <f t="array" ref="M480">SUM</f>
        <v>#NAME?</v>
      </c>
      <c r="N480" s="1" t="e">
        <f t="array" ref="N480">SUM</f>
        <v>#NAME?</v>
      </c>
      <c r="O480" t="s">
        <v>24</v>
      </c>
      <c r="P480">
        <v>2021</v>
      </c>
    </row>
    <row r="481" spans="1:16" x14ac:dyDescent="0.25">
      <c r="A481" t="s">
        <v>16</v>
      </c>
      <c r="B481" s="1" t="e">
        <f t="array" ref="B481">SUM</f>
        <v>#NAME?</v>
      </c>
      <c r="C481" s="1" t="e">
        <f t="array" ref="C481">SUM</f>
        <v>#NAME?</v>
      </c>
      <c r="D481" s="1" t="e">
        <f t="array" ref="D481">SUM</f>
        <v>#NAME?</v>
      </c>
      <c r="E481" s="1" t="e">
        <f t="array" ref="E481">SUM</f>
        <v>#NAME?</v>
      </c>
      <c r="F481" s="1" t="e">
        <f t="array" ref="F481">SUM</f>
        <v>#NAME?</v>
      </c>
      <c r="G481" s="1" t="e">
        <f t="array" ref="G481">SUM</f>
        <v>#NAME?</v>
      </c>
      <c r="H481" s="1" t="e">
        <f t="array" ref="H481">SUM</f>
        <v>#NAME?</v>
      </c>
      <c r="I481" s="1" t="e">
        <f t="array" ref="I481">SUM</f>
        <v>#NAME?</v>
      </c>
      <c r="J481" s="1" t="e">
        <f t="array" ref="J481">SUM</f>
        <v>#NAME?</v>
      </c>
      <c r="K481" s="1" t="e">
        <f t="array" ref="K481">SUM</f>
        <v>#NAME?</v>
      </c>
      <c r="L481" s="1" t="e">
        <f t="array" ref="L481">SUM</f>
        <v>#NAME?</v>
      </c>
      <c r="M481" s="1" t="e">
        <f t="array" ref="M481">SUM</f>
        <v>#NAME?</v>
      </c>
      <c r="N481" s="1" t="e">
        <f t="array" ref="N481">SUM</f>
        <v>#NAME?</v>
      </c>
      <c r="O481" t="s">
        <v>26</v>
      </c>
      <c r="P481">
        <v>2021</v>
      </c>
    </row>
    <row r="482" spans="1:16" x14ac:dyDescent="0.25">
      <c r="A482" t="s">
        <v>25</v>
      </c>
      <c r="B482" s="1" t="e">
        <f t="array" ref="B482">SUM</f>
        <v>#NAME?</v>
      </c>
      <c r="C482" s="1" t="e">
        <f t="array" ref="C482">SUM</f>
        <v>#NAME?</v>
      </c>
      <c r="D482" s="1" t="e">
        <f t="array" ref="D482">SUM</f>
        <v>#NAME?</v>
      </c>
      <c r="E482" s="1" t="e">
        <f t="array" ref="E482">SUM</f>
        <v>#NAME?</v>
      </c>
      <c r="F482" s="1" t="e">
        <f t="array" ref="F482">SUM</f>
        <v>#NAME?</v>
      </c>
      <c r="G482" s="1" t="e">
        <f t="array" ref="G482">SUM</f>
        <v>#NAME?</v>
      </c>
      <c r="H482" s="1" t="e">
        <f t="array" ref="H482">SUM</f>
        <v>#NAME?</v>
      </c>
      <c r="I482" s="1" t="e">
        <f t="array" ref="I482">SUM</f>
        <v>#NAME?</v>
      </c>
      <c r="J482" s="1" t="e">
        <f t="array" ref="J482">SUM</f>
        <v>#NAME?</v>
      </c>
      <c r="K482" s="1" t="e">
        <f t="array" ref="K482">SUM</f>
        <v>#NAME?</v>
      </c>
      <c r="L482" s="1" t="e">
        <f t="array" ref="L482">SUM</f>
        <v>#NAME?</v>
      </c>
      <c r="M482" s="1" t="e">
        <f t="array" ref="M482">SUM</f>
        <v>#NAME?</v>
      </c>
      <c r="N482" s="1" t="e">
        <f t="array" ref="N482">SUM</f>
        <v>#NAME?</v>
      </c>
      <c r="O482" t="s">
        <v>27</v>
      </c>
      <c r="P482">
        <v>2021</v>
      </c>
    </row>
    <row r="483" spans="1:16" x14ac:dyDescent="0.25">
      <c r="A483" t="s">
        <v>25</v>
      </c>
      <c r="B483" s="1" t="e">
        <f t="array" ref="B483">SUM</f>
        <v>#NAME?</v>
      </c>
      <c r="C483" s="1" t="e">
        <f t="array" ref="C483">SUM</f>
        <v>#NAME?</v>
      </c>
      <c r="D483" s="1" t="e">
        <f t="array" ref="D483">SUM</f>
        <v>#NAME?</v>
      </c>
      <c r="E483" s="1" t="e">
        <f t="array" ref="E483">SUM</f>
        <v>#NAME?</v>
      </c>
      <c r="F483" s="1" t="e">
        <f t="array" ref="F483">SUM</f>
        <v>#NAME?</v>
      </c>
      <c r="G483" s="1" t="e">
        <f t="array" ref="G483">SUM</f>
        <v>#NAME?</v>
      </c>
      <c r="H483" s="1" t="e">
        <f t="array" ref="H483">SUM</f>
        <v>#NAME?</v>
      </c>
      <c r="I483" s="1" t="e">
        <f t="array" ref="I483">SUM</f>
        <v>#NAME?</v>
      </c>
      <c r="J483" s="1" t="e">
        <f t="array" ref="J483">SUM</f>
        <v>#NAME?</v>
      </c>
      <c r="K483" s="1" t="e">
        <f t="array" ref="K483">SUM</f>
        <v>#NAME?</v>
      </c>
      <c r="L483" s="1" t="e">
        <f t="array" ref="L483">SUM</f>
        <v>#NAME?</v>
      </c>
      <c r="M483" s="1" t="e">
        <f t="array" ref="M483">SUM</f>
        <v>#NAME?</v>
      </c>
      <c r="N483" s="1" t="e">
        <f t="array" ref="N483">SUM</f>
        <v>#NAME?</v>
      </c>
      <c r="O483" t="s">
        <v>28</v>
      </c>
      <c r="P483">
        <v>2021</v>
      </c>
    </row>
    <row r="484" spans="1:16" x14ac:dyDescent="0.25">
      <c r="A484" t="s">
        <v>18</v>
      </c>
      <c r="B484" s="1" t="e">
        <f t="array" ref="B484">SUM</f>
        <v>#NAME?</v>
      </c>
      <c r="C484" s="1" t="e">
        <f t="array" ref="C484">SUM</f>
        <v>#NAME?</v>
      </c>
      <c r="D484" s="1" t="e">
        <f t="array" ref="D484">SUM</f>
        <v>#NAME?</v>
      </c>
      <c r="E484" s="1" t="e">
        <f t="array" ref="E484">SUM</f>
        <v>#NAME?</v>
      </c>
      <c r="F484" s="1" t="e">
        <f t="array" ref="F484">SUM</f>
        <v>#NAME?</v>
      </c>
      <c r="G484" s="1" t="e">
        <f t="array" ref="G484">SUM</f>
        <v>#NAME?</v>
      </c>
      <c r="H484" s="1" t="e">
        <f t="array" ref="H484">SUM</f>
        <v>#NAME?</v>
      </c>
      <c r="I484" s="1" t="e">
        <f t="array" ref="I484">SUM</f>
        <v>#NAME?</v>
      </c>
      <c r="J484" s="1" t="e">
        <f t="array" ref="J484">SUM</f>
        <v>#NAME?</v>
      </c>
      <c r="K484" s="1" t="e">
        <f t="array" ref="K484">SUM</f>
        <v>#NAME?</v>
      </c>
      <c r="L484" s="1" t="e">
        <f t="array" ref="L484">SUM</f>
        <v>#NAME?</v>
      </c>
      <c r="M484" s="1" t="e">
        <f t="array" ref="M484">SUM</f>
        <v>#NAME?</v>
      </c>
      <c r="N484" s="1" t="e">
        <f t="array" ref="N484">SUM</f>
        <v>#NAME?</v>
      </c>
      <c r="O484" t="s">
        <v>28</v>
      </c>
      <c r="P484">
        <v>2021</v>
      </c>
    </row>
    <row r="485" spans="1:16" x14ac:dyDescent="0.25">
      <c r="A485" t="s">
        <v>23</v>
      </c>
      <c r="B485" s="1" t="e">
        <f t="array" ref="B485">SUM</f>
        <v>#NAME?</v>
      </c>
      <c r="C485" s="1" t="e">
        <f t="array" ref="C485">SUM</f>
        <v>#NAME?</v>
      </c>
      <c r="D485" s="1" t="e">
        <f t="array" ref="D485">SUM</f>
        <v>#NAME?</v>
      </c>
      <c r="E485" s="1" t="e">
        <f t="array" ref="E485">SUM</f>
        <v>#NAME?</v>
      </c>
      <c r="F485" s="1" t="e">
        <f t="array" ref="F485">SUM</f>
        <v>#NAME?</v>
      </c>
      <c r="G485" s="1" t="e">
        <f t="array" ref="G485">SUM</f>
        <v>#NAME?</v>
      </c>
      <c r="H485" s="1" t="e">
        <f t="array" ref="H485">SUM</f>
        <v>#NAME?</v>
      </c>
      <c r="I485" s="1" t="e">
        <f t="array" ref="I485">SUM</f>
        <v>#NAME?</v>
      </c>
      <c r="J485" s="1" t="e">
        <f t="array" ref="J485">SUM</f>
        <v>#NAME?</v>
      </c>
      <c r="K485" s="1" t="e">
        <f t="array" ref="K485">SUM</f>
        <v>#NAME?</v>
      </c>
      <c r="L485" s="1" t="e">
        <f t="array" ref="L485">SUM</f>
        <v>#NAME?</v>
      </c>
      <c r="M485" s="1" t="e">
        <f t="array" ref="M485">SUM</f>
        <v>#NAME?</v>
      </c>
      <c r="N485" s="1" t="e">
        <f t="array" ref="N485">SUM</f>
        <v>#NAME?</v>
      </c>
      <c r="O485" t="s">
        <v>30</v>
      </c>
      <c r="P485">
        <v>2021</v>
      </c>
    </row>
    <row r="486" spans="1:16" x14ac:dyDescent="0.25">
      <c r="A486" t="s">
        <v>16</v>
      </c>
      <c r="B486" s="1" t="e">
        <f t="array" ref="B486">SUM</f>
        <v>#NAME?</v>
      </c>
      <c r="C486" s="1" t="e">
        <f t="array" ref="C486">SUM</f>
        <v>#NAME?</v>
      </c>
      <c r="D486" s="1" t="e">
        <f t="array" ref="D486">SUM</f>
        <v>#NAME?</v>
      </c>
      <c r="E486" s="1" t="e">
        <f t="array" ref="E486">SUM</f>
        <v>#NAME?</v>
      </c>
      <c r="F486" s="1" t="e">
        <f t="array" ref="F486">SUM</f>
        <v>#NAME?</v>
      </c>
      <c r="G486" s="1" t="e">
        <f t="array" ref="G486">SUM</f>
        <v>#NAME?</v>
      </c>
      <c r="H486" s="1" t="e">
        <f t="array" ref="H486">SUM</f>
        <v>#NAME?</v>
      </c>
      <c r="I486" s="1" t="e">
        <f t="array" ref="I486">SUM</f>
        <v>#NAME?</v>
      </c>
      <c r="J486" s="1" t="e">
        <f t="array" ref="J486">SUM</f>
        <v>#NAME?</v>
      </c>
      <c r="K486" s="1" t="e">
        <f t="array" ref="K486">SUM</f>
        <v>#NAME?</v>
      </c>
      <c r="L486" s="1" t="e">
        <f t="array" ref="L486">SUM</f>
        <v>#NAME?</v>
      </c>
      <c r="M486" s="1" t="e">
        <f t="array" ref="M486">SUM</f>
        <v>#NAME?</v>
      </c>
      <c r="N486" s="1" t="e">
        <f t="array" ref="N486">SUM</f>
        <v>#NAME?</v>
      </c>
      <c r="O486" t="s">
        <v>20</v>
      </c>
      <c r="P486">
        <v>2021</v>
      </c>
    </row>
    <row r="487" spans="1:16" x14ac:dyDescent="0.25">
      <c r="A487" t="s">
        <v>23</v>
      </c>
      <c r="B487" s="1" t="e">
        <f t="array" ref="B487">SUM</f>
        <v>#NAME?</v>
      </c>
      <c r="C487" s="1" t="e">
        <f t="array" ref="C487">SUM</f>
        <v>#NAME?</v>
      </c>
      <c r="D487" s="1" t="e">
        <f t="array" ref="D487">SUM</f>
        <v>#NAME?</v>
      </c>
      <c r="E487" s="1" t="e">
        <f t="array" ref="E487">SUM</f>
        <v>#NAME?</v>
      </c>
      <c r="F487" s="1" t="e">
        <f t="array" ref="F487">SUM</f>
        <v>#NAME?</v>
      </c>
      <c r="G487" s="1" t="e">
        <f t="array" ref="G487">SUM</f>
        <v>#NAME?</v>
      </c>
      <c r="H487" s="1" t="e">
        <f t="array" ref="H487">SUM</f>
        <v>#NAME?</v>
      </c>
      <c r="I487" s="1" t="e">
        <f t="array" ref="I487">SUM</f>
        <v>#NAME?</v>
      </c>
      <c r="J487" s="1" t="e">
        <f t="array" ref="J487">SUM</f>
        <v>#NAME?</v>
      </c>
      <c r="K487" s="1" t="e">
        <f t="array" ref="K487">SUM</f>
        <v>#NAME?</v>
      </c>
      <c r="L487" s="1" t="e">
        <f t="array" ref="L487">SUM</f>
        <v>#NAME?</v>
      </c>
      <c r="M487" s="1" t="e">
        <f t="array" ref="M487">SUM</f>
        <v>#NAME?</v>
      </c>
      <c r="N487" s="1" t="e">
        <f t="array" ref="N487">SUM</f>
        <v>#NAME?</v>
      </c>
      <c r="O487" t="s">
        <v>17</v>
      </c>
      <c r="P487">
        <v>2021</v>
      </c>
    </row>
    <row r="488" spans="1:16" x14ac:dyDescent="0.25">
      <c r="A488" t="s">
        <v>16</v>
      </c>
      <c r="B488" s="1" t="e">
        <f t="array" ref="B488">SUM</f>
        <v>#NAME?</v>
      </c>
      <c r="C488" s="1" t="e">
        <f t="array" ref="C488">SUM</f>
        <v>#NAME?</v>
      </c>
      <c r="D488" s="1" t="e">
        <f t="array" ref="D488">SUM</f>
        <v>#NAME?</v>
      </c>
      <c r="E488" s="1" t="e">
        <f t="array" ref="E488">SUM</f>
        <v>#NAME?</v>
      </c>
      <c r="F488" s="1" t="e">
        <f t="array" ref="F488">SUM</f>
        <v>#NAME?</v>
      </c>
      <c r="G488" s="1" t="e">
        <f t="array" ref="G488">SUM</f>
        <v>#NAME?</v>
      </c>
      <c r="H488" s="1" t="e">
        <f t="array" ref="H488">SUM</f>
        <v>#NAME?</v>
      </c>
      <c r="I488" s="1" t="e">
        <f t="array" ref="I488">SUM</f>
        <v>#NAME?</v>
      </c>
      <c r="J488" s="1" t="e">
        <f t="array" ref="J488">SUM</f>
        <v>#NAME?</v>
      </c>
      <c r="K488" s="1" t="e">
        <f t="array" ref="K488">SUM</f>
        <v>#NAME?</v>
      </c>
      <c r="L488" s="1" t="e">
        <f t="array" ref="L488">SUM</f>
        <v>#NAME?</v>
      </c>
      <c r="M488" s="1" t="e">
        <f t="array" ref="M488">SUM</f>
        <v>#NAME?</v>
      </c>
      <c r="N488" s="1" t="e">
        <f t="array" ref="N488">SUM</f>
        <v>#NAME?</v>
      </c>
      <c r="O488" t="s">
        <v>29</v>
      </c>
      <c r="P488">
        <v>2021</v>
      </c>
    </row>
    <row r="489" spans="1:16" x14ac:dyDescent="0.25">
      <c r="A489" t="s">
        <v>25</v>
      </c>
      <c r="B489" s="1" t="e">
        <f t="array" ref="B489">SUM</f>
        <v>#NAME?</v>
      </c>
      <c r="C489" s="1" t="e">
        <f t="array" ref="C489">SUM</f>
        <v>#NAME?</v>
      </c>
      <c r="D489" s="1" t="e">
        <f t="array" ref="D489">SUM</f>
        <v>#NAME?</v>
      </c>
      <c r="E489" s="1" t="e">
        <f t="array" ref="E489">SUM</f>
        <v>#NAME?</v>
      </c>
      <c r="F489" s="1" t="e">
        <f t="array" ref="F489">SUM</f>
        <v>#NAME?</v>
      </c>
      <c r="G489" s="1" t="e">
        <f t="array" ref="G489">SUM</f>
        <v>#NAME?</v>
      </c>
      <c r="H489" s="1" t="e">
        <f t="array" ref="H489">SUM</f>
        <v>#NAME?</v>
      </c>
      <c r="I489" s="1" t="e">
        <f t="array" ref="I489">SUM</f>
        <v>#NAME?</v>
      </c>
      <c r="J489" s="1" t="e">
        <f t="array" ref="J489">SUM</f>
        <v>#NAME?</v>
      </c>
      <c r="K489" s="1" t="e">
        <f t="array" ref="K489">SUM</f>
        <v>#NAME?</v>
      </c>
      <c r="L489" s="1" t="e">
        <f t="array" ref="L489">SUM</f>
        <v>#NAME?</v>
      </c>
      <c r="M489" s="1" t="e">
        <f t="array" ref="M489">SUM</f>
        <v>#NAME?</v>
      </c>
      <c r="N489" s="1" t="e">
        <f t="array" ref="N489">SUM</f>
        <v>#NAME?</v>
      </c>
      <c r="O489" t="s">
        <v>21</v>
      </c>
      <c r="P489">
        <v>2021</v>
      </c>
    </row>
    <row r="490" spans="1:16" x14ac:dyDescent="0.25">
      <c r="A490" t="s">
        <v>22</v>
      </c>
      <c r="B490" s="1" t="e">
        <f t="array" ref="B490">SUM</f>
        <v>#NAME?</v>
      </c>
      <c r="C490" s="1" t="e">
        <f t="array" ref="C490">SUM</f>
        <v>#NAME?</v>
      </c>
      <c r="D490" s="1" t="e">
        <f t="array" ref="D490">SUM</f>
        <v>#NAME?</v>
      </c>
      <c r="E490" s="1" t="e">
        <f t="array" ref="E490">SUM</f>
        <v>#NAME?</v>
      </c>
      <c r="F490" s="1" t="e">
        <f t="array" ref="F490">SUM</f>
        <v>#NAME?</v>
      </c>
      <c r="G490" s="1" t="e">
        <f t="array" ref="G490">SUM</f>
        <v>#NAME?</v>
      </c>
      <c r="H490" s="1" t="e">
        <f t="array" ref="H490">SUM</f>
        <v>#NAME?</v>
      </c>
      <c r="I490" s="1" t="e">
        <f t="array" ref="I490">SUM</f>
        <v>#NAME?</v>
      </c>
      <c r="J490" s="1" t="e">
        <f t="array" ref="J490">SUM</f>
        <v>#NAME?</v>
      </c>
      <c r="K490" s="1" t="e">
        <f t="array" ref="K490">SUM</f>
        <v>#NAME?</v>
      </c>
      <c r="L490" s="1" t="e">
        <f t="array" ref="L490">SUM</f>
        <v>#NAME?</v>
      </c>
      <c r="M490" s="1" t="e">
        <f t="array" ref="M490">SUM</f>
        <v>#NAME?</v>
      </c>
      <c r="N490" s="1" t="e">
        <f t="array" ref="N490">SUM</f>
        <v>#NAME?</v>
      </c>
      <c r="O490" t="s">
        <v>31</v>
      </c>
      <c r="P490">
        <v>2021</v>
      </c>
    </row>
    <row r="491" spans="1:16" x14ac:dyDescent="0.25">
      <c r="A491" t="s">
        <v>16</v>
      </c>
      <c r="B491" s="1" t="e">
        <f t="array" ref="B491">SUM</f>
        <v>#NAME?</v>
      </c>
      <c r="C491" s="1" t="e">
        <f t="array" ref="C491">SUM</f>
        <v>#NAME?</v>
      </c>
      <c r="D491" s="1" t="e">
        <f t="array" ref="D491">SUM</f>
        <v>#NAME?</v>
      </c>
      <c r="E491" s="1" t="e">
        <f t="array" ref="E491">SUM</f>
        <v>#NAME?</v>
      </c>
      <c r="F491" s="1" t="e">
        <f t="array" ref="F491">SUM</f>
        <v>#NAME?</v>
      </c>
      <c r="G491" s="1" t="e">
        <f t="array" ref="G491">SUM</f>
        <v>#NAME?</v>
      </c>
      <c r="H491" s="1" t="e">
        <f t="array" ref="H491">SUM</f>
        <v>#NAME?</v>
      </c>
      <c r="I491" s="1" t="e">
        <f t="array" ref="I491">SUM</f>
        <v>#NAME?</v>
      </c>
      <c r="J491" s="1" t="e">
        <f t="array" ref="J491">SUM</f>
        <v>#NAME?</v>
      </c>
      <c r="K491" s="1" t="e">
        <f t="array" ref="K491">SUM</f>
        <v>#NAME?</v>
      </c>
      <c r="L491" s="1" t="e">
        <f t="array" ref="L491">SUM</f>
        <v>#NAME?</v>
      </c>
      <c r="M491" s="1" t="e">
        <f t="array" ref="M491">SUM</f>
        <v>#NAME?</v>
      </c>
      <c r="N491" s="1" t="e">
        <f t="array" ref="N491">SUM</f>
        <v>#NAME?</v>
      </c>
      <c r="O491" t="s">
        <v>32</v>
      </c>
      <c r="P491">
        <v>2021</v>
      </c>
    </row>
    <row r="492" spans="1:16" x14ac:dyDescent="0.25">
      <c r="A492" t="s">
        <v>22</v>
      </c>
      <c r="B492" s="1" t="e">
        <f t="array" ref="B492">SUM</f>
        <v>#NAME?</v>
      </c>
      <c r="C492" s="1" t="e">
        <f t="array" ref="C492">SUM</f>
        <v>#NAME?</v>
      </c>
      <c r="D492" s="1" t="e">
        <f t="array" ref="D492">SUM</f>
        <v>#NAME?</v>
      </c>
      <c r="E492" s="1" t="e">
        <f t="array" ref="E492">SUM</f>
        <v>#NAME?</v>
      </c>
      <c r="F492" s="1" t="e">
        <f t="array" ref="F492">SUM</f>
        <v>#NAME?</v>
      </c>
      <c r="G492" s="1" t="e">
        <f t="array" ref="G492">SUM</f>
        <v>#NAME?</v>
      </c>
      <c r="H492" s="1" t="e">
        <f t="array" ref="H492">SUM</f>
        <v>#NAME?</v>
      </c>
      <c r="I492" s="1" t="e">
        <f t="array" ref="I492">SUM</f>
        <v>#NAME?</v>
      </c>
      <c r="J492" s="1" t="e">
        <f t="array" ref="J492">SUM</f>
        <v>#NAME?</v>
      </c>
      <c r="K492" s="1" t="e">
        <f t="array" ref="K492">SUM</f>
        <v>#NAME?</v>
      </c>
      <c r="L492" s="1" t="e">
        <f t="array" ref="L492">SUM</f>
        <v>#NAME?</v>
      </c>
      <c r="M492" s="1" t="e">
        <f t="array" ref="M492">SUM</f>
        <v>#NAME?</v>
      </c>
      <c r="N492" s="1" t="e">
        <f t="array" ref="N492">SUM</f>
        <v>#NAME?</v>
      </c>
      <c r="O492" t="s">
        <v>26</v>
      </c>
      <c r="P492">
        <v>2021</v>
      </c>
    </row>
    <row r="493" spans="1:16" x14ac:dyDescent="0.25">
      <c r="A493" t="s">
        <v>16</v>
      </c>
      <c r="B493" s="1" t="e">
        <f t="array" ref="B493">SUM</f>
        <v>#NAME?</v>
      </c>
      <c r="C493" s="1" t="e">
        <f t="array" ref="C493">SUM</f>
        <v>#NAME?</v>
      </c>
      <c r="D493" s="1" t="e">
        <f t="array" ref="D493">SUM</f>
        <v>#NAME?</v>
      </c>
      <c r="E493" s="1" t="e">
        <f t="array" ref="E493">SUM</f>
        <v>#NAME?</v>
      </c>
      <c r="F493" s="1" t="e">
        <f t="array" ref="F493">SUM</f>
        <v>#NAME?</v>
      </c>
      <c r="G493" s="1" t="e">
        <f t="array" ref="G493">SUM</f>
        <v>#NAME?</v>
      </c>
      <c r="H493" s="1" t="e">
        <f t="array" ref="H493">SUM</f>
        <v>#NAME?</v>
      </c>
      <c r="I493" s="1" t="e">
        <f t="array" ref="I493">SUM</f>
        <v>#NAME?</v>
      </c>
      <c r="J493" s="1" t="e">
        <f t="array" ref="J493">SUM</f>
        <v>#NAME?</v>
      </c>
      <c r="K493" s="1" t="e">
        <f t="array" ref="K493">SUM</f>
        <v>#NAME?</v>
      </c>
      <c r="L493" s="1" t="e">
        <f t="array" ref="L493">SUM</f>
        <v>#NAME?</v>
      </c>
      <c r="M493" s="1" t="e">
        <f t="array" ref="M493">SUM</f>
        <v>#NAME?</v>
      </c>
      <c r="N493" s="1" t="e">
        <f t="array" ref="N493">SUM</f>
        <v>#NAME?</v>
      </c>
      <c r="O493" t="s">
        <v>27</v>
      </c>
      <c r="P493">
        <v>2021</v>
      </c>
    </row>
    <row r="494" spans="1:16" x14ac:dyDescent="0.25">
      <c r="A494" t="s">
        <v>18</v>
      </c>
      <c r="B494" s="1" t="e">
        <f t="array" ref="B494">SUM</f>
        <v>#NAME?</v>
      </c>
      <c r="C494" s="1" t="e">
        <f t="array" ref="C494">SUM</f>
        <v>#NAME?</v>
      </c>
      <c r="D494" s="1" t="e">
        <f t="array" ref="D494">SUM</f>
        <v>#NAME?</v>
      </c>
      <c r="E494" s="1" t="e">
        <f t="array" ref="E494">SUM</f>
        <v>#NAME?</v>
      </c>
      <c r="F494" s="1" t="e">
        <f t="array" ref="F494">SUM</f>
        <v>#NAME?</v>
      </c>
      <c r="G494" s="1" t="e">
        <f t="array" ref="G494">SUM</f>
        <v>#NAME?</v>
      </c>
      <c r="H494" s="1" t="e">
        <f t="array" ref="H494">SUM</f>
        <v>#NAME?</v>
      </c>
      <c r="I494" s="1" t="e">
        <f t="array" ref="I494">SUM</f>
        <v>#NAME?</v>
      </c>
      <c r="J494" s="1" t="e">
        <f t="array" ref="J494">SUM</f>
        <v>#NAME?</v>
      </c>
      <c r="K494" s="1" t="e">
        <f t="array" ref="K494">SUM</f>
        <v>#NAME?</v>
      </c>
      <c r="L494" s="1" t="e">
        <f t="array" ref="L494">SUM</f>
        <v>#NAME?</v>
      </c>
      <c r="M494" s="1" t="e">
        <f t="array" ref="M494">SUM</f>
        <v>#NAME?</v>
      </c>
      <c r="N494" s="1" t="e">
        <f t="array" ref="N494">SUM</f>
        <v>#NAME?</v>
      </c>
      <c r="O494" t="s">
        <v>20</v>
      </c>
      <c r="P494">
        <v>2021</v>
      </c>
    </row>
    <row r="495" spans="1:16" x14ac:dyDescent="0.25">
      <c r="A495" t="s">
        <v>25</v>
      </c>
      <c r="B495" s="1" t="e">
        <f t="array" ref="B495">SUM</f>
        <v>#NAME?</v>
      </c>
      <c r="C495" s="1" t="e">
        <f t="array" ref="C495">SUM</f>
        <v>#NAME?</v>
      </c>
      <c r="D495" s="1" t="e">
        <f t="array" ref="D495">SUM</f>
        <v>#NAME?</v>
      </c>
      <c r="E495" s="1" t="e">
        <f t="array" ref="E495">SUM</f>
        <v>#NAME?</v>
      </c>
      <c r="F495" s="1" t="e">
        <f t="array" ref="F495">SUM</f>
        <v>#NAME?</v>
      </c>
      <c r="G495" s="1" t="e">
        <f t="array" ref="G495">SUM</f>
        <v>#NAME?</v>
      </c>
      <c r="H495" s="1" t="e">
        <f t="array" ref="H495">SUM</f>
        <v>#NAME?</v>
      </c>
      <c r="I495" s="1" t="e">
        <f t="array" ref="I495">SUM</f>
        <v>#NAME?</v>
      </c>
      <c r="J495" s="1" t="e">
        <f t="array" ref="J495">SUM</f>
        <v>#NAME?</v>
      </c>
      <c r="K495" s="1" t="e">
        <f t="array" ref="K495">SUM</f>
        <v>#NAME?</v>
      </c>
      <c r="L495" s="1" t="e">
        <f t="array" ref="L495">SUM</f>
        <v>#NAME?</v>
      </c>
      <c r="M495" s="1" t="e">
        <f t="array" ref="M495">SUM</f>
        <v>#NAME?</v>
      </c>
      <c r="N495" s="1" t="e">
        <f t="array" ref="N495">SUM</f>
        <v>#NAME?</v>
      </c>
      <c r="O495" t="s">
        <v>20</v>
      </c>
      <c r="P495">
        <v>2021</v>
      </c>
    </row>
    <row r="496" spans="1:16" x14ac:dyDescent="0.25">
      <c r="A496" t="s">
        <v>22</v>
      </c>
      <c r="B496" s="1" t="e">
        <f t="array" ref="B496">SUM</f>
        <v>#NAME?</v>
      </c>
      <c r="C496" s="1" t="e">
        <f t="array" ref="C496">SUM</f>
        <v>#NAME?</v>
      </c>
      <c r="D496" s="1" t="e">
        <f t="array" ref="D496">SUM</f>
        <v>#NAME?</v>
      </c>
      <c r="E496" s="1" t="e">
        <f t="array" ref="E496">SUM</f>
        <v>#NAME?</v>
      </c>
      <c r="F496" s="1" t="e">
        <f t="array" ref="F496">SUM</f>
        <v>#NAME?</v>
      </c>
      <c r="G496" s="1" t="e">
        <f t="array" ref="G496">SUM</f>
        <v>#NAME?</v>
      </c>
      <c r="H496" s="1" t="e">
        <f t="array" ref="H496">SUM</f>
        <v>#NAME?</v>
      </c>
      <c r="I496" s="1" t="e">
        <f t="array" ref="I496">SUM</f>
        <v>#NAME?</v>
      </c>
      <c r="J496" s="1" t="e">
        <f t="array" ref="J496">SUM</f>
        <v>#NAME?</v>
      </c>
      <c r="K496" s="1" t="e">
        <f t="array" ref="K496">SUM</f>
        <v>#NAME?</v>
      </c>
      <c r="L496" s="1" t="e">
        <f t="array" ref="L496">SUM</f>
        <v>#NAME?</v>
      </c>
      <c r="M496" s="1" t="e">
        <f t="array" ref="M496">SUM</f>
        <v>#NAME?</v>
      </c>
      <c r="N496" s="1" t="e">
        <f t="array" ref="N496">SUM</f>
        <v>#NAME?</v>
      </c>
      <c r="O496" t="s">
        <v>28</v>
      </c>
      <c r="P496">
        <v>2021</v>
      </c>
    </row>
    <row r="497" spans="1:16" x14ac:dyDescent="0.25">
      <c r="A497" t="s">
        <v>16</v>
      </c>
      <c r="B497" s="1" t="e">
        <f t="array" ref="B497">SUM</f>
        <v>#NAME?</v>
      </c>
      <c r="C497" s="1" t="e">
        <f t="array" ref="C497">SUM</f>
        <v>#NAME?</v>
      </c>
      <c r="D497" s="1" t="e">
        <f t="array" ref="D497">SUM</f>
        <v>#NAME?</v>
      </c>
      <c r="E497" s="1" t="e">
        <f t="array" ref="E497">SUM</f>
        <v>#NAME?</v>
      </c>
      <c r="F497" s="1" t="e">
        <f t="array" ref="F497">SUM</f>
        <v>#NAME?</v>
      </c>
      <c r="G497" s="1" t="e">
        <f t="array" ref="G497">SUM</f>
        <v>#NAME?</v>
      </c>
      <c r="H497" s="1" t="e">
        <f t="array" ref="H497">SUM</f>
        <v>#NAME?</v>
      </c>
      <c r="I497" s="1" t="e">
        <f t="array" ref="I497">SUM</f>
        <v>#NAME?</v>
      </c>
      <c r="J497" s="1" t="e">
        <f t="array" ref="J497">SUM</f>
        <v>#NAME?</v>
      </c>
      <c r="K497" s="1" t="e">
        <f t="array" ref="K497">SUM</f>
        <v>#NAME?</v>
      </c>
      <c r="L497" s="1" t="e">
        <f t="array" ref="L497">SUM</f>
        <v>#NAME?</v>
      </c>
      <c r="M497" s="1" t="e">
        <f t="array" ref="M497">SUM</f>
        <v>#NAME?</v>
      </c>
      <c r="N497" s="1" t="e">
        <f t="array" ref="N497">SUM</f>
        <v>#NAME?</v>
      </c>
      <c r="O497" t="s">
        <v>31</v>
      </c>
      <c r="P497">
        <v>2021</v>
      </c>
    </row>
    <row r="498" spans="1:16" x14ac:dyDescent="0.25">
      <c r="A498" t="s">
        <v>22</v>
      </c>
      <c r="B498" s="1" t="e">
        <f t="array" ref="B498">SUM</f>
        <v>#NAME?</v>
      </c>
      <c r="C498" s="1" t="e">
        <f t="array" ref="C498">SUM</f>
        <v>#NAME?</v>
      </c>
      <c r="D498" s="1" t="e">
        <f t="array" ref="D498">SUM</f>
        <v>#NAME?</v>
      </c>
      <c r="E498" s="1" t="e">
        <f t="array" ref="E498">SUM</f>
        <v>#NAME?</v>
      </c>
      <c r="F498" s="1" t="e">
        <f t="array" ref="F498">SUM</f>
        <v>#NAME?</v>
      </c>
      <c r="G498" s="1" t="e">
        <f t="array" ref="G498">SUM</f>
        <v>#NAME?</v>
      </c>
      <c r="H498" s="1" t="e">
        <f t="array" ref="H498">SUM</f>
        <v>#NAME?</v>
      </c>
      <c r="I498" s="1" t="e">
        <f t="array" ref="I498">SUM</f>
        <v>#NAME?</v>
      </c>
      <c r="J498" s="1" t="e">
        <f t="array" ref="J498">SUM</f>
        <v>#NAME?</v>
      </c>
      <c r="K498" s="1" t="e">
        <f t="array" ref="K498">SUM</f>
        <v>#NAME?</v>
      </c>
      <c r="L498" s="1" t="e">
        <f t="array" ref="L498">SUM</f>
        <v>#NAME?</v>
      </c>
      <c r="M498" s="1" t="e">
        <f t="array" ref="M498">SUM</f>
        <v>#NAME?</v>
      </c>
      <c r="N498" s="1" t="e">
        <f t="array" ref="N498">SUM</f>
        <v>#NAME?</v>
      </c>
      <c r="O498" t="s">
        <v>28</v>
      </c>
      <c r="P498">
        <v>2021</v>
      </c>
    </row>
    <row r="499" spans="1:16" x14ac:dyDescent="0.25">
      <c r="A499" t="s">
        <v>18</v>
      </c>
      <c r="B499" s="1" t="e">
        <f t="array" ref="B499">SUM</f>
        <v>#NAME?</v>
      </c>
      <c r="C499" s="1" t="e">
        <f t="array" ref="C499">SUM</f>
        <v>#NAME?</v>
      </c>
      <c r="D499" s="1" t="e">
        <f t="array" ref="D499">SUM</f>
        <v>#NAME?</v>
      </c>
      <c r="E499" s="1" t="e">
        <f t="array" ref="E499">SUM</f>
        <v>#NAME?</v>
      </c>
      <c r="F499" s="1" t="e">
        <f t="array" ref="F499">SUM</f>
        <v>#NAME?</v>
      </c>
      <c r="G499" s="1" t="e">
        <f t="array" ref="G499">SUM</f>
        <v>#NAME?</v>
      </c>
      <c r="H499" s="1" t="e">
        <f t="array" ref="H499">SUM</f>
        <v>#NAME?</v>
      </c>
      <c r="I499" s="1" t="e">
        <f t="array" ref="I499">SUM</f>
        <v>#NAME?</v>
      </c>
      <c r="J499" s="1" t="e">
        <f t="array" ref="J499">SUM</f>
        <v>#NAME?</v>
      </c>
      <c r="K499" s="1" t="e">
        <f t="array" ref="K499">SUM</f>
        <v>#NAME?</v>
      </c>
      <c r="L499" s="1" t="e">
        <f t="array" ref="L499">SUM</f>
        <v>#NAME?</v>
      </c>
      <c r="M499" s="1" t="e">
        <f t="array" ref="M499">SUM</f>
        <v>#NAME?</v>
      </c>
      <c r="N499" s="1" t="e">
        <f t="array" ref="N499">SUM</f>
        <v>#NAME?</v>
      </c>
      <c r="O499" t="s">
        <v>17</v>
      </c>
      <c r="P499">
        <v>2021</v>
      </c>
    </row>
    <row r="500" spans="1:16" x14ac:dyDescent="0.25">
      <c r="A500" t="s">
        <v>22</v>
      </c>
      <c r="B500" s="1" t="e">
        <f t="array" ref="B500">SUM</f>
        <v>#NAME?</v>
      </c>
      <c r="C500" s="1" t="e">
        <f t="array" ref="C500">SUM</f>
        <v>#NAME?</v>
      </c>
      <c r="D500" s="1" t="e">
        <f t="array" ref="D500">SUM</f>
        <v>#NAME?</v>
      </c>
      <c r="E500" s="1" t="e">
        <f t="array" ref="E500">SUM</f>
        <v>#NAME?</v>
      </c>
      <c r="F500" s="1" t="e">
        <f t="array" ref="F500">SUM</f>
        <v>#NAME?</v>
      </c>
      <c r="G500" s="1" t="e">
        <f t="array" ref="G500">SUM</f>
        <v>#NAME?</v>
      </c>
      <c r="H500" s="1" t="e">
        <f t="array" ref="H500">SUM</f>
        <v>#NAME?</v>
      </c>
      <c r="I500" s="1" t="e">
        <f t="array" ref="I500">SUM</f>
        <v>#NAME?</v>
      </c>
      <c r="J500" s="1" t="e">
        <f t="array" ref="J500">SUM</f>
        <v>#NAME?</v>
      </c>
      <c r="K500" s="1" t="e">
        <f t="array" ref="K500">SUM</f>
        <v>#NAME?</v>
      </c>
      <c r="L500" s="1" t="e">
        <f t="array" ref="L500">SUM</f>
        <v>#NAME?</v>
      </c>
      <c r="M500" s="1" t="e">
        <f t="array" ref="M500">SUM</f>
        <v>#NAME?</v>
      </c>
      <c r="N500" s="1" t="e">
        <f t="array" ref="N500">SUM</f>
        <v>#NAME?</v>
      </c>
      <c r="O500" t="s">
        <v>28</v>
      </c>
      <c r="P500">
        <v>2021</v>
      </c>
    </row>
    <row r="501" spans="1:16" x14ac:dyDescent="0.25">
      <c r="A501" t="s">
        <v>16</v>
      </c>
      <c r="B501" s="1" t="e">
        <f t="array" ref="B501">SUM</f>
        <v>#NAME?</v>
      </c>
      <c r="C501" s="1" t="e">
        <f t="array" ref="C501">SUM</f>
        <v>#NAME?</v>
      </c>
      <c r="D501" s="1" t="e">
        <f t="array" ref="D501">SUM</f>
        <v>#NAME?</v>
      </c>
      <c r="E501" s="1" t="e">
        <f t="array" ref="E501">SUM</f>
        <v>#NAME?</v>
      </c>
      <c r="F501" s="1" t="e">
        <f t="array" ref="F501">SUM</f>
        <v>#NAME?</v>
      </c>
      <c r="G501" s="1" t="e">
        <f t="array" ref="G501">SUM</f>
        <v>#NAME?</v>
      </c>
      <c r="H501" s="1" t="e">
        <f t="array" ref="H501">SUM</f>
        <v>#NAME?</v>
      </c>
      <c r="I501" s="1" t="e">
        <f t="array" ref="I501">SUM</f>
        <v>#NAME?</v>
      </c>
      <c r="J501" s="1" t="e">
        <f t="array" ref="J501">SUM</f>
        <v>#NAME?</v>
      </c>
      <c r="K501" s="1" t="e">
        <f t="array" ref="K501">SUM</f>
        <v>#NAME?</v>
      </c>
      <c r="L501" s="1" t="e">
        <f t="array" ref="L501">SUM</f>
        <v>#NAME?</v>
      </c>
      <c r="M501" s="1" t="e">
        <f t="array" ref="M501">SUM</f>
        <v>#NAME?</v>
      </c>
      <c r="N501" s="1" t="e">
        <f t="array" ref="N501">SUM</f>
        <v>#NAME?</v>
      </c>
      <c r="O501" t="s">
        <v>21</v>
      </c>
      <c r="P501">
        <v>2021</v>
      </c>
    </row>
    <row r="502" spans="1:16" x14ac:dyDescent="0.25">
      <c r="A502" t="s">
        <v>22</v>
      </c>
      <c r="B502" s="1" t="e">
        <f t="array" ref="B502">SUM</f>
        <v>#NAME?</v>
      </c>
      <c r="C502" s="1" t="e">
        <f t="array" ref="C502">SUM</f>
        <v>#NAME?</v>
      </c>
      <c r="D502" s="1" t="e">
        <f t="array" ref="D502">SUM</f>
        <v>#NAME?</v>
      </c>
      <c r="E502" s="1" t="e">
        <f t="array" ref="E502">SUM</f>
        <v>#NAME?</v>
      </c>
      <c r="F502" s="1" t="e">
        <f t="array" ref="F502">SUM</f>
        <v>#NAME?</v>
      </c>
      <c r="G502" s="1" t="e">
        <f t="array" ref="G502">SUM</f>
        <v>#NAME?</v>
      </c>
      <c r="H502" s="1" t="e">
        <f t="array" ref="H502">SUM</f>
        <v>#NAME?</v>
      </c>
      <c r="I502" s="1" t="e">
        <f t="array" ref="I502">SUM</f>
        <v>#NAME?</v>
      </c>
      <c r="J502" s="1" t="e">
        <f t="array" ref="J502">SUM</f>
        <v>#NAME?</v>
      </c>
      <c r="K502" s="1" t="e">
        <f t="array" ref="K502">SUM</f>
        <v>#NAME?</v>
      </c>
      <c r="L502" s="1" t="e">
        <f t="array" ref="L502">SUM</f>
        <v>#NAME?</v>
      </c>
      <c r="M502" s="1" t="e">
        <f t="array" ref="M502">SUM</f>
        <v>#NAME?</v>
      </c>
      <c r="N502" s="1" t="e">
        <f t="array" ref="N502">SUM</f>
        <v>#NAME?</v>
      </c>
      <c r="O502" t="s">
        <v>27</v>
      </c>
      <c r="P502">
        <v>2021</v>
      </c>
    </row>
    <row r="503" spans="1:16" x14ac:dyDescent="0.25">
      <c r="A503" t="s">
        <v>18</v>
      </c>
      <c r="B503" s="1" t="e">
        <f t="array" ref="B503">SUM</f>
        <v>#NAME?</v>
      </c>
      <c r="C503" s="1" t="e">
        <f t="array" ref="C503">SUM</f>
        <v>#NAME?</v>
      </c>
      <c r="D503" s="1" t="e">
        <f t="array" ref="D503">SUM</f>
        <v>#NAME?</v>
      </c>
      <c r="E503" s="1" t="e">
        <f t="array" ref="E503">SUM</f>
        <v>#NAME?</v>
      </c>
      <c r="F503" s="1" t="e">
        <f t="array" ref="F503">SUM</f>
        <v>#NAME?</v>
      </c>
      <c r="G503" s="1" t="e">
        <f t="array" ref="G503">SUM</f>
        <v>#NAME?</v>
      </c>
      <c r="H503" s="1" t="e">
        <f t="array" ref="H503">SUM</f>
        <v>#NAME?</v>
      </c>
      <c r="I503" s="1" t="e">
        <f t="array" ref="I503">SUM</f>
        <v>#NAME?</v>
      </c>
      <c r="J503" s="1" t="e">
        <f t="array" ref="J503">SUM</f>
        <v>#NAME?</v>
      </c>
      <c r="K503" s="1" t="e">
        <f t="array" ref="K503">SUM</f>
        <v>#NAME?</v>
      </c>
      <c r="L503" s="1" t="e">
        <f t="array" ref="L503">SUM</f>
        <v>#NAME?</v>
      </c>
      <c r="M503" s="1" t="e">
        <f t="array" ref="M503">SUM</f>
        <v>#NAME?</v>
      </c>
      <c r="N503" s="1" t="e">
        <f t="array" ref="N503">SUM</f>
        <v>#NAME?</v>
      </c>
      <c r="O503" t="s">
        <v>24</v>
      </c>
      <c r="P503">
        <v>2021</v>
      </c>
    </row>
    <row r="504" spans="1:16" x14ac:dyDescent="0.25">
      <c r="A504" t="s">
        <v>22</v>
      </c>
      <c r="B504" s="1" t="e">
        <f t="array" ref="B504">SUM</f>
        <v>#NAME?</v>
      </c>
      <c r="C504" s="1" t="e">
        <f t="array" ref="C504">SUM</f>
        <v>#NAME?</v>
      </c>
      <c r="D504" s="1" t="e">
        <f t="array" ref="D504">SUM</f>
        <v>#NAME?</v>
      </c>
      <c r="E504" s="1" t="e">
        <f t="array" ref="E504">SUM</f>
        <v>#NAME?</v>
      </c>
      <c r="F504" s="1" t="e">
        <f t="array" ref="F504">SUM</f>
        <v>#NAME?</v>
      </c>
      <c r="G504" s="1" t="e">
        <f t="array" ref="G504">SUM</f>
        <v>#NAME?</v>
      </c>
      <c r="H504" s="1" t="e">
        <f t="array" ref="H504">SUM</f>
        <v>#NAME?</v>
      </c>
      <c r="I504" s="1" t="e">
        <f t="array" ref="I504">SUM</f>
        <v>#NAME?</v>
      </c>
      <c r="J504" s="1" t="e">
        <f t="array" ref="J504">SUM</f>
        <v>#NAME?</v>
      </c>
      <c r="K504" s="1" t="e">
        <f t="array" ref="K504">SUM</f>
        <v>#NAME?</v>
      </c>
      <c r="L504" s="1" t="e">
        <f t="array" ref="L504">SUM</f>
        <v>#NAME?</v>
      </c>
      <c r="M504" s="1" t="e">
        <f t="array" ref="M504">SUM</f>
        <v>#NAME?</v>
      </c>
      <c r="N504" s="1" t="e">
        <f t="array" ref="N504">SUM</f>
        <v>#NAME?</v>
      </c>
      <c r="O504" t="s">
        <v>28</v>
      </c>
      <c r="P504">
        <v>2021</v>
      </c>
    </row>
    <row r="505" spans="1:16" x14ac:dyDescent="0.25">
      <c r="A505" t="s">
        <v>22</v>
      </c>
      <c r="B505" s="1" t="e">
        <f t="array" ref="B505">SUM</f>
        <v>#NAME?</v>
      </c>
      <c r="C505" s="1" t="e">
        <f t="array" ref="C505">SUM</f>
        <v>#NAME?</v>
      </c>
      <c r="D505" s="1" t="e">
        <f t="array" ref="D505">SUM</f>
        <v>#NAME?</v>
      </c>
      <c r="E505" s="1" t="e">
        <f t="array" ref="E505">SUM</f>
        <v>#NAME?</v>
      </c>
      <c r="F505" s="1" t="e">
        <f t="array" ref="F505">SUM</f>
        <v>#NAME?</v>
      </c>
      <c r="G505" s="1" t="e">
        <f t="array" ref="G505">SUM</f>
        <v>#NAME?</v>
      </c>
      <c r="H505" s="1" t="e">
        <f t="array" ref="H505">SUM</f>
        <v>#NAME?</v>
      </c>
      <c r="I505" s="1" t="e">
        <f t="array" ref="I505">SUM</f>
        <v>#NAME?</v>
      </c>
      <c r="J505" s="1" t="e">
        <f t="array" ref="J505">SUM</f>
        <v>#NAME?</v>
      </c>
      <c r="K505" s="1" t="e">
        <f t="array" ref="K505">SUM</f>
        <v>#NAME?</v>
      </c>
      <c r="L505" s="1" t="e">
        <f t="array" ref="L505">SUM</f>
        <v>#NAME?</v>
      </c>
      <c r="M505" s="1" t="e">
        <f t="array" ref="M505">SUM</f>
        <v>#NAME?</v>
      </c>
      <c r="N505" s="1" t="e">
        <f t="array" ref="N505">SUM</f>
        <v>#NAME?</v>
      </c>
      <c r="O505" t="s">
        <v>29</v>
      </c>
      <c r="P505">
        <v>2021</v>
      </c>
    </row>
    <row r="506" spans="1:16" x14ac:dyDescent="0.25">
      <c r="A506" t="s">
        <v>16</v>
      </c>
      <c r="B506" s="1" t="e">
        <f t="array" ref="B506">SUM</f>
        <v>#NAME?</v>
      </c>
      <c r="C506" s="1" t="e">
        <f t="array" ref="C506">SUM</f>
        <v>#NAME?</v>
      </c>
      <c r="D506" s="1" t="e">
        <f t="array" ref="D506">SUM</f>
        <v>#NAME?</v>
      </c>
      <c r="E506" s="1" t="e">
        <f t="array" ref="E506">SUM</f>
        <v>#NAME?</v>
      </c>
      <c r="F506" s="1" t="e">
        <f t="array" ref="F506">SUM</f>
        <v>#NAME?</v>
      </c>
      <c r="G506" s="1" t="e">
        <f t="array" ref="G506">SUM</f>
        <v>#NAME?</v>
      </c>
      <c r="H506" s="1" t="e">
        <f t="array" ref="H506">SUM</f>
        <v>#NAME?</v>
      </c>
      <c r="I506" s="1" t="e">
        <f t="array" ref="I506">SUM</f>
        <v>#NAME?</v>
      </c>
      <c r="J506" s="1" t="e">
        <f t="array" ref="J506">SUM</f>
        <v>#NAME?</v>
      </c>
      <c r="K506" s="1" t="e">
        <f t="array" ref="K506">SUM</f>
        <v>#NAME?</v>
      </c>
      <c r="L506" s="1" t="e">
        <f t="array" ref="L506">SUM</f>
        <v>#NAME?</v>
      </c>
      <c r="M506" s="1" t="e">
        <f t="array" ref="M506">SUM</f>
        <v>#NAME?</v>
      </c>
      <c r="N506" s="1" t="e">
        <f t="array" ref="N506">SUM</f>
        <v>#NAME?</v>
      </c>
      <c r="O506" t="s">
        <v>21</v>
      </c>
      <c r="P506">
        <v>2021</v>
      </c>
    </row>
    <row r="507" spans="1:16" x14ac:dyDescent="0.25">
      <c r="A507" t="s">
        <v>25</v>
      </c>
      <c r="B507" s="1" t="e">
        <f t="array" ref="B507">SUM</f>
        <v>#NAME?</v>
      </c>
      <c r="C507" s="1" t="e">
        <f t="array" ref="C507">SUM</f>
        <v>#NAME?</v>
      </c>
      <c r="D507" s="1" t="e">
        <f t="array" ref="D507">SUM</f>
        <v>#NAME?</v>
      </c>
      <c r="E507" s="1" t="e">
        <f t="array" ref="E507">SUM</f>
        <v>#NAME?</v>
      </c>
      <c r="F507" s="1" t="e">
        <f t="array" ref="F507">SUM</f>
        <v>#NAME?</v>
      </c>
      <c r="G507" s="1" t="e">
        <f t="array" ref="G507">SUM</f>
        <v>#NAME?</v>
      </c>
      <c r="H507" s="1" t="e">
        <f t="array" ref="H507">SUM</f>
        <v>#NAME?</v>
      </c>
      <c r="I507" s="1" t="e">
        <f t="array" ref="I507">SUM</f>
        <v>#NAME?</v>
      </c>
      <c r="J507" s="1" t="e">
        <f t="array" ref="J507">SUM</f>
        <v>#NAME?</v>
      </c>
      <c r="K507" s="1" t="e">
        <f t="array" ref="K507">SUM</f>
        <v>#NAME?</v>
      </c>
      <c r="L507" s="1" t="e">
        <f t="array" ref="L507">SUM</f>
        <v>#NAME?</v>
      </c>
      <c r="M507" s="1" t="e">
        <f t="array" ref="M507">SUM</f>
        <v>#NAME?</v>
      </c>
      <c r="N507" s="1" t="e">
        <f t="array" ref="N507">SUM</f>
        <v>#NAME?</v>
      </c>
      <c r="O507" t="s">
        <v>24</v>
      </c>
      <c r="P507">
        <v>2021</v>
      </c>
    </row>
    <row r="508" spans="1:16" x14ac:dyDescent="0.25">
      <c r="A508" t="s">
        <v>23</v>
      </c>
      <c r="B508" s="1" t="e">
        <f t="array" ref="B508">SUM</f>
        <v>#NAME?</v>
      </c>
      <c r="C508" s="1" t="e">
        <f t="array" ref="C508">SUM</f>
        <v>#NAME?</v>
      </c>
      <c r="D508" s="1" t="e">
        <f t="array" ref="D508">SUM</f>
        <v>#NAME?</v>
      </c>
      <c r="E508" s="1" t="e">
        <f t="array" ref="E508">SUM</f>
        <v>#NAME?</v>
      </c>
      <c r="F508" s="1" t="e">
        <f t="array" ref="F508">SUM</f>
        <v>#NAME?</v>
      </c>
      <c r="G508" s="1" t="e">
        <f t="array" ref="G508">SUM</f>
        <v>#NAME?</v>
      </c>
      <c r="H508" s="1" t="e">
        <f t="array" ref="H508">SUM</f>
        <v>#NAME?</v>
      </c>
      <c r="I508" s="1" t="e">
        <f t="array" ref="I508">SUM</f>
        <v>#NAME?</v>
      </c>
      <c r="J508" s="1" t="e">
        <f t="array" ref="J508">SUM</f>
        <v>#NAME?</v>
      </c>
      <c r="K508" s="1" t="e">
        <f t="array" ref="K508">SUM</f>
        <v>#NAME?</v>
      </c>
      <c r="L508" s="1" t="e">
        <f t="array" ref="L508">SUM</f>
        <v>#NAME?</v>
      </c>
      <c r="M508" s="1" t="e">
        <f t="array" ref="M508">SUM</f>
        <v>#NAME?</v>
      </c>
      <c r="N508" s="1" t="e">
        <f t="array" ref="N508">SUM</f>
        <v>#NAME?</v>
      </c>
      <c r="O508" t="s">
        <v>28</v>
      </c>
      <c r="P508">
        <v>2021</v>
      </c>
    </row>
    <row r="509" spans="1:16" x14ac:dyDescent="0.25">
      <c r="A509" t="s">
        <v>18</v>
      </c>
      <c r="B509" s="1" t="e">
        <f t="array" ref="B509">SUM</f>
        <v>#NAME?</v>
      </c>
      <c r="C509" s="1" t="e">
        <f t="array" ref="C509">SUM</f>
        <v>#NAME?</v>
      </c>
      <c r="D509" s="1" t="e">
        <f t="array" ref="D509">SUM</f>
        <v>#NAME?</v>
      </c>
      <c r="E509" s="1" t="e">
        <f t="array" ref="E509">SUM</f>
        <v>#NAME?</v>
      </c>
      <c r="F509" s="1" t="e">
        <f t="array" ref="F509">SUM</f>
        <v>#NAME?</v>
      </c>
      <c r="G509" s="1" t="e">
        <f t="array" ref="G509">SUM</f>
        <v>#NAME?</v>
      </c>
      <c r="H509" s="1" t="e">
        <f t="array" ref="H509">SUM</f>
        <v>#NAME?</v>
      </c>
      <c r="I509" s="1" t="e">
        <f t="array" ref="I509">SUM</f>
        <v>#NAME?</v>
      </c>
      <c r="J509" s="1" t="e">
        <f t="array" ref="J509">SUM</f>
        <v>#NAME?</v>
      </c>
      <c r="K509" s="1" t="e">
        <f t="array" ref="K509">SUM</f>
        <v>#NAME?</v>
      </c>
      <c r="L509" s="1" t="e">
        <f t="array" ref="L509">SUM</f>
        <v>#NAME?</v>
      </c>
      <c r="M509" s="1" t="e">
        <f t="array" ref="M509">SUM</f>
        <v>#NAME?</v>
      </c>
      <c r="N509" s="1" t="e">
        <f t="array" ref="N509">SUM</f>
        <v>#NAME?</v>
      </c>
      <c r="O509" t="s">
        <v>30</v>
      </c>
      <c r="P509">
        <v>2021</v>
      </c>
    </row>
    <row r="510" spans="1:16" x14ac:dyDescent="0.25">
      <c r="A510" t="s">
        <v>16</v>
      </c>
      <c r="B510" s="1" t="e">
        <f t="array" ref="B510">SUM</f>
        <v>#NAME?</v>
      </c>
      <c r="C510" s="1" t="e">
        <f t="array" ref="C510">SUM</f>
        <v>#NAME?</v>
      </c>
      <c r="D510" s="1" t="e">
        <f t="array" ref="D510">SUM</f>
        <v>#NAME?</v>
      </c>
      <c r="E510" s="1" t="e">
        <f t="array" ref="E510">SUM</f>
        <v>#NAME?</v>
      </c>
      <c r="F510" s="1" t="e">
        <f t="array" ref="F510">SUM</f>
        <v>#NAME?</v>
      </c>
      <c r="G510" s="1" t="e">
        <f t="array" ref="G510">SUM</f>
        <v>#NAME?</v>
      </c>
      <c r="H510" s="1" t="e">
        <f t="array" ref="H510">SUM</f>
        <v>#NAME?</v>
      </c>
      <c r="I510" s="1" t="e">
        <f t="array" ref="I510">SUM</f>
        <v>#NAME?</v>
      </c>
      <c r="J510" s="1" t="e">
        <f t="array" ref="J510">SUM</f>
        <v>#NAME?</v>
      </c>
      <c r="K510" s="1" t="e">
        <f t="array" ref="K510">SUM</f>
        <v>#NAME?</v>
      </c>
      <c r="L510" s="1" t="e">
        <f t="array" ref="L510">SUM</f>
        <v>#NAME?</v>
      </c>
      <c r="M510" s="1" t="e">
        <f t="array" ref="M510">SUM</f>
        <v>#NAME?</v>
      </c>
      <c r="N510" s="1" t="e">
        <f t="array" ref="N510">SUM</f>
        <v>#NAME?</v>
      </c>
      <c r="O510" t="s">
        <v>30</v>
      </c>
      <c r="P510">
        <v>2021</v>
      </c>
    </row>
    <row r="511" spans="1:16" x14ac:dyDescent="0.25">
      <c r="A511" t="s">
        <v>16</v>
      </c>
      <c r="B511" s="1" t="e">
        <f t="array" ref="B511">SUM</f>
        <v>#NAME?</v>
      </c>
      <c r="C511" s="1" t="e">
        <f t="array" ref="C511">SUM</f>
        <v>#NAME?</v>
      </c>
      <c r="D511" s="1" t="e">
        <f t="array" ref="D511">SUM</f>
        <v>#NAME?</v>
      </c>
      <c r="E511" s="1" t="e">
        <f t="array" ref="E511">SUM</f>
        <v>#NAME?</v>
      </c>
      <c r="F511" s="1" t="e">
        <f t="array" ref="F511">SUM</f>
        <v>#NAME?</v>
      </c>
      <c r="G511" s="1" t="e">
        <f t="array" ref="G511">SUM</f>
        <v>#NAME?</v>
      </c>
      <c r="H511" s="1" t="e">
        <f t="array" ref="H511">SUM</f>
        <v>#NAME?</v>
      </c>
      <c r="I511" s="1" t="e">
        <f t="array" ref="I511">SUM</f>
        <v>#NAME?</v>
      </c>
      <c r="J511" s="1" t="e">
        <f t="array" ref="J511">SUM</f>
        <v>#NAME?</v>
      </c>
      <c r="K511" s="1" t="e">
        <f t="array" ref="K511">SUM</f>
        <v>#NAME?</v>
      </c>
      <c r="L511" s="1" t="e">
        <f t="array" ref="L511">SUM</f>
        <v>#NAME?</v>
      </c>
      <c r="M511" s="1" t="e">
        <f t="array" ref="M511">SUM</f>
        <v>#NAME?</v>
      </c>
      <c r="N511" s="1" t="e">
        <f t="array" ref="N511">SUM</f>
        <v>#NAME?</v>
      </c>
      <c r="O511" t="s">
        <v>17</v>
      </c>
      <c r="P511">
        <v>2021</v>
      </c>
    </row>
    <row r="512" spans="1:16" x14ac:dyDescent="0.25">
      <c r="A512" t="s">
        <v>16</v>
      </c>
      <c r="B512" s="1" t="e">
        <f t="array" ref="B512">SUM</f>
        <v>#NAME?</v>
      </c>
      <c r="C512" s="1" t="e">
        <f t="array" ref="C512">SUM</f>
        <v>#NAME?</v>
      </c>
      <c r="D512" s="1" t="e">
        <f t="array" ref="D512">SUM</f>
        <v>#NAME?</v>
      </c>
      <c r="E512" s="1" t="e">
        <f t="array" ref="E512">SUM</f>
        <v>#NAME?</v>
      </c>
      <c r="F512" s="1" t="e">
        <f t="array" ref="F512">SUM</f>
        <v>#NAME?</v>
      </c>
      <c r="G512" s="1" t="e">
        <f t="array" ref="G512">SUM</f>
        <v>#NAME?</v>
      </c>
      <c r="H512" s="1" t="e">
        <f t="array" ref="H512">SUM</f>
        <v>#NAME?</v>
      </c>
      <c r="I512" s="1" t="e">
        <f t="array" ref="I512">SUM</f>
        <v>#NAME?</v>
      </c>
      <c r="J512" s="1" t="e">
        <f t="array" ref="J512">SUM</f>
        <v>#NAME?</v>
      </c>
      <c r="K512" s="1" t="e">
        <f t="array" ref="K512">SUM</f>
        <v>#NAME?</v>
      </c>
      <c r="L512" s="1" t="e">
        <f t="array" ref="L512">SUM</f>
        <v>#NAME?</v>
      </c>
      <c r="M512" s="1" t="e">
        <f t="array" ref="M512">SUM</f>
        <v>#NAME?</v>
      </c>
      <c r="N512" s="1" t="e">
        <f t="array" ref="N512">SUM</f>
        <v>#NAME?</v>
      </c>
      <c r="O512" t="s">
        <v>28</v>
      </c>
      <c r="P512">
        <v>2021</v>
      </c>
    </row>
    <row r="513" spans="1:16" x14ac:dyDescent="0.25">
      <c r="A513" t="s">
        <v>18</v>
      </c>
      <c r="B513" s="1" t="e">
        <f t="array" ref="B513">SUM</f>
        <v>#NAME?</v>
      </c>
      <c r="C513" s="1" t="e">
        <f t="array" ref="C513">SUM</f>
        <v>#NAME?</v>
      </c>
      <c r="D513" s="1" t="e">
        <f t="array" ref="D513">SUM</f>
        <v>#NAME?</v>
      </c>
      <c r="E513" s="1" t="e">
        <f t="array" ref="E513">SUM</f>
        <v>#NAME?</v>
      </c>
      <c r="F513" s="1" t="e">
        <f t="array" ref="F513">SUM</f>
        <v>#NAME?</v>
      </c>
      <c r="G513" s="1" t="e">
        <f t="array" ref="G513">SUM</f>
        <v>#NAME?</v>
      </c>
      <c r="H513" s="1" t="e">
        <f t="array" ref="H513">SUM</f>
        <v>#NAME?</v>
      </c>
      <c r="I513" s="1" t="e">
        <f t="array" ref="I513">SUM</f>
        <v>#NAME?</v>
      </c>
      <c r="J513" s="1" t="e">
        <f t="array" ref="J513">SUM</f>
        <v>#NAME?</v>
      </c>
      <c r="K513" s="1" t="e">
        <f t="array" ref="K513">SUM</f>
        <v>#NAME?</v>
      </c>
      <c r="L513" s="1" t="e">
        <f t="array" ref="L513">SUM</f>
        <v>#NAME?</v>
      </c>
      <c r="M513" s="1" t="e">
        <f t="array" ref="M513">SUM</f>
        <v>#NAME?</v>
      </c>
      <c r="N513" s="1" t="e">
        <f t="array" ref="N513">SUM</f>
        <v>#NAME?</v>
      </c>
      <c r="O513" t="s">
        <v>20</v>
      </c>
      <c r="P513">
        <v>2021</v>
      </c>
    </row>
    <row r="514" spans="1:16" x14ac:dyDescent="0.25">
      <c r="A514" t="s">
        <v>25</v>
      </c>
      <c r="B514" s="1" t="e">
        <f t="array" ref="B514">SUM</f>
        <v>#NAME?</v>
      </c>
      <c r="C514" s="1" t="e">
        <f t="array" ref="C514">SUM</f>
        <v>#NAME?</v>
      </c>
      <c r="D514" s="1" t="e">
        <f t="array" ref="D514">SUM</f>
        <v>#NAME?</v>
      </c>
      <c r="E514" s="1" t="e">
        <f t="array" ref="E514">SUM</f>
        <v>#NAME?</v>
      </c>
      <c r="F514" s="1" t="e">
        <f t="array" ref="F514">SUM</f>
        <v>#NAME?</v>
      </c>
      <c r="G514" s="1" t="e">
        <f t="array" ref="G514">SUM</f>
        <v>#NAME?</v>
      </c>
      <c r="H514" s="1" t="e">
        <f t="array" ref="H514">SUM</f>
        <v>#NAME?</v>
      </c>
      <c r="I514" s="1" t="e">
        <f t="array" ref="I514">SUM</f>
        <v>#NAME?</v>
      </c>
      <c r="J514" s="1" t="e">
        <f t="array" ref="J514">SUM</f>
        <v>#NAME?</v>
      </c>
      <c r="K514" s="1" t="e">
        <f t="array" ref="K514">SUM</f>
        <v>#NAME?</v>
      </c>
      <c r="L514" s="1" t="e">
        <f t="array" ref="L514">SUM</f>
        <v>#NAME?</v>
      </c>
      <c r="M514" s="1" t="e">
        <f t="array" ref="M514">SUM</f>
        <v>#NAME?</v>
      </c>
      <c r="N514" s="1" t="e">
        <f t="array" ref="N514">SUM</f>
        <v>#NAME?</v>
      </c>
      <c r="O514" t="s">
        <v>17</v>
      </c>
      <c r="P514">
        <v>2021</v>
      </c>
    </row>
    <row r="515" spans="1:16" x14ac:dyDescent="0.25">
      <c r="A515" t="s">
        <v>16</v>
      </c>
      <c r="B515" s="1" t="e">
        <f t="array" ref="B515">SUM</f>
        <v>#NAME?</v>
      </c>
      <c r="C515" s="1" t="e">
        <f t="array" ref="C515">SUM</f>
        <v>#NAME?</v>
      </c>
      <c r="D515" s="1" t="e">
        <f t="array" ref="D515">SUM</f>
        <v>#NAME?</v>
      </c>
      <c r="E515" s="1" t="e">
        <f t="array" ref="E515">SUM</f>
        <v>#NAME?</v>
      </c>
      <c r="F515" s="1" t="e">
        <f t="array" ref="F515">SUM</f>
        <v>#NAME?</v>
      </c>
      <c r="G515" s="1" t="e">
        <f t="array" ref="G515">SUM</f>
        <v>#NAME?</v>
      </c>
      <c r="H515" s="1" t="e">
        <f t="array" ref="H515">SUM</f>
        <v>#NAME?</v>
      </c>
      <c r="I515" s="1" t="e">
        <f t="array" ref="I515">SUM</f>
        <v>#NAME?</v>
      </c>
      <c r="J515" s="1" t="e">
        <f t="array" ref="J515">SUM</f>
        <v>#NAME?</v>
      </c>
      <c r="K515" s="1" t="e">
        <f t="array" ref="K515">SUM</f>
        <v>#NAME?</v>
      </c>
      <c r="L515" s="1" t="e">
        <f t="array" ref="L515">SUM</f>
        <v>#NAME?</v>
      </c>
      <c r="M515" s="1" t="e">
        <f t="array" ref="M515">SUM</f>
        <v>#NAME?</v>
      </c>
      <c r="N515" s="1" t="e">
        <f t="array" ref="N515">SUM</f>
        <v>#NAME?</v>
      </c>
      <c r="O515" t="s">
        <v>21</v>
      </c>
      <c r="P515">
        <v>2021</v>
      </c>
    </row>
    <row r="516" spans="1:16" x14ac:dyDescent="0.25">
      <c r="A516" t="s">
        <v>16</v>
      </c>
      <c r="B516" s="1" t="e">
        <f t="array" ref="B516">SUM</f>
        <v>#NAME?</v>
      </c>
      <c r="C516" s="1" t="e">
        <f t="array" ref="C516">SUM</f>
        <v>#NAME?</v>
      </c>
      <c r="D516" s="1" t="e">
        <f t="array" ref="D516">SUM</f>
        <v>#NAME?</v>
      </c>
      <c r="E516" s="1" t="e">
        <f t="array" ref="E516">SUM</f>
        <v>#NAME?</v>
      </c>
      <c r="F516" s="1" t="e">
        <f t="array" ref="F516">SUM</f>
        <v>#NAME?</v>
      </c>
      <c r="G516" s="1" t="e">
        <f t="array" ref="G516">SUM</f>
        <v>#NAME?</v>
      </c>
      <c r="H516" s="1" t="e">
        <f t="array" ref="H516">SUM</f>
        <v>#NAME?</v>
      </c>
      <c r="I516" s="1" t="e">
        <f t="array" ref="I516">SUM</f>
        <v>#NAME?</v>
      </c>
      <c r="J516" s="1" t="e">
        <f t="array" ref="J516">SUM</f>
        <v>#NAME?</v>
      </c>
      <c r="K516" s="1" t="e">
        <f t="array" ref="K516">SUM</f>
        <v>#NAME?</v>
      </c>
      <c r="L516" s="1" t="e">
        <f t="array" ref="L516">SUM</f>
        <v>#NAME?</v>
      </c>
      <c r="M516" s="1" t="e">
        <f t="array" ref="M516">SUM</f>
        <v>#NAME?</v>
      </c>
      <c r="N516" s="1" t="e">
        <f t="array" ref="N516">SUM</f>
        <v>#NAME?</v>
      </c>
      <c r="O516" t="s">
        <v>24</v>
      </c>
      <c r="P516">
        <v>2021</v>
      </c>
    </row>
    <row r="517" spans="1:16" x14ac:dyDescent="0.25">
      <c r="A517" t="s">
        <v>22</v>
      </c>
      <c r="B517" s="1" t="e">
        <f t="array" ref="B517">SUM</f>
        <v>#NAME?</v>
      </c>
      <c r="C517" s="1" t="e">
        <f t="array" ref="C517">SUM</f>
        <v>#NAME?</v>
      </c>
      <c r="D517" s="1" t="e">
        <f t="array" ref="D517">SUM</f>
        <v>#NAME?</v>
      </c>
      <c r="E517" s="1" t="e">
        <f t="array" ref="E517">SUM</f>
        <v>#NAME?</v>
      </c>
      <c r="F517" s="1" t="e">
        <f t="array" ref="F517">SUM</f>
        <v>#NAME?</v>
      </c>
      <c r="G517" s="1" t="e">
        <f t="array" ref="G517">SUM</f>
        <v>#NAME?</v>
      </c>
      <c r="H517" s="1" t="e">
        <f t="array" ref="H517">SUM</f>
        <v>#NAME?</v>
      </c>
      <c r="I517" s="1" t="e">
        <f t="array" ref="I517">SUM</f>
        <v>#NAME?</v>
      </c>
      <c r="J517" s="1" t="e">
        <f t="array" ref="J517">SUM</f>
        <v>#NAME?</v>
      </c>
      <c r="K517" s="1" t="e">
        <f t="array" ref="K517">SUM</f>
        <v>#NAME?</v>
      </c>
      <c r="L517" s="1" t="e">
        <f t="array" ref="L517">SUM</f>
        <v>#NAME?</v>
      </c>
      <c r="M517" s="1" t="e">
        <f t="array" ref="M517">SUM</f>
        <v>#NAME?</v>
      </c>
      <c r="N517" s="1" t="e">
        <f t="array" ref="N517">SUM</f>
        <v>#NAME?</v>
      </c>
      <c r="O517" t="s">
        <v>24</v>
      </c>
      <c r="P517">
        <v>2021</v>
      </c>
    </row>
    <row r="518" spans="1:16" x14ac:dyDescent="0.25">
      <c r="A518" t="s">
        <v>22</v>
      </c>
      <c r="B518" s="1" t="e">
        <f t="array" ref="B518">SUM</f>
        <v>#NAME?</v>
      </c>
      <c r="C518" s="1" t="e">
        <f t="array" ref="C518">SUM</f>
        <v>#NAME?</v>
      </c>
      <c r="D518" s="1" t="e">
        <f t="array" ref="D518">SUM</f>
        <v>#NAME?</v>
      </c>
      <c r="E518" s="1" t="e">
        <f t="array" ref="E518">SUM</f>
        <v>#NAME?</v>
      </c>
      <c r="F518" s="1" t="e">
        <f t="array" ref="F518">SUM</f>
        <v>#NAME?</v>
      </c>
      <c r="G518" s="1" t="e">
        <f t="array" ref="G518">SUM</f>
        <v>#NAME?</v>
      </c>
      <c r="H518" s="1" t="e">
        <f t="array" ref="H518">SUM</f>
        <v>#NAME?</v>
      </c>
      <c r="I518" s="1" t="e">
        <f t="array" ref="I518">SUM</f>
        <v>#NAME?</v>
      </c>
      <c r="J518" s="1" t="e">
        <f t="array" ref="J518">SUM</f>
        <v>#NAME?</v>
      </c>
      <c r="K518" s="1" t="e">
        <f t="array" ref="K518">SUM</f>
        <v>#NAME?</v>
      </c>
      <c r="L518" s="1" t="e">
        <f t="array" ref="L518">SUM</f>
        <v>#NAME?</v>
      </c>
      <c r="M518" s="1" t="e">
        <f t="array" ref="M518">SUM</f>
        <v>#NAME?</v>
      </c>
      <c r="N518" s="1" t="e">
        <f t="array" ref="N518">SUM</f>
        <v>#NAME?</v>
      </c>
      <c r="O518" t="s">
        <v>24</v>
      </c>
      <c r="P518">
        <v>2021</v>
      </c>
    </row>
    <row r="519" spans="1:16" x14ac:dyDescent="0.25">
      <c r="A519" t="s">
        <v>16</v>
      </c>
      <c r="B519" s="1" t="e">
        <f t="array" ref="B519">SUM</f>
        <v>#NAME?</v>
      </c>
      <c r="C519" s="1" t="e">
        <f t="array" ref="C519">SUM</f>
        <v>#NAME?</v>
      </c>
      <c r="D519" s="1" t="e">
        <f t="array" ref="D519">SUM</f>
        <v>#NAME?</v>
      </c>
      <c r="E519" s="1" t="e">
        <f t="array" ref="E519">SUM</f>
        <v>#NAME?</v>
      </c>
      <c r="F519" s="1" t="e">
        <f t="array" ref="F519">SUM</f>
        <v>#NAME?</v>
      </c>
      <c r="G519" s="1" t="e">
        <f t="array" ref="G519">SUM</f>
        <v>#NAME?</v>
      </c>
      <c r="H519" s="1" t="e">
        <f t="array" ref="H519">SUM</f>
        <v>#NAME?</v>
      </c>
      <c r="I519" s="1" t="e">
        <f t="array" ref="I519">SUM</f>
        <v>#NAME?</v>
      </c>
      <c r="J519" s="1" t="e">
        <f t="array" ref="J519">SUM</f>
        <v>#NAME?</v>
      </c>
      <c r="K519" s="1" t="e">
        <f t="array" ref="K519">SUM</f>
        <v>#NAME?</v>
      </c>
      <c r="L519" s="1" t="e">
        <f t="array" ref="L519">SUM</f>
        <v>#NAME?</v>
      </c>
      <c r="M519" s="1" t="e">
        <f t="array" ref="M519">SUM</f>
        <v>#NAME?</v>
      </c>
      <c r="N519" s="1" t="e">
        <f t="array" ref="N519">SUM</f>
        <v>#NAME?</v>
      </c>
      <c r="O519" t="s">
        <v>26</v>
      </c>
      <c r="P519">
        <v>2021</v>
      </c>
    </row>
    <row r="520" spans="1:16" x14ac:dyDescent="0.25">
      <c r="A520" t="s">
        <v>18</v>
      </c>
      <c r="B520" s="1" t="e">
        <f t="array" ref="B520">SUM</f>
        <v>#NAME?</v>
      </c>
      <c r="C520" s="1" t="e">
        <f t="array" ref="C520">SUM</f>
        <v>#NAME?</v>
      </c>
      <c r="D520" s="1" t="e">
        <f t="array" ref="D520">SUM</f>
        <v>#NAME?</v>
      </c>
      <c r="E520" s="1" t="e">
        <f t="array" ref="E520">SUM</f>
        <v>#NAME?</v>
      </c>
      <c r="F520" s="1" t="e">
        <f t="array" ref="F520">SUM</f>
        <v>#NAME?</v>
      </c>
      <c r="G520" s="1" t="e">
        <f t="array" ref="G520">SUM</f>
        <v>#NAME?</v>
      </c>
      <c r="H520" s="1" t="e">
        <f t="array" ref="H520">SUM</f>
        <v>#NAME?</v>
      </c>
      <c r="I520" s="1" t="e">
        <f t="array" ref="I520">SUM</f>
        <v>#NAME?</v>
      </c>
      <c r="J520" s="1" t="e">
        <f t="array" ref="J520">SUM</f>
        <v>#NAME?</v>
      </c>
      <c r="K520" s="1" t="e">
        <f t="array" ref="K520">SUM</f>
        <v>#NAME?</v>
      </c>
      <c r="L520" s="1" t="e">
        <f t="array" ref="L520">SUM</f>
        <v>#NAME?</v>
      </c>
      <c r="M520" s="1" t="e">
        <f t="array" ref="M520">SUM</f>
        <v>#NAME?</v>
      </c>
      <c r="N520" s="1" t="e">
        <f t="array" ref="N520">SUM</f>
        <v>#NAME?</v>
      </c>
      <c r="O520" t="s">
        <v>26</v>
      </c>
      <c r="P520">
        <v>2021</v>
      </c>
    </row>
    <row r="521" spans="1:16" x14ac:dyDescent="0.25">
      <c r="A521" t="s">
        <v>23</v>
      </c>
      <c r="B521" s="1" t="e">
        <f t="array" ref="B521">SUM</f>
        <v>#NAME?</v>
      </c>
      <c r="C521" s="1" t="e">
        <f t="array" ref="C521">SUM</f>
        <v>#NAME?</v>
      </c>
      <c r="D521" s="1" t="e">
        <f t="array" ref="D521">SUM</f>
        <v>#NAME?</v>
      </c>
      <c r="E521" s="1" t="e">
        <f t="array" ref="E521">SUM</f>
        <v>#NAME?</v>
      </c>
      <c r="F521" s="1" t="e">
        <f t="array" ref="F521">SUM</f>
        <v>#NAME?</v>
      </c>
      <c r="G521" s="1" t="e">
        <f t="array" ref="G521">SUM</f>
        <v>#NAME?</v>
      </c>
      <c r="H521" s="1" t="e">
        <f t="array" ref="H521">SUM</f>
        <v>#NAME?</v>
      </c>
      <c r="I521" s="1" t="e">
        <f t="array" ref="I521">SUM</f>
        <v>#NAME?</v>
      </c>
      <c r="J521" s="1" t="e">
        <f t="array" ref="J521">SUM</f>
        <v>#NAME?</v>
      </c>
      <c r="K521" s="1" t="e">
        <f t="array" ref="K521">SUM</f>
        <v>#NAME?</v>
      </c>
      <c r="L521" s="1" t="e">
        <f t="array" ref="L521">SUM</f>
        <v>#NAME?</v>
      </c>
      <c r="M521" s="1" t="e">
        <f t="array" ref="M521">SUM</f>
        <v>#NAME?</v>
      </c>
      <c r="N521" s="1" t="e">
        <f t="array" ref="N521">SUM</f>
        <v>#NAME?</v>
      </c>
      <c r="O521" t="s">
        <v>28</v>
      </c>
      <c r="P521">
        <v>2021</v>
      </c>
    </row>
    <row r="522" spans="1:16" x14ac:dyDescent="0.25">
      <c r="A522" t="s">
        <v>16</v>
      </c>
      <c r="B522" s="1" t="e">
        <f t="array" ref="B522">SUM</f>
        <v>#NAME?</v>
      </c>
      <c r="C522" s="1" t="e">
        <f t="array" ref="C522">SUM</f>
        <v>#NAME?</v>
      </c>
      <c r="D522" s="1" t="e">
        <f t="array" ref="D522">SUM</f>
        <v>#NAME?</v>
      </c>
      <c r="E522" s="1" t="e">
        <f t="array" ref="E522">SUM</f>
        <v>#NAME?</v>
      </c>
      <c r="F522" s="1" t="e">
        <f t="array" ref="F522">SUM</f>
        <v>#NAME?</v>
      </c>
      <c r="G522" s="1" t="e">
        <f t="array" ref="G522">SUM</f>
        <v>#NAME?</v>
      </c>
      <c r="H522" s="1" t="e">
        <f t="array" ref="H522">SUM</f>
        <v>#NAME?</v>
      </c>
      <c r="I522" s="1" t="e">
        <f t="array" ref="I522">SUM</f>
        <v>#NAME?</v>
      </c>
      <c r="J522" s="1" t="e">
        <f t="array" ref="J522">SUM</f>
        <v>#NAME?</v>
      </c>
      <c r="K522" s="1" t="e">
        <f t="array" ref="K522">SUM</f>
        <v>#NAME?</v>
      </c>
      <c r="L522" s="1" t="e">
        <f t="array" ref="L522">SUM</f>
        <v>#NAME?</v>
      </c>
      <c r="M522" s="1" t="e">
        <f t="array" ref="M522">SUM</f>
        <v>#NAME?</v>
      </c>
      <c r="N522" s="1" t="e">
        <f t="array" ref="N522">SUM</f>
        <v>#NAME?</v>
      </c>
      <c r="O522" t="s">
        <v>28</v>
      </c>
      <c r="P522">
        <v>2021</v>
      </c>
    </row>
    <row r="523" spans="1:16" x14ac:dyDescent="0.25">
      <c r="A523" t="s">
        <v>25</v>
      </c>
      <c r="B523" s="1" t="e">
        <f t="array" ref="B523">SUM</f>
        <v>#NAME?</v>
      </c>
      <c r="C523" s="1" t="e">
        <f t="array" ref="C523">SUM</f>
        <v>#NAME?</v>
      </c>
      <c r="D523" s="1" t="e">
        <f t="array" ref="D523">SUM</f>
        <v>#NAME?</v>
      </c>
      <c r="E523" s="1" t="e">
        <f t="array" ref="E523">SUM</f>
        <v>#NAME?</v>
      </c>
      <c r="F523" s="1" t="e">
        <f t="array" ref="F523">SUM</f>
        <v>#NAME?</v>
      </c>
      <c r="G523" s="1" t="e">
        <f t="array" ref="G523">SUM</f>
        <v>#NAME?</v>
      </c>
      <c r="H523" s="1" t="e">
        <f t="array" ref="H523">SUM</f>
        <v>#NAME?</v>
      </c>
      <c r="I523" s="1" t="e">
        <f t="array" ref="I523">SUM</f>
        <v>#NAME?</v>
      </c>
      <c r="J523" s="1" t="e">
        <f t="array" ref="J523">SUM</f>
        <v>#NAME?</v>
      </c>
      <c r="K523" s="1" t="e">
        <f t="array" ref="K523">SUM</f>
        <v>#NAME?</v>
      </c>
      <c r="L523" s="1" t="e">
        <f t="array" ref="L523">SUM</f>
        <v>#NAME?</v>
      </c>
      <c r="M523" s="1" t="e">
        <f t="array" ref="M523">SUM</f>
        <v>#NAME?</v>
      </c>
      <c r="N523" s="1" t="e">
        <f t="array" ref="N523">SUM</f>
        <v>#NAME?</v>
      </c>
      <c r="O523" t="s">
        <v>30</v>
      </c>
      <c r="P523">
        <v>2021</v>
      </c>
    </row>
    <row r="524" spans="1:16" x14ac:dyDescent="0.25">
      <c r="A524" t="s">
        <v>16</v>
      </c>
      <c r="B524" s="1" t="e">
        <f t="array" ref="B524">SUM</f>
        <v>#NAME?</v>
      </c>
      <c r="C524" s="1" t="e">
        <f t="array" ref="C524">SUM</f>
        <v>#NAME?</v>
      </c>
      <c r="D524" s="1" t="e">
        <f t="array" ref="D524">SUM</f>
        <v>#NAME?</v>
      </c>
      <c r="E524" s="1" t="e">
        <f t="array" ref="E524">SUM</f>
        <v>#NAME?</v>
      </c>
      <c r="F524" s="1" t="e">
        <f t="array" ref="F524">SUM</f>
        <v>#NAME?</v>
      </c>
      <c r="G524" s="1" t="e">
        <f t="array" ref="G524">SUM</f>
        <v>#NAME?</v>
      </c>
      <c r="H524" s="1" t="e">
        <f t="array" ref="H524">SUM</f>
        <v>#NAME?</v>
      </c>
      <c r="I524" s="1" t="e">
        <f t="array" ref="I524">SUM</f>
        <v>#NAME?</v>
      </c>
      <c r="J524" s="1" t="e">
        <f t="array" ref="J524">SUM</f>
        <v>#NAME?</v>
      </c>
      <c r="K524" s="1" t="e">
        <f t="array" ref="K524">SUM</f>
        <v>#NAME?</v>
      </c>
      <c r="L524" s="1" t="e">
        <f t="array" ref="L524">SUM</f>
        <v>#NAME?</v>
      </c>
      <c r="M524" s="1" t="e">
        <f t="array" ref="M524">SUM</f>
        <v>#NAME?</v>
      </c>
      <c r="N524" s="1" t="e">
        <f t="array" ref="N524">SUM</f>
        <v>#NAME?</v>
      </c>
      <c r="O524" t="s">
        <v>27</v>
      </c>
      <c r="P524">
        <v>2021</v>
      </c>
    </row>
    <row r="525" spans="1:16" x14ac:dyDescent="0.25">
      <c r="A525" t="s">
        <v>18</v>
      </c>
      <c r="B525" s="1" t="e">
        <f t="array" ref="B525">SUM</f>
        <v>#NAME?</v>
      </c>
      <c r="C525" s="1" t="e">
        <f t="array" ref="C525">SUM</f>
        <v>#NAME?</v>
      </c>
      <c r="D525" s="1" t="e">
        <f t="array" ref="D525">SUM</f>
        <v>#NAME?</v>
      </c>
      <c r="E525" s="1" t="e">
        <f t="array" ref="E525">SUM</f>
        <v>#NAME?</v>
      </c>
      <c r="F525" s="1" t="e">
        <f t="array" ref="F525">SUM</f>
        <v>#NAME?</v>
      </c>
      <c r="G525" s="1" t="e">
        <f t="array" ref="G525">SUM</f>
        <v>#NAME?</v>
      </c>
      <c r="H525" s="1" t="e">
        <f t="array" ref="H525">SUM</f>
        <v>#NAME?</v>
      </c>
      <c r="I525" s="1" t="e">
        <f t="array" ref="I525">SUM</f>
        <v>#NAME?</v>
      </c>
      <c r="J525" s="1" t="e">
        <f t="array" ref="J525">SUM</f>
        <v>#NAME?</v>
      </c>
      <c r="K525" s="1" t="e">
        <f t="array" ref="K525">SUM</f>
        <v>#NAME?</v>
      </c>
      <c r="L525" s="1" t="e">
        <f t="array" ref="L525">SUM</f>
        <v>#NAME?</v>
      </c>
      <c r="M525" s="1" t="e">
        <f t="array" ref="M525">SUM</f>
        <v>#NAME?</v>
      </c>
      <c r="N525" s="1" t="e">
        <f t="array" ref="N525">SUM</f>
        <v>#NAME?</v>
      </c>
      <c r="O525" t="s">
        <v>27</v>
      </c>
      <c r="P525">
        <v>2021</v>
      </c>
    </row>
    <row r="526" spans="1:16" x14ac:dyDescent="0.25">
      <c r="A526" t="s">
        <v>16</v>
      </c>
      <c r="B526" s="1" t="e">
        <f t="array" ref="B526">SUM</f>
        <v>#NAME?</v>
      </c>
      <c r="C526" s="1" t="e">
        <f t="array" ref="C526">SUM</f>
        <v>#NAME?</v>
      </c>
      <c r="D526" s="1" t="e">
        <f t="array" ref="D526">SUM</f>
        <v>#NAME?</v>
      </c>
      <c r="E526" s="1" t="e">
        <f t="array" ref="E526">SUM</f>
        <v>#NAME?</v>
      </c>
      <c r="F526" s="1" t="e">
        <f t="array" ref="F526">SUM</f>
        <v>#NAME?</v>
      </c>
      <c r="G526" s="1" t="e">
        <f t="array" ref="G526">SUM</f>
        <v>#NAME?</v>
      </c>
      <c r="H526" s="1" t="e">
        <f t="array" ref="H526">SUM</f>
        <v>#NAME?</v>
      </c>
      <c r="I526" s="1" t="e">
        <f t="array" ref="I526">SUM</f>
        <v>#NAME?</v>
      </c>
      <c r="J526" s="1" t="e">
        <f t="array" ref="J526">SUM</f>
        <v>#NAME?</v>
      </c>
      <c r="K526" s="1" t="e">
        <f t="array" ref="K526">SUM</f>
        <v>#NAME?</v>
      </c>
      <c r="L526" s="1" t="e">
        <f t="array" ref="L526">SUM</f>
        <v>#NAME?</v>
      </c>
      <c r="M526" s="1" t="e">
        <f t="array" ref="M526">SUM</f>
        <v>#NAME?</v>
      </c>
      <c r="N526" s="1" t="e">
        <f t="array" ref="N526">SUM</f>
        <v>#NAME?</v>
      </c>
      <c r="O526" t="s">
        <v>28</v>
      </c>
      <c r="P526">
        <v>2021</v>
      </c>
    </row>
    <row r="527" spans="1:16" x14ac:dyDescent="0.25">
      <c r="A527" t="s">
        <v>16</v>
      </c>
      <c r="B527" s="1" t="e">
        <f t="array" ref="B527">SUM</f>
        <v>#NAME?</v>
      </c>
      <c r="C527" s="1" t="e">
        <f t="array" ref="C527">SUM</f>
        <v>#NAME?</v>
      </c>
      <c r="D527" s="1" t="e">
        <f t="array" ref="D527">SUM</f>
        <v>#NAME?</v>
      </c>
      <c r="E527" s="1" t="e">
        <f t="array" ref="E527">SUM</f>
        <v>#NAME?</v>
      </c>
      <c r="F527" s="1" t="e">
        <f t="array" ref="F527">SUM</f>
        <v>#NAME?</v>
      </c>
      <c r="G527" s="1" t="e">
        <f t="array" ref="G527">SUM</f>
        <v>#NAME?</v>
      </c>
      <c r="H527" s="1" t="e">
        <f t="array" ref="H527">SUM</f>
        <v>#NAME?</v>
      </c>
      <c r="I527" s="1" t="e">
        <f t="array" ref="I527">SUM</f>
        <v>#NAME?</v>
      </c>
      <c r="J527" s="1" t="e">
        <f t="array" ref="J527">SUM</f>
        <v>#NAME?</v>
      </c>
      <c r="K527" s="1" t="e">
        <f t="array" ref="K527">SUM</f>
        <v>#NAME?</v>
      </c>
      <c r="L527" s="1" t="e">
        <f t="array" ref="L527">SUM</f>
        <v>#NAME?</v>
      </c>
      <c r="M527" s="1" t="e">
        <f t="array" ref="M527">SUM</f>
        <v>#NAME?</v>
      </c>
      <c r="N527" s="1" t="e">
        <f t="array" ref="N527">SUM</f>
        <v>#NAME?</v>
      </c>
      <c r="O527" t="s">
        <v>30</v>
      </c>
      <c r="P527">
        <v>2021</v>
      </c>
    </row>
    <row r="528" spans="1:16" x14ac:dyDescent="0.25">
      <c r="A528" t="s">
        <v>22</v>
      </c>
      <c r="B528" s="1" t="e">
        <f t="array" ref="B528">SUM</f>
        <v>#NAME?</v>
      </c>
      <c r="C528" s="1" t="e">
        <f t="array" ref="C528">SUM</f>
        <v>#NAME?</v>
      </c>
      <c r="D528" s="1" t="e">
        <f t="array" ref="D528">SUM</f>
        <v>#NAME?</v>
      </c>
      <c r="E528" s="1" t="e">
        <f t="array" ref="E528">SUM</f>
        <v>#NAME?</v>
      </c>
      <c r="F528" s="1" t="e">
        <f t="array" ref="F528">SUM</f>
        <v>#NAME?</v>
      </c>
      <c r="G528" s="1" t="e">
        <f t="array" ref="G528">SUM</f>
        <v>#NAME?</v>
      </c>
      <c r="H528" s="1" t="e">
        <f t="array" ref="H528">SUM</f>
        <v>#NAME?</v>
      </c>
      <c r="I528" s="1" t="e">
        <f t="array" ref="I528">SUM</f>
        <v>#NAME?</v>
      </c>
      <c r="J528" s="1" t="e">
        <f t="array" ref="J528">SUM</f>
        <v>#NAME?</v>
      </c>
      <c r="K528" s="1" t="e">
        <f t="array" ref="K528">SUM</f>
        <v>#NAME?</v>
      </c>
      <c r="L528" s="1" t="e">
        <f t="array" ref="L528">SUM</f>
        <v>#NAME?</v>
      </c>
      <c r="M528" s="1" t="e">
        <f t="array" ref="M528">SUM</f>
        <v>#NAME?</v>
      </c>
      <c r="N528" s="1" t="e">
        <f t="array" ref="N528">SUM</f>
        <v>#NAME?</v>
      </c>
      <c r="O528" t="s">
        <v>17</v>
      </c>
      <c r="P528">
        <v>2021</v>
      </c>
    </row>
    <row r="529" spans="1:16" x14ac:dyDescent="0.25">
      <c r="A529" t="s">
        <v>23</v>
      </c>
      <c r="B529" s="1" t="e">
        <f t="array" ref="B529">SUM</f>
        <v>#NAME?</v>
      </c>
      <c r="C529" s="1" t="e">
        <f t="array" ref="C529">SUM</f>
        <v>#NAME?</v>
      </c>
      <c r="D529" s="1" t="e">
        <f t="array" ref="D529">SUM</f>
        <v>#NAME?</v>
      </c>
      <c r="E529" s="1" t="e">
        <f t="array" ref="E529">SUM</f>
        <v>#NAME?</v>
      </c>
      <c r="F529" s="1" t="e">
        <f t="array" ref="F529">SUM</f>
        <v>#NAME?</v>
      </c>
      <c r="G529" s="1" t="e">
        <f t="array" ref="G529">SUM</f>
        <v>#NAME?</v>
      </c>
      <c r="H529" s="1" t="e">
        <f t="array" ref="H529">SUM</f>
        <v>#NAME?</v>
      </c>
      <c r="I529" s="1" t="e">
        <f t="array" ref="I529">SUM</f>
        <v>#NAME?</v>
      </c>
      <c r="J529" s="1" t="e">
        <f t="array" ref="J529">SUM</f>
        <v>#NAME?</v>
      </c>
      <c r="K529" s="1" t="e">
        <f t="array" ref="K529">SUM</f>
        <v>#NAME?</v>
      </c>
      <c r="L529" s="1" t="e">
        <f t="array" ref="L529">SUM</f>
        <v>#NAME?</v>
      </c>
      <c r="M529" s="1" t="e">
        <f t="array" ref="M529">SUM</f>
        <v>#NAME?</v>
      </c>
      <c r="N529" s="1" t="e">
        <f t="array" ref="N529">SUM</f>
        <v>#NAME?</v>
      </c>
      <c r="O529" t="s">
        <v>17</v>
      </c>
      <c r="P529">
        <v>2021</v>
      </c>
    </row>
    <row r="530" spans="1:16" x14ac:dyDescent="0.25">
      <c r="A530" t="s">
        <v>16</v>
      </c>
      <c r="B530" s="1" t="e">
        <f t="array" ref="B530">SUM</f>
        <v>#NAME?</v>
      </c>
      <c r="C530" s="1" t="e">
        <f t="array" ref="C530">SUM</f>
        <v>#NAME?</v>
      </c>
      <c r="D530" s="1" t="e">
        <f t="array" ref="D530">SUM</f>
        <v>#NAME?</v>
      </c>
      <c r="E530" s="1" t="e">
        <f t="array" ref="E530">SUM</f>
        <v>#NAME?</v>
      </c>
      <c r="F530" s="1" t="e">
        <f t="array" ref="F530">SUM</f>
        <v>#NAME?</v>
      </c>
      <c r="G530" s="1" t="e">
        <f t="array" ref="G530">SUM</f>
        <v>#NAME?</v>
      </c>
      <c r="H530" s="1" t="e">
        <f t="array" ref="H530">SUM</f>
        <v>#NAME?</v>
      </c>
      <c r="I530" s="1" t="e">
        <f t="array" ref="I530">SUM</f>
        <v>#NAME?</v>
      </c>
      <c r="J530" s="1" t="e">
        <f t="array" ref="J530">SUM</f>
        <v>#NAME?</v>
      </c>
      <c r="K530" s="1" t="e">
        <f t="array" ref="K530">SUM</f>
        <v>#NAME?</v>
      </c>
      <c r="L530" s="1" t="e">
        <f t="array" ref="L530">SUM</f>
        <v>#NAME?</v>
      </c>
      <c r="M530" s="1" t="e">
        <f t="array" ref="M530">SUM</f>
        <v>#NAME?</v>
      </c>
      <c r="N530" s="1" t="e">
        <f t="array" ref="N530">SUM</f>
        <v>#NAME?</v>
      </c>
      <c r="O530" t="s">
        <v>30</v>
      </c>
      <c r="P530">
        <v>2021</v>
      </c>
    </row>
    <row r="531" spans="1:16" x14ac:dyDescent="0.25">
      <c r="A531" t="s">
        <v>23</v>
      </c>
      <c r="B531" s="1" t="e">
        <f t="array" ref="B531">SUM</f>
        <v>#NAME?</v>
      </c>
      <c r="C531" s="1" t="e">
        <f t="array" ref="C531">SUM</f>
        <v>#NAME?</v>
      </c>
      <c r="D531" s="1" t="e">
        <f t="array" ref="D531">SUM</f>
        <v>#NAME?</v>
      </c>
      <c r="E531" s="1" t="e">
        <f t="array" ref="E531">SUM</f>
        <v>#NAME?</v>
      </c>
      <c r="F531" s="1" t="e">
        <f t="array" ref="F531">SUM</f>
        <v>#NAME?</v>
      </c>
      <c r="G531" s="1" t="e">
        <f t="array" ref="G531">SUM</f>
        <v>#NAME?</v>
      </c>
      <c r="H531" s="1" t="e">
        <f t="array" ref="H531">SUM</f>
        <v>#NAME?</v>
      </c>
      <c r="I531" s="1" t="e">
        <f t="array" ref="I531">SUM</f>
        <v>#NAME?</v>
      </c>
      <c r="J531" s="1" t="e">
        <f t="array" ref="J531">SUM</f>
        <v>#NAME?</v>
      </c>
      <c r="K531" s="1" t="e">
        <f t="array" ref="K531">SUM</f>
        <v>#NAME?</v>
      </c>
      <c r="L531" s="1" t="e">
        <f t="array" ref="L531">SUM</f>
        <v>#NAME?</v>
      </c>
      <c r="M531" s="1" t="e">
        <f t="array" ref="M531">SUM</f>
        <v>#NAME?</v>
      </c>
      <c r="N531" s="1" t="e">
        <f t="array" ref="N531">SUM</f>
        <v>#NAME?</v>
      </c>
      <c r="O531" t="s">
        <v>17</v>
      </c>
      <c r="P531">
        <v>2021</v>
      </c>
    </row>
    <row r="532" spans="1:16" x14ac:dyDescent="0.25">
      <c r="A532" t="s">
        <v>16</v>
      </c>
      <c r="B532" s="1" t="e">
        <f t="array" ref="B532">SUM</f>
        <v>#NAME?</v>
      </c>
      <c r="C532" s="1" t="e">
        <f t="array" ref="C532">SUM</f>
        <v>#NAME?</v>
      </c>
      <c r="D532" s="1" t="e">
        <f t="array" ref="D532">SUM</f>
        <v>#NAME?</v>
      </c>
      <c r="E532" s="1" t="e">
        <f t="array" ref="E532">SUM</f>
        <v>#NAME?</v>
      </c>
      <c r="F532" s="1" t="e">
        <f t="array" ref="F532">SUM</f>
        <v>#NAME?</v>
      </c>
      <c r="G532" s="1" t="e">
        <f t="array" ref="G532">SUM</f>
        <v>#NAME?</v>
      </c>
      <c r="H532" s="1" t="e">
        <f t="array" ref="H532">SUM</f>
        <v>#NAME?</v>
      </c>
      <c r="I532" s="1" t="e">
        <f t="array" ref="I532">SUM</f>
        <v>#NAME?</v>
      </c>
      <c r="J532" s="1" t="e">
        <f t="array" ref="J532">SUM</f>
        <v>#NAME?</v>
      </c>
      <c r="K532" s="1" t="e">
        <f t="array" ref="K532">SUM</f>
        <v>#NAME?</v>
      </c>
      <c r="L532" s="1" t="e">
        <f t="array" ref="L532">SUM</f>
        <v>#NAME?</v>
      </c>
      <c r="M532" s="1" t="e">
        <f t="array" ref="M532">SUM</f>
        <v>#NAME?</v>
      </c>
      <c r="N532" s="1" t="e">
        <f t="array" ref="N532">SUM</f>
        <v>#NAME?</v>
      </c>
      <c r="O532" t="s">
        <v>17</v>
      </c>
      <c r="P532">
        <v>2021</v>
      </c>
    </row>
    <row r="533" spans="1:16" x14ac:dyDescent="0.25">
      <c r="A533" t="s">
        <v>23</v>
      </c>
      <c r="B533" s="1" t="e">
        <f t="array" ref="B533">SUM</f>
        <v>#NAME?</v>
      </c>
      <c r="C533" s="1" t="e">
        <f t="array" ref="C533">SUM</f>
        <v>#NAME?</v>
      </c>
      <c r="D533" s="1" t="e">
        <f t="array" ref="D533">SUM</f>
        <v>#NAME?</v>
      </c>
      <c r="E533" s="1" t="e">
        <f t="array" ref="E533">SUM</f>
        <v>#NAME?</v>
      </c>
      <c r="F533" s="1" t="e">
        <f t="array" ref="F533">SUM</f>
        <v>#NAME?</v>
      </c>
      <c r="G533" s="1" t="e">
        <f t="array" ref="G533">SUM</f>
        <v>#NAME?</v>
      </c>
      <c r="H533" s="1" t="e">
        <f t="array" ref="H533">SUM</f>
        <v>#NAME?</v>
      </c>
      <c r="I533" s="1" t="e">
        <f t="array" ref="I533">SUM</f>
        <v>#NAME?</v>
      </c>
      <c r="J533" s="1" t="e">
        <f t="array" ref="J533">SUM</f>
        <v>#NAME?</v>
      </c>
      <c r="K533" s="1" t="e">
        <f t="array" ref="K533">SUM</f>
        <v>#NAME?</v>
      </c>
      <c r="L533" s="1" t="e">
        <f t="array" ref="L533">SUM</f>
        <v>#NAME?</v>
      </c>
      <c r="M533" s="1" t="e">
        <f t="array" ref="M533">SUM</f>
        <v>#NAME?</v>
      </c>
      <c r="N533" s="1" t="e">
        <f t="array" ref="N533">SUM</f>
        <v>#NAME?</v>
      </c>
      <c r="O533" t="s">
        <v>32</v>
      </c>
      <c r="P533">
        <v>2021</v>
      </c>
    </row>
    <row r="534" spans="1:16" x14ac:dyDescent="0.25">
      <c r="A534" t="s">
        <v>23</v>
      </c>
      <c r="B534" s="1" t="e">
        <f t="array" ref="B534">SUM</f>
        <v>#NAME?</v>
      </c>
      <c r="C534" s="1" t="e">
        <f t="array" ref="C534">SUM</f>
        <v>#NAME?</v>
      </c>
      <c r="D534" s="1" t="e">
        <f t="array" ref="D534">SUM</f>
        <v>#NAME?</v>
      </c>
      <c r="E534" s="1" t="e">
        <f t="array" ref="E534">SUM</f>
        <v>#NAME?</v>
      </c>
      <c r="F534" s="1" t="e">
        <f t="array" ref="F534">SUM</f>
        <v>#NAME?</v>
      </c>
      <c r="G534" s="1" t="e">
        <f t="array" ref="G534">SUM</f>
        <v>#NAME?</v>
      </c>
      <c r="H534" s="1" t="e">
        <f t="array" ref="H534">SUM</f>
        <v>#NAME?</v>
      </c>
      <c r="I534" s="1" t="e">
        <f t="array" ref="I534">SUM</f>
        <v>#NAME?</v>
      </c>
      <c r="J534" s="1" t="e">
        <f t="array" ref="J534">SUM</f>
        <v>#NAME?</v>
      </c>
      <c r="K534" s="1" t="e">
        <f t="array" ref="K534">SUM</f>
        <v>#NAME?</v>
      </c>
      <c r="L534" s="1" t="e">
        <f t="array" ref="L534">SUM</f>
        <v>#NAME?</v>
      </c>
      <c r="M534" s="1" t="e">
        <f t="array" ref="M534">SUM</f>
        <v>#NAME?</v>
      </c>
      <c r="N534" s="1" t="e">
        <f t="array" ref="N534">SUM</f>
        <v>#NAME?</v>
      </c>
      <c r="O534" t="s">
        <v>27</v>
      </c>
      <c r="P534">
        <v>2021</v>
      </c>
    </row>
    <row r="535" spans="1:16" x14ac:dyDescent="0.25">
      <c r="A535" t="s">
        <v>16</v>
      </c>
      <c r="B535" s="1" t="e">
        <f t="array" ref="B535">SUM</f>
        <v>#NAME?</v>
      </c>
      <c r="C535" s="1" t="e">
        <f t="array" ref="C535">SUM</f>
        <v>#NAME?</v>
      </c>
      <c r="D535" s="1" t="e">
        <f t="array" ref="D535">SUM</f>
        <v>#NAME?</v>
      </c>
      <c r="E535" s="1" t="e">
        <f t="array" ref="E535">SUM</f>
        <v>#NAME?</v>
      </c>
      <c r="F535" s="1" t="e">
        <f t="array" ref="F535">SUM</f>
        <v>#NAME?</v>
      </c>
      <c r="G535" s="1" t="e">
        <f t="array" ref="G535">SUM</f>
        <v>#NAME?</v>
      </c>
      <c r="H535" s="1" t="e">
        <f t="array" ref="H535">SUM</f>
        <v>#NAME?</v>
      </c>
      <c r="I535" s="1" t="e">
        <f t="array" ref="I535">SUM</f>
        <v>#NAME?</v>
      </c>
      <c r="J535" s="1" t="e">
        <f t="array" ref="J535">SUM</f>
        <v>#NAME?</v>
      </c>
      <c r="K535" s="1" t="e">
        <f t="array" ref="K535">SUM</f>
        <v>#NAME?</v>
      </c>
      <c r="L535" s="1" t="e">
        <f t="array" ref="L535">SUM</f>
        <v>#NAME?</v>
      </c>
      <c r="M535" s="1" t="e">
        <f t="array" ref="M535">SUM</f>
        <v>#NAME?</v>
      </c>
      <c r="N535" s="1" t="e">
        <f t="array" ref="N535">SUM</f>
        <v>#NAME?</v>
      </c>
      <c r="O535" t="s">
        <v>28</v>
      </c>
      <c r="P535">
        <v>2021</v>
      </c>
    </row>
    <row r="536" spans="1:16" x14ac:dyDescent="0.25">
      <c r="A536" t="s">
        <v>18</v>
      </c>
      <c r="B536" s="1" t="e">
        <f t="array" ref="B536">SUM</f>
        <v>#NAME?</v>
      </c>
      <c r="C536" s="1" t="e">
        <f t="array" ref="C536">SUM</f>
        <v>#NAME?</v>
      </c>
      <c r="D536" s="1" t="e">
        <f t="array" ref="D536">SUM</f>
        <v>#NAME?</v>
      </c>
      <c r="E536" s="1" t="e">
        <f t="array" ref="E536">SUM</f>
        <v>#NAME?</v>
      </c>
      <c r="F536" s="1" t="e">
        <f t="array" ref="F536">SUM</f>
        <v>#NAME?</v>
      </c>
      <c r="G536" s="1" t="e">
        <f t="array" ref="G536">SUM</f>
        <v>#NAME?</v>
      </c>
      <c r="H536" s="1" t="e">
        <f t="array" ref="H536">SUM</f>
        <v>#NAME?</v>
      </c>
      <c r="I536" s="1" t="e">
        <f t="array" ref="I536">SUM</f>
        <v>#NAME?</v>
      </c>
      <c r="J536" s="1" t="e">
        <f t="array" ref="J536">SUM</f>
        <v>#NAME?</v>
      </c>
      <c r="K536" s="1" t="e">
        <f t="array" ref="K536">SUM</f>
        <v>#NAME?</v>
      </c>
      <c r="L536" s="1" t="e">
        <f t="array" ref="L536">SUM</f>
        <v>#NAME?</v>
      </c>
      <c r="M536" s="1" t="e">
        <f t="array" ref="M536">SUM</f>
        <v>#NAME?</v>
      </c>
      <c r="N536" s="1" t="e">
        <f t="array" ref="N536">SUM</f>
        <v>#NAME?</v>
      </c>
      <c r="O536" t="s">
        <v>20</v>
      </c>
      <c r="P536">
        <v>2021</v>
      </c>
    </row>
    <row r="537" spans="1:16" x14ac:dyDescent="0.25">
      <c r="A537" t="s">
        <v>16</v>
      </c>
      <c r="B537" s="1" t="e">
        <f t="array" ref="B537">SUM</f>
        <v>#NAME?</v>
      </c>
      <c r="C537" s="1" t="e">
        <f t="array" ref="C537">SUM</f>
        <v>#NAME?</v>
      </c>
      <c r="D537" s="1" t="e">
        <f t="array" ref="D537">SUM</f>
        <v>#NAME?</v>
      </c>
      <c r="E537" s="1" t="e">
        <f t="array" ref="E537">SUM</f>
        <v>#NAME?</v>
      </c>
      <c r="F537" s="1" t="e">
        <f t="array" ref="F537">SUM</f>
        <v>#NAME?</v>
      </c>
      <c r="G537" s="1" t="e">
        <f t="array" ref="G537">SUM</f>
        <v>#NAME?</v>
      </c>
      <c r="H537" s="1" t="e">
        <f t="array" ref="H537">SUM</f>
        <v>#NAME?</v>
      </c>
      <c r="I537" s="1" t="e">
        <f t="array" ref="I537">SUM</f>
        <v>#NAME?</v>
      </c>
      <c r="J537" s="1" t="e">
        <f t="array" ref="J537">SUM</f>
        <v>#NAME?</v>
      </c>
      <c r="K537" s="1" t="e">
        <f t="array" ref="K537">SUM</f>
        <v>#NAME?</v>
      </c>
      <c r="L537" s="1" t="e">
        <f t="array" ref="L537">SUM</f>
        <v>#NAME?</v>
      </c>
      <c r="M537" s="1" t="e">
        <f t="array" ref="M537">SUM</f>
        <v>#NAME?</v>
      </c>
      <c r="N537" s="1" t="e">
        <f t="array" ref="N537">SUM</f>
        <v>#NAME?</v>
      </c>
      <c r="O537" t="s">
        <v>27</v>
      </c>
      <c r="P537">
        <v>2021</v>
      </c>
    </row>
    <row r="538" spans="1:16" x14ac:dyDescent="0.25">
      <c r="A538" t="s">
        <v>16</v>
      </c>
      <c r="B538" s="1" t="e">
        <f t="array" ref="B538">SUM</f>
        <v>#NAME?</v>
      </c>
      <c r="C538" s="1" t="e">
        <f t="array" ref="C538">SUM</f>
        <v>#NAME?</v>
      </c>
      <c r="D538" s="1" t="e">
        <f t="array" ref="D538">SUM</f>
        <v>#NAME?</v>
      </c>
      <c r="E538" s="1" t="e">
        <f t="array" ref="E538">SUM</f>
        <v>#NAME?</v>
      </c>
      <c r="F538" s="1" t="e">
        <f t="array" ref="F538">SUM</f>
        <v>#NAME?</v>
      </c>
      <c r="G538" s="1" t="e">
        <f t="array" ref="G538">SUM</f>
        <v>#NAME?</v>
      </c>
      <c r="H538" s="1" t="e">
        <f t="array" ref="H538">SUM</f>
        <v>#NAME?</v>
      </c>
      <c r="I538" s="1" t="e">
        <f t="array" ref="I538">SUM</f>
        <v>#NAME?</v>
      </c>
      <c r="J538" s="1" t="e">
        <f t="array" ref="J538">SUM</f>
        <v>#NAME?</v>
      </c>
      <c r="K538" s="1" t="e">
        <f t="array" ref="K538">SUM</f>
        <v>#NAME?</v>
      </c>
      <c r="L538" s="1" t="e">
        <f t="array" ref="L538">SUM</f>
        <v>#NAME?</v>
      </c>
      <c r="M538" s="1" t="e">
        <f t="array" ref="M538">SUM</f>
        <v>#NAME?</v>
      </c>
      <c r="N538" s="1" t="e">
        <f t="array" ref="N538">SUM</f>
        <v>#NAME?</v>
      </c>
      <c r="O538" t="s">
        <v>19</v>
      </c>
      <c r="P538">
        <v>2021</v>
      </c>
    </row>
    <row r="539" spans="1:16" x14ac:dyDescent="0.25">
      <c r="A539" t="s">
        <v>23</v>
      </c>
      <c r="B539" s="1" t="e">
        <f t="array" ref="B539">SUM</f>
        <v>#NAME?</v>
      </c>
      <c r="C539" s="1" t="e">
        <f t="array" ref="C539">SUM</f>
        <v>#NAME?</v>
      </c>
      <c r="D539" s="1" t="e">
        <f t="array" ref="D539">SUM</f>
        <v>#NAME?</v>
      </c>
      <c r="E539" s="1" t="e">
        <f t="array" ref="E539">SUM</f>
        <v>#NAME?</v>
      </c>
      <c r="F539" s="1" t="e">
        <f t="array" ref="F539">SUM</f>
        <v>#NAME?</v>
      </c>
      <c r="G539" s="1" t="e">
        <f t="array" ref="G539">SUM</f>
        <v>#NAME?</v>
      </c>
      <c r="H539" s="1" t="e">
        <f t="array" ref="H539">SUM</f>
        <v>#NAME?</v>
      </c>
      <c r="I539" s="1" t="e">
        <f t="array" ref="I539">SUM</f>
        <v>#NAME?</v>
      </c>
      <c r="J539" s="1" t="e">
        <f t="array" ref="J539">SUM</f>
        <v>#NAME?</v>
      </c>
      <c r="K539" s="1" t="e">
        <f t="array" ref="K539">SUM</f>
        <v>#NAME?</v>
      </c>
      <c r="L539" s="1" t="e">
        <f t="array" ref="L539">SUM</f>
        <v>#NAME?</v>
      </c>
      <c r="M539" s="1" t="e">
        <f t="array" ref="M539">SUM</f>
        <v>#NAME?</v>
      </c>
      <c r="N539" s="1" t="e">
        <f t="array" ref="N539">SUM</f>
        <v>#NAME?</v>
      </c>
      <c r="O539" t="s">
        <v>27</v>
      </c>
      <c r="P539">
        <v>2021</v>
      </c>
    </row>
    <row r="540" spans="1:16" x14ac:dyDescent="0.25">
      <c r="A540" t="s">
        <v>23</v>
      </c>
      <c r="B540" s="1" t="e">
        <f t="array" ref="B540">SUM</f>
        <v>#NAME?</v>
      </c>
      <c r="C540" s="1" t="e">
        <f t="array" ref="C540">SUM</f>
        <v>#NAME?</v>
      </c>
      <c r="D540" s="1" t="e">
        <f t="array" ref="D540">SUM</f>
        <v>#NAME?</v>
      </c>
      <c r="E540" s="1" t="e">
        <f t="array" ref="E540">SUM</f>
        <v>#NAME?</v>
      </c>
      <c r="F540" s="1" t="e">
        <f t="array" ref="F540">SUM</f>
        <v>#NAME?</v>
      </c>
      <c r="G540" s="1" t="e">
        <f t="array" ref="G540">SUM</f>
        <v>#NAME?</v>
      </c>
      <c r="H540" s="1" t="e">
        <f t="array" ref="H540">SUM</f>
        <v>#NAME?</v>
      </c>
      <c r="I540" s="1" t="e">
        <f t="array" ref="I540">SUM</f>
        <v>#NAME?</v>
      </c>
      <c r="J540" s="1" t="e">
        <f t="array" ref="J540">SUM</f>
        <v>#NAME?</v>
      </c>
      <c r="K540" s="1" t="e">
        <f t="array" ref="K540">SUM</f>
        <v>#NAME?</v>
      </c>
      <c r="L540" s="1" t="e">
        <f t="array" ref="L540">SUM</f>
        <v>#NAME?</v>
      </c>
      <c r="M540" s="1" t="e">
        <f t="array" ref="M540">SUM</f>
        <v>#NAME?</v>
      </c>
      <c r="N540" s="1" t="e">
        <f t="array" ref="N540">SUM</f>
        <v>#NAME?</v>
      </c>
      <c r="O540" t="s">
        <v>28</v>
      </c>
      <c r="P540">
        <v>2021</v>
      </c>
    </row>
    <row r="541" spans="1:16" x14ac:dyDescent="0.25">
      <c r="A541" t="s">
        <v>18</v>
      </c>
      <c r="B541" s="1" t="e">
        <f t="array" ref="B541">SUM</f>
        <v>#NAME?</v>
      </c>
      <c r="C541" s="1" t="e">
        <f t="array" ref="C541">SUM</f>
        <v>#NAME?</v>
      </c>
      <c r="D541" s="1" t="e">
        <f t="array" ref="D541">SUM</f>
        <v>#NAME?</v>
      </c>
      <c r="E541" s="1" t="e">
        <f t="array" ref="E541">SUM</f>
        <v>#NAME?</v>
      </c>
      <c r="F541" s="1" t="e">
        <f t="array" ref="F541">SUM</f>
        <v>#NAME?</v>
      </c>
      <c r="G541" s="1" t="e">
        <f t="array" ref="G541">SUM</f>
        <v>#NAME?</v>
      </c>
      <c r="H541" s="1" t="e">
        <f t="array" ref="H541">SUM</f>
        <v>#NAME?</v>
      </c>
      <c r="I541" s="1" t="e">
        <f t="array" ref="I541">SUM</f>
        <v>#NAME?</v>
      </c>
      <c r="J541" s="1" t="e">
        <f t="array" ref="J541">SUM</f>
        <v>#NAME?</v>
      </c>
      <c r="K541" s="1" t="e">
        <f t="array" ref="K541">SUM</f>
        <v>#NAME?</v>
      </c>
      <c r="L541" s="1" t="e">
        <f t="array" ref="L541">SUM</f>
        <v>#NAME?</v>
      </c>
      <c r="M541" s="1" t="e">
        <f t="array" ref="M541">SUM</f>
        <v>#NAME?</v>
      </c>
      <c r="N541" s="1" t="e">
        <f t="array" ref="N541">SUM</f>
        <v>#NAME?</v>
      </c>
      <c r="O541" t="s">
        <v>30</v>
      </c>
      <c r="P541">
        <v>2021</v>
      </c>
    </row>
    <row r="542" spans="1:16" x14ac:dyDescent="0.25">
      <c r="A542" t="s">
        <v>18</v>
      </c>
      <c r="B542" s="1" t="e">
        <f t="array" ref="B542">SUM</f>
        <v>#NAME?</v>
      </c>
      <c r="C542" s="1" t="e">
        <f t="array" ref="C542">SUM</f>
        <v>#NAME?</v>
      </c>
      <c r="D542" s="1" t="e">
        <f t="array" ref="D542">SUM</f>
        <v>#NAME?</v>
      </c>
      <c r="E542" s="1" t="e">
        <f t="array" ref="E542">SUM</f>
        <v>#NAME?</v>
      </c>
      <c r="F542" s="1" t="e">
        <f t="array" ref="F542">SUM</f>
        <v>#NAME?</v>
      </c>
      <c r="G542" s="1" t="e">
        <f t="array" ref="G542">SUM</f>
        <v>#NAME?</v>
      </c>
      <c r="H542" s="1" t="e">
        <f t="array" ref="H542">SUM</f>
        <v>#NAME?</v>
      </c>
      <c r="I542" s="1" t="e">
        <f t="array" ref="I542">SUM</f>
        <v>#NAME?</v>
      </c>
      <c r="J542" s="1" t="e">
        <f t="array" ref="J542">SUM</f>
        <v>#NAME?</v>
      </c>
      <c r="K542" s="1" t="e">
        <f t="array" ref="K542">SUM</f>
        <v>#NAME?</v>
      </c>
      <c r="L542" s="1" t="e">
        <f t="array" ref="L542">SUM</f>
        <v>#NAME?</v>
      </c>
      <c r="M542" s="1" t="e">
        <f t="array" ref="M542">SUM</f>
        <v>#NAME?</v>
      </c>
      <c r="N542" s="1" t="e">
        <f t="array" ref="N542">SUM</f>
        <v>#NAME?</v>
      </c>
      <c r="O542" t="s">
        <v>21</v>
      </c>
      <c r="P542">
        <v>2021</v>
      </c>
    </row>
    <row r="543" spans="1:16" x14ac:dyDescent="0.25">
      <c r="A543" t="s">
        <v>25</v>
      </c>
      <c r="B543" s="1" t="e">
        <f t="array" ref="B543">SUM</f>
        <v>#NAME?</v>
      </c>
      <c r="C543" s="1" t="e">
        <f t="array" ref="C543">SUM</f>
        <v>#NAME?</v>
      </c>
      <c r="D543" s="1" t="e">
        <f t="array" ref="D543">SUM</f>
        <v>#NAME?</v>
      </c>
      <c r="E543" s="1" t="e">
        <f t="array" ref="E543">SUM</f>
        <v>#NAME?</v>
      </c>
      <c r="F543" s="1" t="e">
        <f t="array" ref="F543">SUM</f>
        <v>#NAME?</v>
      </c>
      <c r="G543" s="1" t="e">
        <f t="array" ref="G543">SUM</f>
        <v>#NAME?</v>
      </c>
      <c r="H543" s="1" t="e">
        <f t="array" ref="H543">SUM</f>
        <v>#NAME?</v>
      </c>
      <c r="I543" s="1" t="e">
        <f t="array" ref="I543">SUM</f>
        <v>#NAME?</v>
      </c>
      <c r="J543" s="1" t="e">
        <f t="array" ref="J543">SUM</f>
        <v>#NAME?</v>
      </c>
      <c r="K543" s="1" t="e">
        <f t="array" ref="K543">SUM</f>
        <v>#NAME?</v>
      </c>
      <c r="L543" s="1" t="e">
        <f t="array" ref="L543">SUM</f>
        <v>#NAME?</v>
      </c>
      <c r="M543" s="1" t="e">
        <f t="array" ref="M543">SUM</f>
        <v>#NAME?</v>
      </c>
      <c r="N543" s="1" t="e">
        <f t="array" ref="N543">SUM</f>
        <v>#NAME?</v>
      </c>
      <c r="O543" t="s">
        <v>31</v>
      </c>
      <c r="P543">
        <v>2021</v>
      </c>
    </row>
    <row r="544" spans="1:16" x14ac:dyDescent="0.25">
      <c r="A544" t="s">
        <v>16</v>
      </c>
      <c r="B544" s="1" t="e">
        <f t="array" ref="B544">SUM</f>
        <v>#NAME?</v>
      </c>
      <c r="C544" s="1" t="e">
        <f t="array" ref="C544">SUM</f>
        <v>#NAME?</v>
      </c>
      <c r="D544" s="1" t="e">
        <f t="array" ref="D544">SUM</f>
        <v>#NAME?</v>
      </c>
      <c r="E544" s="1" t="e">
        <f t="array" ref="E544">SUM</f>
        <v>#NAME?</v>
      </c>
      <c r="F544" s="1" t="e">
        <f t="array" ref="F544">SUM</f>
        <v>#NAME?</v>
      </c>
      <c r="G544" s="1" t="e">
        <f t="array" ref="G544">SUM</f>
        <v>#NAME?</v>
      </c>
      <c r="H544" s="1" t="e">
        <f t="array" ref="H544">SUM</f>
        <v>#NAME?</v>
      </c>
      <c r="I544" s="1" t="e">
        <f t="array" ref="I544">SUM</f>
        <v>#NAME?</v>
      </c>
      <c r="J544" s="1" t="e">
        <f t="array" ref="J544">SUM</f>
        <v>#NAME?</v>
      </c>
      <c r="K544" s="1" t="e">
        <f t="array" ref="K544">SUM</f>
        <v>#NAME?</v>
      </c>
      <c r="L544" s="1" t="e">
        <f t="array" ref="L544">SUM</f>
        <v>#NAME?</v>
      </c>
      <c r="M544" s="1" t="e">
        <f t="array" ref="M544">SUM</f>
        <v>#NAME?</v>
      </c>
      <c r="N544" s="1" t="e">
        <f t="array" ref="N544">SUM</f>
        <v>#NAME?</v>
      </c>
      <c r="O544" t="s">
        <v>27</v>
      </c>
      <c r="P544">
        <v>2021</v>
      </c>
    </row>
    <row r="545" spans="1:16" x14ac:dyDescent="0.25">
      <c r="A545" t="s">
        <v>16</v>
      </c>
      <c r="B545" s="1" t="e">
        <f t="array" ref="B545">SUM</f>
        <v>#NAME?</v>
      </c>
      <c r="C545" s="1" t="e">
        <f t="array" ref="C545">SUM</f>
        <v>#NAME?</v>
      </c>
      <c r="D545" s="1" t="e">
        <f t="array" ref="D545">SUM</f>
        <v>#NAME?</v>
      </c>
      <c r="E545" s="1" t="e">
        <f t="array" ref="E545">SUM</f>
        <v>#NAME?</v>
      </c>
      <c r="F545" s="1" t="e">
        <f t="array" ref="F545">SUM</f>
        <v>#NAME?</v>
      </c>
      <c r="G545" s="1" t="e">
        <f t="array" ref="G545">SUM</f>
        <v>#NAME?</v>
      </c>
      <c r="H545" s="1" t="e">
        <f t="array" ref="H545">SUM</f>
        <v>#NAME?</v>
      </c>
      <c r="I545" s="1" t="e">
        <f t="array" ref="I545">SUM</f>
        <v>#NAME?</v>
      </c>
      <c r="J545" s="1" t="e">
        <f t="array" ref="J545">SUM</f>
        <v>#NAME?</v>
      </c>
      <c r="K545" s="1" t="e">
        <f t="array" ref="K545">SUM</f>
        <v>#NAME?</v>
      </c>
      <c r="L545" s="1" t="e">
        <f t="array" ref="L545">SUM</f>
        <v>#NAME?</v>
      </c>
      <c r="M545" s="1" t="e">
        <f t="array" ref="M545">SUM</f>
        <v>#NAME?</v>
      </c>
      <c r="N545" s="1" t="e">
        <f t="array" ref="N545">SUM</f>
        <v>#NAME?</v>
      </c>
      <c r="O545" t="s">
        <v>28</v>
      </c>
      <c r="P545">
        <v>2021</v>
      </c>
    </row>
    <row r="546" spans="1:16" x14ac:dyDescent="0.25">
      <c r="A546" t="s">
        <v>16</v>
      </c>
      <c r="B546" s="1" t="e">
        <f t="array" ref="B546">SUM</f>
        <v>#NAME?</v>
      </c>
      <c r="C546" s="1" t="e">
        <f t="array" ref="C546">SUM</f>
        <v>#NAME?</v>
      </c>
      <c r="D546" s="1" t="e">
        <f t="array" ref="D546">SUM</f>
        <v>#NAME?</v>
      </c>
      <c r="E546" s="1" t="e">
        <f t="array" ref="E546">SUM</f>
        <v>#NAME?</v>
      </c>
      <c r="F546" s="1" t="e">
        <f t="array" ref="F546">SUM</f>
        <v>#NAME?</v>
      </c>
      <c r="G546" s="1" t="e">
        <f t="array" ref="G546">SUM</f>
        <v>#NAME?</v>
      </c>
      <c r="H546" s="1" t="e">
        <f t="array" ref="H546">SUM</f>
        <v>#NAME?</v>
      </c>
      <c r="I546" s="1" t="e">
        <f t="array" ref="I546">SUM</f>
        <v>#NAME?</v>
      </c>
      <c r="J546" s="1" t="e">
        <f t="array" ref="J546">SUM</f>
        <v>#NAME?</v>
      </c>
      <c r="K546" s="1" t="e">
        <f t="array" ref="K546">SUM</f>
        <v>#NAME?</v>
      </c>
      <c r="L546" s="1" t="e">
        <f t="array" ref="L546">SUM</f>
        <v>#NAME?</v>
      </c>
      <c r="M546" s="1" t="e">
        <f t="array" ref="M546">SUM</f>
        <v>#NAME?</v>
      </c>
      <c r="N546" s="1" t="e">
        <f t="array" ref="N546">SUM</f>
        <v>#NAME?</v>
      </c>
      <c r="O546" t="s">
        <v>28</v>
      </c>
      <c r="P546">
        <v>2021</v>
      </c>
    </row>
    <row r="547" spans="1:16" x14ac:dyDescent="0.25">
      <c r="A547" t="s">
        <v>25</v>
      </c>
      <c r="B547" s="1" t="e">
        <f t="array" ref="B547">SUM</f>
        <v>#NAME?</v>
      </c>
      <c r="C547" s="1" t="e">
        <f t="array" ref="C547">SUM</f>
        <v>#NAME?</v>
      </c>
      <c r="D547" s="1" t="e">
        <f t="array" ref="D547">SUM</f>
        <v>#NAME?</v>
      </c>
      <c r="E547" s="1" t="e">
        <f t="array" ref="E547">SUM</f>
        <v>#NAME?</v>
      </c>
      <c r="F547" s="1" t="e">
        <f t="array" ref="F547">SUM</f>
        <v>#NAME?</v>
      </c>
      <c r="G547" s="1" t="e">
        <f t="array" ref="G547">SUM</f>
        <v>#NAME?</v>
      </c>
      <c r="H547" s="1" t="e">
        <f t="array" ref="H547">SUM</f>
        <v>#NAME?</v>
      </c>
      <c r="I547" s="1" t="e">
        <f t="array" ref="I547">SUM</f>
        <v>#NAME?</v>
      </c>
      <c r="J547" s="1" t="e">
        <f t="array" ref="J547">SUM</f>
        <v>#NAME?</v>
      </c>
      <c r="K547" s="1" t="e">
        <f t="array" ref="K547">SUM</f>
        <v>#NAME?</v>
      </c>
      <c r="L547" s="1" t="e">
        <f t="array" ref="L547">SUM</f>
        <v>#NAME?</v>
      </c>
      <c r="M547" s="1" t="e">
        <f t="array" ref="M547">SUM</f>
        <v>#NAME?</v>
      </c>
      <c r="N547" s="1" t="e">
        <f t="array" ref="N547">SUM</f>
        <v>#NAME?</v>
      </c>
      <c r="O547" t="s">
        <v>20</v>
      </c>
      <c r="P547">
        <v>2021</v>
      </c>
    </row>
    <row r="548" spans="1:16" x14ac:dyDescent="0.25">
      <c r="A548" t="s">
        <v>25</v>
      </c>
      <c r="B548" s="1" t="e">
        <f t="array" ref="B548">SUM</f>
        <v>#NAME?</v>
      </c>
      <c r="C548" s="1" t="e">
        <f t="array" ref="C548">SUM</f>
        <v>#NAME?</v>
      </c>
      <c r="D548" s="1" t="e">
        <f t="array" ref="D548">SUM</f>
        <v>#NAME?</v>
      </c>
      <c r="E548" s="1" t="e">
        <f t="array" ref="E548">SUM</f>
        <v>#NAME?</v>
      </c>
      <c r="F548" s="1" t="e">
        <f t="array" ref="F548">SUM</f>
        <v>#NAME?</v>
      </c>
      <c r="G548" s="1" t="e">
        <f t="array" ref="G548">SUM</f>
        <v>#NAME?</v>
      </c>
      <c r="H548" s="1" t="e">
        <f t="array" ref="H548">SUM</f>
        <v>#NAME?</v>
      </c>
      <c r="I548" s="1" t="e">
        <f t="array" ref="I548">SUM</f>
        <v>#NAME?</v>
      </c>
      <c r="J548" s="1" t="e">
        <f t="array" ref="J548">SUM</f>
        <v>#NAME?</v>
      </c>
      <c r="K548" s="1" t="e">
        <f t="array" ref="K548">SUM</f>
        <v>#NAME?</v>
      </c>
      <c r="L548" s="1" t="e">
        <f t="array" ref="L548">SUM</f>
        <v>#NAME?</v>
      </c>
      <c r="M548" s="1" t="e">
        <f t="array" ref="M548">SUM</f>
        <v>#NAME?</v>
      </c>
      <c r="N548" s="1" t="e">
        <f t="array" ref="N548">SUM</f>
        <v>#NAME?</v>
      </c>
      <c r="O548" t="s">
        <v>17</v>
      </c>
      <c r="P548">
        <v>2021</v>
      </c>
    </row>
    <row r="549" spans="1:16" x14ac:dyDescent="0.25">
      <c r="A549" t="s">
        <v>16</v>
      </c>
      <c r="B549" s="1" t="e">
        <f t="array" ref="B549">SUM</f>
        <v>#NAME?</v>
      </c>
      <c r="C549" s="1" t="e">
        <f t="array" ref="C549">SUM</f>
        <v>#NAME?</v>
      </c>
      <c r="D549" s="1" t="e">
        <f t="array" ref="D549">SUM</f>
        <v>#NAME?</v>
      </c>
      <c r="E549" s="1" t="e">
        <f t="array" ref="E549">SUM</f>
        <v>#NAME?</v>
      </c>
      <c r="F549" s="1" t="e">
        <f t="array" ref="F549">SUM</f>
        <v>#NAME?</v>
      </c>
      <c r="G549" s="1" t="e">
        <f t="array" ref="G549">SUM</f>
        <v>#NAME?</v>
      </c>
      <c r="H549" s="1" t="e">
        <f t="array" ref="H549">SUM</f>
        <v>#NAME?</v>
      </c>
      <c r="I549" s="1" t="e">
        <f t="array" ref="I549">SUM</f>
        <v>#NAME?</v>
      </c>
      <c r="J549" s="1" t="e">
        <f t="array" ref="J549">SUM</f>
        <v>#NAME?</v>
      </c>
      <c r="K549" s="1" t="e">
        <f t="array" ref="K549">SUM</f>
        <v>#NAME?</v>
      </c>
      <c r="L549" s="1" t="e">
        <f t="array" ref="L549">SUM</f>
        <v>#NAME?</v>
      </c>
      <c r="M549" s="1" t="e">
        <f t="array" ref="M549">SUM</f>
        <v>#NAME?</v>
      </c>
      <c r="N549" s="1" t="e">
        <f t="array" ref="N549">SUM</f>
        <v>#NAME?</v>
      </c>
      <c r="O549" t="s">
        <v>19</v>
      </c>
      <c r="P549">
        <v>2021</v>
      </c>
    </row>
    <row r="550" spans="1:16" x14ac:dyDescent="0.25">
      <c r="A550" t="s">
        <v>23</v>
      </c>
      <c r="B550" s="1" t="e">
        <f t="array" ref="B550">SUM</f>
        <v>#NAME?</v>
      </c>
      <c r="C550" s="1" t="e">
        <f t="array" ref="C550">SUM</f>
        <v>#NAME?</v>
      </c>
      <c r="D550" s="1" t="e">
        <f t="array" ref="D550">SUM</f>
        <v>#NAME?</v>
      </c>
      <c r="E550" s="1" t="e">
        <f t="array" ref="E550">SUM</f>
        <v>#NAME?</v>
      </c>
      <c r="F550" s="1" t="e">
        <f t="array" ref="F550">SUM</f>
        <v>#NAME?</v>
      </c>
      <c r="G550" s="1" t="e">
        <f t="array" ref="G550">SUM</f>
        <v>#NAME?</v>
      </c>
      <c r="H550" s="1" t="e">
        <f t="array" ref="H550">SUM</f>
        <v>#NAME?</v>
      </c>
      <c r="I550" s="1" t="e">
        <f t="array" ref="I550">SUM</f>
        <v>#NAME?</v>
      </c>
      <c r="J550" s="1" t="e">
        <f t="array" ref="J550">SUM</f>
        <v>#NAME?</v>
      </c>
      <c r="K550" s="1" t="e">
        <f t="array" ref="K550">SUM</f>
        <v>#NAME?</v>
      </c>
      <c r="L550" s="1" t="e">
        <f t="array" ref="L550">SUM</f>
        <v>#NAME?</v>
      </c>
      <c r="M550" s="1" t="e">
        <f t="array" ref="M550">SUM</f>
        <v>#NAME?</v>
      </c>
      <c r="N550" s="1" t="e">
        <f t="array" ref="N550">SUM</f>
        <v>#NAME?</v>
      </c>
      <c r="O550" t="s">
        <v>28</v>
      </c>
      <c r="P550">
        <v>2021</v>
      </c>
    </row>
    <row r="551" spans="1:16" x14ac:dyDescent="0.25">
      <c r="A551" t="s">
        <v>16</v>
      </c>
      <c r="B551" s="1" t="e">
        <f t="array" ref="B551">SUM</f>
        <v>#NAME?</v>
      </c>
      <c r="C551" s="1" t="e">
        <f t="array" ref="C551">SUM</f>
        <v>#NAME?</v>
      </c>
      <c r="D551" s="1" t="e">
        <f t="array" ref="D551">SUM</f>
        <v>#NAME?</v>
      </c>
      <c r="E551" s="1" t="e">
        <f t="array" ref="E551">SUM</f>
        <v>#NAME?</v>
      </c>
      <c r="F551" s="1" t="e">
        <f t="array" ref="F551">SUM</f>
        <v>#NAME?</v>
      </c>
      <c r="G551" s="1" t="e">
        <f t="array" ref="G551">SUM</f>
        <v>#NAME?</v>
      </c>
      <c r="H551" s="1" t="e">
        <f t="array" ref="H551">SUM</f>
        <v>#NAME?</v>
      </c>
      <c r="I551" s="1" t="e">
        <f t="array" ref="I551">SUM</f>
        <v>#NAME?</v>
      </c>
      <c r="J551" s="1" t="e">
        <f t="array" ref="J551">SUM</f>
        <v>#NAME?</v>
      </c>
      <c r="K551" s="1" t="e">
        <f t="array" ref="K551">SUM</f>
        <v>#NAME?</v>
      </c>
      <c r="L551" s="1" t="e">
        <f t="array" ref="L551">SUM</f>
        <v>#NAME?</v>
      </c>
      <c r="M551" s="1" t="e">
        <f t="array" ref="M551">SUM</f>
        <v>#NAME?</v>
      </c>
      <c r="N551" s="1" t="e">
        <f t="array" ref="N551">SUM</f>
        <v>#NAME?</v>
      </c>
      <c r="O551" t="s">
        <v>28</v>
      </c>
      <c r="P551">
        <v>2021</v>
      </c>
    </row>
    <row r="552" spans="1:16" x14ac:dyDescent="0.25">
      <c r="A552" t="s">
        <v>16</v>
      </c>
      <c r="B552" s="1" t="e">
        <f t="array" ref="B552">SUM</f>
        <v>#NAME?</v>
      </c>
      <c r="C552" s="1" t="e">
        <f t="array" ref="C552">SUM</f>
        <v>#NAME?</v>
      </c>
      <c r="D552" s="1" t="e">
        <f t="array" ref="D552">SUM</f>
        <v>#NAME?</v>
      </c>
      <c r="E552" s="1" t="e">
        <f t="array" ref="E552">SUM</f>
        <v>#NAME?</v>
      </c>
      <c r="F552" s="1" t="e">
        <f t="array" ref="F552">SUM</f>
        <v>#NAME?</v>
      </c>
      <c r="G552" s="1" t="e">
        <f t="array" ref="G552">SUM</f>
        <v>#NAME?</v>
      </c>
      <c r="H552" s="1" t="e">
        <f t="array" ref="H552">SUM</f>
        <v>#NAME?</v>
      </c>
      <c r="I552" s="1" t="e">
        <f t="array" ref="I552">SUM</f>
        <v>#NAME?</v>
      </c>
      <c r="J552" s="1" t="e">
        <f t="array" ref="J552">SUM</f>
        <v>#NAME?</v>
      </c>
      <c r="K552" s="1" t="e">
        <f t="array" ref="K552">SUM</f>
        <v>#NAME?</v>
      </c>
      <c r="L552" s="1" t="e">
        <f t="array" ref="L552">SUM</f>
        <v>#NAME?</v>
      </c>
      <c r="M552" s="1" t="e">
        <f t="array" ref="M552">SUM</f>
        <v>#NAME?</v>
      </c>
      <c r="N552" s="1" t="e">
        <f t="array" ref="N552">SUM</f>
        <v>#NAME?</v>
      </c>
      <c r="O552" t="s">
        <v>28</v>
      </c>
      <c r="P552">
        <v>2021</v>
      </c>
    </row>
    <row r="553" spans="1:16" x14ac:dyDescent="0.25">
      <c r="A553" t="s">
        <v>16</v>
      </c>
      <c r="B553" s="1" t="e">
        <f t="array" ref="B553">SUM</f>
        <v>#NAME?</v>
      </c>
      <c r="C553" s="1" t="e">
        <f t="array" ref="C553">SUM</f>
        <v>#NAME?</v>
      </c>
      <c r="D553" s="1" t="e">
        <f t="array" ref="D553">SUM</f>
        <v>#NAME?</v>
      </c>
      <c r="E553" s="1" t="e">
        <f t="array" ref="E553">SUM</f>
        <v>#NAME?</v>
      </c>
      <c r="F553" s="1" t="e">
        <f t="array" ref="F553">SUM</f>
        <v>#NAME?</v>
      </c>
      <c r="G553" s="1" t="e">
        <f t="array" ref="G553">SUM</f>
        <v>#NAME?</v>
      </c>
      <c r="H553" s="1" t="e">
        <f t="array" ref="H553">SUM</f>
        <v>#NAME?</v>
      </c>
      <c r="I553" s="1" t="e">
        <f t="array" ref="I553">SUM</f>
        <v>#NAME?</v>
      </c>
      <c r="J553" s="1" t="e">
        <f t="array" ref="J553">SUM</f>
        <v>#NAME?</v>
      </c>
      <c r="K553" s="1" t="e">
        <f t="array" ref="K553">SUM</f>
        <v>#NAME?</v>
      </c>
      <c r="L553" s="1" t="e">
        <f t="array" ref="L553">SUM</f>
        <v>#NAME?</v>
      </c>
      <c r="M553" s="1" t="e">
        <f t="array" ref="M553">SUM</f>
        <v>#NAME?</v>
      </c>
      <c r="N553" s="1" t="e">
        <f t="array" ref="N553">SUM</f>
        <v>#NAME?</v>
      </c>
      <c r="O553" t="s">
        <v>30</v>
      </c>
      <c r="P553">
        <v>2021</v>
      </c>
    </row>
    <row r="554" spans="1:16" x14ac:dyDescent="0.25">
      <c r="A554" t="s">
        <v>25</v>
      </c>
      <c r="B554" s="1" t="e">
        <f t="array" ref="B554">SUM</f>
        <v>#NAME?</v>
      </c>
      <c r="C554" s="1" t="e">
        <f t="array" ref="C554">SUM</f>
        <v>#NAME?</v>
      </c>
      <c r="D554" s="1" t="e">
        <f t="array" ref="D554">SUM</f>
        <v>#NAME?</v>
      </c>
      <c r="E554" s="1" t="e">
        <f t="array" ref="E554">SUM</f>
        <v>#NAME?</v>
      </c>
      <c r="F554" s="1" t="e">
        <f t="array" ref="F554">SUM</f>
        <v>#NAME?</v>
      </c>
      <c r="G554" s="1" t="e">
        <f t="array" ref="G554">SUM</f>
        <v>#NAME?</v>
      </c>
      <c r="H554" s="1" t="e">
        <f t="array" ref="H554">SUM</f>
        <v>#NAME?</v>
      </c>
      <c r="I554" s="1" t="e">
        <f t="array" ref="I554">SUM</f>
        <v>#NAME?</v>
      </c>
      <c r="J554" s="1" t="e">
        <f t="array" ref="J554">SUM</f>
        <v>#NAME?</v>
      </c>
      <c r="K554" s="1" t="e">
        <f t="array" ref="K554">SUM</f>
        <v>#NAME?</v>
      </c>
      <c r="L554" s="1" t="e">
        <f t="array" ref="L554">SUM</f>
        <v>#NAME?</v>
      </c>
      <c r="M554" s="1" t="e">
        <f t="array" ref="M554">SUM</f>
        <v>#NAME?</v>
      </c>
      <c r="N554" s="1" t="e">
        <f t="array" ref="N554">SUM</f>
        <v>#NAME?</v>
      </c>
      <c r="O554" t="s">
        <v>30</v>
      </c>
      <c r="P554">
        <v>2021</v>
      </c>
    </row>
    <row r="555" spans="1:16" x14ac:dyDescent="0.25">
      <c r="A555" t="s">
        <v>25</v>
      </c>
      <c r="B555" s="1" t="e">
        <f t="array" ref="B555">SUM</f>
        <v>#NAME?</v>
      </c>
      <c r="C555" s="1" t="e">
        <f t="array" ref="C555">SUM</f>
        <v>#NAME?</v>
      </c>
      <c r="D555" s="1" t="e">
        <f t="array" ref="D555">SUM</f>
        <v>#NAME?</v>
      </c>
      <c r="E555" s="1" t="e">
        <f t="array" ref="E555">SUM</f>
        <v>#NAME?</v>
      </c>
      <c r="F555" s="1" t="e">
        <f t="array" ref="F555">SUM</f>
        <v>#NAME?</v>
      </c>
      <c r="G555" s="1" t="e">
        <f t="array" ref="G555">SUM</f>
        <v>#NAME?</v>
      </c>
      <c r="H555" s="1" t="e">
        <f t="array" ref="H555">SUM</f>
        <v>#NAME?</v>
      </c>
      <c r="I555" s="1" t="e">
        <f t="array" ref="I555">SUM</f>
        <v>#NAME?</v>
      </c>
      <c r="J555" s="1" t="e">
        <f t="array" ref="J555">SUM</f>
        <v>#NAME?</v>
      </c>
      <c r="K555" s="1" t="e">
        <f t="array" ref="K555">SUM</f>
        <v>#NAME?</v>
      </c>
      <c r="L555" s="1" t="e">
        <f t="array" ref="L555">SUM</f>
        <v>#NAME?</v>
      </c>
      <c r="M555" s="1" t="e">
        <f t="array" ref="M555">SUM</f>
        <v>#NAME?</v>
      </c>
      <c r="N555" s="1" t="e">
        <f t="array" ref="N555">SUM</f>
        <v>#NAME?</v>
      </c>
      <c r="O555" t="s">
        <v>30</v>
      </c>
      <c r="P555">
        <v>2021</v>
      </c>
    </row>
    <row r="556" spans="1:16" x14ac:dyDescent="0.25">
      <c r="A556" t="s">
        <v>16</v>
      </c>
      <c r="B556" s="1" t="e">
        <f t="array" ref="B556">SUM</f>
        <v>#NAME?</v>
      </c>
      <c r="C556" s="1" t="e">
        <f t="array" ref="C556">SUM</f>
        <v>#NAME?</v>
      </c>
      <c r="D556" s="1" t="e">
        <f t="array" ref="D556">SUM</f>
        <v>#NAME?</v>
      </c>
      <c r="E556" s="1" t="e">
        <f t="array" ref="E556">SUM</f>
        <v>#NAME?</v>
      </c>
      <c r="F556" s="1" t="e">
        <f t="array" ref="F556">SUM</f>
        <v>#NAME?</v>
      </c>
      <c r="G556" s="1" t="e">
        <f t="array" ref="G556">SUM</f>
        <v>#NAME?</v>
      </c>
      <c r="H556" s="1" t="e">
        <f t="array" ref="H556">SUM</f>
        <v>#NAME?</v>
      </c>
      <c r="I556" s="1" t="e">
        <f t="array" ref="I556">SUM</f>
        <v>#NAME?</v>
      </c>
      <c r="J556" s="1" t="e">
        <f t="array" ref="J556">SUM</f>
        <v>#NAME?</v>
      </c>
      <c r="K556" s="1" t="e">
        <f t="array" ref="K556">SUM</f>
        <v>#NAME?</v>
      </c>
      <c r="L556" s="1" t="e">
        <f t="array" ref="L556">SUM</f>
        <v>#NAME?</v>
      </c>
      <c r="M556" s="1" t="e">
        <f t="array" ref="M556">SUM</f>
        <v>#NAME?</v>
      </c>
      <c r="N556" s="1" t="e">
        <f t="array" ref="N556">SUM</f>
        <v>#NAME?</v>
      </c>
      <c r="O556" t="s">
        <v>30</v>
      </c>
      <c r="P556">
        <v>2021</v>
      </c>
    </row>
    <row r="557" spans="1:16" x14ac:dyDescent="0.25">
      <c r="A557" t="s">
        <v>18</v>
      </c>
      <c r="B557" s="1" t="e">
        <f t="array" ref="B557">SUM</f>
        <v>#NAME?</v>
      </c>
      <c r="C557" s="1" t="e">
        <f t="array" ref="C557">SUM</f>
        <v>#NAME?</v>
      </c>
      <c r="D557" s="1" t="e">
        <f t="array" ref="D557">SUM</f>
        <v>#NAME?</v>
      </c>
      <c r="E557" s="1" t="e">
        <f t="array" ref="E557">SUM</f>
        <v>#NAME?</v>
      </c>
      <c r="F557" s="1" t="e">
        <f t="array" ref="F557">SUM</f>
        <v>#NAME?</v>
      </c>
      <c r="G557" s="1" t="e">
        <f t="array" ref="G557">SUM</f>
        <v>#NAME?</v>
      </c>
      <c r="H557" s="1" t="e">
        <f t="array" ref="H557">SUM</f>
        <v>#NAME?</v>
      </c>
      <c r="I557" s="1" t="e">
        <f t="array" ref="I557">SUM</f>
        <v>#NAME?</v>
      </c>
      <c r="J557" s="1" t="e">
        <f t="array" ref="J557">SUM</f>
        <v>#NAME?</v>
      </c>
      <c r="K557" s="1" t="e">
        <f t="array" ref="K557">SUM</f>
        <v>#NAME?</v>
      </c>
      <c r="L557" s="1" t="e">
        <f t="array" ref="L557">SUM</f>
        <v>#NAME?</v>
      </c>
      <c r="M557" s="1" t="e">
        <f t="array" ref="M557">SUM</f>
        <v>#NAME?</v>
      </c>
      <c r="N557" s="1" t="e">
        <f t="array" ref="N557">SUM</f>
        <v>#NAME?</v>
      </c>
      <c r="O557" t="s">
        <v>20</v>
      </c>
      <c r="P557">
        <v>2021</v>
      </c>
    </row>
    <row r="558" spans="1:16" x14ac:dyDescent="0.25">
      <c r="A558" t="s">
        <v>16</v>
      </c>
      <c r="B558" s="1" t="e">
        <f t="array" ref="B558">SUM</f>
        <v>#NAME?</v>
      </c>
      <c r="C558" s="1" t="e">
        <f t="array" ref="C558">SUM</f>
        <v>#NAME?</v>
      </c>
      <c r="D558" s="1" t="e">
        <f t="array" ref="D558">SUM</f>
        <v>#NAME?</v>
      </c>
      <c r="E558" s="1" t="e">
        <f t="array" ref="E558">SUM</f>
        <v>#NAME?</v>
      </c>
      <c r="F558" s="1" t="e">
        <f t="array" ref="F558">SUM</f>
        <v>#NAME?</v>
      </c>
      <c r="G558" s="1" t="e">
        <f t="array" ref="G558">SUM</f>
        <v>#NAME?</v>
      </c>
      <c r="H558" s="1" t="e">
        <f t="array" ref="H558">SUM</f>
        <v>#NAME?</v>
      </c>
      <c r="I558" s="1" t="e">
        <f t="array" ref="I558">SUM</f>
        <v>#NAME?</v>
      </c>
      <c r="J558" s="1" t="e">
        <f t="array" ref="J558">SUM</f>
        <v>#NAME?</v>
      </c>
      <c r="K558" s="1" t="e">
        <f t="array" ref="K558">SUM</f>
        <v>#NAME?</v>
      </c>
      <c r="L558" s="1" t="e">
        <f t="array" ref="L558">SUM</f>
        <v>#NAME?</v>
      </c>
      <c r="M558" s="1" t="e">
        <f t="array" ref="M558">SUM</f>
        <v>#NAME?</v>
      </c>
      <c r="N558" s="1" t="e">
        <f t="array" ref="N558">SUM</f>
        <v>#NAME?</v>
      </c>
      <c r="O558" t="s">
        <v>20</v>
      </c>
      <c r="P558">
        <v>2021</v>
      </c>
    </row>
    <row r="559" spans="1:16" x14ac:dyDescent="0.25">
      <c r="A559" t="s">
        <v>16</v>
      </c>
      <c r="B559" s="1" t="e">
        <f t="array" ref="B559">SUM</f>
        <v>#NAME?</v>
      </c>
      <c r="C559" s="1" t="e">
        <f t="array" ref="C559">SUM</f>
        <v>#NAME?</v>
      </c>
      <c r="D559" s="1" t="e">
        <f t="array" ref="D559">SUM</f>
        <v>#NAME?</v>
      </c>
      <c r="E559" s="1" t="e">
        <f t="array" ref="E559">SUM</f>
        <v>#NAME?</v>
      </c>
      <c r="F559" s="1" t="e">
        <f t="array" ref="F559">SUM</f>
        <v>#NAME?</v>
      </c>
      <c r="G559" s="1" t="e">
        <f t="array" ref="G559">SUM</f>
        <v>#NAME?</v>
      </c>
      <c r="H559" s="1" t="e">
        <f t="array" ref="H559">SUM</f>
        <v>#NAME?</v>
      </c>
      <c r="I559" s="1" t="e">
        <f t="array" ref="I559">SUM</f>
        <v>#NAME?</v>
      </c>
      <c r="J559" s="1" t="e">
        <f t="array" ref="J559">SUM</f>
        <v>#NAME?</v>
      </c>
      <c r="K559" s="1" t="e">
        <f t="array" ref="K559">SUM</f>
        <v>#NAME?</v>
      </c>
      <c r="L559" s="1" t="e">
        <f t="array" ref="L559">SUM</f>
        <v>#NAME?</v>
      </c>
      <c r="M559" s="1" t="e">
        <f t="array" ref="M559">SUM</f>
        <v>#NAME?</v>
      </c>
      <c r="N559" s="1" t="e">
        <f t="array" ref="N559">SUM</f>
        <v>#NAME?</v>
      </c>
      <c r="O559" t="s">
        <v>24</v>
      </c>
      <c r="P559">
        <v>2021</v>
      </c>
    </row>
    <row r="560" spans="1:16" x14ac:dyDescent="0.25">
      <c r="A560" t="s">
        <v>16</v>
      </c>
      <c r="B560" s="1" t="e">
        <f t="array" ref="B560">SUM</f>
        <v>#NAME?</v>
      </c>
      <c r="C560" s="1" t="e">
        <f t="array" ref="C560">SUM</f>
        <v>#NAME?</v>
      </c>
      <c r="D560" s="1" t="e">
        <f t="array" ref="D560">SUM</f>
        <v>#NAME?</v>
      </c>
      <c r="E560" s="1" t="e">
        <f t="array" ref="E560">SUM</f>
        <v>#NAME?</v>
      </c>
      <c r="F560" s="1" t="e">
        <f t="array" ref="F560">SUM</f>
        <v>#NAME?</v>
      </c>
      <c r="G560" s="1" t="e">
        <f t="array" ref="G560">SUM</f>
        <v>#NAME?</v>
      </c>
      <c r="H560" s="1" t="e">
        <f t="array" ref="H560">SUM</f>
        <v>#NAME?</v>
      </c>
      <c r="I560" s="1" t="e">
        <f t="array" ref="I560">SUM</f>
        <v>#NAME?</v>
      </c>
      <c r="J560" s="1" t="e">
        <f t="array" ref="J560">SUM</f>
        <v>#NAME?</v>
      </c>
      <c r="K560" s="1" t="e">
        <f t="array" ref="K560">SUM</f>
        <v>#NAME?</v>
      </c>
      <c r="L560" s="1" t="e">
        <f t="array" ref="L560">SUM</f>
        <v>#NAME?</v>
      </c>
      <c r="M560" s="1" t="e">
        <f t="array" ref="M560">SUM</f>
        <v>#NAME?</v>
      </c>
      <c r="N560" s="1" t="e">
        <f t="array" ref="N560">SUM</f>
        <v>#NAME?</v>
      </c>
      <c r="O560" t="s">
        <v>28</v>
      </c>
      <c r="P560">
        <v>2021</v>
      </c>
    </row>
    <row r="561" spans="1:16" x14ac:dyDescent="0.25">
      <c r="A561" t="s">
        <v>16</v>
      </c>
      <c r="B561" s="1" t="e">
        <f t="array" ref="B561">SUM</f>
        <v>#NAME?</v>
      </c>
      <c r="C561" s="1" t="e">
        <f t="array" ref="C561">SUM</f>
        <v>#NAME?</v>
      </c>
      <c r="D561" s="1" t="e">
        <f t="array" ref="D561">SUM</f>
        <v>#NAME?</v>
      </c>
      <c r="E561" s="1" t="e">
        <f t="array" ref="E561">SUM</f>
        <v>#NAME?</v>
      </c>
      <c r="F561" s="1" t="e">
        <f t="array" ref="F561">SUM</f>
        <v>#NAME?</v>
      </c>
      <c r="G561" s="1" t="e">
        <f t="array" ref="G561">SUM</f>
        <v>#NAME?</v>
      </c>
      <c r="H561" s="1" t="e">
        <f t="array" ref="H561">SUM</f>
        <v>#NAME?</v>
      </c>
      <c r="I561" s="1" t="e">
        <f t="array" ref="I561">SUM</f>
        <v>#NAME?</v>
      </c>
      <c r="J561" s="1" t="e">
        <f t="array" ref="J561">SUM</f>
        <v>#NAME?</v>
      </c>
      <c r="K561" s="1" t="e">
        <f t="array" ref="K561">SUM</f>
        <v>#NAME?</v>
      </c>
      <c r="L561" s="1" t="e">
        <f t="array" ref="L561">SUM</f>
        <v>#NAME?</v>
      </c>
      <c r="M561" s="1" t="e">
        <f t="array" ref="M561">SUM</f>
        <v>#NAME?</v>
      </c>
      <c r="N561" s="1" t="e">
        <f t="array" ref="N561">SUM</f>
        <v>#NAME?</v>
      </c>
      <c r="O561" t="s">
        <v>28</v>
      </c>
      <c r="P561">
        <v>2021</v>
      </c>
    </row>
    <row r="562" spans="1:16" x14ac:dyDescent="0.25">
      <c r="A562" t="s">
        <v>22</v>
      </c>
      <c r="B562" s="1" t="e">
        <f t="array" ref="B562">SUM</f>
        <v>#NAME?</v>
      </c>
      <c r="C562" s="1" t="e">
        <f t="array" ref="C562">SUM</f>
        <v>#NAME?</v>
      </c>
      <c r="D562" s="1" t="e">
        <f t="array" ref="D562">SUM</f>
        <v>#NAME?</v>
      </c>
      <c r="E562" s="1" t="e">
        <f t="array" ref="E562">SUM</f>
        <v>#NAME?</v>
      </c>
      <c r="F562" s="1" t="e">
        <f t="array" ref="F562">SUM</f>
        <v>#NAME?</v>
      </c>
      <c r="G562" s="1" t="e">
        <f t="array" ref="G562">SUM</f>
        <v>#NAME?</v>
      </c>
      <c r="H562" s="1" t="e">
        <f t="array" ref="H562">SUM</f>
        <v>#NAME?</v>
      </c>
      <c r="I562" s="1" t="e">
        <f t="array" ref="I562">SUM</f>
        <v>#NAME?</v>
      </c>
      <c r="J562" s="1" t="e">
        <f t="array" ref="J562">SUM</f>
        <v>#NAME?</v>
      </c>
      <c r="K562" s="1" t="e">
        <f t="array" ref="K562">SUM</f>
        <v>#NAME?</v>
      </c>
      <c r="L562" s="1" t="e">
        <f t="array" ref="L562">SUM</f>
        <v>#NAME?</v>
      </c>
      <c r="M562" s="1" t="e">
        <f t="array" ref="M562">SUM</f>
        <v>#NAME?</v>
      </c>
      <c r="N562" s="1" t="e">
        <f t="array" ref="N562">SUM</f>
        <v>#NAME?</v>
      </c>
      <c r="O562" t="s">
        <v>32</v>
      </c>
      <c r="P562">
        <v>2021</v>
      </c>
    </row>
    <row r="563" spans="1:16" x14ac:dyDescent="0.25">
      <c r="A563" t="s">
        <v>18</v>
      </c>
      <c r="B563" s="1" t="e">
        <f t="array" ref="B563">SUM</f>
        <v>#NAME?</v>
      </c>
      <c r="C563" s="1" t="e">
        <f t="array" ref="C563">SUM</f>
        <v>#NAME?</v>
      </c>
      <c r="D563" s="1" t="e">
        <f t="array" ref="D563">SUM</f>
        <v>#NAME?</v>
      </c>
      <c r="E563" s="1" t="e">
        <f t="array" ref="E563">SUM</f>
        <v>#NAME?</v>
      </c>
      <c r="F563" s="1" t="e">
        <f t="array" ref="F563">SUM</f>
        <v>#NAME?</v>
      </c>
      <c r="G563" s="1" t="e">
        <f t="array" ref="G563">SUM</f>
        <v>#NAME?</v>
      </c>
      <c r="H563" s="1" t="e">
        <f t="array" ref="H563">SUM</f>
        <v>#NAME?</v>
      </c>
      <c r="I563" s="1" t="e">
        <f t="array" ref="I563">SUM</f>
        <v>#NAME?</v>
      </c>
      <c r="J563" s="1" t="e">
        <f t="array" ref="J563">SUM</f>
        <v>#NAME?</v>
      </c>
      <c r="K563" s="1" t="e">
        <f t="array" ref="K563">SUM</f>
        <v>#NAME?</v>
      </c>
      <c r="L563" s="1" t="e">
        <f t="array" ref="L563">SUM</f>
        <v>#NAME?</v>
      </c>
      <c r="M563" s="1" t="e">
        <f t="array" ref="M563">SUM</f>
        <v>#NAME?</v>
      </c>
      <c r="N563" s="1" t="e">
        <f t="array" ref="N563">SUM</f>
        <v>#NAME?</v>
      </c>
      <c r="O563" t="s">
        <v>24</v>
      </c>
      <c r="P563">
        <v>2021</v>
      </c>
    </row>
    <row r="564" spans="1:16" x14ac:dyDescent="0.25">
      <c r="A564" t="s">
        <v>16</v>
      </c>
      <c r="B564" s="1" t="e">
        <f t="array" ref="B564">SUM</f>
        <v>#NAME?</v>
      </c>
      <c r="C564" s="1" t="e">
        <f t="array" ref="C564">SUM</f>
        <v>#NAME?</v>
      </c>
      <c r="D564" s="1" t="e">
        <f t="array" ref="D564">SUM</f>
        <v>#NAME?</v>
      </c>
      <c r="E564" s="1" t="e">
        <f t="array" ref="E564">SUM</f>
        <v>#NAME?</v>
      </c>
      <c r="F564" s="1" t="e">
        <f t="array" ref="F564">SUM</f>
        <v>#NAME?</v>
      </c>
      <c r="G564" s="1" t="e">
        <f t="array" ref="G564">SUM</f>
        <v>#NAME?</v>
      </c>
      <c r="H564" s="1" t="e">
        <f t="array" ref="H564">SUM</f>
        <v>#NAME?</v>
      </c>
      <c r="I564" s="1" t="e">
        <f t="array" ref="I564">SUM</f>
        <v>#NAME?</v>
      </c>
      <c r="J564" s="1" t="e">
        <f t="array" ref="J564">SUM</f>
        <v>#NAME?</v>
      </c>
      <c r="K564" s="1" t="e">
        <f t="array" ref="K564">SUM</f>
        <v>#NAME?</v>
      </c>
      <c r="L564" s="1" t="e">
        <f t="array" ref="L564">SUM</f>
        <v>#NAME?</v>
      </c>
      <c r="M564" s="1" t="e">
        <f t="array" ref="M564">SUM</f>
        <v>#NAME?</v>
      </c>
      <c r="N564" s="1" t="e">
        <f t="array" ref="N564">SUM</f>
        <v>#NAME?</v>
      </c>
      <c r="O564" t="s">
        <v>27</v>
      </c>
      <c r="P564">
        <v>2021</v>
      </c>
    </row>
    <row r="565" spans="1:16" x14ac:dyDescent="0.25">
      <c r="A565" t="s">
        <v>16</v>
      </c>
      <c r="B565" s="1" t="e">
        <f t="array" ref="B565">SUM</f>
        <v>#NAME?</v>
      </c>
      <c r="C565" s="1" t="e">
        <f t="array" ref="C565">SUM</f>
        <v>#NAME?</v>
      </c>
      <c r="D565" s="1" t="e">
        <f t="array" ref="D565">SUM</f>
        <v>#NAME?</v>
      </c>
      <c r="E565" s="1" t="e">
        <f t="array" ref="E565">SUM</f>
        <v>#NAME?</v>
      </c>
      <c r="F565" s="1" t="e">
        <f t="array" ref="F565">SUM</f>
        <v>#NAME?</v>
      </c>
      <c r="G565" s="1" t="e">
        <f t="array" ref="G565">SUM</f>
        <v>#NAME?</v>
      </c>
      <c r="H565" s="1" t="e">
        <f t="array" ref="H565">SUM</f>
        <v>#NAME?</v>
      </c>
      <c r="I565" s="1" t="e">
        <f t="array" ref="I565">SUM</f>
        <v>#NAME?</v>
      </c>
      <c r="J565" s="1" t="e">
        <f t="array" ref="J565">SUM</f>
        <v>#NAME?</v>
      </c>
      <c r="K565" s="1" t="e">
        <f t="array" ref="K565">SUM</f>
        <v>#NAME?</v>
      </c>
      <c r="L565" s="1" t="e">
        <f t="array" ref="L565">SUM</f>
        <v>#NAME?</v>
      </c>
      <c r="M565" s="1" t="e">
        <f t="array" ref="M565">SUM</f>
        <v>#NAME?</v>
      </c>
      <c r="N565" s="1" t="e">
        <f t="array" ref="N565">SUM</f>
        <v>#NAME?</v>
      </c>
      <c r="O565" t="s">
        <v>28</v>
      </c>
      <c r="P565">
        <v>2021</v>
      </c>
    </row>
    <row r="566" spans="1:16" x14ac:dyDescent="0.25">
      <c r="A566" t="s">
        <v>23</v>
      </c>
      <c r="B566" s="1" t="e">
        <f t="array" ref="B566">SUM</f>
        <v>#NAME?</v>
      </c>
      <c r="C566" s="1" t="e">
        <f t="array" ref="C566">SUM</f>
        <v>#NAME?</v>
      </c>
      <c r="D566" s="1" t="e">
        <f t="array" ref="D566">SUM</f>
        <v>#NAME?</v>
      </c>
      <c r="E566" s="1" t="e">
        <f t="array" ref="E566">SUM</f>
        <v>#NAME?</v>
      </c>
      <c r="F566" s="1" t="e">
        <f t="array" ref="F566">SUM</f>
        <v>#NAME?</v>
      </c>
      <c r="G566" s="1" t="e">
        <f t="array" ref="G566">SUM</f>
        <v>#NAME?</v>
      </c>
      <c r="H566" s="1" t="e">
        <f t="array" ref="H566">SUM</f>
        <v>#NAME?</v>
      </c>
      <c r="I566" s="1" t="e">
        <f t="array" ref="I566">SUM</f>
        <v>#NAME?</v>
      </c>
      <c r="J566" s="1" t="e">
        <f t="array" ref="J566">SUM</f>
        <v>#NAME?</v>
      </c>
      <c r="K566" s="1" t="e">
        <f t="array" ref="K566">SUM</f>
        <v>#NAME?</v>
      </c>
      <c r="L566" s="1" t="e">
        <f t="array" ref="L566">SUM</f>
        <v>#NAME?</v>
      </c>
      <c r="M566" s="1" t="e">
        <f t="array" ref="M566">SUM</f>
        <v>#NAME?</v>
      </c>
      <c r="N566" s="1" t="e">
        <f t="array" ref="N566">SUM</f>
        <v>#NAME?</v>
      </c>
      <c r="O566" t="s">
        <v>30</v>
      </c>
      <c r="P566">
        <v>2021</v>
      </c>
    </row>
    <row r="567" spans="1:16" x14ac:dyDescent="0.25">
      <c r="A567" t="s">
        <v>16</v>
      </c>
      <c r="B567" s="1" t="e">
        <f t="array" ref="B567">SUM</f>
        <v>#NAME?</v>
      </c>
      <c r="C567" s="1" t="e">
        <f t="array" ref="C567">SUM</f>
        <v>#NAME?</v>
      </c>
      <c r="D567" s="1" t="e">
        <f t="array" ref="D567">SUM</f>
        <v>#NAME?</v>
      </c>
      <c r="E567" s="1" t="e">
        <f t="array" ref="E567">SUM</f>
        <v>#NAME?</v>
      </c>
      <c r="F567" s="1" t="e">
        <f t="array" ref="F567">SUM</f>
        <v>#NAME?</v>
      </c>
      <c r="G567" s="1" t="e">
        <f t="array" ref="G567">SUM</f>
        <v>#NAME?</v>
      </c>
      <c r="H567" s="1" t="e">
        <f t="array" ref="H567">SUM</f>
        <v>#NAME?</v>
      </c>
      <c r="I567" s="1" t="e">
        <f t="array" ref="I567">SUM</f>
        <v>#NAME?</v>
      </c>
      <c r="J567" s="1" t="e">
        <f t="array" ref="J567">SUM</f>
        <v>#NAME?</v>
      </c>
      <c r="K567" s="1" t="e">
        <f t="array" ref="K567">SUM</f>
        <v>#NAME?</v>
      </c>
      <c r="L567" s="1" t="e">
        <f t="array" ref="L567">SUM</f>
        <v>#NAME?</v>
      </c>
      <c r="M567" s="1" t="e">
        <f t="array" ref="M567">SUM</f>
        <v>#NAME?</v>
      </c>
      <c r="N567" s="1" t="e">
        <f t="array" ref="N567">SUM</f>
        <v>#NAME?</v>
      </c>
      <c r="O567" t="s">
        <v>20</v>
      </c>
      <c r="P567">
        <v>2021</v>
      </c>
    </row>
    <row r="568" spans="1:16" x14ac:dyDescent="0.25">
      <c r="A568" t="s">
        <v>16</v>
      </c>
      <c r="B568" s="1" t="e">
        <f t="array" ref="B568">SUM</f>
        <v>#NAME?</v>
      </c>
      <c r="C568" s="1" t="e">
        <f t="array" ref="C568">SUM</f>
        <v>#NAME?</v>
      </c>
      <c r="D568" s="1" t="e">
        <f t="array" ref="D568">SUM</f>
        <v>#NAME?</v>
      </c>
      <c r="E568" s="1" t="e">
        <f t="array" ref="E568">SUM</f>
        <v>#NAME?</v>
      </c>
      <c r="F568" s="1" t="e">
        <f t="array" ref="F568">SUM</f>
        <v>#NAME?</v>
      </c>
      <c r="G568" s="1" t="e">
        <f t="array" ref="G568">SUM</f>
        <v>#NAME?</v>
      </c>
      <c r="H568" s="1" t="e">
        <f t="array" ref="H568">SUM</f>
        <v>#NAME?</v>
      </c>
      <c r="I568" s="1" t="e">
        <f t="array" ref="I568">SUM</f>
        <v>#NAME?</v>
      </c>
      <c r="J568" s="1" t="e">
        <f t="array" ref="J568">SUM</f>
        <v>#NAME?</v>
      </c>
      <c r="K568" s="1" t="e">
        <f t="array" ref="K568">SUM</f>
        <v>#NAME?</v>
      </c>
      <c r="L568" s="1" t="e">
        <f t="array" ref="L568">SUM</f>
        <v>#NAME?</v>
      </c>
      <c r="M568" s="1" t="e">
        <f t="array" ref="M568">SUM</f>
        <v>#NAME?</v>
      </c>
      <c r="N568" s="1" t="e">
        <f t="array" ref="N568">SUM</f>
        <v>#NAME?</v>
      </c>
      <c r="O568" t="s">
        <v>29</v>
      </c>
      <c r="P568">
        <v>2021</v>
      </c>
    </row>
    <row r="569" spans="1:16" x14ac:dyDescent="0.25">
      <c r="A569" t="s">
        <v>16</v>
      </c>
      <c r="B569" s="1" t="e">
        <f t="array" ref="B569">SUM</f>
        <v>#NAME?</v>
      </c>
      <c r="C569" s="1" t="e">
        <f t="array" ref="C569">SUM</f>
        <v>#NAME?</v>
      </c>
      <c r="D569" s="1" t="e">
        <f t="array" ref="D569">SUM</f>
        <v>#NAME?</v>
      </c>
      <c r="E569" s="1" t="e">
        <f t="array" ref="E569">SUM</f>
        <v>#NAME?</v>
      </c>
      <c r="F569" s="1" t="e">
        <f t="array" ref="F569">SUM</f>
        <v>#NAME?</v>
      </c>
      <c r="G569" s="1" t="e">
        <f t="array" ref="G569">SUM</f>
        <v>#NAME?</v>
      </c>
      <c r="H569" s="1" t="e">
        <f t="array" ref="H569">SUM</f>
        <v>#NAME?</v>
      </c>
      <c r="I569" s="1" t="e">
        <f t="array" ref="I569">SUM</f>
        <v>#NAME?</v>
      </c>
      <c r="J569" s="1" t="e">
        <f t="array" ref="J569">SUM</f>
        <v>#NAME?</v>
      </c>
      <c r="K569" s="1" t="e">
        <f t="array" ref="K569">SUM</f>
        <v>#NAME?</v>
      </c>
      <c r="L569" s="1" t="e">
        <f t="array" ref="L569">SUM</f>
        <v>#NAME?</v>
      </c>
      <c r="M569" s="1" t="e">
        <f t="array" ref="M569">SUM</f>
        <v>#NAME?</v>
      </c>
      <c r="N569" s="1" t="e">
        <f t="array" ref="N569">SUM</f>
        <v>#NAME?</v>
      </c>
      <c r="O569" t="s">
        <v>24</v>
      </c>
      <c r="P569">
        <v>2021</v>
      </c>
    </row>
    <row r="570" spans="1:16" x14ac:dyDescent="0.25">
      <c r="A570" t="s">
        <v>16</v>
      </c>
      <c r="B570" s="1" t="e">
        <f t="array" ref="B570">SUM</f>
        <v>#NAME?</v>
      </c>
      <c r="C570" s="1" t="e">
        <f t="array" ref="C570">SUM</f>
        <v>#NAME?</v>
      </c>
      <c r="D570" s="1" t="e">
        <f t="array" ref="D570">SUM</f>
        <v>#NAME?</v>
      </c>
      <c r="E570" s="1" t="e">
        <f t="array" ref="E570">SUM</f>
        <v>#NAME?</v>
      </c>
      <c r="F570" s="1" t="e">
        <f t="array" ref="F570">SUM</f>
        <v>#NAME?</v>
      </c>
      <c r="G570" s="1" t="e">
        <f t="array" ref="G570">SUM</f>
        <v>#NAME?</v>
      </c>
      <c r="H570" s="1" t="e">
        <f t="array" ref="H570">SUM</f>
        <v>#NAME?</v>
      </c>
      <c r="I570" s="1" t="e">
        <f t="array" ref="I570">SUM</f>
        <v>#NAME?</v>
      </c>
      <c r="J570" s="1" t="e">
        <f t="array" ref="J570">SUM</f>
        <v>#NAME?</v>
      </c>
      <c r="K570" s="1" t="e">
        <f t="array" ref="K570">SUM</f>
        <v>#NAME?</v>
      </c>
      <c r="L570" s="1" t="e">
        <f t="array" ref="L570">SUM</f>
        <v>#NAME?</v>
      </c>
      <c r="M570" s="1" t="e">
        <f t="array" ref="M570">SUM</f>
        <v>#NAME?</v>
      </c>
      <c r="N570" s="1" t="e">
        <f t="array" ref="N570">SUM</f>
        <v>#NAME?</v>
      </c>
      <c r="O570" t="s">
        <v>28</v>
      </c>
      <c r="P570">
        <v>2021</v>
      </c>
    </row>
    <row r="571" spans="1:16" x14ac:dyDescent="0.25">
      <c r="A571" t="s">
        <v>18</v>
      </c>
      <c r="B571" s="1" t="e">
        <f t="array" ref="B571">SUM</f>
        <v>#NAME?</v>
      </c>
      <c r="C571" s="1" t="e">
        <f t="array" ref="C571">SUM</f>
        <v>#NAME?</v>
      </c>
      <c r="D571" s="1" t="e">
        <f t="array" ref="D571">SUM</f>
        <v>#NAME?</v>
      </c>
      <c r="E571" s="1" t="e">
        <f t="array" ref="E571">SUM</f>
        <v>#NAME?</v>
      </c>
      <c r="F571" s="1" t="e">
        <f t="array" ref="F571">SUM</f>
        <v>#NAME?</v>
      </c>
      <c r="G571" s="1" t="e">
        <f t="array" ref="G571">SUM</f>
        <v>#NAME?</v>
      </c>
      <c r="H571" s="1" t="e">
        <f t="array" ref="H571">SUM</f>
        <v>#NAME?</v>
      </c>
      <c r="I571" s="1" t="e">
        <f t="array" ref="I571">SUM</f>
        <v>#NAME?</v>
      </c>
      <c r="J571" s="1" t="e">
        <f t="array" ref="J571">SUM</f>
        <v>#NAME?</v>
      </c>
      <c r="K571" s="1" t="e">
        <f t="array" ref="K571">SUM</f>
        <v>#NAME?</v>
      </c>
      <c r="L571" s="1" t="e">
        <f t="array" ref="L571">SUM</f>
        <v>#NAME?</v>
      </c>
      <c r="M571" s="1" t="e">
        <f t="array" ref="M571">SUM</f>
        <v>#NAME?</v>
      </c>
      <c r="N571" s="1" t="e">
        <f t="array" ref="N571">SUM</f>
        <v>#NAME?</v>
      </c>
      <c r="O571" t="s">
        <v>30</v>
      </c>
      <c r="P571">
        <v>2021</v>
      </c>
    </row>
    <row r="572" spans="1:16" x14ac:dyDescent="0.25">
      <c r="A572" t="s">
        <v>16</v>
      </c>
      <c r="B572" s="1" t="e">
        <f t="array" ref="B572">SUM</f>
        <v>#NAME?</v>
      </c>
      <c r="C572" s="1" t="e">
        <f t="array" ref="C572">SUM</f>
        <v>#NAME?</v>
      </c>
      <c r="D572" s="1" t="e">
        <f t="array" ref="D572">SUM</f>
        <v>#NAME?</v>
      </c>
      <c r="E572" s="1" t="e">
        <f t="array" ref="E572">SUM</f>
        <v>#NAME?</v>
      </c>
      <c r="F572" s="1" t="e">
        <f t="array" ref="F572">SUM</f>
        <v>#NAME?</v>
      </c>
      <c r="G572" s="1" t="e">
        <f t="array" ref="G572">SUM</f>
        <v>#NAME?</v>
      </c>
      <c r="H572" s="1" t="e">
        <f t="array" ref="H572">SUM</f>
        <v>#NAME?</v>
      </c>
      <c r="I572" s="1" t="e">
        <f t="array" ref="I572">SUM</f>
        <v>#NAME?</v>
      </c>
      <c r="J572" s="1" t="e">
        <f t="array" ref="J572">SUM</f>
        <v>#NAME?</v>
      </c>
      <c r="K572" s="1" t="e">
        <f t="array" ref="K572">SUM</f>
        <v>#NAME?</v>
      </c>
      <c r="L572" s="1" t="e">
        <f t="array" ref="L572">SUM</f>
        <v>#NAME?</v>
      </c>
      <c r="M572" s="1" t="e">
        <f t="array" ref="M572">SUM</f>
        <v>#NAME?</v>
      </c>
      <c r="N572" s="1" t="e">
        <f t="array" ref="N572">SUM</f>
        <v>#NAME?</v>
      </c>
      <c r="O572" t="s">
        <v>17</v>
      </c>
      <c r="P572">
        <v>2021</v>
      </c>
    </row>
    <row r="573" spans="1:16" x14ac:dyDescent="0.25">
      <c r="A573" t="s">
        <v>22</v>
      </c>
      <c r="B573" s="1" t="e">
        <f t="array" ref="B573">SUM</f>
        <v>#NAME?</v>
      </c>
      <c r="C573" s="1" t="e">
        <f t="array" ref="C573">SUM</f>
        <v>#NAME?</v>
      </c>
      <c r="D573" s="1" t="e">
        <f t="array" ref="D573">SUM</f>
        <v>#NAME?</v>
      </c>
      <c r="E573" s="1" t="e">
        <f t="array" ref="E573">SUM</f>
        <v>#NAME?</v>
      </c>
      <c r="F573" s="1" t="e">
        <f t="array" ref="F573">SUM</f>
        <v>#NAME?</v>
      </c>
      <c r="G573" s="1" t="e">
        <f t="array" ref="G573">SUM</f>
        <v>#NAME?</v>
      </c>
      <c r="H573" s="1" t="e">
        <f t="array" ref="H573">SUM</f>
        <v>#NAME?</v>
      </c>
      <c r="I573" s="1" t="e">
        <f t="array" ref="I573">SUM</f>
        <v>#NAME?</v>
      </c>
      <c r="J573" s="1" t="e">
        <f t="array" ref="J573">SUM</f>
        <v>#NAME?</v>
      </c>
      <c r="K573" s="1" t="e">
        <f t="array" ref="K573">SUM</f>
        <v>#NAME?</v>
      </c>
      <c r="L573" s="1" t="e">
        <f t="array" ref="L573">SUM</f>
        <v>#NAME?</v>
      </c>
      <c r="M573" s="1" t="e">
        <f t="array" ref="M573">SUM</f>
        <v>#NAME?</v>
      </c>
      <c r="N573" s="1" t="e">
        <f t="array" ref="N573">SUM</f>
        <v>#NAME?</v>
      </c>
      <c r="O573" t="s">
        <v>32</v>
      </c>
      <c r="P573">
        <v>2021</v>
      </c>
    </row>
    <row r="574" spans="1:16" x14ac:dyDescent="0.25">
      <c r="A574" t="s">
        <v>16</v>
      </c>
      <c r="B574" s="1" t="e">
        <f t="array" ref="B574">SUM</f>
        <v>#NAME?</v>
      </c>
      <c r="C574" s="1" t="e">
        <f t="array" ref="C574">SUM</f>
        <v>#NAME?</v>
      </c>
      <c r="D574" s="1" t="e">
        <f t="array" ref="D574">SUM</f>
        <v>#NAME?</v>
      </c>
      <c r="E574" s="1" t="e">
        <f t="array" ref="E574">SUM</f>
        <v>#NAME?</v>
      </c>
      <c r="F574" s="1" t="e">
        <f t="array" ref="F574">SUM</f>
        <v>#NAME?</v>
      </c>
      <c r="G574" s="1" t="e">
        <f t="array" ref="G574">SUM</f>
        <v>#NAME?</v>
      </c>
      <c r="H574" s="1" t="e">
        <f t="array" ref="H574">SUM</f>
        <v>#NAME?</v>
      </c>
      <c r="I574" s="1" t="e">
        <f t="array" ref="I574">SUM</f>
        <v>#NAME?</v>
      </c>
      <c r="J574" s="1" t="e">
        <f t="array" ref="J574">SUM</f>
        <v>#NAME?</v>
      </c>
      <c r="K574" s="1" t="e">
        <f t="array" ref="K574">SUM</f>
        <v>#NAME?</v>
      </c>
      <c r="L574" s="1" t="e">
        <f t="array" ref="L574">SUM</f>
        <v>#NAME?</v>
      </c>
      <c r="M574" s="1" t="e">
        <f t="array" ref="M574">SUM</f>
        <v>#NAME?</v>
      </c>
      <c r="N574" s="1" t="e">
        <f t="array" ref="N574">SUM</f>
        <v>#NAME?</v>
      </c>
      <c r="O574" t="s">
        <v>20</v>
      </c>
      <c r="P574">
        <v>2021</v>
      </c>
    </row>
    <row r="575" spans="1:16" x14ac:dyDescent="0.25">
      <c r="A575" t="s">
        <v>16</v>
      </c>
      <c r="B575" s="1" t="e">
        <f t="array" ref="B575">SUM</f>
        <v>#NAME?</v>
      </c>
      <c r="C575" s="1" t="e">
        <f t="array" ref="C575">SUM</f>
        <v>#NAME?</v>
      </c>
      <c r="D575" s="1" t="e">
        <f t="array" ref="D575">SUM</f>
        <v>#NAME?</v>
      </c>
      <c r="E575" s="1" t="e">
        <f t="array" ref="E575">SUM</f>
        <v>#NAME?</v>
      </c>
      <c r="F575" s="1" t="e">
        <f t="array" ref="F575">SUM</f>
        <v>#NAME?</v>
      </c>
      <c r="G575" s="1" t="e">
        <f t="array" ref="G575">SUM</f>
        <v>#NAME?</v>
      </c>
      <c r="H575" s="1" t="e">
        <f t="array" ref="H575">SUM</f>
        <v>#NAME?</v>
      </c>
      <c r="I575" s="1" t="e">
        <f t="array" ref="I575">SUM</f>
        <v>#NAME?</v>
      </c>
      <c r="J575" s="1" t="e">
        <f t="array" ref="J575">SUM</f>
        <v>#NAME?</v>
      </c>
      <c r="K575" s="1" t="e">
        <f t="array" ref="K575">SUM</f>
        <v>#NAME?</v>
      </c>
      <c r="L575" s="1" t="e">
        <f t="array" ref="L575">SUM</f>
        <v>#NAME?</v>
      </c>
      <c r="M575" s="1" t="e">
        <f t="array" ref="M575">SUM</f>
        <v>#NAME?</v>
      </c>
      <c r="N575" s="1" t="e">
        <f t="array" ref="N575">SUM</f>
        <v>#NAME?</v>
      </c>
      <c r="O575" t="s">
        <v>21</v>
      </c>
      <c r="P575">
        <v>2021</v>
      </c>
    </row>
    <row r="576" spans="1:16" x14ac:dyDescent="0.25">
      <c r="A576" t="s">
        <v>16</v>
      </c>
      <c r="B576" s="1" t="e">
        <f t="array" ref="B576">SUM</f>
        <v>#NAME?</v>
      </c>
      <c r="C576" s="1" t="e">
        <f t="array" ref="C576">SUM</f>
        <v>#NAME?</v>
      </c>
      <c r="D576" s="1" t="e">
        <f t="array" ref="D576">SUM</f>
        <v>#NAME?</v>
      </c>
      <c r="E576" s="1" t="e">
        <f t="array" ref="E576">SUM</f>
        <v>#NAME?</v>
      </c>
      <c r="F576" s="1" t="e">
        <f t="array" ref="F576">SUM</f>
        <v>#NAME?</v>
      </c>
      <c r="G576" s="1" t="e">
        <f t="array" ref="G576">SUM</f>
        <v>#NAME?</v>
      </c>
      <c r="H576" s="1" t="e">
        <f t="array" ref="H576">SUM</f>
        <v>#NAME?</v>
      </c>
      <c r="I576" s="1" t="e">
        <f t="array" ref="I576">SUM</f>
        <v>#NAME?</v>
      </c>
      <c r="J576" s="1" t="e">
        <f t="array" ref="J576">SUM</f>
        <v>#NAME?</v>
      </c>
      <c r="K576" s="1" t="e">
        <f t="array" ref="K576">SUM</f>
        <v>#NAME?</v>
      </c>
      <c r="L576" s="1" t="e">
        <f t="array" ref="L576">SUM</f>
        <v>#NAME?</v>
      </c>
      <c r="M576" s="1" t="e">
        <f t="array" ref="M576">SUM</f>
        <v>#NAME?</v>
      </c>
      <c r="N576" s="1" t="e">
        <f t="array" ref="N576">SUM</f>
        <v>#NAME?</v>
      </c>
      <c r="O576" t="s">
        <v>20</v>
      </c>
      <c r="P576">
        <v>2021</v>
      </c>
    </row>
    <row r="577" spans="1:16" x14ac:dyDescent="0.25">
      <c r="A577" t="s">
        <v>22</v>
      </c>
      <c r="B577" s="1" t="e">
        <f t="array" ref="B577">SUM</f>
        <v>#NAME?</v>
      </c>
      <c r="C577" s="1" t="e">
        <f t="array" ref="C577">SUM</f>
        <v>#NAME?</v>
      </c>
      <c r="D577" s="1" t="e">
        <f t="array" ref="D577">SUM</f>
        <v>#NAME?</v>
      </c>
      <c r="E577" s="1" t="e">
        <f t="array" ref="E577">SUM</f>
        <v>#NAME?</v>
      </c>
      <c r="F577" s="1" t="e">
        <f t="array" ref="F577">SUM</f>
        <v>#NAME?</v>
      </c>
      <c r="G577" s="1" t="e">
        <f t="array" ref="G577">SUM</f>
        <v>#NAME?</v>
      </c>
      <c r="H577" s="1" t="e">
        <f t="array" ref="H577">SUM</f>
        <v>#NAME?</v>
      </c>
      <c r="I577" s="1" t="e">
        <f t="array" ref="I577">SUM</f>
        <v>#NAME?</v>
      </c>
      <c r="J577" s="1" t="e">
        <f t="array" ref="J577">SUM</f>
        <v>#NAME?</v>
      </c>
      <c r="K577" s="1" t="e">
        <f t="array" ref="K577">SUM</f>
        <v>#NAME?</v>
      </c>
      <c r="L577" s="1" t="e">
        <f t="array" ref="L577">SUM</f>
        <v>#NAME?</v>
      </c>
      <c r="M577" s="1" t="e">
        <f t="array" ref="M577">SUM</f>
        <v>#NAME?</v>
      </c>
      <c r="N577" s="1" t="e">
        <f t="array" ref="N577">SUM</f>
        <v>#NAME?</v>
      </c>
      <c r="O577" t="s">
        <v>27</v>
      </c>
      <c r="P577">
        <v>2021</v>
      </c>
    </row>
    <row r="578" spans="1:16" x14ac:dyDescent="0.25">
      <c r="A578" t="s">
        <v>18</v>
      </c>
      <c r="B578" s="1" t="e">
        <f t="array" ref="B578">SUM</f>
        <v>#NAME?</v>
      </c>
      <c r="C578" s="1" t="e">
        <f t="array" ref="C578">SUM</f>
        <v>#NAME?</v>
      </c>
      <c r="D578" s="1" t="e">
        <f t="array" ref="D578">SUM</f>
        <v>#NAME?</v>
      </c>
      <c r="E578" s="1" t="e">
        <f t="array" ref="E578">SUM</f>
        <v>#NAME?</v>
      </c>
      <c r="F578" s="1" t="e">
        <f t="array" ref="F578">SUM</f>
        <v>#NAME?</v>
      </c>
      <c r="G578" s="1" t="e">
        <f t="array" ref="G578">SUM</f>
        <v>#NAME?</v>
      </c>
      <c r="H578" s="1" t="e">
        <f t="array" ref="H578">SUM</f>
        <v>#NAME?</v>
      </c>
      <c r="I578" s="1" t="e">
        <f t="array" ref="I578">SUM</f>
        <v>#NAME?</v>
      </c>
      <c r="J578" s="1" t="e">
        <f t="array" ref="J578">SUM</f>
        <v>#NAME?</v>
      </c>
      <c r="K578" s="1" t="e">
        <f t="array" ref="K578">SUM</f>
        <v>#NAME?</v>
      </c>
      <c r="L578" s="1" t="e">
        <f t="array" ref="L578">SUM</f>
        <v>#NAME?</v>
      </c>
      <c r="M578" s="1" t="e">
        <f t="array" ref="M578">SUM</f>
        <v>#NAME?</v>
      </c>
      <c r="N578" s="1" t="e">
        <f t="array" ref="N578">SUM</f>
        <v>#NAME?</v>
      </c>
      <c r="O578" t="s">
        <v>19</v>
      </c>
      <c r="P578">
        <v>2021</v>
      </c>
    </row>
    <row r="579" spans="1:16" x14ac:dyDescent="0.25">
      <c r="A579" t="s">
        <v>18</v>
      </c>
      <c r="B579" s="1" t="e">
        <f t="array" ref="B579">SUM</f>
        <v>#NAME?</v>
      </c>
      <c r="C579" s="1" t="e">
        <f t="array" ref="C579">SUM</f>
        <v>#NAME?</v>
      </c>
      <c r="D579" s="1" t="e">
        <f t="array" ref="D579">SUM</f>
        <v>#NAME?</v>
      </c>
      <c r="E579" s="1" t="e">
        <f t="array" ref="E579">SUM</f>
        <v>#NAME?</v>
      </c>
      <c r="F579" s="1" t="e">
        <f t="array" ref="F579">SUM</f>
        <v>#NAME?</v>
      </c>
      <c r="G579" s="1" t="e">
        <f t="array" ref="G579">SUM</f>
        <v>#NAME?</v>
      </c>
      <c r="H579" s="1" t="e">
        <f t="array" ref="H579">SUM</f>
        <v>#NAME?</v>
      </c>
      <c r="I579" s="1" t="e">
        <f t="array" ref="I579">SUM</f>
        <v>#NAME?</v>
      </c>
      <c r="J579" s="1" t="e">
        <f t="array" ref="J579">SUM</f>
        <v>#NAME?</v>
      </c>
      <c r="K579" s="1" t="e">
        <f t="array" ref="K579">SUM</f>
        <v>#NAME?</v>
      </c>
      <c r="L579" s="1" t="e">
        <f t="array" ref="L579">SUM</f>
        <v>#NAME?</v>
      </c>
      <c r="M579" s="1" t="e">
        <f t="array" ref="M579">SUM</f>
        <v>#NAME?</v>
      </c>
      <c r="N579" s="1" t="e">
        <f t="array" ref="N579">SUM</f>
        <v>#NAME?</v>
      </c>
      <c r="O579" t="s">
        <v>19</v>
      </c>
      <c r="P579">
        <v>2021</v>
      </c>
    </row>
    <row r="580" spans="1:16" x14ac:dyDescent="0.25">
      <c r="A580" t="s">
        <v>16</v>
      </c>
      <c r="B580" s="1" t="e">
        <f t="array" ref="B580">SUM</f>
        <v>#NAME?</v>
      </c>
      <c r="C580" s="1" t="e">
        <f t="array" ref="C580">SUM</f>
        <v>#NAME?</v>
      </c>
      <c r="D580" s="1" t="e">
        <f t="array" ref="D580">SUM</f>
        <v>#NAME?</v>
      </c>
      <c r="E580" s="1" t="e">
        <f t="array" ref="E580">SUM</f>
        <v>#NAME?</v>
      </c>
      <c r="F580" s="1" t="e">
        <f t="array" ref="F580">SUM</f>
        <v>#NAME?</v>
      </c>
      <c r="G580" s="1" t="e">
        <f t="array" ref="G580">SUM</f>
        <v>#NAME?</v>
      </c>
      <c r="H580" s="1" t="e">
        <f t="array" ref="H580">SUM</f>
        <v>#NAME?</v>
      </c>
      <c r="I580" s="1" t="e">
        <f t="array" ref="I580">SUM</f>
        <v>#NAME?</v>
      </c>
      <c r="J580" s="1" t="e">
        <f t="array" ref="J580">SUM</f>
        <v>#NAME?</v>
      </c>
      <c r="K580" s="1" t="e">
        <f t="array" ref="K580">SUM</f>
        <v>#NAME?</v>
      </c>
      <c r="L580" s="1" t="e">
        <f t="array" ref="L580">SUM</f>
        <v>#NAME?</v>
      </c>
      <c r="M580" s="1" t="e">
        <f t="array" ref="M580">SUM</f>
        <v>#NAME?</v>
      </c>
      <c r="N580" s="1" t="e">
        <f t="array" ref="N580">SUM</f>
        <v>#NAME?</v>
      </c>
      <c r="O580" t="s">
        <v>21</v>
      </c>
      <c r="P580">
        <v>2021</v>
      </c>
    </row>
    <row r="581" spans="1:16" x14ac:dyDescent="0.25">
      <c r="A581" t="s">
        <v>16</v>
      </c>
      <c r="B581" s="1" t="e">
        <f t="array" ref="B581">SUM</f>
        <v>#NAME?</v>
      </c>
      <c r="C581" s="1" t="e">
        <f t="array" ref="C581">SUM</f>
        <v>#NAME?</v>
      </c>
      <c r="D581" s="1" t="e">
        <f t="array" ref="D581">SUM</f>
        <v>#NAME?</v>
      </c>
      <c r="E581" s="1" t="e">
        <f t="array" ref="E581">SUM</f>
        <v>#NAME?</v>
      </c>
      <c r="F581" s="1" t="e">
        <f t="array" ref="F581">SUM</f>
        <v>#NAME?</v>
      </c>
      <c r="G581" s="1" t="e">
        <f t="array" ref="G581">SUM</f>
        <v>#NAME?</v>
      </c>
      <c r="H581" s="1" t="e">
        <f t="array" ref="H581">SUM</f>
        <v>#NAME?</v>
      </c>
      <c r="I581" s="1" t="e">
        <f t="array" ref="I581">SUM</f>
        <v>#NAME?</v>
      </c>
      <c r="J581" s="1" t="e">
        <f t="array" ref="J581">SUM</f>
        <v>#NAME?</v>
      </c>
      <c r="K581" s="1" t="e">
        <f t="array" ref="K581">SUM</f>
        <v>#NAME?</v>
      </c>
      <c r="L581" s="1" t="e">
        <f t="array" ref="L581">SUM</f>
        <v>#NAME?</v>
      </c>
      <c r="M581" s="1" t="e">
        <f t="array" ref="M581">SUM</f>
        <v>#NAME?</v>
      </c>
      <c r="N581" s="1" t="e">
        <f t="array" ref="N581">SUM</f>
        <v>#NAME?</v>
      </c>
      <c r="O581" t="s">
        <v>21</v>
      </c>
      <c r="P581">
        <v>2021</v>
      </c>
    </row>
    <row r="582" spans="1:16" x14ac:dyDescent="0.25">
      <c r="A582" t="s">
        <v>16</v>
      </c>
      <c r="B582" s="1" t="e">
        <f t="array" ref="B582">SUM</f>
        <v>#NAME?</v>
      </c>
      <c r="C582" s="1" t="e">
        <f t="array" ref="C582">SUM</f>
        <v>#NAME?</v>
      </c>
      <c r="D582" s="1" t="e">
        <f t="array" ref="D582">SUM</f>
        <v>#NAME?</v>
      </c>
      <c r="E582" s="1" t="e">
        <f t="array" ref="E582">SUM</f>
        <v>#NAME?</v>
      </c>
      <c r="F582" s="1" t="e">
        <f t="array" ref="F582">SUM</f>
        <v>#NAME?</v>
      </c>
      <c r="G582" s="1" t="e">
        <f t="array" ref="G582">SUM</f>
        <v>#NAME?</v>
      </c>
      <c r="H582" s="1" t="e">
        <f t="array" ref="H582">SUM</f>
        <v>#NAME?</v>
      </c>
      <c r="I582" s="1" t="e">
        <f t="array" ref="I582">SUM</f>
        <v>#NAME?</v>
      </c>
      <c r="J582" s="1" t="e">
        <f t="array" ref="J582">SUM</f>
        <v>#NAME?</v>
      </c>
      <c r="K582" s="1" t="e">
        <f t="array" ref="K582">SUM</f>
        <v>#NAME?</v>
      </c>
      <c r="L582" s="1" t="e">
        <f t="array" ref="L582">SUM</f>
        <v>#NAME?</v>
      </c>
      <c r="M582" s="1" t="e">
        <f t="array" ref="M582">SUM</f>
        <v>#NAME?</v>
      </c>
      <c r="N582" s="1" t="e">
        <f t="array" ref="N582">SUM</f>
        <v>#NAME?</v>
      </c>
      <c r="O582" t="s">
        <v>27</v>
      </c>
      <c r="P582">
        <v>2021</v>
      </c>
    </row>
    <row r="583" spans="1:16" x14ac:dyDescent="0.25">
      <c r="A583" t="s">
        <v>16</v>
      </c>
      <c r="B583" s="1" t="e">
        <f t="array" ref="B583">SUM</f>
        <v>#NAME?</v>
      </c>
      <c r="C583" s="1" t="e">
        <f t="array" ref="C583">SUM</f>
        <v>#NAME?</v>
      </c>
      <c r="D583" s="1" t="e">
        <f t="array" ref="D583">SUM</f>
        <v>#NAME?</v>
      </c>
      <c r="E583" s="1" t="e">
        <f t="array" ref="E583">SUM</f>
        <v>#NAME?</v>
      </c>
      <c r="F583" s="1" t="e">
        <f t="array" ref="F583">SUM</f>
        <v>#NAME?</v>
      </c>
      <c r="G583" s="1" t="e">
        <f t="array" ref="G583">SUM</f>
        <v>#NAME?</v>
      </c>
      <c r="H583" s="1" t="e">
        <f t="array" ref="H583">SUM</f>
        <v>#NAME?</v>
      </c>
      <c r="I583" s="1" t="e">
        <f t="array" ref="I583">SUM</f>
        <v>#NAME?</v>
      </c>
      <c r="J583" s="1" t="e">
        <f t="array" ref="J583">SUM</f>
        <v>#NAME?</v>
      </c>
      <c r="K583" s="1" t="e">
        <f t="array" ref="K583">SUM</f>
        <v>#NAME?</v>
      </c>
      <c r="L583" s="1" t="e">
        <f t="array" ref="L583">SUM</f>
        <v>#NAME?</v>
      </c>
      <c r="M583" s="1" t="e">
        <f t="array" ref="M583">SUM</f>
        <v>#NAME?</v>
      </c>
      <c r="N583" s="1" t="e">
        <f t="array" ref="N583">SUM</f>
        <v>#NAME?</v>
      </c>
      <c r="O583" t="s">
        <v>17</v>
      </c>
      <c r="P583">
        <v>2021</v>
      </c>
    </row>
    <row r="584" spans="1:16" x14ac:dyDescent="0.25">
      <c r="A584" t="s">
        <v>16</v>
      </c>
      <c r="B584" s="1" t="e">
        <f t="array" ref="B584">SUM</f>
        <v>#NAME?</v>
      </c>
      <c r="C584" s="1" t="e">
        <f t="array" ref="C584">SUM</f>
        <v>#NAME?</v>
      </c>
      <c r="D584" s="1" t="e">
        <f t="array" ref="D584">SUM</f>
        <v>#NAME?</v>
      </c>
      <c r="E584" s="1" t="e">
        <f t="array" ref="E584">SUM</f>
        <v>#NAME?</v>
      </c>
      <c r="F584" s="1" t="e">
        <f t="array" ref="F584">SUM</f>
        <v>#NAME?</v>
      </c>
      <c r="G584" s="1" t="e">
        <f t="array" ref="G584">SUM</f>
        <v>#NAME?</v>
      </c>
      <c r="H584" s="1" t="e">
        <f t="array" ref="H584">SUM</f>
        <v>#NAME?</v>
      </c>
      <c r="I584" s="1" t="e">
        <f t="array" ref="I584">SUM</f>
        <v>#NAME?</v>
      </c>
      <c r="J584" s="1" t="e">
        <f t="array" ref="J584">SUM</f>
        <v>#NAME?</v>
      </c>
      <c r="K584" s="1" t="e">
        <f t="array" ref="K584">SUM</f>
        <v>#NAME?</v>
      </c>
      <c r="L584" s="1" t="e">
        <f t="array" ref="L584">SUM</f>
        <v>#NAME?</v>
      </c>
      <c r="M584" s="1" t="e">
        <f t="array" ref="M584">SUM</f>
        <v>#NAME?</v>
      </c>
      <c r="N584" s="1" t="e">
        <f t="array" ref="N584">SUM</f>
        <v>#NAME?</v>
      </c>
      <c r="O584" t="s">
        <v>29</v>
      </c>
      <c r="P584">
        <v>2021</v>
      </c>
    </row>
    <row r="585" spans="1:16" x14ac:dyDescent="0.25">
      <c r="A585" t="s">
        <v>22</v>
      </c>
      <c r="B585" s="1" t="e">
        <f t="array" ref="B585">SUM</f>
        <v>#NAME?</v>
      </c>
      <c r="C585" s="1" t="e">
        <f t="array" ref="C585">SUM</f>
        <v>#NAME?</v>
      </c>
      <c r="D585" s="1" t="e">
        <f t="array" ref="D585">SUM</f>
        <v>#NAME?</v>
      </c>
      <c r="E585" s="1" t="e">
        <f t="array" ref="E585">SUM</f>
        <v>#NAME?</v>
      </c>
      <c r="F585" s="1" t="e">
        <f t="array" ref="F585">SUM</f>
        <v>#NAME?</v>
      </c>
      <c r="G585" s="1" t="e">
        <f t="array" ref="G585">SUM</f>
        <v>#NAME?</v>
      </c>
      <c r="H585" s="1" t="e">
        <f t="array" ref="H585">SUM</f>
        <v>#NAME?</v>
      </c>
      <c r="I585" s="1" t="e">
        <f t="array" ref="I585">SUM</f>
        <v>#NAME?</v>
      </c>
      <c r="J585" s="1" t="e">
        <f t="array" ref="J585">SUM</f>
        <v>#NAME?</v>
      </c>
      <c r="K585" s="1" t="e">
        <f t="array" ref="K585">SUM</f>
        <v>#NAME?</v>
      </c>
      <c r="L585" s="1" t="e">
        <f t="array" ref="L585">SUM</f>
        <v>#NAME?</v>
      </c>
      <c r="M585" s="1" t="e">
        <f t="array" ref="M585">SUM</f>
        <v>#NAME?</v>
      </c>
      <c r="N585" s="1" t="e">
        <f t="array" ref="N585">SUM</f>
        <v>#NAME?</v>
      </c>
      <c r="O585" t="s">
        <v>19</v>
      </c>
      <c r="P585">
        <v>2021</v>
      </c>
    </row>
    <row r="586" spans="1:16" x14ac:dyDescent="0.25">
      <c r="A586" t="s">
        <v>16</v>
      </c>
      <c r="B586" s="1" t="e">
        <f t="array" ref="B586">SUM</f>
        <v>#NAME?</v>
      </c>
      <c r="C586" s="1" t="e">
        <f t="array" ref="C586">SUM</f>
        <v>#NAME?</v>
      </c>
      <c r="D586" s="1" t="e">
        <f t="array" ref="D586">SUM</f>
        <v>#NAME?</v>
      </c>
      <c r="E586" s="1" t="e">
        <f t="array" ref="E586">SUM</f>
        <v>#NAME?</v>
      </c>
      <c r="F586" s="1" t="e">
        <f t="array" ref="F586">SUM</f>
        <v>#NAME?</v>
      </c>
      <c r="G586" s="1" t="e">
        <f t="array" ref="G586">SUM</f>
        <v>#NAME?</v>
      </c>
      <c r="H586" s="1" t="e">
        <f t="array" ref="H586">SUM</f>
        <v>#NAME?</v>
      </c>
      <c r="I586" s="1" t="e">
        <f t="array" ref="I586">SUM</f>
        <v>#NAME?</v>
      </c>
      <c r="J586" s="1" t="e">
        <f t="array" ref="J586">SUM</f>
        <v>#NAME?</v>
      </c>
      <c r="K586" s="1" t="e">
        <f t="array" ref="K586">SUM</f>
        <v>#NAME?</v>
      </c>
      <c r="L586" s="1" t="e">
        <f t="array" ref="L586">SUM</f>
        <v>#NAME?</v>
      </c>
      <c r="M586" s="1" t="e">
        <f t="array" ref="M586">SUM</f>
        <v>#NAME?</v>
      </c>
      <c r="N586" s="1" t="e">
        <f t="array" ref="N586">SUM</f>
        <v>#NAME?</v>
      </c>
      <c r="O586" t="s">
        <v>24</v>
      </c>
      <c r="P586">
        <v>2021</v>
      </c>
    </row>
    <row r="587" spans="1:16" x14ac:dyDescent="0.25">
      <c r="A587" t="s">
        <v>16</v>
      </c>
      <c r="B587" s="1" t="e">
        <f t="array" ref="B587">SUM</f>
        <v>#NAME?</v>
      </c>
      <c r="C587" s="1" t="e">
        <f t="array" ref="C587">SUM</f>
        <v>#NAME?</v>
      </c>
      <c r="D587" s="1" t="e">
        <f t="array" ref="D587">SUM</f>
        <v>#NAME?</v>
      </c>
      <c r="E587" s="1" t="e">
        <f t="array" ref="E587">SUM</f>
        <v>#NAME?</v>
      </c>
      <c r="F587" s="1" t="e">
        <f t="array" ref="F587">SUM</f>
        <v>#NAME?</v>
      </c>
      <c r="G587" s="1" t="e">
        <f t="array" ref="G587">SUM</f>
        <v>#NAME?</v>
      </c>
      <c r="H587" s="1" t="e">
        <f t="array" ref="H587">SUM</f>
        <v>#NAME?</v>
      </c>
      <c r="I587" s="1" t="e">
        <f t="array" ref="I587">SUM</f>
        <v>#NAME?</v>
      </c>
      <c r="J587" s="1" t="e">
        <f t="array" ref="J587">SUM</f>
        <v>#NAME?</v>
      </c>
      <c r="K587" s="1" t="e">
        <f t="array" ref="K587">SUM</f>
        <v>#NAME?</v>
      </c>
      <c r="L587" s="1" t="e">
        <f t="array" ref="L587">SUM</f>
        <v>#NAME?</v>
      </c>
      <c r="M587" s="1" t="e">
        <f t="array" ref="M587">SUM</f>
        <v>#NAME?</v>
      </c>
      <c r="N587" s="1" t="e">
        <f t="array" ref="N587">SUM</f>
        <v>#NAME?</v>
      </c>
      <c r="O587" t="s">
        <v>28</v>
      </c>
      <c r="P587">
        <v>2021</v>
      </c>
    </row>
    <row r="588" spans="1:16" x14ac:dyDescent="0.25">
      <c r="A588" t="s">
        <v>16</v>
      </c>
      <c r="B588" s="1" t="e">
        <f t="array" ref="B588">SUM</f>
        <v>#NAME?</v>
      </c>
      <c r="C588" s="1" t="e">
        <f t="array" ref="C588">SUM</f>
        <v>#NAME?</v>
      </c>
      <c r="D588" s="1" t="e">
        <f t="array" ref="D588">SUM</f>
        <v>#NAME?</v>
      </c>
      <c r="E588" s="1" t="e">
        <f t="array" ref="E588">SUM</f>
        <v>#NAME?</v>
      </c>
      <c r="F588" s="1" t="e">
        <f t="array" ref="F588">SUM</f>
        <v>#NAME?</v>
      </c>
      <c r="G588" s="1" t="e">
        <f t="array" ref="G588">SUM</f>
        <v>#NAME?</v>
      </c>
      <c r="H588" s="1" t="e">
        <f t="array" ref="H588">SUM</f>
        <v>#NAME?</v>
      </c>
      <c r="I588" s="1" t="e">
        <f t="array" ref="I588">SUM</f>
        <v>#NAME?</v>
      </c>
      <c r="J588" s="1" t="e">
        <f t="array" ref="J588">SUM</f>
        <v>#NAME?</v>
      </c>
      <c r="K588" s="1" t="e">
        <f t="array" ref="K588">SUM</f>
        <v>#NAME?</v>
      </c>
      <c r="L588" s="1" t="e">
        <f t="array" ref="L588">SUM</f>
        <v>#NAME?</v>
      </c>
      <c r="M588" s="1" t="e">
        <f t="array" ref="M588">SUM</f>
        <v>#NAME?</v>
      </c>
      <c r="N588" s="1" t="e">
        <f t="array" ref="N588">SUM</f>
        <v>#NAME?</v>
      </c>
      <c r="O588" t="s">
        <v>17</v>
      </c>
      <c r="P588">
        <v>2021</v>
      </c>
    </row>
    <row r="589" spans="1:16" x14ac:dyDescent="0.25">
      <c r="A589" t="s">
        <v>25</v>
      </c>
      <c r="B589" s="1" t="e">
        <f t="array" ref="B589">SUM</f>
        <v>#NAME?</v>
      </c>
      <c r="C589" s="1" t="e">
        <f t="array" ref="C589">SUM</f>
        <v>#NAME?</v>
      </c>
      <c r="D589" s="1" t="e">
        <f t="array" ref="D589">SUM</f>
        <v>#NAME?</v>
      </c>
      <c r="E589" s="1" t="e">
        <f t="array" ref="E589">SUM</f>
        <v>#NAME?</v>
      </c>
      <c r="F589" s="1" t="e">
        <f t="array" ref="F589">SUM</f>
        <v>#NAME?</v>
      </c>
      <c r="G589" s="1" t="e">
        <f t="array" ref="G589">SUM</f>
        <v>#NAME?</v>
      </c>
      <c r="H589" s="1" t="e">
        <f t="array" ref="H589">SUM</f>
        <v>#NAME?</v>
      </c>
      <c r="I589" s="1" t="e">
        <f t="array" ref="I589">SUM</f>
        <v>#NAME?</v>
      </c>
      <c r="J589" s="1" t="e">
        <f t="array" ref="J589">SUM</f>
        <v>#NAME?</v>
      </c>
      <c r="K589" s="1" t="e">
        <f t="array" ref="K589">SUM</f>
        <v>#NAME?</v>
      </c>
      <c r="L589" s="1" t="e">
        <f t="array" ref="L589">SUM</f>
        <v>#NAME?</v>
      </c>
      <c r="M589" s="1" t="e">
        <f t="array" ref="M589">SUM</f>
        <v>#NAME?</v>
      </c>
      <c r="N589" s="1" t="e">
        <f t="array" ref="N589">SUM</f>
        <v>#NAME?</v>
      </c>
      <c r="O589" t="s">
        <v>17</v>
      </c>
      <c r="P589">
        <v>2021</v>
      </c>
    </row>
    <row r="590" spans="1:16" x14ac:dyDescent="0.25">
      <c r="A590" t="s">
        <v>16</v>
      </c>
      <c r="B590" s="1" t="e">
        <f t="array" ref="B590">SUM</f>
        <v>#NAME?</v>
      </c>
      <c r="C590" s="1" t="e">
        <f t="array" ref="C590">SUM</f>
        <v>#NAME?</v>
      </c>
      <c r="D590" s="1" t="e">
        <f t="array" ref="D590">SUM</f>
        <v>#NAME?</v>
      </c>
      <c r="E590" s="1" t="e">
        <f t="array" ref="E590">SUM</f>
        <v>#NAME?</v>
      </c>
      <c r="F590" s="1" t="e">
        <f t="array" ref="F590">SUM</f>
        <v>#NAME?</v>
      </c>
      <c r="G590" s="1" t="e">
        <f t="array" ref="G590">SUM</f>
        <v>#NAME?</v>
      </c>
      <c r="H590" s="1" t="e">
        <f t="array" ref="H590">SUM</f>
        <v>#NAME?</v>
      </c>
      <c r="I590" s="1" t="e">
        <f t="array" ref="I590">SUM</f>
        <v>#NAME?</v>
      </c>
      <c r="J590" s="1" t="e">
        <f t="array" ref="J590">SUM</f>
        <v>#NAME?</v>
      </c>
      <c r="K590" s="1" t="e">
        <f t="array" ref="K590">SUM</f>
        <v>#NAME?</v>
      </c>
      <c r="L590" s="1" t="e">
        <f t="array" ref="L590">SUM</f>
        <v>#NAME?</v>
      </c>
      <c r="M590" s="1" t="e">
        <f t="array" ref="M590">SUM</f>
        <v>#NAME?</v>
      </c>
      <c r="N590" s="1" t="e">
        <f t="array" ref="N590">SUM</f>
        <v>#NAME?</v>
      </c>
      <c r="O590" t="s">
        <v>29</v>
      </c>
      <c r="P590">
        <v>2021</v>
      </c>
    </row>
    <row r="591" spans="1:16" x14ac:dyDescent="0.25">
      <c r="A591" t="s">
        <v>16</v>
      </c>
      <c r="B591" s="1" t="e">
        <f t="array" ref="B591">SUM</f>
        <v>#NAME?</v>
      </c>
      <c r="C591" s="1" t="e">
        <f t="array" ref="C591">SUM</f>
        <v>#NAME?</v>
      </c>
      <c r="D591" s="1" t="e">
        <f t="array" ref="D591">SUM</f>
        <v>#NAME?</v>
      </c>
      <c r="E591" s="1" t="e">
        <f t="array" ref="E591">SUM</f>
        <v>#NAME?</v>
      </c>
      <c r="F591" s="1" t="e">
        <f t="array" ref="F591">SUM</f>
        <v>#NAME?</v>
      </c>
      <c r="G591" s="1" t="e">
        <f t="array" ref="G591">SUM</f>
        <v>#NAME?</v>
      </c>
      <c r="H591" s="1" t="e">
        <f t="array" ref="H591">SUM</f>
        <v>#NAME?</v>
      </c>
      <c r="I591" s="1" t="e">
        <f t="array" ref="I591">SUM</f>
        <v>#NAME?</v>
      </c>
      <c r="J591" s="1" t="e">
        <f t="array" ref="J591">SUM</f>
        <v>#NAME?</v>
      </c>
      <c r="K591" s="1" t="e">
        <f t="array" ref="K591">SUM</f>
        <v>#NAME?</v>
      </c>
      <c r="L591" s="1" t="e">
        <f t="array" ref="L591">SUM</f>
        <v>#NAME?</v>
      </c>
      <c r="M591" s="1" t="e">
        <f t="array" ref="M591">SUM</f>
        <v>#NAME?</v>
      </c>
      <c r="N591" s="1" t="e">
        <f t="array" ref="N591">SUM</f>
        <v>#NAME?</v>
      </c>
      <c r="O591" t="s">
        <v>29</v>
      </c>
      <c r="P591">
        <v>2021</v>
      </c>
    </row>
    <row r="592" spans="1:16" x14ac:dyDescent="0.25">
      <c r="A592" t="s">
        <v>16</v>
      </c>
      <c r="B592" s="1" t="e">
        <f t="array" ref="B592">SUM</f>
        <v>#NAME?</v>
      </c>
      <c r="C592" s="1" t="e">
        <f t="array" ref="C592">SUM</f>
        <v>#NAME?</v>
      </c>
      <c r="D592" s="1" t="e">
        <f t="array" ref="D592">SUM</f>
        <v>#NAME?</v>
      </c>
      <c r="E592" s="1" t="e">
        <f t="array" ref="E592">SUM</f>
        <v>#NAME?</v>
      </c>
      <c r="F592" s="1" t="e">
        <f t="array" ref="F592">SUM</f>
        <v>#NAME?</v>
      </c>
      <c r="G592" s="1" t="e">
        <f t="array" ref="G592">SUM</f>
        <v>#NAME?</v>
      </c>
      <c r="H592" s="1" t="e">
        <f t="array" ref="H592">SUM</f>
        <v>#NAME?</v>
      </c>
      <c r="I592" s="1" t="e">
        <f t="array" ref="I592">SUM</f>
        <v>#NAME?</v>
      </c>
      <c r="J592" s="1" t="e">
        <f t="array" ref="J592">SUM</f>
        <v>#NAME?</v>
      </c>
      <c r="K592" s="1" t="e">
        <f t="array" ref="K592">SUM</f>
        <v>#NAME?</v>
      </c>
      <c r="L592" s="1" t="e">
        <f t="array" ref="L592">SUM</f>
        <v>#NAME?</v>
      </c>
      <c r="M592" s="1" t="e">
        <f t="array" ref="M592">SUM</f>
        <v>#NAME?</v>
      </c>
      <c r="N592" s="1" t="e">
        <f t="array" ref="N592">SUM</f>
        <v>#NAME?</v>
      </c>
      <c r="O592" t="s">
        <v>19</v>
      </c>
      <c r="P592">
        <v>2021</v>
      </c>
    </row>
    <row r="593" spans="1:16" x14ac:dyDescent="0.25">
      <c r="A593" t="s">
        <v>23</v>
      </c>
      <c r="B593" s="1" t="e">
        <f t="array" ref="B593">SUM</f>
        <v>#NAME?</v>
      </c>
      <c r="C593" s="1" t="e">
        <f t="array" ref="C593">SUM</f>
        <v>#NAME?</v>
      </c>
      <c r="D593" s="1" t="e">
        <f t="array" ref="D593">SUM</f>
        <v>#NAME?</v>
      </c>
      <c r="E593" s="1" t="e">
        <f t="array" ref="E593">SUM</f>
        <v>#NAME?</v>
      </c>
      <c r="F593" s="1" t="e">
        <f t="array" ref="F593">SUM</f>
        <v>#NAME?</v>
      </c>
      <c r="G593" s="1" t="e">
        <f t="array" ref="G593">SUM</f>
        <v>#NAME?</v>
      </c>
      <c r="H593" s="1" t="e">
        <f t="array" ref="H593">SUM</f>
        <v>#NAME?</v>
      </c>
      <c r="I593" s="1" t="e">
        <f t="array" ref="I593">SUM</f>
        <v>#NAME?</v>
      </c>
      <c r="J593" s="1" t="e">
        <f t="array" ref="J593">SUM</f>
        <v>#NAME?</v>
      </c>
      <c r="K593" s="1" t="e">
        <f t="array" ref="K593">SUM</f>
        <v>#NAME?</v>
      </c>
      <c r="L593" s="1" t="e">
        <f t="array" ref="L593">SUM</f>
        <v>#NAME?</v>
      </c>
      <c r="M593" s="1" t="e">
        <f t="array" ref="M593">SUM</f>
        <v>#NAME?</v>
      </c>
      <c r="N593" s="1" t="e">
        <f t="array" ref="N593">SUM</f>
        <v>#NAME?</v>
      </c>
      <c r="O593" t="s">
        <v>19</v>
      </c>
      <c r="P593">
        <v>2021</v>
      </c>
    </row>
    <row r="594" spans="1:16" x14ac:dyDescent="0.25">
      <c r="A594" t="s">
        <v>22</v>
      </c>
      <c r="B594" s="1" t="e">
        <f t="array" ref="B594">SUM</f>
        <v>#NAME?</v>
      </c>
      <c r="C594" s="1" t="e">
        <f t="array" ref="C594">SUM</f>
        <v>#NAME?</v>
      </c>
      <c r="D594" s="1" t="e">
        <f t="array" ref="D594">SUM</f>
        <v>#NAME?</v>
      </c>
      <c r="E594" s="1" t="e">
        <f t="array" ref="E594">SUM</f>
        <v>#NAME?</v>
      </c>
      <c r="F594" s="1" t="e">
        <f t="array" ref="F594">SUM</f>
        <v>#NAME?</v>
      </c>
      <c r="G594" s="1" t="e">
        <f t="array" ref="G594">SUM</f>
        <v>#NAME?</v>
      </c>
      <c r="H594" s="1" t="e">
        <f t="array" ref="H594">SUM</f>
        <v>#NAME?</v>
      </c>
      <c r="I594" s="1" t="e">
        <f t="array" ref="I594">SUM</f>
        <v>#NAME?</v>
      </c>
      <c r="J594" s="1" t="e">
        <f t="array" ref="J594">SUM</f>
        <v>#NAME?</v>
      </c>
      <c r="K594" s="1" t="e">
        <f t="array" ref="K594">SUM</f>
        <v>#NAME?</v>
      </c>
      <c r="L594" s="1" t="e">
        <f t="array" ref="L594">SUM</f>
        <v>#NAME?</v>
      </c>
      <c r="M594" s="1" t="e">
        <f t="array" ref="M594">SUM</f>
        <v>#NAME?</v>
      </c>
      <c r="N594" s="1" t="e">
        <f t="array" ref="N594">SUM</f>
        <v>#NAME?</v>
      </c>
      <c r="O594" t="s">
        <v>24</v>
      </c>
      <c r="P594">
        <v>2021</v>
      </c>
    </row>
    <row r="595" spans="1:16" x14ac:dyDescent="0.25">
      <c r="A595" t="s">
        <v>16</v>
      </c>
      <c r="B595" s="1" t="e">
        <f t="array" ref="B595">SUM</f>
        <v>#NAME?</v>
      </c>
      <c r="C595" s="1" t="e">
        <f t="array" ref="C595">SUM</f>
        <v>#NAME?</v>
      </c>
      <c r="D595" s="1" t="e">
        <f t="array" ref="D595">SUM</f>
        <v>#NAME?</v>
      </c>
      <c r="E595" s="1" t="e">
        <f t="array" ref="E595">SUM</f>
        <v>#NAME?</v>
      </c>
      <c r="F595" s="1" t="e">
        <f t="array" ref="F595">SUM</f>
        <v>#NAME?</v>
      </c>
      <c r="G595" s="1" t="e">
        <f t="array" ref="G595">SUM</f>
        <v>#NAME?</v>
      </c>
      <c r="H595" s="1" t="e">
        <f t="array" ref="H595">SUM</f>
        <v>#NAME?</v>
      </c>
      <c r="I595" s="1" t="e">
        <f t="array" ref="I595">SUM</f>
        <v>#NAME?</v>
      </c>
      <c r="J595" s="1" t="e">
        <f t="array" ref="J595">SUM</f>
        <v>#NAME?</v>
      </c>
      <c r="K595" s="1" t="e">
        <f t="array" ref="K595">SUM</f>
        <v>#NAME?</v>
      </c>
      <c r="L595" s="1" t="e">
        <f t="array" ref="L595">SUM</f>
        <v>#NAME?</v>
      </c>
      <c r="M595" s="1" t="e">
        <f t="array" ref="M595">SUM</f>
        <v>#NAME?</v>
      </c>
      <c r="N595" s="1" t="e">
        <f t="array" ref="N595">SUM</f>
        <v>#NAME?</v>
      </c>
      <c r="O595" t="s">
        <v>26</v>
      </c>
      <c r="P595">
        <v>2021</v>
      </c>
    </row>
    <row r="596" spans="1:16" x14ac:dyDescent="0.25">
      <c r="A596" t="s">
        <v>18</v>
      </c>
      <c r="B596" s="1" t="e">
        <f t="array" ref="B596">SUM</f>
        <v>#NAME?</v>
      </c>
      <c r="C596" s="1" t="e">
        <f t="array" ref="C596">SUM</f>
        <v>#NAME?</v>
      </c>
      <c r="D596" s="1" t="e">
        <f t="array" ref="D596">SUM</f>
        <v>#NAME?</v>
      </c>
      <c r="E596" s="1" t="e">
        <f t="array" ref="E596">SUM</f>
        <v>#NAME?</v>
      </c>
      <c r="F596" s="1" t="e">
        <f t="array" ref="F596">SUM</f>
        <v>#NAME?</v>
      </c>
      <c r="G596" s="1" t="e">
        <f t="array" ref="G596">SUM</f>
        <v>#NAME?</v>
      </c>
      <c r="H596" s="1" t="e">
        <f t="array" ref="H596">SUM</f>
        <v>#NAME?</v>
      </c>
      <c r="I596" s="1" t="e">
        <f t="array" ref="I596">SUM</f>
        <v>#NAME?</v>
      </c>
      <c r="J596" s="1" t="e">
        <f t="array" ref="J596">SUM</f>
        <v>#NAME?</v>
      </c>
      <c r="K596" s="1" t="e">
        <f t="array" ref="K596">SUM</f>
        <v>#NAME?</v>
      </c>
      <c r="L596" s="1" t="e">
        <f t="array" ref="L596">SUM</f>
        <v>#NAME?</v>
      </c>
      <c r="M596" s="1" t="e">
        <f t="array" ref="M596">SUM</f>
        <v>#NAME?</v>
      </c>
      <c r="N596" s="1" t="e">
        <f t="array" ref="N596">SUM</f>
        <v>#NAME?</v>
      </c>
      <c r="O596" t="s">
        <v>28</v>
      </c>
      <c r="P596">
        <v>2021</v>
      </c>
    </row>
    <row r="597" spans="1:16" x14ac:dyDescent="0.25">
      <c r="A597" t="s">
        <v>16</v>
      </c>
      <c r="B597" s="1" t="e">
        <f t="array" ref="B597">SUM</f>
        <v>#NAME?</v>
      </c>
      <c r="C597" s="1" t="e">
        <f t="array" ref="C597">SUM</f>
        <v>#NAME?</v>
      </c>
      <c r="D597" s="1" t="e">
        <f t="array" ref="D597">SUM</f>
        <v>#NAME?</v>
      </c>
      <c r="E597" s="1" t="e">
        <f t="array" ref="E597">SUM</f>
        <v>#NAME?</v>
      </c>
      <c r="F597" s="1" t="e">
        <f t="array" ref="F597">SUM</f>
        <v>#NAME?</v>
      </c>
      <c r="G597" s="1" t="e">
        <f t="array" ref="G597">SUM</f>
        <v>#NAME?</v>
      </c>
      <c r="H597" s="1" t="e">
        <f t="array" ref="H597">SUM</f>
        <v>#NAME?</v>
      </c>
      <c r="I597" s="1" t="e">
        <f t="array" ref="I597">SUM</f>
        <v>#NAME?</v>
      </c>
      <c r="J597" s="1" t="e">
        <f t="array" ref="J597">SUM</f>
        <v>#NAME?</v>
      </c>
      <c r="K597" s="1" t="e">
        <f t="array" ref="K597">SUM</f>
        <v>#NAME?</v>
      </c>
      <c r="L597" s="1" t="e">
        <f t="array" ref="L597">SUM</f>
        <v>#NAME?</v>
      </c>
      <c r="M597" s="1" t="e">
        <f t="array" ref="M597">SUM</f>
        <v>#NAME?</v>
      </c>
      <c r="N597" s="1" t="e">
        <f t="array" ref="N597">SUM</f>
        <v>#NAME?</v>
      </c>
      <c r="O597" t="s">
        <v>28</v>
      </c>
      <c r="P597">
        <v>2021</v>
      </c>
    </row>
    <row r="598" spans="1:16" x14ac:dyDescent="0.25">
      <c r="A598" t="s">
        <v>16</v>
      </c>
      <c r="B598" s="1" t="e">
        <f t="array" ref="B598">SUM</f>
        <v>#NAME?</v>
      </c>
      <c r="C598" s="1" t="e">
        <f t="array" ref="C598">SUM</f>
        <v>#NAME?</v>
      </c>
      <c r="D598" s="1" t="e">
        <f t="array" ref="D598">SUM</f>
        <v>#NAME?</v>
      </c>
      <c r="E598" s="1" t="e">
        <f t="array" ref="E598">SUM</f>
        <v>#NAME?</v>
      </c>
      <c r="F598" s="1" t="e">
        <f t="array" ref="F598">SUM</f>
        <v>#NAME?</v>
      </c>
      <c r="G598" s="1" t="e">
        <f t="array" ref="G598">SUM</f>
        <v>#NAME?</v>
      </c>
      <c r="H598" s="1" t="e">
        <f t="array" ref="H598">SUM</f>
        <v>#NAME?</v>
      </c>
      <c r="I598" s="1" t="e">
        <f t="array" ref="I598">SUM</f>
        <v>#NAME?</v>
      </c>
      <c r="J598" s="1" t="e">
        <f t="array" ref="J598">SUM</f>
        <v>#NAME?</v>
      </c>
      <c r="K598" s="1" t="e">
        <f t="array" ref="K598">SUM</f>
        <v>#NAME?</v>
      </c>
      <c r="L598" s="1" t="e">
        <f t="array" ref="L598">SUM</f>
        <v>#NAME?</v>
      </c>
      <c r="M598" s="1" t="e">
        <f t="array" ref="M598">SUM</f>
        <v>#NAME?</v>
      </c>
      <c r="N598" s="1" t="e">
        <f t="array" ref="N598">SUM</f>
        <v>#NAME?</v>
      </c>
      <c r="O598" t="s">
        <v>30</v>
      </c>
      <c r="P598">
        <v>2021</v>
      </c>
    </row>
    <row r="599" spans="1:16" x14ac:dyDescent="0.25">
      <c r="A599" t="s">
        <v>22</v>
      </c>
      <c r="B599" s="1" t="e">
        <f t="array" ref="B599">SUM</f>
        <v>#NAME?</v>
      </c>
      <c r="C599" s="1" t="e">
        <f t="array" ref="C599">SUM</f>
        <v>#NAME?</v>
      </c>
      <c r="D599" s="1" t="e">
        <f t="array" ref="D599">SUM</f>
        <v>#NAME?</v>
      </c>
      <c r="E599" s="1" t="e">
        <f t="array" ref="E599">SUM</f>
        <v>#NAME?</v>
      </c>
      <c r="F599" s="1" t="e">
        <f t="array" ref="F599">SUM</f>
        <v>#NAME?</v>
      </c>
      <c r="G599" s="1" t="e">
        <f t="array" ref="G599">SUM</f>
        <v>#NAME?</v>
      </c>
      <c r="H599" s="1" t="e">
        <f t="array" ref="H599">SUM</f>
        <v>#NAME?</v>
      </c>
      <c r="I599" s="1" t="e">
        <f t="array" ref="I599">SUM</f>
        <v>#NAME?</v>
      </c>
      <c r="J599" s="1" t="e">
        <f t="array" ref="J599">SUM</f>
        <v>#NAME?</v>
      </c>
      <c r="K599" s="1" t="e">
        <f t="array" ref="K599">SUM</f>
        <v>#NAME?</v>
      </c>
      <c r="L599" s="1" t="e">
        <f t="array" ref="L599">SUM</f>
        <v>#NAME?</v>
      </c>
      <c r="M599" s="1" t="e">
        <f t="array" ref="M599">SUM</f>
        <v>#NAME?</v>
      </c>
      <c r="N599" s="1" t="e">
        <f t="array" ref="N599">SUM</f>
        <v>#NAME?</v>
      </c>
      <c r="O599" t="s">
        <v>20</v>
      </c>
      <c r="P599">
        <v>2021</v>
      </c>
    </row>
    <row r="600" spans="1:16" x14ac:dyDescent="0.25">
      <c r="A600" t="s">
        <v>18</v>
      </c>
      <c r="B600" s="1" t="e">
        <f t="array" ref="B600">SUM</f>
        <v>#NAME?</v>
      </c>
      <c r="C600" s="1" t="e">
        <f t="array" ref="C600">SUM</f>
        <v>#NAME?</v>
      </c>
      <c r="D600" s="1" t="e">
        <f t="array" ref="D600">SUM</f>
        <v>#NAME?</v>
      </c>
      <c r="E600" s="1" t="e">
        <f t="array" ref="E600">SUM</f>
        <v>#NAME?</v>
      </c>
      <c r="F600" s="1" t="e">
        <f t="array" ref="F600">SUM</f>
        <v>#NAME?</v>
      </c>
      <c r="G600" s="1" t="e">
        <f t="array" ref="G600">SUM</f>
        <v>#NAME?</v>
      </c>
      <c r="H600" s="1" t="e">
        <f t="array" ref="H600">SUM</f>
        <v>#NAME?</v>
      </c>
      <c r="I600" s="1" t="e">
        <f t="array" ref="I600">SUM</f>
        <v>#NAME?</v>
      </c>
      <c r="J600" s="1" t="e">
        <f t="array" ref="J600">SUM</f>
        <v>#NAME?</v>
      </c>
      <c r="K600" s="1" t="e">
        <f t="array" ref="K600">SUM</f>
        <v>#NAME?</v>
      </c>
      <c r="L600" s="1" t="e">
        <f t="array" ref="L600">SUM</f>
        <v>#NAME?</v>
      </c>
      <c r="M600" s="1" t="e">
        <f t="array" ref="M600">SUM</f>
        <v>#NAME?</v>
      </c>
      <c r="N600" s="1" t="e">
        <f t="array" ref="N600">SUM</f>
        <v>#NAME?</v>
      </c>
      <c r="O600" t="s">
        <v>17</v>
      </c>
      <c r="P600">
        <v>2021</v>
      </c>
    </row>
    <row r="601" spans="1:16" x14ac:dyDescent="0.25">
      <c r="A601" t="s">
        <v>16</v>
      </c>
      <c r="B601" s="1" t="e">
        <f t="array" ref="B601">SUM</f>
        <v>#NAME?</v>
      </c>
      <c r="C601" s="1" t="e">
        <f t="array" ref="C601">SUM</f>
        <v>#NAME?</v>
      </c>
      <c r="D601" s="1" t="e">
        <f t="array" ref="D601">SUM</f>
        <v>#NAME?</v>
      </c>
      <c r="E601" s="1" t="e">
        <f t="array" ref="E601">SUM</f>
        <v>#NAME?</v>
      </c>
      <c r="F601" s="1" t="e">
        <f t="array" ref="F601">SUM</f>
        <v>#NAME?</v>
      </c>
      <c r="G601" s="1" t="e">
        <f t="array" ref="G601">SUM</f>
        <v>#NAME?</v>
      </c>
      <c r="H601" s="1" t="e">
        <f t="array" ref="H601">SUM</f>
        <v>#NAME?</v>
      </c>
      <c r="I601" s="1" t="e">
        <f t="array" ref="I601">SUM</f>
        <v>#NAME?</v>
      </c>
      <c r="J601" s="1" t="e">
        <f t="array" ref="J601">SUM</f>
        <v>#NAME?</v>
      </c>
      <c r="K601" s="1" t="e">
        <f t="array" ref="K601">SUM</f>
        <v>#NAME?</v>
      </c>
      <c r="L601" s="1" t="e">
        <f t="array" ref="L601">SUM</f>
        <v>#NAME?</v>
      </c>
      <c r="M601" s="1" t="e">
        <f t="array" ref="M601">SUM</f>
        <v>#NAME?</v>
      </c>
      <c r="N601" s="1" t="e">
        <f t="array" ref="N601">SUM</f>
        <v>#NAME?</v>
      </c>
      <c r="O601" t="s">
        <v>19</v>
      </c>
      <c r="P601">
        <v>2021</v>
      </c>
    </row>
    <row r="602" spans="1:16" x14ac:dyDescent="0.25">
      <c r="A602" t="s">
        <v>16</v>
      </c>
      <c r="B602" s="1" t="e">
        <f t="array" ref="B602">SUM</f>
        <v>#NAME?</v>
      </c>
      <c r="C602" s="1" t="e">
        <f t="array" ref="C602">SUM</f>
        <v>#NAME?</v>
      </c>
      <c r="D602" s="1" t="e">
        <f t="array" ref="D602">SUM</f>
        <v>#NAME?</v>
      </c>
      <c r="E602" s="1" t="e">
        <f t="array" ref="E602">SUM</f>
        <v>#NAME?</v>
      </c>
      <c r="F602" s="1" t="e">
        <f t="array" ref="F602">SUM</f>
        <v>#NAME?</v>
      </c>
      <c r="G602" s="1" t="e">
        <f t="array" ref="G602">SUM</f>
        <v>#NAME?</v>
      </c>
      <c r="H602" s="1" t="e">
        <f t="array" ref="H602">SUM</f>
        <v>#NAME?</v>
      </c>
      <c r="I602" s="1" t="e">
        <f t="array" ref="I602">SUM</f>
        <v>#NAME?</v>
      </c>
      <c r="J602" s="1" t="e">
        <f t="array" ref="J602">SUM</f>
        <v>#NAME?</v>
      </c>
      <c r="K602" s="1" t="e">
        <f t="array" ref="K602">SUM</f>
        <v>#NAME?</v>
      </c>
      <c r="L602" s="1" t="e">
        <f t="array" ref="L602">SUM</f>
        <v>#NAME?</v>
      </c>
      <c r="M602" s="1" t="e">
        <f t="array" ref="M602">SUM</f>
        <v>#NAME?</v>
      </c>
      <c r="N602" s="1" t="e">
        <f t="array" ref="N602">SUM</f>
        <v>#NAME?</v>
      </c>
      <c r="O602" t="s">
        <v>19</v>
      </c>
      <c r="P602">
        <v>2021</v>
      </c>
    </row>
    <row r="603" spans="1:16" x14ac:dyDescent="0.25">
      <c r="A603" t="s">
        <v>22</v>
      </c>
      <c r="B603" s="1" t="e">
        <f t="array" ref="B603">SUM</f>
        <v>#NAME?</v>
      </c>
      <c r="C603" s="1" t="e">
        <f t="array" ref="C603">SUM</f>
        <v>#NAME?</v>
      </c>
      <c r="D603" s="1" t="e">
        <f t="array" ref="D603">SUM</f>
        <v>#NAME?</v>
      </c>
      <c r="E603" s="1" t="e">
        <f t="array" ref="E603">SUM</f>
        <v>#NAME?</v>
      </c>
      <c r="F603" s="1" t="e">
        <f t="array" ref="F603">SUM</f>
        <v>#NAME?</v>
      </c>
      <c r="G603" s="1" t="e">
        <f t="array" ref="G603">SUM</f>
        <v>#NAME?</v>
      </c>
      <c r="H603" s="1" t="e">
        <f t="array" ref="H603">SUM</f>
        <v>#NAME?</v>
      </c>
      <c r="I603" s="1" t="e">
        <f t="array" ref="I603">SUM</f>
        <v>#NAME?</v>
      </c>
      <c r="J603" s="1" t="e">
        <f t="array" ref="J603">SUM</f>
        <v>#NAME?</v>
      </c>
      <c r="K603" s="1" t="e">
        <f t="array" ref="K603">SUM</f>
        <v>#NAME?</v>
      </c>
      <c r="L603" s="1" t="e">
        <f t="array" ref="L603">SUM</f>
        <v>#NAME?</v>
      </c>
      <c r="M603" s="1" t="e">
        <f t="array" ref="M603">SUM</f>
        <v>#NAME?</v>
      </c>
      <c r="N603" s="1" t="e">
        <f t="array" ref="N603">SUM</f>
        <v>#NAME?</v>
      </c>
      <c r="O603" t="s">
        <v>19</v>
      </c>
      <c r="P603">
        <v>2021</v>
      </c>
    </row>
    <row r="604" spans="1:16" x14ac:dyDescent="0.25">
      <c r="A604" t="s">
        <v>18</v>
      </c>
      <c r="B604" s="1" t="e">
        <f t="array" ref="B604">SUM</f>
        <v>#NAME?</v>
      </c>
      <c r="C604" s="1" t="e">
        <f t="array" ref="C604">SUM</f>
        <v>#NAME?</v>
      </c>
      <c r="D604" s="1" t="e">
        <f t="array" ref="D604">SUM</f>
        <v>#NAME?</v>
      </c>
      <c r="E604" s="1" t="e">
        <f t="array" ref="E604">SUM</f>
        <v>#NAME?</v>
      </c>
      <c r="F604" s="1" t="e">
        <f t="array" ref="F604">SUM</f>
        <v>#NAME?</v>
      </c>
      <c r="G604" s="1" t="e">
        <f t="array" ref="G604">SUM</f>
        <v>#NAME?</v>
      </c>
      <c r="H604" s="1" t="e">
        <f t="array" ref="H604">SUM</f>
        <v>#NAME?</v>
      </c>
      <c r="I604" s="1" t="e">
        <f t="array" ref="I604">SUM</f>
        <v>#NAME?</v>
      </c>
      <c r="J604" s="1" t="e">
        <f t="array" ref="J604">SUM</f>
        <v>#NAME?</v>
      </c>
      <c r="K604" s="1" t="e">
        <f t="array" ref="K604">SUM</f>
        <v>#NAME?</v>
      </c>
      <c r="L604" s="1" t="e">
        <f t="array" ref="L604">SUM</f>
        <v>#NAME?</v>
      </c>
      <c r="M604" s="1" t="e">
        <f t="array" ref="M604">SUM</f>
        <v>#NAME?</v>
      </c>
      <c r="N604" s="1" t="e">
        <f t="array" ref="N604">SUM</f>
        <v>#NAME?</v>
      </c>
      <c r="O604" t="s">
        <v>27</v>
      </c>
      <c r="P604">
        <v>2021</v>
      </c>
    </row>
    <row r="605" spans="1:16" x14ac:dyDescent="0.25">
      <c r="A605" t="s">
        <v>22</v>
      </c>
      <c r="B605" s="1" t="e">
        <f t="array" ref="B605">SUM</f>
        <v>#NAME?</v>
      </c>
      <c r="C605" s="1" t="e">
        <f t="array" ref="C605">SUM</f>
        <v>#NAME?</v>
      </c>
      <c r="D605" s="1" t="e">
        <f t="array" ref="D605">SUM</f>
        <v>#NAME?</v>
      </c>
      <c r="E605" s="1" t="e">
        <f t="array" ref="E605">SUM</f>
        <v>#NAME?</v>
      </c>
      <c r="F605" s="1" t="e">
        <f t="array" ref="F605">SUM</f>
        <v>#NAME?</v>
      </c>
      <c r="G605" s="1" t="e">
        <f t="array" ref="G605">SUM</f>
        <v>#NAME?</v>
      </c>
      <c r="H605" s="1" t="e">
        <f t="array" ref="H605">SUM</f>
        <v>#NAME?</v>
      </c>
      <c r="I605" s="1" t="e">
        <f t="array" ref="I605">SUM</f>
        <v>#NAME?</v>
      </c>
      <c r="J605" s="1" t="e">
        <f t="array" ref="J605">SUM</f>
        <v>#NAME?</v>
      </c>
      <c r="K605" s="1" t="e">
        <f t="array" ref="K605">SUM</f>
        <v>#NAME?</v>
      </c>
      <c r="L605" s="1" t="e">
        <f t="array" ref="L605">SUM</f>
        <v>#NAME?</v>
      </c>
      <c r="M605" s="1" t="e">
        <f t="array" ref="M605">SUM</f>
        <v>#NAME?</v>
      </c>
      <c r="N605" s="1" t="e">
        <f t="array" ref="N605">SUM</f>
        <v>#NAME?</v>
      </c>
      <c r="O605" t="s">
        <v>28</v>
      </c>
      <c r="P605">
        <v>2021</v>
      </c>
    </row>
    <row r="606" spans="1:16" x14ac:dyDescent="0.25">
      <c r="A606" t="s">
        <v>25</v>
      </c>
      <c r="B606" s="1" t="e">
        <f t="array" ref="B606">SUM</f>
        <v>#NAME?</v>
      </c>
      <c r="C606" s="1" t="e">
        <f t="array" ref="C606">SUM</f>
        <v>#NAME?</v>
      </c>
      <c r="D606" s="1" t="e">
        <f t="array" ref="D606">SUM</f>
        <v>#NAME?</v>
      </c>
      <c r="E606" s="1" t="e">
        <f t="array" ref="E606">SUM</f>
        <v>#NAME?</v>
      </c>
      <c r="F606" s="1" t="e">
        <f t="array" ref="F606">SUM</f>
        <v>#NAME?</v>
      </c>
      <c r="G606" s="1" t="e">
        <f t="array" ref="G606">SUM</f>
        <v>#NAME?</v>
      </c>
      <c r="H606" s="1" t="e">
        <f t="array" ref="H606">SUM</f>
        <v>#NAME?</v>
      </c>
      <c r="I606" s="1" t="e">
        <f t="array" ref="I606">SUM</f>
        <v>#NAME?</v>
      </c>
      <c r="J606" s="1" t="e">
        <f t="array" ref="J606">SUM</f>
        <v>#NAME?</v>
      </c>
      <c r="K606" s="1" t="e">
        <f t="array" ref="K606">SUM</f>
        <v>#NAME?</v>
      </c>
      <c r="L606" s="1" t="e">
        <f t="array" ref="L606">SUM</f>
        <v>#NAME?</v>
      </c>
      <c r="M606" s="1" t="e">
        <f t="array" ref="M606">SUM</f>
        <v>#NAME?</v>
      </c>
      <c r="N606" s="1" t="e">
        <f t="array" ref="N606">SUM</f>
        <v>#NAME?</v>
      </c>
      <c r="O606" t="s">
        <v>30</v>
      </c>
      <c r="P606">
        <v>2021</v>
      </c>
    </row>
    <row r="607" spans="1:16" x14ac:dyDescent="0.25">
      <c r="A607" t="s">
        <v>22</v>
      </c>
      <c r="B607" s="1" t="e">
        <f t="array" ref="B607">SUM</f>
        <v>#NAME?</v>
      </c>
      <c r="C607" s="1" t="e">
        <f t="array" ref="C607">SUM</f>
        <v>#NAME?</v>
      </c>
      <c r="D607" s="1" t="e">
        <f t="array" ref="D607">SUM</f>
        <v>#NAME?</v>
      </c>
      <c r="E607" s="1" t="e">
        <f t="array" ref="E607">SUM</f>
        <v>#NAME?</v>
      </c>
      <c r="F607" s="1" t="e">
        <f t="array" ref="F607">SUM</f>
        <v>#NAME?</v>
      </c>
      <c r="G607" s="1" t="e">
        <f t="array" ref="G607">SUM</f>
        <v>#NAME?</v>
      </c>
      <c r="H607" s="1" t="e">
        <f t="array" ref="H607">SUM</f>
        <v>#NAME?</v>
      </c>
      <c r="I607" s="1" t="e">
        <f t="array" ref="I607">SUM</f>
        <v>#NAME?</v>
      </c>
      <c r="J607" s="1" t="e">
        <f t="array" ref="J607">SUM</f>
        <v>#NAME?</v>
      </c>
      <c r="K607" s="1" t="e">
        <f t="array" ref="K607">SUM</f>
        <v>#NAME?</v>
      </c>
      <c r="L607" s="1" t="e">
        <f t="array" ref="L607">SUM</f>
        <v>#NAME?</v>
      </c>
      <c r="M607" s="1" t="e">
        <f t="array" ref="M607">SUM</f>
        <v>#NAME?</v>
      </c>
      <c r="N607" s="1" t="e">
        <f t="array" ref="N607">SUM</f>
        <v>#NAME?</v>
      </c>
      <c r="O607" t="s">
        <v>20</v>
      </c>
      <c r="P607">
        <v>2021</v>
      </c>
    </row>
    <row r="608" spans="1:16" x14ac:dyDescent="0.25">
      <c r="A608" t="s">
        <v>23</v>
      </c>
      <c r="B608" s="1" t="e">
        <f t="array" ref="B608">SUM</f>
        <v>#NAME?</v>
      </c>
      <c r="C608" s="1" t="e">
        <f t="array" ref="C608">SUM</f>
        <v>#NAME?</v>
      </c>
      <c r="D608" s="1" t="e">
        <f t="array" ref="D608">SUM</f>
        <v>#NAME?</v>
      </c>
      <c r="E608" s="1" t="e">
        <f t="array" ref="E608">SUM</f>
        <v>#NAME?</v>
      </c>
      <c r="F608" s="1" t="e">
        <f t="array" ref="F608">SUM</f>
        <v>#NAME?</v>
      </c>
      <c r="G608" s="1" t="e">
        <f t="array" ref="G608">SUM</f>
        <v>#NAME?</v>
      </c>
      <c r="H608" s="1" t="e">
        <f t="array" ref="H608">SUM</f>
        <v>#NAME?</v>
      </c>
      <c r="I608" s="1" t="e">
        <f t="array" ref="I608">SUM</f>
        <v>#NAME?</v>
      </c>
      <c r="J608" s="1" t="e">
        <f t="array" ref="J608">SUM</f>
        <v>#NAME?</v>
      </c>
      <c r="K608" s="1" t="e">
        <f t="array" ref="K608">SUM</f>
        <v>#NAME?</v>
      </c>
      <c r="L608" s="1" t="e">
        <f t="array" ref="L608">SUM</f>
        <v>#NAME?</v>
      </c>
      <c r="M608" s="1" t="e">
        <f t="array" ref="M608">SUM</f>
        <v>#NAME?</v>
      </c>
      <c r="N608" s="1" t="e">
        <f t="array" ref="N608">SUM</f>
        <v>#NAME?</v>
      </c>
      <c r="O608" t="s">
        <v>19</v>
      </c>
      <c r="P608">
        <v>2021</v>
      </c>
    </row>
    <row r="609" spans="1:16" x14ac:dyDescent="0.25">
      <c r="A609" t="s">
        <v>18</v>
      </c>
      <c r="B609" s="1" t="e">
        <f t="array" ref="B609">SUM</f>
        <v>#NAME?</v>
      </c>
      <c r="C609" s="1" t="e">
        <f t="array" ref="C609">SUM</f>
        <v>#NAME?</v>
      </c>
      <c r="D609" s="1" t="e">
        <f t="array" ref="D609">SUM</f>
        <v>#NAME?</v>
      </c>
      <c r="E609" s="1" t="e">
        <f t="array" ref="E609">SUM</f>
        <v>#NAME?</v>
      </c>
      <c r="F609" s="1" t="e">
        <f t="array" ref="F609">SUM</f>
        <v>#NAME?</v>
      </c>
      <c r="G609" s="1" t="e">
        <f t="array" ref="G609">SUM</f>
        <v>#NAME?</v>
      </c>
      <c r="H609" s="1" t="e">
        <f t="array" ref="H609">SUM</f>
        <v>#NAME?</v>
      </c>
      <c r="I609" s="1" t="e">
        <f t="array" ref="I609">SUM</f>
        <v>#NAME?</v>
      </c>
      <c r="J609" s="1" t="e">
        <f t="array" ref="J609">SUM</f>
        <v>#NAME?</v>
      </c>
      <c r="K609" s="1" t="e">
        <f t="array" ref="K609">SUM</f>
        <v>#NAME?</v>
      </c>
      <c r="L609" s="1" t="e">
        <f t="array" ref="L609">SUM</f>
        <v>#NAME?</v>
      </c>
      <c r="M609" s="1" t="e">
        <f t="array" ref="M609">SUM</f>
        <v>#NAME?</v>
      </c>
      <c r="N609" s="1" t="e">
        <f t="array" ref="N609">SUM</f>
        <v>#NAME?</v>
      </c>
      <c r="O609" t="s">
        <v>28</v>
      </c>
      <c r="P609">
        <v>2021</v>
      </c>
    </row>
    <row r="610" spans="1:16" x14ac:dyDescent="0.25">
      <c r="A610" t="s">
        <v>23</v>
      </c>
      <c r="B610" s="1" t="e">
        <f t="array" ref="B610">SUM</f>
        <v>#NAME?</v>
      </c>
      <c r="C610" s="1" t="e">
        <f t="array" ref="C610">SUM</f>
        <v>#NAME?</v>
      </c>
      <c r="D610" s="1" t="e">
        <f t="array" ref="D610">SUM</f>
        <v>#NAME?</v>
      </c>
      <c r="E610" s="1" t="e">
        <f t="array" ref="E610">SUM</f>
        <v>#NAME?</v>
      </c>
      <c r="F610" s="1" t="e">
        <f t="array" ref="F610">SUM</f>
        <v>#NAME?</v>
      </c>
      <c r="G610" s="1" t="e">
        <f t="array" ref="G610">SUM</f>
        <v>#NAME?</v>
      </c>
      <c r="H610" s="1" t="e">
        <f t="array" ref="H610">SUM</f>
        <v>#NAME?</v>
      </c>
      <c r="I610" s="1" t="e">
        <f t="array" ref="I610">SUM</f>
        <v>#NAME?</v>
      </c>
      <c r="J610" s="1" t="e">
        <f t="array" ref="J610">SUM</f>
        <v>#NAME?</v>
      </c>
      <c r="K610" s="1" t="e">
        <f t="array" ref="K610">SUM</f>
        <v>#NAME?</v>
      </c>
      <c r="L610" s="1" t="e">
        <f t="array" ref="L610">SUM</f>
        <v>#NAME?</v>
      </c>
      <c r="M610" s="1" t="e">
        <f t="array" ref="M610">SUM</f>
        <v>#NAME?</v>
      </c>
      <c r="N610" s="1" t="e">
        <f t="array" ref="N610">SUM</f>
        <v>#NAME?</v>
      </c>
      <c r="O610" t="s">
        <v>17</v>
      </c>
      <c r="P610">
        <v>2021</v>
      </c>
    </row>
    <row r="611" spans="1:16" x14ac:dyDescent="0.25">
      <c r="A611" t="s">
        <v>16</v>
      </c>
      <c r="B611" s="1" t="e">
        <f t="array" ref="B611">SUM</f>
        <v>#NAME?</v>
      </c>
      <c r="C611" s="1" t="e">
        <f t="array" ref="C611">SUM</f>
        <v>#NAME?</v>
      </c>
      <c r="D611" s="1" t="e">
        <f t="array" ref="D611">SUM</f>
        <v>#NAME?</v>
      </c>
      <c r="E611" s="1" t="e">
        <f t="array" ref="E611">SUM</f>
        <v>#NAME?</v>
      </c>
      <c r="F611" s="1" t="e">
        <f t="array" ref="F611">SUM</f>
        <v>#NAME?</v>
      </c>
      <c r="G611" s="1" t="e">
        <f t="array" ref="G611">SUM</f>
        <v>#NAME?</v>
      </c>
      <c r="H611" s="1" t="e">
        <f t="array" ref="H611">SUM</f>
        <v>#NAME?</v>
      </c>
      <c r="I611" s="1" t="e">
        <f t="array" ref="I611">SUM</f>
        <v>#NAME?</v>
      </c>
      <c r="J611" s="1" t="e">
        <f t="array" ref="J611">SUM</f>
        <v>#NAME?</v>
      </c>
      <c r="K611" s="1" t="e">
        <f t="array" ref="K611">SUM</f>
        <v>#NAME?</v>
      </c>
      <c r="L611" s="1" t="e">
        <f t="array" ref="L611">SUM</f>
        <v>#NAME?</v>
      </c>
      <c r="M611" s="1" t="e">
        <f t="array" ref="M611">SUM</f>
        <v>#NAME?</v>
      </c>
      <c r="N611" s="1" t="e">
        <f t="array" ref="N611">SUM</f>
        <v>#NAME?</v>
      </c>
      <c r="O611" t="s">
        <v>19</v>
      </c>
      <c r="P611">
        <v>2021</v>
      </c>
    </row>
    <row r="612" spans="1:16" x14ac:dyDescent="0.25">
      <c r="A612" t="s">
        <v>22</v>
      </c>
      <c r="B612" s="1" t="e">
        <f t="array" ref="B612">SUM</f>
        <v>#NAME?</v>
      </c>
      <c r="C612" s="1" t="e">
        <f t="array" ref="C612">SUM</f>
        <v>#NAME?</v>
      </c>
      <c r="D612" s="1" t="e">
        <f t="array" ref="D612">SUM</f>
        <v>#NAME?</v>
      </c>
      <c r="E612" s="1" t="e">
        <f t="array" ref="E612">SUM</f>
        <v>#NAME?</v>
      </c>
      <c r="F612" s="1" t="e">
        <f t="array" ref="F612">SUM</f>
        <v>#NAME?</v>
      </c>
      <c r="G612" s="1" t="e">
        <f t="array" ref="G612">SUM</f>
        <v>#NAME?</v>
      </c>
      <c r="H612" s="1" t="e">
        <f t="array" ref="H612">SUM</f>
        <v>#NAME?</v>
      </c>
      <c r="I612" s="1" t="e">
        <f t="array" ref="I612">SUM</f>
        <v>#NAME?</v>
      </c>
      <c r="J612" s="1" t="e">
        <f t="array" ref="J612">SUM</f>
        <v>#NAME?</v>
      </c>
      <c r="K612" s="1" t="e">
        <f t="array" ref="K612">SUM</f>
        <v>#NAME?</v>
      </c>
      <c r="L612" s="1" t="e">
        <f t="array" ref="L612">SUM</f>
        <v>#NAME?</v>
      </c>
      <c r="M612" s="1" t="e">
        <f t="array" ref="M612">SUM</f>
        <v>#NAME?</v>
      </c>
      <c r="N612" s="1" t="e">
        <f t="array" ref="N612">SUM</f>
        <v>#NAME?</v>
      </c>
      <c r="O612" t="s">
        <v>28</v>
      </c>
      <c r="P612">
        <v>2021</v>
      </c>
    </row>
    <row r="613" spans="1:16" x14ac:dyDescent="0.25">
      <c r="A613" t="s">
        <v>22</v>
      </c>
      <c r="B613" s="1" t="e">
        <f t="array" ref="B613">SUM</f>
        <v>#NAME?</v>
      </c>
      <c r="C613" s="1" t="e">
        <f t="array" ref="C613">SUM</f>
        <v>#NAME?</v>
      </c>
      <c r="D613" s="1" t="e">
        <f t="array" ref="D613">SUM</f>
        <v>#NAME?</v>
      </c>
      <c r="E613" s="1" t="e">
        <f t="array" ref="E613">SUM</f>
        <v>#NAME?</v>
      </c>
      <c r="F613" s="1" t="e">
        <f t="array" ref="F613">SUM</f>
        <v>#NAME?</v>
      </c>
      <c r="G613" s="1" t="e">
        <f t="array" ref="G613">SUM</f>
        <v>#NAME?</v>
      </c>
      <c r="H613" s="1" t="e">
        <f t="array" ref="H613">SUM</f>
        <v>#NAME?</v>
      </c>
      <c r="I613" s="1" t="e">
        <f t="array" ref="I613">SUM</f>
        <v>#NAME?</v>
      </c>
      <c r="J613" s="1" t="e">
        <f t="array" ref="J613">SUM</f>
        <v>#NAME?</v>
      </c>
      <c r="K613" s="1" t="e">
        <f t="array" ref="K613">SUM</f>
        <v>#NAME?</v>
      </c>
      <c r="L613" s="1" t="e">
        <f t="array" ref="L613">SUM</f>
        <v>#NAME?</v>
      </c>
      <c r="M613" s="1" t="e">
        <f t="array" ref="M613">SUM</f>
        <v>#NAME?</v>
      </c>
      <c r="N613" s="1" t="e">
        <f t="array" ref="N613">SUM</f>
        <v>#NAME?</v>
      </c>
      <c r="O613" t="s">
        <v>20</v>
      </c>
      <c r="P613">
        <v>2021</v>
      </c>
    </row>
    <row r="614" spans="1:16" x14ac:dyDescent="0.25">
      <c r="A614" t="s">
        <v>16</v>
      </c>
      <c r="B614" s="1" t="e">
        <f t="array" ref="B614">SUM</f>
        <v>#NAME?</v>
      </c>
      <c r="C614" s="1" t="e">
        <f t="array" ref="C614">SUM</f>
        <v>#NAME?</v>
      </c>
      <c r="D614" s="1" t="e">
        <f t="array" ref="D614">SUM</f>
        <v>#NAME?</v>
      </c>
      <c r="E614" s="1" t="e">
        <f t="array" ref="E614">SUM</f>
        <v>#NAME?</v>
      </c>
      <c r="F614" s="1" t="e">
        <f t="array" ref="F614">SUM</f>
        <v>#NAME?</v>
      </c>
      <c r="G614" s="1" t="e">
        <f t="array" ref="G614">SUM</f>
        <v>#NAME?</v>
      </c>
      <c r="H614" s="1" t="e">
        <f t="array" ref="H614">SUM</f>
        <v>#NAME?</v>
      </c>
      <c r="I614" s="1" t="e">
        <f t="array" ref="I614">SUM</f>
        <v>#NAME?</v>
      </c>
      <c r="J614" s="1" t="e">
        <f t="array" ref="J614">SUM</f>
        <v>#NAME?</v>
      </c>
      <c r="K614" s="1" t="e">
        <f t="array" ref="K614">SUM</f>
        <v>#NAME?</v>
      </c>
      <c r="L614" s="1" t="e">
        <f t="array" ref="L614">SUM</f>
        <v>#NAME?</v>
      </c>
      <c r="M614" s="1" t="e">
        <f t="array" ref="M614">SUM</f>
        <v>#NAME?</v>
      </c>
      <c r="N614" s="1" t="e">
        <f t="array" ref="N614">SUM</f>
        <v>#NAME?</v>
      </c>
      <c r="O614" t="s">
        <v>31</v>
      </c>
      <c r="P614">
        <v>2021</v>
      </c>
    </row>
    <row r="615" spans="1:16" x14ac:dyDescent="0.25">
      <c r="A615" t="s">
        <v>16</v>
      </c>
      <c r="B615" s="1" t="e">
        <f t="array" ref="B615">SUM</f>
        <v>#NAME?</v>
      </c>
      <c r="C615" s="1" t="e">
        <f t="array" ref="C615">SUM</f>
        <v>#NAME?</v>
      </c>
      <c r="D615" s="1" t="e">
        <f t="array" ref="D615">SUM</f>
        <v>#NAME?</v>
      </c>
      <c r="E615" s="1" t="e">
        <f t="array" ref="E615">SUM</f>
        <v>#NAME?</v>
      </c>
      <c r="F615" s="1" t="e">
        <f t="array" ref="F615">SUM</f>
        <v>#NAME?</v>
      </c>
      <c r="G615" s="1" t="e">
        <f t="array" ref="G615">SUM</f>
        <v>#NAME?</v>
      </c>
      <c r="H615" s="1" t="e">
        <f t="array" ref="H615">SUM</f>
        <v>#NAME?</v>
      </c>
      <c r="I615" s="1" t="e">
        <f t="array" ref="I615">SUM</f>
        <v>#NAME?</v>
      </c>
      <c r="J615" s="1" t="e">
        <f t="array" ref="J615">SUM</f>
        <v>#NAME?</v>
      </c>
      <c r="K615" s="1" t="e">
        <f t="array" ref="K615">SUM</f>
        <v>#NAME?</v>
      </c>
      <c r="L615" s="1" t="e">
        <f t="array" ref="L615">SUM</f>
        <v>#NAME?</v>
      </c>
      <c r="M615" s="1" t="e">
        <f t="array" ref="M615">SUM</f>
        <v>#NAME?</v>
      </c>
      <c r="N615" s="1" t="e">
        <f t="array" ref="N615">SUM</f>
        <v>#NAME?</v>
      </c>
      <c r="O615" t="s">
        <v>32</v>
      </c>
      <c r="P615">
        <v>2021</v>
      </c>
    </row>
    <row r="616" spans="1:16" x14ac:dyDescent="0.25">
      <c r="A616" t="s">
        <v>16</v>
      </c>
      <c r="B616" s="1" t="e">
        <f t="array" ref="B616">SUM</f>
        <v>#NAME?</v>
      </c>
      <c r="C616" s="1" t="e">
        <f t="array" ref="C616">SUM</f>
        <v>#NAME?</v>
      </c>
      <c r="D616" s="1" t="e">
        <f t="array" ref="D616">SUM</f>
        <v>#NAME?</v>
      </c>
      <c r="E616" s="1" t="e">
        <f t="array" ref="E616">SUM</f>
        <v>#NAME?</v>
      </c>
      <c r="F616" s="1" t="e">
        <f t="array" ref="F616">SUM</f>
        <v>#NAME?</v>
      </c>
      <c r="G616" s="1" t="e">
        <f t="array" ref="G616">SUM</f>
        <v>#NAME?</v>
      </c>
      <c r="H616" s="1" t="e">
        <f t="array" ref="H616">SUM</f>
        <v>#NAME?</v>
      </c>
      <c r="I616" s="1" t="e">
        <f t="array" ref="I616">SUM</f>
        <v>#NAME?</v>
      </c>
      <c r="J616" s="1" t="e">
        <f t="array" ref="J616">SUM</f>
        <v>#NAME?</v>
      </c>
      <c r="K616" s="1" t="e">
        <f t="array" ref="K616">SUM</f>
        <v>#NAME?</v>
      </c>
      <c r="L616" s="1" t="e">
        <f t="array" ref="L616">SUM</f>
        <v>#NAME?</v>
      </c>
      <c r="M616" s="1" t="e">
        <f t="array" ref="M616">SUM</f>
        <v>#NAME?</v>
      </c>
      <c r="N616" s="1" t="e">
        <f t="array" ref="N616">SUM</f>
        <v>#NAME?</v>
      </c>
      <c r="O616" t="s">
        <v>28</v>
      </c>
      <c r="P616">
        <v>2021</v>
      </c>
    </row>
    <row r="617" spans="1:16" x14ac:dyDescent="0.25">
      <c r="A617" t="s">
        <v>16</v>
      </c>
      <c r="B617" s="1" t="e">
        <f t="array" ref="B617">SUM</f>
        <v>#NAME?</v>
      </c>
      <c r="C617" s="1" t="e">
        <f t="array" ref="C617">SUM</f>
        <v>#NAME?</v>
      </c>
      <c r="D617" s="1" t="e">
        <f t="array" ref="D617">SUM</f>
        <v>#NAME?</v>
      </c>
      <c r="E617" s="1" t="e">
        <f t="array" ref="E617">SUM</f>
        <v>#NAME?</v>
      </c>
      <c r="F617" s="1" t="e">
        <f t="array" ref="F617">SUM</f>
        <v>#NAME?</v>
      </c>
      <c r="G617" s="1" t="e">
        <f t="array" ref="G617">SUM</f>
        <v>#NAME?</v>
      </c>
      <c r="H617" s="1" t="e">
        <f t="array" ref="H617">SUM</f>
        <v>#NAME?</v>
      </c>
      <c r="I617" s="1" t="e">
        <f t="array" ref="I617">SUM</f>
        <v>#NAME?</v>
      </c>
      <c r="J617" s="1" t="e">
        <f t="array" ref="J617">SUM</f>
        <v>#NAME?</v>
      </c>
      <c r="K617" s="1" t="e">
        <f t="array" ref="K617">SUM</f>
        <v>#NAME?</v>
      </c>
      <c r="L617" s="1" t="e">
        <f t="array" ref="L617">SUM</f>
        <v>#NAME?</v>
      </c>
      <c r="M617" s="1" t="e">
        <f t="array" ref="M617">SUM</f>
        <v>#NAME?</v>
      </c>
      <c r="N617" s="1" t="e">
        <f t="array" ref="N617">SUM</f>
        <v>#NAME?</v>
      </c>
      <c r="O617" t="s">
        <v>20</v>
      </c>
      <c r="P617">
        <v>2021</v>
      </c>
    </row>
    <row r="618" spans="1:16" x14ac:dyDescent="0.25">
      <c r="A618" t="s">
        <v>16</v>
      </c>
      <c r="B618" s="1" t="e">
        <f t="array" ref="B618">SUM</f>
        <v>#NAME?</v>
      </c>
      <c r="C618" s="1" t="e">
        <f t="array" ref="C618">SUM</f>
        <v>#NAME?</v>
      </c>
      <c r="D618" s="1" t="e">
        <f t="array" ref="D618">SUM</f>
        <v>#NAME?</v>
      </c>
      <c r="E618" s="1" t="e">
        <f t="array" ref="E618">SUM</f>
        <v>#NAME?</v>
      </c>
      <c r="F618" s="1" t="e">
        <f t="array" ref="F618">SUM</f>
        <v>#NAME?</v>
      </c>
      <c r="G618" s="1" t="e">
        <f t="array" ref="G618">SUM</f>
        <v>#NAME?</v>
      </c>
      <c r="H618" s="1" t="e">
        <f t="array" ref="H618">SUM</f>
        <v>#NAME?</v>
      </c>
      <c r="I618" s="1" t="e">
        <f t="array" ref="I618">SUM</f>
        <v>#NAME?</v>
      </c>
      <c r="J618" s="1" t="e">
        <f t="array" ref="J618">SUM</f>
        <v>#NAME?</v>
      </c>
      <c r="K618" s="1" t="e">
        <f t="array" ref="K618">SUM</f>
        <v>#NAME?</v>
      </c>
      <c r="L618" s="1" t="e">
        <f t="array" ref="L618">SUM</f>
        <v>#NAME?</v>
      </c>
      <c r="M618" s="1" t="e">
        <f t="array" ref="M618">SUM</f>
        <v>#NAME?</v>
      </c>
      <c r="N618" s="1" t="e">
        <f t="array" ref="N618">SUM</f>
        <v>#NAME?</v>
      </c>
      <c r="O618" t="s">
        <v>29</v>
      </c>
      <c r="P618">
        <v>2021</v>
      </c>
    </row>
    <row r="619" spans="1:16" x14ac:dyDescent="0.25">
      <c r="A619" t="s">
        <v>16</v>
      </c>
      <c r="B619" s="1" t="e">
        <f t="array" ref="B619">SUM</f>
        <v>#NAME?</v>
      </c>
      <c r="C619" s="1" t="e">
        <f t="array" ref="C619">SUM</f>
        <v>#NAME?</v>
      </c>
      <c r="D619" s="1" t="e">
        <f t="array" ref="D619">SUM</f>
        <v>#NAME?</v>
      </c>
      <c r="E619" s="1" t="e">
        <f t="array" ref="E619">SUM</f>
        <v>#NAME?</v>
      </c>
      <c r="F619" s="1" t="e">
        <f t="array" ref="F619">SUM</f>
        <v>#NAME?</v>
      </c>
      <c r="G619" s="1" t="e">
        <f t="array" ref="G619">SUM</f>
        <v>#NAME?</v>
      </c>
      <c r="H619" s="1" t="e">
        <f t="array" ref="H619">SUM</f>
        <v>#NAME?</v>
      </c>
      <c r="I619" s="1" t="e">
        <f t="array" ref="I619">SUM</f>
        <v>#NAME?</v>
      </c>
      <c r="J619" s="1" t="e">
        <f t="array" ref="J619">SUM</f>
        <v>#NAME?</v>
      </c>
      <c r="K619" s="1" t="e">
        <f t="array" ref="K619">SUM</f>
        <v>#NAME?</v>
      </c>
      <c r="L619" s="1" t="e">
        <f t="array" ref="L619">SUM</f>
        <v>#NAME?</v>
      </c>
      <c r="M619" s="1" t="e">
        <f t="array" ref="M619">SUM</f>
        <v>#NAME?</v>
      </c>
      <c r="N619" s="1" t="e">
        <f t="array" ref="N619">SUM</f>
        <v>#NAME?</v>
      </c>
      <c r="O619" t="s">
        <v>28</v>
      </c>
      <c r="P619">
        <v>2021</v>
      </c>
    </row>
    <row r="620" spans="1:16" x14ac:dyDescent="0.25">
      <c r="A620" t="s">
        <v>18</v>
      </c>
      <c r="B620" s="1" t="e">
        <f t="array" ref="B620">SUM</f>
        <v>#NAME?</v>
      </c>
      <c r="C620" s="1" t="e">
        <f t="array" ref="C620">SUM</f>
        <v>#NAME?</v>
      </c>
      <c r="D620" s="1" t="e">
        <f t="array" ref="D620">SUM</f>
        <v>#NAME?</v>
      </c>
      <c r="E620" s="1" t="e">
        <f t="array" ref="E620">SUM</f>
        <v>#NAME?</v>
      </c>
      <c r="F620" s="1" t="e">
        <f t="array" ref="F620">SUM</f>
        <v>#NAME?</v>
      </c>
      <c r="G620" s="1" t="e">
        <f t="array" ref="G620">SUM</f>
        <v>#NAME?</v>
      </c>
      <c r="H620" s="1" t="e">
        <f t="array" ref="H620">SUM</f>
        <v>#NAME?</v>
      </c>
      <c r="I620" s="1" t="e">
        <f t="array" ref="I620">SUM</f>
        <v>#NAME?</v>
      </c>
      <c r="J620" s="1" t="e">
        <f t="array" ref="J620">SUM</f>
        <v>#NAME?</v>
      </c>
      <c r="K620" s="1" t="e">
        <f t="array" ref="K620">SUM</f>
        <v>#NAME?</v>
      </c>
      <c r="L620" s="1" t="e">
        <f t="array" ref="L620">SUM</f>
        <v>#NAME?</v>
      </c>
      <c r="M620" s="1" t="e">
        <f t="array" ref="M620">SUM</f>
        <v>#NAME?</v>
      </c>
      <c r="N620" s="1" t="e">
        <f t="array" ref="N620">SUM</f>
        <v>#NAME?</v>
      </c>
      <c r="O620" t="s">
        <v>29</v>
      </c>
      <c r="P620">
        <v>2021</v>
      </c>
    </row>
    <row r="621" spans="1:16" x14ac:dyDescent="0.25">
      <c r="A621" t="s">
        <v>16</v>
      </c>
      <c r="B621" s="1" t="e">
        <f t="array" ref="B621">SUM</f>
        <v>#NAME?</v>
      </c>
      <c r="C621" s="1" t="e">
        <f t="array" ref="C621">SUM</f>
        <v>#NAME?</v>
      </c>
      <c r="D621" s="1" t="e">
        <f t="array" ref="D621">SUM</f>
        <v>#NAME?</v>
      </c>
      <c r="E621" s="1" t="e">
        <f t="array" ref="E621">SUM</f>
        <v>#NAME?</v>
      </c>
      <c r="F621" s="1" t="e">
        <f t="array" ref="F621">SUM</f>
        <v>#NAME?</v>
      </c>
      <c r="G621" s="1" t="e">
        <f t="array" ref="G621">SUM</f>
        <v>#NAME?</v>
      </c>
      <c r="H621" s="1" t="e">
        <f t="array" ref="H621">SUM</f>
        <v>#NAME?</v>
      </c>
      <c r="I621" s="1" t="e">
        <f t="array" ref="I621">SUM</f>
        <v>#NAME?</v>
      </c>
      <c r="J621" s="1" t="e">
        <f t="array" ref="J621">SUM</f>
        <v>#NAME?</v>
      </c>
      <c r="K621" s="1" t="e">
        <f t="array" ref="K621">SUM</f>
        <v>#NAME?</v>
      </c>
      <c r="L621" s="1" t="e">
        <f t="array" ref="L621">SUM</f>
        <v>#NAME?</v>
      </c>
      <c r="M621" s="1" t="e">
        <f t="array" ref="M621">SUM</f>
        <v>#NAME?</v>
      </c>
      <c r="N621" s="1" t="e">
        <f t="array" ref="N621">SUM</f>
        <v>#NAME?</v>
      </c>
      <c r="O621" t="s">
        <v>21</v>
      </c>
      <c r="P621">
        <v>2021</v>
      </c>
    </row>
    <row r="622" spans="1:16" x14ac:dyDescent="0.25">
      <c r="A622" t="s">
        <v>18</v>
      </c>
      <c r="B622" s="1" t="e">
        <f t="array" ref="B622">SUM</f>
        <v>#NAME?</v>
      </c>
      <c r="C622" s="1" t="e">
        <f t="array" ref="C622">SUM</f>
        <v>#NAME?</v>
      </c>
      <c r="D622" s="1" t="e">
        <f t="array" ref="D622">SUM</f>
        <v>#NAME?</v>
      </c>
      <c r="E622" s="1" t="e">
        <f t="array" ref="E622">SUM</f>
        <v>#NAME?</v>
      </c>
      <c r="F622" s="1" t="e">
        <f t="array" ref="F622">SUM</f>
        <v>#NAME?</v>
      </c>
      <c r="G622" s="1" t="e">
        <f t="array" ref="G622">SUM</f>
        <v>#NAME?</v>
      </c>
      <c r="H622" s="1" t="e">
        <f t="array" ref="H622">SUM</f>
        <v>#NAME?</v>
      </c>
      <c r="I622" s="1" t="e">
        <f t="array" ref="I622">SUM</f>
        <v>#NAME?</v>
      </c>
      <c r="J622" s="1" t="e">
        <f t="array" ref="J622">SUM</f>
        <v>#NAME?</v>
      </c>
      <c r="K622" s="1" t="e">
        <f t="array" ref="K622">SUM</f>
        <v>#NAME?</v>
      </c>
      <c r="L622" s="1" t="e">
        <f t="array" ref="L622">SUM</f>
        <v>#NAME?</v>
      </c>
      <c r="M622" s="1" t="e">
        <f t="array" ref="M622">SUM</f>
        <v>#NAME?</v>
      </c>
      <c r="N622" s="1" t="e">
        <f t="array" ref="N622">SUM</f>
        <v>#NAME?</v>
      </c>
      <c r="O622" t="s">
        <v>27</v>
      </c>
      <c r="P622">
        <v>2021</v>
      </c>
    </row>
    <row r="623" spans="1:16" x14ac:dyDescent="0.25">
      <c r="A623" t="s">
        <v>22</v>
      </c>
      <c r="B623" s="1" t="e">
        <f t="array" ref="B623">SUM</f>
        <v>#NAME?</v>
      </c>
      <c r="C623" s="1" t="e">
        <f t="array" ref="C623">SUM</f>
        <v>#NAME?</v>
      </c>
      <c r="D623" s="1" t="e">
        <f t="array" ref="D623">SUM</f>
        <v>#NAME?</v>
      </c>
      <c r="E623" s="1" t="e">
        <f t="array" ref="E623">SUM</f>
        <v>#NAME?</v>
      </c>
      <c r="F623" s="1" t="e">
        <f t="array" ref="F623">SUM</f>
        <v>#NAME?</v>
      </c>
      <c r="G623" s="1" t="e">
        <f t="array" ref="G623">SUM</f>
        <v>#NAME?</v>
      </c>
      <c r="H623" s="1" t="e">
        <f t="array" ref="H623">SUM</f>
        <v>#NAME?</v>
      </c>
      <c r="I623" s="1" t="e">
        <f t="array" ref="I623">SUM</f>
        <v>#NAME?</v>
      </c>
      <c r="J623" s="1" t="e">
        <f t="array" ref="J623">SUM</f>
        <v>#NAME?</v>
      </c>
      <c r="K623" s="1" t="e">
        <f t="array" ref="K623">SUM</f>
        <v>#NAME?</v>
      </c>
      <c r="L623" s="1" t="e">
        <f t="array" ref="L623">SUM</f>
        <v>#NAME?</v>
      </c>
      <c r="M623" s="1" t="e">
        <f t="array" ref="M623">SUM</f>
        <v>#NAME?</v>
      </c>
      <c r="N623" s="1" t="e">
        <f t="array" ref="N623">SUM</f>
        <v>#NAME?</v>
      </c>
      <c r="O623" t="s">
        <v>28</v>
      </c>
      <c r="P623">
        <v>2021</v>
      </c>
    </row>
    <row r="624" spans="1:16" x14ac:dyDescent="0.25">
      <c r="A624" t="s">
        <v>16</v>
      </c>
      <c r="B624" s="1" t="e">
        <f t="array" ref="B624">SUM</f>
        <v>#NAME?</v>
      </c>
      <c r="C624" s="1" t="e">
        <f t="array" ref="C624">SUM</f>
        <v>#NAME?</v>
      </c>
      <c r="D624" s="1" t="e">
        <f t="array" ref="D624">SUM</f>
        <v>#NAME?</v>
      </c>
      <c r="E624" s="1" t="e">
        <f t="array" ref="E624">SUM</f>
        <v>#NAME?</v>
      </c>
      <c r="F624" s="1" t="e">
        <f t="array" ref="F624">SUM</f>
        <v>#NAME?</v>
      </c>
      <c r="G624" s="1" t="e">
        <f t="array" ref="G624">SUM</f>
        <v>#NAME?</v>
      </c>
      <c r="H624" s="1" t="e">
        <f t="array" ref="H624">SUM</f>
        <v>#NAME?</v>
      </c>
      <c r="I624" s="1" t="e">
        <f t="array" ref="I624">SUM</f>
        <v>#NAME?</v>
      </c>
      <c r="J624" s="1" t="e">
        <f t="array" ref="J624">SUM</f>
        <v>#NAME?</v>
      </c>
      <c r="K624" s="1" t="e">
        <f t="array" ref="K624">SUM</f>
        <v>#NAME?</v>
      </c>
      <c r="L624" s="1" t="e">
        <f t="array" ref="L624">SUM</f>
        <v>#NAME?</v>
      </c>
      <c r="M624" s="1" t="e">
        <f t="array" ref="M624">SUM</f>
        <v>#NAME?</v>
      </c>
      <c r="N624" s="1" t="e">
        <f t="array" ref="N624">SUM</f>
        <v>#NAME?</v>
      </c>
      <c r="O624" t="s">
        <v>20</v>
      </c>
      <c r="P624">
        <v>2021</v>
      </c>
    </row>
    <row r="625" spans="1:16" x14ac:dyDescent="0.25">
      <c r="A625" t="s">
        <v>22</v>
      </c>
      <c r="B625" s="1" t="e">
        <f t="array" ref="B625">SUM</f>
        <v>#NAME?</v>
      </c>
      <c r="C625" s="1" t="e">
        <f t="array" ref="C625">SUM</f>
        <v>#NAME?</v>
      </c>
      <c r="D625" s="1" t="e">
        <f t="array" ref="D625">SUM</f>
        <v>#NAME?</v>
      </c>
      <c r="E625" s="1" t="e">
        <f t="array" ref="E625">SUM</f>
        <v>#NAME?</v>
      </c>
      <c r="F625" s="1" t="e">
        <f t="array" ref="F625">SUM</f>
        <v>#NAME?</v>
      </c>
      <c r="G625" s="1" t="e">
        <f t="array" ref="G625">SUM</f>
        <v>#NAME?</v>
      </c>
      <c r="H625" s="1" t="e">
        <f t="array" ref="H625">SUM</f>
        <v>#NAME?</v>
      </c>
      <c r="I625" s="1" t="e">
        <f t="array" ref="I625">SUM</f>
        <v>#NAME?</v>
      </c>
      <c r="J625" s="1" t="e">
        <f t="array" ref="J625">SUM</f>
        <v>#NAME?</v>
      </c>
      <c r="K625" s="1" t="e">
        <f t="array" ref="K625">SUM</f>
        <v>#NAME?</v>
      </c>
      <c r="L625" s="1" t="e">
        <f t="array" ref="L625">SUM</f>
        <v>#NAME?</v>
      </c>
      <c r="M625" s="1" t="e">
        <f t="array" ref="M625">SUM</f>
        <v>#NAME?</v>
      </c>
      <c r="N625" s="1" t="e">
        <f t="array" ref="N625">SUM</f>
        <v>#NAME?</v>
      </c>
      <c r="O625" t="s">
        <v>28</v>
      </c>
      <c r="P625">
        <v>2021</v>
      </c>
    </row>
    <row r="626" spans="1:16" x14ac:dyDescent="0.25">
      <c r="A626" t="s">
        <v>22</v>
      </c>
      <c r="B626" s="1" t="e">
        <f t="array" ref="B626">SUM</f>
        <v>#NAME?</v>
      </c>
      <c r="C626" s="1" t="e">
        <f t="array" ref="C626">SUM</f>
        <v>#NAME?</v>
      </c>
      <c r="D626" s="1" t="e">
        <f t="array" ref="D626">SUM</f>
        <v>#NAME?</v>
      </c>
      <c r="E626" s="1" t="e">
        <f t="array" ref="E626">SUM</f>
        <v>#NAME?</v>
      </c>
      <c r="F626" s="1" t="e">
        <f t="array" ref="F626">SUM</f>
        <v>#NAME?</v>
      </c>
      <c r="G626" s="1" t="e">
        <f t="array" ref="G626">SUM</f>
        <v>#NAME?</v>
      </c>
      <c r="H626" s="1" t="e">
        <f t="array" ref="H626">SUM</f>
        <v>#NAME?</v>
      </c>
      <c r="I626" s="1" t="e">
        <f t="array" ref="I626">SUM</f>
        <v>#NAME?</v>
      </c>
      <c r="J626" s="1" t="e">
        <f t="array" ref="J626">SUM</f>
        <v>#NAME?</v>
      </c>
      <c r="K626" s="1" t="e">
        <f t="array" ref="K626">SUM</f>
        <v>#NAME?</v>
      </c>
      <c r="L626" s="1" t="e">
        <f t="array" ref="L626">SUM</f>
        <v>#NAME?</v>
      </c>
      <c r="M626" s="1" t="e">
        <f t="array" ref="M626">SUM</f>
        <v>#NAME?</v>
      </c>
      <c r="N626" s="1" t="e">
        <f t="array" ref="N626">SUM</f>
        <v>#NAME?</v>
      </c>
      <c r="O626" t="s">
        <v>20</v>
      </c>
      <c r="P626">
        <v>2021</v>
      </c>
    </row>
    <row r="627" spans="1:16" x14ac:dyDescent="0.25">
      <c r="A627" t="s">
        <v>25</v>
      </c>
      <c r="B627" s="1" t="e">
        <f t="array" ref="B627">SUM</f>
        <v>#NAME?</v>
      </c>
      <c r="C627" s="1" t="e">
        <f t="array" ref="C627">SUM</f>
        <v>#NAME?</v>
      </c>
      <c r="D627" s="1" t="e">
        <f t="array" ref="D627">SUM</f>
        <v>#NAME?</v>
      </c>
      <c r="E627" s="1" t="e">
        <f t="array" ref="E627">SUM</f>
        <v>#NAME?</v>
      </c>
      <c r="F627" s="1" t="e">
        <f t="array" ref="F627">SUM</f>
        <v>#NAME?</v>
      </c>
      <c r="G627" s="1" t="e">
        <f t="array" ref="G627">SUM</f>
        <v>#NAME?</v>
      </c>
      <c r="H627" s="1" t="e">
        <f t="array" ref="H627">SUM</f>
        <v>#NAME?</v>
      </c>
      <c r="I627" s="1" t="e">
        <f t="array" ref="I627">SUM</f>
        <v>#NAME?</v>
      </c>
      <c r="J627" s="1" t="e">
        <f t="array" ref="J627">SUM</f>
        <v>#NAME?</v>
      </c>
      <c r="K627" s="1" t="e">
        <f t="array" ref="K627">SUM</f>
        <v>#NAME?</v>
      </c>
      <c r="L627" s="1" t="e">
        <f t="array" ref="L627">SUM</f>
        <v>#NAME?</v>
      </c>
      <c r="M627" s="1" t="e">
        <f t="array" ref="M627">SUM</f>
        <v>#NAME?</v>
      </c>
      <c r="N627" s="1" t="e">
        <f t="array" ref="N627">SUM</f>
        <v>#NAME?</v>
      </c>
      <c r="O627" t="s">
        <v>24</v>
      </c>
      <c r="P627">
        <v>2021</v>
      </c>
    </row>
    <row r="628" spans="1:16" x14ac:dyDescent="0.25">
      <c r="A628" t="s">
        <v>23</v>
      </c>
      <c r="B628" s="1" t="e">
        <f t="array" ref="B628">SUM</f>
        <v>#NAME?</v>
      </c>
      <c r="C628" s="1" t="e">
        <f t="array" ref="C628">SUM</f>
        <v>#NAME?</v>
      </c>
      <c r="D628" s="1" t="e">
        <f t="array" ref="D628">SUM</f>
        <v>#NAME?</v>
      </c>
      <c r="E628" s="1" t="e">
        <f t="array" ref="E628">SUM</f>
        <v>#NAME?</v>
      </c>
      <c r="F628" s="1" t="e">
        <f t="array" ref="F628">SUM</f>
        <v>#NAME?</v>
      </c>
      <c r="G628" s="1" t="e">
        <f t="array" ref="G628">SUM</f>
        <v>#NAME?</v>
      </c>
      <c r="H628" s="1" t="e">
        <f t="array" ref="H628">SUM</f>
        <v>#NAME?</v>
      </c>
      <c r="I628" s="1" t="e">
        <f t="array" ref="I628">SUM</f>
        <v>#NAME?</v>
      </c>
      <c r="J628" s="1" t="e">
        <f t="array" ref="J628">SUM</f>
        <v>#NAME?</v>
      </c>
      <c r="K628" s="1" t="e">
        <f t="array" ref="K628">SUM</f>
        <v>#NAME?</v>
      </c>
      <c r="L628" s="1" t="e">
        <f t="array" ref="L628">SUM</f>
        <v>#NAME?</v>
      </c>
      <c r="M628" s="1" t="e">
        <f t="array" ref="M628">SUM</f>
        <v>#NAME?</v>
      </c>
      <c r="N628" s="1" t="e">
        <f t="array" ref="N628">SUM</f>
        <v>#NAME?</v>
      </c>
      <c r="O628" t="s">
        <v>27</v>
      </c>
      <c r="P628">
        <v>2021</v>
      </c>
    </row>
    <row r="629" spans="1:16" x14ac:dyDescent="0.25">
      <c r="A629" t="s">
        <v>25</v>
      </c>
      <c r="B629" s="1" t="e">
        <f t="array" ref="B629">SUM</f>
        <v>#NAME?</v>
      </c>
      <c r="C629" s="1" t="e">
        <f t="array" ref="C629">SUM</f>
        <v>#NAME?</v>
      </c>
      <c r="D629" s="1" t="e">
        <f t="array" ref="D629">SUM</f>
        <v>#NAME?</v>
      </c>
      <c r="E629" s="1" t="e">
        <f t="array" ref="E629">SUM</f>
        <v>#NAME?</v>
      </c>
      <c r="F629" s="1" t="e">
        <f t="array" ref="F629">SUM</f>
        <v>#NAME?</v>
      </c>
      <c r="G629" s="1" t="e">
        <f t="array" ref="G629">SUM</f>
        <v>#NAME?</v>
      </c>
      <c r="H629" s="1" t="e">
        <f t="array" ref="H629">SUM</f>
        <v>#NAME?</v>
      </c>
      <c r="I629" s="1" t="e">
        <f t="array" ref="I629">SUM</f>
        <v>#NAME?</v>
      </c>
      <c r="J629" s="1" t="e">
        <f t="array" ref="J629">SUM</f>
        <v>#NAME?</v>
      </c>
      <c r="K629" s="1" t="e">
        <f t="array" ref="K629">SUM</f>
        <v>#NAME?</v>
      </c>
      <c r="L629" s="1" t="e">
        <f t="array" ref="L629">SUM</f>
        <v>#NAME?</v>
      </c>
      <c r="M629" s="1" t="e">
        <f t="array" ref="M629">SUM</f>
        <v>#NAME?</v>
      </c>
      <c r="N629" s="1" t="e">
        <f t="array" ref="N629">SUM</f>
        <v>#NAME?</v>
      </c>
      <c r="O629" t="s">
        <v>28</v>
      </c>
      <c r="P629">
        <v>2021</v>
      </c>
    </row>
    <row r="630" spans="1:16" x14ac:dyDescent="0.25">
      <c r="A630" t="s">
        <v>25</v>
      </c>
      <c r="B630" s="1" t="e">
        <f t="array" ref="B630">SUM</f>
        <v>#NAME?</v>
      </c>
      <c r="C630" s="1" t="e">
        <f t="array" ref="C630">SUM</f>
        <v>#NAME?</v>
      </c>
      <c r="D630" s="1" t="e">
        <f t="array" ref="D630">SUM</f>
        <v>#NAME?</v>
      </c>
      <c r="E630" s="1" t="e">
        <f t="array" ref="E630">SUM</f>
        <v>#NAME?</v>
      </c>
      <c r="F630" s="1" t="e">
        <f t="array" ref="F630">SUM</f>
        <v>#NAME?</v>
      </c>
      <c r="G630" s="1" t="e">
        <f t="array" ref="G630">SUM</f>
        <v>#NAME?</v>
      </c>
      <c r="H630" s="1" t="e">
        <f t="array" ref="H630">SUM</f>
        <v>#NAME?</v>
      </c>
      <c r="I630" s="1" t="e">
        <f t="array" ref="I630">SUM</f>
        <v>#NAME?</v>
      </c>
      <c r="J630" s="1" t="e">
        <f t="array" ref="J630">SUM</f>
        <v>#NAME?</v>
      </c>
      <c r="K630" s="1" t="e">
        <f t="array" ref="K630">SUM</f>
        <v>#NAME?</v>
      </c>
      <c r="L630" s="1" t="e">
        <f t="array" ref="L630">SUM</f>
        <v>#NAME?</v>
      </c>
      <c r="M630" s="1" t="e">
        <f t="array" ref="M630">SUM</f>
        <v>#NAME?</v>
      </c>
      <c r="N630" s="1" t="e">
        <f t="array" ref="N630">SUM</f>
        <v>#NAME?</v>
      </c>
      <c r="O630" t="s">
        <v>28</v>
      </c>
      <c r="P630">
        <v>2021</v>
      </c>
    </row>
    <row r="631" spans="1:16" x14ac:dyDescent="0.25">
      <c r="A631" t="s">
        <v>18</v>
      </c>
      <c r="B631" s="1" t="e">
        <f t="array" ref="B631">SUM</f>
        <v>#NAME?</v>
      </c>
      <c r="C631" s="1" t="e">
        <f t="array" ref="C631">SUM</f>
        <v>#NAME?</v>
      </c>
      <c r="D631" s="1" t="e">
        <f t="array" ref="D631">SUM</f>
        <v>#NAME?</v>
      </c>
      <c r="E631" s="1" t="e">
        <f t="array" ref="E631">SUM</f>
        <v>#NAME?</v>
      </c>
      <c r="F631" s="1" t="e">
        <f t="array" ref="F631">SUM</f>
        <v>#NAME?</v>
      </c>
      <c r="G631" s="1" t="e">
        <f t="array" ref="G631">SUM</f>
        <v>#NAME?</v>
      </c>
      <c r="H631" s="1" t="e">
        <f t="array" ref="H631">SUM</f>
        <v>#NAME?</v>
      </c>
      <c r="I631" s="1" t="e">
        <f t="array" ref="I631">SUM</f>
        <v>#NAME?</v>
      </c>
      <c r="J631" s="1" t="e">
        <f t="array" ref="J631">SUM</f>
        <v>#NAME?</v>
      </c>
      <c r="K631" s="1" t="e">
        <f t="array" ref="K631">SUM</f>
        <v>#NAME?</v>
      </c>
      <c r="L631" s="1" t="e">
        <f t="array" ref="L631">SUM</f>
        <v>#NAME?</v>
      </c>
      <c r="M631" s="1" t="e">
        <f t="array" ref="M631">SUM</f>
        <v>#NAME?</v>
      </c>
      <c r="N631" s="1" t="e">
        <f t="array" ref="N631">SUM</f>
        <v>#NAME?</v>
      </c>
      <c r="O631" t="s">
        <v>30</v>
      </c>
      <c r="P631">
        <v>2021</v>
      </c>
    </row>
    <row r="632" spans="1:16" x14ac:dyDescent="0.25">
      <c r="A632" t="s">
        <v>18</v>
      </c>
      <c r="B632" s="1" t="e">
        <f t="array" ref="B632">SUM</f>
        <v>#NAME?</v>
      </c>
      <c r="C632" s="1" t="e">
        <f t="array" ref="C632">SUM</f>
        <v>#NAME?</v>
      </c>
      <c r="D632" s="1" t="e">
        <f t="array" ref="D632">SUM</f>
        <v>#NAME?</v>
      </c>
      <c r="E632" s="1" t="e">
        <f t="array" ref="E632">SUM</f>
        <v>#NAME?</v>
      </c>
      <c r="F632" s="1" t="e">
        <f t="array" ref="F632">SUM</f>
        <v>#NAME?</v>
      </c>
      <c r="G632" s="1" t="e">
        <f t="array" ref="G632">SUM</f>
        <v>#NAME?</v>
      </c>
      <c r="H632" s="1" t="e">
        <f t="array" ref="H632">SUM</f>
        <v>#NAME?</v>
      </c>
      <c r="I632" s="1" t="e">
        <f t="array" ref="I632">SUM</f>
        <v>#NAME?</v>
      </c>
      <c r="J632" s="1" t="e">
        <f t="array" ref="J632">SUM</f>
        <v>#NAME?</v>
      </c>
      <c r="K632" s="1" t="e">
        <f t="array" ref="K632">SUM</f>
        <v>#NAME?</v>
      </c>
      <c r="L632" s="1" t="e">
        <f t="array" ref="L632">SUM</f>
        <v>#NAME?</v>
      </c>
      <c r="M632" s="1" t="e">
        <f t="array" ref="M632">SUM</f>
        <v>#NAME?</v>
      </c>
      <c r="N632" s="1" t="e">
        <f t="array" ref="N632">SUM</f>
        <v>#NAME?</v>
      </c>
      <c r="O632" t="s">
        <v>20</v>
      </c>
      <c r="P632">
        <v>2021</v>
      </c>
    </row>
    <row r="633" spans="1:16" x14ac:dyDescent="0.25">
      <c r="A633" t="s">
        <v>23</v>
      </c>
      <c r="B633" s="1" t="e">
        <f t="array" ref="B633">SUM</f>
        <v>#NAME?</v>
      </c>
      <c r="C633" s="1" t="e">
        <f t="array" ref="C633">SUM</f>
        <v>#NAME?</v>
      </c>
      <c r="D633" s="1" t="e">
        <f t="array" ref="D633">SUM</f>
        <v>#NAME?</v>
      </c>
      <c r="E633" s="1" t="e">
        <f t="array" ref="E633">SUM</f>
        <v>#NAME?</v>
      </c>
      <c r="F633" s="1" t="e">
        <f t="array" ref="F633">SUM</f>
        <v>#NAME?</v>
      </c>
      <c r="G633" s="1" t="e">
        <f t="array" ref="G633">SUM</f>
        <v>#NAME?</v>
      </c>
      <c r="H633" s="1" t="e">
        <f t="array" ref="H633">SUM</f>
        <v>#NAME?</v>
      </c>
      <c r="I633" s="1" t="e">
        <f t="array" ref="I633">SUM</f>
        <v>#NAME?</v>
      </c>
      <c r="J633" s="1" t="e">
        <f t="array" ref="J633">SUM</f>
        <v>#NAME?</v>
      </c>
      <c r="K633" s="1" t="e">
        <f t="array" ref="K633">SUM</f>
        <v>#NAME?</v>
      </c>
      <c r="L633" s="1" t="e">
        <f t="array" ref="L633">SUM</f>
        <v>#NAME?</v>
      </c>
      <c r="M633" s="1" t="e">
        <f t="array" ref="M633">SUM</f>
        <v>#NAME?</v>
      </c>
      <c r="N633" s="1" t="e">
        <f t="array" ref="N633">SUM</f>
        <v>#NAME?</v>
      </c>
      <c r="O633" t="s">
        <v>20</v>
      </c>
      <c r="P633">
        <v>2021</v>
      </c>
    </row>
    <row r="634" spans="1:16" x14ac:dyDescent="0.25">
      <c r="A634" t="s">
        <v>16</v>
      </c>
      <c r="B634" s="1" t="e">
        <f t="array" ref="B634">SUM</f>
        <v>#NAME?</v>
      </c>
      <c r="C634" s="1" t="e">
        <f t="array" ref="C634">SUM</f>
        <v>#NAME?</v>
      </c>
      <c r="D634" s="1" t="e">
        <f t="array" ref="D634">SUM</f>
        <v>#NAME?</v>
      </c>
      <c r="E634" s="1" t="e">
        <f t="array" ref="E634">SUM</f>
        <v>#NAME?</v>
      </c>
      <c r="F634" s="1" t="e">
        <f t="array" ref="F634">SUM</f>
        <v>#NAME?</v>
      </c>
      <c r="G634" s="1" t="e">
        <f t="array" ref="G634">SUM</f>
        <v>#NAME?</v>
      </c>
      <c r="H634" s="1" t="e">
        <f t="array" ref="H634">SUM</f>
        <v>#NAME?</v>
      </c>
      <c r="I634" s="1" t="e">
        <f t="array" ref="I634">SUM</f>
        <v>#NAME?</v>
      </c>
      <c r="J634" s="1" t="e">
        <f t="array" ref="J634">SUM</f>
        <v>#NAME?</v>
      </c>
      <c r="K634" s="1" t="e">
        <f t="array" ref="K634">SUM</f>
        <v>#NAME?</v>
      </c>
      <c r="L634" s="1" t="e">
        <f t="array" ref="L634">SUM</f>
        <v>#NAME?</v>
      </c>
      <c r="M634" s="1" t="e">
        <f t="array" ref="M634">SUM</f>
        <v>#NAME?</v>
      </c>
      <c r="N634" s="1" t="e">
        <f t="array" ref="N634">SUM</f>
        <v>#NAME?</v>
      </c>
      <c r="O634" t="s">
        <v>17</v>
      </c>
      <c r="P634">
        <v>2021</v>
      </c>
    </row>
    <row r="635" spans="1:16" x14ac:dyDescent="0.25">
      <c r="A635" t="s">
        <v>16</v>
      </c>
      <c r="B635" s="1" t="e">
        <f t="array" ref="B635">SUM</f>
        <v>#NAME?</v>
      </c>
      <c r="C635" s="1" t="e">
        <f t="array" ref="C635">SUM</f>
        <v>#NAME?</v>
      </c>
      <c r="D635" s="1" t="e">
        <f t="array" ref="D635">SUM</f>
        <v>#NAME?</v>
      </c>
      <c r="E635" s="1" t="e">
        <f t="array" ref="E635">SUM</f>
        <v>#NAME?</v>
      </c>
      <c r="F635" s="1" t="e">
        <f t="array" ref="F635">SUM</f>
        <v>#NAME?</v>
      </c>
      <c r="G635" s="1" t="e">
        <f t="array" ref="G635">SUM</f>
        <v>#NAME?</v>
      </c>
      <c r="H635" s="1" t="e">
        <f t="array" ref="H635">SUM</f>
        <v>#NAME?</v>
      </c>
      <c r="I635" s="1" t="e">
        <f t="array" ref="I635">SUM</f>
        <v>#NAME?</v>
      </c>
      <c r="J635" s="1" t="e">
        <f t="array" ref="J635">SUM</f>
        <v>#NAME?</v>
      </c>
      <c r="K635" s="1" t="e">
        <f t="array" ref="K635">SUM</f>
        <v>#NAME?</v>
      </c>
      <c r="L635" s="1" t="e">
        <f t="array" ref="L635">SUM</f>
        <v>#NAME?</v>
      </c>
      <c r="M635" s="1" t="e">
        <f t="array" ref="M635">SUM</f>
        <v>#NAME?</v>
      </c>
      <c r="N635" s="1" t="e">
        <f t="array" ref="N635">SUM</f>
        <v>#NAME?</v>
      </c>
      <c r="O635" t="s">
        <v>31</v>
      </c>
      <c r="P635">
        <v>2021</v>
      </c>
    </row>
    <row r="636" spans="1:16" x14ac:dyDescent="0.25">
      <c r="A636" t="s">
        <v>16</v>
      </c>
      <c r="B636" s="1" t="e">
        <f t="array" ref="B636">SUM</f>
        <v>#NAME?</v>
      </c>
      <c r="C636" s="1" t="e">
        <f t="array" ref="C636">SUM</f>
        <v>#NAME?</v>
      </c>
      <c r="D636" s="1" t="e">
        <f t="array" ref="D636">SUM</f>
        <v>#NAME?</v>
      </c>
      <c r="E636" s="1" t="e">
        <f t="array" ref="E636">SUM</f>
        <v>#NAME?</v>
      </c>
      <c r="F636" s="1" t="e">
        <f t="array" ref="F636">SUM</f>
        <v>#NAME?</v>
      </c>
      <c r="G636" s="1" t="e">
        <f t="array" ref="G636">SUM</f>
        <v>#NAME?</v>
      </c>
      <c r="H636" s="1" t="e">
        <f t="array" ref="H636">SUM</f>
        <v>#NAME?</v>
      </c>
      <c r="I636" s="1" t="e">
        <f t="array" ref="I636">SUM</f>
        <v>#NAME?</v>
      </c>
      <c r="J636" s="1" t="e">
        <f t="array" ref="J636">SUM</f>
        <v>#NAME?</v>
      </c>
      <c r="K636" s="1" t="e">
        <f t="array" ref="K636">SUM</f>
        <v>#NAME?</v>
      </c>
      <c r="L636" s="1" t="e">
        <f t="array" ref="L636">SUM</f>
        <v>#NAME?</v>
      </c>
      <c r="M636" s="1" t="e">
        <f t="array" ref="M636">SUM</f>
        <v>#NAME?</v>
      </c>
      <c r="N636" s="1" t="e">
        <f t="array" ref="N636">SUM</f>
        <v>#NAME?</v>
      </c>
      <c r="O636" t="s">
        <v>32</v>
      </c>
      <c r="P636">
        <v>2021</v>
      </c>
    </row>
    <row r="637" spans="1:16" x14ac:dyDescent="0.25">
      <c r="A637" t="s">
        <v>16</v>
      </c>
      <c r="B637" s="1" t="e">
        <f t="array" ref="B637">SUM</f>
        <v>#NAME?</v>
      </c>
      <c r="C637" s="1" t="e">
        <f t="array" ref="C637">SUM</f>
        <v>#NAME?</v>
      </c>
      <c r="D637" s="1" t="e">
        <f t="array" ref="D637">SUM</f>
        <v>#NAME?</v>
      </c>
      <c r="E637" s="1" t="e">
        <f t="array" ref="E637">SUM</f>
        <v>#NAME?</v>
      </c>
      <c r="F637" s="1" t="e">
        <f t="array" ref="F637">SUM</f>
        <v>#NAME?</v>
      </c>
      <c r="G637" s="1" t="e">
        <f t="array" ref="G637">SUM</f>
        <v>#NAME?</v>
      </c>
      <c r="H637" s="1" t="e">
        <f t="array" ref="H637">SUM</f>
        <v>#NAME?</v>
      </c>
      <c r="I637" s="1" t="e">
        <f t="array" ref="I637">SUM</f>
        <v>#NAME?</v>
      </c>
      <c r="J637" s="1" t="e">
        <f t="array" ref="J637">SUM</f>
        <v>#NAME?</v>
      </c>
      <c r="K637" s="1" t="e">
        <f t="array" ref="K637">SUM</f>
        <v>#NAME?</v>
      </c>
      <c r="L637" s="1" t="e">
        <f t="array" ref="L637">SUM</f>
        <v>#NAME?</v>
      </c>
      <c r="M637" s="1" t="e">
        <f t="array" ref="M637">SUM</f>
        <v>#NAME?</v>
      </c>
      <c r="N637" s="1" t="e">
        <f t="array" ref="N637">SUM</f>
        <v>#NAME?</v>
      </c>
      <c r="O637" t="s">
        <v>27</v>
      </c>
      <c r="P637">
        <v>2021</v>
      </c>
    </row>
    <row r="638" spans="1:16" x14ac:dyDescent="0.25">
      <c r="A638" t="s">
        <v>16</v>
      </c>
      <c r="B638" s="1" t="e">
        <f t="array" ref="B638">SUM</f>
        <v>#NAME?</v>
      </c>
      <c r="C638" s="1" t="e">
        <f t="array" ref="C638">SUM</f>
        <v>#NAME?</v>
      </c>
      <c r="D638" s="1" t="e">
        <f t="array" ref="D638">SUM</f>
        <v>#NAME?</v>
      </c>
      <c r="E638" s="1" t="e">
        <f t="array" ref="E638">SUM</f>
        <v>#NAME?</v>
      </c>
      <c r="F638" s="1" t="e">
        <f t="array" ref="F638">SUM</f>
        <v>#NAME?</v>
      </c>
      <c r="G638" s="1" t="e">
        <f t="array" ref="G638">SUM</f>
        <v>#NAME?</v>
      </c>
      <c r="H638" s="1" t="e">
        <f t="array" ref="H638">SUM</f>
        <v>#NAME?</v>
      </c>
      <c r="I638" s="1" t="e">
        <f t="array" ref="I638">SUM</f>
        <v>#NAME?</v>
      </c>
      <c r="J638" s="1" t="e">
        <f t="array" ref="J638">SUM</f>
        <v>#NAME?</v>
      </c>
      <c r="K638" s="1" t="e">
        <f t="array" ref="K638">SUM</f>
        <v>#NAME?</v>
      </c>
      <c r="L638" s="1" t="e">
        <f t="array" ref="L638">SUM</f>
        <v>#NAME?</v>
      </c>
      <c r="M638" s="1" t="e">
        <f t="array" ref="M638">SUM</f>
        <v>#NAME?</v>
      </c>
      <c r="N638" s="1" t="e">
        <f t="array" ref="N638">SUM</f>
        <v>#NAME?</v>
      </c>
      <c r="O638" t="s">
        <v>28</v>
      </c>
      <c r="P638">
        <v>2021</v>
      </c>
    </row>
    <row r="639" spans="1:16" x14ac:dyDescent="0.25">
      <c r="A639" t="s">
        <v>18</v>
      </c>
      <c r="B639" s="1" t="e">
        <f t="array" ref="B639">SUM</f>
        <v>#NAME?</v>
      </c>
      <c r="C639" s="1" t="e">
        <f t="array" ref="C639">SUM</f>
        <v>#NAME?</v>
      </c>
      <c r="D639" s="1" t="e">
        <f t="array" ref="D639">SUM</f>
        <v>#NAME?</v>
      </c>
      <c r="E639" s="1" t="e">
        <f t="array" ref="E639">SUM</f>
        <v>#NAME?</v>
      </c>
      <c r="F639" s="1" t="e">
        <f t="array" ref="F639">SUM</f>
        <v>#NAME?</v>
      </c>
      <c r="G639" s="1" t="e">
        <f t="array" ref="G639">SUM</f>
        <v>#NAME?</v>
      </c>
      <c r="H639" s="1" t="e">
        <f t="array" ref="H639">SUM</f>
        <v>#NAME?</v>
      </c>
      <c r="I639" s="1" t="e">
        <f t="array" ref="I639">SUM</f>
        <v>#NAME?</v>
      </c>
      <c r="J639" s="1" t="e">
        <f t="array" ref="J639">SUM</f>
        <v>#NAME?</v>
      </c>
      <c r="K639" s="1" t="e">
        <f t="array" ref="K639">SUM</f>
        <v>#NAME?</v>
      </c>
      <c r="L639" s="1" t="e">
        <f t="array" ref="L639">SUM</f>
        <v>#NAME?</v>
      </c>
      <c r="M639" s="1" t="e">
        <f t="array" ref="M639">SUM</f>
        <v>#NAME?</v>
      </c>
      <c r="N639" s="1" t="e">
        <f t="array" ref="N639">SUM</f>
        <v>#NAME?</v>
      </c>
      <c r="O639" t="s">
        <v>20</v>
      </c>
      <c r="P639">
        <v>2021</v>
      </c>
    </row>
    <row r="640" spans="1:16" x14ac:dyDescent="0.25">
      <c r="A640" t="s">
        <v>16</v>
      </c>
      <c r="B640" s="1" t="e">
        <f t="array" ref="B640">SUM</f>
        <v>#NAME?</v>
      </c>
      <c r="C640" s="1" t="e">
        <f t="array" ref="C640">SUM</f>
        <v>#NAME?</v>
      </c>
      <c r="D640" s="1" t="e">
        <f t="array" ref="D640">SUM</f>
        <v>#NAME?</v>
      </c>
      <c r="E640" s="1" t="e">
        <f t="array" ref="E640">SUM</f>
        <v>#NAME?</v>
      </c>
      <c r="F640" s="1" t="e">
        <f t="array" ref="F640">SUM</f>
        <v>#NAME?</v>
      </c>
      <c r="G640" s="1" t="e">
        <f t="array" ref="G640">SUM</f>
        <v>#NAME?</v>
      </c>
      <c r="H640" s="1" t="e">
        <f t="array" ref="H640">SUM</f>
        <v>#NAME?</v>
      </c>
      <c r="I640" s="1" t="e">
        <f t="array" ref="I640">SUM</f>
        <v>#NAME?</v>
      </c>
      <c r="J640" s="1" t="e">
        <f t="array" ref="J640">SUM</f>
        <v>#NAME?</v>
      </c>
      <c r="K640" s="1" t="e">
        <f t="array" ref="K640">SUM</f>
        <v>#NAME?</v>
      </c>
      <c r="L640" s="1" t="e">
        <f t="array" ref="L640">SUM</f>
        <v>#NAME?</v>
      </c>
      <c r="M640" s="1" t="e">
        <f t="array" ref="M640">SUM</f>
        <v>#NAME?</v>
      </c>
      <c r="N640" s="1" t="e">
        <f t="array" ref="N640">SUM</f>
        <v>#NAME?</v>
      </c>
      <c r="O640" t="s">
        <v>29</v>
      </c>
      <c r="P640">
        <v>2021</v>
      </c>
    </row>
    <row r="641" spans="1:16" x14ac:dyDescent="0.25">
      <c r="A641" t="s">
        <v>18</v>
      </c>
      <c r="B641" s="1" t="e">
        <f t="array" ref="B641">SUM</f>
        <v>#NAME?</v>
      </c>
      <c r="C641" s="1" t="e">
        <f t="array" ref="C641">SUM</f>
        <v>#NAME?</v>
      </c>
      <c r="D641" s="1" t="e">
        <f t="array" ref="D641">SUM</f>
        <v>#NAME?</v>
      </c>
      <c r="E641" s="1" t="e">
        <f t="array" ref="E641">SUM</f>
        <v>#NAME?</v>
      </c>
      <c r="F641" s="1" t="e">
        <f t="array" ref="F641">SUM</f>
        <v>#NAME?</v>
      </c>
      <c r="G641" s="1" t="e">
        <f t="array" ref="G641">SUM</f>
        <v>#NAME?</v>
      </c>
      <c r="H641" s="1" t="e">
        <f t="array" ref="H641">SUM</f>
        <v>#NAME?</v>
      </c>
      <c r="I641" s="1" t="e">
        <f t="array" ref="I641">SUM</f>
        <v>#NAME?</v>
      </c>
      <c r="J641" s="1" t="e">
        <f t="array" ref="J641">SUM</f>
        <v>#NAME?</v>
      </c>
      <c r="K641" s="1" t="e">
        <f t="array" ref="K641">SUM</f>
        <v>#NAME?</v>
      </c>
      <c r="L641" s="1" t="e">
        <f t="array" ref="L641">SUM</f>
        <v>#NAME?</v>
      </c>
      <c r="M641" s="1" t="e">
        <f t="array" ref="M641">SUM</f>
        <v>#NAME?</v>
      </c>
      <c r="N641" s="1" t="e">
        <f t="array" ref="N641">SUM</f>
        <v>#NAME?</v>
      </c>
      <c r="O641" t="s">
        <v>27</v>
      </c>
      <c r="P641">
        <v>2021</v>
      </c>
    </row>
    <row r="642" spans="1:16" x14ac:dyDescent="0.25">
      <c r="A642" t="s">
        <v>18</v>
      </c>
      <c r="B642" s="1" t="e">
        <f t="array" ref="B642">SUM</f>
        <v>#NAME?</v>
      </c>
      <c r="C642" s="1" t="e">
        <f t="array" ref="C642">SUM</f>
        <v>#NAME?</v>
      </c>
      <c r="D642" s="1" t="e">
        <f t="array" ref="D642">SUM</f>
        <v>#NAME?</v>
      </c>
      <c r="E642" s="1" t="e">
        <f t="array" ref="E642">SUM</f>
        <v>#NAME?</v>
      </c>
      <c r="F642" s="1" t="e">
        <f t="array" ref="F642">SUM</f>
        <v>#NAME?</v>
      </c>
      <c r="G642" s="1" t="e">
        <f t="array" ref="G642">SUM</f>
        <v>#NAME?</v>
      </c>
      <c r="H642" s="1" t="e">
        <f t="array" ref="H642">SUM</f>
        <v>#NAME?</v>
      </c>
      <c r="I642" s="1" t="e">
        <f t="array" ref="I642">SUM</f>
        <v>#NAME?</v>
      </c>
      <c r="J642" s="1" t="e">
        <f t="array" ref="J642">SUM</f>
        <v>#NAME?</v>
      </c>
      <c r="K642" s="1" t="e">
        <f t="array" ref="K642">SUM</f>
        <v>#NAME?</v>
      </c>
      <c r="L642" s="1" t="e">
        <f t="array" ref="L642">SUM</f>
        <v>#NAME?</v>
      </c>
      <c r="M642" s="1" t="e">
        <f t="array" ref="M642">SUM</f>
        <v>#NAME?</v>
      </c>
      <c r="N642" s="1" t="e">
        <f t="array" ref="N642">SUM</f>
        <v>#NAME?</v>
      </c>
      <c r="O642" t="s">
        <v>28</v>
      </c>
      <c r="P642">
        <v>2021</v>
      </c>
    </row>
    <row r="643" spans="1:16" x14ac:dyDescent="0.25">
      <c r="A643" t="s">
        <v>22</v>
      </c>
      <c r="B643" s="1" t="e">
        <f t="array" ref="B643">SUM</f>
        <v>#NAME?</v>
      </c>
      <c r="C643" s="1" t="e">
        <f t="array" ref="C643">SUM</f>
        <v>#NAME?</v>
      </c>
      <c r="D643" s="1" t="e">
        <f t="array" ref="D643">SUM</f>
        <v>#NAME?</v>
      </c>
      <c r="E643" s="1" t="e">
        <f t="array" ref="E643">SUM</f>
        <v>#NAME?</v>
      </c>
      <c r="F643" s="1" t="e">
        <f t="array" ref="F643">SUM</f>
        <v>#NAME?</v>
      </c>
      <c r="G643" s="1" t="e">
        <f t="array" ref="G643">SUM</f>
        <v>#NAME?</v>
      </c>
      <c r="H643" s="1" t="e">
        <f t="array" ref="H643">SUM</f>
        <v>#NAME?</v>
      </c>
      <c r="I643" s="1" t="e">
        <f t="array" ref="I643">SUM</f>
        <v>#NAME?</v>
      </c>
      <c r="J643" s="1" t="e">
        <f t="array" ref="J643">SUM</f>
        <v>#NAME?</v>
      </c>
      <c r="K643" s="1" t="e">
        <f t="array" ref="K643">SUM</f>
        <v>#NAME?</v>
      </c>
      <c r="L643" s="1" t="e">
        <f t="array" ref="L643">SUM</f>
        <v>#NAME?</v>
      </c>
      <c r="M643" s="1" t="e">
        <f t="array" ref="M643">SUM</f>
        <v>#NAME?</v>
      </c>
      <c r="N643" s="1" t="e">
        <f t="array" ref="N643">SUM</f>
        <v>#NAME?</v>
      </c>
      <c r="O643" t="s">
        <v>28</v>
      </c>
      <c r="P643">
        <v>2021</v>
      </c>
    </row>
    <row r="644" spans="1:16" x14ac:dyDescent="0.25">
      <c r="A644" t="s">
        <v>16</v>
      </c>
      <c r="B644" s="1" t="e">
        <f t="array" ref="B644">SUM</f>
        <v>#NAME?</v>
      </c>
      <c r="C644" s="1" t="e">
        <f t="array" ref="C644">SUM</f>
        <v>#NAME?</v>
      </c>
      <c r="D644" s="1" t="e">
        <f t="array" ref="D644">SUM</f>
        <v>#NAME?</v>
      </c>
      <c r="E644" s="1" t="e">
        <f t="array" ref="E644">SUM</f>
        <v>#NAME?</v>
      </c>
      <c r="F644" s="1" t="e">
        <f t="array" ref="F644">SUM</f>
        <v>#NAME?</v>
      </c>
      <c r="G644" s="1" t="e">
        <f t="array" ref="G644">SUM</f>
        <v>#NAME?</v>
      </c>
      <c r="H644" s="1" t="e">
        <f t="array" ref="H644">SUM</f>
        <v>#NAME?</v>
      </c>
      <c r="I644" s="1" t="e">
        <f t="array" ref="I644">SUM</f>
        <v>#NAME?</v>
      </c>
      <c r="J644" s="1" t="e">
        <f t="array" ref="J644">SUM</f>
        <v>#NAME?</v>
      </c>
      <c r="K644" s="1" t="e">
        <f t="array" ref="K644">SUM</f>
        <v>#NAME?</v>
      </c>
      <c r="L644" s="1" t="e">
        <f t="array" ref="L644">SUM</f>
        <v>#NAME?</v>
      </c>
      <c r="M644" s="1" t="e">
        <f t="array" ref="M644">SUM</f>
        <v>#NAME?</v>
      </c>
      <c r="N644" s="1" t="e">
        <f t="array" ref="N644">SUM</f>
        <v>#NAME?</v>
      </c>
      <c r="O644" t="s">
        <v>28</v>
      </c>
      <c r="P644">
        <v>2021</v>
      </c>
    </row>
    <row r="645" spans="1:16" x14ac:dyDescent="0.25">
      <c r="A645" t="s">
        <v>16</v>
      </c>
      <c r="B645" s="1" t="e">
        <f t="array" ref="B645">SUM</f>
        <v>#NAME?</v>
      </c>
      <c r="C645" s="1" t="e">
        <f t="array" ref="C645">SUM</f>
        <v>#NAME?</v>
      </c>
      <c r="D645" s="1" t="e">
        <f t="array" ref="D645">SUM</f>
        <v>#NAME?</v>
      </c>
      <c r="E645" s="1" t="e">
        <f t="array" ref="E645">SUM</f>
        <v>#NAME?</v>
      </c>
      <c r="F645" s="1" t="e">
        <f t="array" ref="F645">SUM</f>
        <v>#NAME?</v>
      </c>
      <c r="G645" s="1" t="e">
        <f t="array" ref="G645">SUM</f>
        <v>#NAME?</v>
      </c>
      <c r="H645" s="1" t="e">
        <f t="array" ref="H645">SUM</f>
        <v>#NAME?</v>
      </c>
      <c r="I645" s="1" t="e">
        <f t="array" ref="I645">SUM</f>
        <v>#NAME?</v>
      </c>
      <c r="J645" s="1" t="e">
        <f t="array" ref="J645">SUM</f>
        <v>#NAME?</v>
      </c>
      <c r="K645" s="1" t="e">
        <f t="array" ref="K645">SUM</f>
        <v>#NAME?</v>
      </c>
      <c r="L645" s="1" t="e">
        <f t="array" ref="L645">SUM</f>
        <v>#NAME?</v>
      </c>
      <c r="M645" s="1" t="e">
        <f t="array" ref="M645">SUM</f>
        <v>#NAME?</v>
      </c>
      <c r="N645" s="1" t="e">
        <f t="array" ref="N645">SUM</f>
        <v>#NAME?</v>
      </c>
      <c r="O645" t="s">
        <v>30</v>
      </c>
      <c r="P645">
        <v>2021</v>
      </c>
    </row>
    <row r="646" spans="1:16" x14ac:dyDescent="0.25">
      <c r="A646" t="s">
        <v>22</v>
      </c>
      <c r="B646" s="1" t="e">
        <f t="array" ref="B646">SUM</f>
        <v>#NAME?</v>
      </c>
      <c r="C646" s="1" t="e">
        <f t="array" ref="C646">SUM</f>
        <v>#NAME?</v>
      </c>
      <c r="D646" s="1" t="e">
        <f t="array" ref="D646">SUM</f>
        <v>#NAME?</v>
      </c>
      <c r="E646" s="1" t="e">
        <f t="array" ref="E646">SUM</f>
        <v>#NAME?</v>
      </c>
      <c r="F646" s="1" t="e">
        <f t="array" ref="F646">SUM</f>
        <v>#NAME?</v>
      </c>
      <c r="G646" s="1" t="e">
        <f t="array" ref="G646">SUM</f>
        <v>#NAME?</v>
      </c>
      <c r="H646" s="1" t="e">
        <f t="array" ref="H646">SUM</f>
        <v>#NAME?</v>
      </c>
      <c r="I646" s="1" t="e">
        <f t="array" ref="I646">SUM</f>
        <v>#NAME?</v>
      </c>
      <c r="J646" s="1" t="e">
        <f t="array" ref="J646">SUM</f>
        <v>#NAME?</v>
      </c>
      <c r="K646" s="1" t="e">
        <f t="array" ref="K646">SUM</f>
        <v>#NAME?</v>
      </c>
      <c r="L646" s="1" t="e">
        <f t="array" ref="L646">SUM</f>
        <v>#NAME?</v>
      </c>
      <c r="M646" s="1" t="e">
        <f t="array" ref="M646">SUM</f>
        <v>#NAME?</v>
      </c>
      <c r="N646" s="1" t="e">
        <f t="array" ref="N646">SUM</f>
        <v>#NAME?</v>
      </c>
      <c r="O646" t="s">
        <v>30</v>
      </c>
      <c r="P646">
        <v>2021</v>
      </c>
    </row>
    <row r="647" spans="1:16" x14ac:dyDescent="0.25">
      <c r="A647" t="s">
        <v>16</v>
      </c>
      <c r="B647" s="1" t="e">
        <f t="array" ref="B647">SUM</f>
        <v>#NAME?</v>
      </c>
      <c r="C647" s="1" t="e">
        <f t="array" ref="C647">SUM</f>
        <v>#NAME?</v>
      </c>
      <c r="D647" s="1" t="e">
        <f t="array" ref="D647">SUM</f>
        <v>#NAME?</v>
      </c>
      <c r="E647" s="1" t="e">
        <f t="array" ref="E647">SUM</f>
        <v>#NAME?</v>
      </c>
      <c r="F647" s="1" t="e">
        <f t="array" ref="F647">SUM</f>
        <v>#NAME?</v>
      </c>
      <c r="G647" s="1" t="e">
        <f t="array" ref="G647">SUM</f>
        <v>#NAME?</v>
      </c>
      <c r="H647" s="1" t="e">
        <f t="array" ref="H647">SUM</f>
        <v>#NAME?</v>
      </c>
      <c r="I647" s="1" t="e">
        <f t="array" ref="I647">SUM</f>
        <v>#NAME?</v>
      </c>
      <c r="J647" s="1" t="e">
        <f t="array" ref="J647">SUM</f>
        <v>#NAME?</v>
      </c>
      <c r="K647" s="1" t="e">
        <f t="array" ref="K647">SUM</f>
        <v>#NAME?</v>
      </c>
      <c r="L647" s="1" t="e">
        <f t="array" ref="L647">SUM</f>
        <v>#NAME?</v>
      </c>
      <c r="M647" s="1" t="e">
        <f t="array" ref="M647">SUM</f>
        <v>#NAME?</v>
      </c>
      <c r="N647" s="1" t="e">
        <f t="array" ref="N647">SUM</f>
        <v>#NAME?</v>
      </c>
      <c r="O647" t="s">
        <v>30</v>
      </c>
      <c r="P647">
        <v>2021</v>
      </c>
    </row>
    <row r="648" spans="1:16" x14ac:dyDescent="0.25">
      <c r="A648" t="s">
        <v>16</v>
      </c>
      <c r="B648" s="1" t="e">
        <f t="array" ref="B648">SUM</f>
        <v>#NAME?</v>
      </c>
      <c r="C648" s="1" t="e">
        <f t="array" ref="C648">SUM</f>
        <v>#NAME?</v>
      </c>
      <c r="D648" s="1" t="e">
        <f t="array" ref="D648">SUM</f>
        <v>#NAME?</v>
      </c>
      <c r="E648" s="1" t="e">
        <f t="array" ref="E648">SUM</f>
        <v>#NAME?</v>
      </c>
      <c r="F648" s="1" t="e">
        <f t="array" ref="F648">SUM</f>
        <v>#NAME?</v>
      </c>
      <c r="G648" s="1" t="e">
        <f t="array" ref="G648">SUM</f>
        <v>#NAME?</v>
      </c>
      <c r="H648" s="1" t="e">
        <f t="array" ref="H648">SUM</f>
        <v>#NAME?</v>
      </c>
      <c r="I648" s="1" t="e">
        <f t="array" ref="I648">SUM</f>
        <v>#NAME?</v>
      </c>
      <c r="J648" s="1" t="e">
        <f t="array" ref="J648">SUM</f>
        <v>#NAME?</v>
      </c>
      <c r="K648" s="1" t="e">
        <f t="array" ref="K648">SUM</f>
        <v>#NAME?</v>
      </c>
      <c r="L648" s="1" t="e">
        <f t="array" ref="L648">SUM</f>
        <v>#NAME?</v>
      </c>
      <c r="M648" s="1" t="e">
        <f t="array" ref="M648">SUM</f>
        <v>#NAME?</v>
      </c>
      <c r="N648" s="1" t="e">
        <f t="array" ref="N648">SUM</f>
        <v>#NAME?</v>
      </c>
      <c r="O648" t="s">
        <v>30</v>
      </c>
      <c r="P648">
        <v>2021</v>
      </c>
    </row>
    <row r="649" spans="1:16" x14ac:dyDescent="0.25">
      <c r="A649" t="s">
        <v>23</v>
      </c>
      <c r="B649" s="1" t="e">
        <f t="array" ref="B649">SUM</f>
        <v>#NAME?</v>
      </c>
      <c r="C649" s="1" t="e">
        <f t="array" ref="C649">SUM</f>
        <v>#NAME?</v>
      </c>
      <c r="D649" s="1" t="e">
        <f t="array" ref="D649">SUM</f>
        <v>#NAME?</v>
      </c>
      <c r="E649" s="1" t="e">
        <f t="array" ref="E649">SUM</f>
        <v>#NAME?</v>
      </c>
      <c r="F649" s="1" t="e">
        <f t="array" ref="F649">SUM</f>
        <v>#NAME?</v>
      </c>
      <c r="G649" s="1" t="e">
        <f t="array" ref="G649">SUM</f>
        <v>#NAME?</v>
      </c>
      <c r="H649" s="1" t="e">
        <f t="array" ref="H649">SUM</f>
        <v>#NAME?</v>
      </c>
      <c r="I649" s="1" t="e">
        <f t="array" ref="I649">SUM</f>
        <v>#NAME?</v>
      </c>
      <c r="J649" s="1" t="e">
        <f t="array" ref="J649">SUM</f>
        <v>#NAME?</v>
      </c>
      <c r="K649" s="1" t="e">
        <f t="array" ref="K649">SUM</f>
        <v>#NAME?</v>
      </c>
      <c r="L649" s="1" t="e">
        <f t="array" ref="L649">SUM</f>
        <v>#NAME?</v>
      </c>
      <c r="M649" s="1" t="e">
        <f t="array" ref="M649">SUM</f>
        <v>#NAME?</v>
      </c>
      <c r="N649" s="1" t="e">
        <f t="array" ref="N649">SUM</f>
        <v>#NAME?</v>
      </c>
      <c r="O649" t="s">
        <v>29</v>
      </c>
      <c r="P649">
        <v>2021</v>
      </c>
    </row>
    <row r="650" spans="1:16" x14ac:dyDescent="0.25">
      <c r="A650" t="s">
        <v>16</v>
      </c>
      <c r="B650" s="1" t="e">
        <f t="array" ref="B650">SUM</f>
        <v>#NAME?</v>
      </c>
      <c r="C650" s="1" t="e">
        <f t="array" ref="C650">SUM</f>
        <v>#NAME?</v>
      </c>
      <c r="D650" s="1" t="e">
        <f t="array" ref="D650">SUM</f>
        <v>#NAME?</v>
      </c>
      <c r="E650" s="1" t="e">
        <f t="array" ref="E650">SUM</f>
        <v>#NAME?</v>
      </c>
      <c r="F650" s="1" t="e">
        <f t="array" ref="F650">SUM</f>
        <v>#NAME?</v>
      </c>
      <c r="G650" s="1" t="e">
        <f t="array" ref="G650">SUM</f>
        <v>#NAME?</v>
      </c>
      <c r="H650" s="1" t="e">
        <f t="array" ref="H650">SUM</f>
        <v>#NAME?</v>
      </c>
      <c r="I650" s="1" t="e">
        <f t="array" ref="I650">SUM</f>
        <v>#NAME?</v>
      </c>
      <c r="J650" s="1" t="e">
        <f t="array" ref="J650">SUM</f>
        <v>#NAME?</v>
      </c>
      <c r="K650" s="1" t="e">
        <f t="array" ref="K650">SUM</f>
        <v>#NAME?</v>
      </c>
      <c r="L650" s="1" t="e">
        <f t="array" ref="L650">SUM</f>
        <v>#NAME?</v>
      </c>
      <c r="M650" s="1" t="e">
        <f t="array" ref="M650">SUM</f>
        <v>#NAME?</v>
      </c>
      <c r="N650" s="1" t="e">
        <f t="array" ref="N650">SUM</f>
        <v>#NAME?</v>
      </c>
      <c r="O650" t="s">
        <v>31</v>
      </c>
      <c r="P650">
        <v>2021</v>
      </c>
    </row>
    <row r="651" spans="1:16" x14ac:dyDescent="0.25">
      <c r="A651" t="s">
        <v>25</v>
      </c>
      <c r="B651" s="1" t="e">
        <f t="array" ref="B651">SUM</f>
        <v>#NAME?</v>
      </c>
      <c r="C651" s="1" t="e">
        <f t="array" ref="C651">SUM</f>
        <v>#NAME?</v>
      </c>
      <c r="D651" s="1" t="e">
        <f t="array" ref="D651">SUM</f>
        <v>#NAME?</v>
      </c>
      <c r="E651" s="1" t="e">
        <f t="array" ref="E651">SUM</f>
        <v>#NAME?</v>
      </c>
      <c r="F651" s="1" t="e">
        <f t="array" ref="F651">SUM</f>
        <v>#NAME?</v>
      </c>
      <c r="G651" s="1" t="e">
        <f t="array" ref="G651">SUM</f>
        <v>#NAME?</v>
      </c>
      <c r="H651" s="1" t="e">
        <f t="array" ref="H651">SUM</f>
        <v>#NAME?</v>
      </c>
      <c r="I651" s="1" t="e">
        <f t="array" ref="I651">SUM</f>
        <v>#NAME?</v>
      </c>
      <c r="J651" s="1" t="e">
        <f t="array" ref="J651">SUM</f>
        <v>#NAME?</v>
      </c>
      <c r="K651" s="1" t="e">
        <f t="array" ref="K651">SUM</f>
        <v>#NAME?</v>
      </c>
      <c r="L651" s="1" t="e">
        <f t="array" ref="L651">SUM</f>
        <v>#NAME?</v>
      </c>
      <c r="M651" s="1" t="e">
        <f t="array" ref="M651">SUM</f>
        <v>#NAME?</v>
      </c>
      <c r="N651" s="1" t="e">
        <f t="array" ref="N651">SUM</f>
        <v>#NAME?</v>
      </c>
      <c r="O651" t="s">
        <v>24</v>
      </c>
      <c r="P651">
        <v>2021</v>
      </c>
    </row>
    <row r="652" spans="1:16" x14ac:dyDescent="0.25">
      <c r="A652" t="s">
        <v>25</v>
      </c>
      <c r="B652" s="1" t="e">
        <f t="array" ref="B652">SUM</f>
        <v>#NAME?</v>
      </c>
      <c r="C652" s="1" t="e">
        <f t="array" ref="C652">SUM</f>
        <v>#NAME?</v>
      </c>
      <c r="D652" s="1" t="e">
        <f t="array" ref="D652">SUM</f>
        <v>#NAME?</v>
      </c>
      <c r="E652" s="1" t="e">
        <f t="array" ref="E652">SUM</f>
        <v>#NAME?</v>
      </c>
      <c r="F652" s="1" t="e">
        <f t="array" ref="F652">SUM</f>
        <v>#NAME?</v>
      </c>
      <c r="G652" s="1" t="e">
        <f t="array" ref="G652">SUM</f>
        <v>#NAME?</v>
      </c>
      <c r="H652" s="1" t="e">
        <f t="array" ref="H652">SUM</f>
        <v>#NAME?</v>
      </c>
      <c r="I652" s="1" t="e">
        <f t="array" ref="I652">SUM</f>
        <v>#NAME?</v>
      </c>
      <c r="J652" s="1" t="e">
        <f t="array" ref="J652">SUM</f>
        <v>#NAME?</v>
      </c>
      <c r="K652" s="1" t="e">
        <f t="array" ref="K652">SUM</f>
        <v>#NAME?</v>
      </c>
      <c r="L652" s="1" t="e">
        <f t="array" ref="L652">SUM</f>
        <v>#NAME?</v>
      </c>
      <c r="M652" s="1" t="e">
        <f t="array" ref="M652">SUM</f>
        <v>#NAME?</v>
      </c>
      <c r="N652" s="1" t="e">
        <f t="array" ref="N652">SUM</f>
        <v>#NAME?</v>
      </c>
      <c r="O652" t="s">
        <v>28</v>
      </c>
      <c r="P652">
        <v>2021</v>
      </c>
    </row>
    <row r="653" spans="1:16" x14ac:dyDescent="0.25">
      <c r="A653" t="s">
        <v>25</v>
      </c>
      <c r="B653" s="1" t="e">
        <f t="array" ref="B653">SUM</f>
        <v>#NAME?</v>
      </c>
      <c r="C653" s="1" t="e">
        <f t="array" ref="C653">SUM</f>
        <v>#NAME?</v>
      </c>
      <c r="D653" s="1" t="e">
        <f t="array" ref="D653">SUM</f>
        <v>#NAME?</v>
      </c>
      <c r="E653" s="1" t="e">
        <f t="array" ref="E653">SUM</f>
        <v>#NAME?</v>
      </c>
      <c r="F653" s="1" t="e">
        <f t="array" ref="F653">SUM</f>
        <v>#NAME?</v>
      </c>
      <c r="G653" s="1" t="e">
        <f t="array" ref="G653">SUM</f>
        <v>#NAME?</v>
      </c>
      <c r="H653" s="1" t="e">
        <f t="array" ref="H653">SUM</f>
        <v>#NAME?</v>
      </c>
      <c r="I653" s="1" t="e">
        <f t="array" ref="I653">SUM</f>
        <v>#NAME?</v>
      </c>
      <c r="J653" s="1" t="e">
        <f t="array" ref="J653">SUM</f>
        <v>#NAME?</v>
      </c>
      <c r="K653" s="1" t="e">
        <f t="array" ref="K653">SUM</f>
        <v>#NAME?</v>
      </c>
      <c r="L653" s="1" t="e">
        <f t="array" ref="L653">SUM</f>
        <v>#NAME?</v>
      </c>
      <c r="M653" s="1" t="e">
        <f t="array" ref="M653">SUM</f>
        <v>#NAME?</v>
      </c>
      <c r="N653" s="1" t="e">
        <f t="array" ref="N653">SUM</f>
        <v>#NAME?</v>
      </c>
      <c r="O653" t="s">
        <v>30</v>
      </c>
      <c r="P653">
        <v>2021</v>
      </c>
    </row>
    <row r="654" spans="1:16" x14ac:dyDescent="0.25">
      <c r="A654" t="s">
        <v>16</v>
      </c>
      <c r="B654" s="1" t="e">
        <f t="array" ref="B654">SUM</f>
        <v>#NAME?</v>
      </c>
      <c r="C654" s="1" t="e">
        <f t="array" ref="C654">SUM</f>
        <v>#NAME?</v>
      </c>
      <c r="D654" s="1" t="e">
        <f t="array" ref="D654">SUM</f>
        <v>#NAME?</v>
      </c>
      <c r="E654" s="1" t="e">
        <f t="array" ref="E654">SUM</f>
        <v>#NAME?</v>
      </c>
      <c r="F654" s="1" t="e">
        <f t="array" ref="F654">SUM</f>
        <v>#NAME?</v>
      </c>
      <c r="G654" s="1" t="e">
        <f t="array" ref="G654">SUM</f>
        <v>#NAME?</v>
      </c>
      <c r="H654" s="1" t="e">
        <f t="array" ref="H654">SUM</f>
        <v>#NAME?</v>
      </c>
      <c r="I654" s="1" t="e">
        <f t="array" ref="I654">SUM</f>
        <v>#NAME?</v>
      </c>
      <c r="J654" s="1" t="e">
        <f t="array" ref="J654">SUM</f>
        <v>#NAME?</v>
      </c>
      <c r="K654" s="1" t="e">
        <f t="array" ref="K654">SUM</f>
        <v>#NAME?</v>
      </c>
      <c r="L654" s="1" t="e">
        <f t="array" ref="L654">SUM</f>
        <v>#NAME?</v>
      </c>
      <c r="M654" s="1" t="e">
        <f t="array" ref="M654">SUM</f>
        <v>#NAME?</v>
      </c>
      <c r="N654" s="1" t="e">
        <f t="array" ref="N654">SUM</f>
        <v>#NAME?</v>
      </c>
      <c r="O654" t="s">
        <v>21</v>
      </c>
      <c r="P654">
        <v>2021</v>
      </c>
    </row>
    <row r="655" spans="1:16" x14ac:dyDescent="0.25">
      <c r="A655" t="s">
        <v>25</v>
      </c>
      <c r="B655" s="1" t="e">
        <f t="array" ref="B655">SUM</f>
        <v>#NAME?</v>
      </c>
      <c r="C655" s="1" t="e">
        <f t="array" ref="C655">SUM</f>
        <v>#NAME?</v>
      </c>
      <c r="D655" s="1" t="e">
        <f t="array" ref="D655">SUM</f>
        <v>#NAME?</v>
      </c>
      <c r="E655" s="1" t="e">
        <f t="array" ref="E655">SUM</f>
        <v>#NAME?</v>
      </c>
      <c r="F655" s="1" t="e">
        <f t="array" ref="F655">SUM</f>
        <v>#NAME?</v>
      </c>
      <c r="G655" s="1" t="e">
        <f t="array" ref="G655">SUM</f>
        <v>#NAME?</v>
      </c>
      <c r="H655" s="1" t="e">
        <f t="array" ref="H655">SUM</f>
        <v>#NAME?</v>
      </c>
      <c r="I655" s="1" t="e">
        <f t="array" ref="I655">SUM</f>
        <v>#NAME?</v>
      </c>
      <c r="J655" s="1" t="e">
        <f t="array" ref="J655">SUM</f>
        <v>#NAME?</v>
      </c>
      <c r="K655" s="1" t="e">
        <f t="array" ref="K655">SUM</f>
        <v>#NAME?</v>
      </c>
      <c r="L655" s="1" t="e">
        <f t="array" ref="L655">SUM</f>
        <v>#NAME?</v>
      </c>
      <c r="M655" s="1" t="e">
        <f t="array" ref="M655">SUM</f>
        <v>#NAME?</v>
      </c>
      <c r="N655" s="1" t="e">
        <f t="array" ref="N655">SUM</f>
        <v>#NAME?</v>
      </c>
      <c r="O655" t="s">
        <v>26</v>
      </c>
      <c r="P655">
        <v>2021</v>
      </c>
    </row>
    <row r="656" spans="1:16" x14ac:dyDescent="0.25">
      <c r="A656" t="s">
        <v>25</v>
      </c>
      <c r="B656" s="1" t="e">
        <f t="array" ref="B656">SUM</f>
        <v>#NAME?</v>
      </c>
      <c r="C656" s="1" t="e">
        <f t="array" ref="C656">SUM</f>
        <v>#NAME?</v>
      </c>
      <c r="D656" s="1" t="e">
        <f t="array" ref="D656">SUM</f>
        <v>#NAME?</v>
      </c>
      <c r="E656" s="1" t="e">
        <f t="array" ref="E656">SUM</f>
        <v>#NAME?</v>
      </c>
      <c r="F656" s="1" t="e">
        <f t="array" ref="F656">SUM</f>
        <v>#NAME?</v>
      </c>
      <c r="G656" s="1" t="e">
        <f t="array" ref="G656">SUM</f>
        <v>#NAME?</v>
      </c>
      <c r="H656" s="1" t="e">
        <f t="array" ref="H656">SUM</f>
        <v>#NAME?</v>
      </c>
      <c r="I656" s="1" t="e">
        <f t="array" ref="I656">SUM</f>
        <v>#NAME?</v>
      </c>
      <c r="J656" s="1" t="e">
        <f t="array" ref="J656">SUM</f>
        <v>#NAME?</v>
      </c>
      <c r="K656" s="1" t="e">
        <f t="array" ref="K656">SUM</f>
        <v>#NAME?</v>
      </c>
      <c r="L656" s="1" t="e">
        <f t="array" ref="L656">SUM</f>
        <v>#NAME?</v>
      </c>
      <c r="M656" s="1" t="e">
        <f t="array" ref="M656">SUM</f>
        <v>#NAME?</v>
      </c>
      <c r="N656" s="1" t="e">
        <f t="array" ref="N656">SUM</f>
        <v>#NAME?</v>
      </c>
      <c r="O656" t="s">
        <v>28</v>
      </c>
      <c r="P656">
        <v>2021</v>
      </c>
    </row>
    <row r="657" spans="1:16" x14ac:dyDescent="0.25">
      <c r="A657" t="s">
        <v>25</v>
      </c>
      <c r="B657" s="1" t="e">
        <f t="array" ref="B657">SUM</f>
        <v>#NAME?</v>
      </c>
      <c r="C657" s="1" t="e">
        <f t="array" ref="C657">SUM</f>
        <v>#NAME?</v>
      </c>
      <c r="D657" s="1" t="e">
        <f t="array" ref="D657">SUM</f>
        <v>#NAME?</v>
      </c>
      <c r="E657" s="1" t="e">
        <f t="array" ref="E657">SUM</f>
        <v>#NAME?</v>
      </c>
      <c r="F657" s="1" t="e">
        <f t="array" ref="F657">SUM</f>
        <v>#NAME?</v>
      </c>
      <c r="G657" s="1" t="e">
        <f t="array" ref="G657">SUM</f>
        <v>#NAME?</v>
      </c>
      <c r="H657" s="1" t="e">
        <f t="array" ref="H657">SUM</f>
        <v>#NAME?</v>
      </c>
      <c r="I657" s="1" t="e">
        <f t="array" ref="I657">SUM</f>
        <v>#NAME?</v>
      </c>
      <c r="J657" s="1" t="e">
        <f t="array" ref="J657">SUM</f>
        <v>#NAME?</v>
      </c>
      <c r="K657" s="1" t="e">
        <f t="array" ref="K657">SUM</f>
        <v>#NAME?</v>
      </c>
      <c r="L657" s="1" t="e">
        <f t="array" ref="L657">SUM</f>
        <v>#NAME?</v>
      </c>
      <c r="M657" s="1" t="e">
        <f t="array" ref="M657">SUM</f>
        <v>#NAME?</v>
      </c>
      <c r="N657" s="1" t="e">
        <f t="array" ref="N657">SUM</f>
        <v>#NAME?</v>
      </c>
      <c r="O657" t="s">
        <v>28</v>
      </c>
      <c r="P657">
        <v>2021</v>
      </c>
    </row>
    <row r="658" spans="1:16" x14ac:dyDescent="0.25">
      <c r="A658" t="s">
        <v>25</v>
      </c>
      <c r="B658" s="1" t="e">
        <f t="array" ref="B658">SUM</f>
        <v>#NAME?</v>
      </c>
      <c r="C658" s="1" t="e">
        <f t="array" ref="C658">SUM</f>
        <v>#NAME?</v>
      </c>
      <c r="D658" s="1" t="e">
        <f t="array" ref="D658">SUM</f>
        <v>#NAME?</v>
      </c>
      <c r="E658" s="1" t="e">
        <f t="array" ref="E658">SUM</f>
        <v>#NAME?</v>
      </c>
      <c r="F658" s="1" t="e">
        <f t="array" ref="F658">SUM</f>
        <v>#NAME?</v>
      </c>
      <c r="G658" s="1" t="e">
        <f t="array" ref="G658">SUM</f>
        <v>#NAME?</v>
      </c>
      <c r="H658" s="1" t="e">
        <f t="array" ref="H658">SUM</f>
        <v>#NAME?</v>
      </c>
      <c r="I658" s="1" t="e">
        <f t="array" ref="I658">SUM</f>
        <v>#NAME?</v>
      </c>
      <c r="J658" s="1" t="e">
        <f t="array" ref="J658">SUM</f>
        <v>#NAME?</v>
      </c>
      <c r="K658" s="1" t="e">
        <f t="array" ref="K658">SUM</f>
        <v>#NAME?</v>
      </c>
      <c r="L658" s="1" t="e">
        <f t="array" ref="L658">SUM</f>
        <v>#NAME?</v>
      </c>
      <c r="M658" s="1" t="e">
        <f t="array" ref="M658">SUM</f>
        <v>#NAME?</v>
      </c>
      <c r="N658" s="1" t="e">
        <f t="array" ref="N658">SUM</f>
        <v>#NAME?</v>
      </c>
      <c r="O658" t="s">
        <v>28</v>
      </c>
      <c r="P658">
        <v>2021</v>
      </c>
    </row>
    <row r="659" spans="1:16" x14ac:dyDescent="0.25">
      <c r="A659" t="s">
        <v>16</v>
      </c>
      <c r="B659" s="1" t="e">
        <f t="array" ref="B659">SUM</f>
        <v>#NAME?</v>
      </c>
      <c r="C659" s="1" t="e">
        <f t="array" ref="C659">SUM</f>
        <v>#NAME?</v>
      </c>
      <c r="D659" s="1" t="e">
        <f t="array" ref="D659">SUM</f>
        <v>#NAME?</v>
      </c>
      <c r="E659" s="1" t="e">
        <f t="array" ref="E659">SUM</f>
        <v>#NAME?</v>
      </c>
      <c r="F659" s="1" t="e">
        <f t="array" ref="F659">SUM</f>
        <v>#NAME?</v>
      </c>
      <c r="G659" s="1" t="e">
        <f t="array" ref="G659">SUM</f>
        <v>#NAME?</v>
      </c>
      <c r="H659" s="1" t="e">
        <f t="array" ref="H659">SUM</f>
        <v>#NAME?</v>
      </c>
      <c r="I659" s="1" t="e">
        <f t="array" ref="I659">SUM</f>
        <v>#NAME?</v>
      </c>
      <c r="J659" s="1" t="e">
        <f t="array" ref="J659">SUM</f>
        <v>#NAME?</v>
      </c>
      <c r="K659" s="1" t="e">
        <f t="array" ref="K659">SUM</f>
        <v>#NAME?</v>
      </c>
      <c r="L659" s="1" t="e">
        <f t="array" ref="L659">SUM</f>
        <v>#NAME?</v>
      </c>
      <c r="M659" s="1" t="e">
        <f t="array" ref="M659">SUM</f>
        <v>#NAME?</v>
      </c>
      <c r="N659" s="1" t="e">
        <f t="array" ref="N659">SUM</f>
        <v>#NAME?</v>
      </c>
      <c r="O659" t="s">
        <v>20</v>
      </c>
      <c r="P659">
        <v>2021</v>
      </c>
    </row>
    <row r="660" spans="1:16" x14ac:dyDescent="0.25">
      <c r="A660" t="s">
        <v>25</v>
      </c>
      <c r="B660" s="1" t="e">
        <f t="array" ref="B660">SUM</f>
        <v>#NAME?</v>
      </c>
      <c r="C660" s="1" t="e">
        <f t="array" ref="C660">SUM</f>
        <v>#NAME?</v>
      </c>
      <c r="D660" s="1" t="e">
        <f t="array" ref="D660">SUM</f>
        <v>#NAME?</v>
      </c>
      <c r="E660" s="1" t="e">
        <f t="array" ref="E660">SUM</f>
        <v>#NAME?</v>
      </c>
      <c r="F660" s="1" t="e">
        <f t="array" ref="F660">SUM</f>
        <v>#NAME?</v>
      </c>
      <c r="G660" s="1" t="e">
        <f t="array" ref="G660">SUM</f>
        <v>#NAME?</v>
      </c>
      <c r="H660" s="1" t="e">
        <f t="array" ref="H660">SUM</f>
        <v>#NAME?</v>
      </c>
      <c r="I660" s="1" t="e">
        <f t="array" ref="I660">SUM</f>
        <v>#NAME?</v>
      </c>
      <c r="J660" s="1" t="e">
        <f t="array" ref="J660">SUM</f>
        <v>#NAME?</v>
      </c>
      <c r="K660" s="1" t="e">
        <f t="array" ref="K660">SUM</f>
        <v>#NAME?</v>
      </c>
      <c r="L660" s="1" t="e">
        <f t="array" ref="L660">SUM</f>
        <v>#NAME?</v>
      </c>
      <c r="M660" s="1" t="e">
        <f t="array" ref="M660">SUM</f>
        <v>#NAME?</v>
      </c>
      <c r="N660" s="1" t="e">
        <f t="array" ref="N660">SUM</f>
        <v>#NAME?</v>
      </c>
      <c r="O660" t="s">
        <v>21</v>
      </c>
      <c r="P660">
        <v>2021</v>
      </c>
    </row>
    <row r="661" spans="1:16" x14ac:dyDescent="0.25">
      <c r="A661" t="s">
        <v>23</v>
      </c>
      <c r="B661" s="1" t="e">
        <f t="array" ref="B661">SUM</f>
        <v>#NAME?</v>
      </c>
      <c r="C661" s="1" t="e">
        <f t="array" ref="C661">SUM</f>
        <v>#NAME?</v>
      </c>
      <c r="D661" s="1" t="e">
        <f t="array" ref="D661">SUM</f>
        <v>#NAME?</v>
      </c>
      <c r="E661" s="1" t="e">
        <f t="array" ref="E661">SUM</f>
        <v>#NAME?</v>
      </c>
      <c r="F661" s="1" t="e">
        <f t="array" ref="F661">SUM</f>
        <v>#NAME?</v>
      </c>
      <c r="G661" s="1" t="e">
        <f t="array" ref="G661">SUM</f>
        <v>#NAME?</v>
      </c>
      <c r="H661" s="1" t="e">
        <f t="array" ref="H661">SUM</f>
        <v>#NAME?</v>
      </c>
      <c r="I661" s="1" t="e">
        <f t="array" ref="I661">SUM</f>
        <v>#NAME?</v>
      </c>
      <c r="J661" s="1" t="e">
        <f t="array" ref="J661">SUM</f>
        <v>#NAME?</v>
      </c>
      <c r="K661" s="1" t="e">
        <f t="array" ref="K661">SUM</f>
        <v>#NAME?</v>
      </c>
      <c r="L661" s="1" t="e">
        <f t="array" ref="L661">SUM</f>
        <v>#NAME?</v>
      </c>
      <c r="M661" s="1" t="e">
        <f t="array" ref="M661">SUM</f>
        <v>#NAME?</v>
      </c>
      <c r="N661" s="1" t="e">
        <f t="array" ref="N661">SUM</f>
        <v>#NAME?</v>
      </c>
      <c r="O661" t="s">
        <v>32</v>
      </c>
      <c r="P661">
        <v>2021</v>
      </c>
    </row>
    <row r="662" spans="1:16" x14ac:dyDescent="0.25">
      <c r="A662" t="s">
        <v>22</v>
      </c>
      <c r="B662" s="1" t="e">
        <f t="array" ref="B662">SUM</f>
        <v>#NAME?</v>
      </c>
      <c r="C662" s="1" t="e">
        <f t="array" ref="C662">SUM</f>
        <v>#NAME?</v>
      </c>
      <c r="D662" s="1" t="e">
        <f t="array" ref="D662">SUM</f>
        <v>#NAME?</v>
      </c>
      <c r="E662" s="1" t="e">
        <f t="array" ref="E662">SUM</f>
        <v>#NAME?</v>
      </c>
      <c r="F662" s="1" t="e">
        <f t="array" ref="F662">SUM</f>
        <v>#NAME?</v>
      </c>
      <c r="G662" s="1" t="e">
        <f t="array" ref="G662">SUM</f>
        <v>#NAME?</v>
      </c>
      <c r="H662" s="1" t="e">
        <f t="array" ref="H662">SUM</f>
        <v>#NAME?</v>
      </c>
      <c r="I662" s="1" t="e">
        <f t="array" ref="I662">SUM</f>
        <v>#NAME?</v>
      </c>
      <c r="J662" s="1" t="e">
        <f t="array" ref="J662">SUM</f>
        <v>#NAME?</v>
      </c>
      <c r="K662" s="1" t="e">
        <f t="array" ref="K662">SUM</f>
        <v>#NAME?</v>
      </c>
      <c r="L662" s="1" t="e">
        <f t="array" ref="L662">SUM</f>
        <v>#NAME?</v>
      </c>
      <c r="M662" s="1" t="e">
        <f t="array" ref="M662">SUM</f>
        <v>#NAME?</v>
      </c>
      <c r="N662" s="1" t="e">
        <f t="array" ref="N662">SUM</f>
        <v>#NAME?</v>
      </c>
      <c r="O662" t="s">
        <v>26</v>
      </c>
      <c r="P662">
        <v>2021</v>
      </c>
    </row>
    <row r="663" spans="1:16" x14ac:dyDescent="0.25">
      <c r="A663" t="s">
        <v>18</v>
      </c>
      <c r="B663" s="1" t="e">
        <f t="array" ref="B663">SUM</f>
        <v>#NAME?</v>
      </c>
      <c r="C663" s="1" t="e">
        <f t="array" ref="C663">SUM</f>
        <v>#NAME?</v>
      </c>
      <c r="D663" s="1" t="e">
        <f t="array" ref="D663">SUM</f>
        <v>#NAME?</v>
      </c>
      <c r="E663" s="1" t="e">
        <f t="array" ref="E663">SUM</f>
        <v>#NAME?</v>
      </c>
      <c r="F663" s="1" t="e">
        <f t="array" ref="F663">SUM</f>
        <v>#NAME?</v>
      </c>
      <c r="G663" s="1" t="e">
        <f t="array" ref="G663">SUM</f>
        <v>#NAME?</v>
      </c>
      <c r="H663" s="1" t="e">
        <f t="array" ref="H663">SUM</f>
        <v>#NAME?</v>
      </c>
      <c r="I663" s="1" t="e">
        <f t="array" ref="I663">SUM</f>
        <v>#NAME?</v>
      </c>
      <c r="J663" s="1" t="e">
        <f t="array" ref="J663">SUM</f>
        <v>#NAME?</v>
      </c>
      <c r="K663" s="1" t="e">
        <f t="array" ref="K663">SUM</f>
        <v>#NAME?</v>
      </c>
      <c r="L663" s="1" t="e">
        <f t="array" ref="L663">SUM</f>
        <v>#NAME?</v>
      </c>
      <c r="M663" s="1" t="e">
        <f t="array" ref="M663">SUM</f>
        <v>#NAME?</v>
      </c>
      <c r="N663" s="1" t="e">
        <f t="array" ref="N663">SUM</f>
        <v>#NAME?</v>
      </c>
      <c r="O663" t="s">
        <v>28</v>
      </c>
      <c r="P663">
        <v>2021</v>
      </c>
    </row>
    <row r="664" spans="1:16" x14ac:dyDescent="0.25">
      <c r="A664" t="s">
        <v>22</v>
      </c>
      <c r="B664" s="1" t="e">
        <f t="array" ref="B664">SUM</f>
        <v>#NAME?</v>
      </c>
      <c r="C664" s="1" t="e">
        <f t="array" ref="C664">SUM</f>
        <v>#NAME?</v>
      </c>
      <c r="D664" s="1" t="e">
        <f t="array" ref="D664">SUM</f>
        <v>#NAME?</v>
      </c>
      <c r="E664" s="1" t="e">
        <f t="array" ref="E664">SUM</f>
        <v>#NAME?</v>
      </c>
      <c r="F664" s="1" t="e">
        <f t="array" ref="F664">SUM</f>
        <v>#NAME?</v>
      </c>
      <c r="G664" s="1" t="e">
        <f t="array" ref="G664">SUM</f>
        <v>#NAME?</v>
      </c>
      <c r="H664" s="1" t="e">
        <f t="array" ref="H664">SUM</f>
        <v>#NAME?</v>
      </c>
      <c r="I664" s="1" t="e">
        <f t="array" ref="I664">SUM</f>
        <v>#NAME?</v>
      </c>
      <c r="J664" s="1" t="e">
        <f t="array" ref="J664">SUM</f>
        <v>#NAME?</v>
      </c>
      <c r="K664" s="1" t="e">
        <f t="array" ref="K664">SUM</f>
        <v>#NAME?</v>
      </c>
      <c r="L664" s="1" t="e">
        <f t="array" ref="L664">SUM</f>
        <v>#NAME?</v>
      </c>
      <c r="M664" s="1" t="e">
        <f t="array" ref="M664">SUM</f>
        <v>#NAME?</v>
      </c>
      <c r="N664" s="1" t="e">
        <f t="array" ref="N664">SUM</f>
        <v>#NAME?</v>
      </c>
      <c r="O664" t="s">
        <v>28</v>
      </c>
      <c r="P664">
        <v>2021</v>
      </c>
    </row>
    <row r="665" spans="1:16" x14ac:dyDescent="0.25">
      <c r="A665" t="s">
        <v>16</v>
      </c>
      <c r="B665" s="1" t="e">
        <f t="array" ref="B665">SUM</f>
        <v>#NAME?</v>
      </c>
      <c r="C665" s="1" t="e">
        <f t="array" ref="C665">SUM</f>
        <v>#NAME?</v>
      </c>
      <c r="D665" s="1" t="e">
        <f t="array" ref="D665">SUM</f>
        <v>#NAME?</v>
      </c>
      <c r="E665" s="1" t="e">
        <f t="array" ref="E665">SUM</f>
        <v>#NAME?</v>
      </c>
      <c r="F665" s="1" t="e">
        <f t="array" ref="F665">SUM</f>
        <v>#NAME?</v>
      </c>
      <c r="G665" s="1" t="e">
        <f t="array" ref="G665">SUM</f>
        <v>#NAME?</v>
      </c>
      <c r="H665" s="1" t="e">
        <f t="array" ref="H665">SUM</f>
        <v>#NAME?</v>
      </c>
      <c r="I665" s="1" t="e">
        <f t="array" ref="I665">SUM</f>
        <v>#NAME?</v>
      </c>
      <c r="J665" s="1" t="e">
        <f t="array" ref="J665">SUM</f>
        <v>#NAME?</v>
      </c>
      <c r="K665" s="1" t="e">
        <f t="array" ref="K665">SUM</f>
        <v>#NAME?</v>
      </c>
      <c r="L665" s="1" t="e">
        <f t="array" ref="L665">SUM</f>
        <v>#NAME?</v>
      </c>
      <c r="M665" s="1" t="e">
        <f t="array" ref="M665">SUM</f>
        <v>#NAME?</v>
      </c>
      <c r="N665" s="1" t="e">
        <f t="array" ref="N665">SUM</f>
        <v>#NAME?</v>
      </c>
      <c r="O665" t="s">
        <v>28</v>
      </c>
      <c r="P665">
        <v>2021</v>
      </c>
    </row>
    <row r="666" spans="1:16" x14ac:dyDescent="0.25">
      <c r="A666" t="s">
        <v>16</v>
      </c>
      <c r="B666" s="1" t="e">
        <f t="array" ref="B666">SUM</f>
        <v>#NAME?</v>
      </c>
      <c r="C666" s="1" t="e">
        <f t="array" ref="C666">SUM</f>
        <v>#NAME?</v>
      </c>
      <c r="D666" s="1" t="e">
        <f t="array" ref="D666">SUM</f>
        <v>#NAME?</v>
      </c>
      <c r="E666" s="1" t="e">
        <f t="array" ref="E666">SUM</f>
        <v>#NAME?</v>
      </c>
      <c r="F666" s="1" t="e">
        <f t="array" ref="F666">SUM</f>
        <v>#NAME?</v>
      </c>
      <c r="G666" s="1" t="e">
        <f t="array" ref="G666">SUM</f>
        <v>#NAME?</v>
      </c>
      <c r="H666" s="1" t="e">
        <f t="array" ref="H666">SUM</f>
        <v>#NAME?</v>
      </c>
      <c r="I666" s="1" t="e">
        <f t="array" ref="I666">SUM</f>
        <v>#NAME?</v>
      </c>
      <c r="J666" s="1" t="e">
        <f t="array" ref="J666">SUM</f>
        <v>#NAME?</v>
      </c>
      <c r="K666" s="1" t="e">
        <f t="array" ref="K666">SUM</f>
        <v>#NAME?</v>
      </c>
      <c r="L666" s="1" t="e">
        <f t="array" ref="L666">SUM</f>
        <v>#NAME?</v>
      </c>
      <c r="M666" s="1" t="e">
        <f t="array" ref="M666">SUM</f>
        <v>#NAME?</v>
      </c>
      <c r="N666" s="1" t="e">
        <f t="array" ref="N666">SUM</f>
        <v>#NAME?</v>
      </c>
      <c r="O666" t="s">
        <v>28</v>
      </c>
      <c r="P666">
        <v>2021</v>
      </c>
    </row>
    <row r="667" spans="1:16" x14ac:dyDescent="0.25">
      <c r="A667" t="s">
        <v>18</v>
      </c>
      <c r="B667" s="1" t="e">
        <f t="array" ref="B667">SUM</f>
        <v>#NAME?</v>
      </c>
      <c r="C667" s="1" t="e">
        <f t="array" ref="C667">SUM</f>
        <v>#NAME?</v>
      </c>
      <c r="D667" s="1" t="e">
        <f t="array" ref="D667">SUM</f>
        <v>#NAME?</v>
      </c>
      <c r="E667" s="1" t="e">
        <f t="array" ref="E667">SUM</f>
        <v>#NAME?</v>
      </c>
      <c r="F667" s="1" t="e">
        <f t="array" ref="F667">SUM</f>
        <v>#NAME?</v>
      </c>
      <c r="G667" s="1" t="e">
        <f t="array" ref="G667">SUM</f>
        <v>#NAME?</v>
      </c>
      <c r="H667" s="1" t="e">
        <f t="array" ref="H667">SUM</f>
        <v>#NAME?</v>
      </c>
      <c r="I667" s="1" t="e">
        <f t="array" ref="I667">SUM</f>
        <v>#NAME?</v>
      </c>
      <c r="J667" s="1" t="e">
        <f t="array" ref="J667">SUM</f>
        <v>#NAME?</v>
      </c>
      <c r="K667" s="1" t="e">
        <f t="array" ref="K667">SUM</f>
        <v>#NAME?</v>
      </c>
      <c r="L667" s="1" t="e">
        <f t="array" ref="L667">SUM</f>
        <v>#NAME?</v>
      </c>
      <c r="M667" s="1" t="e">
        <f t="array" ref="M667">SUM</f>
        <v>#NAME?</v>
      </c>
      <c r="N667" s="1" t="e">
        <f t="array" ref="N667">SUM</f>
        <v>#NAME?</v>
      </c>
      <c r="O667" t="s">
        <v>30</v>
      </c>
      <c r="P667">
        <v>2021</v>
      </c>
    </row>
    <row r="668" spans="1:16" x14ac:dyDescent="0.25">
      <c r="A668" t="s">
        <v>23</v>
      </c>
      <c r="B668" s="1" t="e">
        <f t="array" ref="B668">SUM</f>
        <v>#NAME?</v>
      </c>
      <c r="C668" s="1" t="e">
        <f t="array" ref="C668">SUM</f>
        <v>#NAME?</v>
      </c>
      <c r="D668" s="1" t="e">
        <f t="array" ref="D668">SUM</f>
        <v>#NAME?</v>
      </c>
      <c r="E668" s="1" t="e">
        <f t="array" ref="E668">SUM</f>
        <v>#NAME?</v>
      </c>
      <c r="F668" s="1" t="e">
        <f t="array" ref="F668">SUM</f>
        <v>#NAME?</v>
      </c>
      <c r="G668" s="1" t="e">
        <f t="array" ref="G668">SUM</f>
        <v>#NAME?</v>
      </c>
      <c r="H668" s="1" t="e">
        <f t="array" ref="H668">SUM</f>
        <v>#NAME?</v>
      </c>
      <c r="I668" s="1" t="e">
        <f t="array" ref="I668">SUM</f>
        <v>#NAME?</v>
      </c>
      <c r="J668" s="1" t="e">
        <f t="array" ref="J668">SUM</f>
        <v>#NAME?</v>
      </c>
      <c r="K668" s="1" t="e">
        <f t="array" ref="K668">SUM</f>
        <v>#NAME?</v>
      </c>
      <c r="L668" s="1" t="e">
        <f t="array" ref="L668">SUM</f>
        <v>#NAME?</v>
      </c>
      <c r="M668" s="1" t="e">
        <f t="array" ref="M668">SUM</f>
        <v>#NAME?</v>
      </c>
      <c r="N668" s="1" t="e">
        <f t="array" ref="N668">SUM</f>
        <v>#NAME?</v>
      </c>
      <c r="O668" t="s">
        <v>26</v>
      </c>
      <c r="P668">
        <v>2021</v>
      </c>
    </row>
    <row r="669" spans="1:16" x14ac:dyDescent="0.25">
      <c r="A669" t="s">
        <v>23</v>
      </c>
      <c r="B669" s="1" t="e">
        <f t="array" ref="B669">SUM</f>
        <v>#NAME?</v>
      </c>
      <c r="C669" s="1" t="e">
        <f t="array" ref="C669">SUM</f>
        <v>#NAME?</v>
      </c>
      <c r="D669" s="1" t="e">
        <f t="array" ref="D669">SUM</f>
        <v>#NAME?</v>
      </c>
      <c r="E669" s="1" t="e">
        <f t="array" ref="E669">SUM</f>
        <v>#NAME?</v>
      </c>
      <c r="F669" s="1" t="e">
        <f t="array" ref="F669">SUM</f>
        <v>#NAME?</v>
      </c>
      <c r="G669" s="1" t="e">
        <f t="array" ref="G669">SUM</f>
        <v>#NAME?</v>
      </c>
      <c r="H669" s="1" t="e">
        <f t="array" ref="H669">SUM</f>
        <v>#NAME?</v>
      </c>
      <c r="I669" s="1" t="e">
        <f t="array" ref="I669">SUM</f>
        <v>#NAME?</v>
      </c>
      <c r="J669" s="1" t="e">
        <f t="array" ref="J669">SUM</f>
        <v>#NAME?</v>
      </c>
      <c r="K669" s="1" t="e">
        <f t="array" ref="K669">SUM</f>
        <v>#NAME?</v>
      </c>
      <c r="L669" s="1" t="e">
        <f t="array" ref="L669">SUM</f>
        <v>#NAME?</v>
      </c>
      <c r="M669" s="1" t="e">
        <f t="array" ref="M669">SUM</f>
        <v>#NAME?</v>
      </c>
      <c r="N669" s="1" t="e">
        <f t="array" ref="N669">SUM</f>
        <v>#NAME?</v>
      </c>
      <c r="O669" t="s">
        <v>26</v>
      </c>
      <c r="P669">
        <v>2021</v>
      </c>
    </row>
    <row r="670" spans="1:16" x14ac:dyDescent="0.25">
      <c r="A670" t="s">
        <v>23</v>
      </c>
      <c r="B670" s="1" t="e">
        <f t="array" ref="B670">SUM</f>
        <v>#NAME?</v>
      </c>
      <c r="C670" s="1" t="e">
        <f t="array" ref="C670">SUM</f>
        <v>#NAME?</v>
      </c>
      <c r="D670" s="1" t="e">
        <f t="array" ref="D670">SUM</f>
        <v>#NAME?</v>
      </c>
      <c r="E670" s="1" t="e">
        <f t="array" ref="E670">SUM</f>
        <v>#NAME?</v>
      </c>
      <c r="F670" s="1" t="e">
        <f t="array" ref="F670">SUM</f>
        <v>#NAME?</v>
      </c>
      <c r="G670" s="1" t="e">
        <f t="array" ref="G670">SUM</f>
        <v>#NAME?</v>
      </c>
      <c r="H670" s="1" t="e">
        <f t="array" ref="H670">SUM</f>
        <v>#NAME?</v>
      </c>
      <c r="I670" s="1" t="e">
        <f t="array" ref="I670">SUM</f>
        <v>#NAME?</v>
      </c>
      <c r="J670" s="1" t="e">
        <f t="array" ref="J670">SUM</f>
        <v>#NAME?</v>
      </c>
      <c r="K670" s="1" t="e">
        <f t="array" ref="K670">SUM</f>
        <v>#NAME?</v>
      </c>
      <c r="L670" s="1" t="e">
        <f t="array" ref="L670">SUM</f>
        <v>#NAME?</v>
      </c>
      <c r="M670" s="1" t="e">
        <f t="array" ref="M670">SUM</f>
        <v>#NAME?</v>
      </c>
      <c r="N670" s="1" t="e">
        <f t="array" ref="N670">SUM</f>
        <v>#NAME?</v>
      </c>
      <c r="O670" t="s">
        <v>28</v>
      </c>
      <c r="P670">
        <v>2021</v>
      </c>
    </row>
    <row r="671" spans="1:16" x14ac:dyDescent="0.25">
      <c r="A671" t="s">
        <v>25</v>
      </c>
      <c r="B671" s="1" t="e">
        <f t="array" ref="B671">SUM</f>
        <v>#NAME?</v>
      </c>
      <c r="C671" s="1" t="e">
        <f t="array" ref="C671">SUM</f>
        <v>#NAME?</v>
      </c>
      <c r="D671" s="1" t="e">
        <f t="array" ref="D671">SUM</f>
        <v>#NAME?</v>
      </c>
      <c r="E671" s="1" t="e">
        <f t="array" ref="E671">SUM</f>
        <v>#NAME?</v>
      </c>
      <c r="F671" s="1" t="e">
        <f t="array" ref="F671">SUM</f>
        <v>#NAME?</v>
      </c>
      <c r="G671" s="1" t="e">
        <f t="array" ref="G671">SUM</f>
        <v>#NAME?</v>
      </c>
      <c r="H671" s="1" t="e">
        <f t="array" ref="H671">SUM</f>
        <v>#NAME?</v>
      </c>
      <c r="I671" s="1" t="e">
        <f t="array" ref="I671">SUM</f>
        <v>#NAME?</v>
      </c>
      <c r="J671" s="1" t="e">
        <f t="array" ref="J671">SUM</f>
        <v>#NAME?</v>
      </c>
      <c r="K671" s="1" t="e">
        <f t="array" ref="K671">SUM</f>
        <v>#NAME?</v>
      </c>
      <c r="L671" s="1" t="e">
        <f t="array" ref="L671">SUM</f>
        <v>#NAME?</v>
      </c>
      <c r="M671" s="1" t="e">
        <f t="array" ref="M671">SUM</f>
        <v>#NAME?</v>
      </c>
      <c r="N671" s="1" t="e">
        <f t="array" ref="N671">SUM</f>
        <v>#NAME?</v>
      </c>
      <c r="O671" t="s">
        <v>28</v>
      </c>
      <c r="P671">
        <v>2021</v>
      </c>
    </row>
    <row r="672" spans="1:16" x14ac:dyDescent="0.25">
      <c r="A672" t="s">
        <v>16</v>
      </c>
      <c r="B672" s="1" t="e">
        <f t="array" ref="B672">SUM</f>
        <v>#NAME?</v>
      </c>
      <c r="C672" s="1" t="e">
        <f t="array" ref="C672">SUM</f>
        <v>#NAME?</v>
      </c>
      <c r="D672" s="1" t="e">
        <f t="array" ref="D672">SUM</f>
        <v>#NAME?</v>
      </c>
      <c r="E672" s="1" t="e">
        <f t="array" ref="E672">SUM</f>
        <v>#NAME?</v>
      </c>
      <c r="F672" s="1" t="e">
        <f t="array" ref="F672">SUM</f>
        <v>#NAME?</v>
      </c>
      <c r="G672" s="1" t="e">
        <f t="array" ref="G672">SUM</f>
        <v>#NAME?</v>
      </c>
      <c r="H672" s="1" t="e">
        <f t="array" ref="H672">SUM</f>
        <v>#NAME?</v>
      </c>
      <c r="I672" s="1" t="e">
        <f t="array" ref="I672">SUM</f>
        <v>#NAME?</v>
      </c>
      <c r="J672" s="1" t="e">
        <f t="array" ref="J672">SUM</f>
        <v>#NAME?</v>
      </c>
      <c r="K672" s="1" t="e">
        <f t="array" ref="K672">SUM</f>
        <v>#NAME?</v>
      </c>
      <c r="L672" s="1" t="e">
        <f t="array" ref="L672">SUM</f>
        <v>#NAME?</v>
      </c>
      <c r="M672" s="1" t="e">
        <f t="array" ref="M672">SUM</f>
        <v>#NAME?</v>
      </c>
      <c r="N672" s="1" t="e">
        <f t="array" ref="N672">SUM</f>
        <v>#NAME?</v>
      </c>
      <c r="O672" t="s">
        <v>21</v>
      </c>
      <c r="P672">
        <v>2021</v>
      </c>
    </row>
    <row r="673" spans="1:16" x14ac:dyDescent="0.25">
      <c r="A673" t="s">
        <v>18</v>
      </c>
      <c r="B673" s="1" t="e">
        <f t="array" ref="B673">SUM</f>
        <v>#NAME?</v>
      </c>
      <c r="C673" s="1" t="e">
        <f t="array" ref="C673">SUM</f>
        <v>#NAME?</v>
      </c>
      <c r="D673" s="1" t="e">
        <f t="array" ref="D673">SUM</f>
        <v>#NAME?</v>
      </c>
      <c r="E673" s="1" t="e">
        <f t="array" ref="E673">SUM</f>
        <v>#NAME?</v>
      </c>
      <c r="F673" s="1" t="e">
        <f t="array" ref="F673">SUM</f>
        <v>#NAME?</v>
      </c>
      <c r="G673" s="1" t="e">
        <f t="array" ref="G673">SUM</f>
        <v>#NAME?</v>
      </c>
      <c r="H673" s="1" t="e">
        <f t="array" ref="H673">SUM</f>
        <v>#NAME?</v>
      </c>
      <c r="I673" s="1" t="e">
        <f t="array" ref="I673">SUM</f>
        <v>#NAME?</v>
      </c>
      <c r="J673" s="1" t="e">
        <f t="array" ref="J673">SUM</f>
        <v>#NAME?</v>
      </c>
      <c r="K673" s="1" t="e">
        <f t="array" ref="K673">SUM</f>
        <v>#NAME?</v>
      </c>
      <c r="L673" s="1" t="e">
        <f t="array" ref="L673">SUM</f>
        <v>#NAME?</v>
      </c>
      <c r="M673" s="1" t="e">
        <f t="array" ref="M673">SUM</f>
        <v>#NAME?</v>
      </c>
      <c r="N673" s="1" t="e">
        <f t="array" ref="N673">SUM</f>
        <v>#NAME?</v>
      </c>
      <c r="O673" t="s">
        <v>31</v>
      </c>
      <c r="P673">
        <v>2021</v>
      </c>
    </row>
    <row r="674" spans="1:16" x14ac:dyDescent="0.25">
      <c r="A674" t="s">
        <v>16</v>
      </c>
      <c r="B674" s="1" t="e">
        <f t="array" ref="B674">SUM</f>
        <v>#NAME?</v>
      </c>
      <c r="C674" s="1" t="e">
        <f t="array" ref="C674">SUM</f>
        <v>#NAME?</v>
      </c>
      <c r="D674" s="1" t="e">
        <f t="array" ref="D674">SUM</f>
        <v>#NAME?</v>
      </c>
      <c r="E674" s="1" t="e">
        <f t="array" ref="E674">SUM</f>
        <v>#NAME?</v>
      </c>
      <c r="F674" s="1" t="e">
        <f t="array" ref="F674">SUM</f>
        <v>#NAME?</v>
      </c>
      <c r="G674" s="1" t="e">
        <f t="array" ref="G674">SUM</f>
        <v>#NAME?</v>
      </c>
      <c r="H674" s="1" t="e">
        <f t="array" ref="H674">SUM</f>
        <v>#NAME?</v>
      </c>
      <c r="I674" s="1" t="e">
        <f t="array" ref="I674">SUM</f>
        <v>#NAME?</v>
      </c>
      <c r="J674" s="1" t="e">
        <f t="array" ref="J674">SUM</f>
        <v>#NAME?</v>
      </c>
      <c r="K674" s="1" t="e">
        <f t="array" ref="K674">SUM</f>
        <v>#NAME?</v>
      </c>
      <c r="L674" s="1" t="e">
        <f t="array" ref="L674">SUM</f>
        <v>#NAME?</v>
      </c>
      <c r="M674" s="1" t="e">
        <f t="array" ref="M674">SUM</f>
        <v>#NAME?</v>
      </c>
      <c r="N674" s="1" t="e">
        <f t="array" ref="N674">SUM</f>
        <v>#NAME?</v>
      </c>
      <c r="O674" t="s">
        <v>31</v>
      </c>
      <c r="P674">
        <v>2021</v>
      </c>
    </row>
    <row r="675" spans="1:16" x14ac:dyDescent="0.25">
      <c r="A675" t="s">
        <v>16</v>
      </c>
      <c r="B675" s="1" t="e">
        <f t="array" ref="B675">SUM</f>
        <v>#NAME?</v>
      </c>
      <c r="C675" s="1" t="e">
        <f t="array" ref="C675">SUM</f>
        <v>#NAME?</v>
      </c>
      <c r="D675" s="1" t="e">
        <f t="array" ref="D675">SUM</f>
        <v>#NAME?</v>
      </c>
      <c r="E675" s="1" t="e">
        <f t="array" ref="E675">SUM</f>
        <v>#NAME?</v>
      </c>
      <c r="F675" s="1" t="e">
        <f t="array" ref="F675">SUM</f>
        <v>#NAME?</v>
      </c>
      <c r="G675" s="1" t="e">
        <f t="array" ref="G675">SUM</f>
        <v>#NAME?</v>
      </c>
      <c r="H675" s="1" t="e">
        <f t="array" ref="H675">SUM</f>
        <v>#NAME?</v>
      </c>
      <c r="I675" s="1" t="e">
        <f t="array" ref="I675">SUM</f>
        <v>#NAME?</v>
      </c>
      <c r="J675" s="1" t="e">
        <f t="array" ref="J675">SUM</f>
        <v>#NAME?</v>
      </c>
      <c r="K675" s="1" t="e">
        <f t="array" ref="K675">SUM</f>
        <v>#NAME?</v>
      </c>
      <c r="L675" s="1" t="e">
        <f t="array" ref="L675">SUM</f>
        <v>#NAME?</v>
      </c>
      <c r="M675" s="1" t="e">
        <f t="array" ref="M675">SUM</f>
        <v>#NAME?</v>
      </c>
      <c r="N675" s="1" t="e">
        <f t="array" ref="N675">SUM</f>
        <v>#NAME?</v>
      </c>
      <c r="O675" t="s">
        <v>32</v>
      </c>
      <c r="P675">
        <v>2021</v>
      </c>
    </row>
    <row r="676" spans="1:16" x14ac:dyDescent="0.25">
      <c r="A676" t="s">
        <v>18</v>
      </c>
      <c r="B676" s="1" t="e">
        <f t="array" ref="B676">SUM</f>
        <v>#NAME?</v>
      </c>
      <c r="C676" s="1" t="e">
        <f t="array" ref="C676">SUM</f>
        <v>#NAME?</v>
      </c>
      <c r="D676" s="1" t="e">
        <f t="array" ref="D676">SUM</f>
        <v>#NAME?</v>
      </c>
      <c r="E676" s="1" t="e">
        <f t="array" ref="E676">SUM</f>
        <v>#NAME?</v>
      </c>
      <c r="F676" s="1" t="e">
        <f t="array" ref="F676">SUM</f>
        <v>#NAME?</v>
      </c>
      <c r="G676" s="1" t="e">
        <f t="array" ref="G676">SUM</f>
        <v>#NAME?</v>
      </c>
      <c r="H676" s="1" t="e">
        <f t="array" ref="H676">SUM</f>
        <v>#NAME?</v>
      </c>
      <c r="I676" s="1" t="e">
        <f t="array" ref="I676">SUM</f>
        <v>#NAME?</v>
      </c>
      <c r="J676" s="1" t="e">
        <f t="array" ref="J676">SUM</f>
        <v>#NAME?</v>
      </c>
      <c r="K676" s="1" t="e">
        <f t="array" ref="K676">SUM</f>
        <v>#NAME?</v>
      </c>
      <c r="L676" s="1" t="e">
        <f t="array" ref="L676">SUM</f>
        <v>#NAME?</v>
      </c>
      <c r="M676" s="1" t="e">
        <f t="array" ref="M676">SUM</f>
        <v>#NAME?</v>
      </c>
      <c r="N676" s="1" t="e">
        <f t="array" ref="N676">SUM</f>
        <v>#NAME?</v>
      </c>
      <c r="O676" t="s">
        <v>26</v>
      </c>
      <c r="P676">
        <v>2021</v>
      </c>
    </row>
    <row r="677" spans="1:16" x14ac:dyDescent="0.25">
      <c r="A677" t="s">
        <v>16</v>
      </c>
      <c r="B677" s="1" t="e">
        <f t="array" ref="B677">SUM</f>
        <v>#NAME?</v>
      </c>
      <c r="C677" s="1" t="e">
        <f t="array" ref="C677">SUM</f>
        <v>#NAME?</v>
      </c>
      <c r="D677" s="1" t="e">
        <f t="array" ref="D677">SUM</f>
        <v>#NAME?</v>
      </c>
      <c r="E677" s="1" t="e">
        <f t="array" ref="E677">SUM</f>
        <v>#NAME?</v>
      </c>
      <c r="F677" s="1" t="e">
        <f t="array" ref="F677">SUM</f>
        <v>#NAME?</v>
      </c>
      <c r="G677" s="1" t="e">
        <f t="array" ref="G677">SUM</f>
        <v>#NAME?</v>
      </c>
      <c r="H677" s="1" t="e">
        <f t="array" ref="H677">SUM</f>
        <v>#NAME?</v>
      </c>
      <c r="I677" s="1" t="e">
        <f t="array" ref="I677">SUM</f>
        <v>#NAME?</v>
      </c>
      <c r="J677" s="1" t="e">
        <f t="array" ref="J677">SUM</f>
        <v>#NAME?</v>
      </c>
      <c r="K677" s="1" t="e">
        <f t="array" ref="K677">SUM</f>
        <v>#NAME?</v>
      </c>
      <c r="L677" s="1" t="e">
        <f t="array" ref="L677">SUM</f>
        <v>#NAME?</v>
      </c>
      <c r="M677" s="1" t="e">
        <f t="array" ref="M677">SUM</f>
        <v>#NAME?</v>
      </c>
      <c r="N677" s="1" t="e">
        <f t="array" ref="N677">SUM</f>
        <v>#NAME?</v>
      </c>
      <c r="O677" t="s">
        <v>28</v>
      </c>
      <c r="P677">
        <v>2021</v>
      </c>
    </row>
    <row r="678" spans="1:16" x14ac:dyDescent="0.25">
      <c r="A678" t="s">
        <v>23</v>
      </c>
      <c r="B678" s="1" t="e">
        <f t="array" ref="B678">SUM</f>
        <v>#NAME?</v>
      </c>
      <c r="C678" s="1" t="e">
        <f t="array" ref="C678">SUM</f>
        <v>#NAME?</v>
      </c>
      <c r="D678" s="1" t="e">
        <f t="array" ref="D678">SUM</f>
        <v>#NAME?</v>
      </c>
      <c r="E678" s="1" t="e">
        <f t="array" ref="E678">SUM</f>
        <v>#NAME?</v>
      </c>
      <c r="F678" s="1" t="e">
        <f t="array" ref="F678">SUM</f>
        <v>#NAME?</v>
      </c>
      <c r="G678" s="1" t="e">
        <f t="array" ref="G678">SUM</f>
        <v>#NAME?</v>
      </c>
      <c r="H678" s="1" t="e">
        <f t="array" ref="H678">SUM</f>
        <v>#NAME?</v>
      </c>
      <c r="I678" s="1" t="e">
        <f t="array" ref="I678">SUM</f>
        <v>#NAME?</v>
      </c>
      <c r="J678" s="1" t="e">
        <f t="array" ref="J678">SUM</f>
        <v>#NAME?</v>
      </c>
      <c r="K678" s="1" t="e">
        <f t="array" ref="K678">SUM</f>
        <v>#NAME?</v>
      </c>
      <c r="L678" s="1" t="e">
        <f t="array" ref="L678">SUM</f>
        <v>#NAME?</v>
      </c>
      <c r="M678" s="1" t="e">
        <f t="array" ref="M678">SUM</f>
        <v>#NAME?</v>
      </c>
      <c r="N678" s="1" t="e">
        <f t="array" ref="N678">SUM</f>
        <v>#NAME?</v>
      </c>
      <c r="O678" t="s">
        <v>28</v>
      </c>
      <c r="P678">
        <v>2021</v>
      </c>
    </row>
    <row r="679" spans="1:16" x14ac:dyDescent="0.25">
      <c r="A679" t="s">
        <v>18</v>
      </c>
      <c r="B679" s="1" t="e">
        <f t="array" ref="B679">SUM</f>
        <v>#NAME?</v>
      </c>
      <c r="C679" s="1" t="e">
        <f t="array" ref="C679">SUM</f>
        <v>#NAME?</v>
      </c>
      <c r="D679" s="1" t="e">
        <f t="array" ref="D679">SUM</f>
        <v>#NAME?</v>
      </c>
      <c r="E679" s="1" t="e">
        <f t="array" ref="E679">SUM</f>
        <v>#NAME?</v>
      </c>
      <c r="F679" s="1" t="e">
        <f t="array" ref="F679">SUM</f>
        <v>#NAME?</v>
      </c>
      <c r="G679" s="1" t="e">
        <f t="array" ref="G679">SUM</f>
        <v>#NAME?</v>
      </c>
      <c r="H679" s="1" t="e">
        <f t="array" ref="H679">SUM</f>
        <v>#NAME?</v>
      </c>
      <c r="I679" s="1" t="e">
        <f t="array" ref="I679">SUM</f>
        <v>#NAME?</v>
      </c>
      <c r="J679" s="1" t="e">
        <f t="array" ref="J679">SUM</f>
        <v>#NAME?</v>
      </c>
      <c r="K679" s="1" t="e">
        <f t="array" ref="K679">SUM</f>
        <v>#NAME?</v>
      </c>
      <c r="L679" s="1" t="e">
        <f t="array" ref="L679">SUM</f>
        <v>#NAME?</v>
      </c>
      <c r="M679" s="1" t="e">
        <f t="array" ref="M679">SUM</f>
        <v>#NAME?</v>
      </c>
      <c r="N679" s="1" t="e">
        <f t="array" ref="N679">SUM</f>
        <v>#NAME?</v>
      </c>
      <c r="O679" t="s">
        <v>28</v>
      </c>
      <c r="P679">
        <v>2021</v>
      </c>
    </row>
    <row r="680" spans="1:16" x14ac:dyDescent="0.25">
      <c r="A680" t="s">
        <v>16</v>
      </c>
      <c r="B680" s="1" t="e">
        <f t="array" ref="B680">SUM</f>
        <v>#NAME?</v>
      </c>
      <c r="C680" s="1" t="e">
        <f t="array" ref="C680">SUM</f>
        <v>#NAME?</v>
      </c>
      <c r="D680" s="1" t="e">
        <f t="array" ref="D680">SUM</f>
        <v>#NAME?</v>
      </c>
      <c r="E680" s="1" t="e">
        <f t="array" ref="E680">SUM</f>
        <v>#NAME?</v>
      </c>
      <c r="F680" s="1" t="e">
        <f t="array" ref="F680">SUM</f>
        <v>#NAME?</v>
      </c>
      <c r="G680" s="1" t="e">
        <f t="array" ref="G680">SUM</f>
        <v>#NAME?</v>
      </c>
      <c r="H680" s="1" t="e">
        <f t="array" ref="H680">SUM</f>
        <v>#NAME?</v>
      </c>
      <c r="I680" s="1" t="e">
        <f t="array" ref="I680">SUM</f>
        <v>#NAME?</v>
      </c>
      <c r="J680" s="1" t="e">
        <f t="array" ref="J680">SUM</f>
        <v>#NAME?</v>
      </c>
      <c r="K680" s="1" t="e">
        <f t="array" ref="K680">SUM</f>
        <v>#NAME?</v>
      </c>
      <c r="L680" s="1" t="e">
        <f t="array" ref="L680">SUM</f>
        <v>#NAME?</v>
      </c>
      <c r="M680" s="1" t="e">
        <f t="array" ref="M680">SUM</f>
        <v>#NAME?</v>
      </c>
      <c r="N680" s="1" t="e">
        <f t="array" ref="N680">SUM</f>
        <v>#NAME?</v>
      </c>
      <c r="O680" t="s">
        <v>30</v>
      </c>
      <c r="P680">
        <v>2021</v>
      </c>
    </row>
    <row r="681" spans="1:16" x14ac:dyDescent="0.25">
      <c r="A681" t="s">
        <v>16</v>
      </c>
      <c r="B681" s="1" t="e">
        <f t="array" ref="B681">SUM</f>
        <v>#NAME?</v>
      </c>
      <c r="C681" s="1" t="e">
        <f t="array" ref="C681">SUM</f>
        <v>#NAME?</v>
      </c>
      <c r="D681" s="1" t="e">
        <f t="array" ref="D681">SUM</f>
        <v>#NAME?</v>
      </c>
      <c r="E681" s="1" t="e">
        <f t="array" ref="E681">SUM</f>
        <v>#NAME?</v>
      </c>
      <c r="F681" s="1" t="e">
        <f t="array" ref="F681">SUM</f>
        <v>#NAME?</v>
      </c>
      <c r="G681" s="1" t="e">
        <f t="array" ref="G681">SUM</f>
        <v>#NAME?</v>
      </c>
      <c r="H681" s="1" t="e">
        <f t="array" ref="H681">SUM</f>
        <v>#NAME?</v>
      </c>
      <c r="I681" s="1" t="e">
        <f t="array" ref="I681">SUM</f>
        <v>#NAME?</v>
      </c>
      <c r="J681" s="1" t="e">
        <f t="array" ref="J681">SUM</f>
        <v>#NAME?</v>
      </c>
      <c r="K681" s="1" t="e">
        <f t="array" ref="K681">SUM</f>
        <v>#NAME?</v>
      </c>
      <c r="L681" s="1" t="e">
        <f t="array" ref="L681">SUM</f>
        <v>#NAME?</v>
      </c>
      <c r="M681" s="1" t="e">
        <f t="array" ref="M681">SUM</f>
        <v>#NAME?</v>
      </c>
      <c r="N681" s="1" t="e">
        <f t="array" ref="N681">SUM</f>
        <v>#NAME?</v>
      </c>
      <c r="O681" t="s">
        <v>30</v>
      </c>
      <c r="P681">
        <v>2021</v>
      </c>
    </row>
    <row r="682" spans="1:16" x14ac:dyDescent="0.25">
      <c r="A682" t="s">
        <v>22</v>
      </c>
      <c r="B682" s="1" t="e">
        <f t="array" ref="B682">SUM</f>
        <v>#NAME?</v>
      </c>
      <c r="C682" s="1" t="e">
        <f t="array" ref="C682">SUM</f>
        <v>#NAME?</v>
      </c>
      <c r="D682" s="1" t="e">
        <f t="array" ref="D682">SUM</f>
        <v>#NAME?</v>
      </c>
      <c r="E682" s="1" t="e">
        <f t="array" ref="E682">SUM</f>
        <v>#NAME?</v>
      </c>
      <c r="F682" s="1" t="e">
        <f t="array" ref="F682">SUM</f>
        <v>#NAME?</v>
      </c>
      <c r="G682" s="1" t="e">
        <f t="array" ref="G682">SUM</f>
        <v>#NAME?</v>
      </c>
      <c r="H682" s="1" t="e">
        <f t="array" ref="H682">SUM</f>
        <v>#NAME?</v>
      </c>
      <c r="I682" s="1" t="e">
        <f t="array" ref="I682">SUM</f>
        <v>#NAME?</v>
      </c>
      <c r="J682" s="1" t="e">
        <f t="array" ref="J682">SUM</f>
        <v>#NAME?</v>
      </c>
      <c r="K682" s="1" t="e">
        <f t="array" ref="K682">SUM</f>
        <v>#NAME?</v>
      </c>
      <c r="L682" s="1" t="e">
        <f t="array" ref="L682">SUM</f>
        <v>#NAME?</v>
      </c>
      <c r="M682" s="1" t="e">
        <f t="array" ref="M682">SUM</f>
        <v>#NAME?</v>
      </c>
      <c r="N682" s="1" t="e">
        <f t="array" ref="N682">SUM</f>
        <v>#NAME?</v>
      </c>
      <c r="O682" t="s">
        <v>20</v>
      </c>
      <c r="P682">
        <v>2021</v>
      </c>
    </row>
    <row r="683" spans="1:16" x14ac:dyDescent="0.25">
      <c r="A683" t="s">
        <v>16</v>
      </c>
      <c r="B683" s="1" t="e">
        <f t="array" ref="B683">SUM</f>
        <v>#NAME?</v>
      </c>
      <c r="C683" s="1" t="e">
        <f t="array" ref="C683">SUM</f>
        <v>#NAME?</v>
      </c>
      <c r="D683" s="1" t="e">
        <f t="array" ref="D683">SUM</f>
        <v>#NAME?</v>
      </c>
      <c r="E683" s="1" t="e">
        <f t="array" ref="E683">SUM</f>
        <v>#NAME?</v>
      </c>
      <c r="F683" s="1" t="e">
        <f t="array" ref="F683">SUM</f>
        <v>#NAME?</v>
      </c>
      <c r="G683" s="1" t="e">
        <f t="array" ref="G683">SUM</f>
        <v>#NAME?</v>
      </c>
      <c r="H683" s="1" t="e">
        <f t="array" ref="H683">SUM</f>
        <v>#NAME?</v>
      </c>
      <c r="I683" s="1" t="e">
        <f t="array" ref="I683">SUM</f>
        <v>#NAME?</v>
      </c>
      <c r="J683" s="1" t="e">
        <f t="array" ref="J683">SUM</f>
        <v>#NAME?</v>
      </c>
      <c r="K683" s="1" t="e">
        <f t="array" ref="K683">SUM</f>
        <v>#NAME?</v>
      </c>
      <c r="L683" s="1" t="e">
        <f t="array" ref="L683">SUM</f>
        <v>#NAME?</v>
      </c>
      <c r="M683" s="1" t="e">
        <f t="array" ref="M683">SUM</f>
        <v>#NAME?</v>
      </c>
      <c r="N683" s="1" t="e">
        <f t="array" ref="N683">SUM</f>
        <v>#NAME?</v>
      </c>
      <c r="O683" t="s">
        <v>20</v>
      </c>
      <c r="P683">
        <v>2021</v>
      </c>
    </row>
    <row r="684" spans="1:16" x14ac:dyDescent="0.25">
      <c r="A684" t="s">
        <v>22</v>
      </c>
      <c r="B684" s="1" t="e">
        <f t="array" ref="B684">SUM</f>
        <v>#NAME?</v>
      </c>
      <c r="C684" s="1" t="e">
        <f t="array" ref="C684">SUM</f>
        <v>#NAME?</v>
      </c>
      <c r="D684" s="1" t="e">
        <f t="array" ref="D684">SUM</f>
        <v>#NAME?</v>
      </c>
      <c r="E684" s="1" t="e">
        <f t="array" ref="E684">SUM</f>
        <v>#NAME?</v>
      </c>
      <c r="F684" s="1" t="e">
        <f t="array" ref="F684">SUM</f>
        <v>#NAME?</v>
      </c>
      <c r="G684" s="1" t="e">
        <f t="array" ref="G684">SUM</f>
        <v>#NAME?</v>
      </c>
      <c r="H684" s="1" t="e">
        <f t="array" ref="H684">SUM</f>
        <v>#NAME?</v>
      </c>
      <c r="I684" s="1" t="e">
        <f t="array" ref="I684">SUM</f>
        <v>#NAME?</v>
      </c>
      <c r="J684" s="1" t="e">
        <f t="array" ref="J684">SUM</f>
        <v>#NAME?</v>
      </c>
      <c r="K684" s="1" t="e">
        <f t="array" ref="K684">SUM</f>
        <v>#NAME?</v>
      </c>
      <c r="L684" s="1" t="e">
        <f t="array" ref="L684">SUM</f>
        <v>#NAME?</v>
      </c>
      <c r="M684" s="1" t="e">
        <f t="array" ref="M684">SUM</f>
        <v>#NAME?</v>
      </c>
      <c r="N684" s="1" t="e">
        <f t="array" ref="N684">SUM</f>
        <v>#NAME?</v>
      </c>
      <c r="O684" t="s">
        <v>21</v>
      </c>
      <c r="P684">
        <v>2021</v>
      </c>
    </row>
    <row r="685" spans="1:16" x14ac:dyDescent="0.25">
      <c r="A685" t="s">
        <v>18</v>
      </c>
      <c r="B685" s="1" t="e">
        <f t="array" ref="B685">SUM</f>
        <v>#NAME?</v>
      </c>
      <c r="C685" s="1" t="e">
        <f t="array" ref="C685">SUM</f>
        <v>#NAME?</v>
      </c>
      <c r="D685" s="1" t="e">
        <f t="array" ref="D685">SUM</f>
        <v>#NAME?</v>
      </c>
      <c r="E685" s="1" t="e">
        <f t="array" ref="E685">SUM</f>
        <v>#NAME?</v>
      </c>
      <c r="F685" s="1" t="e">
        <f t="array" ref="F685">SUM</f>
        <v>#NAME?</v>
      </c>
      <c r="G685" s="1" t="e">
        <f t="array" ref="G685">SUM</f>
        <v>#NAME?</v>
      </c>
      <c r="H685" s="1" t="e">
        <f t="array" ref="H685">SUM</f>
        <v>#NAME?</v>
      </c>
      <c r="I685" s="1" t="e">
        <f t="array" ref="I685">SUM</f>
        <v>#NAME?</v>
      </c>
      <c r="J685" s="1" t="e">
        <f t="array" ref="J685">SUM</f>
        <v>#NAME?</v>
      </c>
      <c r="K685" s="1" t="e">
        <f t="array" ref="K685">SUM</f>
        <v>#NAME?</v>
      </c>
      <c r="L685" s="1" t="e">
        <f t="array" ref="L685">SUM</f>
        <v>#NAME?</v>
      </c>
      <c r="M685" s="1" t="e">
        <f t="array" ref="M685">SUM</f>
        <v>#NAME?</v>
      </c>
      <c r="N685" s="1" t="e">
        <f t="array" ref="N685">SUM</f>
        <v>#NAME?</v>
      </c>
      <c r="O685" t="s">
        <v>32</v>
      </c>
      <c r="P685">
        <v>2021</v>
      </c>
    </row>
    <row r="686" spans="1:16" x14ac:dyDescent="0.25">
      <c r="A686" t="s">
        <v>23</v>
      </c>
      <c r="B686" s="1" t="e">
        <f t="array" ref="B686">SUM</f>
        <v>#NAME?</v>
      </c>
      <c r="C686" s="1" t="e">
        <f t="array" ref="C686">SUM</f>
        <v>#NAME?</v>
      </c>
      <c r="D686" s="1" t="e">
        <f t="array" ref="D686">SUM</f>
        <v>#NAME?</v>
      </c>
      <c r="E686" s="1" t="e">
        <f t="array" ref="E686">SUM</f>
        <v>#NAME?</v>
      </c>
      <c r="F686" s="1" t="e">
        <f t="array" ref="F686">SUM</f>
        <v>#NAME?</v>
      </c>
      <c r="G686" s="1" t="e">
        <f t="array" ref="G686">SUM</f>
        <v>#NAME?</v>
      </c>
      <c r="H686" s="1" t="e">
        <f t="array" ref="H686">SUM</f>
        <v>#NAME?</v>
      </c>
      <c r="I686" s="1" t="e">
        <f t="array" ref="I686">SUM</f>
        <v>#NAME?</v>
      </c>
      <c r="J686" s="1" t="e">
        <f t="array" ref="J686">SUM</f>
        <v>#NAME?</v>
      </c>
      <c r="K686" s="1" t="e">
        <f t="array" ref="K686">SUM</f>
        <v>#NAME?</v>
      </c>
      <c r="L686" s="1" t="e">
        <f t="array" ref="L686">SUM</f>
        <v>#NAME?</v>
      </c>
      <c r="M686" s="1" t="e">
        <f t="array" ref="M686">SUM</f>
        <v>#NAME?</v>
      </c>
      <c r="N686" s="1" t="e">
        <f t="array" ref="N686">SUM</f>
        <v>#NAME?</v>
      </c>
      <c r="O686" t="s">
        <v>27</v>
      </c>
      <c r="P686">
        <v>2021</v>
      </c>
    </row>
    <row r="687" spans="1:16" x14ac:dyDescent="0.25">
      <c r="A687" t="s">
        <v>25</v>
      </c>
      <c r="B687" s="1" t="e">
        <f t="array" ref="B687">SUM</f>
        <v>#NAME?</v>
      </c>
      <c r="C687" s="1" t="e">
        <f t="array" ref="C687">SUM</f>
        <v>#NAME?</v>
      </c>
      <c r="D687" s="1" t="e">
        <f t="array" ref="D687">SUM</f>
        <v>#NAME?</v>
      </c>
      <c r="E687" s="1" t="e">
        <f t="array" ref="E687">SUM</f>
        <v>#NAME?</v>
      </c>
      <c r="F687" s="1" t="e">
        <f t="array" ref="F687">SUM</f>
        <v>#NAME?</v>
      </c>
      <c r="G687" s="1" t="e">
        <f t="array" ref="G687">SUM</f>
        <v>#NAME?</v>
      </c>
      <c r="H687" s="1" t="e">
        <f t="array" ref="H687">SUM</f>
        <v>#NAME?</v>
      </c>
      <c r="I687" s="1" t="e">
        <f t="array" ref="I687">SUM</f>
        <v>#NAME?</v>
      </c>
      <c r="J687" s="1" t="e">
        <f t="array" ref="J687">SUM</f>
        <v>#NAME?</v>
      </c>
      <c r="K687" s="1" t="e">
        <f t="array" ref="K687">SUM</f>
        <v>#NAME?</v>
      </c>
      <c r="L687" s="1" t="e">
        <f t="array" ref="L687">SUM</f>
        <v>#NAME?</v>
      </c>
      <c r="M687" s="1" t="e">
        <f t="array" ref="M687">SUM</f>
        <v>#NAME?</v>
      </c>
      <c r="N687" s="1" t="e">
        <f t="array" ref="N687">SUM</f>
        <v>#NAME?</v>
      </c>
      <c r="O687" t="s">
        <v>30</v>
      </c>
      <c r="P687">
        <v>2021</v>
      </c>
    </row>
    <row r="688" spans="1:16" x14ac:dyDescent="0.25">
      <c r="A688" t="s">
        <v>23</v>
      </c>
      <c r="B688" s="1" t="e">
        <f t="array" ref="B688">SUM</f>
        <v>#NAME?</v>
      </c>
      <c r="C688" s="1" t="e">
        <f t="array" ref="C688">SUM</f>
        <v>#NAME?</v>
      </c>
      <c r="D688" s="1" t="e">
        <f t="array" ref="D688">SUM</f>
        <v>#NAME?</v>
      </c>
      <c r="E688" s="1" t="e">
        <f t="array" ref="E688">SUM</f>
        <v>#NAME?</v>
      </c>
      <c r="F688" s="1" t="e">
        <f t="array" ref="F688">SUM</f>
        <v>#NAME?</v>
      </c>
      <c r="G688" s="1" t="e">
        <f t="array" ref="G688">SUM</f>
        <v>#NAME?</v>
      </c>
      <c r="H688" s="1" t="e">
        <f t="array" ref="H688">SUM</f>
        <v>#NAME?</v>
      </c>
      <c r="I688" s="1" t="e">
        <f t="array" ref="I688">SUM</f>
        <v>#NAME?</v>
      </c>
      <c r="J688" s="1" t="e">
        <f t="array" ref="J688">SUM</f>
        <v>#NAME?</v>
      </c>
      <c r="K688" s="1" t="e">
        <f t="array" ref="K688">SUM</f>
        <v>#NAME?</v>
      </c>
      <c r="L688" s="1" t="e">
        <f t="array" ref="L688">SUM</f>
        <v>#NAME?</v>
      </c>
      <c r="M688" s="1" t="e">
        <f t="array" ref="M688">SUM</f>
        <v>#NAME?</v>
      </c>
      <c r="N688" s="1" t="e">
        <f t="array" ref="N688">SUM</f>
        <v>#NAME?</v>
      </c>
      <c r="O688" t="s">
        <v>20</v>
      </c>
      <c r="P688">
        <v>2021</v>
      </c>
    </row>
    <row r="689" spans="1:16" x14ac:dyDescent="0.25">
      <c r="A689" t="s">
        <v>22</v>
      </c>
      <c r="B689" s="1" t="e">
        <f t="array" ref="B689">SUM</f>
        <v>#NAME?</v>
      </c>
      <c r="C689" s="1" t="e">
        <f t="array" ref="C689">SUM</f>
        <v>#NAME?</v>
      </c>
      <c r="D689" s="1" t="e">
        <f t="array" ref="D689">SUM</f>
        <v>#NAME?</v>
      </c>
      <c r="E689" s="1" t="e">
        <f t="array" ref="E689">SUM</f>
        <v>#NAME?</v>
      </c>
      <c r="F689" s="1" t="e">
        <f t="array" ref="F689">SUM</f>
        <v>#NAME?</v>
      </c>
      <c r="G689" s="1" t="e">
        <f t="array" ref="G689">SUM</f>
        <v>#NAME?</v>
      </c>
      <c r="H689" s="1" t="e">
        <f t="array" ref="H689">SUM</f>
        <v>#NAME?</v>
      </c>
      <c r="I689" s="1" t="e">
        <f t="array" ref="I689">SUM</f>
        <v>#NAME?</v>
      </c>
      <c r="J689" s="1" t="e">
        <f t="array" ref="J689">SUM</f>
        <v>#NAME?</v>
      </c>
      <c r="K689" s="1" t="e">
        <f t="array" ref="K689">SUM</f>
        <v>#NAME?</v>
      </c>
      <c r="L689" s="1" t="e">
        <f t="array" ref="L689">SUM</f>
        <v>#NAME?</v>
      </c>
      <c r="M689" s="1" t="e">
        <f t="array" ref="M689">SUM</f>
        <v>#NAME?</v>
      </c>
      <c r="N689" s="1" t="e">
        <f t="array" ref="N689">SUM</f>
        <v>#NAME?</v>
      </c>
      <c r="O689" t="s">
        <v>20</v>
      </c>
      <c r="P689">
        <v>2021</v>
      </c>
    </row>
    <row r="690" spans="1:16" x14ac:dyDescent="0.25">
      <c r="A690" t="s">
        <v>16</v>
      </c>
      <c r="B690" s="1" t="e">
        <f t="array" ref="B690">SUM</f>
        <v>#NAME?</v>
      </c>
      <c r="C690" s="1" t="e">
        <f t="array" ref="C690">SUM</f>
        <v>#NAME?</v>
      </c>
      <c r="D690" s="1" t="e">
        <f t="array" ref="D690">SUM</f>
        <v>#NAME?</v>
      </c>
      <c r="E690" s="1" t="e">
        <f t="array" ref="E690">SUM</f>
        <v>#NAME?</v>
      </c>
      <c r="F690" s="1" t="e">
        <f t="array" ref="F690">SUM</f>
        <v>#NAME?</v>
      </c>
      <c r="G690" s="1" t="e">
        <f t="array" ref="G690">SUM</f>
        <v>#NAME?</v>
      </c>
      <c r="H690" s="1" t="e">
        <f t="array" ref="H690">SUM</f>
        <v>#NAME?</v>
      </c>
      <c r="I690" s="1" t="e">
        <f t="array" ref="I690">SUM</f>
        <v>#NAME?</v>
      </c>
      <c r="J690" s="1" t="e">
        <f t="array" ref="J690">SUM</f>
        <v>#NAME?</v>
      </c>
      <c r="K690" s="1" t="e">
        <f t="array" ref="K690">SUM</f>
        <v>#NAME?</v>
      </c>
      <c r="L690" s="1" t="e">
        <f t="array" ref="L690">SUM</f>
        <v>#NAME?</v>
      </c>
      <c r="M690" s="1" t="e">
        <f t="array" ref="M690">SUM</f>
        <v>#NAME?</v>
      </c>
      <c r="N690" s="1" t="e">
        <f t="array" ref="N690">SUM</f>
        <v>#NAME?</v>
      </c>
      <c r="O690" t="s">
        <v>24</v>
      </c>
      <c r="P690">
        <v>2021</v>
      </c>
    </row>
    <row r="691" spans="1:16" x14ac:dyDescent="0.25">
      <c r="A691" t="s">
        <v>18</v>
      </c>
      <c r="B691" s="1" t="e">
        <f t="array" ref="B691">SUM</f>
        <v>#NAME?</v>
      </c>
      <c r="C691" s="1" t="e">
        <f t="array" ref="C691">SUM</f>
        <v>#NAME?</v>
      </c>
      <c r="D691" s="1" t="e">
        <f t="array" ref="D691">SUM</f>
        <v>#NAME?</v>
      </c>
      <c r="E691" s="1" t="e">
        <f t="array" ref="E691">SUM</f>
        <v>#NAME?</v>
      </c>
      <c r="F691" s="1" t="e">
        <f t="array" ref="F691">SUM</f>
        <v>#NAME?</v>
      </c>
      <c r="G691" s="1" t="e">
        <f t="array" ref="G691">SUM</f>
        <v>#NAME?</v>
      </c>
      <c r="H691" s="1" t="e">
        <f t="array" ref="H691">SUM</f>
        <v>#NAME?</v>
      </c>
      <c r="I691" s="1" t="e">
        <f t="array" ref="I691">SUM</f>
        <v>#NAME?</v>
      </c>
      <c r="J691" s="1" t="e">
        <f t="array" ref="J691">SUM</f>
        <v>#NAME?</v>
      </c>
      <c r="K691" s="1" t="e">
        <f t="array" ref="K691">SUM</f>
        <v>#NAME?</v>
      </c>
      <c r="L691" s="1" t="e">
        <f t="array" ref="L691">SUM</f>
        <v>#NAME?</v>
      </c>
      <c r="M691" s="1" t="e">
        <f t="array" ref="M691">SUM</f>
        <v>#NAME?</v>
      </c>
      <c r="N691" s="1" t="e">
        <f t="array" ref="N691">SUM</f>
        <v>#NAME?</v>
      </c>
      <c r="O691" t="s">
        <v>24</v>
      </c>
      <c r="P691">
        <v>2021</v>
      </c>
    </row>
    <row r="692" spans="1:16" x14ac:dyDescent="0.25">
      <c r="A692" t="s">
        <v>16</v>
      </c>
      <c r="B692" s="1" t="e">
        <f t="array" ref="B692">SUM</f>
        <v>#NAME?</v>
      </c>
      <c r="C692" s="1" t="e">
        <f t="array" ref="C692">SUM</f>
        <v>#NAME?</v>
      </c>
      <c r="D692" s="1" t="e">
        <f t="array" ref="D692">SUM</f>
        <v>#NAME?</v>
      </c>
      <c r="E692" s="1" t="e">
        <f t="array" ref="E692">SUM</f>
        <v>#NAME?</v>
      </c>
      <c r="F692" s="1" t="e">
        <f t="array" ref="F692">SUM</f>
        <v>#NAME?</v>
      </c>
      <c r="G692" s="1" t="e">
        <f t="array" ref="G692">SUM</f>
        <v>#NAME?</v>
      </c>
      <c r="H692" s="1" t="e">
        <f t="array" ref="H692">SUM</f>
        <v>#NAME?</v>
      </c>
      <c r="I692" s="1" t="e">
        <f t="array" ref="I692">SUM</f>
        <v>#NAME?</v>
      </c>
      <c r="J692" s="1" t="e">
        <f t="array" ref="J692">SUM</f>
        <v>#NAME?</v>
      </c>
      <c r="K692" s="1" t="e">
        <f t="array" ref="K692">SUM</f>
        <v>#NAME?</v>
      </c>
      <c r="L692" s="1" t="e">
        <f t="array" ref="L692">SUM</f>
        <v>#NAME?</v>
      </c>
      <c r="M692" s="1" t="e">
        <f t="array" ref="M692">SUM</f>
        <v>#NAME?</v>
      </c>
      <c r="N692" s="1" t="e">
        <f t="array" ref="N692">SUM</f>
        <v>#NAME?</v>
      </c>
      <c r="O692" t="s">
        <v>28</v>
      </c>
      <c r="P692">
        <v>2021</v>
      </c>
    </row>
    <row r="693" spans="1:16" x14ac:dyDescent="0.25">
      <c r="A693" t="s">
        <v>18</v>
      </c>
      <c r="B693" s="1" t="e">
        <f t="array" ref="B693">SUM</f>
        <v>#NAME?</v>
      </c>
      <c r="C693" s="1" t="e">
        <f t="array" ref="C693">SUM</f>
        <v>#NAME?</v>
      </c>
      <c r="D693" s="1" t="e">
        <f t="array" ref="D693">SUM</f>
        <v>#NAME?</v>
      </c>
      <c r="E693" s="1" t="e">
        <f t="array" ref="E693">SUM</f>
        <v>#NAME?</v>
      </c>
      <c r="F693" s="1" t="e">
        <f t="array" ref="F693">SUM</f>
        <v>#NAME?</v>
      </c>
      <c r="G693" s="1" t="e">
        <f t="array" ref="G693">SUM</f>
        <v>#NAME?</v>
      </c>
      <c r="H693" s="1" t="e">
        <f t="array" ref="H693">SUM</f>
        <v>#NAME?</v>
      </c>
      <c r="I693" s="1" t="e">
        <f t="array" ref="I693">SUM</f>
        <v>#NAME?</v>
      </c>
      <c r="J693" s="1" t="e">
        <f t="array" ref="J693">SUM</f>
        <v>#NAME?</v>
      </c>
      <c r="K693" s="1" t="e">
        <f t="array" ref="K693">SUM</f>
        <v>#NAME?</v>
      </c>
      <c r="L693" s="1" t="e">
        <f t="array" ref="L693">SUM</f>
        <v>#NAME?</v>
      </c>
      <c r="M693" s="1" t="e">
        <f t="array" ref="M693">SUM</f>
        <v>#NAME?</v>
      </c>
      <c r="N693" s="1" t="e">
        <f t="array" ref="N693">SUM</f>
        <v>#NAME?</v>
      </c>
      <c r="O693" t="s">
        <v>28</v>
      </c>
      <c r="P693">
        <v>2021</v>
      </c>
    </row>
    <row r="694" spans="1:16" x14ac:dyDescent="0.25">
      <c r="A694" t="s">
        <v>23</v>
      </c>
      <c r="B694" s="1" t="e">
        <f t="array" ref="B694">SUM</f>
        <v>#NAME?</v>
      </c>
      <c r="C694" s="1" t="e">
        <f t="array" ref="C694">SUM</f>
        <v>#NAME?</v>
      </c>
      <c r="D694" s="1" t="e">
        <f t="array" ref="D694">SUM</f>
        <v>#NAME?</v>
      </c>
      <c r="E694" s="1" t="e">
        <f t="array" ref="E694">SUM</f>
        <v>#NAME?</v>
      </c>
      <c r="F694" s="1" t="e">
        <f t="array" ref="F694">SUM</f>
        <v>#NAME?</v>
      </c>
      <c r="G694" s="1" t="e">
        <f t="array" ref="G694">SUM</f>
        <v>#NAME?</v>
      </c>
      <c r="H694" s="1" t="e">
        <f t="array" ref="H694">SUM</f>
        <v>#NAME?</v>
      </c>
      <c r="I694" s="1" t="e">
        <f t="array" ref="I694">SUM</f>
        <v>#NAME?</v>
      </c>
      <c r="J694" s="1" t="e">
        <f t="array" ref="J694">SUM</f>
        <v>#NAME?</v>
      </c>
      <c r="K694" s="1" t="e">
        <f t="array" ref="K694">SUM</f>
        <v>#NAME?</v>
      </c>
      <c r="L694" s="1" t="e">
        <f t="array" ref="L694">SUM</f>
        <v>#NAME?</v>
      </c>
      <c r="M694" s="1" t="e">
        <f t="array" ref="M694">SUM</f>
        <v>#NAME?</v>
      </c>
      <c r="N694" s="1" t="e">
        <f t="array" ref="N694">SUM</f>
        <v>#NAME?</v>
      </c>
      <c r="O694" t="s">
        <v>30</v>
      </c>
      <c r="P694">
        <v>2020</v>
      </c>
    </row>
    <row r="695" spans="1:16" x14ac:dyDescent="0.25">
      <c r="A695" t="s">
        <v>23</v>
      </c>
      <c r="B695" s="1" t="e">
        <f t="array" ref="B695">SUM</f>
        <v>#NAME?</v>
      </c>
      <c r="C695" s="1" t="e">
        <f t="array" ref="C695">SUM</f>
        <v>#NAME?</v>
      </c>
      <c r="D695" s="1" t="e">
        <f t="array" ref="D695">SUM</f>
        <v>#NAME?</v>
      </c>
      <c r="E695" s="1" t="e">
        <f t="array" ref="E695">SUM</f>
        <v>#NAME?</v>
      </c>
      <c r="F695" s="1" t="e">
        <f t="array" ref="F695">SUM</f>
        <v>#NAME?</v>
      </c>
      <c r="G695" s="1" t="e">
        <f t="array" ref="G695">SUM</f>
        <v>#NAME?</v>
      </c>
      <c r="H695" s="1" t="e">
        <f t="array" ref="H695">SUM</f>
        <v>#NAME?</v>
      </c>
      <c r="I695" s="1" t="e">
        <f t="array" ref="I695">SUM</f>
        <v>#NAME?</v>
      </c>
      <c r="J695" s="1" t="e">
        <f t="array" ref="J695">SUM</f>
        <v>#NAME?</v>
      </c>
      <c r="K695" s="1" t="e">
        <f t="array" ref="K695">SUM</f>
        <v>#NAME?</v>
      </c>
      <c r="L695" s="1" t="e">
        <f t="array" ref="L695">SUM</f>
        <v>#NAME?</v>
      </c>
      <c r="M695" s="1" t="e">
        <f t="array" ref="M695">SUM</f>
        <v>#NAME?</v>
      </c>
      <c r="N695" s="1" t="e">
        <f t="array" ref="N695">SUM</f>
        <v>#NAME?</v>
      </c>
      <c r="O695" t="s">
        <v>30</v>
      </c>
      <c r="P695">
        <v>2020</v>
      </c>
    </row>
    <row r="696" spans="1:16" x14ac:dyDescent="0.25">
      <c r="A696" t="s">
        <v>16</v>
      </c>
      <c r="B696" s="1" t="e">
        <f t="array" ref="B696">SUM</f>
        <v>#NAME?</v>
      </c>
      <c r="C696" s="1" t="e">
        <f t="array" ref="C696">SUM</f>
        <v>#NAME?</v>
      </c>
      <c r="D696" s="1" t="e">
        <f t="array" ref="D696">SUM</f>
        <v>#NAME?</v>
      </c>
      <c r="E696" s="1" t="e">
        <f t="array" ref="E696">SUM</f>
        <v>#NAME?</v>
      </c>
      <c r="F696" s="1" t="e">
        <f t="array" ref="F696">SUM</f>
        <v>#NAME?</v>
      </c>
      <c r="G696" s="1" t="e">
        <f t="array" ref="G696">SUM</f>
        <v>#NAME?</v>
      </c>
      <c r="H696" s="1" t="e">
        <f t="array" ref="H696">SUM</f>
        <v>#NAME?</v>
      </c>
      <c r="I696" s="1" t="e">
        <f t="array" ref="I696">SUM</f>
        <v>#NAME?</v>
      </c>
      <c r="J696" s="1" t="e">
        <f t="array" ref="J696">SUM</f>
        <v>#NAME?</v>
      </c>
      <c r="K696" s="1" t="e">
        <f t="array" ref="K696">SUM</f>
        <v>#NAME?</v>
      </c>
      <c r="L696" s="1" t="e">
        <f t="array" ref="L696">SUM</f>
        <v>#NAME?</v>
      </c>
      <c r="M696" s="1" t="e">
        <f t="array" ref="M696">SUM</f>
        <v>#NAME?</v>
      </c>
      <c r="N696" s="1" t="e">
        <f t="array" ref="N696">SUM</f>
        <v>#NAME?</v>
      </c>
      <c r="O696" t="s">
        <v>20</v>
      </c>
      <c r="P696">
        <v>2020</v>
      </c>
    </row>
    <row r="697" spans="1:16" x14ac:dyDescent="0.25">
      <c r="A697" t="s">
        <v>25</v>
      </c>
      <c r="B697" s="1" t="e">
        <f t="array" ref="B697">SUM</f>
        <v>#NAME?</v>
      </c>
      <c r="C697" s="1" t="e">
        <f t="array" ref="C697">SUM</f>
        <v>#NAME?</v>
      </c>
      <c r="D697" s="1" t="e">
        <f t="array" ref="D697">SUM</f>
        <v>#NAME?</v>
      </c>
      <c r="E697" s="1" t="e">
        <f t="array" ref="E697">SUM</f>
        <v>#NAME?</v>
      </c>
      <c r="F697" s="1" t="e">
        <f t="array" ref="F697">SUM</f>
        <v>#NAME?</v>
      </c>
      <c r="G697" s="1" t="e">
        <f t="array" ref="G697">SUM</f>
        <v>#NAME?</v>
      </c>
      <c r="H697" s="1" t="e">
        <f t="array" ref="H697">SUM</f>
        <v>#NAME?</v>
      </c>
      <c r="I697" s="1" t="e">
        <f t="array" ref="I697">SUM</f>
        <v>#NAME?</v>
      </c>
      <c r="J697" s="1" t="e">
        <f t="array" ref="J697">SUM</f>
        <v>#NAME?</v>
      </c>
      <c r="K697" s="1" t="e">
        <f t="array" ref="K697">SUM</f>
        <v>#NAME?</v>
      </c>
      <c r="L697" s="1" t="e">
        <f t="array" ref="L697">SUM</f>
        <v>#NAME?</v>
      </c>
      <c r="M697" s="1" t="e">
        <f t="array" ref="M697">SUM</f>
        <v>#NAME?</v>
      </c>
      <c r="N697" s="1" t="e">
        <f t="array" ref="N697">SUM</f>
        <v>#NAME?</v>
      </c>
      <c r="O697" t="s">
        <v>21</v>
      </c>
      <c r="P697">
        <v>2020</v>
      </c>
    </row>
    <row r="698" spans="1:16" x14ac:dyDescent="0.25">
      <c r="A698" t="s">
        <v>25</v>
      </c>
      <c r="B698" s="1" t="e">
        <f t="array" ref="B698">SUM</f>
        <v>#NAME?</v>
      </c>
      <c r="C698" s="1" t="e">
        <f t="array" ref="C698">SUM</f>
        <v>#NAME?</v>
      </c>
      <c r="D698" s="1" t="e">
        <f t="array" ref="D698">SUM</f>
        <v>#NAME?</v>
      </c>
      <c r="E698" s="1" t="e">
        <f t="array" ref="E698">SUM</f>
        <v>#NAME?</v>
      </c>
      <c r="F698" s="1" t="e">
        <f t="array" ref="F698">SUM</f>
        <v>#NAME?</v>
      </c>
      <c r="G698" s="1" t="e">
        <f t="array" ref="G698">SUM</f>
        <v>#NAME?</v>
      </c>
      <c r="H698" s="1" t="e">
        <f t="array" ref="H698">SUM</f>
        <v>#NAME?</v>
      </c>
      <c r="I698" s="1" t="e">
        <f t="array" ref="I698">SUM</f>
        <v>#NAME?</v>
      </c>
      <c r="J698" s="1" t="e">
        <f t="array" ref="J698">SUM</f>
        <v>#NAME?</v>
      </c>
      <c r="K698" s="1" t="e">
        <f t="array" ref="K698">SUM</f>
        <v>#NAME?</v>
      </c>
      <c r="L698" s="1" t="e">
        <f t="array" ref="L698">SUM</f>
        <v>#NAME?</v>
      </c>
      <c r="M698" s="1" t="e">
        <f t="array" ref="M698">SUM</f>
        <v>#NAME?</v>
      </c>
      <c r="N698" s="1" t="e">
        <f t="array" ref="N698">SUM</f>
        <v>#NAME?</v>
      </c>
      <c r="O698" t="s">
        <v>28</v>
      </c>
      <c r="P698">
        <v>2020</v>
      </c>
    </row>
    <row r="699" spans="1:16" x14ac:dyDescent="0.25">
      <c r="A699" t="s">
        <v>16</v>
      </c>
      <c r="B699" s="1" t="e">
        <f t="array" ref="B699">SUM</f>
        <v>#NAME?</v>
      </c>
      <c r="C699" s="1" t="e">
        <f t="array" ref="C699">SUM</f>
        <v>#NAME?</v>
      </c>
      <c r="D699" s="1" t="e">
        <f t="array" ref="D699">SUM</f>
        <v>#NAME?</v>
      </c>
      <c r="E699" s="1" t="e">
        <f t="array" ref="E699">SUM</f>
        <v>#NAME?</v>
      </c>
      <c r="F699" s="1" t="e">
        <f t="array" ref="F699">SUM</f>
        <v>#NAME?</v>
      </c>
      <c r="G699" s="1" t="e">
        <f t="array" ref="G699">SUM</f>
        <v>#NAME?</v>
      </c>
      <c r="H699" s="1" t="e">
        <f t="array" ref="H699">SUM</f>
        <v>#NAME?</v>
      </c>
      <c r="I699" s="1" t="e">
        <f t="array" ref="I699">SUM</f>
        <v>#NAME?</v>
      </c>
      <c r="J699" s="1" t="e">
        <f t="array" ref="J699">SUM</f>
        <v>#NAME?</v>
      </c>
      <c r="K699" s="1" t="e">
        <f t="array" ref="K699">SUM</f>
        <v>#NAME?</v>
      </c>
      <c r="L699" s="1" t="e">
        <f t="array" ref="L699">SUM</f>
        <v>#NAME?</v>
      </c>
      <c r="M699" s="1" t="e">
        <f t="array" ref="M699">SUM</f>
        <v>#NAME?</v>
      </c>
      <c r="N699" s="1" t="e">
        <f t="array" ref="N699">SUM</f>
        <v>#NAME?</v>
      </c>
      <c r="O699" t="s">
        <v>29</v>
      </c>
      <c r="P699">
        <v>2020</v>
      </c>
    </row>
    <row r="700" spans="1:16" x14ac:dyDescent="0.25">
      <c r="A700" t="s">
        <v>16</v>
      </c>
      <c r="B700" s="1" t="e">
        <f t="array" ref="B700">SUM</f>
        <v>#NAME?</v>
      </c>
      <c r="C700" s="1" t="e">
        <f t="array" ref="C700">SUM</f>
        <v>#NAME?</v>
      </c>
      <c r="D700" s="1" t="e">
        <f t="array" ref="D700">SUM</f>
        <v>#NAME?</v>
      </c>
      <c r="E700" s="1" t="e">
        <f t="array" ref="E700">SUM</f>
        <v>#NAME?</v>
      </c>
      <c r="F700" s="1" t="e">
        <f t="array" ref="F700">SUM</f>
        <v>#NAME?</v>
      </c>
      <c r="G700" s="1" t="e">
        <f t="array" ref="G700">SUM</f>
        <v>#NAME?</v>
      </c>
      <c r="H700" s="1" t="e">
        <f t="array" ref="H700">SUM</f>
        <v>#NAME?</v>
      </c>
      <c r="I700" s="1" t="e">
        <f t="array" ref="I700">SUM</f>
        <v>#NAME?</v>
      </c>
      <c r="J700" s="1" t="e">
        <f t="array" ref="J700">SUM</f>
        <v>#NAME?</v>
      </c>
      <c r="K700" s="1" t="e">
        <f t="array" ref="K700">SUM</f>
        <v>#NAME?</v>
      </c>
      <c r="L700" s="1" t="e">
        <f t="array" ref="L700">SUM</f>
        <v>#NAME?</v>
      </c>
      <c r="M700" s="1" t="e">
        <f t="array" ref="M700">SUM</f>
        <v>#NAME?</v>
      </c>
      <c r="N700" s="1" t="e">
        <f t="array" ref="N700">SUM</f>
        <v>#NAME?</v>
      </c>
      <c r="O700" t="s">
        <v>31</v>
      </c>
      <c r="P700">
        <v>2020</v>
      </c>
    </row>
    <row r="701" spans="1:16" x14ac:dyDescent="0.25">
      <c r="A701" t="s">
        <v>22</v>
      </c>
      <c r="B701" s="1" t="e">
        <f t="array" ref="B701">SUM</f>
        <v>#NAME?</v>
      </c>
      <c r="C701" s="1" t="e">
        <f t="array" ref="C701">SUM</f>
        <v>#NAME?</v>
      </c>
      <c r="D701" s="1" t="e">
        <f t="array" ref="D701">SUM</f>
        <v>#NAME?</v>
      </c>
      <c r="E701" s="1" t="e">
        <f t="array" ref="E701">SUM</f>
        <v>#NAME?</v>
      </c>
      <c r="F701" s="1" t="e">
        <f t="array" ref="F701">SUM</f>
        <v>#NAME?</v>
      </c>
      <c r="G701" s="1" t="e">
        <f t="array" ref="G701">SUM</f>
        <v>#NAME?</v>
      </c>
      <c r="H701" s="1" t="e">
        <f t="array" ref="H701">SUM</f>
        <v>#NAME?</v>
      </c>
      <c r="I701" s="1" t="e">
        <f t="array" ref="I701">SUM</f>
        <v>#NAME?</v>
      </c>
      <c r="J701" s="1" t="e">
        <f t="array" ref="J701">SUM</f>
        <v>#NAME?</v>
      </c>
      <c r="K701" s="1" t="e">
        <f t="array" ref="K701">SUM</f>
        <v>#NAME?</v>
      </c>
      <c r="L701" s="1" t="e">
        <f t="array" ref="L701">SUM</f>
        <v>#NAME?</v>
      </c>
      <c r="M701" s="1" t="e">
        <f t="array" ref="M701">SUM</f>
        <v>#NAME?</v>
      </c>
      <c r="N701" s="1" t="e">
        <f t="array" ref="N701">SUM</f>
        <v>#NAME?</v>
      </c>
      <c r="O701" t="s">
        <v>32</v>
      </c>
      <c r="P701">
        <v>2020</v>
      </c>
    </row>
    <row r="702" spans="1:16" x14ac:dyDescent="0.25"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</row>
    <row r="703" spans="1:16" x14ac:dyDescent="0.25"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</row>
    <row r="704" spans="1:16" x14ac:dyDescent="0.25"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</row>
    <row r="705" spans="2:14" x14ac:dyDescent="0.25"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</row>
    <row r="706" spans="2:14" x14ac:dyDescent="0.25"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</row>
    <row r="707" spans="2:14" x14ac:dyDescent="0.25"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</row>
    <row r="708" spans="2:14" x14ac:dyDescent="0.25"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</row>
    <row r="709" spans="2:14" x14ac:dyDescent="0.25"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</row>
    <row r="710" spans="2:14" x14ac:dyDescent="0.25"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</row>
    <row r="711" spans="2:14" x14ac:dyDescent="0.25"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</row>
    <row r="712" spans="2:14" x14ac:dyDescent="0.25"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</row>
    <row r="713" spans="2:14" x14ac:dyDescent="0.25"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</row>
    <row r="714" spans="2:14" x14ac:dyDescent="0.25"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</row>
    <row r="715" spans="2:14" x14ac:dyDescent="0.25"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</row>
    <row r="716" spans="2:14" x14ac:dyDescent="0.25"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</row>
    <row r="717" spans="2:14" x14ac:dyDescent="0.25"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</row>
    <row r="718" spans="2:14" x14ac:dyDescent="0.25"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</row>
    <row r="719" spans="2:14" x14ac:dyDescent="0.25"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</row>
    <row r="720" spans="2:14" x14ac:dyDescent="0.25"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</row>
    <row r="721" spans="2:14" x14ac:dyDescent="0.25"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</row>
    <row r="722" spans="2:14" x14ac:dyDescent="0.25"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</row>
    <row r="723" spans="2:14" x14ac:dyDescent="0.25"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</row>
    <row r="724" spans="2:14" x14ac:dyDescent="0.25"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</row>
    <row r="725" spans="2:14" x14ac:dyDescent="0.25"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</row>
    <row r="726" spans="2:14" x14ac:dyDescent="0.25"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</row>
    <row r="727" spans="2:14" x14ac:dyDescent="0.25"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</row>
    <row r="728" spans="2:14" x14ac:dyDescent="0.25"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</row>
    <row r="729" spans="2:14" x14ac:dyDescent="0.25"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</row>
    <row r="730" spans="2:14" x14ac:dyDescent="0.25"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</row>
    <row r="731" spans="2:14" x14ac:dyDescent="0.25"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</row>
    <row r="732" spans="2:14" x14ac:dyDescent="0.25"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</row>
    <row r="733" spans="2:14" x14ac:dyDescent="0.25"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</row>
    <row r="734" spans="2:14" x14ac:dyDescent="0.25"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</row>
    <row r="735" spans="2:14" x14ac:dyDescent="0.25"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</row>
    <row r="736" spans="2:14" x14ac:dyDescent="0.25"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</row>
    <row r="737" spans="2:14" x14ac:dyDescent="0.25"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</row>
    <row r="738" spans="2:14" x14ac:dyDescent="0.25"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</row>
    <row r="739" spans="2:14" x14ac:dyDescent="0.25"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</row>
    <row r="740" spans="2:14" x14ac:dyDescent="0.25"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</row>
    <row r="741" spans="2:14" x14ac:dyDescent="0.25"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</row>
    <row r="742" spans="2:14" x14ac:dyDescent="0.25"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</row>
    <row r="743" spans="2:14" x14ac:dyDescent="0.25"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</row>
    <row r="744" spans="2:14" x14ac:dyDescent="0.25"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</row>
    <row r="745" spans="2:14" x14ac:dyDescent="0.25"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</row>
    <row r="746" spans="2:14" x14ac:dyDescent="0.25"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</row>
    <row r="747" spans="2:14" x14ac:dyDescent="0.25"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</row>
    <row r="748" spans="2:14" x14ac:dyDescent="0.25"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</row>
    <row r="749" spans="2:14" x14ac:dyDescent="0.25"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</row>
    <row r="750" spans="2:14" x14ac:dyDescent="0.25"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</row>
    <row r="751" spans="2:14" x14ac:dyDescent="0.25"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</row>
    <row r="752" spans="2:14" x14ac:dyDescent="0.25"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</row>
    <row r="753" spans="2:14" x14ac:dyDescent="0.25"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</row>
    <row r="754" spans="2:14" x14ac:dyDescent="0.25"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</row>
    <row r="755" spans="2:14" x14ac:dyDescent="0.25"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</row>
    <row r="756" spans="2:14" x14ac:dyDescent="0.25"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</row>
    <row r="757" spans="2:14" x14ac:dyDescent="0.25"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</row>
    <row r="758" spans="2:14" x14ac:dyDescent="0.25"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</row>
    <row r="759" spans="2:14" x14ac:dyDescent="0.25"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</row>
    <row r="760" spans="2:14" x14ac:dyDescent="0.25"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</row>
    <row r="761" spans="2:14" x14ac:dyDescent="0.25"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</row>
    <row r="762" spans="2:14" x14ac:dyDescent="0.25"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</row>
    <row r="763" spans="2:14" x14ac:dyDescent="0.25"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</row>
    <row r="764" spans="2:14" x14ac:dyDescent="0.25"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</row>
    <row r="765" spans="2:14" x14ac:dyDescent="0.25"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SecureDocument</vt:lpstr>
      <vt:lpstr>SecureDocument1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2021-03-08T21:21:46Z</dcterms:created>
  <dcterms:modified xsi:type="dcterms:W3CDTF">2021-06-01T07:39:35Z</dcterms:modified>
</cp:coreProperties>
</file>