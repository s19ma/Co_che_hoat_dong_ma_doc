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vmware-host\Shared Folders\git\excel4-tests\samples\Auto\"/>
    </mc:Choice>
  </mc:AlternateContent>
  <xr:revisionPtr revIDLastSave="0" documentId="13_ncr:1_{09A98237-62AB-42AA-89E3-3C67D22E245F}" xr6:coauthVersionLast="46" xr6:coauthVersionMax="46" xr10:uidLastSave="{00000000-0000-0000-0000-000000000000}"/>
  <bookViews>
    <workbookView xWindow="2850" yWindow="2850" windowWidth="21600" windowHeight="11385" xr2:uid="{BAD1F546-FFB9-488D-B4D5-D17B7A6B1702}"/>
  </bookViews>
  <sheets>
    <sheet name="SecureDocument" sheetId="1" r:id="rId1"/>
    <sheet name="SecureDocument1" sheetId="2" r:id="rId2"/>
  </sheets>
  <definedNames>
    <definedName name="ItsFine">SecureDocument1!$BD$1</definedName>
    <definedName name="n">43</definedName>
    <definedName name="Stuffy">SecureDocument1!$A$1</definedName>
    <definedName name="StuffyStuff">SecureDocument1!$A$4</definedName>
    <definedName name="x">1000</definedName>
    <definedName name="y">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0" i="1" l="1"/>
  <c r="F210" i="1"/>
  <c r="C210" i="1"/>
  <c r="D210" i="1" s="1"/>
  <c r="E210" i="1" s="1"/>
  <c r="H209" i="1"/>
  <c r="F209" i="1"/>
  <c r="C209" i="1"/>
  <c r="D209" i="1" s="1"/>
  <c r="H208" i="1"/>
  <c r="F208" i="1"/>
  <c r="C208" i="1"/>
  <c r="D208" i="1" s="1"/>
  <c r="H207" i="1"/>
  <c r="F207" i="1"/>
  <c r="C207" i="1"/>
  <c r="D207" i="1" s="1"/>
  <c r="H206" i="1"/>
  <c r="F206" i="1"/>
  <c r="C206" i="1"/>
  <c r="D206" i="1" s="1"/>
  <c r="H205" i="1"/>
  <c r="F205" i="1"/>
  <c r="C205" i="1"/>
  <c r="D205" i="1" s="1"/>
  <c r="E205" i="1" s="1"/>
  <c r="H204" i="1"/>
  <c r="F204" i="1"/>
  <c r="C204" i="1"/>
  <c r="D204" i="1" s="1"/>
  <c r="H203" i="1"/>
  <c r="F203" i="1"/>
  <c r="C203" i="1"/>
  <c r="D203" i="1" s="1"/>
  <c r="H202" i="1"/>
  <c r="F202" i="1"/>
  <c r="C202" i="1"/>
  <c r="D202" i="1" s="1"/>
  <c r="H201" i="1"/>
  <c r="F201" i="1"/>
  <c r="C201" i="1"/>
  <c r="D201" i="1" s="1"/>
  <c r="H200" i="1"/>
  <c r="F200" i="1"/>
  <c r="C200" i="1"/>
  <c r="D200" i="1" s="1"/>
  <c r="H199" i="1"/>
  <c r="F199" i="1"/>
  <c r="C199" i="1"/>
  <c r="D199" i="1" s="1"/>
  <c r="E199" i="1" s="1"/>
  <c r="H198" i="1"/>
  <c r="F198" i="1"/>
  <c r="C198" i="1"/>
  <c r="D198" i="1" s="1"/>
  <c r="H197" i="1"/>
  <c r="F197" i="1"/>
  <c r="C197" i="1"/>
  <c r="D197" i="1" s="1"/>
  <c r="H196" i="1"/>
  <c r="F196" i="1"/>
  <c r="C196" i="1"/>
  <c r="D196" i="1" s="1"/>
  <c r="H195" i="1"/>
  <c r="F195" i="1"/>
  <c r="C195" i="1"/>
  <c r="D195" i="1" s="1"/>
  <c r="H194" i="1"/>
  <c r="F194" i="1"/>
  <c r="C194" i="1"/>
  <c r="D194" i="1" s="1"/>
  <c r="H193" i="1"/>
  <c r="F193" i="1"/>
  <c r="C193" i="1"/>
  <c r="D193" i="1" s="1"/>
  <c r="H192" i="1"/>
  <c r="F192" i="1"/>
  <c r="C192" i="1"/>
  <c r="D192" i="1" s="1"/>
  <c r="E192" i="1" s="1"/>
  <c r="H191" i="1"/>
  <c r="F191" i="1"/>
  <c r="C191" i="1"/>
  <c r="D191" i="1" s="1"/>
  <c r="H190" i="1"/>
  <c r="F190" i="1"/>
  <c r="C190" i="1"/>
  <c r="D190" i="1" s="1"/>
  <c r="E190" i="1" s="1"/>
  <c r="H189" i="1"/>
  <c r="F189" i="1"/>
  <c r="C189" i="1"/>
  <c r="D189" i="1" s="1"/>
  <c r="E189" i="1" s="1"/>
  <c r="H188" i="1"/>
  <c r="F188" i="1"/>
  <c r="C188" i="1"/>
  <c r="D188" i="1" s="1"/>
  <c r="E188" i="1" s="1"/>
  <c r="H187" i="1"/>
  <c r="F187" i="1"/>
  <c r="C187" i="1"/>
  <c r="D187" i="1" s="1"/>
  <c r="H186" i="1"/>
  <c r="F186" i="1"/>
  <c r="C186" i="1"/>
  <c r="D186" i="1" s="1"/>
  <c r="E186" i="1" s="1"/>
  <c r="H185" i="1"/>
  <c r="F185" i="1"/>
  <c r="C185" i="1"/>
  <c r="D185" i="1" s="1"/>
  <c r="H184" i="1"/>
  <c r="F184" i="1"/>
  <c r="C184" i="1"/>
  <c r="D184" i="1" s="1"/>
  <c r="E184" i="1" s="1"/>
  <c r="H183" i="1"/>
  <c r="F183" i="1"/>
  <c r="C183" i="1"/>
  <c r="D183" i="1" s="1"/>
  <c r="E183" i="1" s="1"/>
  <c r="H182" i="1"/>
  <c r="F182" i="1"/>
  <c r="C182" i="1"/>
  <c r="D182" i="1" s="1"/>
  <c r="E182" i="1" s="1"/>
  <c r="H181" i="1"/>
  <c r="F181" i="1"/>
  <c r="C181" i="1"/>
  <c r="D181" i="1" s="1"/>
  <c r="H180" i="1"/>
  <c r="F180" i="1"/>
  <c r="C180" i="1"/>
  <c r="D180" i="1" s="1"/>
  <c r="E180" i="1" s="1"/>
  <c r="H179" i="1"/>
  <c r="F179" i="1"/>
  <c r="C179" i="1"/>
  <c r="D179" i="1" s="1"/>
  <c r="H178" i="1"/>
  <c r="F178" i="1"/>
  <c r="C178" i="1"/>
  <c r="D178" i="1" s="1"/>
  <c r="E178" i="1" s="1"/>
  <c r="H177" i="1"/>
  <c r="F177" i="1"/>
  <c r="C177" i="1"/>
  <c r="D177" i="1" s="1"/>
  <c r="H176" i="1"/>
  <c r="F176" i="1"/>
  <c r="C176" i="1"/>
  <c r="D176" i="1" s="1"/>
  <c r="H175" i="1"/>
  <c r="F175" i="1"/>
  <c r="C175" i="1"/>
  <c r="D175" i="1" s="1"/>
  <c r="H174" i="1"/>
  <c r="F174" i="1"/>
  <c r="C174" i="1"/>
  <c r="D174" i="1" s="1"/>
  <c r="H173" i="1"/>
  <c r="F173" i="1"/>
  <c r="C173" i="1"/>
  <c r="D173" i="1" s="1"/>
  <c r="E173" i="1" s="1"/>
  <c r="H172" i="1"/>
  <c r="F172" i="1"/>
  <c r="C172" i="1"/>
  <c r="D172" i="1" s="1"/>
  <c r="H171" i="1"/>
  <c r="F171" i="1"/>
  <c r="C171" i="1"/>
  <c r="D171" i="1" s="1"/>
  <c r="H170" i="1"/>
  <c r="F170" i="1"/>
  <c r="C170" i="1"/>
  <c r="D170" i="1" s="1"/>
  <c r="H169" i="1"/>
  <c r="F169" i="1"/>
  <c r="C169" i="1"/>
  <c r="D169" i="1" s="1"/>
  <c r="H168" i="1"/>
  <c r="F168" i="1"/>
  <c r="C168" i="1"/>
  <c r="D168" i="1" s="1"/>
  <c r="H167" i="1"/>
  <c r="F167" i="1"/>
  <c r="C167" i="1"/>
  <c r="D167" i="1" s="1"/>
  <c r="E167" i="1" s="1"/>
  <c r="H166" i="1"/>
  <c r="F166" i="1"/>
  <c r="C166" i="1"/>
  <c r="D166" i="1" s="1"/>
  <c r="H165" i="1"/>
  <c r="F165" i="1"/>
  <c r="C165" i="1"/>
  <c r="D165" i="1" s="1"/>
  <c r="H164" i="1"/>
  <c r="F164" i="1"/>
  <c r="C164" i="1"/>
  <c r="D164" i="1" s="1"/>
  <c r="H163" i="1"/>
  <c r="F163" i="1"/>
  <c r="C163" i="1"/>
  <c r="D163" i="1" s="1"/>
  <c r="H162" i="1"/>
  <c r="F162" i="1"/>
  <c r="C162" i="1"/>
  <c r="D162" i="1" s="1"/>
  <c r="H161" i="1"/>
  <c r="F161" i="1"/>
  <c r="C161" i="1"/>
  <c r="D161" i="1" s="1"/>
  <c r="H160" i="1"/>
  <c r="F160" i="1"/>
  <c r="C160" i="1"/>
  <c r="D160" i="1" s="1"/>
  <c r="E160" i="1" s="1"/>
  <c r="H159" i="1"/>
  <c r="F159" i="1"/>
  <c r="C159" i="1"/>
  <c r="D159" i="1" s="1"/>
  <c r="H158" i="1"/>
  <c r="F158" i="1"/>
  <c r="C158" i="1"/>
  <c r="D158" i="1" s="1"/>
  <c r="E158" i="1" s="1"/>
  <c r="H157" i="1"/>
  <c r="F157" i="1"/>
  <c r="C157" i="1"/>
  <c r="D157" i="1" s="1"/>
  <c r="E157" i="1" s="1"/>
  <c r="H156" i="1"/>
  <c r="F156" i="1"/>
  <c r="C156" i="1"/>
  <c r="D156" i="1" s="1"/>
  <c r="E156" i="1" s="1"/>
  <c r="H155" i="1"/>
  <c r="F155" i="1"/>
  <c r="C155" i="1"/>
  <c r="D155" i="1" s="1"/>
  <c r="H154" i="1"/>
  <c r="F154" i="1"/>
  <c r="C154" i="1"/>
  <c r="D154" i="1" s="1"/>
  <c r="H153" i="1"/>
  <c r="F153" i="1"/>
  <c r="C153" i="1"/>
  <c r="D153" i="1" s="1"/>
  <c r="E153" i="1" s="1"/>
  <c r="H152" i="1"/>
  <c r="F152" i="1"/>
  <c r="C152" i="1"/>
  <c r="D152" i="1" s="1"/>
  <c r="H151" i="1"/>
  <c r="F151" i="1"/>
  <c r="C151" i="1"/>
  <c r="D151" i="1" s="1"/>
  <c r="E151" i="1" s="1"/>
  <c r="H150" i="1"/>
  <c r="F150" i="1"/>
  <c r="C150" i="1"/>
  <c r="D150" i="1" s="1"/>
  <c r="E150" i="1" s="1"/>
  <c r="H149" i="1"/>
  <c r="F149" i="1"/>
  <c r="C149" i="1"/>
  <c r="D149" i="1" s="1"/>
  <c r="E149" i="1" s="1"/>
  <c r="H148" i="1"/>
  <c r="F148" i="1"/>
  <c r="C148" i="1"/>
  <c r="D148" i="1" s="1"/>
  <c r="H147" i="1"/>
  <c r="F147" i="1"/>
  <c r="C147" i="1"/>
  <c r="D147" i="1" s="1"/>
  <c r="E147" i="1" s="1"/>
  <c r="H146" i="1"/>
  <c r="F146" i="1"/>
  <c r="C146" i="1"/>
  <c r="D146" i="1" s="1"/>
  <c r="H145" i="1"/>
  <c r="F145" i="1"/>
  <c r="C145" i="1"/>
  <c r="D145" i="1" s="1"/>
  <c r="E145" i="1" s="1"/>
  <c r="H144" i="1"/>
  <c r="F144" i="1"/>
  <c r="C144" i="1"/>
  <c r="D144" i="1" s="1"/>
  <c r="H143" i="1"/>
  <c r="F143" i="1"/>
  <c r="C143" i="1"/>
  <c r="D143" i="1" s="1"/>
  <c r="E143" i="1" s="1"/>
  <c r="H142" i="1"/>
  <c r="F142" i="1"/>
  <c r="C142" i="1"/>
  <c r="D142" i="1" s="1"/>
  <c r="H141" i="1"/>
  <c r="F141" i="1"/>
  <c r="C141" i="1"/>
  <c r="D141" i="1" s="1"/>
  <c r="E141" i="1" s="1"/>
  <c r="H140" i="1"/>
  <c r="F140" i="1"/>
  <c r="C140" i="1"/>
  <c r="D140" i="1" s="1"/>
  <c r="H139" i="1"/>
  <c r="F139" i="1"/>
  <c r="C139" i="1"/>
  <c r="D139" i="1" s="1"/>
  <c r="E139" i="1" s="1"/>
  <c r="H138" i="1"/>
  <c r="F138" i="1"/>
  <c r="C138" i="1"/>
  <c r="D138" i="1" s="1"/>
  <c r="H137" i="1"/>
  <c r="F137" i="1"/>
  <c r="C137" i="1"/>
  <c r="D137" i="1" s="1"/>
  <c r="E137" i="1" s="1"/>
  <c r="H136" i="1"/>
  <c r="F136" i="1"/>
  <c r="C136" i="1"/>
  <c r="D136" i="1" s="1"/>
  <c r="H135" i="1"/>
  <c r="F135" i="1"/>
  <c r="C135" i="1"/>
  <c r="D135" i="1" s="1"/>
  <c r="E135" i="1" s="1"/>
  <c r="H134" i="1"/>
  <c r="F134" i="1"/>
  <c r="C134" i="1"/>
  <c r="D134" i="1" s="1"/>
  <c r="H133" i="1"/>
  <c r="F133" i="1"/>
  <c r="C133" i="1"/>
  <c r="D133" i="1" s="1"/>
  <c r="E133" i="1" s="1"/>
  <c r="H132" i="1"/>
  <c r="F132" i="1"/>
  <c r="C132" i="1"/>
  <c r="D132" i="1" s="1"/>
  <c r="H131" i="1"/>
  <c r="F131" i="1"/>
  <c r="C131" i="1"/>
  <c r="D131" i="1" s="1"/>
  <c r="E131" i="1" s="1"/>
  <c r="H130" i="1"/>
  <c r="F130" i="1"/>
  <c r="C130" i="1"/>
  <c r="D130" i="1" s="1"/>
  <c r="H129" i="1"/>
  <c r="F129" i="1"/>
  <c r="C129" i="1"/>
  <c r="D129" i="1" s="1"/>
  <c r="E129" i="1" s="1"/>
  <c r="H128" i="1"/>
  <c r="F128" i="1"/>
  <c r="C128" i="1"/>
  <c r="D128" i="1" s="1"/>
  <c r="H127" i="1"/>
  <c r="F127" i="1"/>
  <c r="C127" i="1"/>
  <c r="D127" i="1" s="1"/>
  <c r="E127" i="1" s="1"/>
  <c r="H126" i="1"/>
  <c r="F126" i="1"/>
  <c r="C126" i="1"/>
  <c r="D126" i="1" s="1"/>
  <c r="H125" i="1"/>
  <c r="F125" i="1"/>
  <c r="C125" i="1"/>
  <c r="D125" i="1" s="1"/>
  <c r="E125" i="1" s="1"/>
  <c r="H124" i="1"/>
  <c r="F124" i="1"/>
  <c r="C124" i="1"/>
  <c r="D124" i="1" s="1"/>
  <c r="E124" i="1" s="1"/>
  <c r="H123" i="1"/>
  <c r="F123" i="1"/>
  <c r="C123" i="1"/>
  <c r="D123" i="1" s="1"/>
  <c r="E123" i="1" s="1"/>
  <c r="H122" i="1"/>
  <c r="F122" i="1"/>
  <c r="C122" i="1"/>
  <c r="D122" i="1" s="1"/>
  <c r="H121" i="1"/>
  <c r="F121" i="1"/>
  <c r="C121" i="1"/>
  <c r="D121" i="1" s="1"/>
  <c r="E121" i="1" s="1"/>
  <c r="H120" i="1"/>
  <c r="F120" i="1"/>
  <c r="C120" i="1"/>
  <c r="D120" i="1" s="1"/>
  <c r="H119" i="1"/>
  <c r="F119" i="1"/>
  <c r="C119" i="1"/>
  <c r="D119" i="1" s="1"/>
  <c r="E119" i="1" s="1"/>
  <c r="H118" i="1"/>
  <c r="F118" i="1"/>
  <c r="C118" i="1"/>
  <c r="D118" i="1" s="1"/>
  <c r="E118" i="1" s="1"/>
  <c r="H117" i="1"/>
  <c r="F117" i="1"/>
  <c r="C117" i="1"/>
  <c r="D117" i="1" s="1"/>
  <c r="E117" i="1" s="1"/>
  <c r="H116" i="1"/>
  <c r="F116" i="1"/>
  <c r="C116" i="1"/>
  <c r="D116" i="1" s="1"/>
  <c r="H115" i="1"/>
  <c r="F115" i="1"/>
  <c r="C115" i="1"/>
  <c r="D115" i="1" s="1"/>
  <c r="E115" i="1" s="1"/>
  <c r="H114" i="1"/>
  <c r="F114" i="1"/>
  <c r="C114" i="1"/>
  <c r="D114" i="1" s="1"/>
  <c r="H113" i="1"/>
  <c r="F113" i="1"/>
  <c r="C113" i="1"/>
  <c r="D113" i="1" s="1"/>
  <c r="E113" i="1" s="1"/>
  <c r="H112" i="1"/>
  <c r="F112" i="1"/>
  <c r="C112" i="1"/>
  <c r="D112" i="1" s="1"/>
  <c r="H111" i="1"/>
  <c r="F111" i="1"/>
  <c r="C111" i="1"/>
  <c r="D111" i="1" s="1"/>
  <c r="E111" i="1" s="1"/>
  <c r="H110" i="1"/>
  <c r="F110" i="1"/>
  <c r="C110" i="1"/>
  <c r="D110" i="1" s="1"/>
  <c r="H109" i="1"/>
  <c r="F109" i="1"/>
  <c r="C109" i="1"/>
  <c r="D109" i="1" s="1"/>
  <c r="E109" i="1" s="1"/>
  <c r="H108" i="1"/>
  <c r="F108" i="1"/>
  <c r="C108" i="1"/>
  <c r="D108" i="1" s="1"/>
  <c r="H107" i="1"/>
  <c r="F107" i="1"/>
  <c r="C107" i="1"/>
  <c r="D107" i="1" s="1"/>
  <c r="E107" i="1" s="1"/>
  <c r="H106" i="1"/>
  <c r="F106" i="1"/>
  <c r="C106" i="1"/>
  <c r="D106" i="1" s="1"/>
  <c r="H105" i="1"/>
  <c r="F105" i="1"/>
  <c r="C105" i="1"/>
  <c r="D105" i="1" s="1"/>
  <c r="E105" i="1" s="1"/>
  <c r="H104" i="1"/>
  <c r="F104" i="1"/>
  <c r="C104" i="1"/>
  <c r="D104" i="1" s="1"/>
  <c r="H103" i="1"/>
  <c r="F103" i="1"/>
  <c r="C103" i="1"/>
  <c r="D103" i="1" s="1"/>
  <c r="E103" i="1" s="1"/>
  <c r="H102" i="1"/>
  <c r="F102" i="1"/>
  <c r="C102" i="1"/>
  <c r="D102" i="1" s="1"/>
  <c r="H101" i="1"/>
  <c r="F101" i="1"/>
  <c r="C101" i="1"/>
  <c r="D101" i="1" s="1"/>
  <c r="E101" i="1" s="1"/>
  <c r="H100" i="1"/>
  <c r="F100" i="1"/>
  <c r="C100" i="1"/>
  <c r="D100" i="1" s="1"/>
  <c r="H99" i="1"/>
  <c r="F99" i="1"/>
  <c r="C99" i="1"/>
  <c r="D99" i="1" s="1"/>
  <c r="E99" i="1" s="1"/>
  <c r="H98" i="1"/>
  <c r="F98" i="1"/>
  <c r="C98" i="1"/>
  <c r="D98" i="1" s="1"/>
  <c r="H97" i="1"/>
  <c r="F97" i="1"/>
  <c r="C97" i="1"/>
  <c r="D97" i="1" s="1"/>
  <c r="E97" i="1" s="1"/>
  <c r="H96" i="1"/>
  <c r="F96" i="1"/>
  <c r="C96" i="1"/>
  <c r="D96" i="1" s="1"/>
  <c r="H95" i="1"/>
  <c r="F95" i="1"/>
  <c r="C95" i="1"/>
  <c r="D95" i="1" s="1"/>
  <c r="E95" i="1" s="1"/>
  <c r="H94" i="1"/>
  <c r="F94" i="1"/>
  <c r="C94" i="1"/>
  <c r="D94" i="1" s="1"/>
  <c r="H93" i="1"/>
  <c r="F93" i="1"/>
  <c r="C93" i="1"/>
  <c r="D93" i="1" s="1"/>
  <c r="E93" i="1" s="1"/>
  <c r="H92" i="1"/>
  <c r="F92" i="1"/>
  <c r="C92" i="1"/>
  <c r="D92" i="1" s="1"/>
  <c r="E92" i="1" s="1"/>
  <c r="H91" i="1"/>
  <c r="F91" i="1"/>
  <c r="C91" i="1"/>
  <c r="D91" i="1" s="1"/>
  <c r="E91" i="1" s="1"/>
  <c r="H90" i="1"/>
  <c r="F90" i="1"/>
  <c r="C90" i="1"/>
  <c r="D90" i="1" s="1"/>
  <c r="H89" i="1"/>
  <c r="F89" i="1"/>
  <c r="C89" i="1"/>
  <c r="D89" i="1" s="1"/>
  <c r="E89" i="1" s="1"/>
  <c r="H88" i="1"/>
  <c r="F88" i="1"/>
  <c r="C88" i="1"/>
  <c r="D88" i="1" s="1"/>
  <c r="H87" i="1"/>
  <c r="F87" i="1"/>
  <c r="C87" i="1"/>
  <c r="D87" i="1" s="1"/>
  <c r="E87" i="1" s="1"/>
  <c r="H86" i="1"/>
  <c r="F86" i="1"/>
  <c r="C86" i="1"/>
  <c r="D86" i="1" s="1"/>
  <c r="E86" i="1" s="1"/>
  <c r="H85" i="1"/>
  <c r="F85" i="1"/>
  <c r="C85" i="1"/>
  <c r="D85" i="1" s="1"/>
  <c r="E85" i="1" s="1"/>
  <c r="H84" i="1"/>
  <c r="F84" i="1"/>
  <c r="C84" i="1"/>
  <c r="D84" i="1" s="1"/>
  <c r="H83" i="1"/>
  <c r="F83" i="1"/>
  <c r="C83" i="1"/>
  <c r="D83" i="1" s="1"/>
  <c r="E83" i="1" s="1"/>
  <c r="H82" i="1"/>
  <c r="F82" i="1"/>
  <c r="C82" i="1"/>
  <c r="D82" i="1" s="1"/>
  <c r="H81" i="1"/>
  <c r="F81" i="1"/>
  <c r="C81" i="1"/>
  <c r="D81" i="1" s="1"/>
  <c r="E81" i="1" s="1"/>
  <c r="H80" i="1"/>
  <c r="F80" i="1"/>
  <c r="C80" i="1"/>
  <c r="D80" i="1" s="1"/>
  <c r="H79" i="1"/>
  <c r="F79" i="1"/>
  <c r="C79" i="1"/>
  <c r="D79" i="1" s="1"/>
  <c r="E79" i="1" s="1"/>
  <c r="H78" i="1"/>
  <c r="F78" i="1"/>
  <c r="C78" i="1"/>
  <c r="D78" i="1" s="1"/>
  <c r="H77" i="1"/>
  <c r="F77" i="1"/>
  <c r="C77" i="1"/>
  <c r="D77" i="1" s="1"/>
  <c r="E77" i="1" s="1"/>
  <c r="H76" i="1"/>
  <c r="F76" i="1"/>
  <c r="C76" i="1"/>
  <c r="D76" i="1" s="1"/>
  <c r="H75" i="1"/>
  <c r="F75" i="1"/>
  <c r="C75" i="1"/>
  <c r="D75" i="1" s="1"/>
  <c r="E75" i="1" s="1"/>
  <c r="H74" i="1"/>
  <c r="F74" i="1"/>
  <c r="C74" i="1"/>
  <c r="D74" i="1" s="1"/>
  <c r="H73" i="1"/>
  <c r="F73" i="1"/>
  <c r="C73" i="1"/>
  <c r="D73" i="1" s="1"/>
  <c r="E73" i="1" s="1"/>
  <c r="H72" i="1"/>
  <c r="F72" i="1"/>
  <c r="C72" i="1"/>
  <c r="D72" i="1" s="1"/>
  <c r="H71" i="1"/>
  <c r="F71" i="1"/>
  <c r="C71" i="1"/>
  <c r="D71" i="1" s="1"/>
  <c r="E71" i="1" s="1"/>
  <c r="H70" i="1"/>
  <c r="F70" i="1"/>
  <c r="C70" i="1"/>
  <c r="D70" i="1" s="1"/>
  <c r="H69" i="1"/>
  <c r="F69" i="1"/>
  <c r="C69" i="1"/>
  <c r="D69" i="1" s="1"/>
  <c r="E69" i="1" s="1"/>
  <c r="H68" i="1"/>
  <c r="F68" i="1"/>
  <c r="C68" i="1"/>
  <c r="D68" i="1" s="1"/>
  <c r="H67" i="1"/>
  <c r="F67" i="1"/>
  <c r="C67" i="1"/>
  <c r="D67" i="1" s="1"/>
  <c r="E67" i="1" s="1"/>
  <c r="H66" i="1"/>
  <c r="F66" i="1"/>
  <c r="C66" i="1"/>
  <c r="D66" i="1" s="1"/>
  <c r="H65" i="1"/>
  <c r="F65" i="1"/>
  <c r="C65" i="1"/>
  <c r="D65" i="1" s="1"/>
  <c r="E65" i="1" s="1"/>
  <c r="H64" i="1"/>
  <c r="F64" i="1"/>
  <c r="C64" i="1"/>
  <c r="D64" i="1" s="1"/>
  <c r="H63" i="1"/>
  <c r="F63" i="1"/>
  <c r="C63" i="1"/>
  <c r="D63" i="1" s="1"/>
  <c r="E63" i="1" s="1"/>
  <c r="H62" i="1"/>
  <c r="F62" i="1"/>
  <c r="C62" i="1"/>
  <c r="D62" i="1" s="1"/>
  <c r="H61" i="1"/>
  <c r="F61" i="1"/>
  <c r="C61" i="1"/>
  <c r="D61" i="1" s="1"/>
  <c r="E61" i="1" s="1"/>
  <c r="H60" i="1"/>
  <c r="F60" i="1"/>
  <c r="C60" i="1"/>
  <c r="D60" i="1" s="1"/>
  <c r="H59" i="1"/>
  <c r="F59" i="1"/>
  <c r="C59" i="1"/>
  <c r="D59" i="1" s="1"/>
  <c r="E59" i="1" s="1"/>
  <c r="H58" i="1"/>
  <c r="F58" i="1"/>
  <c r="C58" i="1"/>
  <c r="D58" i="1" s="1"/>
  <c r="H57" i="1"/>
  <c r="F57" i="1"/>
  <c r="C57" i="1"/>
  <c r="D57" i="1" s="1"/>
  <c r="E57" i="1" s="1"/>
  <c r="H56" i="1"/>
  <c r="F56" i="1"/>
  <c r="C56" i="1"/>
  <c r="D56" i="1" s="1"/>
  <c r="H55" i="1"/>
  <c r="F55" i="1"/>
  <c r="C55" i="1"/>
  <c r="D55" i="1" s="1"/>
  <c r="E55" i="1" s="1"/>
  <c r="H54" i="1"/>
  <c r="F54" i="1"/>
  <c r="C54" i="1"/>
  <c r="D54" i="1" s="1"/>
  <c r="H53" i="1"/>
  <c r="F53" i="1"/>
  <c r="C53" i="1"/>
  <c r="D53" i="1" s="1"/>
  <c r="E53" i="1" s="1"/>
  <c r="H52" i="1"/>
  <c r="F52" i="1"/>
  <c r="C52" i="1"/>
  <c r="D52" i="1" s="1"/>
  <c r="H51" i="1"/>
  <c r="F51" i="1"/>
  <c r="C51" i="1"/>
  <c r="D51" i="1" s="1"/>
  <c r="E51" i="1" s="1"/>
  <c r="H50" i="1"/>
  <c r="F50" i="1"/>
  <c r="C50" i="1"/>
  <c r="D50" i="1" s="1"/>
  <c r="H49" i="1"/>
  <c r="F49" i="1"/>
  <c r="C49" i="1"/>
  <c r="D49" i="1" s="1"/>
  <c r="E49" i="1" s="1"/>
  <c r="H48" i="1"/>
  <c r="F48" i="1"/>
  <c r="C48" i="1"/>
  <c r="D48" i="1" s="1"/>
  <c r="H47" i="1"/>
  <c r="F47" i="1"/>
  <c r="C47" i="1"/>
  <c r="D47" i="1" s="1"/>
  <c r="E47" i="1" s="1"/>
  <c r="H46" i="1"/>
  <c r="F46" i="1"/>
  <c r="C46" i="1"/>
  <c r="D46" i="1" s="1"/>
  <c r="H45" i="1"/>
  <c r="F45" i="1"/>
  <c r="C45" i="1"/>
  <c r="D45" i="1" s="1"/>
  <c r="E45" i="1" s="1"/>
  <c r="H44" i="1"/>
  <c r="F44" i="1"/>
  <c r="C44" i="1"/>
  <c r="D44" i="1" s="1"/>
  <c r="H43" i="1"/>
  <c r="F43" i="1"/>
  <c r="C43" i="1"/>
  <c r="D43" i="1" s="1"/>
  <c r="E43" i="1" s="1"/>
  <c r="H42" i="1"/>
  <c r="F42" i="1"/>
  <c r="C42" i="1"/>
  <c r="D42" i="1" s="1"/>
  <c r="H41" i="1"/>
  <c r="F41" i="1"/>
  <c r="C41" i="1"/>
  <c r="D41" i="1" s="1"/>
  <c r="E41" i="1" s="1"/>
  <c r="H40" i="1"/>
  <c r="F40" i="1"/>
  <c r="C40" i="1"/>
  <c r="D40" i="1" s="1"/>
  <c r="H39" i="1"/>
  <c r="F39" i="1"/>
  <c r="C39" i="1"/>
  <c r="D39" i="1" s="1"/>
  <c r="E39" i="1" s="1"/>
  <c r="H38" i="1"/>
  <c r="F38" i="1"/>
  <c r="C38" i="1"/>
  <c r="D38" i="1" s="1"/>
  <c r="H37" i="1"/>
  <c r="F37" i="1"/>
  <c r="C37" i="1"/>
  <c r="D37" i="1" s="1"/>
  <c r="E37" i="1" s="1"/>
  <c r="H36" i="1"/>
  <c r="F36" i="1"/>
  <c r="C36" i="1"/>
  <c r="D36" i="1" s="1"/>
  <c r="H35" i="1"/>
  <c r="F35" i="1"/>
  <c r="C35" i="1"/>
  <c r="D35" i="1" s="1"/>
  <c r="E35" i="1" s="1"/>
  <c r="H34" i="1"/>
  <c r="F34" i="1"/>
  <c r="C34" i="1"/>
  <c r="D34" i="1" s="1"/>
  <c r="H33" i="1"/>
  <c r="F33" i="1"/>
  <c r="C33" i="1"/>
  <c r="D33" i="1" s="1"/>
  <c r="E33" i="1" s="1"/>
  <c r="H32" i="1"/>
  <c r="F32" i="1"/>
  <c r="C32" i="1"/>
  <c r="D32" i="1" s="1"/>
  <c r="H31" i="1"/>
  <c r="F31" i="1"/>
  <c r="C31" i="1"/>
  <c r="D31" i="1" s="1"/>
  <c r="E31" i="1" s="1"/>
  <c r="H30" i="1"/>
  <c r="F30" i="1"/>
  <c r="C30" i="1"/>
  <c r="D30" i="1" s="1"/>
  <c r="H29" i="1"/>
  <c r="F29" i="1"/>
  <c r="C29" i="1"/>
  <c r="D29" i="1" s="1"/>
  <c r="E29" i="1" s="1"/>
  <c r="H28" i="1"/>
  <c r="F28" i="1"/>
  <c r="C28" i="1"/>
  <c r="D28" i="1" s="1"/>
  <c r="H27" i="1"/>
  <c r="F27" i="1"/>
  <c r="C27" i="1"/>
  <c r="D27" i="1" s="1"/>
  <c r="E27" i="1" s="1"/>
  <c r="H26" i="1"/>
  <c r="F26" i="1"/>
  <c r="C26" i="1"/>
  <c r="D26" i="1" s="1"/>
  <c r="H25" i="1"/>
  <c r="F25" i="1"/>
  <c r="C25" i="1"/>
  <c r="D25" i="1" s="1"/>
  <c r="E25" i="1" s="1"/>
  <c r="H24" i="1"/>
  <c r="F24" i="1"/>
  <c r="C24" i="1"/>
  <c r="D24" i="1" s="1"/>
  <c r="H23" i="1"/>
  <c r="F23" i="1"/>
  <c r="C23" i="1"/>
  <c r="D23" i="1" s="1"/>
  <c r="E23" i="1" s="1"/>
  <c r="H22" i="1"/>
  <c r="F22" i="1"/>
  <c r="C22" i="1"/>
  <c r="D22" i="1" s="1"/>
  <c r="H21" i="1"/>
  <c r="F21" i="1"/>
  <c r="C21" i="1"/>
  <c r="D21" i="1" s="1"/>
  <c r="E21" i="1" s="1"/>
  <c r="H20" i="1"/>
  <c r="F20" i="1"/>
  <c r="C20" i="1"/>
  <c r="D20" i="1" s="1"/>
  <c r="H19" i="1"/>
  <c r="F19" i="1"/>
  <c r="C19" i="1"/>
  <c r="D19" i="1" s="1"/>
  <c r="E19" i="1" s="1"/>
  <c r="H18" i="1"/>
  <c r="F18" i="1"/>
  <c r="C18" i="1"/>
  <c r="D18" i="1" s="1"/>
  <c r="H17" i="1"/>
  <c r="F17" i="1"/>
  <c r="C17" i="1"/>
  <c r="D17" i="1" s="1"/>
  <c r="E17" i="1" s="1"/>
  <c r="H16" i="1"/>
  <c r="F16" i="1"/>
  <c r="C16" i="1"/>
  <c r="D16" i="1" s="1"/>
  <c r="H15" i="1"/>
  <c r="F15" i="1"/>
  <c r="C15" i="1"/>
  <c r="D15" i="1" s="1"/>
  <c r="E15" i="1" s="1"/>
  <c r="H14" i="1"/>
  <c r="F14" i="1"/>
  <c r="C14" i="1"/>
  <c r="D14" i="1" s="1"/>
  <c r="H13" i="1"/>
  <c r="F13" i="1"/>
  <c r="C13" i="1"/>
  <c r="D13" i="1" s="1"/>
  <c r="E13" i="1" s="1"/>
  <c r="H12" i="1"/>
  <c r="F12" i="1"/>
  <c r="C12" i="1"/>
  <c r="D12" i="1" s="1"/>
  <c r="H11" i="1"/>
  <c r="F11" i="1"/>
  <c r="C11" i="1"/>
  <c r="D11" i="1" s="1"/>
  <c r="E11" i="1" s="1"/>
  <c r="H10" i="1"/>
  <c r="F10" i="1"/>
  <c r="C10" i="1"/>
  <c r="D10" i="1" s="1"/>
  <c r="H9" i="1"/>
  <c r="F9" i="1"/>
  <c r="C9" i="1"/>
  <c r="D9" i="1" s="1"/>
  <c r="E9" i="1" s="1"/>
  <c r="H8" i="1"/>
  <c r="F8" i="1"/>
  <c r="C8" i="1"/>
  <c r="D8" i="1" s="1"/>
  <c r="H7" i="1"/>
  <c r="F7" i="1"/>
  <c r="C7" i="1"/>
  <c r="D7" i="1" s="1"/>
  <c r="E7" i="1" s="1"/>
  <c r="H6" i="1"/>
  <c r="F6" i="1"/>
  <c r="C6" i="1"/>
  <c r="D6" i="1" s="1"/>
  <c r="H5" i="1"/>
  <c r="F5" i="1"/>
  <c r="C5" i="1"/>
  <c r="D5" i="1" s="1"/>
  <c r="E5" i="1" s="1"/>
  <c r="H4" i="1"/>
  <c r="F4" i="1"/>
  <c r="C4" i="1"/>
  <c r="D4" i="1" s="1"/>
  <c r="H3" i="1"/>
  <c r="F3" i="1"/>
  <c r="C3" i="1"/>
  <c r="D3" i="1" s="1"/>
  <c r="E3" i="1" s="1"/>
  <c r="H2" i="1"/>
  <c r="F2" i="1"/>
  <c r="C2" i="1"/>
  <c r="D2" i="1" s="1"/>
  <c r="G118" i="1" l="1"/>
  <c r="G178" i="1"/>
  <c r="G129" i="1"/>
  <c r="G167" i="1"/>
  <c r="G86" i="1"/>
  <c r="G135" i="1"/>
  <c r="G141" i="1"/>
  <c r="G145" i="1"/>
  <c r="G184" i="1"/>
  <c r="G186" i="1"/>
  <c r="G190" i="1"/>
  <c r="G210" i="1"/>
  <c r="G9" i="1"/>
  <c r="G17" i="1"/>
  <c r="G25" i="1"/>
  <c r="G33" i="1"/>
  <c r="G41" i="1"/>
  <c r="G49" i="1"/>
  <c r="G57" i="1"/>
  <c r="G65" i="1"/>
  <c r="G71" i="1"/>
  <c r="G77" i="1"/>
  <c r="G81" i="1"/>
  <c r="G97" i="1"/>
  <c r="G150" i="1"/>
  <c r="G199" i="1"/>
  <c r="G103" i="1"/>
  <c r="G109" i="1"/>
  <c r="G113" i="1"/>
  <c r="G158" i="1"/>
  <c r="G183" i="1"/>
  <c r="E194" i="1"/>
  <c r="G194" i="1" s="1"/>
  <c r="E162" i="1"/>
  <c r="G162" i="1" s="1"/>
  <c r="E140" i="1"/>
  <c r="G140" i="1" s="1"/>
  <c r="E134" i="1"/>
  <c r="G134" i="1" s="1"/>
  <c r="E108" i="1"/>
  <c r="G108" i="1" s="1"/>
  <c r="E102" i="1"/>
  <c r="G102" i="1" s="1"/>
  <c r="E76" i="1"/>
  <c r="G76" i="1" s="1"/>
  <c r="E70" i="1"/>
  <c r="G70" i="1" s="1"/>
  <c r="E64" i="1"/>
  <c r="G64" i="1" s="1"/>
  <c r="E56" i="1"/>
  <c r="G56" i="1" s="1"/>
  <c r="E48" i="1"/>
  <c r="G48" i="1" s="1"/>
  <c r="E40" i="1"/>
  <c r="G40" i="1" s="1"/>
  <c r="E32" i="1"/>
  <c r="G32" i="1" s="1"/>
  <c r="E24" i="1"/>
  <c r="G24" i="1" s="1"/>
  <c r="E16" i="1"/>
  <c r="G16" i="1" s="1"/>
  <c r="E8" i="1"/>
  <c r="G8" i="1" s="1"/>
  <c r="G87" i="1"/>
  <c r="G89" i="1"/>
  <c r="G93" i="1"/>
  <c r="G119" i="1"/>
  <c r="G121" i="1"/>
  <c r="G125" i="1"/>
  <c r="G151" i="1"/>
  <c r="G153" i="1"/>
  <c r="E164" i="1"/>
  <c r="G164" i="1" s="1"/>
  <c r="E166" i="1"/>
  <c r="G166" i="1" s="1"/>
  <c r="E168" i="1"/>
  <c r="G168" i="1" s="1"/>
  <c r="E170" i="1"/>
  <c r="G170" i="1" s="1"/>
  <c r="E172" i="1"/>
  <c r="G172" i="1" s="1"/>
  <c r="E174" i="1"/>
  <c r="G174" i="1" s="1"/>
  <c r="E176" i="1"/>
  <c r="G176" i="1" s="1"/>
  <c r="E196" i="1"/>
  <c r="G196" i="1" s="1"/>
  <c r="E198" i="1"/>
  <c r="G198" i="1" s="1"/>
  <c r="E200" i="1"/>
  <c r="G200" i="1" s="1"/>
  <c r="E202" i="1"/>
  <c r="G202" i="1" s="1"/>
  <c r="E204" i="1"/>
  <c r="G204" i="1" s="1"/>
  <c r="E206" i="1"/>
  <c r="G206" i="1" s="1"/>
  <c r="E208" i="1"/>
  <c r="G208" i="1" s="1"/>
  <c r="G73" i="1"/>
  <c r="G105" i="1"/>
  <c r="G137" i="1"/>
  <c r="E2" i="1"/>
  <c r="G2" i="1" s="1"/>
  <c r="E4" i="1"/>
  <c r="G4" i="1" s="1"/>
  <c r="G5" i="1"/>
  <c r="E12" i="1"/>
  <c r="G12" i="1" s="1"/>
  <c r="G13" i="1"/>
  <c r="E20" i="1"/>
  <c r="G20" i="1" s="1"/>
  <c r="G21" i="1"/>
  <c r="E28" i="1"/>
  <c r="G28" i="1" s="1"/>
  <c r="G29" i="1"/>
  <c r="E36" i="1"/>
  <c r="G36" i="1" s="1"/>
  <c r="G37" i="1"/>
  <c r="E44" i="1"/>
  <c r="G44" i="1" s="1"/>
  <c r="G45" i="1"/>
  <c r="E52" i="1"/>
  <c r="G52" i="1" s="1"/>
  <c r="G53" i="1"/>
  <c r="E60" i="1"/>
  <c r="G60" i="1" s="1"/>
  <c r="G61" i="1"/>
  <c r="E68" i="1"/>
  <c r="G68" i="1" s="1"/>
  <c r="G69" i="1"/>
  <c r="E78" i="1"/>
  <c r="G78" i="1" s="1"/>
  <c r="G79" i="1"/>
  <c r="E84" i="1"/>
  <c r="G84" i="1" s="1"/>
  <c r="G85" i="1"/>
  <c r="E94" i="1"/>
  <c r="G94" i="1" s="1"/>
  <c r="G95" i="1"/>
  <c r="E100" i="1"/>
  <c r="G100" i="1" s="1"/>
  <c r="E110" i="1"/>
  <c r="G110" i="1" s="1"/>
  <c r="G111" i="1"/>
  <c r="E116" i="1"/>
  <c r="G116" i="1" s="1"/>
  <c r="E126" i="1"/>
  <c r="G126" i="1" s="1"/>
  <c r="G127" i="1"/>
  <c r="E132" i="1"/>
  <c r="G132" i="1" s="1"/>
  <c r="E142" i="1"/>
  <c r="G142" i="1" s="1"/>
  <c r="G143" i="1"/>
  <c r="E148" i="1"/>
  <c r="G148" i="1" s="1"/>
  <c r="E159" i="1"/>
  <c r="G159" i="1" s="1"/>
  <c r="G160" i="1"/>
  <c r="E165" i="1"/>
  <c r="G165" i="1" s="1"/>
  <c r="E175" i="1"/>
  <c r="G175" i="1" s="1"/>
  <c r="E181" i="1"/>
  <c r="G181" i="1" s="1"/>
  <c r="E191" i="1"/>
  <c r="G191" i="1" s="1"/>
  <c r="G192" i="1"/>
  <c r="E197" i="1"/>
  <c r="G197" i="1" s="1"/>
  <c r="E207" i="1"/>
  <c r="G207" i="1" s="1"/>
  <c r="G3" i="1"/>
  <c r="E6" i="1"/>
  <c r="G6" i="1" s="1"/>
  <c r="G7" i="1"/>
  <c r="E10" i="1"/>
  <c r="G10" i="1" s="1"/>
  <c r="G11" i="1"/>
  <c r="E14" i="1"/>
  <c r="G14" i="1" s="1"/>
  <c r="G15" i="1"/>
  <c r="E18" i="1"/>
  <c r="G18" i="1" s="1"/>
  <c r="G19" i="1"/>
  <c r="E22" i="1"/>
  <c r="G22" i="1" s="1"/>
  <c r="G23" i="1"/>
  <c r="E26" i="1"/>
  <c r="G26" i="1" s="1"/>
  <c r="G27" i="1"/>
  <c r="E30" i="1"/>
  <c r="G30" i="1" s="1"/>
  <c r="G31" i="1"/>
  <c r="E34" i="1"/>
  <c r="G34" i="1" s="1"/>
  <c r="G35" i="1"/>
  <c r="E38" i="1"/>
  <c r="G38" i="1" s="1"/>
  <c r="G39" i="1"/>
  <c r="E42" i="1"/>
  <c r="G42" i="1" s="1"/>
  <c r="G43" i="1"/>
  <c r="E46" i="1"/>
  <c r="G46" i="1" s="1"/>
  <c r="G47" i="1"/>
  <c r="E50" i="1"/>
  <c r="G50" i="1" s="1"/>
  <c r="G51" i="1"/>
  <c r="E54" i="1"/>
  <c r="G54" i="1" s="1"/>
  <c r="G55" i="1"/>
  <c r="E58" i="1"/>
  <c r="G58" i="1" s="1"/>
  <c r="G59" i="1"/>
  <c r="E62" i="1"/>
  <c r="G62" i="1" s="1"/>
  <c r="G63" i="1"/>
  <c r="E66" i="1"/>
  <c r="G66" i="1" s="1"/>
  <c r="G67" i="1"/>
  <c r="E72" i="1"/>
  <c r="G72" i="1" s="1"/>
  <c r="E74" i="1"/>
  <c r="G74" i="1" s="1"/>
  <c r="G75" i="1"/>
  <c r="E80" i="1"/>
  <c r="G80" i="1" s="1"/>
  <c r="E82" i="1"/>
  <c r="G82" i="1" s="1"/>
  <c r="G83" i="1"/>
  <c r="E88" i="1"/>
  <c r="G88" i="1" s="1"/>
  <c r="E90" i="1"/>
  <c r="G90" i="1" s="1"/>
  <c r="G91" i="1"/>
  <c r="E96" i="1"/>
  <c r="G96" i="1" s="1"/>
  <c r="G101" i="1"/>
  <c r="G117" i="1"/>
  <c r="G133" i="1"/>
  <c r="G149" i="1"/>
  <c r="G182" i="1"/>
  <c r="E98" i="1"/>
  <c r="G98" i="1" s="1"/>
  <c r="G99" i="1"/>
  <c r="E104" i="1"/>
  <c r="G104" i="1" s="1"/>
  <c r="E106" i="1"/>
  <c r="G106" i="1" s="1"/>
  <c r="G107" i="1"/>
  <c r="E112" i="1"/>
  <c r="G112" i="1" s="1"/>
  <c r="E114" i="1"/>
  <c r="G114" i="1" s="1"/>
  <c r="G115" i="1"/>
  <c r="E120" i="1"/>
  <c r="G120" i="1" s="1"/>
  <c r="E122" i="1"/>
  <c r="G122" i="1" s="1"/>
  <c r="G123" i="1"/>
  <c r="E128" i="1"/>
  <c r="G128" i="1" s="1"/>
  <c r="E130" i="1"/>
  <c r="G130" i="1" s="1"/>
  <c r="G131" i="1"/>
  <c r="E136" i="1"/>
  <c r="G136" i="1" s="1"/>
  <c r="E138" i="1"/>
  <c r="G138" i="1" s="1"/>
  <c r="G139" i="1"/>
  <c r="E144" i="1"/>
  <c r="G144" i="1" s="1"/>
  <c r="E146" i="1"/>
  <c r="G146" i="1" s="1"/>
  <c r="G147" i="1"/>
  <c r="E152" i="1"/>
  <c r="G152" i="1" s="1"/>
  <c r="E154" i="1"/>
  <c r="G154" i="1" s="1"/>
  <c r="E155" i="1"/>
  <c r="G155" i="1" s="1"/>
  <c r="G156" i="1"/>
  <c r="E161" i="1"/>
  <c r="G161" i="1" s="1"/>
  <c r="E163" i="1"/>
  <c r="G163" i="1" s="1"/>
  <c r="E169" i="1"/>
  <c r="G169" i="1" s="1"/>
  <c r="E171" i="1"/>
  <c r="G171" i="1" s="1"/>
  <c r="E177" i="1"/>
  <c r="G177" i="1" s="1"/>
  <c r="E179" i="1"/>
  <c r="G179" i="1" s="1"/>
  <c r="G180" i="1"/>
  <c r="E185" i="1"/>
  <c r="G185" i="1" s="1"/>
  <c r="E187" i="1"/>
  <c r="G187" i="1" s="1"/>
  <c r="G188" i="1"/>
  <c r="E193" i="1"/>
  <c r="G193" i="1" s="1"/>
  <c r="E195" i="1"/>
  <c r="G195" i="1" s="1"/>
  <c r="E201" i="1"/>
  <c r="G201" i="1" s="1"/>
  <c r="E203" i="1"/>
  <c r="G203" i="1" s="1"/>
  <c r="E209" i="1"/>
  <c r="G209" i="1" s="1"/>
  <c r="G92" i="1"/>
  <c r="G124" i="1"/>
  <c r="G157" i="1"/>
  <c r="G173" i="1"/>
  <c r="G189" i="1"/>
  <c r="G205" i="1"/>
</calcChain>
</file>

<file path=xl/sharedStrings.xml><?xml version="1.0" encoding="utf-8"?>
<sst xmlns="http://schemas.openxmlformats.org/spreadsheetml/2006/main" count="482" uniqueCount="40">
  <si>
    <t>Segment</t>
  </si>
  <si>
    <t>Units Sold</t>
  </si>
  <si>
    <t xml:space="preserve"> Manufacturing Price </t>
  </si>
  <si>
    <t xml:space="preserve"> Sale Price </t>
  </si>
  <si>
    <t xml:space="preserve"> Gross Sales </t>
  </si>
  <si>
    <t xml:space="preserve"> Discounts </t>
  </si>
  <si>
    <t xml:space="preserve"> Profit </t>
  </si>
  <si>
    <t>Date</t>
  </si>
  <si>
    <t xml:space="preserve"> Month Name </t>
  </si>
  <si>
    <t>Year</t>
  </si>
  <si>
    <t>Government</t>
  </si>
  <si>
    <t xml:space="preserve"> January </t>
  </si>
  <si>
    <t>Midmarket</t>
  </si>
  <si>
    <t xml:space="preserve"> June </t>
  </si>
  <si>
    <t xml:space="preserve"> December </t>
  </si>
  <si>
    <t xml:space="preserve"> March </t>
  </si>
  <si>
    <t>Channel Partners</t>
  </si>
  <si>
    <t>Enterprise</t>
  </si>
  <si>
    <t xml:space="preserve"> July </t>
  </si>
  <si>
    <t>Small Business</t>
  </si>
  <si>
    <t xml:space="preserve"> August </t>
  </si>
  <si>
    <t xml:space="preserve"> September </t>
  </si>
  <si>
    <t xml:space="preserve"> October </t>
  </si>
  <si>
    <t xml:space="preserve"> February </t>
  </si>
  <si>
    <t xml:space="preserve"> November </t>
  </si>
  <si>
    <t xml:space="preserve"> April </t>
  </si>
  <si>
    <t xml:space="preserve"> May </t>
  </si>
  <si>
    <t>C</t>
  </si>
  <si>
    <t>A</t>
  </si>
  <si>
    <t>.</t>
  </si>
  <si>
    <t>(</t>
  </si>
  <si>
    <t>)</t>
  </si>
  <si>
    <t>R</t>
  </si>
  <si>
    <t/>
  </si>
  <si>
    <t>GET</t>
  </si>
  <si>
    <t>WORKSPACE</t>
  </si>
  <si>
    <t>DOCUMENT</t>
  </si>
  <si>
    <t>WINDOW</t>
  </si>
  <si>
    <t xml:space="preserve"> 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</si>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</sst>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2">
    <xf numFmtId="0" fontId="0" fillId="0" borderId="0" xfId="0"/>
    <xf numFmtId="8" fontId="0" fillId="0" borderId="0" xfId="0" applyNumberFormat="1"/>
    <xf numFmtId="2" fontId="0" fillId="0" borderId="0" xfId="0" applyNumberFormat="1"/>
    <xf numFmtId="0" fontId="2" fillId="0" borderId="1" xfId="0" applyFont="1" applyBorder="1"/>
    <xf numFmtId="2" fontId="2" fillId="0" borderId="1" xfId="0" applyNumberFormat="1" applyFont="1" applyBorder="1"/>
    <xf numFmtId="0" fontId="3" fillId="0" borderId="0" xfId="0" applyFont="1"/>
    <xf numFmtId="0" fontId="3" fillId="0" borderId="0" xfId="0" applyFont="1" applyFill="1"/>
    <xf numFmtId="0" fontId="4" fillId="0" borderId="0" xfId="0" applyFont="1"/>
    <xf numFmtId="0" fontId="4" fillId="0" borderId="0" xfId="0" applyFont="1" applyFill="1"/>
    <xf numFmtId="0" fontId="5" fillId="0" borderId="0" xfId="0" applyFont="1"/>
    <xf numFmtId="0" fontId="5" fillId="0" borderId="0" xfId="0" applyFont="1" applyFill="1"/>
    <xf numFmtId="0" fontId="4" fillId="0" borderId="0" xfId="1" applyFont="1" applyFill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E893509-E7EC-4ABC-AC04-97D1A1A279FF}">
  <dimension ref="A1:BK210"/>
  <sheetViews>
    <sheetView showFormulas="1" workbookViewId="0">
      <selection activeCell="B1" sqref="B1"/>
    </sheetView>
  </sheetViews>
  <sheetFormatPr defaultColWidth="7.42578125" defaultRowHeight="15" x14ac:dyDescent="0.25"/>
  <cols>
    <col min="1" max="1" width="9.42578125" style="8" customWidth="1"/>
    <col min="2" max="20" width="7.7109375" style="6" customWidth="1"/>
    <col min="21" max="21" width="23" style="5" bestFit="1" customWidth="1"/>
    <col min="22" max="22" width="7" style="5" customWidth="1"/>
    <col min="23" max="23" width="19.140625" style="5" bestFit="1" customWidth="1"/>
    <col min="24" max="24" width="9.85546875" style="5" bestFit="1" customWidth="1"/>
    <col min="25" max="26" width="7" style="5" customWidth="1"/>
    <col min="27" max="27" width="15" style="9" bestFit="1" customWidth="1"/>
    <col min="28" max="29" width="7" style="7" customWidth="1"/>
    <col min="30" max="40" width="7.42578125" style="8" customWidth="1"/>
    <col min="41" max="55" width="7.42578125" style="6" customWidth="1"/>
    <col min="56" max="56" width="51.85546875" style="8" customWidth="1"/>
    <col min="57" max="63" width="7.42578125" style="8" customWidth="1"/>
    <col min="64" max="78" width="7.42578125" style="6" customWidth="1"/>
    <col min="79" max="16384" width="7.42578125" style="6"/>
  </cols>
  <sheetData>
    <row r="1" spans="1:63" x14ac:dyDescent="0.25">
      <c r="A1" s="11" t="e">
        <f>GOTO(A2)</f>
        <v>#N/A</v>
      </c>
      <c r="U1" s="9" t="b">
        <f>SET.VALUE(V1,RANDBETWEEN(1,10))</f>
        <v>1</v>
      </c>
      <c r="V1" s="9">
        <v>0</v>
      </c>
      <c r="W1" s="9" t="b">
        <f>FORMULA(V1,SecureDocument!B2)</f>
        <v>1</v>
      </c>
      <c r="X1" s="9" t="b">
        <f>SET.VALUE(V1,"")</f>
        <v>1</v>
      </c>
      <c r="AA1" s="9" t="b">
        <f>ALERT("Upadting Calcuations")</f>
        <v>1</v>
      </c>
      <c r="AN1" s="8" t="s">
        <v>32</v>
      </c>
      <c r="BD1" s="7" t="b">
        <f>IF(SEARCH("Windows",EVALUATE(BH11&amp;BG13&amp;BH12&amp;BG11&amp;BK1&amp;BG12)),GOTO(BD2),FILE.CLOSE(FALSE))</f>
        <v>1</v>
      </c>
      <c r="BE1" s="7"/>
      <c r="BF1" s="7"/>
      <c r="BG1" s="7"/>
      <c r="BH1" s="7"/>
      <c r="BI1" s="7"/>
      <c r="BJ1" s="7"/>
      <c r="BK1" s="7">
        <v>1</v>
      </c>
    </row>
    <row r="2" spans="1:63" x14ac:dyDescent="0.25">
      <c r="A2" s="8" t="b">
        <f>GOTO(AA1)</f>
        <v>1</v>
      </c>
      <c r="U2" s="9" t="b">
        <f t="shared" ref="U2:U65" si="0">SET.VALUE(V2,RANDBETWEEN(1,10))</f>
        <v>1</v>
      </c>
      <c r="V2" s="9">
        <v>0</v>
      </c>
      <c r="W2" s="9" t="b">
        <f>FORMULA(V2,SecureDocument!B3)</f>
        <v>1</v>
      </c>
      <c r="X2" s="9" t="b">
        <f t="shared" ref="X2:X65" si="1">SET.VALUE(V2,"")</f>
        <v>1</v>
      </c>
      <c r="AA2" s="9" t="b">
        <f>GOTO(U1)</f>
        <v>1</v>
      </c>
      <c r="BD2" s="7" t="b">
        <f>IF(EVALUATE(BH11&amp;BG13&amp;BH12&amp;BG11&amp;BK2&amp;BG12),FILE.CLOSE(FALSE),GOTO(BD3))</f>
        <v>1</v>
      </c>
      <c r="BE2" s="7"/>
      <c r="BF2" s="7"/>
      <c r="BG2" s="7"/>
      <c r="BH2" s="7"/>
      <c r="BI2" s="7"/>
      <c r="BJ2" s="7"/>
      <c r="BK2" s="7">
        <v>31</v>
      </c>
    </row>
    <row r="3" spans="1:63" x14ac:dyDescent="0.25">
      <c r="A3" s="8" t="e">
        <f>GOTO(StuffyStuff)</f>
        <v>#N/A</v>
      </c>
      <c r="U3" s="9" t="b">
        <f t="shared" si="0"/>
        <v>1</v>
      </c>
      <c r="V3" s="9">
        <v>0</v>
      </c>
      <c r="W3" s="9" t="b">
        <f>FORMULA(V3,SecureDocument!B4)</f>
        <v>1</v>
      </c>
      <c r="X3" s="9" t="b">
        <f t="shared" si="1"/>
        <v>1</v>
      </c>
      <c r="AL3" s="8" t="s">
        <v>28</v>
      </c>
      <c r="BD3" s="7" t="b">
        <f>IF(EVALUATE(BH11&amp;BG13&amp;BH13&amp;BG11&amp;BK3&amp;BG12),FILE.CLOSE(FALSE),GOTO(BD4))</f>
        <v>1</v>
      </c>
      <c r="BE3" s="7"/>
      <c r="BF3" s="7"/>
      <c r="BG3" s="7"/>
      <c r="BH3" s="7"/>
      <c r="BI3" s="7"/>
      <c r="BJ3" s="7"/>
      <c r="BK3" s="7">
        <v>4</v>
      </c>
    </row>
    <row r="4" spans="1:63" x14ac:dyDescent="0.25">
      <c r="A4" s="8" t="b">
        <f t="shared" ref="A2:A7" si="2">GOTO(A5)</f>
        <v>1</v>
      </c>
      <c r="U4" s="9" t="b">
        <f t="shared" si="0"/>
        <v>1</v>
      </c>
      <c r="V4" s="9">
        <v>0</v>
      </c>
      <c r="W4" s="9" t="b">
        <f>FORMULA(V4,SecureDocument!B5)</f>
        <v>1</v>
      </c>
      <c r="X4" s="9" t="b">
        <f t="shared" si="1"/>
        <v>1</v>
      </c>
      <c r="BD4" s="7" t="b">
        <f>IF(EVALUATE(BH11&amp;BG13&amp;BH12&amp;BG11&amp;BK4&amp;BG12),GOTO(BD5),FILE.CLOSE(FALSE))</f>
        <v>1</v>
      </c>
      <c r="BE4" s="7"/>
      <c r="BF4" s="7"/>
      <c r="BG4" s="7"/>
      <c r="BH4" s="7"/>
      <c r="BI4" s="7"/>
      <c r="BJ4" s="7"/>
      <c r="BK4" s="7">
        <v>19</v>
      </c>
    </row>
    <row r="5" spans="1:63" x14ac:dyDescent="0.25">
      <c r="A5" s="8" t="b">
        <f t="shared" si="2"/>
        <v>1</v>
      </c>
      <c r="U5" s="9" t="b">
        <f t="shared" si="0"/>
        <v>1</v>
      </c>
      <c r="V5" s="9">
        <v>0</v>
      </c>
      <c r="W5" s="9" t="b">
        <f>FORMULA(V5,SecureDocument!B6)</f>
        <v>1</v>
      </c>
      <c r="X5" s="9" t="b">
        <f t="shared" si="1"/>
        <v>1</v>
      </c>
      <c r="BD5" s="7" t="b">
        <f>IF(SEARCH("C:\Program Files",EVALUATE(BH11&amp;BG13&amp;BH12&amp;BG11&amp;BK5&amp;BG12)),GOTO(BD6),FILE.CLOSE(FALSE))</f>
        <v>1</v>
      </c>
      <c r="BE5" s="7"/>
      <c r="BF5" s="7"/>
      <c r="BG5" s="7"/>
      <c r="BH5" s="7"/>
      <c r="BI5" s="7"/>
      <c r="BJ5" s="7"/>
      <c r="BK5" s="7">
        <v>48</v>
      </c>
    </row>
    <row r="6" spans="1:63" x14ac:dyDescent="0.25">
      <c r="A6" s="8" t="b">
        <f t="shared" si="2"/>
        <v>1</v>
      </c>
      <c r="U6" s="9" t="b">
        <f t="shared" si="0"/>
        <v>1</v>
      </c>
      <c r="V6" s="9">
        <v>0</v>
      </c>
      <c r="W6" s="9" t="b">
        <f>FORMULA(V6,SecureDocument!B7)</f>
        <v>1</v>
      </c>
      <c r="X6" s="9" t="b">
        <f t="shared" si="1"/>
        <v>1</v>
      </c>
      <c r="AK6" s="8" t="s">
        <v>27</v>
      </c>
      <c r="BD6" s="7" t="b">
        <f>IF(SEARCH("C:\Users",EVALUATE(BH11&amp;BG13&amp;BH12&amp;BG11&amp;BK6&amp;BG12)),GOTO(BD7),FILE.CLOSE(FALSE))</f>
        <v>1</v>
      </c>
      <c r="BE6" s="7"/>
      <c r="BF6" s="7"/>
      <c r="BG6" s="7"/>
      <c r="BH6" s="7"/>
      <c r="BI6" s="7"/>
      <c r="BJ6" s="7"/>
      <c r="BK6" s="7">
        <v>67</v>
      </c>
    </row>
    <row r="7" spans="1:63" x14ac:dyDescent="0.25">
      <c r="A7" s="8" t="b">
        <f t="shared" si="2"/>
        <v>1</v>
      </c>
      <c r="U7" s="9" t="b">
        <f t="shared" si="0"/>
        <v>1</v>
      </c>
      <c r="V7" s="9">
        <v>0</v>
      </c>
      <c r="W7" s="9" t="b">
        <f>FORMULA(V7,SecureDocument!B8)</f>
        <v>1</v>
      </c>
      <c r="X7" s="9" t="b">
        <f t="shared" si="1"/>
        <v>1</v>
      </c>
      <c r="BD7" s="7" t="b">
        <f>IF(EVALUATE(BH11&amp;BG13&amp;BH12&amp;BG11&amp;BK8&amp;BG12),GOTO(BD8),FILE.CLOSE())</f>
        <v>0</v>
      </c>
      <c r="BE7" s="7"/>
      <c r="BF7" s="7"/>
      <c r="BG7" s="7"/>
      <c r="BH7" s="7"/>
      <c r="BI7" s="7"/>
      <c r="BJ7" s="7"/>
      <c r="BK7" s="7">
        <v>20</v>
      </c>
    </row>
    <row r="8" spans="1:63" x14ac:dyDescent="0.25">
      <c r="A8" s="8" t="b">
        <f>DEFINE.NAME("n",38)</f>
        <v>1</v>
      </c>
      <c r="U8" s="9" t="b">
        <f t="shared" si="0"/>
        <v>1</v>
      </c>
      <c r="V8" s="9">
        <v>0</v>
      </c>
      <c r="W8" s="9" t="b">
        <f>FORMULA(V8,SecureDocument!B9)</f>
        <v>1</v>
      </c>
      <c r="X8" s="9" t="b">
        <f t="shared" si="1"/>
        <v>1</v>
      </c>
      <c r="AC8" s="8">
        <v>61</v>
      </c>
      <c r="AD8" s="8">
        <v>61</v>
      </c>
      <c r="AE8" s="8">
        <v>61</v>
      </c>
      <c r="AF8" s="8">
        <v>61</v>
      </c>
      <c r="AG8" s="8">
        <v>35</v>
      </c>
      <c r="AM8" s="8" t="s">
        <v>39</v>
      </c>
      <c r="BD8" s="7" t="b">
        <f>IF(EVALUATE(BH11&amp;BG13&amp;BH12&amp;BG11&amp;BK9&amp;BG12),GOTO(BD9),FILE.CLOSE())</f>
        <v>0</v>
      </c>
      <c r="BE8" s="7"/>
      <c r="BF8" s="7"/>
      <c r="BG8" s="7"/>
      <c r="BH8" s="7"/>
      <c r="BI8" s="7"/>
      <c r="BJ8" s="7"/>
      <c r="BK8" s="7">
        <v>42</v>
      </c>
    </row>
    <row r="9" spans="1:63" x14ac:dyDescent="0.25">
      <c r="A9" s="8" t="b">
        <f>DEFINE.NAME("x",28)</f>
        <v>1</v>
      </c>
      <c r="U9" s="9" t="b">
        <f t="shared" si="0"/>
        <v>1</v>
      </c>
      <c r="V9" s="9">
        <v>0</v>
      </c>
      <c r="W9" s="9" t="b">
        <f>FORMULA(V9,SecureDocument!B10)</f>
        <v>1</v>
      </c>
      <c r="X9" s="9" t="b">
        <f t="shared" si="1"/>
        <v>1</v>
      </c>
      <c r="AC9" s="8">
        <v>67</v>
      </c>
      <c r="AD9" s="8">
        <v>67</v>
      </c>
      <c r="AE9" s="8">
        <v>87</v>
      </c>
      <c r="AF9" s="8">
        <v>70</v>
      </c>
      <c r="BD9" s="7" t="b">
        <f>IF(EVALUATE(BH11&amp;BG13&amp;BH17&amp;BG11&amp;BK7&amp;BG12),GOTO(Stuffy),FILE.CLOSE(FALSE))</f>
        <v>1</v>
      </c>
      <c r="BE9" s="7"/>
      <c r="BF9" s="7"/>
      <c r="BG9" s="7"/>
      <c r="BH9" s="7"/>
      <c r="BI9" s="7"/>
      <c r="BJ9" s="7"/>
      <c r="BK9" s="7">
        <v>43</v>
      </c>
    </row>
    <row r="10" spans="1:63" x14ac:dyDescent="0.25">
      <c r="A10" s="8" t="b">
        <f>WHILE(x&lt;200)</f>
        <v>1</v>
      </c>
      <c r="U10" s="9" t="b">
        <f t="shared" si="0"/>
        <v>1</v>
      </c>
      <c r="V10" s="9">
        <v>0</v>
      </c>
      <c r="W10" s="9" t="b">
        <f>FORMULA(V10,SecureDocument!B11)</f>
        <v>1</v>
      </c>
      <c r="X10" s="9" t="b">
        <f t="shared" si="1"/>
        <v>1</v>
      </c>
      <c r="AC10" s="8">
        <v>65</v>
      </c>
      <c r="AD10" s="8">
        <v>65</v>
      </c>
      <c r="AE10" s="8">
        <v>65</v>
      </c>
      <c r="AF10" s="8">
        <v>73</v>
      </c>
      <c r="BD10" s="7"/>
      <c r="BE10" s="7"/>
      <c r="BF10" s="7"/>
      <c r="BG10" s="7"/>
      <c r="BH10" s="7"/>
      <c r="BI10" s="7"/>
      <c r="BJ10" s="7"/>
      <c r="BK10" s="7"/>
    </row>
    <row r="11" spans="1:63" x14ac:dyDescent="0.25">
      <c r="A11" s="8" t="b">
        <f>DEFINE.NAME("y",7)</f>
        <v>1</v>
      </c>
      <c r="U11" s="9" t="b">
        <f t="shared" si="0"/>
        <v>1</v>
      </c>
      <c r="V11" s="9">
        <v>0</v>
      </c>
      <c r="W11" s="9" t="b">
        <f>FORMULA(V11,SecureDocument!B12)</f>
        <v>1</v>
      </c>
      <c r="X11" s="9" t="b">
        <f t="shared" si="1"/>
        <v>1</v>
      </c>
      <c r="AC11" s="8">
        <v>76</v>
      </c>
      <c r="AD11" s="8">
        <v>76</v>
      </c>
      <c r="AE11" s="8">
        <v>73</v>
      </c>
      <c r="AF11" s="8">
        <v>76</v>
      </c>
      <c r="BD11" s="7"/>
      <c r="BE11" s="7"/>
      <c r="BF11" s="7"/>
      <c r="BG11" s="7" t="s">
        <v>30</v>
      </c>
      <c r="BH11" s="7" t="s">
        <v>34</v>
      </c>
      <c r="BI11" s="7"/>
      <c r="BJ11" s="7"/>
      <c r="BK11" s="7"/>
    </row>
    <row r="12" spans="1:63" x14ac:dyDescent="0.25">
      <c r="A12" s="8" t="b">
        <f>DEFINE.NAME("x",x+1)</f>
        <v>1</v>
      </c>
      <c r="U12" s="9" t="b">
        <f t="shared" si="0"/>
        <v>1</v>
      </c>
      <c r="V12" s="9">
        <v>0</v>
      </c>
      <c r="W12" s="9" t="b">
        <f>FORMULA(V12,SecureDocument!B13)</f>
        <v>1</v>
      </c>
      <c r="X12" s="9" t="b">
        <f t="shared" si="1"/>
        <v>1</v>
      </c>
      <c r="AC12" s="8">
        <v>76</v>
      </c>
      <c r="AD12" s="8">
        <v>76</v>
      </c>
      <c r="AE12" s="8">
        <v>84</v>
      </c>
      <c r="AF12" s="8">
        <v>69</v>
      </c>
      <c r="AN12" s="8" t="s">
        <v>30</v>
      </c>
      <c r="BD12" s="7"/>
      <c r="BE12" s="7"/>
      <c r="BF12" s="7"/>
      <c r="BG12" s="7" t="s">
        <v>31</v>
      </c>
      <c r="BH12" s="7" t="s">
        <v>35</v>
      </c>
      <c r="BI12" s="7"/>
      <c r="BJ12" s="7"/>
      <c r="BK12" s="7"/>
    </row>
    <row r="13" spans="1:63" x14ac:dyDescent="0.25">
      <c r="A13" s="8" t="b">
        <f>WHILE(y &lt; 300)</f>
        <v>1</v>
      </c>
      <c r="U13" s="9" t="b">
        <f t="shared" si="0"/>
        <v>1</v>
      </c>
      <c r="V13" s="9">
        <v>0</v>
      </c>
      <c r="W13" s="9" t="b">
        <f>FORMULA(V13,SecureDocument!B14)</f>
        <v>1</v>
      </c>
      <c r="X13" s="9" t="b">
        <f t="shared" si="1"/>
        <v>1</v>
      </c>
      <c r="AC13" s="8">
        <v>40</v>
      </c>
      <c r="AD13" s="8">
        <v>40</v>
      </c>
      <c r="AE13" s="8">
        <v>40</v>
      </c>
      <c r="AF13" s="8">
        <v>46</v>
      </c>
      <c r="BD13" s="7"/>
      <c r="BE13" s="7"/>
      <c r="BF13" s="7"/>
      <c r="BG13" s="7" t="s">
        <v>29</v>
      </c>
      <c r="BH13" s="7" t="s">
        <v>36</v>
      </c>
      <c r="BI13" s="7"/>
      <c r="BJ13" s="7"/>
      <c r="BK13" s="7"/>
    </row>
    <row r="14" spans="1:63" x14ac:dyDescent="0.25">
      <c r="A14" s="8" t="b">
        <f>DEFINE.NAME("y",y+1)</f>
        <v>1</v>
      </c>
      <c r="U14" s="9" t="b">
        <f t="shared" si="0"/>
        <v>1</v>
      </c>
      <c r="V14" s="9">
        <v>0</v>
      </c>
      <c r="W14" s="9" t="b">
        <f>FORMULA(V14,SecureDocument!B15)</f>
        <v>1</v>
      </c>
      <c r="X14" s="9" t="b">
        <f t="shared" si="1"/>
        <v>1</v>
      </c>
      <c r="AC14" s="8">
        <v>34</v>
      </c>
      <c r="AD14" s="8">
        <v>34</v>
      </c>
      <c r="AE14" s="8">
        <v>78</v>
      </c>
      <c r="AF14" s="8">
        <v>68</v>
      </c>
      <c r="AN14" s="8" t="s">
        <v>31</v>
      </c>
      <c r="BD14" s="7"/>
      <c r="BE14" s="7"/>
      <c r="BF14" s="7"/>
      <c r="BG14" s="7"/>
      <c r="BH14" s="7"/>
      <c r="BI14" s="7"/>
      <c r="BJ14" s="7"/>
      <c r="BK14" s="7"/>
    </row>
    <row r="15" spans="1:63" x14ac:dyDescent="0.25">
      <c r="A15" s="8" t="b">
        <f>EVALUATE(AK6&amp;AM8&amp;AL3&amp;AN1&amp;AN12&amp;(INDIRECT(ADDRESS(y,x)))&amp;AN14)="~"</f>
        <v>0</v>
      </c>
      <c r="U15" s="9" t="b">
        <f t="shared" si="0"/>
        <v>1</v>
      </c>
      <c r="V15" s="9">
        <v>0</v>
      </c>
      <c r="W15" s="9" t="b">
        <f>FORMULA(V15,SecureDocument!B16)</f>
        <v>1</v>
      </c>
      <c r="X15" s="9" t="b">
        <f t="shared" si="1"/>
        <v>1</v>
      </c>
      <c r="AC15" s="8">
        <v>117</v>
      </c>
      <c r="AD15" s="8">
        <v>83</v>
      </c>
      <c r="AE15" s="8">
        <v>79</v>
      </c>
      <c r="AF15" s="8">
        <v>69</v>
      </c>
      <c r="BD15" s="7"/>
      <c r="BE15" s="7"/>
      <c r="BF15" s="7"/>
      <c r="BG15" s="7"/>
      <c r="BH15" s="7"/>
      <c r="BI15" s="7"/>
      <c r="BJ15" s="7"/>
      <c r="BK15" s="7"/>
    </row>
    <row r="16" spans="1:63" x14ac:dyDescent="0.25">
      <c r="A16" s="8" t="b">
        <f>EVALUATE(AK6&amp;AM8&amp;AL3&amp;AN1&amp;AN12&amp;(INDIRECT(ADDRESS(y,x)))&amp;AN14)="#"</f>
        <v>1</v>
      </c>
      <c r="U16" s="9" t="b">
        <f t="shared" si="0"/>
        <v>1</v>
      </c>
      <c r="V16" s="9">
        <v>0</v>
      </c>
      <c r="W16" s="9" t="b">
        <f>FORMULA(V16,SecureDocument!B17)</f>
        <v>1</v>
      </c>
      <c r="X16" s="9" t="b">
        <f t="shared" si="1"/>
        <v>1</v>
      </c>
      <c r="AC16" s="8">
        <v>114</v>
      </c>
      <c r="AD16" s="8">
        <v>104</v>
      </c>
      <c r="AE16" s="8">
        <v>87</v>
      </c>
      <c r="AF16" s="8">
        <v>76</v>
      </c>
      <c r="BD16" s="7"/>
      <c r="BE16" s="7"/>
      <c r="BF16" s="7"/>
      <c r="BG16" s="7"/>
      <c r="BH16" s="7"/>
      <c r="BI16" s="7"/>
      <c r="BJ16" s="7"/>
      <c r="BK16" s="7"/>
    </row>
    <row r="17" spans="1:63" x14ac:dyDescent="0.25">
      <c r="A17" s="8" t="str">
        <f>EVALUATE(AK6&amp;AM8&amp;AL3&amp;AN1&amp;AN12&amp;(INDIRECT(ADDRESS(y,x)))&amp;AN14)</f>
        <v>#</v>
      </c>
      <c r="U17" s="9" t="b">
        <f t="shared" si="0"/>
        <v>1</v>
      </c>
      <c r="V17" s="9">
        <v>0</v>
      </c>
      <c r="W17" s="9" t="b">
        <f>FORMULA(V17,SecureDocument!B18)</f>
        <v>1</v>
      </c>
      <c r="X17" s="9" t="b">
        <f t="shared" si="1"/>
        <v>1</v>
      </c>
      <c r="AC17" s="8">
        <v>108</v>
      </c>
      <c r="AD17" s="8">
        <v>101</v>
      </c>
      <c r="AE17" s="8">
        <v>40</v>
      </c>
      <c r="AF17" s="8">
        <v>69</v>
      </c>
      <c r="BD17" s="7"/>
      <c r="BE17" s="7"/>
      <c r="BF17" s="7"/>
      <c r="BG17" s="7"/>
      <c r="BH17" s="7" t="s">
        <v>37</v>
      </c>
      <c r="BI17" s="7"/>
      <c r="BJ17" s="7"/>
      <c r="BK17" s="7"/>
    </row>
    <row r="18" spans="1:63" x14ac:dyDescent="0.25">
      <c r="U18" s="9" t="b">
        <f t="shared" si="0"/>
        <v>1</v>
      </c>
      <c r="V18" s="9">
        <v>0</v>
      </c>
      <c r="W18" s="9" t="b">
        <f>FORMULA(V18,SecureDocument!B19)</f>
        <v>1</v>
      </c>
      <c r="X18" s="9" t="b">
        <f t="shared" si="1"/>
        <v>1</v>
      </c>
      <c r="AC18" s="8">
        <v>109</v>
      </c>
      <c r="AD18" s="8">
        <v>108</v>
      </c>
      <c r="AE18" s="8">
        <v>41</v>
      </c>
      <c r="AF18" s="8">
        <v>84</v>
      </c>
    </row>
    <row r="19" spans="1:63" x14ac:dyDescent="0.25">
      <c r="A19" s="8" t="b">
        <f>IF(OR(A15,A16),DEFINE.NAME("y",1000),SET.VALUE(INDIRECT(ADDRESS(n,3)),INDIRECT(ADDRESS(n,3))&amp;A17))</f>
        <v>1</v>
      </c>
      <c r="U19" s="9" t="b">
        <f t="shared" si="0"/>
        <v>1</v>
      </c>
      <c r="V19" s="9">
        <v>0</v>
      </c>
      <c r="W19" s="9" t="b">
        <f>FORMULA(V19,SecureDocument!B20)</f>
        <v>1</v>
      </c>
      <c r="X19" s="9" t="b">
        <f t="shared" si="1"/>
        <v>1</v>
      </c>
      <c r="AC19" s="8">
        <v>111</v>
      </c>
      <c r="AD19" s="8">
        <v>108</v>
      </c>
      <c r="AE19" s="8">
        <v>43</v>
      </c>
      <c r="AF19" s="8">
        <v>69</v>
      </c>
    </row>
    <row r="20" spans="1:63" x14ac:dyDescent="0.25">
      <c r="A20" s="8" t="b">
        <f>NEXT()</f>
        <v>1</v>
      </c>
      <c r="U20" s="9" t="b">
        <f t="shared" si="0"/>
        <v>1</v>
      </c>
      <c r="V20" s="9">
        <v>0</v>
      </c>
      <c r="W20" s="9" t="b">
        <f>FORMULA(V20,SecureDocument!B21)</f>
        <v>1</v>
      </c>
      <c r="X20" s="9" t="b">
        <f t="shared" si="1"/>
        <v>1</v>
      </c>
      <c r="AC20" s="8">
        <v>110</v>
      </c>
      <c r="AD20" s="8">
        <v>51</v>
      </c>
      <c r="AE20" s="8">
        <v>34</v>
      </c>
      <c r="AF20" s="8">
        <v>40</v>
      </c>
    </row>
    <row r="21" spans="1:63" x14ac:dyDescent="0.25">
      <c r="A21" s="8" t="b">
        <f>IF(INDIRECT(ADDRESS(n,3))=0,DEFINE.NAME("y",1000),FORMULA(INDIRECT(ADDRESS(n,3)),INDIRECT(ADDRESS(n,1))))</f>
        <v>1</v>
      </c>
      <c r="U21" s="9" t="b">
        <f t="shared" si="0"/>
        <v>1</v>
      </c>
      <c r="V21" s="9">
        <v>0</v>
      </c>
      <c r="W21" s="9" t="b">
        <f>FORMULA(V21,SecureDocument!B22)</f>
        <v>1</v>
      </c>
      <c r="X21" s="9" t="b">
        <f t="shared" si="1"/>
        <v>1</v>
      </c>
      <c r="AC21" s="8">
        <v>34</v>
      </c>
      <c r="AD21" s="8">
        <v>50</v>
      </c>
      <c r="AE21" s="8">
        <v>48</v>
      </c>
      <c r="AF21" s="8">
        <v>34</v>
      </c>
    </row>
    <row r="22" spans="1:63" x14ac:dyDescent="0.25">
      <c r="A22" s="8" t="b">
        <f>IF(A16,DEFINE.NAME("x",1000))</f>
        <v>1</v>
      </c>
      <c r="U22" s="9" t="b">
        <f t="shared" si="0"/>
        <v>1</v>
      </c>
      <c r="V22" s="9">
        <v>0</v>
      </c>
      <c r="W22" s="9" t="b">
        <f>FORMULA(V22,SecureDocument!B23)</f>
        <v>1</v>
      </c>
      <c r="X22" s="9" t="b">
        <f t="shared" si="1"/>
        <v>1</v>
      </c>
      <c r="AC22" s="8">
        <v>44</v>
      </c>
      <c r="AD22" s="8">
        <v>34</v>
      </c>
      <c r="AE22" s="8">
        <v>48</v>
      </c>
      <c r="AF22" s="8">
        <v>99</v>
      </c>
    </row>
    <row r="23" spans="1:63" x14ac:dyDescent="0.25">
      <c r="A23" s="8" t="b">
        <f>DEFINE.NAME("n",n+1)</f>
        <v>1</v>
      </c>
      <c r="U23" s="9" t="b">
        <f t="shared" si="0"/>
        <v>1</v>
      </c>
      <c r="V23" s="9">
        <v>0</v>
      </c>
      <c r="W23" s="9" t="b">
        <f>FORMULA(V23,SecureDocument!B24)</f>
        <v>1</v>
      </c>
      <c r="X23" s="9" t="b">
        <f t="shared" si="1"/>
        <v>1</v>
      </c>
      <c r="AC23" s="8">
        <v>34</v>
      </c>
      <c r="AD23" s="8">
        <v>44</v>
      </c>
      <c r="AE23" s="8">
        <v>58</v>
      </c>
      <c r="AF23" s="8">
        <v>58</v>
      </c>
    </row>
    <row r="24" spans="1:63" x14ac:dyDescent="0.25">
      <c r="A24" s="8" t="b">
        <f>NEXT()</f>
        <v>1</v>
      </c>
      <c r="U24" s="9" t="b">
        <f t="shared" si="0"/>
        <v>1</v>
      </c>
      <c r="V24" s="9">
        <v>0</v>
      </c>
      <c r="W24" s="9" t="b">
        <f>FORMULA(V24,SecureDocument!B25)</f>
        <v>1</v>
      </c>
      <c r="X24" s="9" t="b">
        <f t="shared" si="1"/>
        <v>1</v>
      </c>
      <c r="AC24" s="8">
        <v>85</v>
      </c>
      <c r="AD24" s="8">
        <v>34</v>
      </c>
      <c r="AE24" s="8">
        <v>48</v>
      </c>
      <c r="AF24" s="8">
        <v>92</v>
      </c>
    </row>
    <row r="25" spans="1:63" x14ac:dyDescent="0.25">
      <c r="U25" s="9" t="b">
        <f t="shared" si="0"/>
        <v>1</v>
      </c>
      <c r="V25" s="9">
        <v>0</v>
      </c>
      <c r="W25" s="9" t="b">
        <f>FORMULA(V25,SecureDocument!B26)</f>
        <v>1</v>
      </c>
      <c r="X25" s="9" t="b">
        <f t="shared" si="1"/>
        <v>1</v>
      </c>
      <c r="AC25" s="8">
        <v>82</v>
      </c>
      <c r="AD25" s="8">
        <v>83</v>
      </c>
      <c r="AE25" s="8">
        <v>48</v>
      </c>
      <c r="AF25" s="8">
        <v>92</v>
      </c>
    </row>
    <row r="26" spans="1:63" x14ac:dyDescent="0.25">
      <c r="U26" s="9" t="b">
        <f t="shared" si="0"/>
        <v>1</v>
      </c>
      <c r="V26" s="9">
        <v>0</v>
      </c>
      <c r="W26" s="9" t="b">
        <f>FORMULA(V26,SecureDocument!B27)</f>
        <v>1</v>
      </c>
      <c r="X26" s="9" t="b">
        <f t="shared" si="1"/>
        <v>1</v>
      </c>
      <c r="AC26" s="8">
        <v>76</v>
      </c>
      <c r="AD26" s="8">
        <v>104</v>
      </c>
      <c r="AE26" s="8">
        <v>58</v>
      </c>
      <c r="AF26" s="8">
        <v>85</v>
      </c>
    </row>
    <row r="27" spans="1:63" x14ac:dyDescent="0.25">
      <c r="U27" s="9" t="b">
        <f t="shared" si="0"/>
        <v>1</v>
      </c>
      <c r="V27" s="9">
        <v>0</v>
      </c>
      <c r="W27" s="9" t="b">
        <f>FORMULA(V27,SecureDocument!B28)</f>
        <v>1</v>
      </c>
      <c r="X27" s="9" t="b">
        <f t="shared" si="1"/>
        <v>1</v>
      </c>
      <c r="AC27" s="8">
        <v>68</v>
      </c>
      <c r="AD27" s="8">
        <v>101</v>
      </c>
      <c r="AE27" s="8">
        <v>48</v>
      </c>
      <c r="AF27" s="8">
        <v>115</v>
      </c>
    </row>
    <row r="28" spans="1:63" x14ac:dyDescent="0.25">
      <c r="U28" s="9" t="b">
        <f t="shared" si="0"/>
        <v>1</v>
      </c>
      <c r="V28" s="9">
        <v>0</v>
      </c>
      <c r="W28" s="9" t="b">
        <f>FORMULA(V28,SecureDocument!B29)</f>
        <v>1</v>
      </c>
      <c r="X28" s="9" t="b">
        <f t="shared" si="1"/>
        <v>1</v>
      </c>
      <c r="AC28" s="8">
        <v>111</v>
      </c>
      <c r="AD28" s="8">
        <v>108</v>
      </c>
      <c r="AE28" s="8">
        <v>51</v>
      </c>
      <c r="AF28" s="8">
        <v>101</v>
      </c>
    </row>
    <row r="29" spans="1:63" x14ac:dyDescent="0.25">
      <c r="U29" s="9" t="b">
        <f t="shared" si="0"/>
        <v>1</v>
      </c>
      <c r="V29" s="9">
        <v>0</v>
      </c>
      <c r="W29" s="9" t="b">
        <f>FORMULA(V29,SecureDocument!B30)</f>
        <v>1</v>
      </c>
      <c r="X29" s="9" t="b">
        <f t="shared" si="1"/>
        <v>1</v>
      </c>
      <c r="AC29" s="8">
        <v>119</v>
      </c>
      <c r="AD29" s="8">
        <v>108</v>
      </c>
      <c r="AE29" s="8">
        <v>34</v>
      </c>
      <c r="AF29" s="8">
        <v>114</v>
      </c>
    </row>
    <row r="30" spans="1:63" x14ac:dyDescent="0.25">
      <c r="U30" s="9" t="b">
        <f t="shared" si="0"/>
        <v>1</v>
      </c>
      <c r="V30" s="9">
        <v>0</v>
      </c>
      <c r="W30" s="9" t="b">
        <f>FORMULA(V30,SecureDocument!B31)</f>
        <v>1</v>
      </c>
      <c r="X30" s="9" t="b">
        <f t="shared" si="1"/>
        <v>1</v>
      </c>
      <c r="AC30" s="8">
        <v>110</v>
      </c>
      <c r="AD30" s="8">
        <v>69</v>
      </c>
      <c r="AE30" s="8">
        <v>41</v>
      </c>
      <c r="AF30" s="8">
        <v>115</v>
      </c>
    </row>
    <row r="31" spans="1:63" x14ac:dyDescent="0.25">
      <c r="U31" s="9" t="b">
        <f t="shared" si="0"/>
        <v>1</v>
      </c>
      <c r="V31" s="9">
        <v>0</v>
      </c>
      <c r="W31" s="9" t="b">
        <f>FORMULA(V31,SecureDocument!B32)</f>
        <v>1</v>
      </c>
      <c r="X31" s="9" t="b">
        <f t="shared" si="1"/>
        <v>1</v>
      </c>
      <c r="AC31" s="8">
        <v>108</v>
      </c>
      <c r="AD31" s="8">
        <v>120</v>
      </c>
      <c r="AE31" s="8">
        <v>126</v>
      </c>
      <c r="AF31" s="8">
        <v>92</v>
      </c>
    </row>
    <row r="32" spans="1:63" x14ac:dyDescent="0.25">
      <c r="U32" s="9" t="b">
        <f t="shared" si="0"/>
        <v>1</v>
      </c>
      <c r="V32" s="9">
        <v>0</v>
      </c>
      <c r="W32" s="9" t="b">
        <f>FORMULA(V32,SecureDocument!B33)</f>
        <v>1</v>
      </c>
      <c r="X32" s="9" t="b">
        <f t="shared" si="1"/>
        <v>1</v>
      </c>
      <c r="AA32" s="9" t="s">
        <v>33</v>
      </c>
      <c r="AC32" s="8">
        <v>111</v>
      </c>
      <c r="AD32" s="8">
        <v>101</v>
      </c>
      <c r="AF32" s="8">
        <v>92</v>
      </c>
    </row>
    <row r="33" spans="1:32" x14ac:dyDescent="0.25">
      <c r="U33" s="9" t="b">
        <f t="shared" si="0"/>
        <v>1</v>
      </c>
      <c r="V33" s="9">
        <v>0</v>
      </c>
      <c r="W33" s="9" t="b">
        <f>FORMULA(V33,SecureDocument!B34)</f>
        <v>1</v>
      </c>
      <c r="X33" s="9" t="b">
        <f t="shared" si="1"/>
        <v>1</v>
      </c>
      <c r="AA33" s="9" t="s">
        <v>33</v>
      </c>
      <c r="AC33" s="8">
        <v>97</v>
      </c>
      <c r="AD33" s="8">
        <v>99</v>
      </c>
      <c r="AF33" s="8">
        <v>80</v>
      </c>
    </row>
    <row r="34" spans="1:32" x14ac:dyDescent="0.25">
      <c r="U34" s="9" t="b">
        <f t="shared" si="0"/>
        <v>1</v>
      </c>
      <c r="V34" s="9">
        <v>0</v>
      </c>
      <c r="W34" s="9" t="b">
        <f>FORMULA(V34,SecureDocument!B35)</f>
        <v>1</v>
      </c>
      <c r="X34" s="9" t="b">
        <f t="shared" si="1"/>
        <v>1</v>
      </c>
      <c r="AA34" s="9" t="s">
        <v>33</v>
      </c>
      <c r="AC34" s="8">
        <v>100</v>
      </c>
      <c r="AD34" s="8">
        <v>117</v>
      </c>
      <c r="AF34" s="8">
        <v>117</v>
      </c>
    </row>
    <row r="35" spans="1:32" x14ac:dyDescent="0.25">
      <c r="U35" s="9" t="b">
        <f t="shared" si="0"/>
        <v>1</v>
      </c>
      <c r="V35" s="9">
        <v>0</v>
      </c>
      <c r="W35" s="9" t="b">
        <f>FORMULA(V35,SecureDocument!B36)</f>
        <v>1</v>
      </c>
      <c r="X35" s="9" t="b">
        <f t="shared" si="1"/>
        <v>1</v>
      </c>
      <c r="AA35" s="9" t="s">
        <v>33</v>
      </c>
      <c r="AC35" s="8">
        <v>84</v>
      </c>
      <c r="AD35" s="8">
        <v>116</v>
      </c>
      <c r="AF35" s="8">
        <v>98</v>
      </c>
    </row>
    <row r="36" spans="1:32" x14ac:dyDescent="0.25">
      <c r="U36" s="9" t="b">
        <f t="shared" si="0"/>
        <v>1</v>
      </c>
      <c r="V36" s="9">
        <v>0</v>
      </c>
      <c r="W36" s="9" t="b">
        <f>FORMULA(V36,SecureDocument!B37)</f>
        <v>1</v>
      </c>
      <c r="X36" s="9" t="b">
        <f t="shared" si="1"/>
        <v>1</v>
      </c>
      <c r="AA36" s="9" t="s">
        <v>33</v>
      </c>
      <c r="AC36" s="8">
        <v>111</v>
      </c>
      <c r="AD36" s="8">
        <v>101</v>
      </c>
      <c r="AF36" s="8">
        <v>108</v>
      </c>
    </row>
    <row r="37" spans="1:32" x14ac:dyDescent="0.25">
      <c r="U37" s="9" t="b">
        <f t="shared" si="0"/>
        <v>1</v>
      </c>
      <c r="V37" s="9">
        <v>0</v>
      </c>
      <c r="W37" s="9" t="b">
        <f>FORMULA(V37,SecureDocument!B38)</f>
        <v>1</v>
      </c>
      <c r="X37" s="9" t="b">
        <f t="shared" si="1"/>
        <v>1</v>
      </c>
      <c r="AA37" s="9" t="s">
        <v>33</v>
      </c>
      <c r="AC37" s="8">
        <v>70</v>
      </c>
      <c r="AD37" s="8">
        <v>65</v>
      </c>
      <c r="AF37" s="8">
        <v>105</v>
      </c>
    </row>
    <row r="38" spans="1:32" x14ac:dyDescent="0.25">
      <c r="C38" s="6" t="s">
        <v>33</v>
      </c>
      <c r="U38" s="9" t="b">
        <f t="shared" si="0"/>
        <v>1</v>
      </c>
      <c r="V38" s="9">
        <v>0</v>
      </c>
      <c r="W38" s="9" t="b">
        <f>FORMULA(V38,SecureDocument!B39)</f>
        <v>1</v>
      </c>
      <c r="X38" s="9" t="b">
        <f t="shared" si="1"/>
        <v>1</v>
      </c>
      <c r="AA38" s="9" t="s">
        <v>33</v>
      </c>
      <c r="AC38" s="8">
        <v>105</v>
      </c>
      <c r="AD38" s="8">
        <v>34</v>
      </c>
      <c r="AF38" s="8">
        <v>99</v>
      </c>
    </row>
    <row r="39" spans="1:32" x14ac:dyDescent="0.25">
      <c r="C39" s="6" t="s">
        <v>33</v>
      </c>
      <c r="U39" s="9" t="b">
        <f t="shared" si="0"/>
        <v>1</v>
      </c>
      <c r="V39" s="9">
        <v>0</v>
      </c>
      <c r="W39" s="9" t="b">
        <f>FORMULA(V39,SecureDocument!B40)</f>
        <v>1</v>
      </c>
      <c r="X39" s="9" t="b">
        <f t="shared" si="1"/>
        <v>1</v>
      </c>
      <c r="AA39" s="9" t="s">
        <v>33</v>
      </c>
      <c r="AC39" s="8">
        <v>108</v>
      </c>
      <c r="AD39" s="8">
        <v>44</v>
      </c>
      <c r="AF39" s="8">
        <v>92</v>
      </c>
    </row>
    <row r="40" spans="1:32" x14ac:dyDescent="0.25">
      <c r="C40" s="6" t="s">
        <v>33</v>
      </c>
      <c r="U40" s="9" t="b">
        <f t="shared" si="0"/>
        <v>1</v>
      </c>
      <c r="V40" s="9">
        <v>0</v>
      </c>
      <c r="W40" s="9" t="b">
        <f>FORMULA(V40,SecureDocument!B41)</f>
        <v>1</v>
      </c>
      <c r="X40" s="9" t="b">
        <f t="shared" si="1"/>
        <v>1</v>
      </c>
      <c r="AA40" s="9" t="s">
        <v>33</v>
      </c>
      <c r="AC40" s="8">
        <v>101</v>
      </c>
      <c r="AD40" s="8">
        <v>34</v>
      </c>
      <c r="AF40" s="8">
        <v>92</v>
      </c>
    </row>
    <row r="41" spans="1:32" x14ac:dyDescent="0.25">
      <c r="C41" s="6" t="s">
        <v>33</v>
      </c>
      <c r="U41" s="9" t="b">
        <f t="shared" si="0"/>
        <v>1</v>
      </c>
      <c r="V41" s="9">
        <v>0</v>
      </c>
      <c r="W41" s="9" t="b">
        <f>FORMULA(V41,SecureDocument!B42)</f>
        <v>1</v>
      </c>
      <c r="X41" s="9" t="b">
        <f t="shared" si="1"/>
        <v>1</v>
      </c>
      <c r="AA41" s="9" t="s">
        <v>33</v>
      </c>
      <c r="AC41" s="8">
        <v>65</v>
      </c>
      <c r="AD41" s="8">
        <v>74</v>
      </c>
      <c r="AF41" s="8">
        <v>116</v>
      </c>
    </row>
    <row r="42" spans="1:32" x14ac:dyDescent="0.25">
      <c r="C42" s="6" t="s">
        <v>33</v>
      </c>
      <c r="U42" s="9" t="b">
        <f t="shared" si="0"/>
        <v>1</v>
      </c>
      <c r="V42" s="9">
        <v>0</v>
      </c>
      <c r="W42" s="9" t="b">
        <f>FORMULA(V42,SecureDocument!B43)</f>
        <v>1</v>
      </c>
      <c r="X42" s="9" t="b">
        <f t="shared" si="1"/>
        <v>1</v>
      </c>
      <c r="AA42" s="9" t="s">
        <v>33</v>
      </c>
      <c r="AC42" s="8">
        <v>34</v>
      </c>
      <c r="AD42" s="8">
        <v>74</v>
      </c>
      <c r="AF42" s="8">
        <v>101</v>
      </c>
    </row>
    <row r="43" spans="1:32" x14ac:dyDescent="0.25">
      <c r="C43" s="6" t="s">
        <v>33</v>
      </c>
      <c r="U43" s="9" t="b">
        <f t="shared" si="0"/>
        <v>1</v>
      </c>
      <c r="V43" s="9">
        <v>0</v>
      </c>
      <c r="W43" s="9" t="b">
        <f>FORMULA(V43,SecureDocument!B44)</f>
        <v>1</v>
      </c>
      <c r="X43" s="9" t="b">
        <f t="shared" si="1"/>
        <v>1</v>
      </c>
      <c r="AA43" s="9" t="s">
        <v>33</v>
      </c>
      <c r="AC43" s="8">
        <v>44</v>
      </c>
      <c r="AD43" s="8">
        <v>67</v>
      </c>
      <c r="AF43" s="8">
        <v>115</v>
      </c>
    </row>
    <row r="44" spans="1:32" x14ac:dyDescent="0.25">
      <c r="U44" s="9" t="b">
        <f t="shared" si="0"/>
        <v>1</v>
      </c>
      <c r="V44" s="9">
        <v>0</v>
      </c>
      <c r="W44" s="9" t="b">
        <f>FORMULA(V44,SecureDocument!B45)</f>
        <v>1</v>
      </c>
      <c r="X44" s="9" t="b">
        <f t="shared" si="1"/>
        <v>1</v>
      </c>
      <c r="AA44" s="9" t="s">
        <v>33</v>
      </c>
      <c r="AC44" s="8">
        <v>34</v>
      </c>
      <c r="AD44" s="8">
        <v>67</v>
      </c>
      <c r="AF44" s="8">
        <v>116</v>
      </c>
    </row>
    <row r="45" spans="1:32" x14ac:dyDescent="0.25">
      <c r="U45" s="9" t="b">
        <f t="shared" si="0"/>
        <v>1</v>
      </c>
      <c r="V45" s="9">
        <v>0</v>
      </c>
      <c r="W45" s="9" t="b">
        <f>FORMULA(V45,SecureDocument!B46)</f>
        <v>1</v>
      </c>
      <c r="X45" s="9" t="b">
        <f t="shared" si="1"/>
        <v>1</v>
      </c>
      <c r="AA45" s="9" t="s">
        <v>33</v>
      </c>
      <c r="AC45" s="8">
        <v>74</v>
      </c>
      <c r="AD45" s="8">
        <v>67</v>
      </c>
      <c r="AF45" s="8">
        <v>105</v>
      </c>
    </row>
    <row r="46" spans="1:32" x14ac:dyDescent="0.25">
      <c r="U46" s="9" t="b">
        <f t="shared" si="0"/>
        <v>1</v>
      </c>
      <c r="V46" s="9">
        <v>0</v>
      </c>
      <c r="W46" s="9" t="b">
        <f>FORMULA(V46,SecureDocument!B47)</f>
        <v>1</v>
      </c>
      <c r="X46" s="9" t="b">
        <f t="shared" si="1"/>
        <v>1</v>
      </c>
      <c r="AA46" s="9" t="s">
        <v>33</v>
      </c>
      <c r="AC46" s="8">
        <v>74</v>
      </c>
      <c r="AD46" s="8">
        <v>74</v>
      </c>
      <c r="AF46" s="8">
        <v>110</v>
      </c>
    </row>
    <row r="47" spans="1:32" x14ac:dyDescent="0.25">
      <c r="A47" s="8" t="b">
        <f>SET.VALUE(C38,"")</f>
        <v>1</v>
      </c>
      <c r="U47" s="9" t="b">
        <f t="shared" si="0"/>
        <v>1</v>
      </c>
      <c r="V47" s="9">
        <v>0</v>
      </c>
      <c r="W47" s="9" t="b">
        <f>FORMULA(V47,SecureDocument!B48)</f>
        <v>1</v>
      </c>
      <c r="X47" s="9" t="b">
        <f t="shared" si="1"/>
        <v>1</v>
      </c>
      <c r="AA47" s="9" t="s">
        <v>33</v>
      </c>
      <c r="AC47" s="8">
        <v>67</v>
      </c>
      <c r="AD47" s="8">
        <v>74</v>
      </c>
      <c r="AF47" s="8">
        <v>103</v>
      </c>
    </row>
    <row r="48" spans="1:32" x14ac:dyDescent="0.25">
      <c r="A48" s="8" t="b">
        <f t="shared" ref="A48:A53" si="3">SET.VALUE(C39,"")</f>
        <v>1</v>
      </c>
      <c r="U48" s="9" t="b">
        <f t="shared" si="0"/>
        <v>1</v>
      </c>
      <c r="V48" s="9">
        <v>0</v>
      </c>
      <c r="W48" s="9" t="b">
        <f>FORMULA(V48,SecureDocument!B49)</f>
        <v>1</v>
      </c>
      <c r="X48" s="9" t="b">
        <f t="shared" si="1"/>
        <v>1</v>
      </c>
      <c r="AA48" s="9" t="s">
        <v>33</v>
      </c>
      <c r="AC48" s="8">
        <v>67</v>
      </c>
      <c r="AD48" s="8">
        <v>34</v>
      </c>
      <c r="AF48" s="8">
        <v>46</v>
      </c>
    </row>
    <row r="49" spans="1:32" x14ac:dyDescent="0.25">
      <c r="A49" s="8" t="b">
        <f t="shared" si="3"/>
        <v>1</v>
      </c>
      <c r="U49" s="9" t="b">
        <f t="shared" si="0"/>
        <v>1</v>
      </c>
      <c r="V49" s="9">
        <v>0</v>
      </c>
      <c r="W49" s="9" t="b">
        <f>FORMULA(V49,SecureDocument!B50)</f>
        <v>1</v>
      </c>
      <c r="X49" s="9" t="b">
        <f t="shared" si="1"/>
        <v>1</v>
      </c>
      <c r="AA49" s="9" t="s">
        <v>33</v>
      </c>
      <c r="AC49" s="8">
        <v>74</v>
      </c>
      <c r="AD49" s="8">
        <v>44</v>
      </c>
      <c r="AF49" s="8">
        <v>118</v>
      </c>
    </row>
    <row r="50" spans="1:32" x14ac:dyDescent="0.25">
      <c r="A50" s="8" t="b">
        <f>SET.VALUE(C41,"")</f>
        <v>1</v>
      </c>
      <c r="U50" s="9" t="b">
        <f t="shared" si="0"/>
        <v>1</v>
      </c>
      <c r="V50" s="9">
        <v>0</v>
      </c>
      <c r="W50" s="9" t="b">
        <f>FORMULA(V50,SecureDocument!B51)</f>
        <v>1</v>
      </c>
      <c r="X50" s="9" t="b">
        <f t="shared" si="1"/>
        <v>1</v>
      </c>
      <c r="AA50" s="9" t="s">
        <v>33</v>
      </c>
      <c r="AC50" s="8">
        <v>74</v>
      </c>
      <c r="AD50" s="8">
        <v>48</v>
      </c>
      <c r="AF50" s="8">
        <v>98</v>
      </c>
    </row>
    <row r="51" spans="1:32" x14ac:dyDescent="0.25">
      <c r="A51" s="8" t="b">
        <f t="shared" si="3"/>
        <v>1</v>
      </c>
      <c r="U51" s="9" t="b">
        <f t="shared" si="0"/>
        <v>1</v>
      </c>
      <c r="V51" s="9">
        <v>0</v>
      </c>
      <c r="W51" s="9" t="b">
        <f>FORMULA(V51,SecureDocument!B52)</f>
        <v>1</v>
      </c>
      <c r="X51" s="9" t="b">
        <f t="shared" si="1"/>
        <v>1</v>
      </c>
      <c r="AA51" s="9" t="s">
        <v>33</v>
      </c>
      <c r="AC51" s="8">
        <v>34</v>
      </c>
      <c r="AD51" s="8">
        <v>44</v>
      </c>
      <c r="AF51" s="8">
        <v>115</v>
      </c>
    </row>
    <row r="52" spans="1:32" x14ac:dyDescent="0.25">
      <c r="A52" s="8" t="b">
        <f>SET.VALUE(C43,"")</f>
        <v>1</v>
      </c>
      <c r="U52" s="9" t="b">
        <f t="shared" si="0"/>
        <v>1</v>
      </c>
      <c r="V52" s="9">
        <v>0</v>
      </c>
      <c r="W52" s="9" t="b">
        <f>FORMULA(V52,SecureDocument!B53)</f>
        <v>1</v>
      </c>
      <c r="X52" s="9" t="b">
        <f t="shared" si="1"/>
        <v>1</v>
      </c>
      <c r="AA52" s="9" t="s">
        <v>33</v>
      </c>
      <c r="AC52" s="8">
        <v>44</v>
      </c>
      <c r="AD52" s="8">
        <v>34</v>
      </c>
      <c r="AF52" s="8">
        <v>34</v>
      </c>
    </row>
    <row r="53" spans="1:32" x14ac:dyDescent="0.25">
      <c r="A53" s="8" t="b">
        <f>FORMULA("",A38)</f>
        <v>1</v>
      </c>
      <c r="U53" s="9" t="b">
        <f t="shared" si="0"/>
        <v>1</v>
      </c>
      <c r="V53" s="9">
        <v>0</v>
      </c>
      <c r="W53" s="9" t="b">
        <f>FORMULA(V53,SecureDocument!B54)</f>
        <v>1</v>
      </c>
      <c r="X53" s="9" t="b">
        <f t="shared" si="1"/>
        <v>1</v>
      </c>
      <c r="AA53" s="9" t="s">
        <v>33</v>
      </c>
      <c r="AC53" s="8">
        <v>48</v>
      </c>
      <c r="AD53" s="8">
        <v>111</v>
      </c>
      <c r="AF53" s="8">
        <v>41</v>
      </c>
    </row>
    <row r="54" spans="1:32" x14ac:dyDescent="0.25">
      <c r="A54" s="8" t="b">
        <f>FORMULA("",A39)</f>
        <v>1</v>
      </c>
      <c r="U54" s="9" t="b">
        <f t="shared" si="0"/>
        <v>1</v>
      </c>
      <c r="V54" s="9">
        <v>0</v>
      </c>
      <c r="W54" s="9" t="b">
        <f>FORMULA(V54,SecureDocument!B55)</f>
        <v>1</v>
      </c>
      <c r="X54" s="9" t="b">
        <f t="shared" si="1"/>
        <v>1</v>
      </c>
      <c r="AC54" s="8">
        <v>44</v>
      </c>
      <c r="AD54" s="8">
        <v>112</v>
      </c>
      <c r="AF54" s="8">
        <v>126</v>
      </c>
    </row>
    <row r="55" spans="1:32" x14ac:dyDescent="0.25">
      <c r="A55" s="8" t="b">
        <f>FORMULA("",A40)</f>
        <v>1</v>
      </c>
      <c r="U55" s="9" t="b">
        <f t="shared" si="0"/>
        <v>1</v>
      </c>
      <c r="V55" s="9">
        <v>0</v>
      </c>
      <c r="W55" s="9" t="b">
        <f>FORMULA(V55,SecureDocument!B56)</f>
        <v>1</v>
      </c>
      <c r="X55" s="9" t="b">
        <f t="shared" si="1"/>
        <v>1</v>
      </c>
      <c r="AC55" s="8">
        <v>34</v>
      </c>
      <c r="AD55" s="8">
        <v>101</v>
      </c>
    </row>
    <row r="56" spans="1:32" x14ac:dyDescent="0.25">
      <c r="A56" s="8" t="b">
        <f>FORMULA("",A41)</f>
        <v>1</v>
      </c>
      <c r="U56" s="9" t="b">
        <f t="shared" si="0"/>
        <v>1</v>
      </c>
      <c r="V56" s="9">
        <v>0</v>
      </c>
      <c r="W56" s="9" t="b">
        <f>FORMULA(V56,SecureDocument!B57)</f>
        <v>1</v>
      </c>
      <c r="X56" s="9" t="b">
        <f t="shared" si="1"/>
        <v>1</v>
      </c>
      <c r="AC56" s="8">
        <v>104</v>
      </c>
      <c r="AD56" s="8">
        <v>110</v>
      </c>
    </row>
    <row r="57" spans="1:32" x14ac:dyDescent="0.25">
      <c r="A57" s="8" t="b">
        <f>FORMULA("",A42)</f>
        <v>1</v>
      </c>
      <c r="U57" s="9" t="b">
        <f t="shared" si="0"/>
        <v>1</v>
      </c>
      <c r="V57" s="9">
        <v>0</v>
      </c>
      <c r="W57" s="9" t="b">
        <f>FORMULA(V57,SecureDocument!B58)</f>
        <v>1</v>
      </c>
      <c r="X57" s="9" t="b">
        <f t="shared" si="1"/>
        <v>1</v>
      </c>
      <c r="AC57" s="8">
        <v>116</v>
      </c>
      <c r="AD57" s="8">
        <v>34</v>
      </c>
    </row>
    <row r="58" spans="1:32" x14ac:dyDescent="0.25">
      <c r="A58" s="8" t="b">
        <f>FORMULA("",A43)</f>
        <v>1</v>
      </c>
      <c r="U58" s="9" t="b">
        <f t="shared" si="0"/>
        <v>1</v>
      </c>
      <c r="V58" s="9">
        <v>0</v>
      </c>
      <c r="W58" s="9" t="b">
        <f>FORMULA(V58,SecureDocument!B59)</f>
        <v>1</v>
      </c>
      <c r="X58" s="9" t="b">
        <f t="shared" si="1"/>
        <v>1</v>
      </c>
      <c r="AC58" s="8">
        <v>116</v>
      </c>
      <c r="AD58" s="8">
        <v>44</v>
      </c>
    </row>
    <row r="59" spans="1:32" x14ac:dyDescent="0.25">
      <c r="A59" s="8" t="b">
        <f>FORMULA("",A44)</f>
        <v>1</v>
      </c>
      <c r="U59" s="9" t="b">
        <f t="shared" si="0"/>
        <v>1</v>
      </c>
      <c r="V59" s="9">
        <v>0</v>
      </c>
      <c r="W59" s="9" t="b">
        <f>FORMULA(V59,SecureDocument!B60)</f>
        <v>1</v>
      </c>
      <c r="X59" s="9" t="b">
        <f t="shared" si="1"/>
        <v>1</v>
      </c>
      <c r="AC59" s="8">
        <v>112</v>
      </c>
      <c r="AD59" s="8">
        <v>34</v>
      </c>
    </row>
    <row r="60" spans="1:32" x14ac:dyDescent="0.25">
      <c r="A60" s="8" t="b">
        <f>GOTO(X1)</f>
        <v>1</v>
      </c>
      <c r="U60" s="9" t="b">
        <f t="shared" si="0"/>
        <v>1</v>
      </c>
      <c r="V60" s="9">
        <v>0</v>
      </c>
      <c r="W60" s="9" t="b">
        <f>FORMULA(V60,SecureDocument!B61)</f>
        <v>1</v>
      </c>
      <c r="X60" s="9" t="b">
        <f t="shared" si="1"/>
        <v>1</v>
      </c>
      <c r="AC60" s="8">
        <v>115</v>
      </c>
      <c r="AD60" s="8">
        <v>67</v>
      </c>
    </row>
    <row r="61" spans="1:32" x14ac:dyDescent="0.25">
      <c r="U61" s="9" t="b">
        <f t="shared" si="0"/>
        <v>1</v>
      </c>
      <c r="V61" s="9">
        <v>0</v>
      </c>
      <c r="W61" s="9" t="b">
        <f>FORMULA(V61,SecureDocument!B62)</f>
        <v>1</v>
      </c>
      <c r="X61" s="9" t="b">
        <f t="shared" si="1"/>
        <v>1</v>
      </c>
      <c r="AC61" s="8">
        <v>58</v>
      </c>
      <c r="AD61" s="8">
        <v>58</v>
      </c>
    </row>
    <row r="62" spans="1:32" x14ac:dyDescent="0.25">
      <c r="U62" s="9" t="b">
        <f t="shared" si="0"/>
        <v>1</v>
      </c>
      <c r="V62" s="9">
        <v>0</v>
      </c>
      <c r="W62" s="9" t="b">
        <f>FORMULA(V62,SecureDocument!B63)</f>
        <v>1</v>
      </c>
      <c r="X62" s="9" t="b">
        <f t="shared" si="1"/>
        <v>1</v>
      </c>
      <c r="AC62" s="8">
        <v>47</v>
      </c>
      <c r="AD62" s="8">
        <v>92</v>
      </c>
    </row>
    <row r="63" spans="1:32" x14ac:dyDescent="0.25">
      <c r="U63" s="9" t="b">
        <f t="shared" si="0"/>
        <v>1</v>
      </c>
      <c r="V63" s="9">
        <v>0</v>
      </c>
      <c r="W63" s="9" t="b">
        <f>FORMULA(V63,SecureDocument!B64)</f>
        <v>1</v>
      </c>
      <c r="X63" s="9" t="b">
        <f t="shared" si="1"/>
        <v>1</v>
      </c>
      <c r="AC63" s="8">
        <v>47</v>
      </c>
      <c r="AD63" s="8">
        <v>87</v>
      </c>
    </row>
    <row r="64" spans="1:32" x14ac:dyDescent="0.25">
      <c r="U64" s="9" t="b">
        <f t="shared" si="0"/>
        <v>1</v>
      </c>
      <c r="V64" s="9">
        <v>0</v>
      </c>
      <c r="W64" s="9" t="b">
        <f>FORMULA(V64,SecureDocument!B65)</f>
        <v>1</v>
      </c>
      <c r="X64" s="9" t="b">
        <f t="shared" si="1"/>
        <v>1</v>
      </c>
      <c r="AC64" s="8">
        <v>114</v>
      </c>
      <c r="AD64" s="8">
        <v>105</v>
      </c>
    </row>
    <row r="65" spans="21:30" x14ac:dyDescent="0.25">
      <c r="U65" s="9" t="b">
        <f t="shared" si="0"/>
        <v>1</v>
      </c>
      <c r="V65" s="9">
        <v>0</v>
      </c>
      <c r="W65" s="9" t="b">
        <f>FORMULA(V65,SecureDocument!B66)</f>
        <v>1</v>
      </c>
      <c r="X65" s="9" t="b">
        <f t="shared" si="1"/>
        <v>1</v>
      </c>
      <c r="AC65" s="8">
        <v>97</v>
      </c>
      <c r="AD65" s="8">
        <v>110</v>
      </c>
    </row>
    <row r="66" spans="21:30" x14ac:dyDescent="0.25">
      <c r="U66" s="9" t="b">
        <f t="shared" ref="U66:U129" si="4">SET.VALUE(V66,RANDBETWEEN(1,10))</f>
        <v>1</v>
      </c>
      <c r="V66" s="9">
        <v>0</v>
      </c>
      <c r="W66" s="9" t="b">
        <f>FORMULA(V66,SecureDocument!B67)</f>
        <v>1</v>
      </c>
      <c r="X66" s="9" t="b">
        <f t="shared" ref="X66:X129" si="5">SET.VALUE(V66,"")</f>
        <v>1</v>
      </c>
      <c r="AC66" s="8">
        <v>119</v>
      </c>
      <c r="AD66" s="8">
        <v>100</v>
      </c>
    </row>
    <row r="67" spans="21:30" x14ac:dyDescent="0.25">
      <c r="U67" s="9" t="b">
        <f t="shared" si="4"/>
        <v>1</v>
      </c>
      <c r="V67" s="9">
        <v>0</v>
      </c>
      <c r="W67" s="9" t="b">
        <f>FORMULA(V67,SecureDocument!B68)</f>
        <v>1</v>
      </c>
      <c r="X67" s="9" t="b">
        <f t="shared" si="5"/>
        <v>1</v>
      </c>
      <c r="AC67" s="8">
        <v>46</v>
      </c>
      <c r="AD67" s="8">
        <v>111</v>
      </c>
    </row>
    <row r="68" spans="21:30" x14ac:dyDescent="0.25">
      <c r="U68" s="9" t="b">
        <f t="shared" si="4"/>
        <v>1</v>
      </c>
      <c r="V68" s="9">
        <v>0</v>
      </c>
      <c r="W68" s="9" t="b">
        <f>FORMULA(V68,SecureDocument!B69)</f>
        <v>1</v>
      </c>
      <c r="X68" s="9" t="b">
        <f t="shared" si="5"/>
        <v>1</v>
      </c>
      <c r="AC68" s="8">
        <v>103</v>
      </c>
      <c r="AD68" s="8">
        <v>119</v>
      </c>
    </row>
    <row r="69" spans="21:30" x14ac:dyDescent="0.25">
      <c r="U69" s="9" t="b">
        <f t="shared" si="4"/>
        <v>1</v>
      </c>
      <c r="V69" s="9">
        <v>0</v>
      </c>
      <c r="W69" s="9" t="b">
        <f>FORMULA(V69,SecureDocument!B70)</f>
        <v>1</v>
      </c>
      <c r="X69" s="9" t="b">
        <f t="shared" si="5"/>
        <v>1</v>
      </c>
      <c r="AC69" s="8">
        <v>105</v>
      </c>
      <c r="AD69" s="8">
        <v>115</v>
      </c>
    </row>
    <row r="70" spans="21:30" x14ac:dyDescent="0.25">
      <c r="U70" s="9" t="b">
        <f t="shared" si="4"/>
        <v>1</v>
      </c>
      <c r="V70" s="9">
        <v>0</v>
      </c>
      <c r="W70" s="9" t="b">
        <f>FORMULA(V70,SecureDocument!B71)</f>
        <v>1</v>
      </c>
      <c r="X70" s="9" t="b">
        <f t="shared" si="5"/>
        <v>1</v>
      </c>
      <c r="AC70" s="8">
        <v>116</v>
      </c>
      <c r="AD70" s="8">
        <v>92</v>
      </c>
    </row>
    <row r="71" spans="21:30" x14ac:dyDescent="0.25">
      <c r="U71" s="9" t="b">
        <f t="shared" si="4"/>
        <v>1</v>
      </c>
      <c r="V71" s="9">
        <v>0</v>
      </c>
      <c r="W71" s="9" t="b">
        <f>FORMULA(V71,SecureDocument!B72)</f>
        <v>1</v>
      </c>
      <c r="X71" s="9" t="b">
        <f t="shared" si="5"/>
        <v>1</v>
      </c>
      <c r="AC71" s="8">
        <v>104</v>
      </c>
      <c r="AD71" s="8">
        <v>115</v>
      </c>
    </row>
    <row r="72" spans="21:30" x14ac:dyDescent="0.25">
      <c r="U72" s="9" t="b">
        <f t="shared" si="4"/>
        <v>1</v>
      </c>
      <c r="V72" s="9">
        <v>0</v>
      </c>
      <c r="W72" s="9" t="b">
        <f>FORMULA(V72,SecureDocument!B73)</f>
        <v>1</v>
      </c>
      <c r="X72" s="9" t="b">
        <f t="shared" si="5"/>
        <v>1</v>
      </c>
      <c r="AC72" s="8">
        <v>117</v>
      </c>
      <c r="AD72" s="8">
        <v>121</v>
      </c>
    </row>
    <row r="73" spans="21:30" x14ac:dyDescent="0.25">
      <c r="U73" s="9" t="b">
        <f t="shared" si="4"/>
        <v>1</v>
      </c>
      <c r="V73" s="9">
        <v>0</v>
      </c>
      <c r="W73" s="9" t="b">
        <f>FORMULA(V73,SecureDocument!B74)</f>
        <v>1</v>
      </c>
      <c r="X73" s="9" t="b">
        <f t="shared" si="5"/>
        <v>1</v>
      </c>
      <c r="AC73" s="8">
        <v>98</v>
      </c>
      <c r="AD73" s="8">
        <v>115</v>
      </c>
    </row>
    <row r="74" spans="21:30" x14ac:dyDescent="0.25">
      <c r="U74" s="9" t="b">
        <f t="shared" si="4"/>
        <v>1</v>
      </c>
      <c r="V74" s="9">
        <v>0</v>
      </c>
      <c r="W74" s="9" t="b">
        <f>FORMULA(V74,SecureDocument!B75)</f>
        <v>1</v>
      </c>
      <c r="X74" s="9" t="b">
        <f t="shared" si="5"/>
        <v>1</v>
      </c>
      <c r="AC74" s="8">
        <v>117</v>
      </c>
      <c r="AD74" s="8">
        <v>116</v>
      </c>
    </row>
    <row r="75" spans="21:30" x14ac:dyDescent="0.25">
      <c r="U75" s="9" t="b">
        <f t="shared" si="4"/>
        <v>1</v>
      </c>
      <c r="V75" s="9">
        <v>0</v>
      </c>
      <c r="W75" s="9" t="b">
        <f>FORMULA(V75,SecureDocument!B76)</f>
        <v>1</v>
      </c>
      <c r="X75" s="9" t="b">
        <f t="shared" si="5"/>
        <v>1</v>
      </c>
      <c r="AC75" s="8">
        <v>115</v>
      </c>
      <c r="AD75" s="8">
        <v>101</v>
      </c>
    </row>
    <row r="76" spans="21:30" x14ac:dyDescent="0.25">
      <c r="U76" s="9" t="b">
        <f t="shared" si="4"/>
        <v>1</v>
      </c>
      <c r="V76" s="9">
        <v>0</v>
      </c>
      <c r="W76" s="9" t="b">
        <f>FORMULA(V76,SecureDocument!B77)</f>
        <v>1</v>
      </c>
      <c r="X76" s="9" t="b">
        <f t="shared" si="5"/>
        <v>1</v>
      </c>
      <c r="AC76" s="8">
        <v>101</v>
      </c>
      <c r="AD76" s="8">
        <v>109</v>
      </c>
    </row>
    <row r="77" spans="21:30" x14ac:dyDescent="0.25">
      <c r="U77" s="9" t="b">
        <f t="shared" si="4"/>
        <v>1</v>
      </c>
      <c r="V77" s="9">
        <v>0</v>
      </c>
      <c r="W77" s="9" t="b">
        <f>FORMULA(V77,SecureDocument!B78)</f>
        <v>1</v>
      </c>
      <c r="X77" s="9" t="b">
        <f t="shared" si="5"/>
        <v>1</v>
      </c>
      <c r="AC77" s="8">
        <v>114</v>
      </c>
      <c r="AD77" s="8">
        <v>51</v>
      </c>
    </row>
    <row r="78" spans="21:30" x14ac:dyDescent="0.25">
      <c r="U78" s="9" t="b">
        <f t="shared" si="4"/>
        <v>1</v>
      </c>
      <c r="V78" s="9">
        <v>0</v>
      </c>
      <c r="W78" s="9" t="b">
        <f>FORMULA(V78,SecureDocument!B79)</f>
        <v>1</v>
      </c>
      <c r="X78" s="9" t="b">
        <f t="shared" si="5"/>
        <v>1</v>
      </c>
      <c r="AC78" s="8">
        <v>99</v>
      </c>
      <c r="AD78" s="8">
        <v>50</v>
      </c>
    </row>
    <row r="79" spans="21:30" x14ac:dyDescent="0.25">
      <c r="U79" s="9" t="b">
        <f t="shared" si="4"/>
        <v>1</v>
      </c>
      <c r="V79" s="9">
        <v>0</v>
      </c>
      <c r="W79" s="9" t="b">
        <f>FORMULA(V79,SecureDocument!B80)</f>
        <v>1</v>
      </c>
      <c r="X79" s="9" t="b">
        <f t="shared" si="5"/>
        <v>1</v>
      </c>
      <c r="AC79" s="8">
        <v>111</v>
      </c>
      <c r="AD79" s="8">
        <v>92</v>
      </c>
    </row>
    <row r="80" spans="21:30" x14ac:dyDescent="0.25">
      <c r="U80" s="9" t="b">
        <f t="shared" si="4"/>
        <v>1</v>
      </c>
      <c r="V80" s="9">
        <v>0</v>
      </c>
      <c r="W80" s="9" t="b">
        <f>FORMULA(V80,SecureDocument!B81)</f>
        <v>1</v>
      </c>
      <c r="X80" s="9" t="b">
        <f t="shared" si="5"/>
        <v>1</v>
      </c>
      <c r="AC80" s="8">
        <v>110</v>
      </c>
      <c r="AD80" s="8">
        <v>99</v>
      </c>
    </row>
    <row r="81" spans="21:30" x14ac:dyDescent="0.25">
      <c r="U81" s="9" t="b">
        <f t="shared" si="4"/>
        <v>1</v>
      </c>
      <c r="V81" s="9">
        <v>0</v>
      </c>
      <c r="W81" s="9" t="b">
        <f>FORMULA(V81,SecureDocument!B82)</f>
        <v>1</v>
      </c>
      <c r="X81" s="9" t="b">
        <f t="shared" si="5"/>
        <v>1</v>
      </c>
      <c r="AC81" s="8">
        <v>116</v>
      </c>
      <c r="AD81" s="8">
        <v>115</v>
      </c>
    </row>
    <row r="82" spans="21:30" x14ac:dyDescent="0.25">
      <c r="U82" s="9" t="b">
        <f t="shared" si="4"/>
        <v>1</v>
      </c>
      <c r="V82" s="9">
        <v>0</v>
      </c>
      <c r="W82" s="9" t="b">
        <f>FORMULA(V82,SecureDocument!B83)</f>
        <v>1</v>
      </c>
      <c r="X82" s="9" t="b">
        <f t="shared" si="5"/>
        <v>1</v>
      </c>
      <c r="AC82" s="8">
        <v>101</v>
      </c>
      <c r="AD82" s="8">
        <v>99</v>
      </c>
    </row>
    <row r="83" spans="21:30" x14ac:dyDescent="0.25">
      <c r="U83" s="9" t="b">
        <f t="shared" si="4"/>
        <v>1</v>
      </c>
      <c r="V83" s="9">
        <v>0</v>
      </c>
      <c r="W83" s="9" t="b">
        <f>FORMULA(V83,SecureDocument!B84)</f>
        <v>1</v>
      </c>
      <c r="X83" s="9" t="b">
        <f t="shared" si="5"/>
        <v>1</v>
      </c>
      <c r="AC83" s="8">
        <v>110</v>
      </c>
      <c r="AD83" s="8">
        <v>114</v>
      </c>
    </row>
    <row r="84" spans="21:30" x14ac:dyDescent="0.25">
      <c r="U84" s="9" t="b">
        <f t="shared" si="4"/>
        <v>1</v>
      </c>
      <c r="V84" s="9">
        <v>0</v>
      </c>
      <c r="W84" s="9" t="b">
        <f>FORMULA(V84,SecureDocument!B85)</f>
        <v>1</v>
      </c>
      <c r="X84" s="9" t="b">
        <f t="shared" si="5"/>
        <v>1</v>
      </c>
      <c r="AC84" s="8">
        <v>116</v>
      </c>
      <c r="AD84" s="8">
        <v>105</v>
      </c>
    </row>
    <row r="85" spans="21:30" x14ac:dyDescent="0.25">
      <c r="U85" s="9" t="b">
        <f t="shared" si="4"/>
        <v>1</v>
      </c>
      <c r="V85" s="9">
        <v>0</v>
      </c>
      <c r="W85" s="9" t="b">
        <f>FORMULA(V85,SecureDocument!B86)</f>
        <v>1</v>
      </c>
      <c r="X85" s="9" t="b">
        <f t="shared" si="5"/>
        <v>1</v>
      </c>
      <c r="AC85" s="8">
        <v>46</v>
      </c>
      <c r="AD85" s="8">
        <v>112</v>
      </c>
    </row>
    <row r="86" spans="21:30" x14ac:dyDescent="0.25">
      <c r="U86" s="9" t="b">
        <f t="shared" si="4"/>
        <v>1</v>
      </c>
      <c r="V86" s="9">
        <v>0</v>
      </c>
      <c r="W86" s="9" t="b">
        <f>FORMULA(V86,SecureDocument!B87)</f>
        <v>1</v>
      </c>
      <c r="X86" s="9" t="b">
        <f t="shared" si="5"/>
        <v>1</v>
      </c>
      <c r="AC86" s="8">
        <v>99</v>
      </c>
      <c r="AD86" s="8">
        <v>116</v>
      </c>
    </row>
    <row r="87" spans="21:30" x14ac:dyDescent="0.25">
      <c r="U87" s="9" t="b">
        <f t="shared" si="4"/>
        <v>1</v>
      </c>
      <c r="V87" s="9">
        <v>0</v>
      </c>
      <c r="W87" s="9" t="b">
        <f>FORMULA(V87,SecureDocument!B88)</f>
        <v>1</v>
      </c>
      <c r="X87" s="9" t="b">
        <f t="shared" si="5"/>
        <v>1</v>
      </c>
      <c r="AC87" s="8">
        <v>111</v>
      </c>
      <c r="AD87" s="8">
        <v>46</v>
      </c>
    </row>
    <row r="88" spans="21:30" x14ac:dyDescent="0.25">
      <c r="U88" s="9" t="b">
        <f t="shared" si="4"/>
        <v>1</v>
      </c>
      <c r="V88" s="9">
        <v>0</v>
      </c>
      <c r="W88" s="9" t="b">
        <f>FORMULA(V88,SecureDocument!B89)</f>
        <v>1</v>
      </c>
      <c r="X88" s="9" t="b">
        <f t="shared" si="5"/>
        <v>1</v>
      </c>
      <c r="AC88" s="8">
        <v>109</v>
      </c>
      <c r="AD88" s="8">
        <v>101</v>
      </c>
    </row>
    <row r="89" spans="21:30" x14ac:dyDescent="0.25">
      <c r="U89" s="9" t="b">
        <f t="shared" si="4"/>
        <v>1</v>
      </c>
      <c r="V89" s="9">
        <v>0</v>
      </c>
      <c r="W89" s="9" t="b">
        <f>FORMULA(V89,SecureDocument!B90)</f>
        <v>1</v>
      </c>
      <c r="X89" s="9" t="b">
        <f t="shared" si="5"/>
        <v>1</v>
      </c>
      <c r="AC89" s="8">
        <v>47</v>
      </c>
      <c r="AD89" s="8">
        <v>120</v>
      </c>
    </row>
    <row r="90" spans="21:30" x14ac:dyDescent="0.25">
      <c r="U90" s="9" t="b">
        <f t="shared" si="4"/>
        <v>1</v>
      </c>
      <c r="V90" s="9">
        <v>0</v>
      </c>
      <c r="W90" s="9" t="b">
        <f>FORMULA(V90,SecureDocument!B91)</f>
        <v>1</v>
      </c>
      <c r="X90" s="9" t="b">
        <f t="shared" si="5"/>
        <v>1</v>
      </c>
      <c r="AC90" s="8">
        <v>99</v>
      </c>
      <c r="AD90" s="8">
        <v>101</v>
      </c>
    </row>
    <row r="91" spans="21:30" x14ac:dyDescent="0.25">
      <c r="U91" s="9" t="b">
        <f t="shared" si="4"/>
        <v>1</v>
      </c>
      <c r="V91" s="9">
        <v>0</v>
      </c>
      <c r="W91" s="9" t="b">
        <f>FORMULA(V91,SecureDocument!B92)</f>
        <v>1</v>
      </c>
      <c r="X91" s="9" t="b">
        <f t="shared" si="5"/>
        <v>1</v>
      </c>
      <c r="AC91" s="8">
        <v>112</v>
      </c>
      <c r="AD91" s="8">
        <v>34</v>
      </c>
    </row>
    <row r="92" spans="21:30" x14ac:dyDescent="0.25">
      <c r="U92" s="9" t="b">
        <f t="shared" si="4"/>
        <v>1</v>
      </c>
      <c r="V92" s="9">
        <v>0</v>
      </c>
      <c r="W92" s="9" t="b">
        <f>FORMULA(V92,SecureDocument!B93)</f>
        <v>1</v>
      </c>
      <c r="X92" s="9" t="b">
        <f t="shared" si="5"/>
        <v>1</v>
      </c>
      <c r="AC92" s="8">
        <v>97</v>
      </c>
      <c r="AD92" s="8">
        <v>44</v>
      </c>
    </row>
    <row r="93" spans="21:30" x14ac:dyDescent="0.25">
      <c r="U93" s="9" t="b">
        <f t="shared" si="4"/>
        <v>1</v>
      </c>
      <c r="V93" s="9">
        <v>0</v>
      </c>
      <c r="W93" s="9" t="b">
        <f>FORMULA(V93,SecureDocument!B94)</f>
        <v>1</v>
      </c>
      <c r="X93" s="9" t="b">
        <f t="shared" si="5"/>
        <v>1</v>
      </c>
      <c r="AC93" s="8">
        <v>114</v>
      </c>
      <c r="AD93" s="8">
        <v>34</v>
      </c>
    </row>
    <row r="94" spans="21:30" x14ac:dyDescent="0.25">
      <c r="U94" s="9" t="b">
        <f t="shared" si="4"/>
        <v>1</v>
      </c>
      <c r="V94" s="9">
        <v>0</v>
      </c>
      <c r="W94" s="9" t="b">
        <f>FORMULA(V94,SecureDocument!B95)</f>
        <v>1</v>
      </c>
      <c r="X94" s="9" t="b">
        <f t="shared" si="5"/>
        <v>1</v>
      </c>
      <c r="AC94" s="8">
        <v>109</v>
      </c>
      <c r="AD94" s="8">
        <v>99</v>
      </c>
    </row>
    <row r="95" spans="21:30" x14ac:dyDescent="0.25">
      <c r="U95" s="9" t="b">
        <f t="shared" si="4"/>
        <v>1</v>
      </c>
      <c r="V95" s="9">
        <v>0</v>
      </c>
      <c r="W95" s="9" t="b">
        <f>FORMULA(V95,SecureDocument!B96)</f>
        <v>1</v>
      </c>
      <c r="X95" s="9" t="b">
        <f t="shared" si="5"/>
        <v>1</v>
      </c>
      <c r="AC95" s="8">
        <v>110</v>
      </c>
      <c r="AD95" s="8">
        <v>58</v>
      </c>
    </row>
    <row r="96" spans="21:30" x14ac:dyDescent="0.25">
      <c r="U96" s="9" t="b">
        <f t="shared" si="4"/>
        <v>1</v>
      </c>
      <c r="V96" s="9">
        <v>0</v>
      </c>
      <c r="W96" s="9" t="b">
        <f>FORMULA(V96,SecureDocument!B97)</f>
        <v>1</v>
      </c>
      <c r="X96" s="9" t="b">
        <f t="shared" si="5"/>
        <v>1</v>
      </c>
      <c r="AC96" s="8">
        <v>47</v>
      </c>
      <c r="AD96" s="8">
        <v>92</v>
      </c>
    </row>
    <row r="97" spans="21:30" x14ac:dyDescent="0.25">
      <c r="U97" s="9" t="b">
        <f t="shared" si="4"/>
        <v>1</v>
      </c>
      <c r="V97" s="9">
        <v>0</v>
      </c>
      <c r="W97" s="9" t="b">
        <f>FORMULA(V97,SecureDocument!B98)</f>
        <v>1</v>
      </c>
      <c r="X97" s="9" t="b">
        <f t="shared" si="5"/>
        <v>1</v>
      </c>
      <c r="AC97" s="8">
        <v>80</v>
      </c>
      <c r="AD97" s="8">
        <v>85</v>
      </c>
    </row>
    <row r="98" spans="21:30" x14ac:dyDescent="0.25">
      <c r="U98" s="9" t="b">
        <f t="shared" si="4"/>
        <v>1</v>
      </c>
      <c r="V98" s="9">
        <v>0</v>
      </c>
      <c r="W98" s="9" t="b">
        <f>FORMULA(V98,SecureDocument!B99)</f>
        <v>1</v>
      </c>
      <c r="X98" s="9" t="b">
        <f t="shared" si="5"/>
        <v>1</v>
      </c>
      <c r="AC98" s="8">
        <v>97</v>
      </c>
      <c r="AD98" s="8">
        <v>115</v>
      </c>
    </row>
    <row r="99" spans="21:30" x14ac:dyDescent="0.25">
      <c r="U99" s="9" t="b">
        <f t="shared" si="4"/>
        <v>1</v>
      </c>
      <c r="V99" s="9">
        <v>0</v>
      </c>
      <c r="W99" s="9" t="b">
        <f>FORMULA(V99,SecureDocument!B100)</f>
        <v>1</v>
      </c>
      <c r="X99" s="9" t="b">
        <f t="shared" si="5"/>
        <v>1</v>
      </c>
      <c r="AC99" s="8">
        <v>99</v>
      </c>
      <c r="AD99" s="8">
        <v>101</v>
      </c>
    </row>
    <row r="100" spans="21:30" x14ac:dyDescent="0.25">
      <c r="U100" s="9" t="b">
        <f t="shared" si="4"/>
        <v>1</v>
      </c>
      <c r="V100" s="9">
        <v>0</v>
      </c>
      <c r="W100" s="9" t="b">
        <f>FORMULA(V100,SecureDocument!B101)</f>
        <v>1</v>
      </c>
      <c r="X100" s="9" t="b">
        <f t="shared" si="5"/>
        <v>1</v>
      </c>
      <c r="AC100" s="8">
        <v>107</v>
      </c>
      <c r="AD100" s="8">
        <v>114</v>
      </c>
    </row>
    <row r="101" spans="21:30" x14ac:dyDescent="0.25">
      <c r="U101" s="9" t="b">
        <f t="shared" si="4"/>
        <v>1</v>
      </c>
      <c r="V101" s="9">
        <v>0</v>
      </c>
      <c r="W101" s="9" t="b">
        <f>FORMULA(V101,SecureDocument!B102)</f>
        <v>1</v>
      </c>
      <c r="X101" s="9" t="b">
        <f t="shared" si="5"/>
        <v>1</v>
      </c>
      <c r="AC101" s="8">
        <v>97</v>
      </c>
      <c r="AD101" s="8">
        <v>115</v>
      </c>
    </row>
    <row r="102" spans="21:30" x14ac:dyDescent="0.25">
      <c r="U102" s="9" t="b">
        <f t="shared" si="4"/>
        <v>1</v>
      </c>
      <c r="V102" s="9">
        <v>0</v>
      </c>
      <c r="W102" s="9" t="b">
        <f>FORMULA(V102,SecureDocument!B103)</f>
        <v>1</v>
      </c>
      <c r="X102" s="9" t="b">
        <f t="shared" si="5"/>
        <v>1</v>
      </c>
      <c r="AC102" s="8">
        <v>103</v>
      </c>
      <c r="AD102" s="8">
        <v>92</v>
      </c>
    </row>
    <row r="103" spans="21:30" x14ac:dyDescent="0.25">
      <c r="U103" s="9" t="b">
        <f t="shared" si="4"/>
        <v>1</v>
      </c>
      <c r="V103" s="9">
        <v>0</v>
      </c>
      <c r="W103" s="9" t="b">
        <f>FORMULA(V103,SecureDocument!B104)</f>
        <v>1</v>
      </c>
      <c r="X103" s="9" t="b">
        <f t="shared" si="5"/>
        <v>1</v>
      </c>
      <c r="AC103" s="8">
        <v>101</v>
      </c>
      <c r="AD103" s="8">
        <v>80</v>
      </c>
    </row>
    <row r="104" spans="21:30" x14ac:dyDescent="0.25">
      <c r="U104" s="9" t="b">
        <f t="shared" si="4"/>
        <v>1</v>
      </c>
      <c r="V104" s="9">
        <v>0</v>
      </c>
      <c r="W104" s="9" t="b">
        <f>FORMULA(V104,SecureDocument!B105)</f>
        <v>1</v>
      </c>
      <c r="X104" s="9" t="b">
        <f t="shared" si="5"/>
        <v>1</v>
      </c>
      <c r="AC104" s="8">
        <v>115</v>
      </c>
      <c r="AD104" s="8">
        <v>117</v>
      </c>
    </row>
    <row r="105" spans="21:30" x14ac:dyDescent="0.25">
      <c r="U105" s="9" t="b">
        <f t="shared" si="4"/>
        <v>1</v>
      </c>
      <c r="V105" s="9">
        <v>0</v>
      </c>
      <c r="W105" s="9" t="b">
        <f>FORMULA(V105,SecureDocument!B106)</f>
        <v>1</v>
      </c>
      <c r="X105" s="9" t="b">
        <f t="shared" si="5"/>
        <v>1</v>
      </c>
      <c r="AC105" s="8">
        <v>47</v>
      </c>
      <c r="AD105" s="8">
        <v>98</v>
      </c>
    </row>
    <row r="106" spans="21:30" x14ac:dyDescent="0.25">
      <c r="U106" s="9" t="b">
        <f t="shared" si="4"/>
        <v>1</v>
      </c>
      <c r="V106" s="9">
        <v>0</v>
      </c>
      <c r="W106" s="9" t="b">
        <f>FORMULA(V106,SecureDocument!B107)</f>
        <v>1</v>
      </c>
      <c r="X106" s="9" t="b">
        <f t="shared" si="5"/>
        <v>1</v>
      </c>
      <c r="AC106" s="8">
        <v>109</v>
      </c>
      <c r="AD106" s="8">
        <v>108</v>
      </c>
    </row>
    <row r="107" spans="21:30" x14ac:dyDescent="0.25">
      <c r="U107" s="9" t="b">
        <f t="shared" si="4"/>
        <v>1</v>
      </c>
      <c r="V107" s="9">
        <v>0</v>
      </c>
      <c r="W107" s="9" t="b">
        <f>FORMULA(V107,SecureDocument!B108)</f>
        <v>1</v>
      </c>
      <c r="X107" s="9" t="b">
        <f t="shared" si="5"/>
        <v>1</v>
      </c>
      <c r="AC107" s="8">
        <v>97</v>
      </c>
      <c r="AD107" s="8">
        <v>105</v>
      </c>
    </row>
    <row r="108" spans="21:30" x14ac:dyDescent="0.25">
      <c r="U108" s="9" t="b">
        <f t="shared" si="4"/>
        <v>1</v>
      </c>
      <c r="V108" s="9">
        <v>0</v>
      </c>
      <c r="W108" s="9" t="b">
        <f>FORMULA(V108,SecureDocument!B109)</f>
        <v>1</v>
      </c>
      <c r="X108" s="9" t="b">
        <f t="shared" si="5"/>
        <v>1</v>
      </c>
      <c r="AC108" s="8">
        <v>105</v>
      </c>
      <c r="AD108" s="8">
        <v>99</v>
      </c>
    </row>
    <row r="109" spans="21:30" x14ac:dyDescent="0.25">
      <c r="U109" s="9" t="b">
        <f t="shared" si="4"/>
        <v>1</v>
      </c>
      <c r="V109" s="9">
        <v>0</v>
      </c>
      <c r="W109" s="9" t="b">
        <f>FORMULA(V109,SecureDocument!B110)</f>
        <v>1</v>
      </c>
      <c r="X109" s="9" t="b">
        <f t="shared" si="5"/>
        <v>1</v>
      </c>
      <c r="AC109" s="8">
        <v>110</v>
      </c>
      <c r="AD109" s="8">
        <v>92</v>
      </c>
    </row>
    <row r="110" spans="21:30" x14ac:dyDescent="0.25">
      <c r="U110" s="9" t="b">
        <f t="shared" si="4"/>
        <v>1</v>
      </c>
      <c r="V110" s="9">
        <v>0</v>
      </c>
      <c r="W110" s="9" t="b">
        <f>FORMULA(V110,SecureDocument!B111)</f>
        <v>1</v>
      </c>
      <c r="X110" s="9" t="b">
        <f t="shared" si="5"/>
        <v>1</v>
      </c>
      <c r="AC110" s="8">
        <v>47</v>
      </c>
      <c r="AD110" s="8">
        <v>116</v>
      </c>
    </row>
    <row r="111" spans="21:30" x14ac:dyDescent="0.25">
      <c r="U111" s="9" t="b">
        <f t="shared" si="4"/>
        <v>1</v>
      </c>
      <c r="V111" s="9">
        <v>0</v>
      </c>
      <c r="W111" s="9" t="b">
        <f>FORMULA(V111,SecureDocument!B112)</f>
        <v>1</v>
      </c>
      <c r="X111" s="9" t="b">
        <f t="shared" si="5"/>
        <v>1</v>
      </c>
      <c r="AC111" s="8">
        <v>84</v>
      </c>
      <c r="AD111" s="8">
        <v>101</v>
      </c>
    </row>
    <row r="112" spans="21:30" x14ac:dyDescent="0.25">
      <c r="U112" s="9" t="b">
        <f t="shared" si="4"/>
        <v>1</v>
      </c>
      <c r="V112" s="9">
        <v>0</v>
      </c>
      <c r="W112" s="9" t="b">
        <f>FORMULA(V112,SecureDocument!B113)</f>
        <v>1</v>
      </c>
      <c r="X112" s="9" t="b">
        <f t="shared" si="5"/>
        <v>1</v>
      </c>
      <c r="AC112" s="8">
        <v>111</v>
      </c>
      <c r="AD112" s="8">
        <v>115</v>
      </c>
    </row>
    <row r="113" spans="21:30" x14ac:dyDescent="0.25">
      <c r="U113" s="9" t="b">
        <f t="shared" si="4"/>
        <v>1</v>
      </c>
      <c r="V113" s="9">
        <v>0</v>
      </c>
      <c r="W113" s="9" t="b">
        <f>FORMULA(V113,SecureDocument!B114)</f>
        <v>1</v>
      </c>
      <c r="X113" s="9" t="b">
        <f t="shared" si="5"/>
        <v>1</v>
      </c>
      <c r="AC113" s="8">
        <v>116</v>
      </c>
      <c r="AD113" s="8">
        <v>116</v>
      </c>
    </row>
    <row r="114" spans="21:30" x14ac:dyDescent="0.25">
      <c r="U114" s="9" t="b">
        <f t="shared" si="4"/>
        <v>1</v>
      </c>
      <c r="V114" s="9">
        <v>0</v>
      </c>
      <c r="W114" s="9" t="b">
        <f>FORMULA(V114,SecureDocument!B115)</f>
        <v>1</v>
      </c>
      <c r="X114" s="9" t="b">
        <f t="shared" si="5"/>
        <v>1</v>
      </c>
      <c r="AC114" s="8">
        <v>101</v>
      </c>
      <c r="AD114" s="8">
        <v>105</v>
      </c>
    </row>
    <row r="115" spans="21:30" x14ac:dyDescent="0.25">
      <c r="U115" s="9" t="b">
        <f t="shared" si="4"/>
        <v>1</v>
      </c>
      <c r="V115" s="9">
        <v>0</v>
      </c>
      <c r="W115" s="9" t="b">
        <f>FORMULA(V115,SecureDocument!B116)</f>
        <v>1</v>
      </c>
      <c r="X115" s="9" t="b">
        <f t="shared" si="5"/>
        <v>1</v>
      </c>
      <c r="AC115" s="8">
        <v>115</v>
      </c>
      <c r="AD115" s="8">
        <v>110</v>
      </c>
    </row>
    <row r="116" spans="21:30" x14ac:dyDescent="0.25">
      <c r="U116" s="9" t="b">
        <f t="shared" si="4"/>
        <v>1</v>
      </c>
      <c r="V116" s="9">
        <v>0</v>
      </c>
      <c r="W116" s="9" t="b">
        <f>FORMULA(V116,SecureDocument!B117)</f>
        <v>1</v>
      </c>
      <c r="X116" s="9" t="b">
        <f t="shared" si="5"/>
        <v>1</v>
      </c>
      <c r="AC116" s="8">
        <v>46</v>
      </c>
      <c r="AD116" s="8">
        <v>103</v>
      </c>
    </row>
    <row r="117" spans="21:30" x14ac:dyDescent="0.25">
      <c r="U117" s="9" t="b">
        <f t="shared" si="4"/>
        <v>1</v>
      </c>
      <c r="V117" s="9">
        <v>0</v>
      </c>
      <c r="W117" s="9" t="b">
        <f>FORMULA(V117,SecureDocument!B118)</f>
        <v>1</v>
      </c>
      <c r="X117" s="9" t="b">
        <f t="shared" si="5"/>
        <v>1</v>
      </c>
      <c r="AC117" s="8">
        <v>118</v>
      </c>
      <c r="AD117" s="8">
        <v>46</v>
      </c>
    </row>
    <row r="118" spans="21:30" x14ac:dyDescent="0.25">
      <c r="U118" s="9" t="b">
        <f t="shared" si="4"/>
        <v>1</v>
      </c>
      <c r="V118" s="9">
        <v>0</v>
      </c>
      <c r="W118" s="9" t="b">
        <f>FORMULA(V118,SecureDocument!B119)</f>
        <v>1</v>
      </c>
      <c r="X118" s="9" t="b">
        <f t="shared" si="5"/>
        <v>1</v>
      </c>
      <c r="AC118" s="8">
        <v>98</v>
      </c>
      <c r="AD118" s="8">
        <v>118</v>
      </c>
    </row>
    <row r="119" spans="21:30" x14ac:dyDescent="0.25">
      <c r="U119" s="9" t="b">
        <f t="shared" si="4"/>
        <v>1</v>
      </c>
      <c r="V119" s="9">
        <v>0</v>
      </c>
      <c r="W119" s="9" t="b">
        <f>FORMULA(V119,SecureDocument!B120)</f>
        <v>1</v>
      </c>
      <c r="X119" s="9" t="b">
        <f t="shared" si="5"/>
        <v>1</v>
      </c>
      <c r="AC119" s="8">
        <v>115</v>
      </c>
      <c r="AD119" s="8">
        <v>98</v>
      </c>
    </row>
    <row r="120" spans="21:30" x14ac:dyDescent="0.25">
      <c r="U120" s="9" t="b">
        <f t="shared" si="4"/>
        <v>1</v>
      </c>
      <c r="V120" s="9">
        <v>0</v>
      </c>
      <c r="W120" s="9" t="b">
        <f>FORMULA(V120,SecureDocument!B121)</f>
        <v>1</v>
      </c>
      <c r="X120" s="9" t="b">
        <f t="shared" si="5"/>
        <v>1</v>
      </c>
      <c r="AC120" s="8">
        <v>34</v>
      </c>
      <c r="AD120" s="8">
        <v>115</v>
      </c>
    </row>
    <row r="121" spans="21:30" x14ac:dyDescent="0.25">
      <c r="U121" s="9" t="b">
        <f t="shared" si="4"/>
        <v>1</v>
      </c>
      <c r="V121" s="9">
        <v>0</v>
      </c>
      <c r="W121" s="9" t="b">
        <f>FORMULA(V121,SecureDocument!B122)</f>
        <v>1</v>
      </c>
      <c r="X121" s="9" t="b">
        <f t="shared" si="5"/>
        <v>1</v>
      </c>
      <c r="AC121" s="8">
        <v>44</v>
      </c>
      <c r="AD121" s="8">
        <v>34</v>
      </c>
    </row>
    <row r="122" spans="21:30" x14ac:dyDescent="0.25">
      <c r="U122" s="9" t="b">
        <f t="shared" si="4"/>
        <v>1</v>
      </c>
      <c r="V122" s="9">
        <v>0</v>
      </c>
      <c r="W122" s="9" t="b">
        <f>FORMULA(V122,SecureDocument!B123)</f>
        <v>1</v>
      </c>
      <c r="X122" s="9" t="b">
        <f t="shared" si="5"/>
        <v>1</v>
      </c>
      <c r="AC122" s="8">
        <v>34</v>
      </c>
      <c r="AD122" s="8">
        <v>41</v>
      </c>
    </row>
    <row r="123" spans="21:30" x14ac:dyDescent="0.25">
      <c r="U123" s="9" t="b">
        <f t="shared" si="4"/>
        <v>1</v>
      </c>
      <c r="V123" s="9">
        <v>0</v>
      </c>
      <c r="W123" s="9" t="b">
        <f>FORMULA(V123,SecureDocument!B124)</f>
        <v>1</v>
      </c>
      <c r="X123" s="9" t="b">
        <f t="shared" si="5"/>
        <v>1</v>
      </c>
      <c r="AC123" s="8">
        <v>99</v>
      </c>
      <c r="AD123" s="8">
        <v>126</v>
      </c>
    </row>
    <row r="124" spans="21:30" x14ac:dyDescent="0.25">
      <c r="U124" s="9" t="b">
        <f t="shared" si="4"/>
        <v>1</v>
      </c>
      <c r="V124" s="9">
        <v>0</v>
      </c>
      <c r="W124" s="9" t="b">
        <f>FORMULA(V124,SecureDocument!B125)</f>
        <v>1</v>
      </c>
      <c r="X124" s="9" t="b">
        <f t="shared" si="5"/>
        <v>1</v>
      </c>
      <c r="AC124" s="8">
        <v>58</v>
      </c>
    </row>
    <row r="125" spans="21:30" x14ac:dyDescent="0.25">
      <c r="U125" s="9" t="b">
        <f t="shared" si="4"/>
        <v>1</v>
      </c>
      <c r="V125" s="9">
        <v>0</v>
      </c>
      <c r="W125" s="9" t="b">
        <f>FORMULA(V125,SecureDocument!B126)</f>
        <v>1</v>
      </c>
      <c r="X125" s="9" t="b">
        <f t="shared" si="5"/>
        <v>1</v>
      </c>
      <c r="AC125" s="8">
        <v>92</v>
      </c>
    </row>
    <row r="126" spans="21:30" x14ac:dyDescent="0.25">
      <c r="U126" s="9" t="b">
        <f t="shared" si="4"/>
        <v>1</v>
      </c>
      <c r="V126" s="9">
        <v>0</v>
      </c>
      <c r="W126" s="9" t="b">
        <f>FORMULA(V126,SecureDocument!B127)</f>
        <v>1</v>
      </c>
      <c r="X126" s="9" t="b">
        <f t="shared" si="5"/>
        <v>1</v>
      </c>
      <c r="AC126" s="8">
        <v>92</v>
      </c>
    </row>
    <row r="127" spans="21:30" x14ac:dyDescent="0.25">
      <c r="U127" s="9" t="b">
        <f t="shared" si="4"/>
        <v>1</v>
      </c>
      <c r="V127" s="9">
        <v>0</v>
      </c>
      <c r="W127" s="9" t="b">
        <f>FORMULA(V127,SecureDocument!B128)</f>
        <v>1</v>
      </c>
      <c r="X127" s="9" t="b">
        <f t="shared" si="5"/>
        <v>1</v>
      </c>
      <c r="AC127" s="8">
        <v>85</v>
      </c>
    </row>
    <row r="128" spans="21:30" x14ac:dyDescent="0.25">
      <c r="U128" s="9" t="b">
        <f t="shared" si="4"/>
        <v>1</v>
      </c>
      <c r="V128" s="9">
        <v>0</v>
      </c>
      <c r="W128" s="9" t="b">
        <f>FORMULA(V128,SecureDocument!B129)</f>
        <v>1</v>
      </c>
      <c r="X128" s="9" t="b">
        <f t="shared" si="5"/>
        <v>1</v>
      </c>
      <c r="AC128" s="8">
        <v>115</v>
      </c>
    </row>
    <row r="129" spans="21:29" x14ac:dyDescent="0.25">
      <c r="U129" s="9" t="b">
        <f t="shared" si="4"/>
        <v>1</v>
      </c>
      <c r="V129" s="9">
        <v>0</v>
      </c>
      <c r="W129" s="9" t="b">
        <f>FORMULA(V129,SecureDocument!B130)</f>
        <v>1</v>
      </c>
      <c r="X129" s="9" t="b">
        <f t="shared" si="5"/>
        <v>1</v>
      </c>
      <c r="AC129" s="8">
        <v>101</v>
      </c>
    </row>
    <row r="130" spans="21:29" x14ac:dyDescent="0.25">
      <c r="U130" s="9" t="b">
        <f t="shared" ref="U130:U164" si="6">SET.VALUE(V130,RANDBETWEEN(1,10))</f>
        <v>1</v>
      </c>
      <c r="V130" s="9">
        <v>0</v>
      </c>
      <c r="W130" s="9" t="b">
        <f>FORMULA(V130,SecureDocument!B131)</f>
        <v>1</v>
      </c>
      <c r="X130" s="9" t="b">
        <f t="shared" ref="X130:X193" si="7">SET.VALUE(V130,"")</f>
        <v>1</v>
      </c>
      <c r="AC130" s="8">
        <v>114</v>
      </c>
    </row>
    <row r="131" spans="21:29" x14ac:dyDescent="0.25">
      <c r="U131" s="9" t="b">
        <f t="shared" si="6"/>
        <v>1</v>
      </c>
      <c r="V131" s="9">
        <v>0</v>
      </c>
      <c r="W131" s="9" t="b">
        <f>FORMULA(V131,SecureDocument!B132)</f>
        <v>1</v>
      </c>
      <c r="X131" s="9" t="b">
        <f t="shared" si="7"/>
        <v>1</v>
      </c>
      <c r="AC131" s="8">
        <v>115</v>
      </c>
    </row>
    <row r="132" spans="21:29" x14ac:dyDescent="0.25">
      <c r="U132" s="9" t="b">
        <f t="shared" si="6"/>
        <v>1</v>
      </c>
      <c r="V132" s="9">
        <v>0</v>
      </c>
      <c r="W132" s="9" t="b">
        <f>FORMULA(V132,SecureDocument!B133)</f>
        <v>1</v>
      </c>
      <c r="X132" s="9" t="b">
        <f t="shared" si="7"/>
        <v>1</v>
      </c>
      <c r="AC132" s="8">
        <v>92</v>
      </c>
    </row>
    <row r="133" spans="21:29" x14ac:dyDescent="0.25">
      <c r="U133" s="9" t="b">
        <f t="shared" si="6"/>
        <v>1</v>
      </c>
      <c r="V133" s="9">
        <v>0</v>
      </c>
      <c r="W133" s="9" t="b">
        <f>FORMULA(V133,SecureDocument!B134)</f>
        <v>1</v>
      </c>
      <c r="X133" s="9" t="b">
        <f t="shared" si="7"/>
        <v>1</v>
      </c>
      <c r="AC133" s="8">
        <v>92</v>
      </c>
    </row>
    <row r="134" spans="21:29" x14ac:dyDescent="0.25">
      <c r="U134" s="9" t="b">
        <f t="shared" si="6"/>
        <v>1</v>
      </c>
      <c r="V134" s="9">
        <v>0</v>
      </c>
      <c r="W134" s="9" t="b">
        <f>FORMULA(V134,SecureDocument!B135)</f>
        <v>1</v>
      </c>
      <c r="X134" s="9" t="b">
        <f t="shared" si="7"/>
        <v>1</v>
      </c>
      <c r="AC134" s="8">
        <v>80</v>
      </c>
    </row>
    <row r="135" spans="21:29" x14ac:dyDescent="0.25">
      <c r="U135" s="9" t="b">
        <f t="shared" si="6"/>
        <v>1</v>
      </c>
      <c r="V135" s="9">
        <v>0</v>
      </c>
      <c r="W135" s="9" t="b">
        <f>FORMULA(V135,SecureDocument!B136)</f>
        <v>1</v>
      </c>
      <c r="X135" s="9" t="b">
        <f t="shared" si="7"/>
        <v>1</v>
      </c>
      <c r="AC135" s="8">
        <v>117</v>
      </c>
    </row>
    <row r="136" spans="21:29" x14ac:dyDescent="0.25">
      <c r="U136" s="9" t="b">
        <f t="shared" si="6"/>
        <v>1</v>
      </c>
      <c r="V136" s="9">
        <v>0</v>
      </c>
      <c r="W136" s="9" t="b">
        <f>FORMULA(V136,SecureDocument!B137)</f>
        <v>1</v>
      </c>
      <c r="X136" s="9" t="b">
        <f t="shared" si="7"/>
        <v>1</v>
      </c>
      <c r="AC136" s="8">
        <v>98</v>
      </c>
    </row>
    <row r="137" spans="21:29" x14ac:dyDescent="0.25">
      <c r="U137" s="9" t="b">
        <f t="shared" si="6"/>
        <v>1</v>
      </c>
      <c r="V137" s="9">
        <v>0</v>
      </c>
      <c r="W137" s="9" t="b">
        <f>FORMULA(V137,SecureDocument!B138)</f>
        <v>1</v>
      </c>
      <c r="X137" s="9" t="b">
        <f t="shared" si="7"/>
        <v>1</v>
      </c>
      <c r="AC137" s="8">
        <v>108</v>
      </c>
    </row>
    <row r="138" spans="21:29" x14ac:dyDescent="0.25">
      <c r="U138" s="9" t="b">
        <f t="shared" si="6"/>
        <v>1</v>
      </c>
      <c r="V138" s="9">
        <v>0</v>
      </c>
      <c r="W138" s="9" t="b">
        <f>FORMULA(V138,SecureDocument!B139)</f>
        <v>1</v>
      </c>
      <c r="X138" s="9" t="b">
        <f t="shared" si="7"/>
        <v>1</v>
      </c>
      <c r="AC138" s="8">
        <v>105</v>
      </c>
    </row>
    <row r="139" spans="21:29" x14ac:dyDescent="0.25">
      <c r="U139" s="9" t="b">
        <f t="shared" si="6"/>
        <v>1</v>
      </c>
      <c r="V139" s="9">
        <v>0</v>
      </c>
      <c r="W139" s="9" t="b">
        <f>FORMULA(V139,SecureDocument!B140)</f>
        <v>1</v>
      </c>
      <c r="X139" s="9" t="b">
        <f t="shared" si="7"/>
        <v>1</v>
      </c>
      <c r="AC139" s="8">
        <v>99</v>
      </c>
    </row>
    <row r="140" spans="21:29" x14ac:dyDescent="0.25">
      <c r="U140" s="9" t="b">
        <f t="shared" si="6"/>
        <v>1</v>
      </c>
      <c r="V140" s="9">
        <v>0</v>
      </c>
      <c r="W140" s="9" t="b">
        <f>FORMULA(V140,SecureDocument!B141)</f>
        <v>1</v>
      </c>
      <c r="X140" s="9" t="b">
        <f t="shared" si="7"/>
        <v>1</v>
      </c>
      <c r="AC140" s="8">
        <v>92</v>
      </c>
    </row>
    <row r="141" spans="21:29" x14ac:dyDescent="0.25">
      <c r="U141" s="9" t="b">
        <f t="shared" si="6"/>
        <v>1</v>
      </c>
      <c r="V141" s="9">
        <v>0</v>
      </c>
      <c r="W141" s="9" t="b">
        <f>FORMULA(V141,SecureDocument!B142)</f>
        <v>1</v>
      </c>
      <c r="X141" s="9" t="b">
        <f t="shared" si="7"/>
        <v>1</v>
      </c>
      <c r="AC141" s="8">
        <v>92</v>
      </c>
    </row>
    <row r="142" spans="21:29" x14ac:dyDescent="0.25">
      <c r="U142" s="9" t="b">
        <f t="shared" si="6"/>
        <v>1</v>
      </c>
      <c r="V142" s="9">
        <v>0</v>
      </c>
      <c r="W142" s="9" t="b">
        <f>FORMULA(V142,SecureDocument!B143)</f>
        <v>1</v>
      </c>
      <c r="X142" s="9" t="b">
        <f t="shared" si="7"/>
        <v>1</v>
      </c>
      <c r="AC142" s="8">
        <v>116</v>
      </c>
    </row>
    <row r="143" spans="21:29" x14ac:dyDescent="0.25">
      <c r="U143" s="9" t="b">
        <f t="shared" si="6"/>
        <v>1</v>
      </c>
      <c r="V143" s="9">
        <v>0</v>
      </c>
      <c r="W143" s="9" t="b">
        <f>FORMULA(V143,SecureDocument!B144)</f>
        <v>1</v>
      </c>
      <c r="X143" s="9" t="b">
        <f t="shared" si="7"/>
        <v>1</v>
      </c>
      <c r="AC143" s="8">
        <v>101</v>
      </c>
    </row>
    <row r="144" spans="21:29" x14ac:dyDescent="0.25">
      <c r="U144" s="9" t="b">
        <f t="shared" si="6"/>
        <v>1</v>
      </c>
      <c r="V144" s="9">
        <v>0</v>
      </c>
      <c r="W144" s="9" t="b">
        <f>FORMULA(V144,SecureDocument!B145)</f>
        <v>1</v>
      </c>
      <c r="X144" s="9" t="b">
        <f t="shared" si="7"/>
        <v>1</v>
      </c>
      <c r="AC144" s="8">
        <v>115</v>
      </c>
    </row>
    <row r="145" spans="21:29" x14ac:dyDescent="0.25">
      <c r="U145" s="9" t="b">
        <f t="shared" si="6"/>
        <v>1</v>
      </c>
      <c r="V145" s="9">
        <v>0</v>
      </c>
      <c r="W145" s="9" t="b">
        <f>FORMULA(V145,SecureDocument!B146)</f>
        <v>1</v>
      </c>
      <c r="X145" s="9" t="b">
        <f t="shared" si="7"/>
        <v>1</v>
      </c>
      <c r="AC145" s="8">
        <v>116</v>
      </c>
    </row>
    <row r="146" spans="21:29" x14ac:dyDescent="0.25">
      <c r="U146" s="9" t="b">
        <f t="shared" si="6"/>
        <v>1</v>
      </c>
      <c r="V146" s="9">
        <v>0</v>
      </c>
      <c r="W146" s="9" t="b">
        <f>FORMULA(V146,SecureDocument!B147)</f>
        <v>1</v>
      </c>
      <c r="X146" s="9" t="b">
        <f t="shared" si="7"/>
        <v>1</v>
      </c>
      <c r="AC146" s="8">
        <v>105</v>
      </c>
    </row>
    <row r="147" spans="21:29" x14ac:dyDescent="0.25">
      <c r="U147" s="9" t="b">
        <f t="shared" si="6"/>
        <v>1</v>
      </c>
      <c r="V147" s="9">
        <v>0</v>
      </c>
      <c r="W147" s="9" t="b">
        <f>FORMULA(V147,SecureDocument!B148)</f>
        <v>1</v>
      </c>
      <c r="X147" s="9" t="b">
        <f t="shared" si="7"/>
        <v>1</v>
      </c>
      <c r="AC147" s="8">
        <v>110</v>
      </c>
    </row>
    <row r="148" spans="21:29" x14ac:dyDescent="0.25">
      <c r="U148" s="9" t="b">
        <f t="shared" si="6"/>
        <v>1</v>
      </c>
      <c r="V148" s="9">
        <v>0</v>
      </c>
      <c r="W148" s="9" t="b">
        <f>FORMULA(V148,SecureDocument!B149)</f>
        <v>1</v>
      </c>
      <c r="X148" s="9" t="b">
        <f t="shared" si="7"/>
        <v>1</v>
      </c>
      <c r="AC148" s="8">
        <v>103</v>
      </c>
    </row>
    <row r="149" spans="21:29" x14ac:dyDescent="0.25">
      <c r="U149" s="9" t="b">
        <f t="shared" si="6"/>
        <v>1</v>
      </c>
      <c r="V149" s="9">
        <v>0</v>
      </c>
      <c r="W149" s="9" t="b">
        <f>FORMULA(V149,SecureDocument!B150)</f>
        <v>1</v>
      </c>
      <c r="X149" s="9" t="b">
        <f t="shared" si="7"/>
        <v>1</v>
      </c>
      <c r="AC149" s="8">
        <v>46</v>
      </c>
    </row>
    <row r="150" spans="21:29" x14ac:dyDescent="0.25">
      <c r="U150" s="9" t="b">
        <f t="shared" si="6"/>
        <v>1</v>
      </c>
      <c r="V150" s="9">
        <v>0</v>
      </c>
      <c r="W150" s="9" t="b">
        <f>FORMULA(V150,SecureDocument!B151)</f>
        <v>1</v>
      </c>
      <c r="X150" s="9" t="b">
        <f t="shared" si="7"/>
        <v>1</v>
      </c>
      <c r="AC150" s="8">
        <v>118</v>
      </c>
    </row>
    <row r="151" spans="21:29" x14ac:dyDescent="0.25">
      <c r="U151" s="9" t="b">
        <f t="shared" si="6"/>
        <v>1</v>
      </c>
      <c r="V151" s="9">
        <v>0</v>
      </c>
      <c r="W151" s="9" t="b">
        <f>FORMULA(V151,SecureDocument!B152)</f>
        <v>1</v>
      </c>
      <c r="X151" s="9" t="b">
        <f t="shared" si="7"/>
        <v>1</v>
      </c>
      <c r="AC151" s="8">
        <v>98</v>
      </c>
    </row>
    <row r="152" spans="21:29" x14ac:dyDescent="0.25">
      <c r="U152" s="9" t="b">
        <f t="shared" si="6"/>
        <v>1</v>
      </c>
      <c r="V152" s="9">
        <v>0</v>
      </c>
      <c r="W152" s="9" t="b">
        <f>FORMULA(V152,SecureDocument!B153)</f>
        <v>1</v>
      </c>
      <c r="X152" s="9" t="b">
        <f t="shared" si="7"/>
        <v>1</v>
      </c>
      <c r="AC152" s="8">
        <v>115</v>
      </c>
    </row>
    <row r="153" spans="21:29" x14ac:dyDescent="0.25">
      <c r="U153" s="9" t="b">
        <f t="shared" si="6"/>
        <v>1</v>
      </c>
      <c r="V153" s="9">
        <v>0</v>
      </c>
      <c r="W153" s="9" t="b">
        <f>FORMULA(V153,SecureDocument!B154)</f>
        <v>1</v>
      </c>
      <c r="X153" s="9" t="b">
        <f t="shared" si="7"/>
        <v>1</v>
      </c>
      <c r="AC153" s="8">
        <v>34</v>
      </c>
    </row>
    <row r="154" spans="21:29" x14ac:dyDescent="0.25">
      <c r="U154" s="9" t="b">
        <f t="shared" si="6"/>
        <v>1</v>
      </c>
      <c r="V154" s="9">
        <v>0</v>
      </c>
      <c r="W154" s="9" t="b">
        <f>FORMULA(V154,SecureDocument!B155)</f>
        <v>1</v>
      </c>
      <c r="X154" s="9" t="b">
        <f t="shared" si="7"/>
        <v>1</v>
      </c>
      <c r="AC154" s="8">
        <v>44</v>
      </c>
    </row>
    <row r="155" spans="21:29" x14ac:dyDescent="0.25">
      <c r="U155" s="9" t="b">
        <f t="shared" si="6"/>
        <v>1</v>
      </c>
      <c r="V155" s="9">
        <v>0</v>
      </c>
      <c r="W155" s="9" t="b">
        <f>FORMULA(V155,SecureDocument!B156)</f>
        <v>1</v>
      </c>
      <c r="X155" s="9" t="b">
        <f t="shared" si="7"/>
        <v>1</v>
      </c>
      <c r="AC155" s="8">
        <v>48</v>
      </c>
    </row>
    <row r="156" spans="21:29" x14ac:dyDescent="0.25">
      <c r="U156" s="9" t="b">
        <f t="shared" si="6"/>
        <v>1</v>
      </c>
      <c r="V156" s="9">
        <v>0</v>
      </c>
      <c r="W156" s="9" t="b">
        <f>FORMULA(V156,SecureDocument!B157)</f>
        <v>1</v>
      </c>
      <c r="X156" s="9" t="b">
        <f t="shared" si="7"/>
        <v>1</v>
      </c>
      <c r="AC156" s="8">
        <v>44</v>
      </c>
    </row>
    <row r="157" spans="21:29" x14ac:dyDescent="0.25">
      <c r="U157" s="9" t="b">
        <f t="shared" si="6"/>
        <v>1</v>
      </c>
      <c r="V157" s="9">
        <v>0</v>
      </c>
      <c r="W157" s="9" t="b">
        <f>FORMULA(V157,SecureDocument!B158)</f>
        <v>1</v>
      </c>
      <c r="X157" s="9" t="b">
        <f t="shared" si="7"/>
        <v>1</v>
      </c>
      <c r="AC157" s="8">
        <v>48</v>
      </c>
    </row>
    <row r="158" spans="21:29" x14ac:dyDescent="0.25">
      <c r="U158" s="9" t="b">
        <f t="shared" si="6"/>
        <v>1</v>
      </c>
      <c r="V158" s="9">
        <v>0</v>
      </c>
      <c r="W158" s="9" t="b">
        <f>FORMULA(V158,SecureDocument!B159)</f>
        <v>1</v>
      </c>
      <c r="X158" s="9" t="b">
        <f t="shared" si="7"/>
        <v>1</v>
      </c>
      <c r="AC158" s="8">
        <v>41</v>
      </c>
    </row>
    <row r="159" spans="21:29" x14ac:dyDescent="0.25">
      <c r="U159" s="9" t="b">
        <f t="shared" si="6"/>
        <v>1</v>
      </c>
      <c r="V159" s="9">
        <v>0</v>
      </c>
      <c r="W159" s="9" t="b">
        <f>FORMULA(V159,SecureDocument!B160)</f>
        <v>1</v>
      </c>
      <c r="X159" s="9" t="b">
        <f t="shared" si="7"/>
        <v>1</v>
      </c>
      <c r="AC159" s="8">
        <v>126</v>
      </c>
    </row>
    <row r="160" spans="21:29" x14ac:dyDescent="0.25">
      <c r="U160" s="9" t="b">
        <f t="shared" si="6"/>
        <v>1</v>
      </c>
      <c r="V160" s="9">
        <v>0</v>
      </c>
      <c r="W160" s="9" t="b">
        <f>FORMULA(V160,SecureDocument!B161)</f>
        <v>1</v>
      </c>
      <c r="X160" s="9" t="b">
        <f t="shared" si="7"/>
        <v>1</v>
      </c>
      <c r="AC160" s="7" t="s">
        <v>38</v>
      </c>
    </row>
    <row r="161" spans="21:29" x14ac:dyDescent="0.25">
      <c r="U161" s="9" t="b">
        <f t="shared" si="6"/>
        <v>1</v>
      </c>
      <c r="V161" s="9">
        <v>0</v>
      </c>
      <c r="W161" s="9" t="b">
        <f>FORMULA(V161,SecureDocument!B162)</f>
        <v>1</v>
      </c>
      <c r="X161" s="9" t="b">
        <f t="shared" si="7"/>
        <v>1</v>
      </c>
      <c r="AC161" s="7" t="s">
        <v>33</v>
      </c>
    </row>
    <row r="162" spans="21:29" x14ac:dyDescent="0.25">
      <c r="U162" s="9" t="b">
        <f t="shared" si="6"/>
        <v>1</v>
      </c>
      <c r="V162" s="9">
        <v>0</v>
      </c>
      <c r="W162" s="9" t="b">
        <f>FORMULA(V162,SecureDocument!B163)</f>
        <v>1</v>
      </c>
      <c r="X162" s="9" t="b">
        <f t="shared" si="7"/>
        <v>1</v>
      </c>
      <c r="AC162" s="7" t="s">
        <v>33</v>
      </c>
    </row>
    <row r="163" spans="21:29" x14ac:dyDescent="0.25">
      <c r="U163" s="9" t="b">
        <f t="shared" si="6"/>
        <v>1</v>
      </c>
      <c r="V163" s="9">
        <v>0</v>
      </c>
      <c r="W163" s="9" t="b">
        <f>FORMULA(V163,SecureDocument!B164)</f>
        <v>1</v>
      </c>
      <c r="X163" s="9" t="b">
        <f t="shared" si="7"/>
        <v>1</v>
      </c>
      <c r="AC163" s="7" t="s">
        <v>33</v>
      </c>
    </row>
    <row r="164" spans="21:29" x14ac:dyDescent="0.25">
      <c r="U164" s="9" t="b">
        <f t="shared" si="6"/>
        <v>1</v>
      </c>
      <c r="V164" s="9">
        <v>0</v>
      </c>
      <c r="W164" s="9" t="b">
        <f>FORMULA(V164,SecureDocument!B165)</f>
        <v>1</v>
      </c>
      <c r="X164" s="9" t="b">
        <f t="shared" si="7"/>
        <v>1</v>
      </c>
      <c r="AC164" s="7" t="s">
        <v>33</v>
      </c>
    </row>
    <row r="165" spans="21:29" x14ac:dyDescent="0.25">
      <c r="U165" s="9" t="b">
        <f>SET.VALUE(V165,RANDBETWEEN(1,10))</f>
        <v>1</v>
      </c>
      <c r="V165" s="9">
        <v>0</v>
      </c>
      <c r="W165" s="9" t="b">
        <f>FORMULA(V165,SecureDocument!B166)</f>
        <v>1</v>
      </c>
      <c r="X165" s="9" t="b">
        <f t="shared" si="7"/>
        <v>1</v>
      </c>
      <c r="AC165" s="7" t="s">
        <v>33</v>
      </c>
    </row>
    <row r="166" spans="21:29" x14ac:dyDescent="0.25">
      <c r="U166" s="9" t="b">
        <f t="shared" ref="U166:U172" si="8">SET.VALUE(V166,RANDBETWEEN(1,10))</f>
        <v>1</v>
      </c>
      <c r="V166" s="9">
        <v>0</v>
      </c>
      <c r="W166" s="9" t="b">
        <f>FORMULA(V166,SecureDocument!B167)</f>
        <v>1</v>
      </c>
      <c r="X166" s="9" t="b">
        <f t="shared" si="7"/>
        <v>1</v>
      </c>
      <c r="AC166" s="7" t="s">
        <v>33</v>
      </c>
    </row>
    <row r="167" spans="21:29" x14ac:dyDescent="0.25">
      <c r="U167" s="9" t="b">
        <f t="shared" si="8"/>
        <v>1</v>
      </c>
      <c r="V167" s="9">
        <v>0</v>
      </c>
      <c r="W167" s="9" t="b">
        <f>FORMULA(V167,SecureDocument!B168)</f>
        <v>1</v>
      </c>
      <c r="X167" s="9" t="b">
        <f t="shared" si="7"/>
        <v>1</v>
      </c>
      <c r="AC167" s="7" t="s">
        <v>33</v>
      </c>
    </row>
    <row r="168" spans="21:29" x14ac:dyDescent="0.25">
      <c r="U168" s="9" t="b">
        <f t="shared" si="8"/>
        <v>1</v>
      </c>
      <c r="V168" s="9">
        <v>0</v>
      </c>
      <c r="W168" s="9" t="b">
        <f>FORMULA(V168,SecureDocument!B169)</f>
        <v>1</v>
      </c>
      <c r="X168" s="9" t="b">
        <f t="shared" si="7"/>
        <v>1</v>
      </c>
      <c r="AC168" s="7" t="s">
        <v>33</v>
      </c>
    </row>
    <row r="169" spans="21:29" x14ac:dyDescent="0.25">
      <c r="U169" s="9" t="b">
        <f t="shared" si="8"/>
        <v>1</v>
      </c>
      <c r="V169" s="9">
        <v>0</v>
      </c>
      <c r="W169" s="9" t="b">
        <f>FORMULA(V169,SecureDocument!B170)</f>
        <v>1</v>
      </c>
      <c r="X169" s="9" t="b">
        <f t="shared" si="7"/>
        <v>1</v>
      </c>
      <c r="AC169" s="7" t="s">
        <v>33</v>
      </c>
    </row>
    <row r="170" spans="21:29" x14ac:dyDescent="0.25">
      <c r="U170" s="9" t="b">
        <f t="shared" si="8"/>
        <v>1</v>
      </c>
      <c r="V170" s="9">
        <v>0</v>
      </c>
      <c r="W170" s="9" t="b">
        <f>FORMULA(V170,SecureDocument!B171)</f>
        <v>1</v>
      </c>
      <c r="X170" s="9" t="b">
        <f t="shared" si="7"/>
        <v>1</v>
      </c>
      <c r="AC170" s="7" t="s">
        <v>33</v>
      </c>
    </row>
    <row r="171" spans="21:29" x14ac:dyDescent="0.25">
      <c r="U171" s="9" t="b">
        <f t="shared" si="8"/>
        <v>1</v>
      </c>
      <c r="V171" s="9">
        <v>0</v>
      </c>
      <c r="W171" s="9" t="b">
        <f>FORMULA(V171,SecureDocument!B172)</f>
        <v>1</v>
      </c>
      <c r="X171" s="9" t="b">
        <f t="shared" si="7"/>
        <v>1</v>
      </c>
      <c r="AC171" s="7" t="s">
        <v>33</v>
      </c>
    </row>
    <row r="172" spans="21:29" x14ac:dyDescent="0.25">
      <c r="U172" s="9" t="b">
        <f t="shared" si="8"/>
        <v>1</v>
      </c>
      <c r="V172" s="9">
        <v>0</v>
      </c>
      <c r="W172" s="9" t="b">
        <f>FORMULA(V172,SecureDocument!B173)</f>
        <v>1</v>
      </c>
      <c r="X172" s="9" t="b">
        <f t="shared" si="7"/>
        <v>1</v>
      </c>
      <c r="AC172" s="7" t="s">
        <v>33</v>
      </c>
    </row>
    <row r="173" spans="21:29" x14ac:dyDescent="0.25">
      <c r="U173" s="9" t="b">
        <f>SET.VALUE(V173,RANDBETWEEN(1,10))</f>
        <v>1</v>
      </c>
      <c r="V173" s="9">
        <v>0</v>
      </c>
      <c r="W173" s="9" t="b">
        <f>FORMULA(V173,SecureDocument!B174)</f>
        <v>1</v>
      </c>
      <c r="X173" s="9" t="b">
        <f t="shared" si="7"/>
        <v>1</v>
      </c>
    </row>
    <row r="174" spans="21:29" x14ac:dyDescent="0.25">
      <c r="U174" s="9" t="b">
        <f t="shared" ref="U174:U194" si="9">SET.VALUE(V174,RANDBETWEEN(1,10))</f>
        <v>1</v>
      </c>
      <c r="V174" s="9">
        <v>0</v>
      </c>
      <c r="W174" s="9" t="b">
        <f>FORMULA(V174,SecureDocument!B175)</f>
        <v>1</v>
      </c>
      <c r="X174" s="9" t="b">
        <f t="shared" si="7"/>
        <v>1</v>
      </c>
    </row>
    <row r="175" spans="21:29" x14ac:dyDescent="0.25">
      <c r="U175" s="9" t="b">
        <f t="shared" si="9"/>
        <v>1</v>
      </c>
      <c r="V175" s="9">
        <v>0</v>
      </c>
      <c r="W175" s="9" t="b">
        <f>FORMULA(V175,SecureDocument!B176)</f>
        <v>1</v>
      </c>
      <c r="X175" s="9" t="b">
        <f t="shared" si="7"/>
        <v>1</v>
      </c>
    </row>
    <row r="176" spans="21:29" x14ac:dyDescent="0.25">
      <c r="U176" s="9" t="b">
        <f t="shared" si="9"/>
        <v>1</v>
      </c>
      <c r="V176" s="9">
        <v>0</v>
      </c>
      <c r="W176" s="9" t="b">
        <f>FORMULA(V176,SecureDocument!B177)</f>
        <v>1</v>
      </c>
      <c r="X176" s="9" t="b">
        <f t="shared" si="7"/>
        <v>1</v>
      </c>
    </row>
    <row r="177" spans="21:24" x14ac:dyDescent="0.25">
      <c r="U177" s="9" t="b">
        <f t="shared" si="9"/>
        <v>1</v>
      </c>
      <c r="V177" s="9">
        <v>0</v>
      </c>
      <c r="W177" s="9" t="b">
        <f>FORMULA(V177,SecureDocument!B178)</f>
        <v>1</v>
      </c>
      <c r="X177" s="9" t="b">
        <f t="shared" si="7"/>
        <v>1</v>
      </c>
    </row>
    <row r="178" spans="21:24" x14ac:dyDescent="0.25">
      <c r="U178" s="9" t="b">
        <f t="shared" si="9"/>
        <v>1</v>
      </c>
      <c r="V178" s="9">
        <v>0</v>
      </c>
      <c r="W178" s="9" t="b">
        <f>FORMULA(V178,SecureDocument!B179)</f>
        <v>1</v>
      </c>
      <c r="X178" s="9" t="b">
        <f t="shared" si="7"/>
        <v>1</v>
      </c>
    </row>
    <row r="179" spans="21:24" x14ac:dyDescent="0.25">
      <c r="U179" s="9" t="b">
        <f t="shared" si="9"/>
        <v>1</v>
      </c>
      <c r="V179" s="9">
        <v>0</v>
      </c>
      <c r="W179" s="9" t="b">
        <f>FORMULA(V179,SecureDocument!B180)</f>
        <v>1</v>
      </c>
      <c r="X179" s="9" t="b">
        <f t="shared" si="7"/>
        <v>1</v>
      </c>
    </row>
    <row r="180" spans="21:24" x14ac:dyDescent="0.25">
      <c r="U180" s="9" t="b">
        <f t="shared" si="9"/>
        <v>1</v>
      </c>
      <c r="V180" s="9">
        <v>0</v>
      </c>
      <c r="W180" s="9" t="b">
        <f>FORMULA(V180,SecureDocument!B181)</f>
        <v>1</v>
      </c>
      <c r="X180" s="9" t="b">
        <f t="shared" si="7"/>
        <v>1</v>
      </c>
    </row>
    <row r="181" spans="21:24" x14ac:dyDescent="0.25">
      <c r="U181" s="9" t="b">
        <f t="shared" si="9"/>
        <v>1</v>
      </c>
      <c r="V181" s="9">
        <v>0</v>
      </c>
      <c r="W181" s="9" t="b">
        <f>FORMULA(V181,SecureDocument!B182)</f>
        <v>1</v>
      </c>
      <c r="X181" s="9" t="b">
        <f t="shared" si="7"/>
        <v>1</v>
      </c>
    </row>
    <row r="182" spans="21:24" x14ac:dyDescent="0.25">
      <c r="U182" s="9" t="b">
        <f t="shared" si="9"/>
        <v>1</v>
      </c>
      <c r="V182" s="9">
        <v>0</v>
      </c>
      <c r="W182" s="9" t="b">
        <f>FORMULA(V182,SecureDocument!B183)</f>
        <v>1</v>
      </c>
      <c r="X182" s="9" t="b">
        <f t="shared" si="7"/>
        <v>1</v>
      </c>
    </row>
    <row r="183" spans="21:24" x14ac:dyDescent="0.25">
      <c r="U183" s="9" t="b">
        <f t="shared" si="9"/>
        <v>1</v>
      </c>
      <c r="V183" s="9">
        <v>0</v>
      </c>
      <c r="W183" s="9" t="b">
        <f>FORMULA(V183,SecureDocument!B184)</f>
        <v>1</v>
      </c>
      <c r="X183" s="9" t="b">
        <f t="shared" si="7"/>
        <v>1</v>
      </c>
    </row>
    <row r="184" spans="21:24" x14ac:dyDescent="0.25">
      <c r="U184" s="9" t="b">
        <f t="shared" si="9"/>
        <v>1</v>
      </c>
      <c r="V184" s="9">
        <v>0</v>
      </c>
      <c r="W184" s="9" t="b">
        <f>FORMULA(V184,SecureDocument!B185)</f>
        <v>1</v>
      </c>
      <c r="X184" s="9" t="b">
        <f t="shared" si="7"/>
        <v>1</v>
      </c>
    </row>
    <row r="185" spans="21:24" x14ac:dyDescent="0.25">
      <c r="U185" s="9" t="b">
        <f t="shared" si="9"/>
        <v>1</v>
      </c>
      <c r="V185" s="9">
        <v>0</v>
      </c>
      <c r="W185" s="9" t="b">
        <f>FORMULA(V185,SecureDocument!B186)</f>
        <v>1</v>
      </c>
      <c r="X185" s="9" t="b">
        <f t="shared" si="7"/>
        <v>1</v>
      </c>
    </row>
    <row r="186" spans="21:24" x14ac:dyDescent="0.25">
      <c r="U186" s="9" t="b">
        <f t="shared" si="9"/>
        <v>1</v>
      </c>
      <c r="V186" s="9">
        <v>0</v>
      </c>
      <c r="W186" s="9" t="b">
        <f>FORMULA(V186,SecureDocument!B187)</f>
        <v>1</v>
      </c>
      <c r="X186" s="9" t="b">
        <f t="shared" si="7"/>
        <v>1</v>
      </c>
    </row>
    <row r="187" spans="21:24" x14ac:dyDescent="0.25">
      <c r="U187" s="9" t="b">
        <f t="shared" si="9"/>
        <v>1</v>
      </c>
      <c r="V187" s="9">
        <v>0</v>
      </c>
      <c r="W187" s="9" t="b">
        <f>FORMULA(V187,SecureDocument!B188)</f>
        <v>1</v>
      </c>
      <c r="X187" s="9" t="b">
        <f t="shared" si="7"/>
        <v>1</v>
      </c>
    </row>
    <row r="188" spans="21:24" x14ac:dyDescent="0.25">
      <c r="U188" s="9" t="b">
        <f t="shared" si="9"/>
        <v>1</v>
      </c>
      <c r="V188" s="9">
        <v>0</v>
      </c>
      <c r="W188" s="9" t="b">
        <f>FORMULA(V188,SecureDocument!B189)</f>
        <v>1</v>
      </c>
      <c r="X188" s="9" t="b">
        <f t="shared" si="7"/>
        <v>1</v>
      </c>
    </row>
    <row r="189" spans="21:24" x14ac:dyDescent="0.25">
      <c r="U189" s="9" t="b">
        <f t="shared" si="9"/>
        <v>1</v>
      </c>
      <c r="V189" s="9">
        <v>0</v>
      </c>
      <c r="W189" s="9" t="b">
        <f>FORMULA(V189,SecureDocument!B190)</f>
        <v>1</v>
      </c>
      <c r="X189" s="9" t="b">
        <f t="shared" si="7"/>
        <v>1</v>
      </c>
    </row>
    <row r="190" spans="21:24" x14ac:dyDescent="0.25">
      <c r="U190" s="9" t="b">
        <f t="shared" si="9"/>
        <v>1</v>
      </c>
      <c r="V190" s="9">
        <v>0</v>
      </c>
      <c r="W190" s="9" t="b">
        <f>FORMULA(V190,SecureDocument!B191)</f>
        <v>1</v>
      </c>
      <c r="X190" s="9" t="b">
        <f t="shared" si="7"/>
        <v>1</v>
      </c>
    </row>
    <row r="191" spans="21:24" x14ac:dyDescent="0.25">
      <c r="U191" s="9" t="b">
        <f t="shared" si="9"/>
        <v>1</v>
      </c>
      <c r="V191" s="9">
        <v>0</v>
      </c>
      <c r="W191" s="9" t="b">
        <f>FORMULA(V191,SecureDocument!B192)</f>
        <v>1</v>
      </c>
      <c r="X191" s="9" t="b">
        <f t="shared" si="7"/>
        <v>1</v>
      </c>
    </row>
    <row r="192" spans="21:24" x14ac:dyDescent="0.25">
      <c r="U192" s="9" t="b">
        <f t="shared" si="9"/>
        <v>1</v>
      </c>
      <c r="V192" s="9">
        <v>0</v>
      </c>
      <c r="W192" s="9" t="b">
        <f>FORMULA(V192,SecureDocument!B193)</f>
        <v>1</v>
      </c>
      <c r="X192" s="9" t="b">
        <f t="shared" si="7"/>
        <v>1</v>
      </c>
    </row>
    <row r="193" spans="21:24" x14ac:dyDescent="0.25">
      <c r="U193" s="9" t="b">
        <f t="shared" si="9"/>
        <v>1</v>
      </c>
      <c r="V193" s="9">
        <v>0</v>
      </c>
      <c r="W193" s="9" t="b">
        <f>FORMULA(V193,SecureDocument!B194)</f>
        <v>1</v>
      </c>
      <c r="X193" s="9" t="b">
        <f t="shared" si="7"/>
        <v>1</v>
      </c>
    </row>
    <row r="194" spans="21:24" x14ac:dyDescent="0.25">
      <c r="U194" s="9" t="b">
        <f t="shared" si="9"/>
        <v>1</v>
      </c>
      <c r="V194" s="9">
        <v>0</v>
      </c>
      <c r="W194" s="9" t="b">
        <f>FORMULA(V194,SecureDocument!B195)</f>
        <v>1</v>
      </c>
      <c r="X194" s="9" t="b">
        <f t="shared" ref="X194:X209" si="10">SET.VALUE(V194,"")</f>
        <v>1</v>
      </c>
    </row>
    <row r="195" spans="21:24" x14ac:dyDescent="0.25">
      <c r="U195" s="9" t="b">
        <f>SET.VALUE(V195,RANDBETWEEN(1,10))</f>
        <v>1</v>
      </c>
      <c r="V195" s="9">
        <v>0</v>
      </c>
      <c r="W195" s="9" t="b">
        <f>FORMULA(V195,SecureDocument!B196)</f>
        <v>1</v>
      </c>
      <c r="X195" s="9" t="b">
        <f t="shared" si="10"/>
        <v>1</v>
      </c>
    </row>
    <row r="196" spans="21:24" x14ac:dyDescent="0.25">
      <c r="U196" s="9" t="b">
        <f t="shared" ref="U196:U209" si="11">SET.VALUE(V196,RANDBETWEEN(1,10))</f>
        <v>1</v>
      </c>
      <c r="V196" s="9">
        <v>0</v>
      </c>
      <c r="W196" s="9" t="b">
        <f>FORMULA(V196,SecureDocument!B197)</f>
        <v>1</v>
      </c>
      <c r="X196" s="9" t="b">
        <f t="shared" si="10"/>
        <v>1</v>
      </c>
    </row>
    <row r="197" spans="21:24" x14ac:dyDescent="0.25">
      <c r="U197" s="9" t="b">
        <f t="shared" si="11"/>
        <v>1</v>
      </c>
      <c r="V197" s="9">
        <v>0</v>
      </c>
      <c r="W197" s="9" t="b">
        <f>FORMULA(V197,SecureDocument!B198)</f>
        <v>1</v>
      </c>
      <c r="X197" s="9" t="b">
        <f t="shared" si="10"/>
        <v>1</v>
      </c>
    </row>
    <row r="198" spans="21:24" x14ac:dyDescent="0.25">
      <c r="U198" s="9" t="b">
        <f t="shared" si="11"/>
        <v>1</v>
      </c>
      <c r="V198" s="9">
        <v>0</v>
      </c>
      <c r="W198" s="9" t="b">
        <f>FORMULA(V198,SecureDocument!B199)</f>
        <v>1</v>
      </c>
      <c r="X198" s="9" t="b">
        <f t="shared" si="10"/>
        <v>1</v>
      </c>
    </row>
    <row r="199" spans="21:24" x14ac:dyDescent="0.25">
      <c r="U199" s="9" t="b">
        <f t="shared" si="11"/>
        <v>1</v>
      </c>
      <c r="V199" s="9">
        <v>0</v>
      </c>
      <c r="W199" s="9" t="b">
        <f>FORMULA(V199,SecureDocument!B200)</f>
        <v>1</v>
      </c>
      <c r="X199" s="9" t="b">
        <f t="shared" si="10"/>
        <v>1</v>
      </c>
    </row>
    <row r="200" spans="21:24" x14ac:dyDescent="0.25">
      <c r="U200" s="9" t="b">
        <f t="shared" si="11"/>
        <v>1</v>
      </c>
      <c r="V200" s="9">
        <v>0</v>
      </c>
      <c r="W200" s="9" t="b">
        <f>FORMULA(V200,SecureDocument!B201)</f>
        <v>1</v>
      </c>
      <c r="X200" s="9" t="b">
        <f t="shared" si="10"/>
        <v>1</v>
      </c>
    </row>
    <row r="201" spans="21:24" x14ac:dyDescent="0.25">
      <c r="U201" s="9" t="b">
        <f t="shared" si="11"/>
        <v>1</v>
      </c>
      <c r="V201" s="9">
        <v>0</v>
      </c>
      <c r="W201" s="9" t="b">
        <f>FORMULA(V201,SecureDocument!B202)</f>
        <v>1</v>
      </c>
      <c r="X201" s="9" t="b">
        <f t="shared" si="10"/>
        <v>1</v>
      </c>
    </row>
    <row r="202" spans="21:24" x14ac:dyDescent="0.25">
      <c r="U202" s="9" t="b">
        <f t="shared" si="11"/>
        <v>1</v>
      </c>
      <c r="V202" s="9">
        <v>0</v>
      </c>
      <c r="W202" s="9" t="b">
        <f>FORMULA(V202,SecureDocument!B203)</f>
        <v>1</v>
      </c>
      <c r="X202" s="9" t="b">
        <f t="shared" si="10"/>
        <v>1</v>
      </c>
    </row>
    <row r="203" spans="21:24" x14ac:dyDescent="0.25">
      <c r="U203" s="9" t="b">
        <f t="shared" si="11"/>
        <v>1</v>
      </c>
      <c r="V203" s="9">
        <v>0</v>
      </c>
      <c r="W203" s="9" t="b">
        <f>FORMULA(V203,SecureDocument!B204)</f>
        <v>1</v>
      </c>
      <c r="X203" s="9" t="b">
        <f t="shared" si="10"/>
        <v>1</v>
      </c>
    </row>
    <row r="204" spans="21:24" x14ac:dyDescent="0.25">
      <c r="U204" s="9" t="b">
        <f t="shared" si="11"/>
        <v>1</v>
      </c>
      <c r="V204" s="9">
        <v>0</v>
      </c>
      <c r="W204" s="9" t="b">
        <f>FORMULA(V204,SecureDocument!B205)</f>
        <v>1</v>
      </c>
      <c r="X204" s="9" t="b">
        <f t="shared" si="10"/>
        <v>1</v>
      </c>
    </row>
    <row r="205" spans="21:24" x14ac:dyDescent="0.25">
      <c r="U205" s="9" t="b">
        <f t="shared" si="11"/>
        <v>1</v>
      </c>
      <c r="V205" s="9">
        <v>0</v>
      </c>
      <c r="W205" s="9" t="b">
        <f>FORMULA(V205,SecureDocument!B206)</f>
        <v>1</v>
      </c>
      <c r="X205" s="9" t="b">
        <f t="shared" si="10"/>
        <v>1</v>
      </c>
    </row>
    <row r="206" spans="21:24" x14ac:dyDescent="0.25">
      <c r="U206" s="9" t="b">
        <f t="shared" si="11"/>
        <v>1</v>
      </c>
      <c r="V206" s="9">
        <v>0</v>
      </c>
      <c r="W206" s="9" t="b">
        <f>FORMULA(V206,SecureDocument!B207)</f>
        <v>1</v>
      </c>
      <c r="X206" s="9" t="b">
        <f t="shared" si="10"/>
        <v>1</v>
      </c>
    </row>
    <row r="207" spans="21:24" x14ac:dyDescent="0.25">
      <c r="U207" s="9" t="b">
        <f t="shared" si="11"/>
        <v>1</v>
      </c>
      <c r="V207" s="9">
        <v>0</v>
      </c>
      <c r="W207" s="9" t="b">
        <f>FORMULA(V207,SecureDocument!B208)</f>
        <v>1</v>
      </c>
      <c r="X207" s="9" t="b">
        <f t="shared" si="10"/>
        <v>1</v>
      </c>
    </row>
    <row r="208" spans="21:24" ht="16.5" customHeight="1" x14ac:dyDescent="0.25">
      <c r="U208" s="9" t="b">
        <f t="shared" si="11"/>
        <v>1</v>
      </c>
      <c r="V208" s="9">
        <v>0</v>
      </c>
      <c r="W208" s="9" t="b">
        <f>FORMULA(V208,SecureDocument!B209)</f>
        <v>1</v>
      </c>
      <c r="X208" s="9" t="b">
        <f t="shared" si="10"/>
        <v>1</v>
      </c>
    </row>
    <row r="209" spans="21:27" ht="14.25" customHeight="1" x14ac:dyDescent="0.25">
      <c r="U209" s="9" t="b">
        <f t="shared" si="11"/>
        <v>1</v>
      </c>
      <c r="V209" s="9">
        <v>0</v>
      </c>
      <c r="W209" s="9" t="b">
        <f>FORMULA(V209,SecureDocument!B210)</f>
        <v>1</v>
      </c>
      <c r="X209" s="9" t="b">
        <f t="shared" si="10"/>
        <v>1</v>
      </c>
    </row>
    <row r="210" spans="21:27" s="8" customFormat="1" hidden="1" x14ac:dyDescent="0.25">
      <c r="U210" s="8" t="b">
        <f>GOTO(W1)</f>
        <v>1</v>
      </c>
      <c r="W210" s="8" t="b">
        <f>GOTO(A3)</f>
        <v>1</v>
      </c>
      <c r="X210" s="8" t="b">
        <f>FILE.CLOSE(FALSE)</f>
        <v>0</v>
      </c>
      <c r="AA210" s="10"/>
    </row>
  </sheetData>
  <pageMargins left="0.7" right="0.7" top="0.75" bottom="0.75" header="0.3" footer="0.3"/>
  <pageSetup orientation="portrait" r:id="rId1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55F2A-32C5-4C01-AC73-0323C1A996AA}">
  <sheetPr codeName="Sheet1"/>
  <dimension ref="A1:N765"/>
  <sheetViews>
    <sheetView tabSelected="1" workbookViewId="0"/>
  </sheetViews>
  <sheetFormatPr defaultRowHeight="15" x14ac:dyDescent="0.25"/>
  <cols>
    <col min="1" max="1" width="16.28515625" bestFit="1" customWidth="1"/>
    <col min="2" max="2" width="9.85546875" style="2" bestFit="1" customWidth="1"/>
    <col min="3" max="3" width="19.85546875" bestFit="1" customWidth="1"/>
    <col min="4" max="4" width="10.42578125" bestFit="1" customWidth="1"/>
    <col min="5" max="5" width="13.5703125" bestFit="1" customWidth="1"/>
    <col min="6" max="7" width="11.85546875" bestFit="1" customWidth="1"/>
    <col min="8" max="8" width="13.42578125" bestFit="1" customWidth="1"/>
    <col min="9" max="9" width="13.5703125" bestFit="1" customWidth="1"/>
    <col min="10" max="10" width="5" bestFit="1" customWidth="1"/>
    <col min="11" max="12" width="11.85546875" bestFit="1" customWidth="1"/>
    <col min="13" max="13" width="9.7109375" bestFit="1" customWidth="1"/>
    <col min="14" max="14" width="14.7109375" bestFit="1" customWidth="1"/>
    <col min="15" max="15" width="13.5703125" bestFit="1" customWidth="1"/>
    <col min="16" max="16" width="5" bestFit="1" customWidth="1"/>
    <col min="257" max="257" width="16.28515625" bestFit="1" customWidth="1"/>
    <col min="258" max="261" width="9.85546875" bestFit="1" customWidth="1"/>
    <col min="262" max="262" width="19.85546875" bestFit="1" customWidth="1"/>
    <col min="263" max="263" width="10.42578125" bestFit="1" customWidth="1"/>
    <col min="264" max="264" width="13.5703125" bestFit="1" customWidth="1"/>
    <col min="265" max="265" width="11.85546875" bestFit="1" customWidth="1"/>
    <col min="266" max="266" width="13.5703125" bestFit="1" customWidth="1"/>
    <col min="267" max="268" width="11.85546875" bestFit="1" customWidth="1"/>
    <col min="269" max="269" width="9.7109375" bestFit="1" customWidth="1"/>
    <col min="270" max="270" width="14.7109375" bestFit="1" customWidth="1"/>
    <col min="271" max="271" width="13.5703125" bestFit="1" customWidth="1"/>
    <col min="272" max="272" width="5" bestFit="1" customWidth="1"/>
    <col min="513" max="513" width="16.28515625" bestFit="1" customWidth="1"/>
    <col min="514" max="517" width="9.85546875" bestFit="1" customWidth="1"/>
    <col min="518" max="518" width="19.85546875" bestFit="1" customWidth="1"/>
    <col min="519" max="519" width="10.42578125" bestFit="1" customWidth="1"/>
    <col min="520" max="520" width="13.5703125" bestFit="1" customWidth="1"/>
    <col min="521" max="521" width="11.85546875" bestFit="1" customWidth="1"/>
    <col min="522" max="522" width="13.5703125" bestFit="1" customWidth="1"/>
    <col min="523" max="524" width="11.85546875" bestFit="1" customWidth="1"/>
    <col min="525" max="525" width="9.7109375" bestFit="1" customWidth="1"/>
    <col min="526" max="526" width="14.7109375" bestFit="1" customWidth="1"/>
    <col min="527" max="527" width="13.5703125" bestFit="1" customWidth="1"/>
    <col min="528" max="528" width="5" bestFit="1" customWidth="1"/>
    <col min="769" max="769" width="16.28515625" bestFit="1" customWidth="1"/>
    <col min="770" max="773" width="9.85546875" bestFit="1" customWidth="1"/>
    <col min="774" max="774" width="19.85546875" bestFit="1" customWidth="1"/>
    <col min="775" max="775" width="10.42578125" bestFit="1" customWidth="1"/>
    <col min="776" max="776" width="13.5703125" bestFit="1" customWidth="1"/>
    <col min="777" max="777" width="11.85546875" bestFit="1" customWidth="1"/>
    <col min="778" max="778" width="13.5703125" bestFit="1" customWidth="1"/>
    <col min="779" max="780" width="11.85546875" bestFit="1" customWidth="1"/>
    <col min="781" max="781" width="9.7109375" bestFit="1" customWidth="1"/>
    <col min="782" max="782" width="14.7109375" bestFit="1" customWidth="1"/>
    <col min="783" max="783" width="13.5703125" bestFit="1" customWidth="1"/>
    <col min="784" max="784" width="5" bestFit="1" customWidth="1"/>
    <col min="1025" max="1025" width="16.28515625" bestFit="1" customWidth="1"/>
    <col min="1026" max="1029" width="9.85546875" bestFit="1" customWidth="1"/>
    <col min="1030" max="1030" width="19.85546875" bestFit="1" customWidth="1"/>
    <col min="1031" max="1031" width="10.42578125" bestFit="1" customWidth="1"/>
    <col min="1032" max="1032" width="13.5703125" bestFit="1" customWidth="1"/>
    <col min="1033" max="1033" width="11.85546875" bestFit="1" customWidth="1"/>
    <col min="1034" max="1034" width="13.5703125" bestFit="1" customWidth="1"/>
    <col min="1035" max="1036" width="11.85546875" bestFit="1" customWidth="1"/>
    <col min="1037" max="1037" width="9.7109375" bestFit="1" customWidth="1"/>
    <col min="1038" max="1038" width="14.7109375" bestFit="1" customWidth="1"/>
    <col min="1039" max="1039" width="13.5703125" bestFit="1" customWidth="1"/>
    <col min="1040" max="1040" width="5" bestFit="1" customWidth="1"/>
    <col min="1281" max="1281" width="16.28515625" bestFit="1" customWidth="1"/>
    <col min="1282" max="1285" width="9.85546875" bestFit="1" customWidth="1"/>
    <col min="1286" max="1286" width="19.85546875" bestFit="1" customWidth="1"/>
    <col min="1287" max="1287" width="10.42578125" bestFit="1" customWidth="1"/>
    <col min="1288" max="1288" width="13.5703125" bestFit="1" customWidth="1"/>
    <col min="1289" max="1289" width="11.85546875" bestFit="1" customWidth="1"/>
    <col min="1290" max="1290" width="13.5703125" bestFit="1" customWidth="1"/>
    <col min="1291" max="1292" width="11.85546875" bestFit="1" customWidth="1"/>
    <col min="1293" max="1293" width="9.7109375" bestFit="1" customWidth="1"/>
    <col min="1294" max="1294" width="14.7109375" bestFit="1" customWidth="1"/>
    <col min="1295" max="1295" width="13.5703125" bestFit="1" customWidth="1"/>
    <col min="1296" max="1296" width="5" bestFit="1" customWidth="1"/>
    <col min="1537" max="1537" width="16.28515625" bestFit="1" customWidth="1"/>
    <col min="1538" max="1541" width="9.85546875" bestFit="1" customWidth="1"/>
    <col min="1542" max="1542" width="19.85546875" bestFit="1" customWidth="1"/>
    <col min="1543" max="1543" width="10.42578125" bestFit="1" customWidth="1"/>
    <col min="1544" max="1544" width="13.5703125" bestFit="1" customWidth="1"/>
    <col min="1545" max="1545" width="11.85546875" bestFit="1" customWidth="1"/>
    <col min="1546" max="1546" width="13.5703125" bestFit="1" customWidth="1"/>
    <col min="1547" max="1548" width="11.85546875" bestFit="1" customWidth="1"/>
    <col min="1549" max="1549" width="9.7109375" bestFit="1" customWidth="1"/>
    <col min="1550" max="1550" width="14.7109375" bestFit="1" customWidth="1"/>
    <col min="1551" max="1551" width="13.5703125" bestFit="1" customWidth="1"/>
    <col min="1552" max="1552" width="5" bestFit="1" customWidth="1"/>
    <col min="1793" max="1793" width="16.28515625" bestFit="1" customWidth="1"/>
    <col min="1794" max="1797" width="9.85546875" bestFit="1" customWidth="1"/>
    <col min="1798" max="1798" width="19.85546875" bestFit="1" customWidth="1"/>
    <col min="1799" max="1799" width="10.42578125" bestFit="1" customWidth="1"/>
    <col min="1800" max="1800" width="13.5703125" bestFit="1" customWidth="1"/>
    <col min="1801" max="1801" width="11.85546875" bestFit="1" customWidth="1"/>
    <col min="1802" max="1802" width="13.5703125" bestFit="1" customWidth="1"/>
    <col min="1803" max="1804" width="11.85546875" bestFit="1" customWidth="1"/>
    <col min="1805" max="1805" width="9.7109375" bestFit="1" customWidth="1"/>
    <col min="1806" max="1806" width="14.7109375" bestFit="1" customWidth="1"/>
    <col min="1807" max="1807" width="13.5703125" bestFit="1" customWidth="1"/>
    <col min="1808" max="1808" width="5" bestFit="1" customWidth="1"/>
    <col min="2049" max="2049" width="16.28515625" bestFit="1" customWidth="1"/>
    <col min="2050" max="2053" width="9.85546875" bestFit="1" customWidth="1"/>
    <col min="2054" max="2054" width="19.85546875" bestFit="1" customWidth="1"/>
    <col min="2055" max="2055" width="10.42578125" bestFit="1" customWidth="1"/>
    <col min="2056" max="2056" width="13.5703125" bestFit="1" customWidth="1"/>
    <col min="2057" max="2057" width="11.85546875" bestFit="1" customWidth="1"/>
    <col min="2058" max="2058" width="13.5703125" bestFit="1" customWidth="1"/>
    <col min="2059" max="2060" width="11.85546875" bestFit="1" customWidth="1"/>
    <col min="2061" max="2061" width="9.7109375" bestFit="1" customWidth="1"/>
    <col min="2062" max="2062" width="14.7109375" bestFit="1" customWidth="1"/>
    <col min="2063" max="2063" width="13.5703125" bestFit="1" customWidth="1"/>
    <col min="2064" max="2064" width="5" bestFit="1" customWidth="1"/>
    <col min="2305" max="2305" width="16.28515625" bestFit="1" customWidth="1"/>
    <col min="2306" max="2309" width="9.85546875" bestFit="1" customWidth="1"/>
    <col min="2310" max="2310" width="19.85546875" bestFit="1" customWidth="1"/>
    <col min="2311" max="2311" width="10.42578125" bestFit="1" customWidth="1"/>
    <col min="2312" max="2312" width="13.5703125" bestFit="1" customWidth="1"/>
    <col min="2313" max="2313" width="11.85546875" bestFit="1" customWidth="1"/>
    <col min="2314" max="2314" width="13.5703125" bestFit="1" customWidth="1"/>
    <col min="2315" max="2316" width="11.85546875" bestFit="1" customWidth="1"/>
    <col min="2317" max="2317" width="9.7109375" bestFit="1" customWidth="1"/>
    <col min="2318" max="2318" width="14.7109375" bestFit="1" customWidth="1"/>
    <col min="2319" max="2319" width="13.5703125" bestFit="1" customWidth="1"/>
    <col min="2320" max="2320" width="5" bestFit="1" customWidth="1"/>
    <col min="2561" max="2561" width="16.28515625" bestFit="1" customWidth="1"/>
    <col min="2562" max="2565" width="9.85546875" bestFit="1" customWidth="1"/>
    <col min="2566" max="2566" width="19.85546875" bestFit="1" customWidth="1"/>
    <col min="2567" max="2567" width="10.42578125" bestFit="1" customWidth="1"/>
    <col min="2568" max="2568" width="13.5703125" bestFit="1" customWidth="1"/>
    <col min="2569" max="2569" width="11.85546875" bestFit="1" customWidth="1"/>
    <col min="2570" max="2570" width="13.5703125" bestFit="1" customWidth="1"/>
    <col min="2571" max="2572" width="11.85546875" bestFit="1" customWidth="1"/>
    <col min="2573" max="2573" width="9.7109375" bestFit="1" customWidth="1"/>
    <col min="2574" max="2574" width="14.7109375" bestFit="1" customWidth="1"/>
    <col min="2575" max="2575" width="13.5703125" bestFit="1" customWidth="1"/>
    <col min="2576" max="2576" width="5" bestFit="1" customWidth="1"/>
    <col min="2817" max="2817" width="16.28515625" bestFit="1" customWidth="1"/>
    <col min="2818" max="2821" width="9.85546875" bestFit="1" customWidth="1"/>
    <col min="2822" max="2822" width="19.85546875" bestFit="1" customWidth="1"/>
    <col min="2823" max="2823" width="10.42578125" bestFit="1" customWidth="1"/>
    <col min="2824" max="2824" width="13.5703125" bestFit="1" customWidth="1"/>
    <col min="2825" max="2825" width="11.85546875" bestFit="1" customWidth="1"/>
    <col min="2826" max="2826" width="13.5703125" bestFit="1" customWidth="1"/>
    <col min="2827" max="2828" width="11.85546875" bestFit="1" customWidth="1"/>
    <col min="2829" max="2829" width="9.7109375" bestFit="1" customWidth="1"/>
    <col min="2830" max="2830" width="14.7109375" bestFit="1" customWidth="1"/>
    <col min="2831" max="2831" width="13.5703125" bestFit="1" customWidth="1"/>
    <col min="2832" max="2832" width="5" bestFit="1" customWidth="1"/>
    <col min="3073" max="3073" width="16.28515625" bestFit="1" customWidth="1"/>
    <col min="3074" max="3077" width="9.85546875" bestFit="1" customWidth="1"/>
    <col min="3078" max="3078" width="19.85546875" bestFit="1" customWidth="1"/>
    <col min="3079" max="3079" width="10.42578125" bestFit="1" customWidth="1"/>
    <col min="3080" max="3080" width="13.5703125" bestFit="1" customWidth="1"/>
    <col min="3081" max="3081" width="11.85546875" bestFit="1" customWidth="1"/>
    <col min="3082" max="3082" width="13.5703125" bestFit="1" customWidth="1"/>
    <col min="3083" max="3084" width="11.85546875" bestFit="1" customWidth="1"/>
    <col min="3085" max="3085" width="9.7109375" bestFit="1" customWidth="1"/>
    <col min="3086" max="3086" width="14.7109375" bestFit="1" customWidth="1"/>
    <col min="3087" max="3087" width="13.5703125" bestFit="1" customWidth="1"/>
    <col min="3088" max="3088" width="5" bestFit="1" customWidth="1"/>
    <col min="3329" max="3329" width="16.28515625" bestFit="1" customWidth="1"/>
    <col min="3330" max="3333" width="9.85546875" bestFit="1" customWidth="1"/>
    <col min="3334" max="3334" width="19.85546875" bestFit="1" customWidth="1"/>
    <col min="3335" max="3335" width="10.42578125" bestFit="1" customWidth="1"/>
    <col min="3336" max="3336" width="13.5703125" bestFit="1" customWidth="1"/>
    <col min="3337" max="3337" width="11.85546875" bestFit="1" customWidth="1"/>
    <col min="3338" max="3338" width="13.5703125" bestFit="1" customWidth="1"/>
    <col min="3339" max="3340" width="11.85546875" bestFit="1" customWidth="1"/>
    <col min="3341" max="3341" width="9.7109375" bestFit="1" customWidth="1"/>
    <col min="3342" max="3342" width="14.7109375" bestFit="1" customWidth="1"/>
    <col min="3343" max="3343" width="13.5703125" bestFit="1" customWidth="1"/>
    <col min="3344" max="3344" width="5" bestFit="1" customWidth="1"/>
    <col min="3585" max="3585" width="16.28515625" bestFit="1" customWidth="1"/>
    <col min="3586" max="3589" width="9.85546875" bestFit="1" customWidth="1"/>
    <col min="3590" max="3590" width="19.85546875" bestFit="1" customWidth="1"/>
    <col min="3591" max="3591" width="10.42578125" bestFit="1" customWidth="1"/>
    <col min="3592" max="3592" width="13.5703125" bestFit="1" customWidth="1"/>
    <col min="3593" max="3593" width="11.85546875" bestFit="1" customWidth="1"/>
    <col min="3594" max="3594" width="13.5703125" bestFit="1" customWidth="1"/>
    <col min="3595" max="3596" width="11.85546875" bestFit="1" customWidth="1"/>
    <col min="3597" max="3597" width="9.7109375" bestFit="1" customWidth="1"/>
    <col min="3598" max="3598" width="14.7109375" bestFit="1" customWidth="1"/>
    <col min="3599" max="3599" width="13.5703125" bestFit="1" customWidth="1"/>
    <col min="3600" max="3600" width="5" bestFit="1" customWidth="1"/>
    <col min="3841" max="3841" width="16.28515625" bestFit="1" customWidth="1"/>
    <col min="3842" max="3845" width="9.85546875" bestFit="1" customWidth="1"/>
    <col min="3846" max="3846" width="19.85546875" bestFit="1" customWidth="1"/>
    <col min="3847" max="3847" width="10.42578125" bestFit="1" customWidth="1"/>
    <col min="3848" max="3848" width="13.5703125" bestFit="1" customWidth="1"/>
    <col min="3849" max="3849" width="11.85546875" bestFit="1" customWidth="1"/>
    <col min="3850" max="3850" width="13.5703125" bestFit="1" customWidth="1"/>
    <col min="3851" max="3852" width="11.85546875" bestFit="1" customWidth="1"/>
    <col min="3853" max="3853" width="9.7109375" bestFit="1" customWidth="1"/>
    <col min="3854" max="3854" width="14.7109375" bestFit="1" customWidth="1"/>
    <col min="3855" max="3855" width="13.5703125" bestFit="1" customWidth="1"/>
    <col min="3856" max="3856" width="5" bestFit="1" customWidth="1"/>
    <col min="4097" max="4097" width="16.28515625" bestFit="1" customWidth="1"/>
    <col min="4098" max="4101" width="9.85546875" bestFit="1" customWidth="1"/>
    <col min="4102" max="4102" width="19.85546875" bestFit="1" customWidth="1"/>
    <col min="4103" max="4103" width="10.42578125" bestFit="1" customWidth="1"/>
    <col min="4104" max="4104" width="13.5703125" bestFit="1" customWidth="1"/>
    <col min="4105" max="4105" width="11.85546875" bestFit="1" customWidth="1"/>
    <col min="4106" max="4106" width="13.5703125" bestFit="1" customWidth="1"/>
    <col min="4107" max="4108" width="11.85546875" bestFit="1" customWidth="1"/>
    <col min="4109" max="4109" width="9.7109375" bestFit="1" customWidth="1"/>
    <col min="4110" max="4110" width="14.7109375" bestFit="1" customWidth="1"/>
    <col min="4111" max="4111" width="13.5703125" bestFit="1" customWidth="1"/>
    <col min="4112" max="4112" width="5" bestFit="1" customWidth="1"/>
    <col min="4353" max="4353" width="16.28515625" bestFit="1" customWidth="1"/>
    <col min="4354" max="4357" width="9.85546875" bestFit="1" customWidth="1"/>
    <col min="4358" max="4358" width="19.85546875" bestFit="1" customWidth="1"/>
    <col min="4359" max="4359" width="10.42578125" bestFit="1" customWidth="1"/>
    <col min="4360" max="4360" width="13.5703125" bestFit="1" customWidth="1"/>
    <col min="4361" max="4361" width="11.85546875" bestFit="1" customWidth="1"/>
    <col min="4362" max="4362" width="13.5703125" bestFit="1" customWidth="1"/>
    <col min="4363" max="4364" width="11.85546875" bestFit="1" customWidth="1"/>
    <col min="4365" max="4365" width="9.7109375" bestFit="1" customWidth="1"/>
    <col min="4366" max="4366" width="14.7109375" bestFit="1" customWidth="1"/>
    <col min="4367" max="4367" width="13.5703125" bestFit="1" customWidth="1"/>
    <col min="4368" max="4368" width="5" bestFit="1" customWidth="1"/>
    <col min="4609" max="4609" width="16.28515625" bestFit="1" customWidth="1"/>
    <col min="4610" max="4613" width="9.85546875" bestFit="1" customWidth="1"/>
    <col min="4614" max="4614" width="19.85546875" bestFit="1" customWidth="1"/>
    <col min="4615" max="4615" width="10.42578125" bestFit="1" customWidth="1"/>
    <col min="4616" max="4616" width="13.5703125" bestFit="1" customWidth="1"/>
    <col min="4617" max="4617" width="11.85546875" bestFit="1" customWidth="1"/>
    <col min="4618" max="4618" width="13.5703125" bestFit="1" customWidth="1"/>
    <col min="4619" max="4620" width="11.85546875" bestFit="1" customWidth="1"/>
    <col min="4621" max="4621" width="9.7109375" bestFit="1" customWidth="1"/>
    <col min="4622" max="4622" width="14.7109375" bestFit="1" customWidth="1"/>
    <col min="4623" max="4623" width="13.5703125" bestFit="1" customWidth="1"/>
    <col min="4624" max="4624" width="5" bestFit="1" customWidth="1"/>
    <col min="4865" max="4865" width="16.28515625" bestFit="1" customWidth="1"/>
    <col min="4866" max="4869" width="9.85546875" bestFit="1" customWidth="1"/>
    <col min="4870" max="4870" width="19.85546875" bestFit="1" customWidth="1"/>
    <col min="4871" max="4871" width="10.42578125" bestFit="1" customWidth="1"/>
    <col min="4872" max="4872" width="13.5703125" bestFit="1" customWidth="1"/>
    <col min="4873" max="4873" width="11.85546875" bestFit="1" customWidth="1"/>
    <col min="4874" max="4874" width="13.5703125" bestFit="1" customWidth="1"/>
    <col min="4875" max="4876" width="11.85546875" bestFit="1" customWidth="1"/>
    <col min="4877" max="4877" width="9.7109375" bestFit="1" customWidth="1"/>
    <col min="4878" max="4878" width="14.7109375" bestFit="1" customWidth="1"/>
    <col min="4879" max="4879" width="13.5703125" bestFit="1" customWidth="1"/>
    <col min="4880" max="4880" width="5" bestFit="1" customWidth="1"/>
    <col min="5121" max="5121" width="16.28515625" bestFit="1" customWidth="1"/>
    <col min="5122" max="5125" width="9.85546875" bestFit="1" customWidth="1"/>
    <col min="5126" max="5126" width="19.85546875" bestFit="1" customWidth="1"/>
    <col min="5127" max="5127" width="10.42578125" bestFit="1" customWidth="1"/>
    <col min="5128" max="5128" width="13.5703125" bestFit="1" customWidth="1"/>
    <col min="5129" max="5129" width="11.85546875" bestFit="1" customWidth="1"/>
    <col min="5130" max="5130" width="13.5703125" bestFit="1" customWidth="1"/>
    <col min="5131" max="5132" width="11.85546875" bestFit="1" customWidth="1"/>
    <col min="5133" max="5133" width="9.7109375" bestFit="1" customWidth="1"/>
    <col min="5134" max="5134" width="14.7109375" bestFit="1" customWidth="1"/>
    <col min="5135" max="5135" width="13.5703125" bestFit="1" customWidth="1"/>
    <col min="5136" max="5136" width="5" bestFit="1" customWidth="1"/>
    <col min="5377" max="5377" width="16.28515625" bestFit="1" customWidth="1"/>
    <col min="5378" max="5381" width="9.85546875" bestFit="1" customWidth="1"/>
    <col min="5382" max="5382" width="19.85546875" bestFit="1" customWidth="1"/>
    <col min="5383" max="5383" width="10.42578125" bestFit="1" customWidth="1"/>
    <col min="5384" max="5384" width="13.5703125" bestFit="1" customWidth="1"/>
    <col min="5385" max="5385" width="11.85546875" bestFit="1" customWidth="1"/>
    <col min="5386" max="5386" width="13.5703125" bestFit="1" customWidth="1"/>
    <col min="5387" max="5388" width="11.85546875" bestFit="1" customWidth="1"/>
    <col min="5389" max="5389" width="9.7109375" bestFit="1" customWidth="1"/>
    <col min="5390" max="5390" width="14.7109375" bestFit="1" customWidth="1"/>
    <col min="5391" max="5391" width="13.5703125" bestFit="1" customWidth="1"/>
    <col min="5392" max="5392" width="5" bestFit="1" customWidth="1"/>
    <col min="5633" max="5633" width="16.28515625" bestFit="1" customWidth="1"/>
    <col min="5634" max="5637" width="9.85546875" bestFit="1" customWidth="1"/>
    <col min="5638" max="5638" width="19.85546875" bestFit="1" customWidth="1"/>
    <col min="5639" max="5639" width="10.42578125" bestFit="1" customWidth="1"/>
    <col min="5640" max="5640" width="13.5703125" bestFit="1" customWidth="1"/>
    <col min="5641" max="5641" width="11.85546875" bestFit="1" customWidth="1"/>
    <col min="5642" max="5642" width="13.5703125" bestFit="1" customWidth="1"/>
    <col min="5643" max="5644" width="11.85546875" bestFit="1" customWidth="1"/>
    <col min="5645" max="5645" width="9.7109375" bestFit="1" customWidth="1"/>
    <col min="5646" max="5646" width="14.7109375" bestFit="1" customWidth="1"/>
    <col min="5647" max="5647" width="13.5703125" bestFit="1" customWidth="1"/>
    <col min="5648" max="5648" width="5" bestFit="1" customWidth="1"/>
    <col min="5889" max="5889" width="16.28515625" bestFit="1" customWidth="1"/>
    <col min="5890" max="5893" width="9.85546875" bestFit="1" customWidth="1"/>
    <col min="5894" max="5894" width="19.85546875" bestFit="1" customWidth="1"/>
    <col min="5895" max="5895" width="10.42578125" bestFit="1" customWidth="1"/>
    <col min="5896" max="5896" width="13.5703125" bestFit="1" customWidth="1"/>
    <col min="5897" max="5897" width="11.85546875" bestFit="1" customWidth="1"/>
    <col min="5898" max="5898" width="13.5703125" bestFit="1" customWidth="1"/>
    <col min="5899" max="5900" width="11.85546875" bestFit="1" customWidth="1"/>
    <col min="5901" max="5901" width="9.7109375" bestFit="1" customWidth="1"/>
    <col min="5902" max="5902" width="14.7109375" bestFit="1" customWidth="1"/>
    <col min="5903" max="5903" width="13.5703125" bestFit="1" customWidth="1"/>
    <col min="5904" max="5904" width="5" bestFit="1" customWidth="1"/>
    <col min="6145" max="6145" width="16.28515625" bestFit="1" customWidth="1"/>
    <col min="6146" max="6149" width="9.85546875" bestFit="1" customWidth="1"/>
    <col min="6150" max="6150" width="19.85546875" bestFit="1" customWidth="1"/>
    <col min="6151" max="6151" width="10.42578125" bestFit="1" customWidth="1"/>
    <col min="6152" max="6152" width="13.5703125" bestFit="1" customWidth="1"/>
    <col min="6153" max="6153" width="11.85546875" bestFit="1" customWidth="1"/>
    <col min="6154" max="6154" width="13.5703125" bestFit="1" customWidth="1"/>
    <col min="6155" max="6156" width="11.85546875" bestFit="1" customWidth="1"/>
    <col min="6157" max="6157" width="9.7109375" bestFit="1" customWidth="1"/>
    <col min="6158" max="6158" width="14.7109375" bestFit="1" customWidth="1"/>
    <col min="6159" max="6159" width="13.5703125" bestFit="1" customWidth="1"/>
    <col min="6160" max="6160" width="5" bestFit="1" customWidth="1"/>
    <col min="6401" max="6401" width="16.28515625" bestFit="1" customWidth="1"/>
    <col min="6402" max="6405" width="9.85546875" bestFit="1" customWidth="1"/>
    <col min="6406" max="6406" width="19.85546875" bestFit="1" customWidth="1"/>
    <col min="6407" max="6407" width="10.42578125" bestFit="1" customWidth="1"/>
    <col min="6408" max="6408" width="13.5703125" bestFit="1" customWidth="1"/>
    <col min="6409" max="6409" width="11.85546875" bestFit="1" customWidth="1"/>
    <col min="6410" max="6410" width="13.5703125" bestFit="1" customWidth="1"/>
    <col min="6411" max="6412" width="11.85546875" bestFit="1" customWidth="1"/>
    <col min="6413" max="6413" width="9.7109375" bestFit="1" customWidth="1"/>
    <col min="6414" max="6414" width="14.7109375" bestFit="1" customWidth="1"/>
    <col min="6415" max="6415" width="13.5703125" bestFit="1" customWidth="1"/>
    <col min="6416" max="6416" width="5" bestFit="1" customWidth="1"/>
    <col min="6657" max="6657" width="16.28515625" bestFit="1" customWidth="1"/>
    <col min="6658" max="6661" width="9.85546875" bestFit="1" customWidth="1"/>
    <col min="6662" max="6662" width="19.85546875" bestFit="1" customWidth="1"/>
    <col min="6663" max="6663" width="10.42578125" bestFit="1" customWidth="1"/>
    <col min="6664" max="6664" width="13.5703125" bestFit="1" customWidth="1"/>
    <col min="6665" max="6665" width="11.85546875" bestFit="1" customWidth="1"/>
    <col min="6666" max="6666" width="13.5703125" bestFit="1" customWidth="1"/>
    <col min="6667" max="6668" width="11.85546875" bestFit="1" customWidth="1"/>
    <col min="6669" max="6669" width="9.7109375" bestFit="1" customWidth="1"/>
    <col min="6670" max="6670" width="14.7109375" bestFit="1" customWidth="1"/>
    <col min="6671" max="6671" width="13.5703125" bestFit="1" customWidth="1"/>
    <col min="6672" max="6672" width="5" bestFit="1" customWidth="1"/>
    <col min="6913" max="6913" width="16.28515625" bestFit="1" customWidth="1"/>
    <col min="6914" max="6917" width="9.85546875" bestFit="1" customWidth="1"/>
    <col min="6918" max="6918" width="19.85546875" bestFit="1" customWidth="1"/>
    <col min="6919" max="6919" width="10.42578125" bestFit="1" customWidth="1"/>
    <col min="6920" max="6920" width="13.5703125" bestFit="1" customWidth="1"/>
    <col min="6921" max="6921" width="11.85546875" bestFit="1" customWidth="1"/>
    <col min="6922" max="6922" width="13.5703125" bestFit="1" customWidth="1"/>
    <col min="6923" max="6924" width="11.85546875" bestFit="1" customWidth="1"/>
    <col min="6925" max="6925" width="9.7109375" bestFit="1" customWidth="1"/>
    <col min="6926" max="6926" width="14.7109375" bestFit="1" customWidth="1"/>
    <col min="6927" max="6927" width="13.5703125" bestFit="1" customWidth="1"/>
    <col min="6928" max="6928" width="5" bestFit="1" customWidth="1"/>
    <col min="7169" max="7169" width="16.28515625" bestFit="1" customWidth="1"/>
    <col min="7170" max="7173" width="9.85546875" bestFit="1" customWidth="1"/>
    <col min="7174" max="7174" width="19.85546875" bestFit="1" customWidth="1"/>
    <col min="7175" max="7175" width="10.42578125" bestFit="1" customWidth="1"/>
    <col min="7176" max="7176" width="13.5703125" bestFit="1" customWidth="1"/>
    <col min="7177" max="7177" width="11.85546875" bestFit="1" customWidth="1"/>
    <col min="7178" max="7178" width="13.5703125" bestFit="1" customWidth="1"/>
    <col min="7179" max="7180" width="11.85546875" bestFit="1" customWidth="1"/>
    <col min="7181" max="7181" width="9.7109375" bestFit="1" customWidth="1"/>
    <col min="7182" max="7182" width="14.7109375" bestFit="1" customWidth="1"/>
    <col min="7183" max="7183" width="13.5703125" bestFit="1" customWidth="1"/>
    <col min="7184" max="7184" width="5" bestFit="1" customWidth="1"/>
    <col min="7425" max="7425" width="16.28515625" bestFit="1" customWidth="1"/>
    <col min="7426" max="7429" width="9.85546875" bestFit="1" customWidth="1"/>
    <col min="7430" max="7430" width="19.85546875" bestFit="1" customWidth="1"/>
    <col min="7431" max="7431" width="10.42578125" bestFit="1" customWidth="1"/>
    <col min="7432" max="7432" width="13.5703125" bestFit="1" customWidth="1"/>
    <col min="7433" max="7433" width="11.85546875" bestFit="1" customWidth="1"/>
    <col min="7434" max="7434" width="13.5703125" bestFit="1" customWidth="1"/>
    <col min="7435" max="7436" width="11.85546875" bestFit="1" customWidth="1"/>
    <col min="7437" max="7437" width="9.7109375" bestFit="1" customWidth="1"/>
    <col min="7438" max="7438" width="14.7109375" bestFit="1" customWidth="1"/>
    <col min="7439" max="7439" width="13.5703125" bestFit="1" customWidth="1"/>
    <col min="7440" max="7440" width="5" bestFit="1" customWidth="1"/>
    <col min="7681" max="7681" width="16.28515625" bestFit="1" customWidth="1"/>
    <col min="7682" max="7685" width="9.85546875" bestFit="1" customWidth="1"/>
    <col min="7686" max="7686" width="19.85546875" bestFit="1" customWidth="1"/>
    <col min="7687" max="7687" width="10.42578125" bestFit="1" customWidth="1"/>
    <col min="7688" max="7688" width="13.5703125" bestFit="1" customWidth="1"/>
    <col min="7689" max="7689" width="11.85546875" bestFit="1" customWidth="1"/>
    <col min="7690" max="7690" width="13.5703125" bestFit="1" customWidth="1"/>
    <col min="7691" max="7692" width="11.85546875" bestFit="1" customWidth="1"/>
    <col min="7693" max="7693" width="9.7109375" bestFit="1" customWidth="1"/>
    <col min="7694" max="7694" width="14.7109375" bestFit="1" customWidth="1"/>
    <col min="7695" max="7695" width="13.5703125" bestFit="1" customWidth="1"/>
    <col min="7696" max="7696" width="5" bestFit="1" customWidth="1"/>
    <col min="7937" max="7937" width="16.28515625" bestFit="1" customWidth="1"/>
    <col min="7938" max="7941" width="9.85546875" bestFit="1" customWidth="1"/>
    <col min="7942" max="7942" width="19.85546875" bestFit="1" customWidth="1"/>
    <col min="7943" max="7943" width="10.42578125" bestFit="1" customWidth="1"/>
    <col min="7944" max="7944" width="13.5703125" bestFit="1" customWidth="1"/>
    <col min="7945" max="7945" width="11.85546875" bestFit="1" customWidth="1"/>
    <col min="7946" max="7946" width="13.5703125" bestFit="1" customWidth="1"/>
    <col min="7947" max="7948" width="11.85546875" bestFit="1" customWidth="1"/>
    <col min="7949" max="7949" width="9.7109375" bestFit="1" customWidth="1"/>
    <col min="7950" max="7950" width="14.7109375" bestFit="1" customWidth="1"/>
    <col min="7951" max="7951" width="13.5703125" bestFit="1" customWidth="1"/>
    <col min="7952" max="7952" width="5" bestFit="1" customWidth="1"/>
    <col min="8193" max="8193" width="16.28515625" bestFit="1" customWidth="1"/>
    <col min="8194" max="8197" width="9.85546875" bestFit="1" customWidth="1"/>
    <col min="8198" max="8198" width="19.85546875" bestFit="1" customWidth="1"/>
    <col min="8199" max="8199" width="10.42578125" bestFit="1" customWidth="1"/>
    <col min="8200" max="8200" width="13.5703125" bestFit="1" customWidth="1"/>
    <col min="8201" max="8201" width="11.85546875" bestFit="1" customWidth="1"/>
    <col min="8202" max="8202" width="13.5703125" bestFit="1" customWidth="1"/>
    <col min="8203" max="8204" width="11.85546875" bestFit="1" customWidth="1"/>
    <col min="8205" max="8205" width="9.7109375" bestFit="1" customWidth="1"/>
    <col min="8206" max="8206" width="14.7109375" bestFit="1" customWidth="1"/>
    <col min="8207" max="8207" width="13.5703125" bestFit="1" customWidth="1"/>
    <col min="8208" max="8208" width="5" bestFit="1" customWidth="1"/>
    <col min="8449" max="8449" width="16.28515625" bestFit="1" customWidth="1"/>
    <col min="8450" max="8453" width="9.85546875" bestFit="1" customWidth="1"/>
    <col min="8454" max="8454" width="19.85546875" bestFit="1" customWidth="1"/>
    <col min="8455" max="8455" width="10.42578125" bestFit="1" customWidth="1"/>
    <col min="8456" max="8456" width="13.5703125" bestFit="1" customWidth="1"/>
    <col min="8457" max="8457" width="11.85546875" bestFit="1" customWidth="1"/>
    <col min="8458" max="8458" width="13.5703125" bestFit="1" customWidth="1"/>
    <col min="8459" max="8460" width="11.85546875" bestFit="1" customWidth="1"/>
    <col min="8461" max="8461" width="9.7109375" bestFit="1" customWidth="1"/>
    <col min="8462" max="8462" width="14.7109375" bestFit="1" customWidth="1"/>
    <col min="8463" max="8463" width="13.5703125" bestFit="1" customWidth="1"/>
    <col min="8464" max="8464" width="5" bestFit="1" customWidth="1"/>
    <col min="8705" max="8705" width="16.28515625" bestFit="1" customWidth="1"/>
    <col min="8706" max="8709" width="9.85546875" bestFit="1" customWidth="1"/>
    <col min="8710" max="8710" width="19.85546875" bestFit="1" customWidth="1"/>
    <col min="8711" max="8711" width="10.42578125" bestFit="1" customWidth="1"/>
    <col min="8712" max="8712" width="13.5703125" bestFit="1" customWidth="1"/>
    <col min="8713" max="8713" width="11.85546875" bestFit="1" customWidth="1"/>
    <col min="8714" max="8714" width="13.5703125" bestFit="1" customWidth="1"/>
    <col min="8715" max="8716" width="11.85546875" bestFit="1" customWidth="1"/>
    <col min="8717" max="8717" width="9.7109375" bestFit="1" customWidth="1"/>
    <col min="8718" max="8718" width="14.7109375" bestFit="1" customWidth="1"/>
    <col min="8719" max="8719" width="13.5703125" bestFit="1" customWidth="1"/>
    <col min="8720" max="8720" width="5" bestFit="1" customWidth="1"/>
    <col min="8961" max="8961" width="16.28515625" bestFit="1" customWidth="1"/>
    <col min="8962" max="8965" width="9.85546875" bestFit="1" customWidth="1"/>
    <col min="8966" max="8966" width="19.85546875" bestFit="1" customWidth="1"/>
    <col min="8967" max="8967" width="10.42578125" bestFit="1" customWidth="1"/>
    <col min="8968" max="8968" width="13.5703125" bestFit="1" customWidth="1"/>
    <col min="8969" max="8969" width="11.85546875" bestFit="1" customWidth="1"/>
    <col min="8970" max="8970" width="13.5703125" bestFit="1" customWidth="1"/>
    <col min="8971" max="8972" width="11.85546875" bestFit="1" customWidth="1"/>
    <col min="8973" max="8973" width="9.7109375" bestFit="1" customWidth="1"/>
    <col min="8974" max="8974" width="14.7109375" bestFit="1" customWidth="1"/>
    <col min="8975" max="8975" width="13.5703125" bestFit="1" customWidth="1"/>
    <col min="8976" max="8976" width="5" bestFit="1" customWidth="1"/>
    <col min="9217" max="9217" width="16.28515625" bestFit="1" customWidth="1"/>
    <col min="9218" max="9221" width="9.85546875" bestFit="1" customWidth="1"/>
    <col min="9222" max="9222" width="19.85546875" bestFit="1" customWidth="1"/>
    <col min="9223" max="9223" width="10.42578125" bestFit="1" customWidth="1"/>
    <col min="9224" max="9224" width="13.5703125" bestFit="1" customWidth="1"/>
    <col min="9225" max="9225" width="11.85546875" bestFit="1" customWidth="1"/>
    <col min="9226" max="9226" width="13.5703125" bestFit="1" customWidth="1"/>
    <col min="9227" max="9228" width="11.85546875" bestFit="1" customWidth="1"/>
    <col min="9229" max="9229" width="9.7109375" bestFit="1" customWidth="1"/>
    <col min="9230" max="9230" width="14.7109375" bestFit="1" customWidth="1"/>
    <col min="9231" max="9231" width="13.5703125" bestFit="1" customWidth="1"/>
    <col min="9232" max="9232" width="5" bestFit="1" customWidth="1"/>
    <col min="9473" max="9473" width="16.28515625" bestFit="1" customWidth="1"/>
    <col min="9474" max="9477" width="9.85546875" bestFit="1" customWidth="1"/>
    <col min="9478" max="9478" width="19.85546875" bestFit="1" customWidth="1"/>
    <col min="9479" max="9479" width="10.42578125" bestFit="1" customWidth="1"/>
    <col min="9480" max="9480" width="13.5703125" bestFit="1" customWidth="1"/>
    <col min="9481" max="9481" width="11.85546875" bestFit="1" customWidth="1"/>
    <col min="9482" max="9482" width="13.5703125" bestFit="1" customWidth="1"/>
    <col min="9483" max="9484" width="11.85546875" bestFit="1" customWidth="1"/>
    <col min="9485" max="9485" width="9.7109375" bestFit="1" customWidth="1"/>
    <col min="9486" max="9486" width="14.7109375" bestFit="1" customWidth="1"/>
    <col min="9487" max="9487" width="13.5703125" bestFit="1" customWidth="1"/>
    <col min="9488" max="9488" width="5" bestFit="1" customWidth="1"/>
    <col min="9729" max="9729" width="16.28515625" bestFit="1" customWidth="1"/>
    <col min="9730" max="9733" width="9.85546875" bestFit="1" customWidth="1"/>
    <col min="9734" max="9734" width="19.85546875" bestFit="1" customWidth="1"/>
    <col min="9735" max="9735" width="10.42578125" bestFit="1" customWidth="1"/>
    <col min="9736" max="9736" width="13.5703125" bestFit="1" customWidth="1"/>
    <col min="9737" max="9737" width="11.85546875" bestFit="1" customWidth="1"/>
    <col min="9738" max="9738" width="13.5703125" bestFit="1" customWidth="1"/>
    <col min="9739" max="9740" width="11.85546875" bestFit="1" customWidth="1"/>
    <col min="9741" max="9741" width="9.7109375" bestFit="1" customWidth="1"/>
    <col min="9742" max="9742" width="14.7109375" bestFit="1" customWidth="1"/>
    <col min="9743" max="9743" width="13.5703125" bestFit="1" customWidth="1"/>
    <col min="9744" max="9744" width="5" bestFit="1" customWidth="1"/>
    <col min="9985" max="9985" width="16.28515625" bestFit="1" customWidth="1"/>
    <col min="9986" max="9989" width="9.85546875" bestFit="1" customWidth="1"/>
    <col min="9990" max="9990" width="19.85546875" bestFit="1" customWidth="1"/>
    <col min="9991" max="9991" width="10.42578125" bestFit="1" customWidth="1"/>
    <col min="9992" max="9992" width="13.5703125" bestFit="1" customWidth="1"/>
    <col min="9993" max="9993" width="11.85546875" bestFit="1" customWidth="1"/>
    <col min="9994" max="9994" width="13.5703125" bestFit="1" customWidth="1"/>
    <col min="9995" max="9996" width="11.85546875" bestFit="1" customWidth="1"/>
    <col min="9997" max="9997" width="9.7109375" bestFit="1" customWidth="1"/>
    <col min="9998" max="9998" width="14.7109375" bestFit="1" customWidth="1"/>
    <col min="9999" max="9999" width="13.5703125" bestFit="1" customWidth="1"/>
    <col min="10000" max="10000" width="5" bestFit="1" customWidth="1"/>
    <col min="10241" max="10241" width="16.28515625" bestFit="1" customWidth="1"/>
    <col min="10242" max="10245" width="9.85546875" bestFit="1" customWidth="1"/>
    <col min="10246" max="10246" width="19.85546875" bestFit="1" customWidth="1"/>
    <col min="10247" max="10247" width="10.42578125" bestFit="1" customWidth="1"/>
    <col min="10248" max="10248" width="13.5703125" bestFit="1" customWidth="1"/>
    <col min="10249" max="10249" width="11.85546875" bestFit="1" customWidth="1"/>
    <col min="10250" max="10250" width="13.5703125" bestFit="1" customWidth="1"/>
    <col min="10251" max="10252" width="11.85546875" bestFit="1" customWidth="1"/>
    <col min="10253" max="10253" width="9.7109375" bestFit="1" customWidth="1"/>
    <col min="10254" max="10254" width="14.7109375" bestFit="1" customWidth="1"/>
    <col min="10255" max="10255" width="13.5703125" bestFit="1" customWidth="1"/>
    <col min="10256" max="10256" width="5" bestFit="1" customWidth="1"/>
    <col min="10497" max="10497" width="16.28515625" bestFit="1" customWidth="1"/>
    <col min="10498" max="10501" width="9.85546875" bestFit="1" customWidth="1"/>
    <col min="10502" max="10502" width="19.85546875" bestFit="1" customWidth="1"/>
    <col min="10503" max="10503" width="10.42578125" bestFit="1" customWidth="1"/>
    <col min="10504" max="10504" width="13.5703125" bestFit="1" customWidth="1"/>
    <col min="10505" max="10505" width="11.85546875" bestFit="1" customWidth="1"/>
    <col min="10506" max="10506" width="13.5703125" bestFit="1" customWidth="1"/>
    <col min="10507" max="10508" width="11.85546875" bestFit="1" customWidth="1"/>
    <col min="10509" max="10509" width="9.7109375" bestFit="1" customWidth="1"/>
    <col min="10510" max="10510" width="14.7109375" bestFit="1" customWidth="1"/>
    <col min="10511" max="10511" width="13.5703125" bestFit="1" customWidth="1"/>
    <col min="10512" max="10512" width="5" bestFit="1" customWidth="1"/>
    <col min="10753" max="10753" width="16.28515625" bestFit="1" customWidth="1"/>
    <col min="10754" max="10757" width="9.85546875" bestFit="1" customWidth="1"/>
    <col min="10758" max="10758" width="19.85546875" bestFit="1" customWidth="1"/>
    <col min="10759" max="10759" width="10.42578125" bestFit="1" customWidth="1"/>
    <col min="10760" max="10760" width="13.5703125" bestFit="1" customWidth="1"/>
    <col min="10761" max="10761" width="11.85546875" bestFit="1" customWidth="1"/>
    <col min="10762" max="10762" width="13.5703125" bestFit="1" customWidth="1"/>
    <col min="10763" max="10764" width="11.85546875" bestFit="1" customWidth="1"/>
    <col min="10765" max="10765" width="9.7109375" bestFit="1" customWidth="1"/>
    <col min="10766" max="10766" width="14.7109375" bestFit="1" customWidth="1"/>
    <col min="10767" max="10767" width="13.5703125" bestFit="1" customWidth="1"/>
    <col min="10768" max="10768" width="5" bestFit="1" customWidth="1"/>
    <col min="11009" max="11009" width="16.28515625" bestFit="1" customWidth="1"/>
    <col min="11010" max="11013" width="9.85546875" bestFit="1" customWidth="1"/>
    <col min="11014" max="11014" width="19.85546875" bestFit="1" customWidth="1"/>
    <col min="11015" max="11015" width="10.42578125" bestFit="1" customWidth="1"/>
    <col min="11016" max="11016" width="13.5703125" bestFit="1" customWidth="1"/>
    <col min="11017" max="11017" width="11.85546875" bestFit="1" customWidth="1"/>
    <col min="11018" max="11018" width="13.5703125" bestFit="1" customWidth="1"/>
    <col min="11019" max="11020" width="11.85546875" bestFit="1" customWidth="1"/>
    <col min="11021" max="11021" width="9.7109375" bestFit="1" customWidth="1"/>
    <col min="11022" max="11022" width="14.7109375" bestFit="1" customWidth="1"/>
    <col min="11023" max="11023" width="13.5703125" bestFit="1" customWidth="1"/>
    <col min="11024" max="11024" width="5" bestFit="1" customWidth="1"/>
    <col min="11265" max="11265" width="16.28515625" bestFit="1" customWidth="1"/>
    <col min="11266" max="11269" width="9.85546875" bestFit="1" customWidth="1"/>
    <col min="11270" max="11270" width="19.85546875" bestFit="1" customWidth="1"/>
    <col min="11271" max="11271" width="10.42578125" bestFit="1" customWidth="1"/>
    <col min="11272" max="11272" width="13.5703125" bestFit="1" customWidth="1"/>
    <col min="11273" max="11273" width="11.85546875" bestFit="1" customWidth="1"/>
    <col min="11274" max="11274" width="13.5703125" bestFit="1" customWidth="1"/>
    <col min="11275" max="11276" width="11.85546875" bestFit="1" customWidth="1"/>
    <col min="11277" max="11277" width="9.7109375" bestFit="1" customWidth="1"/>
    <col min="11278" max="11278" width="14.7109375" bestFit="1" customWidth="1"/>
    <col min="11279" max="11279" width="13.5703125" bestFit="1" customWidth="1"/>
    <col min="11280" max="11280" width="5" bestFit="1" customWidth="1"/>
    <col min="11521" max="11521" width="16.28515625" bestFit="1" customWidth="1"/>
    <col min="11522" max="11525" width="9.85546875" bestFit="1" customWidth="1"/>
    <col min="11526" max="11526" width="19.85546875" bestFit="1" customWidth="1"/>
    <col min="11527" max="11527" width="10.42578125" bestFit="1" customWidth="1"/>
    <col min="11528" max="11528" width="13.5703125" bestFit="1" customWidth="1"/>
    <col min="11529" max="11529" width="11.85546875" bestFit="1" customWidth="1"/>
    <col min="11530" max="11530" width="13.5703125" bestFit="1" customWidth="1"/>
    <col min="11531" max="11532" width="11.85546875" bestFit="1" customWidth="1"/>
    <col min="11533" max="11533" width="9.7109375" bestFit="1" customWidth="1"/>
    <col min="11534" max="11534" width="14.7109375" bestFit="1" customWidth="1"/>
    <col min="11535" max="11535" width="13.5703125" bestFit="1" customWidth="1"/>
    <col min="11536" max="11536" width="5" bestFit="1" customWidth="1"/>
    <col min="11777" max="11777" width="16.28515625" bestFit="1" customWidth="1"/>
    <col min="11778" max="11781" width="9.85546875" bestFit="1" customWidth="1"/>
    <col min="11782" max="11782" width="19.85546875" bestFit="1" customWidth="1"/>
    <col min="11783" max="11783" width="10.42578125" bestFit="1" customWidth="1"/>
    <col min="11784" max="11784" width="13.5703125" bestFit="1" customWidth="1"/>
    <col min="11785" max="11785" width="11.85546875" bestFit="1" customWidth="1"/>
    <col min="11786" max="11786" width="13.5703125" bestFit="1" customWidth="1"/>
    <col min="11787" max="11788" width="11.85546875" bestFit="1" customWidth="1"/>
    <col min="11789" max="11789" width="9.7109375" bestFit="1" customWidth="1"/>
    <col min="11790" max="11790" width="14.7109375" bestFit="1" customWidth="1"/>
    <col min="11791" max="11791" width="13.5703125" bestFit="1" customWidth="1"/>
    <col min="11792" max="11792" width="5" bestFit="1" customWidth="1"/>
    <col min="12033" max="12033" width="16.28515625" bestFit="1" customWidth="1"/>
    <col min="12034" max="12037" width="9.85546875" bestFit="1" customWidth="1"/>
    <col min="12038" max="12038" width="19.85546875" bestFit="1" customWidth="1"/>
    <col min="12039" max="12039" width="10.42578125" bestFit="1" customWidth="1"/>
    <col min="12040" max="12040" width="13.5703125" bestFit="1" customWidth="1"/>
    <col min="12041" max="12041" width="11.85546875" bestFit="1" customWidth="1"/>
    <col min="12042" max="12042" width="13.5703125" bestFit="1" customWidth="1"/>
    <col min="12043" max="12044" width="11.85546875" bestFit="1" customWidth="1"/>
    <col min="12045" max="12045" width="9.7109375" bestFit="1" customWidth="1"/>
    <col min="12046" max="12046" width="14.7109375" bestFit="1" customWidth="1"/>
    <col min="12047" max="12047" width="13.5703125" bestFit="1" customWidth="1"/>
    <col min="12048" max="12048" width="5" bestFit="1" customWidth="1"/>
    <col min="12289" max="12289" width="16.28515625" bestFit="1" customWidth="1"/>
    <col min="12290" max="12293" width="9.85546875" bestFit="1" customWidth="1"/>
    <col min="12294" max="12294" width="19.85546875" bestFit="1" customWidth="1"/>
    <col min="12295" max="12295" width="10.42578125" bestFit="1" customWidth="1"/>
    <col min="12296" max="12296" width="13.5703125" bestFit="1" customWidth="1"/>
    <col min="12297" max="12297" width="11.85546875" bestFit="1" customWidth="1"/>
    <col min="12298" max="12298" width="13.5703125" bestFit="1" customWidth="1"/>
    <col min="12299" max="12300" width="11.85546875" bestFit="1" customWidth="1"/>
    <col min="12301" max="12301" width="9.7109375" bestFit="1" customWidth="1"/>
    <col min="12302" max="12302" width="14.7109375" bestFit="1" customWidth="1"/>
    <col min="12303" max="12303" width="13.5703125" bestFit="1" customWidth="1"/>
    <col min="12304" max="12304" width="5" bestFit="1" customWidth="1"/>
    <col min="12545" max="12545" width="16.28515625" bestFit="1" customWidth="1"/>
    <col min="12546" max="12549" width="9.85546875" bestFit="1" customWidth="1"/>
    <col min="12550" max="12550" width="19.85546875" bestFit="1" customWidth="1"/>
    <col min="12551" max="12551" width="10.42578125" bestFit="1" customWidth="1"/>
    <col min="12552" max="12552" width="13.5703125" bestFit="1" customWidth="1"/>
    <col min="12553" max="12553" width="11.85546875" bestFit="1" customWidth="1"/>
    <col min="12554" max="12554" width="13.5703125" bestFit="1" customWidth="1"/>
    <col min="12555" max="12556" width="11.85546875" bestFit="1" customWidth="1"/>
    <col min="12557" max="12557" width="9.7109375" bestFit="1" customWidth="1"/>
    <col min="12558" max="12558" width="14.7109375" bestFit="1" customWidth="1"/>
    <col min="12559" max="12559" width="13.5703125" bestFit="1" customWidth="1"/>
    <col min="12560" max="12560" width="5" bestFit="1" customWidth="1"/>
    <col min="12801" max="12801" width="16.28515625" bestFit="1" customWidth="1"/>
    <col min="12802" max="12805" width="9.85546875" bestFit="1" customWidth="1"/>
    <col min="12806" max="12806" width="19.85546875" bestFit="1" customWidth="1"/>
    <col min="12807" max="12807" width="10.42578125" bestFit="1" customWidth="1"/>
    <col min="12808" max="12808" width="13.5703125" bestFit="1" customWidth="1"/>
    <col min="12809" max="12809" width="11.85546875" bestFit="1" customWidth="1"/>
    <col min="12810" max="12810" width="13.5703125" bestFit="1" customWidth="1"/>
    <col min="12811" max="12812" width="11.85546875" bestFit="1" customWidth="1"/>
    <col min="12813" max="12813" width="9.7109375" bestFit="1" customWidth="1"/>
    <col min="12814" max="12814" width="14.7109375" bestFit="1" customWidth="1"/>
    <col min="12815" max="12815" width="13.5703125" bestFit="1" customWidth="1"/>
    <col min="12816" max="12816" width="5" bestFit="1" customWidth="1"/>
    <col min="13057" max="13057" width="16.28515625" bestFit="1" customWidth="1"/>
    <col min="13058" max="13061" width="9.85546875" bestFit="1" customWidth="1"/>
    <col min="13062" max="13062" width="19.85546875" bestFit="1" customWidth="1"/>
    <col min="13063" max="13063" width="10.42578125" bestFit="1" customWidth="1"/>
    <col min="13064" max="13064" width="13.5703125" bestFit="1" customWidth="1"/>
    <col min="13065" max="13065" width="11.85546875" bestFit="1" customWidth="1"/>
    <col min="13066" max="13066" width="13.5703125" bestFit="1" customWidth="1"/>
    <col min="13067" max="13068" width="11.85546875" bestFit="1" customWidth="1"/>
    <col min="13069" max="13069" width="9.7109375" bestFit="1" customWidth="1"/>
    <col min="13070" max="13070" width="14.7109375" bestFit="1" customWidth="1"/>
    <col min="13071" max="13071" width="13.5703125" bestFit="1" customWidth="1"/>
    <col min="13072" max="13072" width="5" bestFit="1" customWidth="1"/>
    <col min="13313" max="13313" width="16.28515625" bestFit="1" customWidth="1"/>
    <col min="13314" max="13317" width="9.85546875" bestFit="1" customWidth="1"/>
    <col min="13318" max="13318" width="19.85546875" bestFit="1" customWidth="1"/>
    <col min="13319" max="13319" width="10.42578125" bestFit="1" customWidth="1"/>
    <col min="13320" max="13320" width="13.5703125" bestFit="1" customWidth="1"/>
    <col min="13321" max="13321" width="11.85546875" bestFit="1" customWidth="1"/>
    <col min="13322" max="13322" width="13.5703125" bestFit="1" customWidth="1"/>
    <col min="13323" max="13324" width="11.85546875" bestFit="1" customWidth="1"/>
    <col min="13325" max="13325" width="9.7109375" bestFit="1" customWidth="1"/>
    <col min="13326" max="13326" width="14.7109375" bestFit="1" customWidth="1"/>
    <col min="13327" max="13327" width="13.5703125" bestFit="1" customWidth="1"/>
    <col min="13328" max="13328" width="5" bestFit="1" customWidth="1"/>
    <col min="13569" max="13569" width="16.28515625" bestFit="1" customWidth="1"/>
    <col min="13570" max="13573" width="9.85546875" bestFit="1" customWidth="1"/>
    <col min="13574" max="13574" width="19.85546875" bestFit="1" customWidth="1"/>
    <col min="13575" max="13575" width="10.42578125" bestFit="1" customWidth="1"/>
    <col min="13576" max="13576" width="13.5703125" bestFit="1" customWidth="1"/>
    <col min="13577" max="13577" width="11.85546875" bestFit="1" customWidth="1"/>
    <col min="13578" max="13578" width="13.5703125" bestFit="1" customWidth="1"/>
    <col min="13579" max="13580" width="11.85546875" bestFit="1" customWidth="1"/>
    <col min="13581" max="13581" width="9.7109375" bestFit="1" customWidth="1"/>
    <col min="13582" max="13582" width="14.7109375" bestFit="1" customWidth="1"/>
    <col min="13583" max="13583" width="13.5703125" bestFit="1" customWidth="1"/>
    <col min="13584" max="13584" width="5" bestFit="1" customWidth="1"/>
    <col min="13825" max="13825" width="16.28515625" bestFit="1" customWidth="1"/>
    <col min="13826" max="13829" width="9.85546875" bestFit="1" customWidth="1"/>
    <col min="13830" max="13830" width="19.85546875" bestFit="1" customWidth="1"/>
    <col min="13831" max="13831" width="10.42578125" bestFit="1" customWidth="1"/>
    <col min="13832" max="13832" width="13.5703125" bestFit="1" customWidth="1"/>
    <col min="13833" max="13833" width="11.85546875" bestFit="1" customWidth="1"/>
    <col min="13834" max="13834" width="13.5703125" bestFit="1" customWidth="1"/>
    <col min="13835" max="13836" width="11.85546875" bestFit="1" customWidth="1"/>
    <col min="13837" max="13837" width="9.7109375" bestFit="1" customWidth="1"/>
    <col min="13838" max="13838" width="14.7109375" bestFit="1" customWidth="1"/>
    <col min="13839" max="13839" width="13.5703125" bestFit="1" customWidth="1"/>
    <col min="13840" max="13840" width="5" bestFit="1" customWidth="1"/>
    <col min="14081" max="14081" width="16.28515625" bestFit="1" customWidth="1"/>
    <col min="14082" max="14085" width="9.85546875" bestFit="1" customWidth="1"/>
    <col min="14086" max="14086" width="19.85546875" bestFit="1" customWidth="1"/>
    <col min="14087" max="14087" width="10.42578125" bestFit="1" customWidth="1"/>
    <col min="14088" max="14088" width="13.5703125" bestFit="1" customWidth="1"/>
    <col min="14089" max="14089" width="11.85546875" bestFit="1" customWidth="1"/>
    <col min="14090" max="14090" width="13.5703125" bestFit="1" customWidth="1"/>
    <col min="14091" max="14092" width="11.85546875" bestFit="1" customWidth="1"/>
    <col min="14093" max="14093" width="9.7109375" bestFit="1" customWidth="1"/>
    <col min="14094" max="14094" width="14.7109375" bestFit="1" customWidth="1"/>
    <col min="14095" max="14095" width="13.5703125" bestFit="1" customWidth="1"/>
    <col min="14096" max="14096" width="5" bestFit="1" customWidth="1"/>
    <col min="14337" max="14337" width="16.28515625" bestFit="1" customWidth="1"/>
    <col min="14338" max="14341" width="9.85546875" bestFit="1" customWidth="1"/>
    <col min="14342" max="14342" width="19.85546875" bestFit="1" customWidth="1"/>
    <col min="14343" max="14343" width="10.42578125" bestFit="1" customWidth="1"/>
    <col min="14344" max="14344" width="13.5703125" bestFit="1" customWidth="1"/>
    <col min="14345" max="14345" width="11.85546875" bestFit="1" customWidth="1"/>
    <col min="14346" max="14346" width="13.5703125" bestFit="1" customWidth="1"/>
    <col min="14347" max="14348" width="11.85546875" bestFit="1" customWidth="1"/>
    <col min="14349" max="14349" width="9.7109375" bestFit="1" customWidth="1"/>
    <col min="14350" max="14350" width="14.7109375" bestFit="1" customWidth="1"/>
    <col min="14351" max="14351" width="13.5703125" bestFit="1" customWidth="1"/>
    <col min="14352" max="14352" width="5" bestFit="1" customWidth="1"/>
    <col min="14593" max="14593" width="16.28515625" bestFit="1" customWidth="1"/>
    <col min="14594" max="14597" width="9.85546875" bestFit="1" customWidth="1"/>
    <col min="14598" max="14598" width="19.85546875" bestFit="1" customWidth="1"/>
    <col min="14599" max="14599" width="10.42578125" bestFit="1" customWidth="1"/>
    <col min="14600" max="14600" width="13.5703125" bestFit="1" customWidth="1"/>
    <col min="14601" max="14601" width="11.85546875" bestFit="1" customWidth="1"/>
    <col min="14602" max="14602" width="13.5703125" bestFit="1" customWidth="1"/>
    <col min="14603" max="14604" width="11.85546875" bestFit="1" customWidth="1"/>
    <col min="14605" max="14605" width="9.7109375" bestFit="1" customWidth="1"/>
    <col min="14606" max="14606" width="14.7109375" bestFit="1" customWidth="1"/>
    <col min="14607" max="14607" width="13.5703125" bestFit="1" customWidth="1"/>
    <col min="14608" max="14608" width="5" bestFit="1" customWidth="1"/>
    <col min="14849" max="14849" width="16.28515625" bestFit="1" customWidth="1"/>
    <col min="14850" max="14853" width="9.85546875" bestFit="1" customWidth="1"/>
    <col min="14854" max="14854" width="19.85546875" bestFit="1" customWidth="1"/>
    <col min="14855" max="14855" width="10.42578125" bestFit="1" customWidth="1"/>
    <col min="14856" max="14856" width="13.5703125" bestFit="1" customWidth="1"/>
    <col min="14857" max="14857" width="11.85546875" bestFit="1" customWidth="1"/>
    <col min="14858" max="14858" width="13.5703125" bestFit="1" customWidth="1"/>
    <col min="14859" max="14860" width="11.85546875" bestFit="1" customWidth="1"/>
    <col min="14861" max="14861" width="9.7109375" bestFit="1" customWidth="1"/>
    <col min="14862" max="14862" width="14.7109375" bestFit="1" customWidth="1"/>
    <col min="14863" max="14863" width="13.5703125" bestFit="1" customWidth="1"/>
    <col min="14864" max="14864" width="5" bestFit="1" customWidth="1"/>
    <col min="15105" max="15105" width="16.28515625" bestFit="1" customWidth="1"/>
    <col min="15106" max="15109" width="9.85546875" bestFit="1" customWidth="1"/>
    <col min="15110" max="15110" width="19.85546875" bestFit="1" customWidth="1"/>
    <col min="15111" max="15111" width="10.42578125" bestFit="1" customWidth="1"/>
    <col min="15112" max="15112" width="13.5703125" bestFit="1" customWidth="1"/>
    <col min="15113" max="15113" width="11.85546875" bestFit="1" customWidth="1"/>
    <col min="15114" max="15114" width="13.5703125" bestFit="1" customWidth="1"/>
    <col min="15115" max="15116" width="11.85546875" bestFit="1" customWidth="1"/>
    <col min="15117" max="15117" width="9.7109375" bestFit="1" customWidth="1"/>
    <col min="15118" max="15118" width="14.7109375" bestFit="1" customWidth="1"/>
    <col min="15119" max="15119" width="13.5703125" bestFit="1" customWidth="1"/>
    <col min="15120" max="15120" width="5" bestFit="1" customWidth="1"/>
    <col min="15361" max="15361" width="16.28515625" bestFit="1" customWidth="1"/>
    <col min="15362" max="15365" width="9.85546875" bestFit="1" customWidth="1"/>
    <col min="15366" max="15366" width="19.85546875" bestFit="1" customWidth="1"/>
    <col min="15367" max="15367" width="10.42578125" bestFit="1" customWidth="1"/>
    <col min="15368" max="15368" width="13.5703125" bestFit="1" customWidth="1"/>
    <col min="15369" max="15369" width="11.85546875" bestFit="1" customWidth="1"/>
    <col min="15370" max="15370" width="13.5703125" bestFit="1" customWidth="1"/>
    <col min="15371" max="15372" width="11.85546875" bestFit="1" customWidth="1"/>
    <col min="15373" max="15373" width="9.7109375" bestFit="1" customWidth="1"/>
    <col min="15374" max="15374" width="14.7109375" bestFit="1" customWidth="1"/>
    <col min="15375" max="15375" width="13.5703125" bestFit="1" customWidth="1"/>
    <col min="15376" max="15376" width="5" bestFit="1" customWidth="1"/>
    <col min="15617" max="15617" width="16.28515625" bestFit="1" customWidth="1"/>
    <col min="15618" max="15621" width="9.85546875" bestFit="1" customWidth="1"/>
    <col min="15622" max="15622" width="19.85546875" bestFit="1" customWidth="1"/>
    <col min="15623" max="15623" width="10.42578125" bestFit="1" customWidth="1"/>
    <col min="15624" max="15624" width="13.5703125" bestFit="1" customWidth="1"/>
    <col min="15625" max="15625" width="11.85546875" bestFit="1" customWidth="1"/>
    <col min="15626" max="15626" width="13.5703125" bestFit="1" customWidth="1"/>
    <col min="15627" max="15628" width="11.85546875" bestFit="1" customWidth="1"/>
    <col min="15629" max="15629" width="9.7109375" bestFit="1" customWidth="1"/>
    <col min="15630" max="15630" width="14.7109375" bestFit="1" customWidth="1"/>
    <col min="15631" max="15631" width="13.5703125" bestFit="1" customWidth="1"/>
    <col min="15632" max="15632" width="5" bestFit="1" customWidth="1"/>
    <col min="15873" max="15873" width="16.28515625" bestFit="1" customWidth="1"/>
    <col min="15874" max="15877" width="9.85546875" bestFit="1" customWidth="1"/>
    <col min="15878" max="15878" width="19.85546875" bestFit="1" customWidth="1"/>
    <col min="15879" max="15879" width="10.42578125" bestFit="1" customWidth="1"/>
    <col min="15880" max="15880" width="13.5703125" bestFit="1" customWidth="1"/>
    <col min="15881" max="15881" width="11.85546875" bestFit="1" customWidth="1"/>
    <col min="15882" max="15882" width="13.5703125" bestFit="1" customWidth="1"/>
    <col min="15883" max="15884" width="11.85546875" bestFit="1" customWidth="1"/>
    <col min="15885" max="15885" width="9.7109375" bestFit="1" customWidth="1"/>
    <col min="15886" max="15886" width="14.7109375" bestFit="1" customWidth="1"/>
    <col min="15887" max="15887" width="13.5703125" bestFit="1" customWidth="1"/>
    <col min="15888" max="15888" width="5" bestFit="1" customWidth="1"/>
    <col min="16129" max="16129" width="16.28515625" bestFit="1" customWidth="1"/>
    <col min="16130" max="16133" width="9.85546875" bestFit="1" customWidth="1"/>
    <col min="16134" max="16134" width="19.85546875" bestFit="1" customWidth="1"/>
    <col min="16135" max="16135" width="10.42578125" bestFit="1" customWidth="1"/>
    <col min="16136" max="16136" width="13.5703125" bestFit="1" customWidth="1"/>
    <col min="16137" max="16137" width="11.85546875" bestFit="1" customWidth="1"/>
    <col min="16138" max="16138" width="13.5703125" bestFit="1" customWidth="1"/>
    <col min="16139" max="16140" width="11.85546875" bestFit="1" customWidth="1"/>
    <col min="16141" max="16141" width="9.7109375" bestFit="1" customWidth="1"/>
    <col min="16142" max="16142" width="14.7109375" bestFit="1" customWidth="1"/>
    <col min="16143" max="16143" width="13.5703125" bestFit="1" customWidth="1"/>
    <col min="16144" max="16144" width="5" bestFit="1" customWidth="1"/>
  </cols>
  <sheetData>
    <row r="1" spans="1:14" x14ac:dyDescent="0.25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4" x14ac:dyDescent="0.25">
      <c r="A2" t="s">
        <v>10</v>
      </c>
      <c r="B2" s="2">
        <v>0</v>
      </c>
      <c r="C2" s="1">
        <f ca="1">RAND()*100+200</f>
        <v>263.87830749834279</v>
      </c>
      <c r="D2" s="1">
        <f ca="1">C2*RAND()*1+4+C2</f>
        <v>406.66731492315211</v>
      </c>
      <c r="E2" s="1">
        <f ca="1">B2*D2</f>
        <v>0</v>
      </c>
      <c r="F2" s="1">
        <f ca="1">RANDBETWEEN(50,75)</f>
        <v>66</v>
      </c>
      <c r="G2" s="1">
        <f ca="1">(E2)-(F2*B2)-C2</f>
        <v>-263.87830749834279</v>
      </c>
      <c r="H2" s="1" t="str">
        <f>I2 &amp;"-"&amp;J2</f>
        <v xml:space="preserve"> January -2021</v>
      </c>
      <c r="I2" t="s">
        <v>11</v>
      </c>
      <c r="J2">
        <v>2021</v>
      </c>
      <c r="K2" s="1"/>
      <c r="L2" s="1"/>
      <c r="M2" s="1"/>
      <c r="N2" s="1"/>
    </row>
    <row r="3" spans="1:14" x14ac:dyDescent="0.25">
      <c r="A3" t="s">
        <v>10</v>
      </c>
      <c r="B3" s="2">
        <v>0</v>
      </c>
      <c r="C3" s="1">
        <f ca="1">RAND()*100+200</f>
        <v>294.54289983709305</v>
      </c>
      <c r="D3" s="1">
        <f t="shared" ref="D3:D66" ca="1" si="0">C3*RAND()*1+4+C3</f>
        <v>469.47959725881424</v>
      </c>
      <c r="E3" s="1">
        <f t="shared" ref="E3:E66" ca="1" si="1">B3*D3</f>
        <v>0</v>
      </c>
      <c r="F3" s="1">
        <f t="shared" ref="F3:F66" ca="1" si="2">RANDBETWEEN(50,75)</f>
        <v>67</v>
      </c>
      <c r="G3" s="1">
        <f t="shared" ref="G3:G66" ca="1" si="3">(E3)-(F3*B3)-C3</f>
        <v>-294.54289983709305</v>
      </c>
      <c r="H3" s="1" t="str">
        <f t="shared" ref="H3:H66" si="4">I3 &amp;"-"&amp;J3</f>
        <v xml:space="preserve"> January -2021</v>
      </c>
      <c r="I3" t="s">
        <v>11</v>
      </c>
      <c r="J3">
        <v>2021</v>
      </c>
      <c r="K3" s="1"/>
      <c r="L3" s="1"/>
      <c r="M3" s="1"/>
      <c r="N3" s="1"/>
    </row>
    <row r="4" spans="1:14" x14ac:dyDescent="0.25">
      <c r="A4" t="s">
        <v>12</v>
      </c>
      <c r="B4" s="2">
        <v>0</v>
      </c>
      <c r="C4" s="1">
        <f t="shared" ref="C4:C67" ca="1" si="5">RAND()*100+200</f>
        <v>285.81605908160543</v>
      </c>
      <c r="D4" s="1">
        <f t="shared" ca="1" si="0"/>
        <v>411.67025398728458</v>
      </c>
      <c r="E4" s="1">
        <f t="shared" ca="1" si="1"/>
        <v>0</v>
      </c>
      <c r="F4" s="1">
        <f t="shared" ca="1" si="2"/>
        <v>66</v>
      </c>
      <c r="G4" s="1">
        <f t="shared" ca="1" si="3"/>
        <v>-285.81605908160543</v>
      </c>
      <c r="H4" s="1" t="str">
        <f t="shared" si="4"/>
        <v xml:space="preserve"> June -2021</v>
      </c>
      <c r="I4" t="s">
        <v>13</v>
      </c>
      <c r="J4">
        <v>2021</v>
      </c>
      <c r="K4" s="1"/>
      <c r="L4" s="1"/>
      <c r="M4" s="1"/>
      <c r="N4" s="1"/>
    </row>
    <row r="5" spans="1:14" x14ac:dyDescent="0.25">
      <c r="A5" t="s">
        <v>12</v>
      </c>
      <c r="B5" s="2">
        <v>0</v>
      </c>
      <c r="C5" s="1">
        <f t="shared" ca="1" si="5"/>
        <v>253.66969152872932</v>
      </c>
      <c r="D5" s="1">
        <f t="shared" ca="1" si="0"/>
        <v>421.48205258274993</v>
      </c>
      <c r="E5" s="1">
        <f t="shared" ca="1" si="1"/>
        <v>0</v>
      </c>
      <c r="F5" s="1">
        <f t="shared" ca="1" si="2"/>
        <v>60</v>
      </c>
      <c r="G5" s="1">
        <f t="shared" ca="1" si="3"/>
        <v>-253.66969152872932</v>
      </c>
      <c r="H5" s="1" t="str">
        <f t="shared" si="4"/>
        <v xml:space="preserve"> June -2021</v>
      </c>
      <c r="I5" t="s">
        <v>13</v>
      </c>
      <c r="J5">
        <v>2021</v>
      </c>
      <c r="K5" s="1"/>
      <c r="L5" s="1"/>
      <c r="M5" s="1"/>
      <c r="N5" s="1"/>
    </row>
    <row r="6" spans="1:14" x14ac:dyDescent="0.25">
      <c r="A6" t="s">
        <v>12</v>
      </c>
      <c r="B6" s="2">
        <v>0</v>
      </c>
      <c r="C6" s="1">
        <f t="shared" ca="1" si="5"/>
        <v>208.42098306550969</v>
      </c>
      <c r="D6" s="1">
        <f t="shared" ca="1" si="0"/>
        <v>346.17670626409063</v>
      </c>
      <c r="E6" s="1">
        <f t="shared" ca="1" si="1"/>
        <v>0</v>
      </c>
      <c r="F6" s="1">
        <f t="shared" ca="1" si="2"/>
        <v>74</v>
      </c>
      <c r="G6" s="1">
        <f t="shared" ca="1" si="3"/>
        <v>-208.42098306550969</v>
      </c>
      <c r="H6" s="1" t="str">
        <f t="shared" si="4"/>
        <v xml:space="preserve"> June -2021</v>
      </c>
      <c r="I6" t="s">
        <v>13</v>
      </c>
      <c r="J6">
        <v>2021</v>
      </c>
      <c r="K6" s="1"/>
      <c r="L6" s="1"/>
      <c r="M6" s="1"/>
      <c r="N6" s="1"/>
    </row>
    <row r="7" spans="1:14" x14ac:dyDescent="0.25">
      <c r="A7" t="s">
        <v>10</v>
      </c>
      <c r="B7" s="2">
        <v>0</v>
      </c>
      <c r="C7" s="1">
        <f t="shared" ca="1" si="5"/>
        <v>278.24144398823705</v>
      </c>
      <c r="D7" s="1">
        <f t="shared" ca="1" si="0"/>
        <v>327.59847333229732</v>
      </c>
      <c r="E7" s="1">
        <f t="shared" ca="1" si="1"/>
        <v>0</v>
      </c>
      <c r="F7" s="1">
        <f t="shared" ca="1" si="2"/>
        <v>50</v>
      </c>
      <c r="G7" s="1">
        <f t="shared" ca="1" si="3"/>
        <v>-278.24144398823705</v>
      </c>
      <c r="H7" s="1" t="str">
        <f t="shared" si="4"/>
        <v xml:space="preserve"> December -2021</v>
      </c>
      <c r="I7" t="s">
        <v>14</v>
      </c>
      <c r="J7">
        <v>2021</v>
      </c>
      <c r="K7" s="1"/>
      <c r="L7" s="1"/>
      <c r="M7" s="1"/>
      <c r="N7" s="1"/>
    </row>
    <row r="8" spans="1:14" x14ac:dyDescent="0.25">
      <c r="A8" t="s">
        <v>12</v>
      </c>
      <c r="B8" s="2">
        <v>0</v>
      </c>
      <c r="C8" s="1">
        <f t="shared" ca="1" si="5"/>
        <v>255.38826721279145</v>
      </c>
      <c r="D8" s="1">
        <f t="shared" ca="1" si="0"/>
        <v>303.17971905200784</v>
      </c>
      <c r="E8" s="1">
        <f t="shared" ca="1" si="1"/>
        <v>0</v>
      </c>
      <c r="F8" s="1">
        <f t="shared" ca="1" si="2"/>
        <v>73</v>
      </c>
      <c r="G8" s="1">
        <f t="shared" ca="1" si="3"/>
        <v>-255.38826721279145</v>
      </c>
      <c r="H8" s="1" t="str">
        <f t="shared" si="4"/>
        <v xml:space="preserve"> March -2021</v>
      </c>
      <c r="I8" t="s">
        <v>15</v>
      </c>
      <c r="J8">
        <v>2021</v>
      </c>
      <c r="K8" s="1"/>
      <c r="L8" s="1"/>
      <c r="M8" s="1"/>
      <c r="N8" s="1"/>
    </row>
    <row r="9" spans="1:14" x14ac:dyDescent="0.25">
      <c r="A9" t="s">
        <v>16</v>
      </c>
      <c r="B9" s="2">
        <v>0</v>
      </c>
      <c r="C9" s="1">
        <f t="shared" ca="1" si="5"/>
        <v>208.34288116813201</v>
      </c>
      <c r="D9" s="1">
        <f t="shared" ca="1" si="0"/>
        <v>340.84962852736379</v>
      </c>
      <c r="E9" s="1">
        <f t="shared" ca="1" si="1"/>
        <v>0</v>
      </c>
      <c r="F9" s="1">
        <f t="shared" ca="1" si="2"/>
        <v>64</v>
      </c>
      <c r="G9" s="1">
        <f t="shared" ca="1" si="3"/>
        <v>-208.34288116813201</v>
      </c>
      <c r="H9" s="1" t="str">
        <f t="shared" si="4"/>
        <v xml:space="preserve"> June -2021</v>
      </c>
      <c r="I9" t="s">
        <v>13</v>
      </c>
      <c r="J9">
        <v>2021</v>
      </c>
      <c r="K9" s="1"/>
      <c r="L9" s="1"/>
      <c r="M9" s="1"/>
      <c r="N9" s="1"/>
    </row>
    <row r="10" spans="1:14" x14ac:dyDescent="0.25">
      <c r="A10" t="s">
        <v>10</v>
      </c>
      <c r="B10" s="2">
        <v>0</v>
      </c>
      <c r="C10" s="1">
        <f t="shared" ca="1" si="5"/>
        <v>252.40079482523765</v>
      </c>
      <c r="D10" s="1">
        <f t="shared" ca="1" si="0"/>
        <v>428.03279219309263</v>
      </c>
      <c r="E10" s="1">
        <f t="shared" ca="1" si="1"/>
        <v>0</v>
      </c>
      <c r="F10" s="1">
        <f t="shared" ca="1" si="2"/>
        <v>63</v>
      </c>
      <c r="G10" s="1">
        <f t="shared" ca="1" si="3"/>
        <v>-252.40079482523765</v>
      </c>
      <c r="H10" s="1" t="str">
        <f t="shared" si="4"/>
        <v xml:space="preserve"> June -2021</v>
      </c>
      <c r="I10" t="s">
        <v>13</v>
      </c>
      <c r="J10">
        <v>2021</v>
      </c>
      <c r="K10" s="1"/>
      <c r="L10" s="1"/>
      <c r="M10" s="1"/>
      <c r="N10" s="1"/>
    </row>
    <row r="11" spans="1:14" x14ac:dyDescent="0.25">
      <c r="A11" t="s">
        <v>16</v>
      </c>
      <c r="B11" s="2">
        <v>0</v>
      </c>
      <c r="C11" s="1">
        <f t="shared" ca="1" si="5"/>
        <v>278.83087953017071</v>
      </c>
      <c r="D11" s="1">
        <f t="shared" ca="1" si="0"/>
        <v>494.27581391192359</v>
      </c>
      <c r="E11" s="1">
        <f t="shared" ca="1" si="1"/>
        <v>0</v>
      </c>
      <c r="F11" s="1">
        <f t="shared" ca="1" si="2"/>
        <v>69</v>
      </c>
      <c r="G11" s="1">
        <f t="shared" ca="1" si="3"/>
        <v>-278.83087953017071</v>
      </c>
      <c r="H11" s="1" t="str">
        <f t="shared" si="4"/>
        <v xml:space="preserve"> June -2021</v>
      </c>
      <c r="I11" t="s">
        <v>13</v>
      </c>
      <c r="J11">
        <v>2021</v>
      </c>
      <c r="K11" s="1"/>
      <c r="L11" s="1"/>
      <c r="M11" s="1"/>
      <c r="N11" s="1"/>
    </row>
    <row r="12" spans="1:14" x14ac:dyDescent="0.25">
      <c r="A12" t="s">
        <v>12</v>
      </c>
      <c r="B12" s="2">
        <v>0</v>
      </c>
      <c r="C12" s="1">
        <f t="shared" ca="1" si="5"/>
        <v>235.57626164009537</v>
      </c>
      <c r="D12" s="1">
        <f t="shared" ca="1" si="0"/>
        <v>282.28949064379225</v>
      </c>
      <c r="E12" s="1">
        <f t="shared" ca="1" si="1"/>
        <v>0</v>
      </c>
      <c r="F12" s="1">
        <f t="shared" ca="1" si="2"/>
        <v>53</v>
      </c>
      <c r="G12" s="1">
        <f t="shared" ca="1" si="3"/>
        <v>-235.57626164009537</v>
      </c>
      <c r="H12" s="1" t="str">
        <f t="shared" si="4"/>
        <v xml:space="preserve"> June -2021</v>
      </c>
      <c r="I12" t="s">
        <v>13</v>
      </c>
      <c r="J12">
        <v>2021</v>
      </c>
      <c r="K12" s="1"/>
      <c r="L12" s="1"/>
      <c r="M12" s="1"/>
      <c r="N12" s="1"/>
    </row>
    <row r="13" spans="1:14" x14ac:dyDescent="0.25">
      <c r="A13" t="s">
        <v>17</v>
      </c>
      <c r="B13" s="2">
        <v>0</v>
      </c>
      <c r="C13" s="1">
        <f t="shared" ca="1" si="5"/>
        <v>219.39959636728162</v>
      </c>
      <c r="D13" s="1">
        <f t="shared" ca="1" si="0"/>
        <v>418.78747277108062</v>
      </c>
      <c r="E13" s="1">
        <f t="shared" ca="1" si="1"/>
        <v>0</v>
      </c>
      <c r="F13" s="1">
        <f t="shared" ca="1" si="2"/>
        <v>62</v>
      </c>
      <c r="G13" s="1">
        <f t="shared" ca="1" si="3"/>
        <v>-219.39959636728162</v>
      </c>
      <c r="H13" s="1" t="str">
        <f t="shared" si="4"/>
        <v xml:space="preserve"> July -2021</v>
      </c>
      <c r="I13" t="s">
        <v>18</v>
      </c>
      <c r="J13">
        <v>2021</v>
      </c>
      <c r="K13" s="1"/>
      <c r="L13" s="1"/>
      <c r="M13" s="1"/>
      <c r="N13" s="1"/>
    </row>
    <row r="14" spans="1:14" x14ac:dyDescent="0.25">
      <c r="A14" t="s">
        <v>19</v>
      </c>
      <c r="B14" s="2">
        <v>0</v>
      </c>
      <c r="C14" s="1">
        <f t="shared" ca="1" si="5"/>
        <v>293.8300566051779</v>
      </c>
      <c r="D14" s="1">
        <f t="shared" ca="1" si="0"/>
        <v>341.24261372496477</v>
      </c>
      <c r="E14" s="1">
        <f t="shared" ca="1" si="1"/>
        <v>0</v>
      </c>
      <c r="F14" s="1">
        <f t="shared" ca="1" si="2"/>
        <v>60</v>
      </c>
      <c r="G14" s="1">
        <f t="shared" ca="1" si="3"/>
        <v>-293.8300566051779</v>
      </c>
      <c r="H14" s="1" t="str">
        <f t="shared" si="4"/>
        <v xml:space="preserve"> August -2021</v>
      </c>
      <c r="I14" t="s">
        <v>20</v>
      </c>
      <c r="J14">
        <v>2021</v>
      </c>
      <c r="K14" s="1"/>
      <c r="L14" s="1"/>
      <c r="M14" s="1"/>
      <c r="N14" s="1"/>
    </row>
    <row r="15" spans="1:14" x14ac:dyDescent="0.25">
      <c r="A15" t="s">
        <v>10</v>
      </c>
      <c r="B15" s="2">
        <v>0</v>
      </c>
      <c r="C15" s="1">
        <f t="shared" ca="1" si="5"/>
        <v>253.20073500144292</v>
      </c>
      <c r="D15" s="1">
        <f t="shared" ca="1" si="0"/>
        <v>479.19737925677418</v>
      </c>
      <c r="E15" s="1">
        <f t="shared" ca="1" si="1"/>
        <v>0</v>
      </c>
      <c r="F15" s="1">
        <f t="shared" ca="1" si="2"/>
        <v>50</v>
      </c>
      <c r="G15" s="1">
        <f t="shared" ca="1" si="3"/>
        <v>-253.20073500144292</v>
      </c>
      <c r="H15" s="1" t="str">
        <f t="shared" si="4"/>
        <v xml:space="preserve"> September -2021</v>
      </c>
      <c r="I15" t="s">
        <v>21</v>
      </c>
      <c r="J15">
        <v>2021</v>
      </c>
      <c r="K15" s="1"/>
      <c r="L15" s="1"/>
      <c r="M15" s="1"/>
      <c r="N15" s="1"/>
    </row>
    <row r="16" spans="1:14" x14ac:dyDescent="0.25">
      <c r="A16" t="s">
        <v>17</v>
      </c>
      <c r="B16" s="2">
        <v>0</v>
      </c>
      <c r="C16" s="1">
        <f t="shared" ca="1" si="5"/>
        <v>278.14163127314009</v>
      </c>
      <c r="D16" s="1">
        <f t="shared" ca="1" si="0"/>
        <v>364.28705526243868</v>
      </c>
      <c r="E16" s="1">
        <f t="shared" ca="1" si="1"/>
        <v>0</v>
      </c>
      <c r="F16" s="1">
        <f t="shared" ca="1" si="2"/>
        <v>67</v>
      </c>
      <c r="G16" s="1">
        <f t="shared" ca="1" si="3"/>
        <v>-278.14163127314009</v>
      </c>
      <c r="H16" s="1" t="str">
        <f t="shared" si="4"/>
        <v xml:space="preserve"> October -2021</v>
      </c>
      <c r="I16" t="s">
        <v>22</v>
      </c>
      <c r="J16">
        <v>2021</v>
      </c>
      <c r="K16" s="1"/>
      <c r="L16" s="1"/>
      <c r="M16" s="1"/>
      <c r="N16" s="1"/>
    </row>
    <row r="17" spans="1:14" x14ac:dyDescent="0.25">
      <c r="A17" t="s">
        <v>12</v>
      </c>
      <c r="B17" s="2">
        <v>0</v>
      </c>
      <c r="C17" s="1">
        <f t="shared" ca="1" si="5"/>
        <v>234.6122545882763</v>
      </c>
      <c r="D17" s="1">
        <f t="shared" ca="1" si="0"/>
        <v>255.44495621193843</v>
      </c>
      <c r="E17" s="1">
        <f t="shared" ca="1" si="1"/>
        <v>0</v>
      </c>
      <c r="F17" s="1">
        <f t="shared" ca="1" si="2"/>
        <v>66</v>
      </c>
      <c r="G17" s="1">
        <f t="shared" ca="1" si="3"/>
        <v>-234.6122545882763</v>
      </c>
      <c r="H17" s="1" t="str">
        <f t="shared" si="4"/>
        <v xml:space="preserve"> December -2021</v>
      </c>
      <c r="I17" t="s">
        <v>14</v>
      </c>
      <c r="J17">
        <v>2021</v>
      </c>
      <c r="K17" s="1"/>
      <c r="L17" s="1"/>
      <c r="M17" s="1"/>
      <c r="N17" s="1"/>
    </row>
    <row r="18" spans="1:14" x14ac:dyDescent="0.25">
      <c r="A18" t="s">
        <v>10</v>
      </c>
      <c r="B18" s="2">
        <v>0</v>
      </c>
      <c r="C18" s="1">
        <f t="shared" ca="1" si="5"/>
        <v>239.18187736907296</v>
      </c>
      <c r="D18" s="1">
        <f t="shared" ca="1" si="0"/>
        <v>469.55438044842947</v>
      </c>
      <c r="E18" s="1">
        <f t="shared" ca="1" si="1"/>
        <v>0</v>
      </c>
      <c r="F18" s="1">
        <f t="shared" ca="1" si="2"/>
        <v>59</v>
      </c>
      <c r="G18" s="1">
        <f t="shared" ca="1" si="3"/>
        <v>-239.18187736907296</v>
      </c>
      <c r="H18" s="1" t="str">
        <f t="shared" si="4"/>
        <v xml:space="preserve"> February -2021</v>
      </c>
      <c r="I18" t="s">
        <v>23</v>
      </c>
      <c r="J18">
        <v>2021</v>
      </c>
      <c r="K18" s="1"/>
      <c r="L18" s="1"/>
      <c r="M18" s="1"/>
      <c r="N18" s="1"/>
    </row>
    <row r="19" spans="1:14" x14ac:dyDescent="0.25">
      <c r="A19" t="s">
        <v>12</v>
      </c>
      <c r="B19" s="2">
        <v>0</v>
      </c>
      <c r="C19" s="1">
        <f t="shared" ca="1" si="5"/>
        <v>257.19029398776462</v>
      </c>
      <c r="D19" s="1">
        <f t="shared" ca="1" si="0"/>
        <v>308.42161038250498</v>
      </c>
      <c r="E19" s="1">
        <f t="shared" ca="1" si="1"/>
        <v>0</v>
      </c>
      <c r="F19" s="1">
        <f t="shared" ca="1" si="2"/>
        <v>69</v>
      </c>
      <c r="G19" s="1">
        <f t="shared" ca="1" si="3"/>
        <v>-257.19029398776462</v>
      </c>
      <c r="H19" s="1" t="str">
        <f t="shared" si="4"/>
        <v xml:space="preserve"> February -2021</v>
      </c>
      <c r="I19" t="s">
        <v>23</v>
      </c>
      <c r="J19">
        <v>2021</v>
      </c>
      <c r="K19" s="1"/>
      <c r="L19" s="1"/>
      <c r="M19" s="1"/>
      <c r="N19" s="1"/>
    </row>
    <row r="20" spans="1:14" x14ac:dyDescent="0.25">
      <c r="A20" t="s">
        <v>16</v>
      </c>
      <c r="B20" s="2">
        <v>0</v>
      </c>
      <c r="C20" s="1">
        <f t="shared" ca="1" si="5"/>
        <v>245.5213712079148</v>
      </c>
      <c r="D20" s="1">
        <f t="shared" ca="1" si="0"/>
        <v>354.09414852821908</v>
      </c>
      <c r="E20" s="1">
        <f t="shared" ca="1" si="1"/>
        <v>0</v>
      </c>
      <c r="F20" s="1">
        <f t="shared" ca="1" si="2"/>
        <v>64</v>
      </c>
      <c r="G20" s="1">
        <f t="shared" ca="1" si="3"/>
        <v>-245.5213712079148</v>
      </c>
      <c r="H20" s="1" t="str">
        <f t="shared" si="4"/>
        <v xml:space="preserve"> June -2021</v>
      </c>
      <c r="I20" t="s">
        <v>13</v>
      </c>
      <c r="J20">
        <v>2021</v>
      </c>
      <c r="K20" s="1"/>
      <c r="L20" s="1"/>
      <c r="M20" s="1"/>
      <c r="N20" s="1"/>
    </row>
    <row r="21" spans="1:14" x14ac:dyDescent="0.25">
      <c r="A21" t="s">
        <v>10</v>
      </c>
      <c r="B21" s="2">
        <v>0</v>
      </c>
      <c r="C21" s="1">
        <f t="shared" ca="1" si="5"/>
        <v>270.39444957190699</v>
      </c>
      <c r="D21" s="1">
        <f t="shared" ca="1" si="0"/>
        <v>458.08680221764712</v>
      </c>
      <c r="E21" s="1">
        <f t="shared" ca="1" si="1"/>
        <v>0</v>
      </c>
      <c r="F21" s="1">
        <f t="shared" ca="1" si="2"/>
        <v>66</v>
      </c>
      <c r="G21" s="1">
        <f t="shared" ca="1" si="3"/>
        <v>-270.39444957190699</v>
      </c>
      <c r="H21" s="1" t="str">
        <f t="shared" si="4"/>
        <v xml:space="preserve"> June -2021</v>
      </c>
      <c r="I21" t="s">
        <v>13</v>
      </c>
      <c r="J21">
        <v>2021</v>
      </c>
      <c r="K21" s="1"/>
      <c r="L21" s="1"/>
      <c r="M21" s="1"/>
      <c r="N21" s="1"/>
    </row>
    <row r="22" spans="1:14" x14ac:dyDescent="0.25">
      <c r="A22" t="s">
        <v>16</v>
      </c>
      <c r="B22" s="2">
        <v>0</v>
      </c>
      <c r="C22" s="1">
        <f t="shared" ca="1" si="5"/>
        <v>276.73296873654351</v>
      </c>
      <c r="D22" s="1">
        <f t="shared" ca="1" si="0"/>
        <v>344.0552319281876</v>
      </c>
      <c r="E22" s="1">
        <f t="shared" ca="1" si="1"/>
        <v>0</v>
      </c>
      <c r="F22" s="1">
        <f t="shared" ca="1" si="2"/>
        <v>66</v>
      </c>
      <c r="G22" s="1">
        <f t="shared" ca="1" si="3"/>
        <v>-276.73296873654351</v>
      </c>
      <c r="H22" s="1" t="str">
        <f t="shared" si="4"/>
        <v xml:space="preserve"> July -2021</v>
      </c>
      <c r="I22" t="s">
        <v>18</v>
      </c>
      <c r="J22">
        <v>2021</v>
      </c>
      <c r="K22" s="1"/>
      <c r="L22" s="1"/>
      <c r="M22" s="1"/>
      <c r="N22" s="1"/>
    </row>
    <row r="23" spans="1:14" x14ac:dyDescent="0.25">
      <c r="A23" t="s">
        <v>10</v>
      </c>
      <c r="B23" s="2">
        <v>0</v>
      </c>
      <c r="C23" s="1">
        <f t="shared" ca="1" si="5"/>
        <v>251.08037391109934</v>
      </c>
      <c r="D23" s="1">
        <f t="shared" ca="1" si="0"/>
        <v>263.54956804190113</v>
      </c>
      <c r="E23" s="1">
        <f t="shared" ca="1" si="1"/>
        <v>0</v>
      </c>
      <c r="F23" s="1">
        <f t="shared" ca="1" si="2"/>
        <v>71</v>
      </c>
      <c r="G23" s="1">
        <f t="shared" ca="1" si="3"/>
        <v>-251.08037391109934</v>
      </c>
      <c r="H23" s="1" t="str">
        <f t="shared" si="4"/>
        <v xml:space="preserve"> August -2021</v>
      </c>
      <c r="I23" t="s">
        <v>20</v>
      </c>
      <c r="J23">
        <v>2021</v>
      </c>
      <c r="K23" s="1"/>
      <c r="L23" s="1"/>
      <c r="M23" s="1"/>
      <c r="N23" s="1"/>
    </row>
    <row r="24" spans="1:14" x14ac:dyDescent="0.25">
      <c r="A24" t="s">
        <v>12</v>
      </c>
      <c r="B24" s="2">
        <v>0</v>
      </c>
      <c r="C24" s="1">
        <f t="shared" ca="1" si="5"/>
        <v>262.12888555447688</v>
      </c>
      <c r="D24" s="1">
        <f t="shared" ca="1" si="0"/>
        <v>502.72332579198172</v>
      </c>
      <c r="E24" s="1">
        <f t="shared" ca="1" si="1"/>
        <v>0</v>
      </c>
      <c r="F24" s="1">
        <f t="shared" ca="1" si="2"/>
        <v>52</v>
      </c>
      <c r="G24" s="1">
        <f t="shared" ca="1" si="3"/>
        <v>-262.12888555447688</v>
      </c>
      <c r="H24" s="1" t="str">
        <f t="shared" si="4"/>
        <v xml:space="preserve"> September -2021</v>
      </c>
      <c r="I24" t="s">
        <v>21</v>
      </c>
      <c r="J24">
        <v>2021</v>
      </c>
      <c r="K24" s="1"/>
      <c r="L24" s="1"/>
      <c r="M24" s="1"/>
      <c r="N24" s="1"/>
    </row>
    <row r="25" spans="1:14" x14ac:dyDescent="0.25">
      <c r="A25" t="s">
        <v>19</v>
      </c>
      <c r="B25" s="2">
        <v>0</v>
      </c>
      <c r="C25" s="1">
        <f t="shared" ca="1" si="5"/>
        <v>224.33781300902575</v>
      </c>
      <c r="D25" s="1">
        <f t="shared" ca="1" si="0"/>
        <v>441.39441553991333</v>
      </c>
      <c r="E25" s="1">
        <f t="shared" ca="1" si="1"/>
        <v>0</v>
      </c>
      <c r="F25" s="1">
        <f t="shared" ca="1" si="2"/>
        <v>67</v>
      </c>
      <c r="G25" s="1">
        <f t="shared" ca="1" si="3"/>
        <v>-224.33781300902575</v>
      </c>
      <c r="H25" s="1" t="str">
        <f t="shared" si="4"/>
        <v xml:space="preserve"> September -2021</v>
      </c>
      <c r="I25" t="s">
        <v>21</v>
      </c>
      <c r="J25">
        <v>2021</v>
      </c>
      <c r="K25" s="1"/>
      <c r="L25" s="1"/>
      <c r="M25" s="1"/>
      <c r="N25" s="1"/>
    </row>
    <row r="26" spans="1:14" x14ac:dyDescent="0.25">
      <c r="A26" t="s">
        <v>12</v>
      </c>
      <c r="B26" s="2">
        <v>0</v>
      </c>
      <c r="C26" s="1">
        <f t="shared" ca="1" si="5"/>
        <v>290.43484259566929</v>
      </c>
      <c r="D26" s="1">
        <f t="shared" ca="1" si="0"/>
        <v>537.03434104671055</v>
      </c>
      <c r="E26" s="1">
        <f t="shared" ca="1" si="1"/>
        <v>0</v>
      </c>
      <c r="F26" s="1">
        <f t="shared" ca="1" si="2"/>
        <v>52</v>
      </c>
      <c r="G26" s="1">
        <f t="shared" ca="1" si="3"/>
        <v>-290.43484259566929</v>
      </c>
      <c r="H26" s="1" t="str">
        <f t="shared" si="4"/>
        <v xml:space="preserve"> September -2021</v>
      </c>
      <c r="I26" t="s">
        <v>21</v>
      </c>
      <c r="J26">
        <v>2021</v>
      </c>
      <c r="K26" s="1"/>
      <c r="L26" s="1"/>
      <c r="M26" s="1"/>
      <c r="N26" s="1"/>
    </row>
    <row r="27" spans="1:14" x14ac:dyDescent="0.25">
      <c r="A27" t="s">
        <v>10</v>
      </c>
      <c r="B27" s="2">
        <v>0</v>
      </c>
      <c r="C27" s="1">
        <f t="shared" ca="1" si="5"/>
        <v>260.83350827879354</v>
      </c>
      <c r="D27" s="1">
        <f t="shared" ca="1" si="0"/>
        <v>467.00268032666548</v>
      </c>
      <c r="E27" s="1">
        <f t="shared" ca="1" si="1"/>
        <v>0</v>
      </c>
      <c r="F27" s="1">
        <f t="shared" ca="1" si="2"/>
        <v>52</v>
      </c>
      <c r="G27" s="1">
        <f t="shared" ca="1" si="3"/>
        <v>-260.83350827879354</v>
      </c>
      <c r="H27" s="1" t="str">
        <f t="shared" si="4"/>
        <v xml:space="preserve"> October -2021</v>
      </c>
      <c r="I27" t="s">
        <v>22</v>
      </c>
      <c r="J27">
        <v>2021</v>
      </c>
      <c r="K27" s="1"/>
      <c r="L27" s="1"/>
      <c r="M27" s="1"/>
      <c r="N27" s="1"/>
    </row>
    <row r="28" spans="1:14" x14ac:dyDescent="0.25">
      <c r="A28" t="s">
        <v>10</v>
      </c>
      <c r="B28" s="2">
        <v>0</v>
      </c>
      <c r="C28" s="1">
        <f t="shared" ca="1" si="5"/>
        <v>255.04950125426583</v>
      </c>
      <c r="D28" s="1">
        <f t="shared" ca="1" si="0"/>
        <v>415.67700183733939</v>
      </c>
      <c r="E28" s="1">
        <f t="shared" ca="1" si="1"/>
        <v>0</v>
      </c>
      <c r="F28" s="1">
        <f t="shared" ca="1" si="2"/>
        <v>58</v>
      </c>
      <c r="G28" s="1">
        <f t="shared" ca="1" si="3"/>
        <v>-255.04950125426583</v>
      </c>
      <c r="H28" s="1" t="str">
        <f t="shared" si="4"/>
        <v xml:space="preserve"> November -2021</v>
      </c>
      <c r="I28" t="s">
        <v>24</v>
      </c>
      <c r="J28">
        <v>2021</v>
      </c>
      <c r="K28" s="1"/>
      <c r="L28" s="1"/>
      <c r="M28" s="1"/>
      <c r="N28" s="1"/>
    </row>
    <row r="29" spans="1:14" x14ac:dyDescent="0.25">
      <c r="A29" t="s">
        <v>16</v>
      </c>
      <c r="B29" s="2">
        <v>0</v>
      </c>
      <c r="C29" s="1">
        <f t="shared" ca="1" si="5"/>
        <v>264.67543816909131</v>
      </c>
      <c r="D29" s="1">
        <f t="shared" ca="1" si="0"/>
        <v>362.30962172193961</v>
      </c>
      <c r="E29" s="1">
        <f t="shared" ca="1" si="1"/>
        <v>0</v>
      </c>
      <c r="F29" s="1">
        <f t="shared" ca="1" si="2"/>
        <v>75</v>
      </c>
      <c r="G29" s="1">
        <f t="shared" ca="1" si="3"/>
        <v>-264.67543816909131</v>
      </c>
      <c r="H29" s="1" t="str">
        <f t="shared" si="4"/>
        <v xml:space="preserve"> November -2021</v>
      </c>
      <c r="I29" t="s">
        <v>24</v>
      </c>
      <c r="J29">
        <v>2021</v>
      </c>
      <c r="K29" s="1"/>
      <c r="L29" s="1"/>
      <c r="M29" s="1"/>
      <c r="N29" s="1"/>
    </row>
    <row r="30" spans="1:14" x14ac:dyDescent="0.25">
      <c r="A30" t="s">
        <v>12</v>
      </c>
      <c r="B30" s="2">
        <v>0</v>
      </c>
      <c r="C30" s="1">
        <f t="shared" ca="1" si="5"/>
        <v>244.16985513312588</v>
      </c>
      <c r="D30" s="1">
        <f t="shared" ca="1" si="0"/>
        <v>475.69889889118218</v>
      </c>
      <c r="E30" s="1">
        <f t="shared" ca="1" si="1"/>
        <v>0</v>
      </c>
      <c r="F30" s="1">
        <f t="shared" ca="1" si="2"/>
        <v>60</v>
      </c>
      <c r="G30" s="1">
        <f t="shared" ca="1" si="3"/>
        <v>-244.16985513312588</v>
      </c>
      <c r="H30" s="1" t="str">
        <f t="shared" si="4"/>
        <v xml:space="preserve"> December -2021</v>
      </c>
      <c r="I30" t="s">
        <v>14</v>
      </c>
      <c r="J30">
        <v>2021</v>
      </c>
      <c r="K30" s="1"/>
      <c r="L30" s="1"/>
      <c r="M30" s="1"/>
      <c r="N30" s="1"/>
    </row>
    <row r="31" spans="1:14" x14ac:dyDescent="0.25">
      <c r="A31" t="s">
        <v>10</v>
      </c>
      <c r="B31" s="2">
        <v>0</v>
      </c>
      <c r="C31" s="1">
        <f t="shared" ca="1" si="5"/>
        <v>273.32684585021849</v>
      </c>
      <c r="D31" s="1">
        <f t="shared" ca="1" si="0"/>
        <v>304.68944086150515</v>
      </c>
      <c r="E31" s="1">
        <f t="shared" ca="1" si="1"/>
        <v>0</v>
      </c>
      <c r="F31" s="1">
        <f t="shared" ca="1" si="2"/>
        <v>56</v>
      </c>
      <c r="G31" s="1">
        <f t="shared" ca="1" si="3"/>
        <v>-273.32684585021849</v>
      </c>
      <c r="H31" s="1" t="str">
        <f t="shared" si="4"/>
        <v xml:space="preserve"> December -2021</v>
      </c>
      <c r="I31" t="s">
        <v>14</v>
      </c>
      <c r="J31">
        <v>2021</v>
      </c>
      <c r="K31" s="1"/>
      <c r="L31" s="1"/>
      <c r="M31" s="1"/>
      <c r="N31" s="1"/>
    </row>
    <row r="32" spans="1:14" x14ac:dyDescent="0.25">
      <c r="A32" t="s">
        <v>10</v>
      </c>
      <c r="B32" s="2">
        <v>0</v>
      </c>
      <c r="C32" s="1">
        <f t="shared" ca="1" si="5"/>
        <v>248.0344372933618</v>
      </c>
      <c r="D32" s="1">
        <f t="shared" ca="1" si="0"/>
        <v>490.21483239875374</v>
      </c>
      <c r="E32" s="1">
        <f t="shared" ca="1" si="1"/>
        <v>0</v>
      </c>
      <c r="F32" s="1">
        <f t="shared" ca="1" si="2"/>
        <v>68</v>
      </c>
      <c r="G32" s="1">
        <f t="shared" ca="1" si="3"/>
        <v>-248.0344372933618</v>
      </c>
      <c r="H32" s="1" t="str">
        <f t="shared" si="4"/>
        <v xml:space="preserve"> December -2021</v>
      </c>
      <c r="I32" t="s">
        <v>14</v>
      </c>
      <c r="J32">
        <v>2021</v>
      </c>
      <c r="K32" s="1"/>
      <c r="L32" s="1"/>
      <c r="M32" s="1"/>
      <c r="N32" s="1"/>
    </row>
    <row r="33" spans="1:14" x14ac:dyDescent="0.25">
      <c r="A33" t="s">
        <v>10</v>
      </c>
      <c r="B33" s="2">
        <v>0</v>
      </c>
      <c r="C33" s="1">
        <f t="shared" ca="1" si="5"/>
        <v>293.2498876768226</v>
      </c>
      <c r="D33" s="1">
        <f t="shared" ca="1" si="0"/>
        <v>403.70655720489628</v>
      </c>
      <c r="E33" s="1">
        <f t="shared" ca="1" si="1"/>
        <v>0</v>
      </c>
      <c r="F33" s="1">
        <f t="shared" ca="1" si="2"/>
        <v>56</v>
      </c>
      <c r="G33" s="1">
        <f t="shared" ca="1" si="3"/>
        <v>-293.2498876768226</v>
      </c>
      <c r="H33" s="1" t="str">
        <f t="shared" si="4"/>
        <v xml:space="preserve"> January -2021</v>
      </c>
      <c r="I33" t="s">
        <v>11</v>
      </c>
      <c r="J33">
        <v>2021</v>
      </c>
      <c r="K33" s="1"/>
      <c r="L33" s="1"/>
      <c r="M33" s="1"/>
      <c r="N33" s="1"/>
    </row>
    <row r="34" spans="1:14" x14ac:dyDescent="0.25">
      <c r="A34" t="s">
        <v>17</v>
      </c>
      <c r="B34" s="2">
        <v>0</v>
      </c>
      <c r="C34" s="1">
        <f t="shared" ca="1" si="5"/>
        <v>207.2329256317694</v>
      </c>
      <c r="D34" s="1">
        <f t="shared" ca="1" si="0"/>
        <v>381.86575347928283</v>
      </c>
      <c r="E34" s="1">
        <f t="shared" ca="1" si="1"/>
        <v>0</v>
      </c>
      <c r="F34" s="1">
        <f t="shared" ca="1" si="2"/>
        <v>67</v>
      </c>
      <c r="G34" s="1">
        <f t="shared" ca="1" si="3"/>
        <v>-207.2329256317694</v>
      </c>
      <c r="H34" s="1" t="str">
        <f t="shared" si="4"/>
        <v xml:space="preserve"> February -2021</v>
      </c>
      <c r="I34" t="s">
        <v>23</v>
      </c>
      <c r="J34">
        <v>2021</v>
      </c>
      <c r="K34" s="1"/>
      <c r="L34" s="1"/>
      <c r="M34" s="1"/>
      <c r="N34" s="1"/>
    </row>
    <row r="35" spans="1:14" x14ac:dyDescent="0.25">
      <c r="A35" t="s">
        <v>16</v>
      </c>
      <c r="B35" s="2">
        <v>0</v>
      </c>
      <c r="C35" s="1">
        <f t="shared" ca="1" si="5"/>
        <v>236.10381700329242</v>
      </c>
      <c r="D35" s="1">
        <f t="shared" ca="1" si="0"/>
        <v>384.16143213426153</v>
      </c>
      <c r="E35" s="1">
        <f t="shared" ca="1" si="1"/>
        <v>0</v>
      </c>
      <c r="F35" s="1">
        <f t="shared" ca="1" si="2"/>
        <v>54</v>
      </c>
      <c r="G35" s="1">
        <f t="shared" ca="1" si="3"/>
        <v>-236.10381700329242</v>
      </c>
      <c r="H35" s="1" t="str">
        <f t="shared" si="4"/>
        <v xml:space="preserve"> March -2020</v>
      </c>
      <c r="I35" t="s">
        <v>15</v>
      </c>
      <c r="J35">
        <v>2020</v>
      </c>
      <c r="K35" s="1"/>
      <c r="L35" s="1"/>
      <c r="M35" s="1"/>
      <c r="N35" s="1"/>
    </row>
    <row r="36" spans="1:14" x14ac:dyDescent="0.25">
      <c r="A36" t="s">
        <v>10</v>
      </c>
      <c r="B36" s="2">
        <v>0</v>
      </c>
      <c r="C36" s="1">
        <f t="shared" ca="1" si="5"/>
        <v>277.91840201204178</v>
      </c>
      <c r="D36" s="1">
        <f t="shared" ca="1" si="0"/>
        <v>389.70535092789885</v>
      </c>
      <c r="E36" s="1">
        <f t="shared" ca="1" si="1"/>
        <v>0</v>
      </c>
      <c r="F36" s="1">
        <f t="shared" ca="1" si="2"/>
        <v>70</v>
      </c>
      <c r="G36" s="1">
        <f t="shared" ca="1" si="3"/>
        <v>-277.91840201204178</v>
      </c>
      <c r="H36" s="1" t="str">
        <f t="shared" si="4"/>
        <v xml:space="preserve"> June -2021</v>
      </c>
      <c r="I36" t="s">
        <v>13</v>
      </c>
      <c r="J36">
        <v>2021</v>
      </c>
      <c r="K36" s="1"/>
      <c r="L36" s="1"/>
      <c r="M36" s="1"/>
      <c r="N36" s="1"/>
    </row>
    <row r="37" spans="1:14" x14ac:dyDescent="0.25">
      <c r="A37" t="s">
        <v>16</v>
      </c>
      <c r="B37" s="2">
        <v>0</v>
      </c>
      <c r="C37" s="1">
        <f t="shared" ca="1" si="5"/>
        <v>278.78824307193145</v>
      </c>
      <c r="D37" s="1">
        <f t="shared" ca="1" si="0"/>
        <v>309.65391669045408</v>
      </c>
      <c r="E37" s="1">
        <f t="shared" ca="1" si="1"/>
        <v>0</v>
      </c>
      <c r="F37" s="1">
        <f t="shared" ca="1" si="2"/>
        <v>65</v>
      </c>
      <c r="G37" s="1">
        <f t="shared" ca="1" si="3"/>
        <v>-278.78824307193145</v>
      </c>
      <c r="H37" s="1" t="str">
        <f t="shared" si="4"/>
        <v xml:space="preserve"> June -2020</v>
      </c>
      <c r="I37" t="s">
        <v>13</v>
      </c>
      <c r="J37">
        <v>2020</v>
      </c>
      <c r="K37" s="1"/>
      <c r="L37" s="1"/>
      <c r="M37" s="1"/>
      <c r="N37" s="1"/>
    </row>
    <row r="38" spans="1:14" x14ac:dyDescent="0.25">
      <c r="A38" t="s">
        <v>17</v>
      </c>
      <c r="B38" s="2">
        <v>0</v>
      </c>
      <c r="C38" s="1">
        <f t="shared" ca="1" si="5"/>
        <v>297.49740382978166</v>
      </c>
      <c r="D38" s="1">
        <f t="shared" ca="1" si="0"/>
        <v>444.2749577247489</v>
      </c>
      <c r="E38" s="1">
        <f t="shared" ca="1" si="1"/>
        <v>0</v>
      </c>
      <c r="F38" s="1">
        <f t="shared" ca="1" si="2"/>
        <v>69</v>
      </c>
      <c r="G38" s="1">
        <f t="shared" ca="1" si="3"/>
        <v>-297.49740382978166</v>
      </c>
      <c r="H38" s="1" t="str">
        <f t="shared" si="4"/>
        <v xml:space="preserve"> August -2020</v>
      </c>
      <c r="I38" t="s">
        <v>20</v>
      </c>
      <c r="J38">
        <v>2020</v>
      </c>
      <c r="K38" s="1"/>
      <c r="L38" s="1"/>
      <c r="M38" s="1"/>
      <c r="N38" s="1"/>
    </row>
    <row r="39" spans="1:14" x14ac:dyDescent="0.25">
      <c r="A39" t="s">
        <v>17</v>
      </c>
      <c r="B39" s="2">
        <v>0</v>
      </c>
      <c r="C39" s="1">
        <f t="shared" ca="1" si="5"/>
        <v>263.59081693573171</v>
      </c>
      <c r="D39" s="1">
        <f t="shared" ca="1" si="0"/>
        <v>488.32261372008622</v>
      </c>
      <c r="E39" s="1">
        <f t="shared" ca="1" si="1"/>
        <v>0</v>
      </c>
      <c r="F39" s="1">
        <f t="shared" ca="1" si="2"/>
        <v>55</v>
      </c>
      <c r="G39" s="1">
        <f t="shared" ca="1" si="3"/>
        <v>-263.59081693573171</v>
      </c>
      <c r="H39" s="1" t="str">
        <f t="shared" si="4"/>
        <v xml:space="preserve"> October -2020</v>
      </c>
      <c r="I39" t="s">
        <v>22</v>
      </c>
      <c r="J39">
        <v>2020</v>
      </c>
      <c r="K39" s="1"/>
      <c r="L39" s="1"/>
      <c r="M39" s="1"/>
      <c r="N39" s="1"/>
    </row>
    <row r="40" spans="1:14" x14ac:dyDescent="0.25">
      <c r="A40" t="s">
        <v>19</v>
      </c>
      <c r="B40" s="2">
        <v>0</v>
      </c>
      <c r="C40" s="1">
        <f t="shared" ca="1" si="5"/>
        <v>249.49399965028545</v>
      </c>
      <c r="D40" s="1">
        <f t="shared" ca="1" si="0"/>
        <v>449.93033147428446</v>
      </c>
      <c r="E40" s="1">
        <f t="shared" ca="1" si="1"/>
        <v>0</v>
      </c>
      <c r="F40" s="1">
        <f t="shared" ca="1" si="2"/>
        <v>74</v>
      </c>
      <c r="G40" s="1">
        <f t="shared" ca="1" si="3"/>
        <v>-249.49399965028545</v>
      </c>
      <c r="H40" s="1" t="str">
        <f t="shared" si="4"/>
        <v xml:space="preserve"> February -2021</v>
      </c>
      <c r="I40" t="s">
        <v>23</v>
      </c>
      <c r="J40">
        <v>2021</v>
      </c>
      <c r="K40" s="1"/>
      <c r="L40" s="1"/>
      <c r="M40" s="1"/>
      <c r="N40" s="1"/>
    </row>
    <row r="41" spans="1:14" x14ac:dyDescent="0.25">
      <c r="A41" t="s">
        <v>16</v>
      </c>
      <c r="B41" s="2">
        <v>0</v>
      </c>
      <c r="C41" s="1">
        <f t="shared" ca="1" si="5"/>
        <v>250.73695827054718</v>
      </c>
      <c r="D41" s="1">
        <f t="shared" ca="1" si="0"/>
        <v>261.33360093111207</v>
      </c>
      <c r="E41" s="1">
        <f t="shared" ca="1" si="1"/>
        <v>0</v>
      </c>
      <c r="F41" s="1">
        <f t="shared" ca="1" si="2"/>
        <v>64</v>
      </c>
      <c r="G41" s="1">
        <f t="shared" ca="1" si="3"/>
        <v>-250.73695827054718</v>
      </c>
      <c r="H41" s="1" t="str">
        <f t="shared" si="4"/>
        <v xml:space="preserve"> April -2021</v>
      </c>
      <c r="I41" t="s">
        <v>25</v>
      </c>
      <c r="J41">
        <v>2021</v>
      </c>
      <c r="K41" s="1"/>
      <c r="L41" s="1"/>
      <c r="M41" s="1"/>
      <c r="N41" s="1"/>
    </row>
    <row r="42" spans="1:14" x14ac:dyDescent="0.25">
      <c r="A42" t="s">
        <v>12</v>
      </c>
      <c r="B42" s="2">
        <v>0</v>
      </c>
      <c r="C42" s="1">
        <f t="shared" ca="1" si="5"/>
        <v>223.89033279461938</v>
      </c>
      <c r="D42" s="1">
        <f t="shared" ca="1" si="0"/>
        <v>427.46875151787862</v>
      </c>
      <c r="E42" s="1">
        <f t="shared" ca="1" si="1"/>
        <v>0</v>
      </c>
      <c r="F42" s="1">
        <f t="shared" ca="1" si="2"/>
        <v>61</v>
      </c>
      <c r="G42" s="1">
        <f t="shared" ca="1" si="3"/>
        <v>-223.89033279461938</v>
      </c>
      <c r="H42" s="1" t="str">
        <f t="shared" si="4"/>
        <v xml:space="preserve"> June -2021</v>
      </c>
      <c r="I42" t="s">
        <v>13</v>
      </c>
      <c r="J42">
        <v>2021</v>
      </c>
      <c r="K42" s="1"/>
      <c r="L42" s="1"/>
      <c r="M42" s="1"/>
      <c r="N42" s="1"/>
    </row>
    <row r="43" spans="1:14" x14ac:dyDescent="0.25">
      <c r="A43" t="s">
        <v>12</v>
      </c>
      <c r="B43" s="2">
        <v>0</v>
      </c>
      <c r="C43" s="1">
        <f t="shared" ca="1" si="5"/>
        <v>208.71070797743778</v>
      </c>
      <c r="D43" s="1">
        <f t="shared" ca="1" si="0"/>
        <v>365.72540303782739</v>
      </c>
      <c r="E43" s="1">
        <f t="shared" ca="1" si="1"/>
        <v>0</v>
      </c>
      <c r="F43" s="1">
        <f t="shared" ca="1" si="2"/>
        <v>69</v>
      </c>
      <c r="G43" s="1">
        <f t="shared" ca="1" si="3"/>
        <v>-208.71070797743778</v>
      </c>
      <c r="H43" s="1" t="str">
        <f t="shared" si="4"/>
        <v xml:space="preserve"> June -2021</v>
      </c>
      <c r="I43" t="s">
        <v>13</v>
      </c>
      <c r="J43">
        <v>2021</v>
      </c>
      <c r="K43" s="1"/>
      <c r="L43" s="1"/>
      <c r="M43" s="1"/>
      <c r="N43" s="1"/>
    </row>
    <row r="44" spans="1:14" x14ac:dyDescent="0.25">
      <c r="A44" t="s">
        <v>10</v>
      </c>
      <c r="B44" s="2">
        <v>0</v>
      </c>
      <c r="C44" s="1">
        <f t="shared" ca="1" si="5"/>
        <v>290.44162643460402</v>
      </c>
      <c r="D44" s="1">
        <f t="shared" ca="1" si="0"/>
        <v>466.57528030166458</v>
      </c>
      <c r="E44" s="1">
        <f t="shared" ca="1" si="1"/>
        <v>0</v>
      </c>
      <c r="F44" s="1">
        <f t="shared" ca="1" si="2"/>
        <v>65</v>
      </c>
      <c r="G44" s="1">
        <f t="shared" ca="1" si="3"/>
        <v>-290.44162643460402</v>
      </c>
      <c r="H44" s="1" t="str">
        <f t="shared" si="4"/>
        <v xml:space="preserve"> September -2021</v>
      </c>
      <c r="I44" t="s">
        <v>21</v>
      </c>
      <c r="J44">
        <v>2021</v>
      </c>
      <c r="K44" s="1"/>
      <c r="L44" s="1"/>
      <c r="M44" s="1"/>
      <c r="N44" s="1"/>
    </row>
    <row r="45" spans="1:14" x14ac:dyDescent="0.25">
      <c r="A45" t="s">
        <v>19</v>
      </c>
      <c r="B45" s="2">
        <v>0</v>
      </c>
      <c r="C45" s="1">
        <f t="shared" ca="1" si="5"/>
        <v>260.49665215907726</v>
      </c>
      <c r="D45" s="1">
        <f t="shared" ca="1" si="0"/>
        <v>407.71397588773624</v>
      </c>
      <c r="E45" s="1">
        <f t="shared" ca="1" si="1"/>
        <v>0</v>
      </c>
      <c r="F45" s="1">
        <f t="shared" ca="1" si="2"/>
        <v>70</v>
      </c>
      <c r="G45" s="1">
        <f t="shared" ca="1" si="3"/>
        <v>-260.49665215907726</v>
      </c>
      <c r="H45" s="1" t="str">
        <f t="shared" si="4"/>
        <v xml:space="preserve"> September -2021</v>
      </c>
      <c r="I45" t="s">
        <v>21</v>
      </c>
      <c r="J45">
        <v>2021</v>
      </c>
      <c r="K45" s="1"/>
      <c r="L45" s="1"/>
      <c r="M45" s="1"/>
      <c r="N45" s="1"/>
    </row>
    <row r="46" spans="1:14" x14ac:dyDescent="0.25">
      <c r="A46" t="s">
        <v>10</v>
      </c>
      <c r="B46" s="2">
        <v>0</v>
      </c>
      <c r="C46" s="1">
        <f t="shared" ca="1" si="5"/>
        <v>229.11975423880148</v>
      </c>
      <c r="D46" s="1">
        <f t="shared" ca="1" si="0"/>
        <v>274.71655013790559</v>
      </c>
      <c r="E46" s="1">
        <f t="shared" ca="1" si="1"/>
        <v>0</v>
      </c>
      <c r="F46" s="1">
        <f t="shared" ca="1" si="2"/>
        <v>63</v>
      </c>
      <c r="G46" s="1">
        <f t="shared" ca="1" si="3"/>
        <v>-229.11975423880148</v>
      </c>
      <c r="H46" s="1" t="str">
        <f t="shared" si="4"/>
        <v xml:space="preserve"> December -2021</v>
      </c>
      <c r="I46" t="s">
        <v>14</v>
      </c>
      <c r="J46">
        <v>2021</v>
      </c>
      <c r="K46" s="1"/>
      <c r="L46" s="1"/>
      <c r="M46" s="1"/>
      <c r="N46" s="1"/>
    </row>
    <row r="47" spans="1:14" x14ac:dyDescent="0.25">
      <c r="A47" t="s">
        <v>10</v>
      </c>
      <c r="B47" s="2">
        <v>0</v>
      </c>
      <c r="C47" s="1">
        <f t="shared" ca="1" si="5"/>
        <v>240.07710285216262</v>
      </c>
      <c r="D47" s="1">
        <f t="shared" ca="1" si="0"/>
        <v>357.33287565260451</v>
      </c>
      <c r="E47" s="1">
        <f t="shared" ca="1" si="1"/>
        <v>0</v>
      </c>
      <c r="F47" s="1">
        <f t="shared" ca="1" si="2"/>
        <v>70</v>
      </c>
      <c r="G47" s="1">
        <f t="shared" ca="1" si="3"/>
        <v>-240.07710285216262</v>
      </c>
      <c r="H47" s="1" t="str">
        <f t="shared" si="4"/>
        <v xml:space="preserve"> February -2021</v>
      </c>
      <c r="I47" t="s">
        <v>23</v>
      </c>
      <c r="J47">
        <v>2021</v>
      </c>
      <c r="K47" s="1"/>
      <c r="L47" s="1"/>
      <c r="M47" s="1"/>
      <c r="N47" s="1"/>
    </row>
    <row r="48" spans="1:14" x14ac:dyDescent="0.25">
      <c r="A48" t="s">
        <v>16</v>
      </c>
      <c r="B48" s="2">
        <v>0</v>
      </c>
      <c r="C48" s="1">
        <f t="shared" ca="1" si="5"/>
        <v>243.8542055614563</v>
      </c>
      <c r="D48" s="1">
        <f t="shared" ca="1" si="0"/>
        <v>466.08339590546882</v>
      </c>
      <c r="E48" s="1">
        <f t="shared" ca="1" si="1"/>
        <v>0</v>
      </c>
      <c r="F48" s="1">
        <f t="shared" ca="1" si="2"/>
        <v>70</v>
      </c>
      <c r="G48" s="1">
        <f t="shared" ca="1" si="3"/>
        <v>-243.8542055614563</v>
      </c>
      <c r="H48" s="1" t="str">
        <f t="shared" si="4"/>
        <v xml:space="preserve"> April -2021</v>
      </c>
      <c r="I48" t="s">
        <v>25</v>
      </c>
      <c r="J48">
        <v>2021</v>
      </c>
      <c r="K48" s="1"/>
      <c r="L48" s="1"/>
      <c r="M48" s="1"/>
      <c r="N48" s="1"/>
    </row>
    <row r="49" spans="1:14" x14ac:dyDescent="0.25">
      <c r="A49" t="s">
        <v>17</v>
      </c>
      <c r="B49" s="2">
        <v>0</v>
      </c>
      <c r="C49" s="1">
        <f t="shared" ca="1" si="5"/>
        <v>263.32179421295928</v>
      </c>
      <c r="D49" s="1">
        <f t="shared" ca="1" si="0"/>
        <v>425.70884624217837</v>
      </c>
      <c r="E49" s="1">
        <f t="shared" ca="1" si="1"/>
        <v>0</v>
      </c>
      <c r="F49" s="1">
        <f t="shared" ca="1" si="2"/>
        <v>71</v>
      </c>
      <c r="G49" s="1">
        <f t="shared" ca="1" si="3"/>
        <v>-263.32179421295928</v>
      </c>
      <c r="H49" s="1" t="str">
        <f t="shared" si="4"/>
        <v xml:space="preserve"> April -2021</v>
      </c>
      <c r="I49" t="s">
        <v>25</v>
      </c>
      <c r="J49">
        <v>2021</v>
      </c>
      <c r="K49" s="1"/>
      <c r="L49" s="1"/>
      <c r="M49" s="1"/>
      <c r="N49" s="1"/>
    </row>
    <row r="50" spans="1:14" x14ac:dyDescent="0.25">
      <c r="A50" t="s">
        <v>10</v>
      </c>
      <c r="B50" s="2">
        <v>0</v>
      </c>
      <c r="C50" s="1">
        <f t="shared" ca="1" si="5"/>
        <v>299.39115048724705</v>
      </c>
      <c r="D50" s="1">
        <f t="shared" ca="1" si="0"/>
        <v>309.47341359063643</v>
      </c>
      <c r="E50" s="1">
        <f t="shared" ca="1" si="1"/>
        <v>0</v>
      </c>
      <c r="F50" s="1">
        <f t="shared" ca="1" si="2"/>
        <v>62</v>
      </c>
      <c r="G50" s="1">
        <f t="shared" ca="1" si="3"/>
        <v>-299.39115048724705</v>
      </c>
      <c r="H50" s="1" t="str">
        <f t="shared" si="4"/>
        <v xml:space="preserve"> June -2021</v>
      </c>
      <c r="I50" t="s">
        <v>13</v>
      </c>
      <c r="J50">
        <v>2021</v>
      </c>
      <c r="K50" s="1"/>
      <c r="L50" s="1"/>
      <c r="M50" s="1"/>
      <c r="N50" s="1"/>
    </row>
    <row r="51" spans="1:14" x14ac:dyDescent="0.25">
      <c r="A51" t="s">
        <v>10</v>
      </c>
      <c r="B51" s="2">
        <v>0</v>
      </c>
      <c r="C51" s="1">
        <f t="shared" ca="1" si="5"/>
        <v>228.37133510024785</v>
      </c>
      <c r="D51" s="1">
        <f t="shared" ca="1" si="0"/>
        <v>451.93746003108504</v>
      </c>
      <c r="E51" s="1">
        <f t="shared" ca="1" si="1"/>
        <v>0</v>
      </c>
      <c r="F51" s="1">
        <f t="shared" ca="1" si="2"/>
        <v>65</v>
      </c>
      <c r="G51" s="1">
        <f t="shared" ca="1" si="3"/>
        <v>-228.37133510024785</v>
      </c>
      <c r="H51" s="1" t="str">
        <f t="shared" si="4"/>
        <v xml:space="preserve"> July -2021</v>
      </c>
      <c r="I51" t="s">
        <v>18</v>
      </c>
      <c r="J51">
        <v>2021</v>
      </c>
      <c r="K51" s="1"/>
      <c r="L51" s="1"/>
      <c r="M51" s="1"/>
      <c r="N51" s="1"/>
    </row>
    <row r="52" spans="1:14" x14ac:dyDescent="0.25">
      <c r="A52" t="s">
        <v>16</v>
      </c>
      <c r="B52" s="2">
        <v>0</v>
      </c>
      <c r="C52" s="1">
        <f t="shared" ca="1" si="5"/>
        <v>228.85897173973115</v>
      </c>
      <c r="D52" s="1">
        <f t="shared" ca="1" si="0"/>
        <v>398.43774281059223</v>
      </c>
      <c r="E52" s="1">
        <f t="shared" ca="1" si="1"/>
        <v>0</v>
      </c>
      <c r="F52" s="1">
        <f t="shared" ca="1" si="2"/>
        <v>68</v>
      </c>
      <c r="G52" s="1">
        <f t="shared" ca="1" si="3"/>
        <v>-228.85897173973115</v>
      </c>
      <c r="H52" s="1" t="str">
        <f t="shared" si="4"/>
        <v xml:space="preserve"> August -2021</v>
      </c>
      <c r="I52" t="s">
        <v>20</v>
      </c>
      <c r="J52">
        <v>2021</v>
      </c>
      <c r="K52" s="1"/>
      <c r="L52" s="1"/>
      <c r="M52" s="1"/>
      <c r="N52" s="1"/>
    </row>
    <row r="53" spans="1:14" x14ac:dyDescent="0.25">
      <c r="A53" t="s">
        <v>10</v>
      </c>
      <c r="B53" s="2">
        <v>0</v>
      </c>
      <c r="C53" s="1">
        <f t="shared" ca="1" si="5"/>
        <v>263.33887236515915</v>
      </c>
      <c r="D53" s="1">
        <f t="shared" ca="1" si="0"/>
        <v>325.10933134915172</v>
      </c>
      <c r="E53" s="1">
        <f t="shared" ca="1" si="1"/>
        <v>0</v>
      </c>
      <c r="F53" s="1">
        <f t="shared" ca="1" si="2"/>
        <v>66</v>
      </c>
      <c r="G53" s="1">
        <f t="shared" ca="1" si="3"/>
        <v>-263.33887236515915</v>
      </c>
      <c r="H53" s="1" t="str">
        <f t="shared" si="4"/>
        <v xml:space="preserve"> October -2021</v>
      </c>
      <c r="I53" t="s">
        <v>22</v>
      </c>
      <c r="J53">
        <v>2021</v>
      </c>
      <c r="K53" s="1"/>
      <c r="L53" s="1"/>
      <c r="M53" s="1"/>
      <c r="N53" s="1"/>
    </row>
    <row r="54" spans="1:14" x14ac:dyDescent="0.25">
      <c r="A54" t="s">
        <v>12</v>
      </c>
      <c r="B54" s="2">
        <v>0</v>
      </c>
      <c r="C54" s="1">
        <f t="shared" ca="1" si="5"/>
        <v>249.98518716282521</v>
      </c>
      <c r="D54" s="1">
        <f t="shared" ca="1" si="0"/>
        <v>360.20165455060675</v>
      </c>
      <c r="E54" s="1">
        <f t="shared" ca="1" si="1"/>
        <v>0</v>
      </c>
      <c r="F54" s="1">
        <f t="shared" ca="1" si="2"/>
        <v>61</v>
      </c>
      <c r="G54" s="1">
        <f t="shared" ca="1" si="3"/>
        <v>-249.98518716282521</v>
      </c>
      <c r="H54" s="1" t="str">
        <f t="shared" si="4"/>
        <v xml:space="preserve"> December -2021</v>
      </c>
      <c r="I54" t="s">
        <v>14</v>
      </c>
      <c r="J54">
        <v>2021</v>
      </c>
      <c r="K54" s="1"/>
      <c r="L54" s="1"/>
      <c r="M54" s="1"/>
      <c r="N54" s="1"/>
    </row>
    <row r="55" spans="1:14" x14ac:dyDescent="0.25">
      <c r="A55" t="s">
        <v>10</v>
      </c>
      <c r="B55" s="2">
        <v>0</v>
      </c>
      <c r="C55" s="1">
        <f t="shared" ca="1" si="5"/>
        <v>280.65608444488566</v>
      </c>
      <c r="D55" s="1">
        <f t="shared" ca="1" si="0"/>
        <v>376.24573966122512</v>
      </c>
      <c r="E55" s="1">
        <f t="shared" ca="1" si="1"/>
        <v>0</v>
      </c>
      <c r="F55" s="1">
        <f t="shared" ca="1" si="2"/>
        <v>66</v>
      </c>
      <c r="G55" s="1">
        <f t="shared" ca="1" si="3"/>
        <v>-280.65608444488566</v>
      </c>
      <c r="H55" s="1" t="str">
        <f t="shared" si="4"/>
        <v xml:space="preserve"> January -2021</v>
      </c>
      <c r="I55" t="s">
        <v>11</v>
      </c>
      <c r="J55">
        <v>2021</v>
      </c>
      <c r="K55" s="1"/>
      <c r="L55" s="1"/>
      <c r="M55" s="1"/>
      <c r="N55" s="1"/>
    </row>
    <row r="56" spans="1:14" x14ac:dyDescent="0.25">
      <c r="A56" t="s">
        <v>12</v>
      </c>
      <c r="B56" s="2">
        <v>0</v>
      </c>
      <c r="C56" s="1">
        <f t="shared" ca="1" si="5"/>
        <v>219.90151558856118</v>
      </c>
      <c r="D56" s="1">
        <f t="shared" ca="1" si="0"/>
        <v>425.8861044782891</v>
      </c>
      <c r="E56" s="1">
        <f t="shared" ca="1" si="1"/>
        <v>0</v>
      </c>
      <c r="F56" s="1">
        <f t="shared" ca="1" si="2"/>
        <v>50</v>
      </c>
      <c r="G56" s="1">
        <f t="shared" ca="1" si="3"/>
        <v>-219.90151558856118</v>
      </c>
      <c r="H56" s="1" t="str">
        <f t="shared" si="4"/>
        <v xml:space="preserve"> February -2021</v>
      </c>
      <c r="I56" t="s">
        <v>23</v>
      </c>
      <c r="J56">
        <v>2021</v>
      </c>
      <c r="K56" s="1"/>
      <c r="L56" s="1"/>
      <c r="M56" s="1"/>
      <c r="N56" s="1"/>
    </row>
    <row r="57" spans="1:14" x14ac:dyDescent="0.25">
      <c r="A57" t="s">
        <v>10</v>
      </c>
      <c r="B57" s="2">
        <v>0</v>
      </c>
      <c r="C57" s="1">
        <f t="shared" ca="1" si="5"/>
        <v>203.85912511834019</v>
      </c>
      <c r="D57" s="1">
        <f t="shared" ca="1" si="0"/>
        <v>264.52640930934922</v>
      </c>
      <c r="E57" s="1">
        <f t="shared" ca="1" si="1"/>
        <v>0</v>
      </c>
      <c r="F57" s="1">
        <f t="shared" ca="1" si="2"/>
        <v>74</v>
      </c>
      <c r="G57" s="1">
        <f t="shared" ca="1" si="3"/>
        <v>-203.85912511834019</v>
      </c>
      <c r="H57" s="1" t="str">
        <f t="shared" si="4"/>
        <v xml:space="preserve"> May -2021</v>
      </c>
      <c r="I57" t="s">
        <v>26</v>
      </c>
      <c r="J57">
        <v>2021</v>
      </c>
      <c r="K57" s="1"/>
      <c r="L57" s="1"/>
      <c r="M57" s="1"/>
      <c r="N57" s="1"/>
    </row>
    <row r="58" spans="1:14" x14ac:dyDescent="0.25">
      <c r="A58" t="s">
        <v>10</v>
      </c>
      <c r="B58" s="2">
        <v>0</v>
      </c>
      <c r="C58" s="1">
        <f t="shared" ca="1" si="5"/>
        <v>248.74132521424889</v>
      </c>
      <c r="D58" s="1">
        <f t="shared" ca="1" si="0"/>
        <v>402.11060102220426</v>
      </c>
      <c r="E58" s="1">
        <f t="shared" ca="1" si="1"/>
        <v>0</v>
      </c>
      <c r="F58" s="1">
        <f t="shared" ca="1" si="2"/>
        <v>70</v>
      </c>
      <c r="G58" s="1">
        <f t="shared" ca="1" si="3"/>
        <v>-248.74132521424889</v>
      </c>
      <c r="H58" s="1" t="str">
        <f t="shared" si="4"/>
        <v xml:space="preserve"> November -2021</v>
      </c>
      <c r="I58" t="s">
        <v>24</v>
      </c>
      <c r="J58">
        <v>2021</v>
      </c>
      <c r="K58" s="1"/>
      <c r="L58" s="1"/>
      <c r="M58" s="1"/>
      <c r="N58" s="1"/>
    </row>
    <row r="59" spans="1:14" x14ac:dyDescent="0.25">
      <c r="A59" t="s">
        <v>10</v>
      </c>
      <c r="B59" s="2">
        <v>0</v>
      </c>
      <c r="C59" s="1">
        <f t="shared" ca="1" si="5"/>
        <v>288.96377878071689</v>
      </c>
      <c r="D59" s="1">
        <f t="shared" ca="1" si="0"/>
        <v>341.5376063626652</v>
      </c>
      <c r="E59" s="1">
        <f t="shared" ca="1" si="1"/>
        <v>0</v>
      </c>
      <c r="F59" s="1">
        <f t="shared" ca="1" si="2"/>
        <v>73</v>
      </c>
      <c r="G59" s="1">
        <f t="shared" ca="1" si="3"/>
        <v>-288.96377878071689</v>
      </c>
      <c r="H59" s="1" t="str">
        <f t="shared" si="4"/>
        <v xml:space="preserve"> March -2021</v>
      </c>
      <c r="I59" t="s">
        <v>15</v>
      </c>
      <c r="J59">
        <v>2021</v>
      </c>
      <c r="K59" s="1"/>
      <c r="L59" s="1"/>
      <c r="M59" s="1"/>
      <c r="N59" s="1"/>
    </row>
    <row r="60" spans="1:14" x14ac:dyDescent="0.25">
      <c r="A60" t="s">
        <v>16</v>
      </c>
      <c r="B60" s="2">
        <v>0</v>
      </c>
      <c r="C60" s="1">
        <f t="shared" ca="1" si="5"/>
        <v>291.55412412272494</v>
      </c>
      <c r="D60" s="1">
        <f t="shared" ca="1" si="0"/>
        <v>555.49619468007438</v>
      </c>
      <c r="E60" s="1">
        <f t="shared" ca="1" si="1"/>
        <v>0</v>
      </c>
      <c r="F60" s="1">
        <f t="shared" ca="1" si="2"/>
        <v>65</v>
      </c>
      <c r="G60" s="1">
        <f t="shared" ca="1" si="3"/>
        <v>-291.55412412272494</v>
      </c>
      <c r="H60" s="1" t="str">
        <f t="shared" si="4"/>
        <v xml:space="preserve"> February -2021</v>
      </c>
      <c r="I60" t="s">
        <v>23</v>
      </c>
      <c r="J60">
        <v>2021</v>
      </c>
      <c r="K60" s="1"/>
      <c r="L60" s="1"/>
      <c r="M60" s="1"/>
      <c r="N60" s="1"/>
    </row>
    <row r="61" spans="1:14" x14ac:dyDescent="0.25">
      <c r="A61" t="s">
        <v>10</v>
      </c>
      <c r="B61" s="2">
        <v>0</v>
      </c>
      <c r="C61" s="1">
        <f t="shared" ca="1" si="5"/>
        <v>257.16915077308801</v>
      </c>
      <c r="D61" s="1">
        <f t="shared" ca="1" si="0"/>
        <v>274.2882596277376</v>
      </c>
      <c r="E61" s="1">
        <f t="shared" ca="1" si="1"/>
        <v>0</v>
      </c>
      <c r="F61" s="1">
        <f t="shared" ca="1" si="2"/>
        <v>50</v>
      </c>
      <c r="G61" s="1">
        <f t="shared" ca="1" si="3"/>
        <v>-257.16915077308801</v>
      </c>
      <c r="H61" s="1" t="str">
        <f t="shared" si="4"/>
        <v xml:space="preserve"> March -2021</v>
      </c>
      <c r="I61" t="s">
        <v>15</v>
      </c>
      <c r="J61">
        <v>2021</v>
      </c>
      <c r="K61" s="1"/>
      <c r="L61" s="1"/>
      <c r="M61" s="1"/>
      <c r="N61" s="1"/>
    </row>
    <row r="62" spans="1:14" x14ac:dyDescent="0.25">
      <c r="A62" t="s">
        <v>10</v>
      </c>
      <c r="B62" s="2">
        <v>0</v>
      </c>
      <c r="C62" s="1">
        <f t="shared" ca="1" si="5"/>
        <v>285.87121036778171</v>
      </c>
      <c r="D62" s="1">
        <f t="shared" ca="1" si="0"/>
        <v>394.78308049330872</v>
      </c>
      <c r="E62" s="1">
        <f t="shared" ca="1" si="1"/>
        <v>0</v>
      </c>
      <c r="F62" s="1">
        <f t="shared" ca="1" si="2"/>
        <v>50</v>
      </c>
      <c r="G62" s="1">
        <f t="shared" ca="1" si="3"/>
        <v>-285.87121036778171</v>
      </c>
      <c r="H62" s="1" t="str">
        <f t="shared" si="4"/>
        <v xml:space="preserve"> July -2021</v>
      </c>
      <c r="I62" t="s">
        <v>18</v>
      </c>
      <c r="J62">
        <v>2021</v>
      </c>
      <c r="K62" s="1"/>
      <c r="L62" s="1"/>
      <c r="M62" s="1"/>
      <c r="N62" s="1"/>
    </row>
    <row r="63" spans="1:14" x14ac:dyDescent="0.25">
      <c r="A63" t="s">
        <v>16</v>
      </c>
      <c r="B63" s="2">
        <v>0</v>
      </c>
      <c r="C63" s="1">
        <f t="shared" ca="1" si="5"/>
        <v>210.42847050546874</v>
      </c>
      <c r="D63" s="1">
        <f t="shared" ca="1" si="0"/>
        <v>418.69989527371763</v>
      </c>
      <c r="E63" s="1">
        <f t="shared" ca="1" si="1"/>
        <v>0</v>
      </c>
      <c r="F63" s="1">
        <f t="shared" ca="1" si="2"/>
        <v>75</v>
      </c>
      <c r="G63" s="1">
        <f t="shared" ca="1" si="3"/>
        <v>-210.42847050546874</v>
      </c>
      <c r="H63" s="1" t="str">
        <f t="shared" si="4"/>
        <v xml:space="preserve"> September -2021</v>
      </c>
      <c r="I63" t="s">
        <v>21</v>
      </c>
      <c r="J63">
        <v>2021</v>
      </c>
      <c r="K63" s="1"/>
      <c r="L63" s="1"/>
      <c r="M63" s="1"/>
      <c r="N63" s="1"/>
    </row>
    <row r="64" spans="1:14" x14ac:dyDescent="0.25">
      <c r="A64" t="s">
        <v>17</v>
      </c>
      <c r="B64" s="2">
        <v>0</v>
      </c>
      <c r="C64" s="1">
        <f t="shared" ca="1" si="5"/>
        <v>247.95735443813996</v>
      </c>
      <c r="D64" s="1">
        <f t="shared" ca="1" si="0"/>
        <v>491.41498150883103</v>
      </c>
      <c r="E64" s="1">
        <f t="shared" ca="1" si="1"/>
        <v>0</v>
      </c>
      <c r="F64" s="1">
        <f t="shared" ca="1" si="2"/>
        <v>69</v>
      </c>
      <c r="G64" s="1">
        <f t="shared" ca="1" si="3"/>
        <v>-247.95735443813996</v>
      </c>
      <c r="H64" s="1" t="str">
        <f t="shared" si="4"/>
        <v xml:space="preserve"> September -2021</v>
      </c>
      <c r="I64" t="s">
        <v>21</v>
      </c>
      <c r="J64">
        <v>2021</v>
      </c>
      <c r="K64" s="1"/>
      <c r="L64" s="1"/>
      <c r="M64" s="1"/>
      <c r="N64" s="1"/>
    </row>
    <row r="65" spans="1:14" x14ac:dyDescent="0.25">
      <c r="A65" t="s">
        <v>16</v>
      </c>
      <c r="B65" s="2">
        <v>0</v>
      </c>
      <c r="C65" s="1">
        <f t="shared" ca="1" si="5"/>
        <v>211.90259219633299</v>
      </c>
      <c r="D65" s="1">
        <f t="shared" ca="1" si="0"/>
        <v>340.40131070389401</v>
      </c>
      <c r="E65" s="1">
        <f t="shared" ca="1" si="1"/>
        <v>0</v>
      </c>
      <c r="F65" s="1">
        <f t="shared" ca="1" si="2"/>
        <v>64</v>
      </c>
      <c r="G65" s="1">
        <f t="shared" ca="1" si="3"/>
        <v>-211.90259219633299</v>
      </c>
      <c r="H65" s="1" t="str">
        <f t="shared" si="4"/>
        <v xml:space="preserve"> September -2021</v>
      </c>
      <c r="I65" t="s">
        <v>21</v>
      </c>
      <c r="J65">
        <v>2021</v>
      </c>
      <c r="K65" s="1"/>
      <c r="L65" s="1"/>
      <c r="M65" s="1"/>
      <c r="N65" s="1"/>
    </row>
    <row r="66" spans="1:14" x14ac:dyDescent="0.25">
      <c r="A66" t="s">
        <v>16</v>
      </c>
      <c r="B66" s="2">
        <v>0</v>
      </c>
      <c r="C66" s="1">
        <f t="shared" ca="1" si="5"/>
        <v>238.84121640628885</v>
      </c>
      <c r="D66" s="1">
        <f t="shared" ca="1" si="0"/>
        <v>320.91142967819655</v>
      </c>
      <c r="E66" s="1">
        <f t="shared" ca="1" si="1"/>
        <v>0</v>
      </c>
      <c r="F66" s="1">
        <f t="shared" ca="1" si="2"/>
        <v>57</v>
      </c>
      <c r="G66" s="1">
        <f t="shared" ca="1" si="3"/>
        <v>-238.84121640628885</v>
      </c>
      <c r="H66" s="1" t="str">
        <f t="shared" si="4"/>
        <v xml:space="preserve"> October -2021</v>
      </c>
      <c r="I66" t="s">
        <v>22</v>
      </c>
      <c r="J66">
        <v>2021</v>
      </c>
      <c r="K66" s="1"/>
      <c r="L66" s="1"/>
      <c r="M66" s="1"/>
      <c r="N66" s="1"/>
    </row>
    <row r="67" spans="1:14" x14ac:dyDescent="0.25">
      <c r="A67" t="s">
        <v>19</v>
      </c>
      <c r="B67" s="2">
        <v>0</v>
      </c>
      <c r="C67" s="1">
        <f t="shared" ca="1" si="5"/>
        <v>267.07205596448568</v>
      </c>
      <c r="D67" s="1">
        <f t="shared" ref="D67:D130" ca="1" si="6">C67*RAND()*1+4+C67</f>
        <v>457.8276315448482</v>
      </c>
      <c r="E67" s="1">
        <f t="shared" ref="E67:E130" ca="1" si="7">B67*D67</f>
        <v>0</v>
      </c>
      <c r="F67" s="1">
        <f t="shared" ref="F67:F130" ca="1" si="8">RANDBETWEEN(50,75)</f>
        <v>75</v>
      </c>
      <c r="G67" s="1">
        <f t="shared" ref="G67:G130" ca="1" si="9">(E67)-(F67*B67)-C67</f>
        <v>-267.07205596448568</v>
      </c>
      <c r="H67" s="1" t="str">
        <f t="shared" ref="H67:H130" si="10">I67 &amp;"-"&amp;J67</f>
        <v xml:space="preserve"> October -2021</v>
      </c>
      <c r="I67" t="s">
        <v>22</v>
      </c>
      <c r="J67">
        <v>2021</v>
      </c>
      <c r="K67" s="1"/>
      <c r="L67" s="1"/>
      <c r="M67" s="1"/>
      <c r="N67" s="1"/>
    </row>
    <row r="68" spans="1:14" x14ac:dyDescent="0.25">
      <c r="A68" t="s">
        <v>10</v>
      </c>
      <c r="B68" s="2">
        <v>0</v>
      </c>
      <c r="C68" s="1">
        <f t="shared" ref="C68:C131" ca="1" si="11">RAND()*100+200</f>
        <v>238.95655872931417</v>
      </c>
      <c r="D68" s="1">
        <f t="shared" ca="1" si="6"/>
        <v>312.18444886734056</v>
      </c>
      <c r="E68" s="1">
        <f t="shared" ca="1" si="7"/>
        <v>0</v>
      </c>
      <c r="F68" s="1">
        <f t="shared" ca="1" si="8"/>
        <v>51</v>
      </c>
      <c r="G68" s="1">
        <f t="shared" ca="1" si="9"/>
        <v>-238.95655872931417</v>
      </c>
      <c r="H68" s="1" t="str">
        <f t="shared" si="10"/>
        <v xml:space="preserve"> October -2021</v>
      </c>
      <c r="I68" t="s">
        <v>22</v>
      </c>
      <c r="J68">
        <v>2021</v>
      </c>
      <c r="K68" s="1"/>
      <c r="L68" s="1"/>
      <c r="M68" s="1"/>
      <c r="N68" s="1"/>
    </row>
    <row r="69" spans="1:14" x14ac:dyDescent="0.25">
      <c r="A69" t="s">
        <v>10</v>
      </c>
      <c r="B69" s="2">
        <v>0</v>
      </c>
      <c r="C69" s="1">
        <f t="shared" ca="1" si="11"/>
        <v>286.29665591142111</v>
      </c>
      <c r="D69" s="1">
        <f t="shared" ca="1" si="6"/>
        <v>533.73744835928289</v>
      </c>
      <c r="E69" s="1">
        <f t="shared" ca="1" si="7"/>
        <v>0</v>
      </c>
      <c r="F69" s="1">
        <f t="shared" ca="1" si="8"/>
        <v>61</v>
      </c>
      <c r="G69" s="1">
        <f t="shared" ca="1" si="9"/>
        <v>-286.29665591142111</v>
      </c>
      <c r="H69" s="1" t="str">
        <f t="shared" si="10"/>
        <v xml:space="preserve"> December -2021</v>
      </c>
      <c r="I69" t="s">
        <v>14</v>
      </c>
      <c r="J69">
        <v>2021</v>
      </c>
      <c r="K69" s="1"/>
      <c r="L69" s="1"/>
      <c r="M69" s="1"/>
      <c r="N69" s="1"/>
    </row>
    <row r="70" spans="1:14" x14ac:dyDescent="0.25">
      <c r="A70" t="s">
        <v>12</v>
      </c>
      <c r="B70" s="2">
        <v>0</v>
      </c>
      <c r="C70" s="1">
        <f t="shared" ca="1" si="11"/>
        <v>235.26943152837387</v>
      </c>
      <c r="D70" s="1">
        <f t="shared" ca="1" si="6"/>
        <v>321.49920444842877</v>
      </c>
      <c r="E70" s="1">
        <f t="shared" ca="1" si="7"/>
        <v>0</v>
      </c>
      <c r="F70" s="1">
        <f t="shared" ca="1" si="8"/>
        <v>64</v>
      </c>
      <c r="G70" s="1">
        <f t="shared" ca="1" si="9"/>
        <v>-235.26943152837387</v>
      </c>
      <c r="H70" s="1" t="str">
        <f t="shared" si="10"/>
        <v xml:space="preserve"> March -2021</v>
      </c>
      <c r="I70" t="s">
        <v>15</v>
      </c>
      <c r="J70">
        <v>2021</v>
      </c>
      <c r="K70" s="1"/>
      <c r="L70" s="1"/>
      <c r="M70" s="1"/>
      <c r="N70" s="1"/>
    </row>
    <row r="71" spans="1:14" x14ac:dyDescent="0.25">
      <c r="A71" t="s">
        <v>19</v>
      </c>
      <c r="B71" s="2">
        <v>0</v>
      </c>
      <c r="C71" s="1">
        <f t="shared" ca="1" si="11"/>
        <v>279.5990832685423</v>
      </c>
      <c r="D71" s="1">
        <f t="shared" ca="1" si="6"/>
        <v>509.78784815702204</v>
      </c>
      <c r="E71" s="1">
        <f t="shared" ca="1" si="7"/>
        <v>0</v>
      </c>
      <c r="F71" s="1">
        <f t="shared" ca="1" si="8"/>
        <v>51</v>
      </c>
      <c r="G71" s="1">
        <f t="shared" ca="1" si="9"/>
        <v>-279.5990832685423</v>
      </c>
      <c r="H71" s="1" t="str">
        <f t="shared" si="10"/>
        <v xml:space="preserve"> April -2021</v>
      </c>
      <c r="I71" t="s">
        <v>25</v>
      </c>
      <c r="J71">
        <v>2021</v>
      </c>
      <c r="K71" s="1"/>
      <c r="L71" s="1"/>
      <c r="M71" s="1"/>
      <c r="N71" s="1"/>
    </row>
    <row r="72" spans="1:14" x14ac:dyDescent="0.25">
      <c r="A72" t="s">
        <v>10</v>
      </c>
      <c r="B72" s="2">
        <v>0</v>
      </c>
      <c r="C72" s="1">
        <f t="shared" ca="1" si="11"/>
        <v>249.57847176256172</v>
      </c>
      <c r="D72" s="1">
        <f t="shared" ca="1" si="6"/>
        <v>269.53123630099435</v>
      </c>
      <c r="E72" s="1">
        <f t="shared" ca="1" si="7"/>
        <v>0</v>
      </c>
      <c r="F72" s="1">
        <f t="shared" ca="1" si="8"/>
        <v>50</v>
      </c>
      <c r="G72" s="1">
        <f t="shared" ca="1" si="9"/>
        <v>-249.57847176256172</v>
      </c>
      <c r="H72" s="1" t="str">
        <f t="shared" si="10"/>
        <v xml:space="preserve"> July -2021</v>
      </c>
      <c r="I72" t="s">
        <v>18</v>
      </c>
      <c r="J72">
        <v>2021</v>
      </c>
      <c r="K72" s="1"/>
      <c r="L72" s="1"/>
      <c r="M72" s="1"/>
      <c r="N72" s="1"/>
    </row>
    <row r="73" spans="1:14" x14ac:dyDescent="0.25">
      <c r="A73" t="s">
        <v>10</v>
      </c>
      <c r="B73" s="2">
        <v>0</v>
      </c>
      <c r="C73" s="1">
        <f t="shared" ca="1" si="11"/>
        <v>278.89919923962321</v>
      </c>
      <c r="D73" s="1">
        <f t="shared" ca="1" si="6"/>
        <v>314.32373570578346</v>
      </c>
      <c r="E73" s="1">
        <f t="shared" ca="1" si="7"/>
        <v>0</v>
      </c>
      <c r="F73" s="1">
        <f t="shared" ca="1" si="8"/>
        <v>62</v>
      </c>
      <c r="G73" s="1">
        <f t="shared" ca="1" si="9"/>
        <v>-278.89919923962321</v>
      </c>
      <c r="H73" s="1" t="str">
        <f t="shared" si="10"/>
        <v xml:space="preserve"> August -2021</v>
      </c>
      <c r="I73" t="s">
        <v>20</v>
      </c>
      <c r="J73">
        <v>2021</v>
      </c>
      <c r="K73" s="1"/>
      <c r="L73" s="1"/>
      <c r="M73" s="1"/>
      <c r="N73" s="1"/>
    </row>
    <row r="74" spans="1:14" x14ac:dyDescent="0.25">
      <c r="A74" t="s">
        <v>19</v>
      </c>
      <c r="B74" s="2">
        <v>0</v>
      </c>
      <c r="C74" s="1">
        <f t="shared" ca="1" si="11"/>
        <v>240.09943668992099</v>
      </c>
      <c r="D74" s="1">
        <f t="shared" ca="1" si="6"/>
        <v>342.19243526061842</v>
      </c>
      <c r="E74" s="1">
        <f t="shared" ca="1" si="7"/>
        <v>0</v>
      </c>
      <c r="F74" s="1">
        <f t="shared" ca="1" si="8"/>
        <v>62</v>
      </c>
      <c r="G74" s="1">
        <f t="shared" ca="1" si="9"/>
        <v>-240.09943668992099</v>
      </c>
      <c r="H74" s="1" t="str">
        <f t="shared" si="10"/>
        <v xml:space="preserve"> September -2021</v>
      </c>
      <c r="I74" t="s">
        <v>21</v>
      </c>
      <c r="J74">
        <v>2021</v>
      </c>
      <c r="K74" s="1"/>
      <c r="L74" s="1"/>
      <c r="M74" s="1"/>
      <c r="N74" s="1"/>
    </row>
    <row r="75" spans="1:14" x14ac:dyDescent="0.25">
      <c r="A75" t="s">
        <v>17</v>
      </c>
      <c r="B75" s="2">
        <v>0</v>
      </c>
      <c r="C75" s="1">
        <f t="shared" ca="1" si="11"/>
        <v>276.45180505121675</v>
      </c>
      <c r="D75" s="1">
        <f t="shared" ca="1" si="6"/>
        <v>550.79885339998077</v>
      </c>
      <c r="E75" s="1">
        <f t="shared" ca="1" si="7"/>
        <v>0</v>
      </c>
      <c r="F75" s="1">
        <f t="shared" ca="1" si="8"/>
        <v>61</v>
      </c>
      <c r="G75" s="1">
        <f t="shared" ca="1" si="9"/>
        <v>-276.45180505121675</v>
      </c>
      <c r="H75" s="1" t="str">
        <f t="shared" si="10"/>
        <v xml:space="preserve"> October -2021</v>
      </c>
      <c r="I75" t="s">
        <v>22</v>
      </c>
      <c r="J75">
        <v>2021</v>
      </c>
      <c r="K75" s="1"/>
      <c r="L75" s="1"/>
      <c r="M75" s="1"/>
      <c r="N75" s="1"/>
    </row>
    <row r="76" spans="1:14" x14ac:dyDescent="0.25">
      <c r="A76" t="s">
        <v>12</v>
      </c>
      <c r="B76" s="2">
        <v>0</v>
      </c>
      <c r="C76" s="1">
        <f t="shared" ca="1" si="11"/>
        <v>257.69871585157398</v>
      </c>
      <c r="D76" s="1">
        <f t="shared" ca="1" si="6"/>
        <v>280.41698767879222</v>
      </c>
      <c r="E76" s="1">
        <f t="shared" ca="1" si="7"/>
        <v>0</v>
      </c>
      <c r="F76" s="1">
        <f t="shared" ca="1" si="8"/>
        <v>69</v>
      </c>
      <c r="G76" s="1">
        <f t="shared" ca="1" si="9"/>
        <v>-257.69871585157398</v>
      </c>
      <c r="H76" s="1" t="str">
        <f t="shared" si="10"/>
        <v xml:space="preserve"> February -2021</v>
      </c>
      <c r="I76" t="s">
        <v>23</v>
      </c>
      <c r="J76">
        <v>2021</v>
      </c>
      <c r="K76" s="1"/>
      <c r="L76" s="1"/>
      <c r="M76" s="1"/>
      <c r="N76" s="1"/>
    </row>
    <row r="77" spans="1:14" x14ac:dyDescent="0.25">
      <c r="A77" t="s">
        <v>10</v>
      </c>
      <c r="B77" s="2">
        <v>0</v>
      </c>
      <c r="C77" s="1">
        <f t="shared" ca="1" si="11"/>
        <v>264.97735543168443</v>
      </c>
      <c r="D77" s="1">
        <f t="shared" ca="1" si="6"/>
        <v>497.89728352836374</v>
      </c>
      <c r="E77" s="1">
        <f t="shared" ca="1" si="7"/>
        <v>0</v>
      </c>
      <c r="F77" s="1">
        <f t="shared" ca="1" si="8"/>
        <v>67</v>
      </c>
      <c r="G77" s="1">
        <f t="shared" ca="1" si="9"/>
        <v>-264.97735543168443</v>
      </c>
      <c r="H77" s="1" t="str">
        <f t="shared" si="10"/>
        <v xml:space="preserve"> April -2021</v>
      </c>
      <c r="I77" t="s">
        <v>25</v>
      </c>
      <c r="J77">
        <v>2021</v>
      </c>
      <c r="K77" s="1"/>
      <c r="L77" s="1"/>
      <c r="M77" s="1"/>
      <c r="N77" s="1"/>
    </row>
    <row r="78" spans="1:14" x14ac:dyDescent="0.25">
      <c r="A78" t="s">
        <v>17</v>
      </c>
      <c r="B78" s="2">
        <v>0</v>
      </c>
      <c r="C78" s="1">
        <f t="shared" ca="1" si="11"/>
        <v>231.58123905273021</v>
      </c>
      <c r="D78" s="1">
        <f t="shared" ca="1" si="6"/>
        <v>329.00330256472682</v>
      </c>
      <c r="E78" s="1">
        <f t="shared" ca="1" si="7"/>
        <v>0</v>
      </c>
      <c r="F78" s="1">
        <f t="shared" ca="1" si="8"/>
        <v>75</v>
      </c>
      <c r="G78" s="1">
        <f t="shared" ca="1" si="9"/>
        <v>-231.58123905273021</v>
      </c>
      <c r="H78" s="1" t="str">
        <f t="shared" si="10"/>
        <v xml:space="preserve"> June -2021</v>
      </c>
      <c r="I78" t="s">
        <v>13</v>
      </c>
      <c r="J78">
        <v>2021</v>
      </c>
      <c r="K78" s="1"/>
      <c r="L78" s="1"/>
      <c r="M78" s="1"/>
      <c r="N78" s="1"/>
    </row>
    <row r="79" spans="1:14" x14ac:dyDescent="0.25">
      <c r="A79" t="s">
        <v>17</v>
      </c>
      <c r="B79" s="2">
        <v>0</v>
      </c>
      <c r="C79" s="1">
        <f t="shared" ca="1" si="11"/>
        <v>268.02126164901836</v>
      </c>
      <c r="D79" s="1">
        <f t="shared" ca="1" si="6"/>
        <v>449.40262986477728</v>
      </c>
      <c r="E79" s="1">
        <f t="shared" ca="1" si="7"/>
        <v>0</v>
      </c>
      <c r="F79" s="1">
        <f t="shared" ca="1" si="8"/>
        <v>65</v>
      </c>
      <c r="G79" s="1">
        <f t="shared" ca="1" si="9"/>
        <v>-268.02126164901836</v>
      </c>
      <c r="H79" s="1" t="str">
        <f t="shared" si="10"/>
        <v xml:space="preserve"> June -2021</v>
      </c>
      <c r="I79" t="s">
        <v>13</v>
      </c>
      <c r="J79">
        <v>2021</v>
      </c>
      <c r="K79" s="1"/>
      <c r="L79" s="1"/>
      <c r="M79" s="1"/>
      <c r="N79" s="1"/>
    </row>
    <row r="80" spans="1:14" x14ac:dyDescent="0.25">
      <c r="A80" t="s">
        <v>17</v>
      </c>
      <c r="B80" s="2">
        <v>0</v>
      </c>
      <c r="C80" s="1">
        <f t="shared" ca="1" si="11"/>
        <v>269.80372887905861</v>
      </c>
      <c r="D80" s="1">
        <f t="shared" ca="1" si="6"/>
        <v>494.85987974341157</v>
      </c>
      <c r="E80" s="1">
        <f t="shared" ca="1" si="7"/>
        <v>0</v>
      </c>
      <c r="F80" s="1">
        <f t="shared" ca="1" si="8"/>
        <v>65</v>
      </c>
      <c r="G80" s="1">
        <f t="shared" ca="1" si="9"/>
        <v>-269.80372887905861</v>
      </c>
      <c r="H80" s="1" t="str">
        <f t="shared" si="10"/>
        <v xml:space="preserve"> July -2021</v>
      </c>
      <c r="I80" t="s">
        <v>18</v>
      </c>
      <c r="J80">
        <v>2021</v>
      </c>
      <c r="K80" s="1"/>
      <c r="L80" s="1"/>
      <c r="M80" s="1"/>
      <c r="N80" s="1"/>
    </row>
    <row r="81" spans="1:14" x14ac:dyDescent="0.25">
      <c r="A81" t="s">
        <v>12</v>
      </c>
      <c r="B81" s="2">
        <v>0</v>
      </c>
      <c r="C81" s="1">
        <f t="shared" ca="1" si="11"/>
        <v>217.93205093120324</v>
      </c>
      <c r="D81" s="1">
        <f t="shared" ca="1" si="6"/>
        <v>223.68032795166627</v>
      </c>
      <c r="E81" s="1">
        <f t="shared" ca="1" si="7"/>
        <v>0</v>
      </c>
      <c r="F81" s="1">
        <f t="shared" ca="1" si="8"/>
        <v>74</v>
      </c>
      <c r="G81" s="1">
        <f t="shared" ca="1" si="9"/>
        <v>-217.93205093120324</v>
      </c>
      <c r="H81" s="1" t="str">
        <f t="shared" si="10"/>
        <v xml:space="preserve"> September -2021</v>
      </c>
      <c r="I81" t="s">
        <v>21</v>
      </c>
      <c r="J81">
        <v>2021</v>
      </c>
      <c r="K81" s="1"/>
      <c r="L81" s="1"/>
      <c r="M81" s="1"/>
      <c r="N81" s="1"/>
    </row>
    <row r="82" spans="1:14" x14ac:dyDescent="0.25">
      <c r="A82" t="s">
        <v>16</v>
      </c>
      <c r="B82" s="2">
        <v>0</v>
      </c>
      <c r="C82" s="1">
        <f t="shared" ca="1" si="11"/>
        <v>293.5206569831077</v>
      </c>
      <c r="D82" s="1">
        <f t="shared" ca="1" si="6"/>
        <v>383.92258457742059</v>
      </c>
      <c r="E82" s="1">
        <f t="shared" ca="1" si="7"/>
        <v>0</v>
      </c>
      <c r="F82" s="1">
        <f t="shared" ca="1" si="8"/>
        <v>72</v>
      </c>
      <c r="G82" s="1">
        <f t="shared" ca="1" si="9"/>
        <v>-293.5206569831077</v>
      </c>
      <c r="H82" s="1" t="str">
        <f t="shared" si="10"/>
        <v xml:space="preserve"> October -2021</v>
      </c>
      <c r="I82" t="s">
        <v>22</v>
      </c>
      <c r="J82">
        <v>2021</v>
      </c>
      <c r="K82" s="1"/>
      <c r="L82" s="1"/>
      <c r="M82" s="1"/>
      <c r="N82" s="1"/>
    </row>
    <row r="83" spans="1:14" x14ac:dyDescent="0.25">
      <c r="A83" t="s">
        <v>19</v>
      </c>
      <c r="B83" s="2">
        <v>0</v>
      </c>
      <c r="C83" s="1">
        <f t="shared" ca="1" si="11"/>
        <v>260.51981089203019</v>
      </c>
      <c r="D83" s="1">
        <f t="shared" ca="1" si="6"/>
        <v>362.37355225446089</v>
      </c>
      <c r="E83" s="1">
        <f t="shared" ca="1" si="7"/>
        <v>0</v>
      </c>
      <c r="F83" s="1">
        <f t="shared" ca="1" si="8"/>
        <v>66</v>
      </c>
      <c r="G83" s="1">
        <f t="shared" ca="1" si="9"/>
        <v>-260.51981089203019</v>
      </c>
      <c r="H83" s="1" t="str">
        <f t="shared" si="10"/>
        <v xml:space="preserve"> November -2021</v>
      </c>
      <c r="I83" t="s">
        <v>24</v>
      </c>
      <c r="J83">
        <v>2021</v>
      </c>
      <c r="K83" s="1"/>
      <c r="L83" s="1"/>
      <c r="M83" s="1"/>
      <c r="N83" s="1"/>
    </row>
    <row r="84" spans="1:14" x14ac:dyDescent="0.25">
      <c r="A84" t="s">
        <v>10</v>
      </c>
      <c r="B84" s="2">
        <v>0</v>
      </c>
      <c r="C84" s="1">
        <f t="shared" ca="1" si="11"/>
        <v>215.03864013576012</v>
      </c>
      <c r="D84" s="1">
        <f t="shared" ca="1" si="6"/>
        <v>255.39936677282461</v>
      </c>
      <c r="E84" s="1">
        <f t="shared" ca="1" si="7"/>
        <v>0</v>
      </c>
      <c r="F84" s="1">
        <f t="shared" ca="1" si="8"/>
        <v>64</v>
      </c>
      <c r="G84" s="1">
        <f t="shared" ca="1" si="9"/>
        <v>-215.03864013576012</v>
      </c>
      <c r="H84" s="1" t="str">
        <f t="shared" si="10"/>
        <v xml:space="preserve"> December -2021</v>
      </c>
      <c r="I84" t="s">
        <v>14</v>
      </c>
      <c r="J84">
        <v>2021</v>
      </c>
      <c r="K84" s="1"/>
      <c r="L84" s="1"/>
      <c r="M84" s="1"/>
      <c r="N84" s="1"/>
    </row>
    <row r="85" spans="1:14" x14ac:dyDescent="0.25">
      <c r="A85" t="s">
        <v>10</v>
      </c>
      <c r="B85" s="2">
        <v>0</v>
      </c>
      <c r="C85" s="1">
        <f t="shared" ca="1" si="11"/>
        <v>286.57407251658401</v>
      </c>
      <c r="D85" s="1">
        <f t="shared" ca="1" si="6"/>
        <v>414.81621039691828</v>
      </c>
      <c r="E85" s="1">
        <f t="shared" ca="1" si="7"/>
        <v>0</v>
      </c>
      <c r="F85" s="1">
        <f t="shared" ca="1" si="8"/>
        <v>71</v>
      </c>
      <c r="G85" s="1">
        <f t="shared" ca="1" si="9"/>
        <v>-286.57407251658401</v>
      </c>
      <c r="H85" s="1" t="str">
        <f t="shared" si="10"/>
        <v xml:space="preserve"> April -2021</v>
      </c>
      <c r="I85" t="s">
        <v>25</v>
      </c>
      <c r="J85">
        <v>2021</v>
      </c>
      <c r="K85" s="1"/>
      <c r="L85" s="1"/>
      <c r="M85" s="1"/>
      <c r="N85" s="1"/>
    </row>
    <row r="86" spans="1:14" x14ac:dyDescent="0.25">
      <c r="A86" t="s">
        <v>10</v>
      </c>
      <c r="B86" s="2">
        <v>0</v>
      </c>
      <c r="C86" s="1">
        <f t="shared" ca="1" si="11"/>
        <v>206.76589030654858</v>
      </c>
      <c r="D86" s="1">
        <f t="shared" ca="1" si="6"/>
        <v>226.91083082541257</v>
      </c>
      <c r="E86" s="1">
        <f t="shared" ca="1" si="7"/>
        <v>0</v>
      </c>
      <c r="F86" s="1">
        <f t="shared" ca="1" si="8"/>
        <v>58</v>
      </c>
      <c r="G86" s="1">
        <f t="shared" ca="1" si="9"/>
        <v>-206.76589030654858</v>
      </c>
      <c r="H86" s="1" t="str">
        <f t="shared" si="10"/>
        <v xml:space="preserve"> May -2021</v>
      </c>
      <c r="I86" t="s">
        <v>26</v>
      </c>
      <c r="J86">
        <v>2021</v>
      </c>
      <c r="K86" s="1"/>
      <c r="L86" s="1"/>
      <c r="M86" s="1"/>
      <c r="N86" s="1"/>
    </row>
    <row r="87" spans="1:14" x14ac:dyDescent="0.25">
      <c r="A87" t="s">
        <v>17</v>
      </c>
      <c r="B87" s="2">
        <v>0</v>
      </c>
      <c r="C87" s="1">
        <f t="shared" ca="1" si="11"/>
        <v>295.37263912856139</v>
      </c>
      <c r="D87" s="1">
        <f t="shared" ca="1" si="6"/>
        <v>499.44579665522701</v>
      </c>
      <c r="E87" s="1">
        <f t="shared" ca="1" si="7"/>
        <v>0</v>
      </c>
      <c r="F87" s="1">
        <f t="shared" ca="1" si="8"/>
        <v>65</v>
      </c>
      <c r="G87" s="1">
        <f t="shared" ca="1" si="9"/>
        <v>-295.37263912856139</v>
      </c>
      <c r="H87" s="1" t="str">
        <f t="shared" si="10"/>
        <v xml:space="preserve"> August -2021</v>
      </c>
      <c r="I87" t="s">
        <v>20</v>
      </c>
      <c r="J87">
        <v>2021</v>
      </c>
      <c r="K87" s="1"/>
      <c r="L87" s="1"/>
      <c r="M87" s="1"/>
      <c r="N87" s="1"/>
    </row>
    <row r="88" spans="1:14" x14ac:dyDescent="0.25">
      <c r="A88" t="s">
        <v>17</v>
      </c>
      <c r="B88" s="2">
        <v>0</v>
      </c>
      <c r="C88" s="1">
        <f t="shared" ca="1" si="11"/>
        <v>253.14129675778969</v>
      </c>
      <c r="D88" s="1">
        <f t="shared" ca="1" si="6"/>
        <v>371.11093681805943</v>
      </c>
      <c r="E88" s="1">
        <f t="shared" ca="1" si="7"/>
        <v>0</v>
      </c>
      <c r="F88" s="1">
        <f t="shared" ca="1" si="8"/>
        <v>72</v>
      </c>
      <c r="G88" s="1">
        <f t="shared" ca="1" si="9"/>
        <v>-253.14129675778969</v>
      </c>
      <c r="H88" s="1" t="str">
        <f t="shared" si="10"/>
        <v xml:space="preserve"> October -2021</v>
      </c>
      <c r="I88" t="s">
        <v>22</v>
      </c>
      <c r="J88">
        <v>2021</v>
      </c>
      <c r="K88" s="1"/>
      <c r="L88" s="1"/>
      <c r="M88" s="1"/>
      <c r="N88" s="1"/>
    </row>
    <row r="89" spans="1:14" x14ac:dyDescent="0.25">
      <c r="A89" t="s">
        <v>10</v>
      </c>
      <c r="B89" s="2">
        <v>0</v>
      </c>
      <c r="C89" s="1">
        <f t="shared" ca="1" si="11"/>
        <v>277.79227175916509</v>
      </c>
      <c r="D89" s="1">
        <f t="shared" ca="1" si="6"/>
        <v>466.3265360111526</v>
      </c>
      <c r="E89" s="1">
        <f t="shared" ca="1" si="7"/>
        <v>0</v>
      </c>
      <c r="F89" s="1">
        <f t="shared" ca="1" si="8"/>
        <v>54</v>
      </c>
      <c r="G89" s="1">
        <f t="shared" ca="1" si="9"/>
        <v>-277.79227175916509</v>
      </c>
      <c r="H89" s="1" t="str">
        <f t="shared" si="10"/>
        <v xml:space="preserve"> November -2021</v>
      </c>
      <c r="I89" t="s">
        <v>24</v>
      </c>
      <c r="J89">
        <v>2021</v>
      </c>
      <c r="K89" s="1"/>
      <c r="L89" s="1"/>
      <c r="M89" s="1"/>
      <c r="N89" s="1"/>
    </row>
    <row r="90" spans="1:14" x14ac:dyDescent="0.25">
      <c r="A90" t="s">
        <v>10</v>
      </c>
      <c r="B90" s="2">
        <v>0</v>
      </c>
      <c r="C90" s="1">
        <f t="shared" ca="1" si="11"/>
        <v>201.39955821973129</v>
      </c>
      <c r="D90" s="1">
        <f t="shared" ca="1" si="6"/>
        <v>291.03198708278074</v>
      </c>
      <c r="E90" s="1">
        <f t="shared" ca="1" si="7"/>
        <v>0</v>
      </c>
      <c r="F90" s="1">
        <f t="shared" ca="1" si="8"/>
        <v>67</v>
      </c>
      <c r="G90" s="1">
        <f t="shared" ca="1" si="9"/>
        <v>-201.39955821973129</v>
      </c>
      <c r="H90" s="1" t="str">
        <f t="shared" si="10"/>
        <v xml:space="preserve"> March -2021</v>
      </c>
      <c r="I90" t="s">
        <v>15</v>
      </c>
      <c r="J90">
        <v>2021</v>
      </c>
      <c r="K90" s="1"/>
      <c r="L90" s="1"/>
      <c r="M90" s="1"/>
      <c r="N90" s="1"/>
    </row>
    <row r="91" spans="1:14" x14ac:dyDescent="0.25">
      <c r="A91" t="s">
        <v>10</v>
      </c>
      <c r="B91" s="2">
        <v>0</v>
      </c>
      <c r="C91" s="1">
        <f t="shared" ca="1" si="11"/>
        <v>219.77272243932171</v>
      </c>
      <c r="D91" s="1">
        <f t="shared" ca="1" si="6"/>
        <v>307.55313395802449</v>
      </c>
      <c r="E91" s="1">
        <f t="shared" ca="1" si="7"/>
        <v>0</v>
      </c>
      <c r="F91" s="1">
        <f t="shared" ca="1" si="8"/>
        <v>75</v>
      </c>
      <c r="G91" s="1">
        <f t="shared" ca="1" si="9"/>
        <v>-219.77272243932171</v>
      </c>
      <c r="H91" s="1" t="str">
        <f t="shared" si="10"/>
        <v xml:space="preserve"> April -2021</v>
      </c>
      <c r="I91" t="s">
        <v>25</v>
      </c>
      <c r="J91">
        <v>2021</v>
      </c>
      <c r="K91" s="1"/>
      <c r="L91" s="1"/>
      <c r="M91" s="1"/>
      <c r="N91" s="1"/>
    </row>
    <row r="92" spans="1:14" x14ac:dyDescent="0.25">
      <c r="A92" t="s">
        <v>17</v>
      </c>
      <c r="B92" s="2">
        <v>0</v>
      </c>
      <c r="C92" s="1">
        <f t="shared" ca="1" si="11"/>
        <v>244.69340857743398</v>
      </c>
      <c r="D92" s="1">
        <f t="shared" ca="1" si="6"/>
        <v>256.01073254094626</v>
      </c>
      <c r="E92" s="1">
        <f t="shared" ca="1" si="7"/>
        <v>0</v>
      </c>
      <c r="F92" s="1">
        <f t="shared" ca="1" si="8"/>
        <v>73</v>
      </c>
      <c r="G92" s="1">
        <f t="shared" ca="1" si="9"/>
        <v>-244.69340857743398</v>
      </c>
      <c r="H92" s="1" t="str">
        <f t="shared" si="10"/>
        <v xml:space="preserve"> June -2021</v>
      </c>
      <c r="I92" t="s">
        <v>13</v>
      </c>
      <c r="J92">
        <v>2021</v>
      </c>
      <c r="K92" s="1"/>
      <c r="L92" s="1"/>
      <c r="M92" s="1"/>
      <c r="N92" s="1"/>
    </row>
    <row r="93" spans="1:14" x14ac:dyDescent="0.25">
      <c r="A93" t="s">
        <v>17</v>
      </c>
      <c r="B93" s="2">
        <v>0</v>
      </c>
      <c r="C93" s="1">
        <f t="shared" ca="1" si="11"/>
        <v>235.05218646632468</v>
      </c>
      <c r="D93" s="1">
        <f t="shared" ca="1" si="6"/>
        <v>317.89495802113447</v>
      </c>
      <c r="E93" s="1">
        <f t="shared" ca="1" si="7"/>
        <v>0</v>
      </c>
      <c r="F93" s="1">
        <f t="shared" ca="1" si="8"/>
        <v>53</v>
      </c>
      <c r="G93" s="1">
        <f t="shared" ca="1" si="9"/>
        <v>-235.05218646632468</v>
      </c>
      <c r="H93" s="1" t="str">
        <f t="shared" si="10"/>
        <v xml:space="preserve"> June -2021</v>
      </c>
      <c r="I93" t="s">
        <v>13</v>
      </c>
      <c r="J93">
        <v>2021</v>
      </c>
      <c r="K93" s="1"/>
      <c r="L93" s="1"/>
      <c r="M93" s="1"/>
      <c r="N93" s="1"/>
    </row>
    <row r="94" spans="1:14" x14ac:dyDescent="0.25">
      <c r="A94" t="s">
        <v>19</v>
      </c>
      <c r="B94" s="2">
        <v>0</v>
      </c>
      <c r="C94" s="1">
        <f t="shared" ca="1" si="11"/>
        <v>291.09188518063274</v>
      </c>
      <c r="D94" s="1">
        <f t="shared" ca="1" si="6"/>
        <v>410.96866800785597</v>
      </c>
      <c r="E94" s="1">
        <f t="shared" ca="1" si="7"/>
        <v>0</v>
      </c>
      <c r="F94" s="1">
        <f t="shared" ca="1" si="8"/>
        <v>72</v>
      </c>
      <c r="G94" s="1">
        <f t="shared" ca="1" si="9"/>
        <v>-291.09188518063274</v>
      </c>
      <c r="H94" s="1" t="str">
        <f t="shared" si="10"/>
        <v xml:space="preserve"> September -2021</v>
      </c>
      <c r="I94" t="s">
        <v>21</v>
      </c>
      <c r="J94">
        <v>2021</v>
      </c>
      <c r="K94" s="1"/>
      <c r="L94" s="1"/>
      <c r="M94" s="1"/>
      <c r="N94" s="1"/>
    </row>
    <row r="95" spans="1:14" x14ac:dyDescent="0.25">
      <c r="A95" t="s">
        <v>19</v>
      </c>
      <c r="B95" s="2">
        <v>0</v>
      </c>
      <c r="C95" s="1">
        <f t="shared" ca="1" si="11"/>
        <v>264.3117571914342</v>
      </c>
      <c r="D95" s="1">
        <f t="shared" ca="1" si="6"/>
        <v>369.07207545427906</v>
      </c>
      <c r="E95" s="1">
        <f t="shared" ca="1" si="7"/>
        <v>0</v>
      </c>
      <c r="F95" s="1">
        <f t="shared" ca="1" si="8"/>
        <v>65</v>
      </c>
      <c r="G95" s="1">
        <f t="shared" ca="1" si="9"/>
        <v>-264.3117571914342</v>
      </c>
      <c r="H95" s="1" t="str">
        <f t="shared" si="10"/>
        <v xml:space="preserve"> October -2021</v>
      </c>
      <c r="I95" t="s">
        <v>22</v>
      </c>
      <c r="J95">
        <v>2021</v>
      </c>
      <c r="K95" s="1"/>
      <c r="L95" s="1"/>
      <c r="M95" s="1"/>
      <c r="N95" s="1"/>
    </row>
    <row r="96" spans="1:14" x14ac:dyDescent="0.25">
      <c r="A96" t="s">
        <v>10</v>
      </c>
      <c r="B96" s="2">
        <v>0</v>
      </c>
      <c r="C96" s="1">
        <f t="shared" ca="1" si="11"/>
        <v>289.45125164639785</v>
      </c>
      <c r="D96" s="1">
        <f t="shared" ca="1" si="6"/>
        <v>401.61226601693909</v>
      </c>
      <c r="E96" s="1">
        <f t="shared" ca="1" si="7"/>
        <v>0</v>
      </c>
      <c r="F96" s="1">
        <f t="shared" ca="1" si="8"/>
        <v>60</v>
      </c>
      <c r="G96" s="1">
        <f t="shared" ca="1" si="9"/>
        <v>-289.45125164639785</v>
      </c>
      <c r="H96" s="1" t="str">
        <f t="shared" si="10"/>
        <v xml:space="preserve"> October -2021</v>
      </c>
      <c r="I96" t="s">
        <v>22</v>
      </c>
      <c r="J96">
        <v>2021</v>
      </c>
      <c r="K96" s="1"/>
      <c r="L96" s="1"/>
      <c r="M96" s="1"/>
      <c r="N96" s="1"/>
    </row>
    <row r="97" spans="1:14" x14ac:dyDescent="0.25">
      <c r="A97" t="s">
        <v>17</v>
      </c>
      <c r="B97" s="2">
        <v>0</v>
      </c>
      <c r="C97" s="1">
        <f t="shared" ca="1" si="11"/>
        <v>205.95747860407744</v>
      </c>
      <c r="D97" s="1">
        <f t="shared" ca="1" si="6"/>
        <v>277.222633205916</v>
      </c>
      <c r="E97" s="1">
        <f t="shared" ca="1" si="7"/>
        <v>0</v>
      </c>
      <c r="F97" s="1">
        <f t="shared" ca="1" si="8"/>
        <v>54</v>
      </c>
      <c r="G97" s="1">
        <f t="shared" ca="1" si="9"/>
        <v>-205.95747860407744</v>
      </c>
      <c r="H97" s="1" t="str">
        <f t="shared" si="10"/>
        <v xml:space="preserve"> November -2021</v>
      </c>
      <c r="I97" t="s">
        <v>24</v>
      </c>
      <c r="J97">
        <v>2021</v>
      </c>
      <c r="K97" s="1"/>
      <c r="L97" s="1"/>
      <c r="M97" s="1"/>
      <c r="N97" s="1"/>
    </row>
    <row r="98" spans="1:14" x14ac:dyDescent="0.25">
      <c r="A98" t="s">
        <v>16</v>
      </c>
      <c r="B98" s="2">
        <v>0</v>
      </c>
      <c r="C98" s="1">
        <f t="shared" ca="1" si="11"/>
        <v>227.96047425038546</v>
      </c>
      <c r="D98" s="1">
        <f t="shared" ca="1" si="6"/>
        <v>268.63906551018039</v>
      </c>
      <c r="E98" s="1">
        <f t="shared" ca="1" si="7"/>
        <v>0</v>
      </c>
      <c r="F98" s="1">
        <f t="shared" ca="1" si="8"/>
        <v>51</v>
      </c>
      <c r="G98" s="1">
        <f t="shared" ca="1" si="9"/>
        <v>-227.96047425038546</v>
      </c>
      <c r="H98" s="1" t="str">
        <f t="shared" si="10"/>
        <v xml:space="preserve"> September -2021</v>
      </c>
      <c r="I98" t="s">
        <v>21</v>
      </c>
      <c r="J98">
        <v>2021</v>
      </c>
      <c r="K98" s="1"/>
      <c r="L98" s="1"/>
      <c r="M98" s="1"/>
      <c r="N98" s="1"/>
    </row>
    <row r="99" spans="1:14" x14ac:dyDescent="0.25">
      <c r="A99" t="s">
        <v>12</v>
      </c>
      <c r="B99" s="2">
        <v>0</v>
      </c>
      <c r="C99" s="1">
        <f t="shared" ca="1" si="11"/>
        <v>282.85242426305939</v>
      </c>
      <c r="D99" s="1">
        <f t="shared" ca="1" si="6"/>
        <v>531.72225861329355</v>
      </c>
      <c r="E99" s="1">
        <f t="shared" ca="1" si="7"/>
        <v>0</v>
      </c>
      <c r="F99" s="1">
        <f t="shared" ca="1" si="8"/>
        <v>50</v>
      </c>
      <c r="G99" s="1">
        <f t="shared" ca="1" si="9"/>
        <v>-282.85242426305939</v>
      </c>
      <c r="H99" s="1" t="str">
        <f t="shared" si="10"/>
        <v xml:space="preserve"> November -2021</v>
      </c>
      <c r="I99" t="s">
        <v>24</v>
      </c>
      <c r="J99">
        <v>2021</v>
      </c>
      <c r="K99" s="1"/>
      <c r="L99" s="1"/>
      <c r="M99" s="1"/>
      <c r="N99" s="1"/>
    </row>
    <row r="100" spans="1:14" x14ac:dyDescent="0.25">
      <c r="A100" t="s">
        <v>17</v>
      </c>
      <c r="B100" s="2">
        <v>0</v>
      </c>
      <c r="C100" s="1">
        <f t="shared" ca="1" si="11"/>
        <v>299.57985552094658</v>
      </c>
      <c r="D100" s="1">
        <f t="shared" ca="1" si="6"/>
        <v>442.48403934601015</v>
      </c>
      <c r="E100" s="1">
        <f t="shared" ca="1" si="7"/>
        <v>0</v>
      </c>
      <c r="F100" s="1">
        <f t="shared" ca="1" si="8"/>
        <v>54</v>
      </c>
      <c r="G100" s="1">
        <f t="shared" ca="1" si="9"/>
        <v>-299.57985552094658</v>
      </c>
      <c r="H100" s="1" t="str">
        <f t="shared" si="10"/>
        <v xml:space="preserve"> April -2021</v>
      </c>
      <c r="I100" t="s">
        <v>25</v>
      </c>
      <c r="J100">
        <v>2021</v>
      </c>
      <c r="K100" s="1"/>
      <c r="L100" s="1"/>
      <c r="M100" s="1"/>
      <c r="N100" s="1"/>
    </row>
    <row r="101" spans="1:14" x14ac:dyDescent="0.25">
      <c r="A101" t="s">
        <v>16</v>
      </c>
      <c r="B101" s="2">
        <v>0</v>
      </c>
      <c r="C101" s="1">
        <f t="shared" ca="1" si="11"/>
        <v>254.36632719895431</v>
      </c>
      <c r="D101" s="1">
        <f t="shared" ca="1" si="6"/>
        <v>334.28335209667989</v>
      </c>
      <c r="E101" s="1">
        <f t="shared" ca="1" si="7"/>
        <v>0</v>
      </c>
      <c r="F101" s="1">
        <f t="shared" ca="1" si="8"/>
        <v>60</v>
      </c>
      <c r="G101" s="1">
        <f t="shared" ca="1" si="9"/>
        <v>-254.36632719895431</v>
      </c>
      <c r="H101" s="1" t="str">
        <f t="shared" si="10"/>
        <v xml:space="preserve"> October -2021</v>
      </c>
      <c r="I101" t="s">
        <v>22</v>
      </c>
      <c r="J101">
        <v>2021</v>
      </c>
      <c r="K101" s="1"/>
      <c r="L101" s="1"/>
      <c r="M101" s="1"/>
      <c r="N101" s="1"/>
    </row>
    <row r="102" spans="1:14" x14ac:dyDescent="0.25">
      <c r="A102" t="s">
        <v>19</v>
      </c>
      <c r="B102" s="2">
        <v>0</v>
      </c>
      <c r="C102" s="1">
        <f t="shared" ca="1" si="11"/>
        <v>247.8001679229549</v>
      </c>
      <c r="D102" s="1">
        <f t="shared" ca="1" si="6"/>
        <v>458.68078271162517</v>
      </c>
      <c r="E102" s="1">
        <f t="shared" ca="1" si="7"/>
        <v>0</v>
      </c>
      <c r="F102" s="1">
        <f t="shared" ca="1" si="8"/>
        <v>54</v>
      </c>
      <c r="G102" s="1">
        <f t="shared" ca="1" si="9"/>
        <v>-247.8001679229549</v>
      </c>
      <c r="H102" s="1" t="str">
        <f t="shared" si="10"/>
        <v xml:space="preserve"> October -2021</v>
      </c>
      <c r="I102" t="s">
        <v>22</v>
      </c>
      <c r="J102">
        <v>2021</v>
      </c>
      <c r="K102" s="1"/>
      <c r="L102" s="1"/>
      <c r="M102" s="1"/>
      <c r="N102" s="1"/>
    </row>
    <row r="103" spans="1:14" x14ac:dyDescent="0.25">
      <c r="A103" t="s">
        <v>10</v>
      </c>
      <c r="B103" s="2">
        <v>0</v>
      </c>
      <c r="C103" s="1">
        <f t="shared" ca="1" si="11"/>
        <v>239.45900053661728</v>
      </c>
      <c r="D103" s="1">
        <f t="shared" ca="1" si="6"/>
        <v>361.96345354653732</v>
      </c>
      <c r="E103" s="1">
        <f t="shared" ca="1" si="7"/>
        <v>0</v>
      </c>
      <c r="F103" s="1">
        <f t="shared" ca="1" si="8"/>
        <v>74</v>
      </c>
      <c r="G103" s="1">
        <f t="shared" ca="1" si="9"/>
        <v>-239.45900053661728</v>
      </c>
      <c r="H103" s="1" t="str">
        <f t="shared" si="10"/>
        <v xml:space="preserve"> November -2021</v>
      </c>
      <c r="I103" t="s">
        <v>24</v>
      </c>
      <c r="J103">
        <v>2021</v>
      </c>
      <c r="K103" s="1"/>
      <c r="L103" s="1"/>
      <c r="M103" s="1"/>
      <c r="N103" s="1"/>
    </row>
    <row r="104" spans="1:14" x14ac:dyDescent="0.25">
      <c r="A104" t="s">
        <v>10</v>
      </c>
      <c r="B104" s="2">
        <v>0</v>
      </c>
      <c r="C104" s="1">
        <f t="shared" ca="1" si="11"/>
        <v>203.57172670229068</v>
      </c>
      <c r="D104" s="1">
        <f t="shared" ca="1" si="6"/>
        <v>243.58126959507496</v>
      </c>
      <c r="E104" s="1">
        <f t="shared" ca="1" si="7"/>
        <v>0</v>
      </c>
      <c r="F104" s="1">
        <f t="shared" ca="1" si="8"/>
        <v>58</v>
      </c>
      <c r="G104" s="1">
        <f t="shared" ca="1" si="9"/>
        <v>-203.57172670229068</v>
      </c>
      <c r="H104" s="1" t="str">
        <f t="shared" si="10"/>
        <v xml:space="preserve"> December -2021</v>
      </c>
      <c r="I104" t="s">
        <v>14</v>
      </c>
      <c r="J104">
        <v>2021</v>
      </c>
      <c r="K104" s="1"/>
      <c r="L104" s="1"/>
      <c r="M104" s="1"/>
      <c r="N104" s="1"/>
    </row>
    <row r="105" spans="1:14" x14ac:dyDescent="0.25">
      <c r="A105" t="s">
        <v>16</v>
      </c>
      <c r="B105" s="2">
        <v>0</v>
      </c>
      <c r="C105" s="1">
        <f t="shared" ca="1" si="11"/>
        <v>239.28330470780438</v>
      </c>
      <c r="D105" s="1">
        <f t="shared" ca="1" si="6"/>
        <v>437.86087352880099</v>
      </c>
      <c r="E105" s="1">
        <f t="shared" ca="1" si="7"/>
        <v>0</v>
      </c>
      <c r="F105" s="1">
        <f t="shared" ca="1" si="8"/>
        <v>72</v>
      </c>
      <c r="G105" s="1">
        <f t="shared" ca="1" si="9"/>
        <v>-239.28330470780438</v>
      </c>
      <c r="H105" s="1" t="str">
        <f t="shared" si="10"/>
        <v xml:space="preserve"> June -2021</v>
      </c>
      <c r="I105" t="s">
        <v>13</v>
      </c>
      <c r="J105">
        <v>2021</v>
      </c>
      <c r="K105" s="1"/>
      <c r="L105" s="1"/>
      <c r="M105" s="1"/>
      <c r="N105" s="1"/>
    </row>
    <row r="106" spans="1:14" x14ac:dyDescent="0.25">
      <c r="A106" t="s">
        <v>10</v>
      </c>
      <c r="B106" s="2">
        <v>0</v>
      </c>
      <c r="C106" s="1">
        <f t="shared" ca="1" si="11"/>
        <v>228.63169194849087</v>
      </c>
      <c r="D106" s="1">
        <f t="shared" ca="1" si="6"/>
        <v>421.97428047438092</v>
      </c>
      <c r="E106" s="1">
        <f t="shared" ca="1" si="7"/>
        <v>0</v>
      </c>
      <c r="F106" s="1">
        <f t="shared" ca="1" si="8"/>
        <v>50</v>
      </c>
      <c r="G106" s="1">
        <f t="shared" ca="1" si="9"/>
        <v>-228.63169194849087</v>
      </c>
      <c r="H106" s="1" t="str">
        <f t="shared" si="10"/>
        <v xml:space="preserve"> October -2021</v>
      </c>
      <c r="I106" t="s">
        <v>22</v>
      </c>
      <c r="J106">
        <v>2021</v>
      </c>
      <c r="K106" s="1"/>
      <c r="L106" s="1"/>
      <c r="M106" s="1"/>
      <c r="N106" s="1"/>
    </row>
    <row r="107" spans="1:14" x14ac:dyDescent="0.25">
      <c r="A107" t="s">
        <v>16</v>
      </c>
      <c r="B107" s="2">
        <v>0</v>
      </c>
      <c r="C107" s="1">
        <f t="shared" ca="1" si="11"/>
        <v>221.01345815845985</v>
      </c>
      <c r="D107" s="1">
        <f t="shared" ca="1" si="6"/>
        <v>320.04243734891384</v>
      </c>
      <c r="E107" s="1">
        <f t="shared" ca="1" si="7"/>
        <v>0</v>
      </c>
      <c r="F107" s="1">
        <f t="shared" ca="1" si="8"/>
        <v>67</v>
      </c>
      <c r="G107" s="1">
        <f t="shared" ca="1" si="9"/>
        <v>-221.01345815845985</v>
      </c>
      <c r="H107" s="1" t="str">
        <f t="shared" si="10"/>
        <v xml:space="preserve"> November -2021</v>
      </c>
      <c r="I107" t="s">
        <v>24</v>
      </c>
      <c r="J107">
        <v>2021</v>
      </c>
      <c r="K107" s="1"/>
      <c r="L107" s="1"/>
      <c r="M107" s="1"/>
      <c r="N107" s="1"/>
    </row>
    <row r="108" spans="1:14" x14ac:dyDescent="0.25">
      <c r="A108" t="s">
        <v>17</v>
      </c>
      <c r="B108" s="2">
        <v>0</v>
      </c>
      <c r="C108" s="1">
        <f t="shared" ca="1" si="11"/>
        <v>243.10180613931058</v>
      </c>
      <c r="D108" s="1">
        <f t="shared" ca="1" si="6"/>
        <v>270.46226112467144</v>
      </c>
      <c r="E108" s="1">
        <f t="shared" ca="1" si="7"/>
        <v>0</v>
      </c>
      <c r="F108" s="1">
        <f t="shared" ca="1" si="8"/>
        <v>61</v>
      </c>
      <c r="G108" s="1">
        <f t="shared" ca="1" si="9"/>
        <v>-243.10180613931058</v>
      </c>
      <c r="H108" s="1" t="str">
        <f t="shared" si="10"/>
        <v xml:space="preserve"> November -2021</v>
      </c>
      <c r="I108" t="s">
        <v>24</v>
      </c>
      <c r="J108">
        <v>2021</v>
      </c>
      <c r="K108" s="1"/>
      <c r="L108" s="1"/>
      <c r="M108" s="1"/>
      <c r="N108" s="1"/>
    </row>
    <row r="109" spans="1:14" x14ac:dyDescent="0.25">
      <c r="A109" t="s">
        <v>12</v>
      </c>
      <c r="B109" s="2">
        <v>0</v>
      </c>
      <c r="C109" s="1">
        <f t="shared" ca="1" si="11"/>
        <v>207.42337113979926</v>
      </c>
      <c r="D109" s="1">
        <f t="shared" ca="1" si="6"/>
        <v>238.55050215915259</v>
      </c>
      <c r="E109" s="1">
        <f t="shared" ca="1" si="7"/>
        <v>0</v>
      </c>
      <c r="F109" s="1">
        <f t="shared" ca="1" si="8"/>
        <v>71</v>
      </c>
      <c r="G109" s="1">
        <f t="shared" ca="1" si="9"/>
        <v>-207.42337113979926</v>
      </c>
      <c r="H109" s="1" t="str">
        <f t="shared" si="10"/>
        <v xml:space="preserve"> February -2021</v>
      </c>
      <c r="I109" t="s">
        <v>23</v>
      </c>
      <c r="J109">
        <v>2021</v>
      </c>
      <c r="K109" s="1"/>
      <c r="L109" s="1"/>
      <c r="M109" s="1"/>
      <c r="N109" s="1"/>
    </row>
    <row r="110" spans="1:14" x14ac:dyDescent="0.25">
      <c r="A110" t="s">
        <v>19</v>
      </c>
      <c r="B110" s="2">
        <v>0</v>
      </c>
      <c r="C110" s="1">
        <f t="shared" ca="1" si="11"/>
        <v>213.69276669949815</v>
      </c>
      <c r="D110" s="1">
        <f t="shared" ca="1" si="6"/>
        <v>309.67999639534287</v>
      </c>
      <c r="E110" s="1">
        <f t="shared" ca="1" si="7"/>
        <v>0</v>
      </c>
      <c r="F110" s="1">
        <f t="shared" ca="1" si="8"/>
        <v>50</v>
      </c>
      <c r="G110" s="1">
        <f t="shared" ca="1" si="9"/>
        <v>-213.69276669949815</v>
      </c>
      <c r="H110" s="1" t="str">
        <f t="shared" si="10"/>
        <v xml:space="preserve"> May -2021</v>
      </c>
      <c r="I110" t="s">
        <v>26</v>
      </c>
      <c r="J110">
        <v>2021</v>
      </c>
      <c r="K110" s="1"/>
      <c r="L110" s="1"/>
      <c r="M110" s="1"/>
      <c r="N110" s="1"/>
    </row>
    <row r="111" spans="1:14" x14ac:dyDescent="0.25">
      <c r="A111" t="s">
        <v>19</v>
      </c>
      <c r="B111" s="2">
        <v>0</v>
      </c>
      <c r="C111" s="1">
        <f t="shared" ca="1" si="11"/>
        <v>207.97662193756955</v>
      </c>
      <c r="D111" s="1">
        <f t="shared" ca="1" si="6"/>
        <v>347.03561933425146</v>
      </c>
      <c r="E111" s="1">
        <f t="shared" ca="1" si="7"/>
        <v>0</v>
      </c>
      <c r="F111" s="1">
        <f t="shared" ca="1" si="8"/>
        <v>63</v>
      </c>
      <c r="G111" s="1">
        <f t="shared" ca="1" si="9"/>
        <v>-207.97662193756955</v>
      </c>
      <c r="H111" s="1" t="str">
        <f t="shared" si="10"/>
        <v xml:space="preserve"> May -2021</v>
      </c>
      <c r="I111" t="s">
        <v>26</v>
      </c>
      <c r="J111">
        <v>2021</v>
      </c>
      <c r="K111" s="1"/>
      <c r="L111" s="1"/>
      <c r="M111" s="1"/>
      <c r="N111" s="1"/>
    </row>
    <row r="112" spans="1:14" x14ac:dyDescent="0.25">
      <c r="A112" t="s">
        <v>16</v>
      </c>
      <c r="B112" s="2">
        <v>0</v>
      </c>
      <c r="C112" s="1">
        <f t="shared" ca="1" si="11"/>
        <v>224.31930279270082</v>
      </c>
      <c r="D112" s="1">
        <f t="shared" ca="1" si="6"/>
        <v>361.72365991582978</v>
      </c>
      <c r="E112" s="1">
        <f t="shared" ca="1" si="7"/>
        <v>0</v>
      </c>
      <c r="F112" s="1">
        <f t="shared" ca="1" si="8"/>
        <v>65</v>
      </c>
      <c r="G112" s="1">
        <f t="shared" ca="1" si="9"/>
        <v>-224.31930279270082</v>
      </c>
      <c r="H112" s="1" t="str">
        <f t="shared" si="10"/>
        <v xml:space="preserve"> June -2021</v>
      </c>
      <c r="I112" t="s">
        <v>13</v>
      </c>
      <c r="J112">
        <v>2021</v>
      </c>
      <c r="K112" s="1"/>
      <c r="L112" s="1"/>
      <c r="M112" s="1"/>
      <c r="N112" s="1"/>
    </row>
    <row r="113" spans="1:14" x14ac:dyDescent="0.25">
      <c r="A113" t="s">
        <v>17</v>
      </c>
      <c r="B113" s="2">
        <v>0</v>
      </c>
      <c r="C113" s="1">
        <f t="shared" ca="1" si="11"/>
        <v>254.885201693287</v>
      </c>
      <c r="D113" s="1">
        <f t="shared" ca="1" si="6"/>
        <v>400.62259136872711</v>
      </c>
      <c r="E113" s="1">
        <f t="shared" ca="1" si="7"/>
        <v>0</v>
      </c>
      <c r="F113" s="1">
        <f t="shared" ca="1" si="8"/>
        <v>73</v>
      </c>
      <c r="G113" s="1">
        <f t="shared" ca="1" si="9"/>
        <v>-254.885201693287</v>
      </c>
      <c r="H113" s="1" t="str">
        <f t="shared" si="10"/>
        <v xml:space="preserve"> June -2021</v>
      </c>
      <c r="I113" t="s">
        <v>13</v>
      </c>
      <c r="J113">
        <v>2021</v>
      </c>
      <c r="K113" s="1"/>
      <c r="L113" s="1"/>
      <c r="M113" s="1"/>
      <c r="N113" s="1"/>
    </row>
    <row r="114" spans="1:14" x14ac:dyDescent="0.25">
      <c r="A114" t="s">
        <v>16</v>
      </c>
      <c r="B114" s="2">
        <v>0</v>
      </c>
      <c r="C114" s="1">
        <f t="shared" ca="1" si="11"/>
        <v>261.58416611076905</v>
      </c>
      <c r="D114" s="1">
        <f t="shared" ca="1" si="6"/>
        <v>299.27714092523433</v>
      </c>
      <c r="E114" s="1">
        <f t="shared" ca="1" si="7"/>
        <v>0</v>
      </c>
      <c r="F114" s="1">
        <f t="shared" ca="1" si="8"/>
        <v>72</v>
      </c>
      <c r="G114" s="1">
        <f t="shared" ca="1" si="9"/>
        <v>-261.58416611076905</v>
      </c>
      <c r="H114" s="1" t="str">
        <f t="shared" si="10"/>
        <v xml:space="preserve"> October -2021</v>
      </c>
      <c r="I114" t="s">
        <v>22</v>
      </c>
      <c r="J114">
        <v>2021</v>
      </c>
      <c r="K114" s="1"/>
      <c r="L114" s="1"/>
      <c r="M114" s="1"/>
      <c r="N114" s="1"/>
    </row>
    <row r="115" spans="1:14" x14ac:dyDescent="0.25">
      <c r="A115" t="s">
        <v>17</v>
      </c>
      <c r="B115" s="2">
        <v>0</v>
      </c>
      <c r="C115" s="1">
        <f t="shared" ca="1" si="11"/>
        <v>267.68671422717529</v>
      </c>
      <c r="D115" s="1">
        <f t="shared" ca="1" si="6"/>
        <v>409.11521381230227</v>
      </c>
      <c r="E115" s="1">
        <f t="shared" ca="1" si="7"/>
        <v>0</v>
      </c>
      <c r="F115" s="1">
        <f t="shared" ca="1" si="8"/>
        <v>66</v>
      </c>
      <c r="G115" s="1">
        <f t="shared" ca="1" si="9"/>
        <v>-267.68671422717529</v>
      </c>
      <c r="H115" s="1" t="str">
        <f t="shared" si="10"/>
        <v xml:space="preserve"> October -2021</v>
      </c>
      <c r="I115" t="s">
        <v>22</v>
      </c>
      <c r="J115">
        <v>2021</v>
      </c>
      <c r="K115" s="1"/>
      <c r="L115" s="1"/>
      <c r="M115" s="1"/>
      <c r="N115" s="1"/>
    </row>
    <row r="116" spans="1:14" x14ac:dyDescent="0.25">
      <c r="A116" t="s">
        <v>17</v>
      </c>
      <c r="B116" s="2">
        <v>0</v>
      </c>
      <c r="C116" s="1">
        <f t="shared" ca="1" si="11"/>
        <v>262.5791514694061</v>
      </c>
      <c r="D116" s="1">
        <f t="shared" ca="1" si="6"/>
        <v>460.13256049942538</v>
      </c>
      <c r="E116" s="1">
        <f t="shared" ca="1" si="7"/>
        <v>0</v>
      </c>
      <c r="F116" s="1">
        <f t="shared" ca="1" si="8"/>
        <v>71</v>
      </c>
      <c r="G116" s="1">
        <f t="shared" ca="1" si="9"/>
        <v>-262.5791514694061</v>
      </c>
      <c r="H116" s="1" t="str">
        <f t="shared" si="10"/>
        <v xml:space="preserve"> October -2021</v>
      </c>
      <c r="I116" t="s">
        <v>22</v>
      </c>
      <c r="J116">
        <v>2021</v>
      </c>
      <c r="K116" s="1"/>
      <c r="L116" s="1"/>
      <c r="M116" s="1"/>
      <c r="N116" s="1"/>
    </row>
    <row r="117" spans="1:14" x14ac:dyDescent="0.25">
      <c r="A117" t="s">
        <v>16</v>
      </c>
      <c r="B117" s="2">
        <v>0</v>
      </c>
      <c r="C117" s="1">
        <f t="shared" ca="1" si="11"/>
        <v>247.0472156647798</v>
      </c>
      <c r="D117" s="1">
        <f t="shared" ca="1" si="6"/>
        <v>315.54768787513518</v>
      </c>
      <c r="E117" s="1">
        <f t="shared" ca="1" si="7"/>
        <v>0</v>
      </c>
      <c r="F117" s="1">
        <f t="shared" ca="1" si="8"/>
        <v>56</v>
      </c>
      <c r="G117" s="1">
        <f t="shared" ca="1" si="9"/>
        <v>-247.0472156647798</v>
      </c>
      <c r="H117" s="1" t="str">
        <f t="shared" si="10"/>
        <v xml:space="preserve"> November -2021</v>
      </c>
      <c r="I117" t="s">
        <v>24</v>
      </c>
      <c r="J117">
        <v>2021</v>
      </c>
      <c r="K117" s="1"/>
      <c r="L117" s="1"/>
      <c r="M117" s="1"/>
      <c r="N117" s="1"/>
    </row>
    <row r="118" spans="1:14" x14ac:dyDescent="0.25">
      <c r="A118" t="s">
        <v>19</v>
      </c>
      <c r="B118" s="2">
        <v>0</v>
      </c>
      <c r="C118" s="1">
        <f t="shared" ca="1" si="11"/>
        <v>235.92250581640903</v>
      </c>
      <c r="D118" s="1">
        <f t="shared" ca="1" si="6"/>
        <v>371.26501605232215</v>
      </c>
      <c r="E118" s="1">
        <f t="shared" ca="1" si="7"/>
        <v>0</v>
      </c>
      <c r="F118" s="1">
        <f t="shared" ca="1" si="8"/>
        <v>67</v>
      </c>
      <c r="G118" s="1">
        <f t="shared" ca="1" si="9"/>
        <v>-235.92250581640903</v>
      </c>
      <c r="H118" s="1" t="str">
        <f t="shared" si="10"/>
        <v xml:space="preserve"> December -2021</v>
      </c>
      <c r="I118" t="s">
        <v>14</v>
      </c>
      <c r="J118">
        <v>2021</v>
      </c>
      <c r="K118" s="1"/>
      <c r="L118" s="1"/>
      <c r="M118" s="1"/>
      <c r="N118" s="1"/>
    </row>
    <row r="119" spans="1:14" x14ac:dyDescent="0.25">
      <c r="A119" t="s">
        <v>10</v>
      </c>
      <c r="B119" s="2">
        <v>0</v>
      </c>
      <c r="C119" s="1">
        <f t="shared" ca="1" si="11"/>
        <v>293.38418161620643</v>
      </c>
      <c r="D119" s="1">
        <f t="shared" ca="1" si="6"/>
        <v>530.00227788773554</v>
      </c>
      <c r="E119" s="1">
        <f t="shared" ca="1" si="7"/>
        <v>0</v>
      </c>
      <c r="F119" s="1">
        <f t="shared" ca="1" si="8"/>
        <v>58</v>
      </c>
      <c r="G119" s="1">
        <f t="shared" ca="1" si="9"/>
        <v>-293.38418161620643</v>
      </c>
      <c r="H119" s="1" t="str">
        <f t="shared" si="10"/>
        <v xml:space="preserve"> December -2021</v>
      </c>
      <c r="I119" t="s">
        <v>14</v>
      </c>
      <c r="J119">
        <v>2021</v>
      </c>
      <c r="K119" s="1"/>
      <c r="L119" s="1"/>
      <c r="M119" s="1"/>
      <c r="N119" s="1"/>
    </row>
    <row r="120" spans="1:14" x14ac:dyDescent="0.25">
      <c r="A120" t="s">
        <v>17</v>
      </c>
      <c r="B120" s="2">
        <v>0</v>
      </c>
      <c r="C120" s="1">
        <f t="shared" ca="1" si="11"/>
        <v>283.59987435022873</v>
      </c>
      <c r="D120" s="1">
        <f t="shared" ca="1" si="6"/>
        <v>567.00238801989531</v>
      </c>
      <c r="E120" s="1">
        <f t="shared" ca="1" si="7"/>
        <v>0</v>
      </c>
      <c r="F120" s="1">
        <f t="shared" ca="1" si="8"/>
        <v>63</v>
      </c>
      <c r="G120" s="1">
        <f t="shared" ca="1" si="9"/>
        <v>-283.59987435022873</v>
      </c>
      <c r="H120" s="1" t="str">
        <f t="shared" si="10"/>
        <v xml:space="preserve"> December -2021</v>
      </c>
      <c r="I120" t="s">
        <v>14</v>
      </c>
      <c r="J120">
        <v>2021</v>
      </c>
      <c r="K120" s="1"/>
      <c r="L120" s="1"/>
      <c r="M120" s="1"/>
      <c r="N120" s="1"/>
    </row>
    <row r="121" spans="1:14" x14ac:dyDescent="0.25">
      <c r="A121" t="s">
        <v>12</v>
      </c>
      <c r="B121" s="2">
        <v>0</v>
      </c>
      <c r="C121" s="1">
        <f t="shared" ca="1" si="11"/>
        <v>296.32345884096162</v>
      </c>
      <c r="D121" s="1">
        <f t="shared" ca="1" si="6"/>
        <v>406.14715551394937</v>
      </c>
      <c r="E121" s="1">
        <f t="shared" ca="1" si="7"/>
        <v>0</v>
      </c>
      <c r="F121" s="1">
        <f t="shared" ca="1" si="8"/>
        <v>52</v>
      </c>
      <c r="G121" s="1">
        <f t="shared" ca="1" si="9"/>
        <v>-296.32345884096162</v>
      </c>
      <c r="H121" s="1" t="str">
        <f t="shared" si="10"/>
        <v xml:space="preserve"> December -2021</v>
      </c>
      <c r="I121" t="s">
        <v>14</v>
      </c>
      <c r="J121">
        <v>2021</v>
      </c>
      <c r="K121" s="1"/>
      <c r="L121" s="1"/>
      <c r="M121" s="1"/>
      <c r="N121" s="1"/>
    </row>
    <row r="122" spans="1:14" x14ac:dyDescent="0.25">
      <c r="A122" t="s">
        <v>10</v>
      </c>
      <c r="B122" s="2">
        <v>0</v>
      </c>
      <c r="C122" s="1">
        <f t="shared" ca="1" si="11"/>
        <v>216.64451462773877</v>
      </c>
      <c r="D122" s="1">
        <f t="shared" ca="1" si="6"/>
        <v>221.81578925176677</v>
      </c>
      <c r="E122" s="1">
        <f t="shared" ca="1" si="7"/>
        <v>0</v>
      </c>
      <c r="F122" s="1">
        <f t="shared" ca="1" si="8"/>
        <v>55</v>
      </c>
      <c r="G122" s="1">
        <f t="shared" ca="1" si="9"/>
        <v>-216.64451462773877</v>
      </c>
      <c r="H122" s="1" t="str">
        <f t="shared" si="10"/>
        <v xml:space="preserve"> December -2021</v>
      </c>
      <c r="I122" t="s">
        <v>14</v>
      </c>
      <c r="J122">
        <v>2021</v>
      </c>
      <c r="K122" s="1"/>
      <c r="L122" s="1"/>
      <c r="M122" s="1"/>
      <c r="N122" s="1"/>
    </row>
    <row r="123" spans="1:14" x14ac:dyDescent="0.25">
      <c r="A123" t="s">
        <v>16</v>
      </c>
      <c r="B123" s="2">
        <v>0</v>
      </c>
      <c r="C123" s="1">
        <f t="shared" ca="1" si="11"/>
        <v>261.25843764330983</v>
      </c>
      <c r="D123" s="1">
        <f t="shared" ca="1" si="6"/>
        <v>483.82914464976022</v>
      </c>
      <c r="E123" s="1">
        <f t="shared" ca="1" si="7"/>
        <v>0</v>
      </c>
      <c r="F123" s="1">
        <f t="shared" ca="1" si="8"/>
        <v>62</v>
      </c>
      <c r="G123" s="1">
        <f t="shared" ca="1" si="9"/>
        <v>-261.25843764330983</v>
      </c>
      <c r="H123" s="1" t="str">
        <f t="shared" si="10"/>
        <v xml:space="preserve"> December -2021</v>
      </c>
      <c r="I123" t="s">
        <v>14</v>
      </c>
      <c r="J123">
        <v>2021</v>
      </c>
      <c r="K123" s="1"/>
      <c r="L123" s="1"/>
      <c r="M123" s="1"/>
      <c r="N123" s="1"/>
    </row>
    <row r="124" spans="1:14" x14ac:dyDescent="0.25">
      <c r="A124" t="s">
        <v>16</v>
      </c>
      <c r="B124" s="2">
        <v>0</v>
      </c>
      <c r="C124" s="1">
        <f t="shared" ca="1" si="11"/>
        <v>273.13215584157791</v>
      </c>
      <c r="D124" s="1">
        <f t="shared" ca="1" si="6"/>
        <v>467.16939745777233</v>
      </c>
      <c r="E124" s="1">
        <f t="shared" ca="1" si="7"/>
        <v>0</v>
      </c>
      <c r="F124" s="1">
        <f t="shared" ca="1" si="8"/>
        <v>58</v>
      </c>
      <c r="G124" s="1">
        <f t="shared" ca="1" si="9"/>
        <v>-273.13215584157791</v>
      </c>
      <c r="H124" s="1" t="str">
        <f t="shared" si="10"/>
        <v xml:space="preserve"> December -2021</v>
      </c>
      <c r="I124" t="s">
        <v>14</v>
      </c>
      <c r="J124">
        <v>2021</v>
      </c>
      <c r="K124" s="1"/>
      <c r="L124" s="1"/>
      <c r="M124" s="1"/>
      <c r="N124" s="1"/>
    </row>
    <row r="125" spans="1:14" x14ac:dyDescent="0.25">
      <c r="A125" t="s">
        <v>10</v>
      </c>
      <c r="B125" s="2">
        <v>0</v>
      </c>
      <c r="C125" s="1">
        <f t="shared" ca="1" si="11"/>
        <v>229.79754172070693</v>
      </c>
      <c r="D125" s="1">
        <f t="shared" ca="1" si="6"/>
        <v>296.28073114269864</v>
      </c>
      <c r="E125" s="1">
        <f t="shared" ca="1" si="7"/>
        <v>0</v>
      </c>
      <c r="F125" s="1">
        <f t="shared" ca="1" si="8"/>
        <v>66</v>
      </c>
      <c r="G125" s="1">
        <f t="shared" ca="1" si="9"/>
        <v>-229.79754172070693</v>
      </c>
      <c r="H125" s="1" t="str">
        <f t="shared" si="10"/>
        <v xml:space="preserve"> October -2021</v>
      </c>
      <c r="I125" t="s">
        <v>22</v>
      </c>
      <c r="J125">
        <v>2021</v>
      </c>
      <c r="K125" s="1"/>
      <c r="L125" s="1"/>
      <c r="M125" s="1"/>
      <c r="N125" s="1"/>
    </row>
    <row r="126" spans="1:14" x14ac:dyDescent="0.25">
      <c r="A126" t="s">
        <v>10</v>
      </c>
      <c r="B126" s="2">
        <v>0</v>
      </c>
      <c r="C126" s="1">
        <f t="shared" ca="1" si="11"/>
        <v>271.46079336871844</v>
      </c>
      <c r="D126" s="1">
        <f t="shared" ca="1" si="6"/>
        <v>402.40590045722388</v>
      </c>
      <c r="E126" s="1">
        <f t="shared" ca="1" si="7"/>
        <v>0</v>
      </c>
      <c r="F126" s="1">
        <f t="shared" ca="1" si="8"/>
        <v>64</v>
      </c>
      <c r="G126" s="1">
        <f t="shared" ca="1" si="9"/>
        <v>-271.46079336871844</v>
      </c>
      <c r="H126" s="1" t="str">
        <f t="shared" si="10"/>
        <v xml:space="preserve"> October -2021</v>
      </c>
      <c r="I126" t="s">
        <v>22</v>
      </c>
      <c r="J126">
        <v>2021</v>
      </c>
      <c r="K126" s="1"/>
      <c r="L126" s="1"/>
      <c r="M126" s="1"/>
      <c r="N126" s="1"/>
    </row>
    <row r="127" spans="1:14" x14ac:dyDescent="0.25">
      <c r="A127" t="s">
        <v>10</v>
      </c>
      <c r="B127" s="2">
        <v>0</v>
      </c>
      <c r="C127" s="1">
        <f t="shared" ca="1" si="11"/>
        <v>275.53927989305924</v>
      </c>
      <c r="D127" s="1">
        <f t="shared" ca="1" si="6"/>
        <v>488.36110112341828</v>
      </c>
      <c r="E127" s="1">
        <f t="shared" ca="1" si="7"/>
        <v>0</v>
      </c>
      <c r="F127" s="1">
        <f t="shared" ca="1" si="8"/>
        <v>57</v>
      </c>
      <c r="G127" s="1">
        <f t="shared" ca="1" si="9"/>
        <v>-275.53927989305924</v>
      </c>
      <c r="H127" s="1" t="str">
        <f t="shared" si="10"/>
        <v xml:space="preserve"> October -2021</v>
      </c>
      <c r="I127" t="s">
        <v>22</v>
      </c>
      <c r="J127">
        <v>2021</v>
      </c>
      <c r="K127" s="1"/>
      <c r="L127" s="1"/>
      <c r="M127" s="1"/>
      <c r="N127" s="1"/>
    </row>
    <row r="128" spans="1:14" x14ac:dyDescent="0.25">
      <c r="A128" t="s">
        <v>17</v>
      </c>
      <c r="B128" s="2">
        <v>0</v>
      </c>
      <c r="C128" s="1">
        <f t="shared" ca="1" si="11"/>
        <v>235.48474667500881</v>
      </c>
      <c r="D128" s="1">
        <f t="shared" ca="1" si="6"/>
        <v>350.81745467753916</v>
      </c>
      <c r="E128" s="1">
        <f t="shared" ca="1" si="7"/>
        <v>0</v>
      </c>
      <c r="F128" s="1">
        <f t="shared" ca="1" si="8"/>
        <v>68</v>
      </c>
      <c r="G128" s="1">
        <f t="shared" ca="1" si="9"/>
        <v>-235.48474667500881</v>
      </c>
      <c r="H128" s="1" t="str">
        <f t="shared" si="10"/>
        <v xml:space="preserve"> October -2021</v>
      </c>
      <c r="I128" t="s">
        <v>22</v>
      </c>
      <c r="J128">
        <v>2021</v>
      </c>
      <c r="K128" s="1"/>
      <c r="L128" s="1"/>
      <c r="M128" s="1"/>
      <c r="N128" s="1"/>
    </row>
    <row r="129" spans="1:14" x14ac:dyDescent="0.25">
      <c r="A129" t="s">
        <v>17</v>
      </c>
      <c r="B129" s="2">
        <v>0</v>
      </c>
      <c r="C129" s="1">
        <f t="shared" ca="1" si="11"/>
        <v>228.51949407145457</v>
      </c>
      <c r="D129" s="1">
        <f t="shared" ca="1" si="6"/>
        <v>349.16024608349574</v>
      </c>
      <c r="E129" s="1">
        <f t="shared" ca="1" si="7"/>
        <v>0</v>
      </c>
      <c r="F129" s="1">
        <f t="shared" ca="1" si="8"/>
        <v>74</v>
      </c>
      <c r="G129" s="1">
        <f t="shared" ca="1" si="9"/>
        <v>-228.51949407145457</v>
      </c>
      <c r="H129" s="1" t="str">
        <f t="shared" si="10"/>
        <v xml:space="preserve"> October -2021</v>
      </c>
      <c r="I129" t="s">
        <v>22</v>
      </c>
      <c r="J129">
        <v>2021</v>
      </c>
      <c r="K129" s="1"/>
      <c r="L129" s="1"/>
      <c r="M129" s="1"/>
      <c r="N129" s="1"/>
    </row>
    <row r="130" spans="1:14" x14ac:dyDescent="0.25">
      <c r="A130" t="s">
        <v>16</v>
      </c>
      <c r="B130" s="2">
        <v>0</v>
      </c>
      <c r="C130" s="1">
        <f t="shared" ca="1" si="11"/>
        <v>213.38823571711438</v>
      </c>
      <c r="D130" s="1">
        <f t="shared" ca="1" si="6"/>
        <v>396.0391345773528</v>
      </c>
      <c r="E130" s="1">
        <f t="shared" ca="1" si="7"/>
        <v>0</v>
      </c>
      <c r="F130" s="1">
        <f t="shared" ca="1" si="8"/>
        <v>56</v>
      </c>
      <c r="G130" s="1">
        <f t="shared" ca="1" si="9"/>
        <v>-213.38823571711438</v>
      </c>
      <c r="H130" s="1" t="str">
        <f t="shared" si="10"/>
        <v xml:space="preserve"> December -2021</v>
      </c>
      <c r="I130" t="s">
        <v>14</v>
      </c>
      <c r="J130">
        <v>2021</v>
      </c>
      <c r="K130" s="1"/>
      <c r="L130" s="1"/>
      <c r="M130" s="1"/>
      <c r="N130" s="1"/>
    </row>
    <row r="131" spans="1:14" x14ac:dyDescent="0.25">
      <c r="A131" t="s">
        <v>10</v>
      </c>
      <c r="B131" s="2">
        <v>0</v>
      </c>
      <c r="C131" s="1">
        <f t="shared" ca="1" si="11"/>
        <v>225.3411565278802</v>
      </c>
      <c r="D131" s="1">
        <f t="shared" ref="D131:D194" ca="1" si="12">C131*RAND()*1+4+C131</f>
        <v>429.93289266716511</v>
      </c>
      <c r="E131" s="1">
        <f t="shared" ref="E131:E194" ca="1" si="13">B131*D131</f>
        <v>0</v>
      </c>
      <c r="F131" s="1">
        <f t="shared" ref="F131:F194" ca="1" si="14">RANDBETWEEN(50,75)</f>
        <v>64</v>
      </c>
      <c r="G131" s="1">
        <f t="shared" ref="G131:G194" ca="1" si="15">(E131)-(F131*B131)-C131</f>
        <v>-225.3411565278802</v>
      </c>
      <c r="H131" s="1" t="str">
        <f t="shared" ref="H131:H194" si="16">I131 &amp;"-"&amp;J131</f>
        <v xml:space="preserve"> December -2021</v>
      </c>
      <c r="I131" t="s">
        <v>14</v>
      </c>
      <c r="J131">
        <v>2021</v>
      </c>
      <c r="K131" s="1"/>
      <c r="L131" s="1"/>
      <c r="M131" s="1"/>
      <c r="N131" s="1"/>
    </row>
    <row r="132" spans="1:14" x14ac:dyDescent="0.25">
      <c r="A132" t="s">
        <v>16</v>
      </c>
      <c r="B132" s="2">
        <v>0</v>
      </c>
      <c r="C132" s="1">
        <f t="shared" ref="C132:C195" ca="1" si="17">RAND()*100+200</f>
        <v>295.63426681391121</v>
      </c>
      <c r="D132" s="1">
        <f t="shared" ca="1" si="12"/>
        <v>320.3330602196184</v>
      </c>
      <c r="E132" s="1">
        <f t="shared" ca="1" si="13"/>
        <v>0</v>
      </c>
      <c r="F132" s="1">
        <f t="shared" ca="1" si="14"/>
        <v>68</v>
      </c>
      <c r="G132" s="1">
        <f t="shared" ca="1" si="15"/>
        <v>-295.63426681391121</v>
      </c>
      <c r="H132" s="1" t="str">
        <f t="shared" si="16"/>
        <v xml:space="preserve"> December -2021</v>
      </c>
      <c r="I132" t="s">
        <v>14</v>
      </c>
      <c r="J132">
        <v>2021</v>
      </c>
      <c r="K132" s="1"/>
      <c r="L132" s="1"/>
      <c r="M132" s="1"/>
      <c r="N132" s="1"/>
    </row>
    <row r="133" spans="1:14" x14ac:dyDescent="0.25">
      <c r="A133" t="s">
        <v>17</v>
      </c>
      <c r="B133" s="2">
        <v>0</v>
      </c>
      <c r="C133" s="1">
        <f t="shared" ca="1" si="17"/>
        <v>258.05407247962683</v>
      </c>
      <c r="D133" s="1">
        <f t="shared" ca="1" si="12"/>
        <v>430.94081936805384</v>
      </c>
      <c r="E133" s="1">
        <f t="shared" ca="1" si="13"/>
        <v>0</v>
      </c>
      <c r="F133" s="1">
        <f t="shared" ca="1" si="14"/>
        <v>57</v>
      </c>
      <c r="G133" s="1">
        <f t="shared" ca="1" si="15"/>
        <v>-258.05407247962683</v>
      </c>
      <c r="H133" s="1" t="str">
        <f t="shared" si="16"/>
        <v xml:space="preserve"> June -2021</v>
      </c>
      <c r="I133" t="s">
        <v>13</v>
      </c>
      <c r="J133">
        <v>2021</v>
      </c>
      <c r="K133" s="1"/>
      <c r="L133" s="1"/>
      <c r="M133" s="1"/>
      <c r="N133" s="1"/>
    </row>
    <row r="134" spans="1:14" x14ac:dyDescent="0.25">
      <c r="A134" t="s">
        <v>19</v>
      </c>
      <c r="B134" s="2">
        <v>0</v>
      </c>
      <c r="C134" s="1">
        <f t="shared" ca="1" si="17"/>
        <v>255.1943500532023</v>
      </c>
      <c r="D134" s="1">
        <f t="shared" ca="1" si="12"/>
        <v>345.86976185247454</v>
      </c>
      <c r="E134" s="1">
        <f t="shared" ca="1" si="13"/>
        <v>0</v>
      </c>
      <c r="F134" s="1">
        <f t="shared" ca="1" si="14"/>
        <v>51</v>
      </c>
      <c r="G134" s="1">
        <f t="shared" ca="1" si="15"/>
        <v>-255.1943500532023</v>
      </c>
      <c r="H134" s="1" t="str">
        <f t="shared" si="16"/>
        <v xml:space="preserve"> October -2021</v>
      </c>
      <c r="I134" t="s">
        <v>22</v>
      </c>
      <c r="J134">
        <v>2021</v>
      </c>
      <c r="K134" s="1"/>
      <c r="L134" s="1"/>
      <c r="M134" s="1"/>
      <c r="N134" s="1"/>
    </row>
    <row r="135" spans="1:14" x14ac:dyDescent="0.25">
      <c r="A135" t="s">
        <v>10</v>
      </c>
      <c r="B135" s="2">
        <v>0</v>
      </c>
      <c r="C135" s="1">
        <f t="shared" ca="1" si="17"/>
        <v>266.98398833039045</v>
      </c>
      <c r="D135" s="1">
        <f t="shared" ca="1" si="12"/>
        <v>299.44794506399944</v>
      </c>
      <c r="E135" s="1">
        <f t="shared" ca="1" si="13"/>
        <v>0</v>
      </c>
      <c r="F135" s="1">
        <f t="shared" ca="1" si="14"/>
        <v>70</v>
      </c>
      <c r="G135" s="1">
        <f t="shared" ca="1" si="15"/>
        <v>-266.98398833039045</v>
      </c>
      <c r="H135" s="1" t="str">
        <f t="shared" si="16"/>
        <v xml:space="preserve"> October -2021</v>
      </c>
      <c r="I135" t="s">
        <v>22</v>
      </c>
      <c r="J135">
        <v>2021</v>
      </c>
      <c r="K135" s="1"/>
      <c r="L135" s="1"/>
      <c r="M135" s="1"/>
      <c r="N135" s="1"/>
    </row>
    <row r="136" spans="1:14" x14ac:dyDescent="0.25">
      <c r="A136" t="s">
        <v>17</v>
      </c>
      <c r="B136" s="2">
        <v>0</v>
      </c>
      <c r="C136" s="1">
        <f t="shared" ca="1" si="17"/>
        <v>215.3981795587994</v>
      </c>
      <c r="D136" s="1">
        <f t="shared" ca="1" si="12"/>
        <v>230.87286172783942</v>
      </c>
      <c r="E136" s="1">
        <f t="shared" ca="1" si="13"/>
        <v>0</v>
      </c>
      <c r="F136" s="1">
        <f t="shared" ca="1" si="14"/>
        <v>50</v>
      </c>
      <c r="G136" s="1">
        <f t="shared" ca="1" si="15"/>
        <v>-215.3981795587994</v>
      </c>
      <c r="H136" s="1" t="str">
        <f t="shared" si="16"/>
        <v xml:space="preserve"> December -2021</v>
      </c>
      <c r="I136" t="s">
        <v>14</v>
      </c>
      <c r="J136">
        <v>2021</v>
      </c>
      <c r="K136" s="1"/>
      <c r="L136" s="1"/>
      <c r="M136" s="1"/>
      <c r="N136" s="1"/>
    </row>
    <row r="137" spans="1:14" x14ac:dyDescent="0.25">
      <c r="A137" t="s">
        <v>10</v>
      </c>
      <c r="B137" s="2">
        <v>0</v>
      </c>
      <c r="C137" s="1">
        <f t="shared" ca="1" si="17"/>
        <v>204.63116607631909</v>
      </c>
      <c r="D137" s="1">
        <f t="shared" ca="1" si="12"/>
        <v>357.51919546802873</v>
      </c>
      <c r="E137" s="1">
        <f t="shared" ca="1" si="13"/>
        <v>0</v>
      </c>
      <c r="F137" s="1">
        <f t="shared" ca="1" si="14"/>
        <v>54</v>
      </c>
      <c r="G137" s="1">
        <f t="shared" ca="1" si="15"/>
        <v>-204.63116607631909</v>
      </c>
      <c r="H137" s="1" t="str">
        <f t="shared" si="16"/>
        <v xml:space="preserve"> December -2021</v>
      </c>
      <c r="I137" t="s">
        <v>14</v>
      </c>
      <c r="J137">
        <v>2021</v>
      </c>
      <c r="K137" s="1"/>
      <c r="L137" s="1"/>
      <c r="M137" s="1"/>
      <c r="N137" s="1"/>
    </row>
    <row r="138" spans="1:14" x14ac:dyDescent="0.25">
      <c r="A138" t="s">
        <v>10</v>
      </c>
      <c r="B138" s="2">
        <v>0</v>
      </c>
      <c r="C138" s="1">
        <f t="shared" ca="1" si="17"/>
        <v>241.46325336467862</v>
      </c>
      <c r="D138" s="1">
        <f t="shared" ca="1" si="12"/>
        <v>437.97789904666479</v>
      </c>
      <c r="E138" s="1">
        <f t="shared" ca="1" si="13"/>
        <v>0</v>
      </c>
      <c r="F138" s="1">
        <f t="shared" ca="1" si="14"/>
        <v>63</v>
      </c>
      <c r="G138" s="1">
        <f t="shared" ca="1" si="15"/>
        <v>-241.46325336467862</v>
      </c>
      <c r="H138" s="1" t="str">
        <f t="shared" si="16"/>
        <v xml:space="preserve"> December -2021</v>
      </c>
      <c r="I138" t="s">
        <v>14</v>
      </c>
      <c r="J138">
        <v>2021</v>
      </c>
      <c r="K138" s="1"/>
      <c r="L138" s="1"/>
      <c r="M138" s="1"/>
      <c r="N138" s="1"/>
    </row>
    <row r="139" spans="1:14" x14ac:dyDescent="0.25">
      <c r="A139" t="s">
        <v>19</v>
      </c>
      <c r="B139" s="2">
        <v>0</v>
      </c>
      <c r="C139" s="1">
        <f t="shared" ca="1" si="17"/>
        <v>285.30739456656272</v>
      </c>
      <c r="D139" s="1">
        <f t="shared" ca="1" si="12"/>
        <v>381.31240539112531</v>
      </c>
      <c r="E139" s="1">
        <f t="shared" ca="1" si="13"/>
        <v>0</v>
      </c>
      <c r="F139" s="1">
        <f t="shared" ca="1" si="14"/>
        <v>65</v>
      </c>
      <c r="G139" s="1">
        <f t="shared" ca="1" si="15"/>
        <v>-285.30739456656272</v>
      </c>
      <c r="H139" s="1" t="str">
        <f t="shared" si="16"/>
        <v xml:space="preserve"> March -2021</v>
      </c>
      <c r="I139" t="s">
        <v>15</v>
      </c>
      <c r="J139">
        <v>2021</v>
      </c>
      <c r="K139" s="1"/>
      <c r="L139" s="1"/>
      <c r="M139" s="1"/>
      <c r="N139" s="1"/>
    </row>
    <row r="140" spans="1:14" x14ac:dyDescent="0.25">
      <c r="A140" t="s">
        <v>19</v>
      </c>
      <c r="B140" s="2">
        <v>0</v>
      </c>
      <c r="C140" s="1">
        <f t="shared" ca="1" si="17"/>
        <v>208.61454848836166</v>
      </c>
      <c r="D140" s="1">
        <f t="shared" ca="1" si="12"/>
        <v>247.75975252782621</v>
      </c>
      <c r="E140" s="1">
        <f t="shared" ca="1" si="13"/>
        <v>0</v>
      </c>
      <c r="F140" s="1">
        <f t="shared" ca="1" si="14"/>
        <v>58</v>
      </c>
      <c r="G140" s="1">
        <f t="shared" ca="1" si="15"/>
        <v>-208.61454848836166</v>
      </c>
      <c r="H140" s="1" t="str">
        <f t="shared" si="16"/>
        <v xml:space="preserve"> March -2021</v>
      </c>
      <c r="I140" t="s">
        <v>15</v>
      </c>
      <c r="J140">
        <v>2021</v>
      </c>
      <c r="K140" s="1"/>
      <c r="L140" s="1"/>
      <c r="M140" s="1"/>
      <c r="N140" s="1"/>
    </row>
    <row r="141" spans="1:14" x14ac:dyDescent="0.25">
      <c r="A141" t="s">
        <v>17</v>
      </c>
      <c r="B141" s="2">
        <v>0</v>
      </c>
      <c r="C141" s="1">
        <f t="shared" ca="1" si="17"/>
        <v>260.19149721804132</v>
      </c>
      <c r="D141" s="1">
        <f t="shared" ca="1" si="12"/>
        <v>492.04123167416037</v>
      </c>
      <c r="E141" s="1">
        <f t="shared" ca="1" si="13"/>
        <v>0</v>
      </c>
      <c r="F141" s="1">
        <f t="shared" ca="1" si="14"/>
        <v>74</v>
      </c>
      <c r="G141" s="1">
        <f t="shared" ca="1" si="15"/>
        <v>-260.19149721804132</v>
      </c>
      <c r="H141" s="1" t="str">
        <f t="shared" si="16"/>
        <v xml:space="preserve"> May -2021</v>
      </c>
      <c r="I141" t="s">
        <v>26</v>
      </c>
      <c r="J141">
        <v>2021</v>
      </c>
      <c r="K141" s="1"/>
      <c r="L141" s="1"/>
      <c r="M141" s="1"/>
      <c r="N141" s="1"/>
    </row>
    <row r="142" spans="1:14" x14ac:dyDescent="0.25">
      <c r="A142" t="s">
        <v>10</v>
      </c>
      <c r="B142" s="2">
        <v>0</v>
      </c>
      <c r="C142" s="1">
        <f t="shared" ca="1" si="17"/>
        <v>249.04202538290662</v>
      </c>
      <c r="D142" s="1">
        <f t="shared" ca="1" si="12"/>
        <v>437.20870420029439</v>
      </c>
      <c r="E142" s="1">
        <f t="shared" ca="1" si="13"/>
        <v>0</v>
      </c>
      <c r="F142" s="1">
        <f t="shared" ca="1" si="14"/>
        <v>70</v>
      </c>
      <c r="G142" s="1">
        <f t="shared" ca="1" si="15"/>
        <v>-249.04202538290662</v>
      </c>
      <c r="H142" s="1" t="str">
        <f t="shared" si="16"/>
        <v xml:space="preserve"> October -2021</v>
      </c>
      <c r="I142" t="s">
        <v>22</v>
      </c>
      <c r="J142">
        <v>2021</v>
      </c>
      <c r="K142" s="1"/>
      <c r="L142" s="1"/>
      <c r="M142" s="1"/>
      <c r="N142" s="1"/>
    </row>
    <row r="143" spans="1:14" x14ac:dyDescent="0.25">
      <c r="A143" t="s">
        <v>10</v>
      </c>
      <c r="B143" s="2">
        <v>0</v>
      </c>
      <c r="C143" s="1">
        <f t="shared" ca="1" si="17"/>
        <v>270.47240501262672</v>
      </c>
      <c r="D143" s="1">
        <f t="shared" ca="1" si="12"/>
        <v>514.83717193219331</v>
      </c>
      <c r="E143" s="1">
        <f t="shared" ca="1" si="13"/>
        <v>0</v>
      </c>
      <c r="F143" s="1">
        <f t="shared" ca="1" si="14"/>
        <v>54</v>
      </c>
      <c r="G143" s="1">
        <f t="shared" ca="1" si="15"/>
        <v>-270.47240501262672</v>
      </c>
      <c r="H143" s="1" t="str">
        <f t="shared" si="16"/>
        <v xml:space="preserve"> November -2021</v>
      </c>
      <c r="I143" t="s">
        <v>24</v>
      </c>
      <c r="J143">
        <v>2021</v>
      </c>
      <c r="K143" s="1"/>
      <c r="L143" s="1"/>
      <c r="M143" s="1"/>
      <c r="N143" s="1"/>
    </row>
    <row r="144" spans="1:14" x14ac:dyDescent="0.25">
      <c r="A144" t="s">
        <v>10</v>
      </c>
      <c r="B144" s="2">
        <v>0</v>
      </c>
      <c r="C144" s="1">
        <f t="shared" ca="1" si="17"/>
        <v>215.36835878559623</v>
      </c>
      <c r="D144" s="1">
        <f t="shared" ca="1" si="12"/>
        <v>274.10269051764953</v>
      </c>
      <c r="E144" s="1">
        <f t="shared" ca="1" si="13"/>
        <v>0</v>
      </c>
      <c r="F144" s="1">
        <f t="shared" ca="1" si="14"/>
        <v>66</v>
      </c>
      <c r="G144" s="1">
        <f t="shared" ca="1" si="15"/>
        <v>-215.36835878559623</v>
      </c>
      <c r="H144" s="1" t="str">
        <f t="shared" si="16"/>
        <v xml:space="preserve"> November -2021</v>
      </c>
      <c r="I144" t="s">
        <v>24</v>
      </c>
      <c r="J144">
        <v>2021</v>
      </c>
      <c r="K144" s="1"/>
      <c r="L144" s="1"/>
      <c r="M144" s="1"/>
      <c r="N144" s="1"/>
    </row>
    <row r="145" spans="1:14" x14ac:dyDescent="0.25">
      <c r="A145" t="s">
        <v>19</v>
      </c>
      <c r="B145" s="2">
        <v>0</v>
      </c>
      <c r="C145" s="1">
        <f t="shared" ca="1" si="17"/>
        <v>233.43566262440532</v>
      </c>
      <c r="D145" s="1">
        <f t="shared" ca="1" si="12"/>
        <v>369.52301585351449</v>
      </c>
      <c r="E145" s="1">
        <f t="shared" ca="1" si="13"/>
        <v>0</v>
      </c>
      <c r="F145" s="1">
        <f t="shared" ca="1" si="14"/>
        <v>65</v>
      </c>
      <c r="G145" s="1">
        <f t="shared" ca="1" si="15"/>
        <v>-233.43566262440532</v>
      </c>
      <c r="H145" s="1" t="str">
        <f t="shared" si="16"/>
        <v xml:space="preserve"> December -2021</v>
      </c>
      <c r="I145" t="s">
        <v>14</v>
      </c>
      <c r="J145">
        <v>2021</v>
      </c>
      <c r="K145" s="1"/>
      <c r="L145" s="1"/>
      <c r="M145" s="1"/>
      <c r="N145" s="1"/>
    </row>
    <row r="146" spans="1:14" x14ac:dyDescent="0.25">
      <c r="A146" t="s">
        <v>17</v>
      </c>
      <c r="B146" s="2">
        <v>0</v>
      </c>
      <c r="C146" s="1">
        <f t="shared" ca="1" si="17"/>
        <v>210.67340997549766</v>
      </c>
      <c r="D146" s="1">
        <f t="shared" ca="1" si="12"/>
        <v>283.77893822315804</v>
      </c>
      <c r="E146" s="1">
        <f t="shared" ca="1" si="13"/>
        <v>0</v>
      </c>
      <c r="F146" s="1">
        <f t="shared" ca="1" si="14"/>
        <v>56</v>
      </c>
      <c r="G146" s="1">
        <f t="shared" ca="1" si="15"/>
        <v>-210.67340997549766</v>
      </c>
      <c r="H146" s="1" t="str">
        <f t="shared" si="16"/>
        <v xml:space="preserve"> April -2021</v>
      </c>
      <c r="I146" t="s">
        <v>25</v>
      </c>
      <c r="J146">
        <v>2021</v>
      </c>
      <c r="K146" s="1"/>
      <c r="L146" s="1"/>
      <c r="M146" s="1"/>
      <c r="N146" s="1"/>
    </row>
    <row r="147" spans="1:14" x14ac:dyDescent="0.25">
      <c r="A147" t="s">
        <v>10</v>
      </c>
      <c r="B147" s="2">
        <v>0</v>
      </c>
      <c r="C147" s="1">
        <f t="shared" ca="1" si="17"/>
        <v>251.42944337960293</v>
      </c>
      <c r="D147" s="1">
        <f t="shared" ca="1" si="12"/>
        <v>335.53523791337778</v>
      </c>
      <c r="E147" s="1">
        <f t="shared" ca="1" si="13"/>
        <v>0</v>
      </c>
      <c r="F147" s="1">
        <f t="shared" ca="1" si="14"/>
        <v>59</v>
      </c>
      <c r="G147" s="1">
        <f t="shared" ca="1" si="15"/>
        <v>-251.42944337960293</v>
      </c>
      <c r="H147" s="1" t="str">
        <f t="shared" si="16"/>
        <v xml:space="preserve"> April -2021</v>
      </c>
      <c r="I147" t="s">
        <v>25</v>
      </c>
      <c r="J147">
        <v>2021</v>
      </c>
      <c r="K147" s="1"/>
      <c r="L147" s="1"/>
      <c r="M147" s="1"/>
      <c r="N147" s="1"/>
    </row>
    <row r="148" spans="1:14" x14ac:dyDescent="0.25">
      <c r="A148" t="s">
        <v>19</v>
      </c>
      <c r="B148" s="2">
        <v>0</v>
      </c>
      <c r="C148" s="1">
        <f t="shared" ca="1" si="17"/>
        <v>289.94867346259946</v>
      </c>
      <c r="D148" s="1">
        <f t="shared" ca="1" si="12"/>
        <v>391.78466096814253</v>
      </c>
      <c r="E148" s="1">
        <f t="shared" ca="1" si="13"/>
        <v>0</v>
      </c>
      <c r="F148" s="1">
        <f t="shared" ca="1" si="14"/>
        <v>68</v>
      </c>
      <c r="G148" s="1">
        <f t="shared" ca="1" si="15"/>
        <v>-289.94867346259946</v>
      </c>
      <c r="H148" s="1" t="str">
        <f t="shared" si="16"/>
        <v xml:space="preserve"> June -2021</v>
      </c>
      <c r="I148" t="s">
        <v>13</v>
      </c>
      <c r="J148">
        <v>2021</v>
      </c>
      <c r="K148" s="1"/>
      <c r="L148" s="1"/>
      <c r="M148" s="1"/>
      <c r="N148" s="1"/>
    </row>
    <row r="149" spans="1:14" x14ac:dyDescent="0.25">
      <c r="A149" t="s">
        <v>16</v>
      </c>
      <c r="B149" s="2">
        <v>0</v>
      </c>
      <c r="C149" s="1">
        <f t="shared" ca="1" si="17"/>
        <v>216.40176988124722</v>
      </c>
      <c r="D149" s="1">
        <f t="shared" ca="1" si="12"/>
        <v>229.5486282769628</v>
      </c>
      <c r="E149" s="1">
        <f t="shared" ca="1" si="13"/>
        <v>0</v>
      </c>
      <c r="F149" s="1">
        <f t="shared" ca="1" si="14"/>
        <v>56</v>
      </c>
      <c r="G149" s="1">
        <f t="shared" ca="1" si="15"/>
        <v>-216.40176988124722</v>
      </c>
      <c r="H149" s="1" t="str">
        <f t="shared" si="16"/>
        <v xml:space="preserve"> September -2021</v>
      </c>
      <c r="I149" t="s">
        <v>21</v>
      </c>
      <c r="J149">
        <v>2021</v>
      </c>
      <c r="K149" s="1"/>
      <c r="L149" s="1"/>
      <c r="M149" s="1"/>
      <c r="N149" s="1"/>
    </row>
    <row r="150" spans="1:14" x14ac:dyDescent="0.25">
      <c r="A150" t="s">
        <v>16</v>
      </c>
      <c r="B150" s="2">
        <v>0</v>
      </c>
      <c r="C150" s="1">
        <f t="shared" ca="1" si="17"/>
        <v>214.79353067628344</v>
      </c>
      <c r="D150" s="1">
        <f t="shared" ca="1" si="12"/>
        <v>433.5396714731333</v>
      </c>
      <c r="E150" s="1">
        <f t="shared" ca="1" si="13"/>
        <v>0</v>
      </c>
      <c r="F150" s="1">
        <f t="shared" ca="1" si="14"/>
        <v>59</v>
      </c>
      <c r="G150" s="1">
        <f t="shared" ca="1" si="15"/>
        <v>-214.79353067628344</v>
      </c>
      <c r="H150" s="1" t="str">
        <f t="shared" si="16"/>
        <v xml:space="preserve"> December -2021</v>
      </c>
      <c r="I150" t="s">
        <v>14</v>
      </c>
      <c r="J150">
        <v>2021</v>
      </c>
      <c r="K150" s="1"/>
      <c r="L150" s="1"/>
      <c r="M150" s="1"/>
      <c r="N150" s="1"/>
    </row>
    <row r="151" spans="1:14" x14ac:dyDescent="0.25">
      <c r="A151" t="s">
        <v>10</v>
      </c>
      <c r="B151" s="2">
        <v>0</v>
      </c>
      <c r="C151" s="1">
        <f t="shared" ca="1" si="17"/>
        <v>219.18719434124222</v>
      </c>
      <c r="D151" s="1">
        <f t="shared" ca="1" si="12"/>
        <v>343.12433739613755</v>
      </c>
      <c r="E151" s="1">
        <f t="shared" ca="1" si="13"/>
        <v>0</v>
      </c>
      <c r="F151" s="1">
        <f t="shared" ca="1" si="14"/>
        <v>60</v>
      </c>
      <c r="G151" s="1">
        <f t="shared" ca="1" si="15"/>
        <v>-219.18719434124222</v>
      </c>
      <c r="H151" s="1" t="str">
        <f t="shared" si="16"/>
        <v xml:space="preserve"> February -2021</v>
      </c>
      <c r="I151" t="s">
        <v>23</v>
      </c>
      <c r="J151">
        <v>2021</v>
      </c>
      <c r="K151" s="1"/>
      <c r="L151" s="1"/>
      <c r="M151" s="1"/>
      <c r="N151" s="1"/>
    </row>
    <row r="152" spans="1:14" x14ac:dyDescent="0.25">
      <c r="A152" t="s">
        <v>16</v>
      </c>
      <c r="B152" s="2">
        <v>0</v>
      </c>
      <c r="C152" s="1">
        <f t="shared" ca="1" si="17"/>
        <v>222.1801372602655</v>
      </c>
      <c r="D152" s="1">
        <f t="shared" ca="1" si="12"/>
        <v>271.01781995197115</v>
      </c>
      <c r="E152" s="1">
        <f t="shared" ca="1" si="13"/>
        <v>0</v>
      </c>
      <c r="F152" s="1">
        <f t="shared" ca="1" si="14"/>
        <v>61</v>
      </c>
      <c r="G152" s="1">
        <f t="shared" ca="1" si="15"/>
        <v>-222.1801372602655</v>
      </c>
      <c r="H152" s="1" t="str">
        <f t="shared" si="16"/>
        <v xml:space="preserve"> June -2021</v>
      </c>
      <c r="I152" t="s">
        <v>13</v>
      </c>
      <c r="J152">
        <v>2021</v>
      </c>
      <c r="K152" s="1"/>
      <c r="L152" s="1"/>
      <c r="M152" s="1"/>
      <c r="N152" s="1"/>
    </row>
    <row r="153" spans="1:14" x14ac:dyDescent="0.25">
      <c r="A153" t="s">
        <v>10</v>
      </c>
      <c r="B153" s="2">
        <v>0</v>
      </c>
      <c r="C153" s="1">
        <f t="shared" ca="1" si="17"/>
        <v>254.89628900749011</v>
      </c>
      <c r="D153" s="1">
        <f t="shared" ca="1" si="12"/>
        <v>498.69157545637313</v>
      </c>
      <c r="E153" s="1">
        <f t="shared" ca="1" si="13"/>
        <v>0</v>
      </c>
      <c r="F153" s="1">
        <f t="shared" ca="1" si="14"/>
        <v>59</v>
      </c>
      <c r="G153" s="1">
        <f t="shared" ca="1" si="15"/>
        <v>-254.89628900749011</v>
      </c>
      <c r="H153" s="1" t="str">
        <f t="shared" si="16"/>
        <v xml:space="preserve"> September -2021</v>
      </c>
      <c r="I153" t="s">
        <v>21</v>
      </c>
      <c r="J153">
        <v>2021</v>
      </c>
      <c r="K153" s="1"/>
      <c r="L153" s="1"/>
      <c r="M153" s="1"/>
      <c r="N153" s="1"/>
    </row>
    <row r="154" spans="1:14" x14ac:dyDescent="0.25">
      <c r="A154" t="s">
        <v>10</v>
      </c>
      <c r="B154" s="2">
        <v>0</v>
      </c>
      <c r="C154" s="1">
        <f t="shared" ca="1" si="17"/>
        <v>201.0284209420972</v>
      </c>
      <c r="D154" s="1">
        <f t="shared" ca="1" si="12"/>
        <v>328.91104727928035</v>
      </c>
      <c r="E154" s="1">
        <f t="shared" ca="1" si="13"/>
        <v>0</v>
      </c>
      <c r="F154" s="1">
        <f t="shared" ca="1" si="14"/>
        <v>64</v>
      </c>
      <c r="G154" s="1">
        <f t="shared" ca="1" si="15"/>
        <v>-201.0284209420972</v>
      </c>
      <c r="H154" s="1" t="str">
        <f t="shared" si="16"/>
        <v xml:space="preserve"> September -2021</v>
      </c>
      <c r="I154" t="s">
        <v>21</v>
      </c>
      <c r="J154">
        <v>2021</v>
      </c>
      <c r="K154" s="1"/>
      <c r="L154" s="1"/>
      <c r="M154" s="1"/>
      <c r="N154" s="1"/>
    </row>
    <row r="155" spans="1:14" x14ac:dyDescent="0.25">
      <c r="A155" t="s">
        <v>17</v>
      </c>
      <c r="B155" s="2">
        <v>0</v>
      </c>
      <c r="C155" s="1">
        <f t="shared" ca="1" si="17"/>
        <v>234.61924057444685</v>
      </c>
      <c r="D155" s="1">
        <f t="shared" ca="1" si="12"/>
        <v>283.22575438330688</v>
      </c>
      <c r="E155" s="1">
        <f t="shared" ca="1" si="13"/>
        <v>0</v>
      </c>
      <c r="F155" s="1">
        <f t="shared" ca="1" si="14"/>
        <v>67</v>
      </c>
      <c r="G155" s="1">
        <f t="shared" ca="1" si="15"/>
        <v>-234.61924057444685</v>
      </c>
      <c r="H155" s="1" t="str">
        <f t="shared" si="16"/>
        <v xml:space="preserve"> December -2021</v>
      </c>
      <c r="I155" t="s">
        <v>14</v>
      </c>
      <c r="J155">
        <v>2021</v>
      </c>
      <c r="K155" s="1"/>
      <c r="L155" s="1"/>
      <c r="M155" s="1"/>
      <c r="N155" s="1"/>
    </row>
    <row r="156" spans="1:14" x14ac:dyDescent="0.25">
      <c r="A156" t="s">
        <v>17</v>
      </c>
      <c r="B156" s="2">
        <v>0</v>
      </c>
      <c r="C156" s="1">
        <f t="shared" ca="1" si="17"/>
        <v>225.5607145707084</v>
      </c>
      <c r="D156" s="1">
        <f t="shared" ca="1" si="12"/>
        <v>328.36150325031429</v>
      </c>
      <c r="E156" s="1">
        <f t="shared" ca="1" si="13"/>
        <v>0</v>
      </c>
      <c r="F156" s="1">
        <f t="shared" ca="1" si="14"/>
        <v>55</v>
      </c>
      <c r="G156" s="1">
        <f t="shared" ca="1" si="15"/>
        <v>-225.5607145707084</v>
      </c>
      <c r="H156" s="1" t="str">
        <f t="shared" si="16"/>
        <v xml:space="preserve"> December -2021</v>
      </c>
      <c r="I156" t="s">
        <v>14</v>
      </c>
      <c r="J156">
        <v>2021</v>
      </c>
      <c r="K156" s="1"/>
      <c r="L156" s="1"/>
      <c r="M156" s="1"/>
      <c r="N156" s="1"/>
    </row>
    <row r="157" spans="1:14" x14ac:dyDescent="0.25">
      <c r="A157" t="s">
        <v>19</v>
      </c>
      <c r="B157" s="2">
        <v>0</v>
      </c>
      <c r="C157" s="1">
        <f t="shared" ca="1" si="17"/>
        <v>221.11766080552451</v>
      </c>
      <c r="D157" s="1">
        <f t="shared" ca="1" si="12"/>
        <v>271.09325491218573</v>
      </c>
      <c r="E157" s="1">
        <f t="shared" ca="1" si="13"/>
        <v>0</v>
      </c>
      <c r="F157" s="1">
        <f t="shared" ca="1" si="14"/>
        <v>57</v>
      </c>
      <c r="G157" s="1">
        <f t="shared" ca="1" si="15"/>
        <v>-221.11766080552451</v>
      </c>
      <c r="H157" s="1" t="str">
        <f t="shared" si="16"/>
        <v xml:space="preserve"> January -2021</v>
      </c>
      <c r="I157" t="s">
        <v>11</v>
      </c>
      <c r="J157">
        <v>2021</v>
      </c>
      <c r="K157" s="1"/>
      <c r="L157" s="1"/>
      <c r="M157" s="1"/>
      <c r="N157" s="1"/>
    </row>
    <row r="158" spans="1:14" x14ac:dyDescent="0.25">
      <c r="A158" t="s">
        <v>17</v>
      </c>
      <c r="B158" s="2">
        <v>0</v>
      </c>
      <c r="C158" s="1">
        <f t="shared" ca="1" si="17"/>
        <v>285.97912712732528</v>
      </c>
      <c r="D158" s="1">
        <f t="shared" ca="1" si="12"/>
        <v>520.71223361477848</v>
      </c>
      <c r="E158" s="1">
        <f t="shared" ca="1" si="13"/>
        <v>0</v>
      </c>
      <c r="F158" s="1">
        <f t="shared" ca="1" si="14"/>
        <v>60</v>
      </c>
      <c r="G158" s="1">
        <f t="shared" ca="1" si="15"/>
        <v>-285.97912712732528</v>
      </c>
      <c r="H158" s="1" t="str">
        <f t="shared" si="16"/>
        <v xml:space="preserve"> March -2021</v>
      </c>
      <c r="I158" t="s">
        <v>15</v>
      </c>
      <c r="J158">
        <v>2021</v>
      </c>
      <c r="K158" s="1"/>
      <c r="L158" s="1"/>
      <c r="M158" s="1"/>
      <c r="N158" s="1"/>
    </row>
    <row r="159" spans="1:14" x14ac:dyDescent="0.25">
      <c r="A159" t="s">
        <v>16</v>
      </c>
      <c r="B159" s="2">
        <v>0</v>
      </c>
      <c r="C159" s="1">
        <f t="shared" ca="1" si="17"/>
        <v>290.24754401775903</v>
      </c>
      <c r="D159" s="1">
        <f t="shared" ca="1" si="12"/>
        <v>333.95505540430855</v>
      </c>
      <c r="E159" s="1">
        <f t="shared" ca="1" si="13"/>
        <v>0</v>
      </c>
      <c r="F159" s="1">
        <f t="shared" ca="1" si="14"/>
        <v>52</v>
      </c>
      <c r="G159" s="1">
        <f t="shared" ca="1" si="15"/>
        <v>-290.24754401775903</v>
      </c>
      <c r="H159" s="1" t="str">
        <f t="shared" si="16"/>
        <v xml:space="preserve"> June -2021</v>
      </c>
      <c r="I159" t="s">
        <v>13</v>
      </c>
      <c r="J159">
        <v>2021</v>
      </c>
      <c r="K159" s="1"/>
      <c r="L159" s="1"/>
      <c r="M159" s="1"/>
      <c r="N159" s="1"/>
    </row>
    <row r="160" spans="1:14" x14ac:dyDescent="0.25">
      <c r="A160" t="s">
        <v>19</v>
      </c>
      <c r="B160" s="2">
        <v>0</v>
      </c>
      <c r="C160" s="1">
        <f t="shared" ca="1" si="17"/>
        <v>291.63055362265771</v>
      </c>
      <c r="D160" s="1">
        <f t="shared" ca="1" si="12"/>
        <v>576.37252414201282</v>
      </c>
      <c r="E160" s="1">
        <f t="shared" ca="1" si="13"/>
        <v>0</v>
      </c>
      <c r="F160" s="1">
        <f t="shared" ca="1" si="14"/>
        <v>70</v>
      </c>
      <c r="G160" s="1">
        <f t="shared" ca="1" si="15"/>
        <v>-291.63055362265771</v>
      </c>
      <c r="H160" s="1" t="str">
        <f t="shared" si="16"/>
        <v xml:space="preserve"> June -2021</v>
      </c>
      <c r="I160" t="s">
        <v>13</v>
      </c>
      <c r="J160">
        <v>2021</v>
      </c>
      <c r="K160" s="1"/>
      <c r="L160" s="1"/>
      <c r="M160" s="1"/>
      <c r="N160" s="1"/>
    </row>
    <row r="161" spans="1:14" x14ac:dyDescent="0.25">
      <c r="A161" t="s">
        <v>17</v>
      </c>
      <c r="B161" s="2">
        <v>0</v>
      </c>
      <c r="C161" s="1">
        <f t="shared" ca="1" si="17"/>
        <v>297.15166575397336</v>
      </c>
      <c r="D161" s="1">
        <f t="shared" ca="1" si="12"/>
        <v>419.47180242919598</v>
      </c>
      <c r="E161" s="1">
        <f t="shared" ca="1" si="13"/>
        <v>0</v>
      </c>
      <c r="F161" s="1">
        <f t="shared" ca="1" si="14"/>
        <v>70</v>
      </c>
      <c r="G161" s="1">
        <f t="shared" ca="1" si="15"/>
        <v>-297.15166575397336</v>
      </c>
      <c r="H161" s="1" t="str">
        <f t="shared" si="16"/>
        <v xml:space="preserve"> June -2021</v>
      </c>
      <c r="I161" t="s">
        <v>13</v>
      </c>
      <c r="J161">
        <v>2021</v>
      </c>
      <c r="K161" s="1"/>
      <c r="L161" s="1"/>
      <c r="M161" s="1"/>
      <c r="N161" s="1"/>
    </row>
    <row r="162" spans="1:14" x14ac:dyDescent="0.25">
      <c r="A162" t="s">
        <v>16</v>
      </c>
      <c r="B162" s="2">
        <v>0</v>
      </c>
      <c r="C162" s="1">
        <f t="shared" ca="1" si="17"/>
        <v>294.36212033994104</v>
      </c>
      <c r="D162" s="1">
        <f t="shared" ca="1" si="12"/>
        <v>382.99884815244855</v>
      </c>
      <c r="E162" s="1">
        <f t="shared" ca="1" si="13"/>
        <v>0</v>
      </c>
      <c r="F162" s="1">
        <f t="shared" ca="1" si="14"/>
        <v>59</v>
      </c>
      <c r="G162" s="1">
        <f t="shared" ca="1" si="15"/>
        <v>-294.36212033994104</v>
      </c>
      <c r="H162" s="1" t="str">
        <f t="shared" si="16"/>
        <v xml:space="preserve"> July -2021</v>
      </c>
      <c r="I162" t="s">
        <v>18</v>
      </c>
      <c r="J162">
        <v>2021</v>
      </c>
      <c r="K162" s="1"/>
      <c r="L162" s="1"/>
      <c r="M162" s="1"/>
      <c r="N162" s="1"/>
    </row>
    <row r="163" spans="1:14" x14ac:dyDescent="0.25">
      <c r="A163" t="s">
        <v>17</v>
      </c>
      <c r="B163" s="2">
        <v>0</v>
      </c>
      <c r="C163" s="1">
        <f t="shared" ca="1" si="17"/>
        <v>227.08762662445582</v>
      </c>
      <c r="D163" s="1">
        <f t="shared" ca="1" si="12"/>
        <v>364.91985713066185</v>
      </c>
      <c r="E163" s="1">
        <f t="shared" ca="1" si="13"/>
        <v>0</v>
      </c>
      <c r="F163" s="1">
        <f t="shared" ca="1" si="14"/>
        <v>59</v>
      </c>
      <c r="G163" s="1">
        <f t="shared" ca="1" si="15"/>
        <v>-227.08762662445582</v>
      </c>
      <c r="H163" s="1" t="str">
        <f t="shared" si="16"/>
        <v xml:space="preserve"> October -2021</v>
      </c>
      <c r="I163" t="s">
        <v>22</v>
      </c>
      <c r="J163">
        <v>2021</v>
      </c>
      <c r="K163" s="1"/>
      <c r="L163" s="1"/>
      <c r="M163" s="1"/>
      <c r="N163" s="1"/>
    </row>
    <row r="164" spans="1:14" x14ac:dyDescent="0.25">
      <c r="A164" t="s">
        <v>12</v>
      </c>
      <c r="B164" s="2">
        <v>0</v>
      </c>
      <c r="C164" s="1">
        <f t="shared" ca="1" si="17"/>
        <v>293.93097196613917</v>
      </c>
      <c r="D164" s="1">
        <f t="shared" ca="1" si="12"/>
        <v>330.5825576873853</v>
      </c>
      <c r="E164" s="1">
        <f t="shared" ca="1" si="13"/>
        <v>0</v>
      </c>
      <c r="F164" s="1">
        <f t="shared" ca="1" si="14"/>
        <v>71</v>
      </c>
      <c r="G164" s="1">
        <f t="shared" ca="1" si="15"/>
        <v>-293.93097196613917</v>
      </c>
      <c r="H164" s="1" t="str">
        <f t="shared" si="16"/>
        <v xml:space="preserve"> October -2021</v>
      </c>
      <c r="I164" t="s">
        <v>22</v>
      </c>
      <c r="J164">
        <v>2021</v>
      </c>
      <c r="K164" s="1"/>
      <c r="L164" s="1"/>
      <c r="M164" s="1"/>
      <c r="N164" s="1"/>
    </row>
    <row r="165" spans="1:14" x14ac:dyDescent="0.25">
      <c r="A165" t="s">
        <v>17</v>
      </c>
      <c r="B165" s="2">
        <v>0</v>
      </c>
      <c r="C165" s="1">
        <f t="shared" ca="1" si="17"/>
        <v>285.81310133571202</v>
      </c>
      <c r="D165" s="1">
        <f t="shared" ca="1" si="12"/>
        <v>524.45962982273454</v>
      </c>
      <c r="E165" s="1">
        <f t="shared" ca="1" si="13"/>
        <v>0</v>
      </c>
      <c r="F165" s="1">
        <f t="shared" ca="1" si="14"/>
        <v>72</v>
      </c>
      <c r="G165" s="1">
        <f t="shared" ca="1" si="15"/>
        <v>-285.81310133571202</v>
      </c>
      <c r="H165" s="1" t="str">
        <f t="shared" si="16"/>
        <v xml:space="preserve"> December -2021</v>
      </c>
      <c r="I165" t="s">
        <v>14</v>
      </c>
      <c r="J165">
        <v>2021</v>
      </c>
      <c r="K165" s="1"/>
      <c r="L165" s="1"/>
      <c r="M165" s="1"/>
      <c r="N165" s="1"/>
    </row>
    <row r="166" spans="1:14" x14ac:dyDescent="0.25">
      <c r="A166" t="s">
        <v>17</v>
      </c>
      <c r="B166" s="2">
        <v>0</v>
      </c>
      <c r="C166" s="1">
        <f t="shared" ca="1" si="17"/>
        <v>243.32526841588771</v>
      </c>
      <c r="D166" s="1">
        <f t="shared" ca="1" si="12"/>
        <v>294.83943190014838</v>
      </c>
      <c r="E166" s="1">
        <f t="shared" ca="1" si="13"/>
        <v>0</v>
      </c>
      <c r="F166" s="1">
        <f t="shared" ca="1" si="14"/>
        <v>70</v>
      </c>
      <c r="G166" s="1">
        <f t="shared" ca="1" si="15"/>
        <v>-243.32526841588771</v>
      </c>
      <c r="H166" s="1" t="str">
        <f t="shared" si="16"/>
        <v xml:space="preserve"> December -2021</v>
      </c>
      <c r="I166" t="s">
        <v>14</v>
      </c>
      <c r="J166">
        <v>2021</v>
      </c>
      <c r="K166" s="1"/>
      <c r="L166" s="1"/>
      <c r="M166" s="1"/>
      <c r="N166" s="1"/>
    </row>
    <row r="167" spans="1:14" x14ac:dyDescent="0.25">
      <c r="A167" t="s">
        <v>17</v>
      </c>
      <c r="B167" s="2">
        <v>0</v>
      </c>
      <c r="C167" s="1">
        <f t="shared" ca="1" si="17"/>
        <v>268.01050473907037</v>
      </c>
      <c r="D167" s="1">
        <f t="shared" ca="1" si="12"/>
        <v>365.05321683432777</v>
      </c>
      <c r="E167" s="1">
        <f t="shared" ca="1" si="13"/>
        <v>0</v>
      </c>
      <c r="F167" s="1">
        <f t="shared" ca="1" si="14"/>
        <v>68</v>
      </c>
      <c r="G167" s="1">
        <f t="shared" ca="1" si="15"/>
        <v>-268.01050473907037</v>
      </c>
      <c r="H167" s="1" t="str">
        <f t="shared" si="16"/>
        <v xml:space="preserve"> October -2021</v>
      </c>
      <c r="I167" t="s">
        <v>22</v>
      </c>
      <c r="J167">
        <v>2021</v>
      </c>
      <c r="K167" s="1"/>
      <c r="L167" s="1"/>
      <c r="M167" s="1"/>
      <c r="N167" s="1"/>
    </row>
    <row r="168" spans="1:14" x14ac:dyDescent="0.25">
      <c r="A168" t="s">
        <v>19</v>
      </c>
      <c r="B168" s="2">
        <v>0</v>
      </c>
      <c r="C168" s="1">
        <f t="shared" ca="1" si="17"/>
        <v>261.50763275490999</v>
      </c>
      <c r="D168" s="1">
        <f t="shared" ca="1" si="12"/>
        <v>487.51399613892886</v>
      </c>
      <c r="E168" s="1">
        <f t="shared" ca="1" si="13"/>
        <v>0</v>
      </c>
      <c r="F168" s="1">
        <f t="shared" ca="1" si="14"/>
        <v>69</v>
      </c>
      <c r="G168" s="1">
        <f t="shared" ca="1" si="15"/>
        <v>-261.50763275490999</v>
      </c>
      <c r="H168" s="1" t="str">
        <f t="shared" si="16"/>
        <v xml:space="preserve"> February -2021</v>
      </c>
      <c r="I168" t="s">
        <v>23</v>
      </c>
      <c r="J168">
        <v>2021</v>
      </c>
      <c r="K168" s="1"/>
      <c r="L168" s="1"/>
      <c r="M168" s="1"/>
      <c r="N168" s="1"/>
    </row>
    <row r="169" spans="1:14" x14ac:dyDescent="0.25">
      <c r="A169" t="s">
        <v>16</v>
      </c>
      <c r="B169" s="2">
        <v>0</v>
      </c>
      <c r="C169" s="1">
        <f t="shared" ca="1" si="17"/>
        <v>229.36558406983465</v>
      </c>
      <c r="D169" s="1">
        <f t="shared" ca="1" si="12"/>
        <v>374.72395096684249</v>
      </c>
      <c r="E169" s="1">
        <f t="shared" ca="1" si="13"/>
        <v>0</v>
      </c>
      <c r="F169" s="1">
        <f t="shared" ca="1" si="14"/>
        <v>50</v>
      </c>
      <c r="G169" s="1">
        <f t="shared" ca="1" si="15"/>
        <v>-229.36558406983465</v>
      </c>
      <c r="H169" s="1" t="str">
        <f t="shared" si="16"/>
        <v xml:space="preserve"> April -2021</v>
      </c>
      <c r="I169" t="s">
        <v>25</v>
      </c>
      <c r="J169">
        <v>2021</v>
      </c>
      <c r="K169" s="1"/>
      <c r="L169" s="1"/>
      <c r="M169" s="1"/>
      <c r="N169" s="1"/>
    </row>
    <row r="170" spans="1:14" x14ac:dyDescent="0.25">
      <c r="A170" t="s">
        <v>17</v>
      </c>
      <c r="B170" s="2">
        <v>0</v>
      </c>
      <c r="C170" s="1">
        <f t="shared" ca="1" si="17"/>
        <v>265.4127114056156</v>
      </c>
      <c r="D170" s="1">
        <f t="shared" ca="1" si="12"/>
        <v>447.66350412745237</v>
      </c>
      <c r="E170" s="1">
        <f t="shared" ca="1" si="13"/>
        <v>0</v>
      </c>
      <c r="F170" s="1">
        <f t="shared" ca="1" si="14"/>
        <v>61</v>
      </c>
      <c r="G170" s="1">
        <f t="shared" ca="1" si="15"/>
        <v>-265.4127114056156</v>
      </c>
      <c r="H170" s="1" t="str">
        <f t="shared" si="16"/>
        <v xml:space="preserve"> June -2021</v>
      </c>
      <c r="I170" t="s">
        <v>13</v>
      </c>
      <c r="J170">
        <v>2021</v>
      </c>
      <c r="K170" s="1"/>
      <c r="L170" s="1"/>
      <c r="M170" s="1"/>
      <c r="N170" s="1"/>
    </row>
    <row r="171" spans="1:14" x14ac:dyDescent="0.25">
      <c r="A171" t="s">
        <v>19</v>
      </c>
      <c r="B171" s="2">
        <v>0</v>
      </c>
      <c r="C171" s="1">
        <f t="shared" ca="1" si="17"/>
        <v>209.56469854937751</v>
      </c>
      <c r="D171" s="1">
        <f t="shared" ca="1" si="12"/>
        <v>373.07804853870061</v>
      </c>
      <c r="E171" s="1">
        <f t="shared" ca="1" si="13"/>
        <v>0</v>
      </c>
      <c r="F171" s="1">
        <f t="shared" ca="1" si="14"/>
        <v>54</v>
      </c>
      <c r="G171" s="1">
        <f t="shared" ca="1" si="15"/>
        <v>-209.56469854937751</v>
      </c>
      <c r="H171" s="1" t="str">
        <f t="shared" si="16"/>
        <v xml:space="preserve"> August -2021</v>
      </c>
      <c r="I171" t="s">
        <v>20</v>
      </c>
      <c r="J171">
        <v>2021</v>
      </c>
      <c r="K171" s="1"/>
      <c r="L171" s="1"/>
      <c r="M171" s="1"/>
      <c r="N171" s="1"/>
    </row>
    <row r="172" spans="1:14" x14ac:dyDescent="0.25">
      <c r="A172" t="s">
        <v>10</v>
      </c>
      <c r="B172" s="2">
        <v>0</v>
      </c>
      <c r="C172" s="1">
        <f t="shared" ca="1" si="17"/>
        <v>201.50277147291251</v>
      </c>
      <c r="D172" s="1">
        <f t="shared" ca="1" si="12"/>
        <v>327.2129940030228</v>
      </c>
      <c r="E172" s="1">
        <f t="shared" ca="1" si="13"/>
        <v>0</v>
      </c>
      <c r="F172" s="1">
        <f t="shared" ca="1" si="14"/>
        <v>70</v>
      </c>
      <c r="G172" s="1">
        <f t="shared" ca="1" si="15"/>
        <v>-201.50277147291251</v>
      </c>
      <c r="H172" s="1" t="str">
        <f t="shared" si="16"/>
        <v xml:space="preserve"> August -2021</v>
      </c>
      <c r="I172" t="s">
        <v>20</v>
      </c>
      <c r="J172">
        <v>2021</v>
      </c>
      <c r="K172" s="1"/>
      <c r="L172" s="1"/>
      <c r="M172" s="1"/>
      <c r="N172" s="1"/>
    </row>
    <row r="173" spans="1:14" x14ac:dyDescent="0.25">
      <c r="A173" t="s">
        <v>12</v>
      </c>
      <c r="B173" s="2">
        <v>0</v>
      </c>
      <c r="C173" s="1">
        <f t="shared" ca="1" si="17"/>
        <v>254.51256034992107</v>
      </c>
      <c r="D173" s="1">
        <f t="shared" ca="1" si="12"/>
        <v>488.75951828966618</v>
      </c>
      <c r="E173" s="1">
        <f t="shared" ca="1" si="13"/>
        <v>0</v>
      </c>
      <c r="F173" s="1">
        <f t="shared" ca="1" si="14"/>
        <v>72</v>
      </c>
      <c r="G173" s="1">
        <f t="shared" ca="1" si="15"/>
        <v>-254.51256034992107</v>
      </c>
      <c r="H173" s="1" t="str">
        <f t="shared" si="16"/>
        <v xml:space="preserve"> October -2021</v>
      </c>
      <c r="I173" t="s">
        <v>22</v>
      </c>
      <c r="J173">
        <v>2021</v>
      </c>
      <c r="K173" s="1"/>
      <c r="L173" s="1"/>
      <c r="M173" s="1"/>
      <c r="N173" s="1"/>
    </row>
    <row r="174" spans="1:14" x14ac:dyDescent="0.25">
      <c r="A174" t="s">
        <v>10</v>
      </c>
      <c r="B174" s="2">
        <v>0</v>
      </c>
      <c r="C174" s="1">
        <f t="shared" ca="1" si="17"/>
        <v>255.4993752548163</v>
      </c>
      <c r="D174" s="1">
        <f t="shared" ca="1" si="12"/>
        <v>391.14038166177357</v>
      </c>
      <c r="E174" s="1">
        <f t="shared" ca="1" si="13"/>
        <v>0</v>
      </c>
      <c r="F174" s="1">
        <f t="shared" ca="1" si="14"/>
        <v>59</v>
      </c>
      <c r="G174" s="1">
        <f t="shared" ca="1" si="15"/>
        <v>-255.4993752548163</v>
      </c>
      <c r="H174" s="1" t="str">
        <f t="shared" si="16"/>
        <v xml:space="preserve"> May -2021</v>
      </c>
      <c r="I174" t="s">
        <v>26</v>
      </c>
      <c r="J174">
        <v>2021</v>
      </c>
      <c r="K174" s="1"/>
      <c r="L174" s="1"/>
      <c r="M174" s="1"/>
      <c r="N174" s="1"/>
    </row>
    <row r="175" spans="1:14" x14ac:dyDescent="0.25">
      <c r="A175" t="s">
        <v>10</v>
      </c>
      <c r="B175" s="2">
        <v>0</v>
      </c>
      <c r="C175" s="1">
        <f t="shared" ca="1" si="17"/>
        <v>293.60628562335597</v>
      </c>
      <c r="D175" s="1">
        <f t="shared" ca="1" si="12"/>
        <v>377.54376654151577</v>
      </c>
      <c r="E175" s="1">
        <f t="shared" ca="1" si="13"/>
        <v>0</v>
      </c>
      <c r="F175" s="1">
        <f t="shared" ca="1" si="14"/>
        <v>54</v>
      </c>
      <c r="G175" s="1">
        <f t="shared" ca="1" si="15"/>
        <v>-293.60628562335597</v>
      </c>
      <c r="H175" s="1" t="str">
        <f t="shared" si="16"/>
        <v xml:space="preserve"> September -2021</v>
      </c>
      <c r="I175" t="s">
        <v>21</v>
      </c>
      <c r="J175">
        <v>2021</v>
      </c>
      <c r="K175" s="1"/>
      <c r="L175" s="1"/>
      <c r="M175" s="1"/>
      <c r="N175" s="1"/>
    </row>
    <row r="176" spans="1:14" x14ac:dyDescent="0.25">
      <c r="A176" t="s">
        <v>10</v>
      </c>
      <c r="B176" s="2">
        <v>0</v>
      </c>
      <c r="C176" s="1">
        <f t="shared" ca="1" si="17"/>
        <v>200.63365875695942</v>
      </c>
      <c r="D176" s="1">
        <f t="shared" ca="1" si="12"/>
        <v>244.00599047906721</v>
      </c>
      <c r="E176" s="1">
        <f t="shared" ca="1" si="13"/>
        <v>0</v>
      </c>
      <c r="F176" s="1">
        <f t="shared" ca="1" si="14"/>
        <v>63</v>
      </c>
      <c r="G176" s="1">
        <f t="shared" ca="1" si="15"/>
        <v>-200.63365875695942</v>
      </c>
      <c r="H176" s="1" t="str">
        <f t="shared" si="16"/>
        <v xml:space="preserve"> April -2021</v>
      </c>
      <c r="I176" t="s">
        <v>25</v>
      </c>
      <c r="J176">
        <v>2021</v>
      </c>
      <c r="K176" s="1"/>
      <c r="L176" s="1"/>
      <c r="M176" s="1"/>
      <c r="N176" s="1"/>
    </row>
    <row r="177" spans="1:14" x14ac:dyDescent="0.25">
      <c r="A177" t="s">
        <v>16</v>
      </c>
      <c r="B177" s="2">
        <v>0</v>
      </c>
      <c r="C177" s="1">
        <f t="shared" ca="1" si="17"/>
        <v>220.43901940196747</v>
      </c>
      <c r="D177" s="1">
        <f t="shared" ca="1" si="12"/>
        <v>434.02126285602731</v>
      </c>
      <c r="E177" s="1">
        <f t="shared" ca="1" si="13"/>
        <v>0</v>
      </c>
      <c r="F177" s="1">
        <f t="shared" ca="1" si="14"/>
        <v>65</v>
      </c>
      <c r="G177" s="1">
        <f t="shared" ca="1" si="15"/>
        <v>-220.43901940196747</v>
      </c>
      <c r="H177" s="1" t="str">
        <f t="shared" si="16"/>
        <v xml:space="preserve"> January -2021</v>
      </c>
      <c r="I177" t="s">
        <v>11</v>
      </c>
      <c r="J177">
        <v>2021</v>
      </c>
      <c r="K177" s="1"/>
      <c r="L177" s="1"/>
      <c r="M177" s="1"/>
      <c r="N177" s="1"/>
    </row>
    <row r="178" spans="1:14" x14ac:dyDescent="0.25">
      <c r="A178" t="s">
        <v>12</v>
      </c>
      <c r="B178" s="2">
        <v>0</v>
      </c>
      <c r="C178" s="1">
        <f t="shared" ca="1" si="17"/>
        <v>244.69216863965082</v>
      </c>
      <c r="D178" s="1">
        <f t="shared" ca="1" si="12"/>
        <v>264.13750833080451</v>
      </c>
      <c r="E178" s="1">
        <f t="shared" ca="1" si="13"/>
        <v>0</v>
      </c>
      <c r="F178" s="1">
        <f t="shared" ca="1" si="14"/>
        <v>75</v>
      </c>
      <c r="G178" s="1">
        <f t="shared" ca="1" si="15"/>
        <v>-244.69216863965082</v>
      </c>
      <c r="H178" s="1" t="str">
        <f t="shared" si="16"/>
        <v xml:space="preserve"> October -2021</v>
      </c>
      <c r="I178" t="s">
        <v>22</v>
      </c>
      <c r="J178">
        <v>2021</v>
      </c>
      <c r="K178" s="1"/>
      <c r="L178" s="1"/>
      <c r="M178" s="1"/>
      <c r="N178" s="1"/>
    </row>
    <row r="179" spans="1:14" x14ac:dyDescent="0.25">
      <c r="A179" t="s">
        <v>12</v>
      </c>
      <c r="B179" s="2">
        <v>0</v>
      </c>
      <c r="C179" s="1">
        <f t="shared" ca="1" si="17"/>
        <v>291.44343880915983</v>
      </c>
      <c r="D179" s="1">
        <f t="shared" ca="1" si="12"/>
        <v>337.65044209843228</v>
      </c>
      <c r="E179" s="1">
        <f t="shared" ca="1" si="13"/>
        <v>0</v>
      </c>
      <c r="F179" s="1">
        <f t="shared" ca="1" si="14"/>
        <v>74</v>
      </c>
      <c r="G179" s="1">
        <f t="shared" ca="1" si="15"/>
        <v>-291.44343880915983</v>
      </c>
      <c r="H179" s="1" t="str">
        <f t="shared" si="16"/>
        <v xml:space="preserve"> October -2021</v>
      </c>
      <c r="I179" t="s">
        <v>22</v>
      </c>
      <c r="J179">
        <v>2021</v>
      </c>
      <c r="K179" s="1"/>
      <c r="L179" s="1"/>
      <c r="M179" s="1"/>
      <c r="N179" s="1"/>
    </row>
    <row r="180" spans="1:14" x14ac:dyDescent="0.25">
      <c r="A180" t="s">
        <v>12</v>
      </c>
      <c r="B180" s="2">
        <v>0</v>
      </c>
      <c r="C180" s="1">
        <f t="shared" ca="1" si="17"/>
        <v>229.79818409202255</v>
      </c>
      <c r="D180" s="1">
        <f t="shared" ca="1" si="12"/>
        <v>415.73597731505015</v>
      </c>
      <c r="E180" s="1">
        <f t="shared" ca="1" si="13"/>
        <v>0</v>
      </c>
      <c r="F180" s="1">
        <f t="shared" ca="1" si="14"/>
        <v>63</v>
      </c>
      <c r="G180" s="1">
        <f t="shared" ca="1" si="15"/>
        <v>-229.79818409202255</v>
      </c>
      <c r="H180" s="1" t="str">
        <f t="shared" si="16"/>
        <v xml:space="preserve"> December -2021</v>
      </c>
      <c r="I180" t="s">
        <v>14</v>
      </c>
      <c r="J180">
        <v>2021</v>
      </c>
      <c r="K180" s="1"/>
      <c r="L180" s="1"/>
      <c r="M180" s="1"/>
      <c r="N180" s="1"/>
    </row>
    <row r="181" spans="1:14" x14ac:dyDescent="0.25">
      <c r="A181" t="s">
        <v>10</v>
      </c>
      <c r="B181" s="2">
        <v>0</v>
      </c>
      <c r="C181" s="1">
        <f t="shared" ca="1" si="17"/>
        <v>253.09073457211935</v>
      </c>
      <c r="D181" s="1">
        <f t="shared" ca="1" si="12"/>
        <v>420.75752669796515</v>
      </c>
      <c r="E181" s="1">
        <f t="shared" ca="1" si="13"/>
        <v>0</v>
      </c>
      <c r="F181" s="1">
        <f t="shared" ca="1" si="14"/>
        <v>50</v>
      </c>
      <c r="G181" s="1">
        <f t="shared" ca="1" si="15"/>
        <v>-253.09073457211935</v>
      </c>
      <c r="H181" s="1" t="str">
        <f t="shared" si="16"/>
        <v xml:space="preserve"> September -2021</v>
      </c>
      <c r="I181" t="s">
        <v>21</v>
      </c>
      <c r="J181">
        <v>2021</v>
      </c>
      <c r="K181" s="1"/>
      <c r="L181" s="1"/>
      <c r="M181" s="1"/>
      <c r="N181" s="1"/>
    </row>
    <row r="182" spans="1:14" x14ac:dyDescent="0.25">
      <c r="A182" t="s">
        <v>10</v>
      </c>
      <c r="B182" s="2">
        <v>0</v>
      </c>
      <c r="C182" s="1">
        <f t="shared" ca="1" si="17"/>
        <v>233.40532068508216</v>
      </c>
      <c r="D182" s="1">
        <f t="shared" ca="1" si="12"/>
        <v>430.21660539549242</v>
      </c>
      <c r="E182" s="1">
        <f t="shared" ca="1" si="13"/>
        <v>0</v>
      </c>
      <c r="F182" s="1">
        <f t="shared" ca="1" si="14"/>
        <v>51</v>
      </c>
      <c r="G182" s="1">
        <f t="shared" ca="1" si="15"/>
        <v>-233.40532068508216</v>
      </c>
      <c r="H182" s="1" t="str">
        <f t="shared" si="16"/>
        <v xml:space="preserve"> October -2021</v>
      </c>
      <c r="I182" t="s">
        <v>22</v>
      </c>
      <c r="J182">
        <v>2021</v>
      </c>
      <c r="K182" s="1"/>
      <c r="L182" s="1"/>
      <c r="M182" s="1"/>
      <c r="N182" s="1"/>
    </row>
    <row r="183" spans="1:14" x14ac:dyDescent="0.25">
      <c r="A183" t="s">
        <v>19</v>
      </c>
      <c r="B183" s="2">
        <v>0</v>
      </c>
      <c r="C183" s="1">
        <f t="shared" ca="1" si="17"/>
        <v>260.6389689218463</v>
      </c>
      <c r="D183" s="1">
        <f t="shared" ca="1" si="12"/>
        <v>335.97436492221209</v>
      </c>
      <c r="E183" s="1">
        <f t="shared" ca="1" si="13"/>
        <v>0</v>
      </c>
      <c r="F183" s="1">
        <f t="shared" ca="1" si="14"/>
        <v>52</v>
      </c>
      <c r="G183" s="1">
        <f t="shared" ca="1" si="15"/>
        <v>-260.6389689218463</v>
      </c>
      <c r="H183" s="1" t="str">
        <f t="shared" si="16"/>
        <v xml:space="preserve"> October -2021</v>
      </c>
      <c r="I183" t="s">
        <v>22</v>
      </c>
      <c r="J183">
        <v>2021</v>
      </c>
      <c r="K183" s="1"/>
      <c r="L183" s="1"/>
      <c r="M183" s="1"/>
      <c r="N183" s="1"/>
    </row>
    <row r="184" spans="1:14" x14ac:dyDescent="0.25">
      <c r="A184" t="s">
        <v>10</v>
      </c>
      <c r="B184" s="2">
        <v>0</v>
      </c>
      <c r="C184" s="1">
        <f t="shared" ca="1" si="17"/>
        <v>267.37175542122799</v>
      </c>
      <c r="D184" s="1">
        <f t="shared" ca="1" si="12"/>
        <v>275.31958000458411</v>
      </c>
      <c r="E184" s="1">
        <f t="shared" ca="1" si="13"/>
        <v>0</v>
      </c>
      <c r="F184" s="1">
        <f t="shared" ca="1" si="14"/>
        <v>65</v>
      </c>
      <c r="G184" s="1">
        <f t="shared" ca="1" si="15"/>
        <v>-267.37175542122799</v>
      </c>
      <c r="H184" s="1" t="str">
        <f t="shared" si="16"/>
        <v xml:space="preserve"> December -2021</v>
      </c>
      <c r="I184" t="s">
        <v>14</v>
      </c>
      <c r="J184">
        <v>2021</v>
      </c>
      <c r="K184" s="1"/>
      <c r="L184" s="1"/>
      <c r="M184" s="1"/>
      <c r="N184" s="1"/>
    </row>
    <row r="185" spans="1:14" x14ac:dyDescent="0.25">
      <c r="A185" t="s">
        <v>12</v>
      </c>
      <c r="B185" s="2">
        <v>0</v>
      </c>
      <c r="C185" s="1">
        <f t="shared" ca="1" si="17"/>
        <v>237.42873037986601</v>
      </c>
      <c r="D185" s="1">
        <f t="shared" ca="1" si="12"/>
        <v>430.87979350423086</v>
      </c>
      <c r="E185" s="1">
        <f t="shared" ca="1" si="13"/>
        <v>0</v>
      </c>
      <c r="F185" s="1">
        <f t="shared" ca="1" si="14"/>
        <v>63</v>
      </c>
      <c r="G185" s="1">
        <f t="shared" ca="1" si="15"/>
        <v>-237.42873037986601</v>
      </c>
      <c r="H185" s="1" t="str">
        <f t="shared" si="16"/>
        <v xml:space="preserve"> March -2021</v>
      </c>
      <c r="I185" t="s">
        <v>15</v>
      </c>
      <c r="J185">
        <v>2021</v>
      </c>
      <c r="K185" s="1"/>
      <c r="L185" s="1"/>
      <c r="M185" s="1"/>
      <c r="N185" s="1"/>
    </row>
    <row r="186" spans="1:14" x14ac:dyDescent="0.25">
      <c r="A186" t="s">
        <v>19</v>
      </c>
      <c r="B186" s="2">
        <v>0</v>
      </c>
      <c r="C186" s="1">
        <f t="shared" ca="1" si="17"/>
        <v>243.08464725229732</v>
      </c>
      <c r="D186" s="1">
        <f t="shared" ca="1" si="12"/>
        <v>366.78999973436584</v>
      </c>
      <c r="E186" s="1">
        <f t="shared" ca="1" si="13"/>
        <v>0</v>
      </c>
      <c r="F186" s="1">
        <f t="shared" ca="1" si="14"/>
        <v>61</v>
      </c>
      <c r="G186" s="1">
        <f t="shared" ca="1" si="15"/>
        <v>-243.08464725229732</v>
      </c>
      <c r="H186" s="1" t="str">
        <f t="shared" si="16"/>
        <v xml:space="preserve"> August -2021</v>
      </c>
      <c r="I186" t="s">
        <v>20</v>
      </c>
      <c r="J186">
        <v>2021</v>
      </c>
      <c r="K186" s="1"/>
      <c r="L186" s="1"/>
      <c r="M186" s="1"/>
      <c r="N186" s="1"/>
    </row>
    <row r="187" spans="1:14" x14ac:dyDescent="0.25">
      <c r="A187" t="s">
        <v>10</v>
      </c>
      <c r="B187" s="2">
        <v>0</v>
      </c>
      <c r="C187" s="1">
        <f t="shared" ca="1" si="17"/>
        <v>287.99484803029537</v>
      </c>
      <c r="D187" s="1">
        <f t="shared" ca="1" si="12"/>
        <v>441.66581120918289</v>
      </c>
      <c r="E187" s="1">
        <f t="shared" ca="1" si="13"/>
        <v>0</v>
      </c>
      <c r="F187" s="1">
        <f t="shared" ca="1" si="14"/>
        <v>69</v>
      </c>
      <c r="G187" s="1">
        <f t="shared" ca="1" si="15"/>
        <v>-287.99484803029537</v>
      </c>
      <c r="H187" s="1" t="str">
        <f t="shared" si="16"/>
        <v xml:space="preserve"> October -2021</v>
      </c>
      <c r="I187" t="s">
        <v>22</v>
      </c>
      <c r="J187">
        <v>2021</v>
      </c>
      <c r="K187" s="1"/>
      <c r="L187" s="1"/>
      <c r="M187" s="1"/>
      <c r="N187" s="1"/>
    </row>
    <row r="188" spans="1:14" x14ac:dyDescent="0.25">
      <c r="A188" t="s">
        <v>19</v>
      </c>
      <c r="B188" s="2">
        <v>0</v>
      </c>
      <c r="C188" s="1">
        <f t="shared" ca="1" si="17"/>
        <v>222.59290984767412</v>
      </c>
      <c r="D188" s="1">
        <f t="shared" ca="1" si="12"/>
        <v>301.92050614182682</v>
      </c>
      <c r="E188" s="1">
        <f t="shared" ca="1" si="13"/>
        <v>0</v>
      </c>
      <c r="F188" s="1">
        <f t="shared" ca="1" si="14"/>
        <v>73</v>
      </c>
      <c r="G188" s="1">
        <f t="shared" ca="1" si="15"/>
        <v>-222.59290984767412</v>
      </c>
      <c r="H188" s="1" t="str">
        <f t="shared" si="16"/>
        <v xml:space="preserve"> October -2021</v>
      </c>
      <c r="I188" t="s">
        <v>22</v>
      </c>
      <c r="J188">
        <v>2021</v>
      </c>
      <c r="K188" s="1"/>
      <c r="L188" s="1"/>
      <c r="M188" s="1"/>
      <c r="N188" s="1"/>
    </row>
    <row r="189" spans="1:14" x14ac:dyDescent="0.25">
      <c r="A189" t="s">
        <v>17</v>
      </c>
      <c r="B189" s="2">
        <v>0</v>
      </c>
      <c r="C189" s="1">
        <f t="shared" ca="1" si="17"/>
        <v>289.24229819661787</v>
      </c>
      <c r="D189" s="1">
        <f t="shared" ca="1" si="12"/>
        <v>377.92168788174723</v>
      </c>
      <c r="E189" s="1">
        <f t="shared" ca="1" si="13"/>
        <v>0</v>
      </c>
      <c r="F189" s="1">
        <f t="shared" ca="1" si="14"/>
        <v>63</v>
      </c>
      <c r="G189" s="1">
        <f t="shared" ca="1" si="15"/>
        <v>-289.24229819661787</v>
      </c>
      <c r="H189" s="1" t="str">
        <f t="shared" si="16"/>
        <v xml:space="preserve"> December -2021</v>
      </c>
      <c r="I189" t="s">
        <v>14</v>
      </c>
      <c r="J189">
        <v>2021</v>
      </c>
      <c r="K189" s="1"/>
      <c r="L189" s="1"/>
      <c r="M189" s="1"/>
      <c r="N189" s="1"/>
    </row>
    <row r="190" spans="1:14" x14ac:dyDescent="0.25">
      <c r="A190" t="s">
        <v>10</v>
      </c>
      <c r="B190" s="2">
        <v>0</v>
      </c>
      <c r="C190" s="1">
        <f t="shared" ca="1" si="17"/>
        <v>248.89144666873935</v>
      </c>
      <c r="D190" s="1">
        <f t="shared" ca="1" si="12"/>
        <v>489.33927270257777</v>
      </c>
      <c r="E190" s="1">
        <f t="shared" ca="1" si="13"/>
        <v>0</v>
      </c>
      <c r="F190" s="1">
        <f t="shared" ca="1" si="14"/>
        <v>64</v>
      </c>
      <c r="G190" s="1">
        <f t="shared" ca="1" si="15"/>
        <v>-248.89144666873935</v>
      </c>
      <c r="H190" s="1" t="str">
        <f t="shared" si="16"/>
        <v xml:space="preserve"> January -2021</v>
      </c>
      <c r="I190" t="s">
        <v>11</v>
      </c>
      <c r="J190">
        <v>2021</v>
      </c>
      <c r="K190" s="1"/>
      <c r="L190" s="1"/>
      <c r="M190" s="1"/>
      <c r="N190" s="1"/>
    </row>
    <row r="191" spans="1:14" x14ac:dyDescent="0.25">
      <c r="A191" t="s">
        <v>17</v>
      </c>
      <c r="B191" s="2">
        <v>0</v>
      </c>
      <c r="C191" s="1">
        <f t="shared" ca="1" si="17"/>
        <v>294.99824015355455</v>
      </c>
      <c r="D191" s="1">
        <f t="shared" ca="1" si="12"/>
        <v>581.95584609378864</v>
      </c>
      <c r="E191" s="1">
        <f t="shared" ca="1" si="13"/>
        <v>0</v>
      </c>
      <c r="F191" s="1">
        <f t="shared" ca="1" si="14"/>
        <v>51</v>
      </c>
      <c r="G191" s="1">
        <f t="shared" ca="1" si="15"/>
        <v>-294.99824015355455</v>
      </c>
      <c r="H191" s="1" t="str">
        <f t="shared" si="16"/>
        <v xml:space="preserve"> March -2021</v>
      </c>
      <c r="I191" t="s">
        <v>15</v>
      </c>
      <c r="J191">
        <v>2021</v>
      </c>
      <c r="K191" s="1"/>
      <c r="L191" s="1"/>
      <c r="M191" s="1"/>
      <c r="N191" s="1"/>
    </row>
    <row r="192" spans="1:14" x14ac:dyDescent="0.25">
      <c r="A192" t="s">
        <v>19</v>
      </c>
      <c r="B192" s="2">
        <v>0</v>
      </c>
      <c r="C192" s="1">
        <f t="shared" ca="1" si="17"/>
        <v>239.21787700825917</v>
      </c>
      <c r="D192" s="1">
        <f t="shared" ca="1" si="12"/>
        <v>327.20003108896839</v>
      </c>
      <c r="E192" s="1">
        <f t="shared" ca="1" si="13"/>
        <v>0</v>
      </c>
      <c r="F192" s="1">
        <f t="shared" ca="1" si="14"/>
        <v>73</v>
      </c>
      <c r="G192" s="1">
        <f t="shared" ca="1" si="15"/>
        <v>-239.21787700825917</v>
      </c>
      <c r="H192" s="1" t="str">
        <f t="shared" si="16"/>
        <v xml:space="preserve"> April -2021</v>
      </c>
      <c r="I192" t="s">
        <v>25</v>
      </c>
      <c r="J192">
        <v>2021</v>
      </c>
      <c r="K192" s="1"/>
      <c r="L192" s="1"/>
      <c r="M192" s="1"/>
      <c r="N192" s="1"/>
    </row>
    <row r="193" spans="1:14" x14ac:dyDescent="0.25">
      <c r="A193" t="s">
        <v>19</v>
      </c>
      <c r="B193" s="2">
        <v>0</v>
      </c>
      <c r="C193" s="1">
        <f t="shared" ca="1" si="17"/>
        <v>282.41810613872963</v>
      </c>
      <c r="D193" s="1">
        <f t="shared" ca="1" si="12"/>
        <v>454.4531461535779</v>
      </c>
      <c r="E193" s="1">
        <f t="shared" ca="1" si="13"/>
        <v>0</v>
      </c>
      <c r="F193" s="1">
        <f t="shared" ca="1" si="14"/>
        <v>53</v>
      </c>
      <c r="G193" s="1">
        <f t="shared" ca="1" si="15"/>
        <v>-282.41810613872963</v>
      </c>
      <c r="H193" s="1" t="str">
        <f t="shared" si="16"/>
        <v xml:space="preserve"> May -2021</v>
      </c>
      <c r="I193" t="s">
        <v>26</v>
      </c>
      <c r="J193">
        <v>2021</v>
      </c>
      <c r="K193" s="1"/>
      <c r="L193" s="1"/>
      <c r="M193" s="1"/>
      <c r="N193" s="1"/>
    </row>
    <row r="194" spans="1:14" x14ac:dyDescent="0.25">
      <c r="A194" t="s">
        <v>10</v>
      </c>
      <c r="B194" s="2">
        <v>0</v>
      </c>
      <c r="C194" s="1">
        <f t="shared" ca="1" si="17"/>
        <v>236.40533775133252</v>
      </c>
      <c r="D194" s="1">
        <f t="shared" ca="1" si="12"/>
        <v>456.35669940912931</v>
      </c>
      <c r="E194" s="1">
        <f t="shared" ca="1" si="13"/>
        <v>0</v>
      </c>
      <c r="F194" s="1">
        <f t="shared" ca="1" si="14"/>
        <v>68</v>
      </c>
      <c r="G194" s="1">
        <f t="shared" ca="1" si="15"/>
        <v>-236.40533775133252</v>
      </c>
      <c r="H194" s="1" t="str">
        <f t="shared" si="16"/>
        <v xml:space="preserve"> July -2021</v>
      </c>
      <c r="I194" t="s">
        <v>18</v>
      </c>
      <c r="J194">
        <v>2021</v>
      </c>
      <c r="K194" s="1"/>
      <c r="L194" s="1"/>
      <c r="M194" s="1"/>
      <c r="N194" s="1"/>
    </row>
    <row r="195" spans="1:14" x14ac:dyDescent="0.25">
      <c r="A195" t="s">
        <v>17</v>
      </c>
      <c r="B195" s="2">
        <v>0</v>
      </c>
      <c r="C195" s="1">
        <f t="shared" ca="1" si="17"/>
        <v>200.33180724056439</v>
      </c>
      <c r="D195" s="1">
        <f t="shared" ref="D195:D210" ca="1" si="18">C195*RAND()*1+4+C195</f>
        <v>293.15128404865141</v>
      </c>
      <c r="E195" s="1">
        <f t="shared" ref="E195:E210" ca="1" si="19">B195*D195</f>
        <v>0</v>
      </c>
      <c r="F195" s="1">
        <f t="shared" ref="F195:F210" ca="1" si="20">RANDBETWEEN(50,75)</f>
        <v>62</v>
      </c>
      <c r="G195" s="1">
        <f t="shared" ref="G195:G210" ca="1" si="21">(E195)-(F195*B195)-C195</f>
        <v>-200.33180724056439</v>
      </c>
      <c r="H195" s="1" t="str">
        <f t="shared" ref="H195:H210" si="22">I195 &amp;"-"&amp;J195</f>
        <v xml:space="preserve"> July -2021</v>
      </c>
      <c r="I195" t="s">
        <v>18</v>
      </c>
      <c r="J195">
        <v>2021</v>
      </c>
      <c r="K195" s="1"/>
      <c r="L195" s="1"/>
      <c r="M195" s="1"/>
      <c r="N195" s="1"/>
    </row>
    <row r="196" spans="1:14" x14ac:dyDescent="0.25">
      <c r="A196" t="s">
        <v>12</v>
      </c>
      <c r="B196" s="2">
        <v>0</v>
      </c>
      <c r="C196" s="1">
        <f t="shared" ref="C196:C210" ca="1" si="23">RAND()*100+200</f>
        <v>218.21101343714309</v>
      </c>
      <c r="D196" s="1">
        <f t="shared" ca="1" si="18"/>
        <v>229.76118602304794</v>
      </c>
      <c r="E196" s="1">
        <f t="shared" ca="1" si="19"/>
        <v>0</v>
      </c>
      <c r="F196" s="1">
        <f t="shared" ca="1" si="20"/>
        <v>52</v>
      </c>
      <c r="G196" s="1">
        <f t="shared" ca="1" si="21"/>
        <v>-218.21101343714309</v>
      </c>
      <c r="H196" s="1" t="str">
        <f t="shared" si="22"/>
        <v xml:space="preserve"> September -2021</v>
      </c>
      <c r="I196" t="s">
        <v>21</v>
      </c>
      <c r="J196">
        <v>2021</v>
      </c>
      <c r="K196" s="1"/>
      <c r="L196" s="1"/>
      <c r="M196" s="1"/>
      <c r="N196" s="1"/>
    </row>
    <row r="197" spans="1:14" x14ac:dyDescent="0.25">
      <c r="A197" t="s">
        <v>10</v>
      </c>
      <c r="B197" s="2">
        <v>0</v>
      </c>
      <c r="C197" s="1">
        <f t="shared" ca="1" si="23"/>
        <v>267.76146457893589</v>
      </c>
      <c r="D197" s="1">
        <f t="shared" ca="1" si="18"/>
        <v>300.53156658126068</v>
      </c>
      <c r="E197" s="1">
        <f t="shared" ca="1" si="19"/>
        <v>0</v>
      </c>
      <c r="F197" s="1">
        <f t="shared" ca="1" si="20"/>
        <v>51</v>
      </c>
      <c r="G197" s="1">
        <f t="shared" ca="1" si="21"/>
        <v>-267.76146457893589</v>
      </c>
      <c r="H197" s="1" t="str">
        <f t="shared" si="22"/>
        <v xml:space="preserve"> September -2021</v>
      </c>
      <c r="I197" t="s">
        <v>21</v>
      </c>
      <c r="J197">
        <v>2021</v>
      </c>
      <c r="K197" s="1"/>
      <c r="L197" s="1"/>
      <c r="M197" s="1"/>
      <c r="N197" s="1"/>
    </row>
    <row r="198" spans="1:14" x14ac:dyDescent="0.25">
      <c r="A198" t="s">
        <v>10</v>
      </c>
      <c r="B198" s="2">
        <v>0</v>
      </c>
      <c r="C198" s="1">
        <f t="shared" ca="1" si="23"/>
        <v>242.15250179703173</v>
      </c>
      <c r="D198" s="1">
        <f t="shared" ca="1" si="18"/>
        <v>369.50546134302579</v>
      </c>
      <c r="E198" s="1">
        <f t="shared" ca="1" si="19"/>
        <v>0</v>
      </c>
      <c r="F198" s="1">
        <f t="shared" ca="1" si="20"/>
        <v>58</v>
      </c>
      <c r="G198" s="1">
        <f t="shared" ca="1" si="21"/>
        <v>-242.15250179703173</v>
      </c>
      <c r="H198" s="1" t="str">
        <f t="shared" si="22"/>
        <v xml:space="preserve"> September -2021</v>
      </c>
      <c r="I198" t="s">
        <v>21</v>
      </c>
      <c r="J198">
        <v>2021</v>
      </c>
      <c r="K198" s="1"/>
      <c r="L198" s="1"/>
      <c r="M198" s="1"/>
      <c r="N198" s="1"/>
    </row>
    <row r="199" spans="1:14" x14ac:dyDescent="0.25">
      <c r="A199" t="s">
        <v>12</v>
      </c>
      <c r="B199" s="2">
        <v>0</v>
      </c>
      <c r="C199" s="1">
        <f t="shared" ca="1" si="23"/>
        <v>237.42063021872193</v>
      </c>
      <c r="D199" s="1">
        <f t="shared" ca="1" si="18"/>
        <v>251.77645255861714</v>
      </c>
      <c r="E199" s="1">
        <f t="shared" ca="1" si="19"/>
        <v>0</v>
      </c>
      <c r="F199" s="1">
        <f t="shared" ca="1" si="20"/>
        <v>57</v>
      </c>
      <c r="G199" s="1">
        <f t="shared" ca="1" si="21"/>
        <v>-237.42063021872193</v>
      </c>
      <c r="H199" s="1" t="str">
        <f t="shared" si="22"/>
        <v xml:space="preserve"> October -2021</v>
      </c>
      <c r="I199" t="s">
        <v>22</v>
      </c>
      <c r="J199">
        <v>2021</v>
      </c>
      <c r="K199" s="1"/>
      <c r="L199" s="1"/>
      <c r="M199" s="1"/>
      <c r="N199" s="1"/>
    </row>
    <row r="200" spans="1:14" x14ac:dyDescent="0.25">
      <c r="A200" t="s">
        <v>12</v>
      </c>
      <c r="B200" s="2">
        <v>0</v>
      </c>
      <c r="C200" s="1">
        <f t="shared" ca="1" si="23"/>
        <v>298.44072626414999</v>
      </c>
      <c r="D200" s="1">
        <f t="shared" ca="1" si="18"/>
        <v>557.22345967452884</v>
      </c>
      <c r="E200" s="1">
        <f t="shared" ca="1" si="19"/>
        <v>0</v>
      </c>
      <c r="F200" s="1">
        <f t="shared" ca="1" si="20"/>
        <v>52</v>
      </c>
      <c r="G200" s="1">
        <f t="shared" ca="1" si="21"/>
        <v>-298.44072626414999</v>
      </c>
      <c r="H200" s="1" t="str">
        <f t="shared" si="22"/>
        <v xml:space="preserve"> October -2021</v>
      </c>
      <c r="I200" t="s">
        <v>22</v>
      </c>
      <c r="J200">
        <v>2021</v>
      </c>
      <c r="K200" s="1"/>
      <c r="L200" s="1"/>
      <c r="M200" s="1"/>
      <c r="N200" s="1"/>
    </row>
    <row r="201" spans="1:14" x14ac:dyDescent="0.25">
      <c r="A201" t="s">
        <v>10</v>
      </c>
      <c r="B201" s="2">
        <v>0</v>
      </c>
      <c r="C201" s="1">
        <f t="shared" ca="1" si="23"/>
        <v>267.97017280915071</v>
      </c>
      <c r="D201" s="1">
        <f t="shared" ca="1" si="18"/>
        <v>476.25777039621812</v>
      </c>
      <c r="E201" s="1">
        <f t="shared" ca="1" si="19"/>
        <v>0</v>
      </c>
      <c r="F201" s="1">
        <f t="shared" ca="1" si="20"/>
        <v>63</v>
      </c>
      <c r="G201" s="1">
        <f t="shared" ca="1" si="21"/>
        <v>-267.97017280915071</v>
      </c>
      <c r="H201" s="1" t="str">
        <f t="shared" si="22"/>
        <v xml:space="preserve"> December -2021</v>
      </c>
      <c r="I201" t="s">
        <v>14</v>
      </c>
      <c r="J201">
        <v>2021</v>
      </c>
      <c r="K201" s="1"/>
      <c r="L201" s="1"/>
      <c r="M201" s="1"/>
      <c r="N201" s="1"/>
    </row>
    <row r="202" spans="1:14" x14ac:dyDescent="0.25">
      <c r="A202" t="s">
        <v>17</v>
      </c>
      <c r="B202" s="2">
        <v>0</v>
      </c>
      <c r="C202" s="1">
        <f t="shared" ca="1" si="23"/>
        <v>241.30083047062811</v>
      </c>
      <c r="D202" s="1">
        <f t="shared" ca="1" si="18"/>
        <v>380.82321901712032</v>
      </c>
      <c r="E202" s="1">
        <f t="shared" ca="1" si="19"/>
        <v>0</v>
      </c>
      <c r="F202" s="1">
        <f t="shared" ca="1" si="20"/>
        <v>70</v>
      </c>
      <c r="G202" s="1">
        <f t="shared" ca="1" si="21"/>
        <v>-241.30083047062811</v>
      </c>
      <c r="H202" s="1" t="str">
        <f t="shared" si="22"/>
        <v xml:space="preserve"> December -2021</v>
      </c>
      <c r="I202" t="s">
        <v>14</v>
      </c>
      <c r="J202">
        <v>2021</v>
      </c>
      <c r="K202" s="1"/>
      <c r="L202" s="1"/>
      <c r="M202" s="1"/>
      <c r="N202" s="1"/>
    </row>
    <row r="203" spans="1:14" x14ac:dyDescent="0.25">
      <c r="A203" t="s">
        <v>16</v>
      </c>
      <c r="B203" s="2">
        <v>0</v>
      </c>
      <c r="C203" s="1">
        <f t="shared" ca="1" si="23"/>
        <v>262.50070604383831</v>
      </c>
      <c r="D203" s="1">
        <f t="shared" ca="1" si="18"/>
        <v>470.81981719987846</v>
      </c>
      <c r="E203" s="1">
        <f t="shared" ca="1" si="19"/>
        <v>0</v>
      </c>
      <c r="F203" s="1">
        <f t="shared" ca="1" si="20"/>
        <v>59</v>
      </c>
      <c r="G203" s="1">
        <f t="shared" ca="1" si="21"/>
        <v>-262.50070604383831</v>
      </c>
      <c r="H203" s="1" t="str">
        <f t="shared" si="22"/>
        <v xml:space="preserve"> March -2021</v>
      </c>
      <c r="I203" t="s">
        <v>15</v>
      </c>
      <c r="J203">
        <v>2021</v>
      </c>
      <c r="K203" s="1"/>
      <c r="L203" s="1"/>
      <c r="M203" s="1"/>
      <c r="N203" s="1"/>
    </row>
    <row r="204" spans="1:14" x14ac:dyDescent="0.25">
      <c r="A204" t="s">
        <v>10</v>
      </c>
      <c r="B204" s="2">
        <v>0</v>
      </c>
      <c r="C204" s="1">
        <f t="shared" ca="1" si="23"/>
        <v>229.86265437000299</v>
      </c>
      <c r="D204" s="1">
        <f t="shared" ca="1" si="18"/>
        <v>368.26644079709087</v>
      </c>
      <c r="E204" s="1">
        <f t="shared" ca="1" si="19"/>
        <v>0</v>
      </c>
      <c r="F204" s="1">
        <f t="shared" ca="1" si="20"/>
        <v>64</v>
      </c>
      <c r="G204" s="1">
        <f t="shared" ca="1" si="21"/>
        <v>-229.86265437000299</v>
      </c>
      <c r="H204" s="1" t="str">
        <f t="shared" si="22"/>
        <v xml:space="preserve"> September -2021</v>
      </c>
      <c r="I204" t="s">
        <v>21</v>
      </c>
      <c r="J204">
        <v>2021</v>
      </c>
      <c r="K204" s="1"/>
      <c r="L204" s="1"/>
      <c r="M204" s="1"/>
      <c r="N204" s="1"/>
    </row>
    <row r="205" spans="1:14" x14ac:dyDescent="0.25">
      <c r="A205" t="s">
        <v>10</v>
      </c>
      <c r="B205" s="2">
        <v>0</v>
      </c>
      <c r="C205" s="1">
        <f t="shared" ca="1" si="23"/>
        <v>216.22053216634524</v>
      </c>
      <c r="D205" s="1">
        <f t="shared" ca="1" si="18"/>
        <v>292.15185139110872</v>
      </c>
      <c r="E205" s="1">
        <f t="shared" ca="1" si="19"/>
        <v>0</v>
      </c>
      <c r="F205" s="1">
        <f t="shared" ca="1" si="20"/>
        <v>59</v>
      </c>
      <c r="G205" s="1">
        <f t="shared" ca="1" si="21"/>
        <v>-216.22053216634524</v>
      </c>
      <c r="H205" s="1" t="str">
        <f t="shared" si="22"/>
        <v xml:space="preserve"> October -2021</v>
      </c>
      <c r="I205" t="s">
        <v>22</v>
      </c>
      <c r="J205">
        <v>2021</v>
      </c>
      <c r="K205" s="1"/>
      <c r="L205" s="1"/>
      <c r="M205" s="1"/>
      <c r="N205" s="1"/>
    </row>
    <row r="206" spans="1:14" x14ac:dyDescent="0.25">
      <c r="A206" t="s">
        <v>16</v>
      </c>
      <c r="B206" s="2">
        <v>0</v>
      </c>
      <c r="C206" s="1">
        <f t="shared" ca="1" si="23"/>
        <v>291.57610862416698</v>
      </c>
      <c r="D206" s="1">
        <f t="shared" ca="1" si="18"/>
        <v>355.73877027806731</v>
      </c>
      <c r="E206" s="1">
        <f t="shared" ca="1" si="19"/>
        <v>0</v>
      </c>
      <c r="F206" s="1">
        <f t="shared" ca="1" si="20"/>
        <v>60</v>
      </c>
      <c r="G206" s="1">
        <f t="shared" ca="1" si="21"/>
        <v>-291.57610862416698</v>
      </c>
      <c r="H206" s="1" t="str">
        <f t="shared" si="22"/>
        <v xml:space="preserve"> May -2021</v>
      </c>
      <c r="I206" t="s">
        <v>26</v>
      </c>
      <c r="J206">
        <v>2021</v>
      </c>
      <c r="K206" s="1"/>
      <c r="L206" s="1"/>
      <c r="M206" s="1"/>
      <c r="N206" s="1"/>
    </row>
    <row r="207" spans="1:14" x14ac:dyDescent="0.25">
      <c r="A207" t="s">
        <v>10</v>
      </c>
      <c r="B207" s="2">
        <v>0</v>
      </c>
      <c r="C207" s="1">
        <f t="shared" ca="1" si="23"/>
        <v>270.48697916602578</v>
      </c>
      <c r="D207" s="1">
        <f t="shared" ca="1" si="18"/>
        <v>274.69372766775058</v>
      </c>
      <c r="E207" s="1">
        <f t="shared" ca="1" si="19"/>
        <v>0</v>
      </c>
      <c r="F207" s="1">
        <f t="shared" ca="1" si="20"/>
        <v>74</v>
      </c>
      <c r="G207" s="1">
        <f t="shared" ca="1" si="21"/>
        <v>-270.48697916602578</v>
      </c>
      <c r="H207" s="1" t="str">
        <f t="shared" si="22"/>
        <v xml:space="preserve"> September -2021</v>
      </c>
      <c r="I207" t="s">
        <v>21</v>
      </c>
      <c r="J207">
        <v>2021</v>
      </c>
      <c r="K207" s="1"/>
      <c r="L207" s="1"/>
      <c r="M207" s="1"/>
      <c r="N207" s="1"/>
    </row>
    <row r="208" spans="1:14" x14ac:dyDescent="0.25">
      <c r="A208" t="s">
        <v>10</v>
      </c>
      <c r="B208" s="2">
        <v>0</v>
      </c>
      <c r="C208" s="1">
        <f t="shared" ca="1" si="23"/>
        <v>296.09978690735124</v>
      </c>
      <c r="D208" s="1">
        <f t="shared" ca="1" si="18"/>
        <v>493.32234982476473</v>
      </c>
      <c r="E208" s="1">
        <f t="shared" ca="1" si="19"/>
        <v>0</v>
      </c>
      <c r="F208" s="1">
        <f t="shared" ca="1" si="20"/>
        <v>63</v>
      </c>
      <c r="G208" s="1">
        <f t="shared" ca="1" si="21"/>
        <v>-296.09978690735124</v>
      </c>
      <c r="H208" s="1" t="str">
        <f t="shared" si="22"/>
        <v xml:space="preserve"> October -2021</v>
      </c>
      <c r="I208" t="s">
        <v>22</v>
      </c>
      <c r="J208">
        <v>2021</v>
      </c>
      <c r="K208" s="1"/>
      <c r="L208" s="1"/>
      <c r="M208" s="1"/>
      <c r="N208" s="1"/>
    </row>
    <row r="209" spans="1:14" x14ac:dyDescent="0.25">
      <c r="A209" t="s">
        <v>12</v>
      </c>
      <c r="B209" s="2">
        <v>0</v>
      </c>
      <c r="C209" s="1">
        <f t="shared" ca="1" si="23"/>
        <v>215.07900663589194</v>
      </c>
      <c r="D209" s="1">
        <f t="shared" ca="1" si="18"/>
        <v>415.70208622406699</v>
      </c>
      <c r="E209" s="1">
        <f t="shared" ca="1" si="19"/>
        <v>0</v>
      </c>
      <c r="F209" s="1">
        <f t="shared" ca="1" si="20"/>
        <v>56</v>
      </c>
      <c r="G209" s="1">
        <f t="shared" ca="1" si="21"/>
        <v>-215.07900663589194</v>
      </c>
      <c r="H209" s="1" t="str">
        <f t="shared" si="22"/>
        <v xml:space="preserve"> October -2021</v>
      </c>
      <c r="I209" t="s">
        <v>22</v>
      </c>
      <c r="J209">
        <v>2021</v>
      </c>
      <c r="K209" s="1"/>
      <c r="L209" s="1"/>
      <c r="M209" s="1"/>
      <c r="N209" s="1"/>
    </row>
    <row r="210" spans="1:14" x14ac:dyDescent="0.25">
      <c r="A210" t="s">
        <v>10</v>
      </c>
      <c r="B210" s="2">
        <v>0</v>
      </c>
      <c r="C210" s="1">
        <f t="shared" ca="1" si="23"/>
        <v>214.22836518709391</v>
      </c>
      <c r="D210" s="1">
        <f t="shared" ca="1" si="18"/>
        <v>308.72662326973983</v>
      </c>
      <c r="E210" s="1">
        <f t="shared" ca="1" si="19"/>
        <v>0</v>
      </c>
      <c r="F210" s="1">
        <f t="shared" ca="1" si="20"/>
        <v>70</v>
      </c>
      <c r="G210" s="1">
        <f t="shared" ca="1" si="21"/>
        <v>-214.22836518709391</v>
      </c>
      <c r="H210" s="1" t="str">
        <f t="shared" si="22"/>
        <v xml:space="preserve"> February -2021</v>
      </c>
      <c r="I210" t="s">
        <v>23</v>
      </c>
      <c r="J210">
        <v>2021</v>
      </c>
      <c r="K210" s="1"/>
      <c r="L210" s="1"/>
      <c r="M210" s="1"/>
      <c r="N210" s="1"/>
    </row>
    <row r="211" spans="1:14" x14ac:dyDescent="0.25">
      <c r="C211" s="1"/>
      <c r="D211" s="1"/>
      <c r="E211" s="1"/>
      <c r="F211" s="1"/>
      <c r="G211" s="1"/>
      <c r="H211" s="1"/>
      <c r="K211" s="1"/>
      <c r="L211" s="1"/>
      <c r="M211" s="1"/>
      <c r="N211" s="1"/>
    </row>
    <row r="212" spans="1:14" x14ac:dyDescent="0.25">
      <c r="C212" s="1"/>
      <c r="D212" s="1"/>
      <c r="E212" s="1"/>
      <c r="F212" s="1"/>
      <c r="G212" s="1"/>
      <c r="H212" s="1"/>
      <c r="K212" s="1"/>
      <c r="L212" s="1"/>
      <c r="M212" s="1"/>
      <c r="N212" s="1"/>
    </row>
    <row r="213" spans="1:14" x14ac:dyDescent="0.25">
      <c r="C213" s="1"/>
      <c r="D213" s="1"/>
      <c r="E213" s="1"/>
      <c r="F213" s="1"/>
      <c r="G213" s="1"/>
      <c r="H213" s="1"/>
      <c r="K213" s="1"/>
      <c r="L213" s="1"/>
      <c r="M213" s="1"/>
      <c r="N213" s="1"/>
    </row>
    <row r="214" spans="1:14" x14ac:dyDescent="0.25">
      <c r="C214" s="1"/>
      <c r="D214" s="1"/>
      <c r="E214" s="1"/>
      <c r="F214" s="1"/>
      <c r="G214" s="1"/>
      <c r="H214" s="1"/>
      <c r="K214" s="1"/>
      <c r="L214" s="1"/>
      <c r="M214" s="1"/>
      <c r="N214" s="1"/>
    </row>
    <row r="215" spans="1:14" x14ac:dyDescent="0.25">
      <c r="C215" s="1"/>
      <c r="D215" s="1"/>
      <c r="E215" s="1"/>
      <c r="F215" s="1"/>
      <c r="G215" s="1"/>
      <c r="H215" s="1"/>
      <c r="K215" s="1"/>
      <c r="L215" s="1"/>
      <c r="M215" s="1"/>
      <c r="N215" s="1"/>
    </row>
    <row r="216" spans="1:14" x14ac:dyDescent="0.25">
      <c r="C216" s="1"/>
      <c r="D216" s="1"/>
      <c r="E216" s="1"/>
      <c r="F216" s="1"/>
      <c r="G216" s="1"/>
      <c r="H216" s="1"/>
      <c r="K216" s="1"/>
      <c r="L216" s="1"/>
      <c r="M216" s="1"/>
      <c r="N216" s="1"/>
    </row>
    <row r="217" spans="1:14" x14ac:dyDescent="0.25">
      <c r="C217" s="1"/>
      <c r="D217" s="1"/>
      <c r="E217" s="1"/>
      <c r="F217" s="1"/>
      <c r="G217" s="1"/>
      <c r="H217" s="1"/>
      <c r="K217" s="1"/>
      <c r="L217" s="1"/>
      <c r="M217" s="1"/>
      <c r="N217" s="1"/>
    </row>
    <row r="218" spans="1:14" x14ac:dyDescent="0.25">
      <c r="C218" s="1"/>
      <c r="D218" s="1"/>
      <c r="E218" s="1"/>
      <c r="F218" s="1"/>
      <c r="G218" s="1"/>
      <c r="H218" s="1"/>
      <c r="K218" s="1"/>
      <c r="L218" s="1"/>
      <c r="M218" s="1"/>
      <c r="N218" s="1"/>
    </row>
    <row r="219" spans="1:14" x14ac:dyDescent="0.25">
      <c r="C219" s="1"/>
      <c r="D219" s="1"/>
      <c r="E219" s="1"/>
      <c r="F219" s="1"/>
      <c r="G219" s="1"/>
      <c r="H219" s="1"/>
      <c r="K219" s="1"/>
      <c r="L219" s="1"/>
      <c r="M219" s="1"/>
      <c r="N219" s="1"/>
    </row>
    <row r="220" spans="1:14" x14ac:dyDescent="0.25">
      <c r="C220" s="1"/>
      <c r="D220" s="1"/>
      <c r="E220" s="1"/>
      <c r="F220" s="1"/>
      <c r="G220" s="1"/>
      <c r="H220" s="1"/>
      <c r="K220" s="1"/>
      <c r="L220" s="1"/>
      <c r="M220" s="1"/>
      <c r="N220" s="1"/>
    </row>
    <row r="221" spans="1:14" x14ac:dyDescent="0.25">
      <c r="C221" s="1"/>
      <c r="D221" s="1"/>
      <c r="E221" s="1"/>
      <c r="F221" s="1"/>
      <c r="G221" s="1"/>
      <c r="H221" s="1"/>
      <c r="K221" s="1"/>
      <c r="L221" s="1"/>
      <c r="M221" s="1"/>
      <c r="N221" s="1"/>
    </row>
    <row r="222" spans="1:14" x14ac:dyDescent="0.25">
      <c r="C222" s="1"/>
      <c r="D222" s="1"/>
      <c r="E222" s="1"/>
      <c r="F222" s="1"/>
      <c r="G222" s="1"/>
      <c r="H222" s="1"/>
      <c r="K222" s="1"/>
      <c r="L222" s="1"/>
      <c r="M222" s="1"/>
      <c r="N222" s="1"/>
    </row>
    <row r="223" spans="1:14" x14ac:dyDescent="0.25">
      <c r="C223" s="1"/>
      <c r="D223" s="1"/>
      <c r="E223" s="1"/>
      <c r="F223" s="1"/>
      <c r="G223" s="1"/>
      <c r="H223" s="1"/>
      <c r="K223" s="1"/>
      <c r="L223" s="1"/>
      <c r="M223" s="1"/>
      <c r="N223" s="1"/>
    </row>
    <row r="224" spans="1:14" x14ac:dyDescent="0.25">
      <c r="C224" s="1"/>
      <c r="D224" s="1"/>
      <c r="E224" s="1"/>
      <c r="F224" s="1"/>
      <c r="G224" s="1"/>
      <c r="H224" s="1"/>
      <c r="K224" s="1"/>
      <c r="L224" s="1"/>
      <c r="M224" s="1"/>
      <c r="N224" s="1"/>
    </row>
    <row r="225" spans="3:14" x14ac:dyDescent="0.25">
      <c r="C225" s="1"/>
      <c r="D225" s="1"/>
      <c r="E225" s="1"/>
      <c r="F225" s="1"/>
      <c r="G225" s="1"/>
      <c r="H225" s="1"/>
      <c r="K225" s="1"/>
      <c r="L225" s="1"/>
      <c r="M225" s="1"/>
      <c r="N225" s="1"/>
    </row>
    <row r="226" spans="3:14" x14ac:dyDescent="0.25">
      <c r="C226" s="1"/>
      <c r="D226" s="1"/>
      <c r="E226" s="1"/>
      <c r="F226" s="1"/>
      <c r="G226" s="1"/>
      <c r="H226" s="1"/>
      <c r="K226" s="1"/>
      <c r="L226" s="1"/>
      <c r="M226" s="1"/>
      <c r="N226" s="1"/>
    </row>
    <row r="227" spans="3:14" x14ac:dyDescent="0.25">
      <c r="C227" s="1"/>
      <c r="D227" s="1"/>
      <c r="E227" s="1"/>
      <c r="F227" s="1"/>
      <c r="G227" s="1"/>
      <c r="H227" s="1"/>
      <c r="K227" s="1"/>
      <c r="L227" s="1"/>
      <c r="M227" s="1"/>
      <c r="N227" s="1"/>
    </row>
    <row r="228" spans="3:14" x14ac:dyDescent="0.25">
      <c r="C228" s="1"/>
      <c r="D228" s="1"/>
      <c r="E228" s="1"/>
      <c r="F228" s="1"/>
      <c r="G228" s="1"/>
      <c r="H228" s="1"/>
      <c r="K228" s="1"/>
      <c r="L228" s="1"/>
      <c r="M228" s="1"/>
      <c r="N228" s="1"/>
    </row>
    <row r="229" spans="3:14" x14ac:dyDescent="0.25">
      <c r="C229" s="1"/>
      <c r="D229" s="1"/>
      <c r="E229" s="1"/>
      <c r="F229" s="1"/>
      <c r="G229" s="1"/>
      <c r="H229" s="1"/>
      <c r="K229" s="1"/>
      <c r="L229" s="1"/>
      <c r="M229" s="1"/>
      <c r="N229" s="1"/>
    </row>
    <row r="230" spans="3:14" x14ac:dyDescent="0.25">
      <c r="C230" s="1"/>
      <c r="D230" s="1"/>
      <c r="E230" s="1"/>
      <c r="F230" s="1"/>
      <c r="G230" s="1"/>
      <c r="H230" s="1"/>
      <c r="K230" s="1"/>
      <c r="L230" s="1"/>
      <c r="M230" s="1"/>
      <c r="N230" s="1"/>
    </row>
    <row r="231" spans="3:14" x14ac:dyDescent="0.25">
      <c r="C231" s="1"/>
      <c r="D231" s="1"/>
      <c r="E231" s="1"/>
      <c r="F231" s="1"/>
      <c r="G231" s="1"/>
      <c r="H231" s="1"/>
      <c r="K231" s="1"/>
      <c r="L231" s="1"/>
      <c r="M231" s="1"/>
      <c r="N231" s="1"/>
    </row>
    <row r="232" spans="3:14" x14ac:dyDescent="0.25">
      <c r="C232" s="1"/>
      <c r="D232" s="1"/>
      <c r="E232" s="1"/>
      <c r="F232" s="1"/>
      <c r="G232" s="1"/>
      <c r="H232" s="1"/>
      <c r="K232" s="1"/>
      <c r="L232" s="1"/>
      <c r="M232" s="1"/>
      <c r="N232" s="1"/>
    </row>
    <row r="233" spans="3:14" x14ac:dyDescent="0.25">
      <c r="C233" s="1"/>
      <c r="D233" s="1"/>
      <c r="E233" s="1"/>
      <c r="F233" s="1"/>
      <c r="G233" s="1"/>
      <c r="H233" s="1"/>
      <c r="K233" s="1"/>
      <c r="L233" s="1"/>
      <c r="M233" s="1"/>
      <c r="N233" s="1"/>
    </row>
    <row r="234" spans="3:14" x14ac:dyDescent="0.25">
      <c r="C234" s="1"/>
      <c r="D234" s="1"/>
      <c r="E234" s="1"/>
      <c r="F234" s="1"/>
      <c r="G234" s="1"/>
      <c r="H234" s="1"/>
      <c r="K234" s="1"/>
      <c r="L234" s="1"/>
      <c r="M234" s="1"/>
      <c r="N234" s="1"/>
    </row>
    <row r="235" spans="3:14" x14ac:dyDescent="0.25">
      <c r="C235" s="1"/>
      <c r="D235" s="1"/>
      <c r="E235" s="1"/>
      <c r="F235" s="1"/>
      <c r="G235" s="1"/>
      <c r="H235" s="1"/>
      <c r="K235" s="1"/>
      <c r="L235" s="1"/>
      <c r="M235" s="1"/>
      <c r="N235" s="1"/>
    </row>
    <row r="236" spans="3:14" x14ac:dyDescent="0.25">
      <c r="C236" s="1"/>
      <c r="D236" s="1"/>
      <c r="E236" s="1"/>
      <c r="F236" s="1"/>
      <c r="G236" s="1"/>
      <c r="H236" s="1"/>
      <c r="K236" s="1"/>
      <c r="L236" s="1"/>
      <c r="M236" s="1"/>
      <c r="N236" s="1"/>
    </row>
    <row r="237" spans="3:14" x14ac:dyDescent="0.25">
      <c r="C237" s="1"/>
      <c r="D237" s="1"/>
      <c r="E237" s="1"/>
      <c r="F237" s="1"/>
      <c r="G237" s="1"/>
      <c r="H237" s="1"/>
      <c r="K237" s="1"/>
      <c r="L237" s="1"/>
      <c r="M237" s="1"/>
      <c r="N237" s="1"/>
    </row>
    <row r="238" spans="3:14" x14ac:dyDescent="0.25">
      <c r="C238" s="1"/>
      <c r="D238" s="1"/>
      <c r="E238" s="1"/>
      <c r="F238" s="1"/>
      <c r="G238" s="1"/>
      <c r="H238" s="1"/>
      <c r="K238" s="1"/>
      <c r="L238" s="1"/>
      <c r="M238" s="1"/>
      <c r="N238" s="1"/>
    </row>
    <row r="239" spans="3:14" x14ac:dyDescent="0.25">
      <c r="C239" s="1"/>
      <c r="D239" s="1"/>
      <c r="E239" s="1"/>
      <c r="F239" s="1"/>
      <c r="G239" s="1"/>
      <c r="H239" s="1"/>
      <c r="K239" s="1"/>
      <c r="L239" s="1"/>
      <c r="M239" s="1"/>
      <c r="N239" s="1"/>
    </row>
    <row r="240" spans="3:14" x14ac:dyDescent="0.25">
      <c r="C240" s="1"/>
      <c r="D240" s="1"/>
      <c r="E240" s="1"/>
      <c r="F240" s="1"/>
      <c r="G240" s="1"/>
      <c r="H240" s="1"/>
      <c r="K240" s="1"/>
      <c r="L240" s="1"/>
      <c r="M240" s="1"/>
      <c r="N240" s="1"/>
    </row>
    <row r="241" spans="3:14" x14ac:dyDescent="0.25">
      <c r="C241" s="1"/>
      <c r="D241" s="1"/>
      <c r="E241" s="1"/>
      <c r="F241" s="1"/>
      <c r="G241" s="1"/>
      <c r="H241" s="1"/>
      <c r="K241" s="1"/>
      <c r="L241" s="1"/>
      <c r="M241" s="1"/>
      <c r="N241" s="1"/>
    </row>
    <row r="242" spans="3:14" x14ac:dyDescent="0.25">
      <c r="C242" s="1"/>
      <c r="D242" s="1"/>
      <c r="E242" s="1"/>
      <c r="F242" s="1"/>
      <c r="G242" s="1"/>
      <c r="H242" s="1"/>
      <c r="K242" s="1"/>
      <c r="L242" s="1"/>
      <c r="M242" s="1"/>
      <c r="N242" s="1"/>
    </row>
    <row r="243" spans="3:14" x14ac:dyDescent="0.25">
      <c r="C243" s="1"/>
      <c r="D243" s="1"/>
      <c r="E243" s="1"/>
      <c r="F243" s="1"/>
      <c r="G243" s="1"/>
      <c r="H243" s="1"/>
      <c r="K243" s="1"/>
      <c r="L243" s="1"/>
      <c r="M243" s="1"/>
      <c r="N243" s="1"/>
    </row>
    <row r="244" spans="3:14" x14ac:dyDescent="0.25">
      <c r="C244" s="1"/>
      <c r="D244" s="1"/>
      <c r="E244" s="1"/>
      <c r="F244" s="1"/>
      <c r="G244" s="1"/>
      <c r="H244" s="1"/>
      <c r="K244" s="1"/>
      <c r="L244" s="1"/>
      <c r="M244" s="1"/>
      <c r="N244" s="1"/>
    </row>
    <row r="245" spans="3:14" x14ac:dyDescent="0.25">
      <c r="C245" s="1"/>
      <c r="D245" s="1"/>
      <c r="E245" s="1"/>
      <c r="F245" s="1"/>
      <c r="G245" s="1"/>
      <c r="H245" s="1"/>
      <c r="K245" s="1"/>
      <c r="L245" s="1"/>
      <c r="M245" s="1"/>
      <c r="N245" s="1"/>
    </row>
    <row r="246" spans="3:14" x14ac:dyDescent="0.25">
      <c r="C246" s="1"/>
      <c r="D246" s="1"/>
      <c r="E246" s="1"/>
      <c r="F246" s="1"/>
      <c r="G246" s="1"/>
      <c r="H246" s="1"/>
      <c r="K246" s="1"/>
      <c r="L246" s="1"/>
      <c r="M246" s="1"/>
      <c r="N246" s="1"/>
    </row>
    <row r="247" spans="3:14" x14ac:dyDescent="0.25">
      <c r="C247" s="1"/>
      <c r="D247" s="1"/>
      <c r="E247" s="1"/>
      <c r="F247" s="1"/>
      <c r="G247" s="1"/>
      <c r="H247" s="1"/>
      <c r="K247" s="1"/>
      <c r="L247" s="1"/>
      <c r="M247" s="1"/>
      <c r="N247" s="1"/>
    </row>
    <row r="248" spans="3:14" x14ac:dyDescent="0.25">
      <c r="C248" s="1"/>
      <c r="D248" s="1"/>
      <c r="E248" s="1"/>
      <c r="F248" s="1"/>
      <c r="G248" s="1"/>
      <c r="H248" s="1"/>
      <c r="K248" s="1"/>
      <c r="L248" s="1"/>
      <c r="M248" s="1"/>
      <c r="N248" s="1"/>
    </row>
    <row r="249" spans="3:14" x14ac:dyDescent="0.25">
      <c r="C249" s="1"/>
      <c r="D249" s="1"/>
      <c r="E249" s="1"/>
      <c r="F249" s="1"/>
      <c r="G249" s="1"/>
      <c r="H249" s="1"/>
      <c r="K249" s="1"/>
      <c r="L249" s="1"/>
      <c r="M249" s="1"/>
      <c r="N249" s="1"/>
    </row>
    <row r="250" spans="3:14" x14ac:dyDescent="0.25">
      <c r="C250" s="1"/>
      <c r="D250" s="1"/>
      <c r="E250" s="1"/>
      <c r="F250" s="1"/>
      <c r="G250" s="1"/>
      <c r="H250" s="1"/>
      <c r="K250" s="1"/>
      <c r="L250" s="1"/>
      <c r="M250" s="1"/>
      <c r="N250" s="1"/>
    </row>
    <row r="251" spans="3:14" x14ac:dyDescent="0.25">
      <c r="C251" s="1"/>
      <c r="D251" s="1"/>
      <c r="E251" s="1"/>
      <c r="F251" s="1"/>
      <c r="G251" s="1"/>
      <c r="H251" s="1"/>
      <c r="K251" s="1"/>
      <c r="L251" s="1"/>
      <c r="M251" s="1"/>
      <c r="N251" s="1"/>
    </row>
    <row r="252" spans="3:14" x14ac:dyDescent="0.25">
      <c r="C252" s="1"/>
      <c r="D252" s="1"/>
      <c r="E252" s="1"/>
      <c r="F252" s="1"/>
      <c r="G252" s="1"/>
      <c r="H252" s="1"/>
      <c r="K252" s="1"/>
      <c r="L252" s="1"/>
      <c r="M252" s="1"/>
      <c r="N252" s="1"/>
    </row>
    <row r="253" spans="3:14" x14ac:dyDescent="0.25">
      <c r="C253" s="1"/>
      <c r="D253" s="1"/>
      <c r="E253" s="1"/>
      <c r="F253" s="1"/>
      <c r="G253" s="1"/>
      <c r="H253" s="1"/>
      <c r="K253" s="1"/>
      <c r="L253" s="1"/>
      <c r="M253" s="1"/>
      <c r="N253" s="1"/>
    </row>
    <row r="254" spans="3:14" x14ac:dyDescent="0.25">
      <c r="C254" s="1"/>
      <c r="D254" s="1"/>
      <c r="E254" s="1"/>
      <c r="F254" s="1"/>
      <c r="G254" s="1"/>
      <c r="H254" s="1"/>
      <c r="K254" s="1"/>
      <c r="L254" s="1"/>
      <c r="M254" s="1"/>
      <c r="N254" s="1"/>
    </row>
    <row r="255" spans="3:14" x14ac:dyDescent="0.25">
      <c r="C255" s="1"/>
      <c r="D255" s="1"/>
      <c r="E255" s="1"/>
      <c r="F255" s="1"/>
      <c r="G255" s="1"/>
      <c r="H255" s="1"/>
      <c r="K255" s="1"/>
      <c r="L255" s="1"/>
      <c r="M255" s="1"/>
      <c r="N255" s="1"/>
    </row>
    <row r="256" spans="3:14" x14ac:dyDescent="0.25">
      <c r="C256" s="1"/>
      <c r="D256" s="1"/>
      <c r="E256" s="1"/>
      <c r="F256" s="1"/>
      <c r="G256" s="1"/>
      <c r="H256" s="1"/>
      <c r="K256" s="1"/>
      <c r="L256" s="1"/>
      <c r="M256" s="1"/>
      <c r="N256" s="1"/>
    </row>
    <row r="257" spans="3:14" x14ac:dyDescent="0.25">
      <c r="C257" s="1"/>
      <c r="D257" s="1"/>
      <c r="E257" s="1"/>
      <c r="F257" s="1"/>
      <c r="G257" s="1"/>
      <c r="H257" s="1"/>
      <c r="K257" s="1"/>
      <c r="L257" s="1"/>
      <c r="M257" s="1"/>
      <c r="N257" s="1"/>
    </row>
    <row r="258" spans="3:14" x14ac:dyDescent="0.25">
      <c r="C258" s="1"/>
      <c r="D258" s="1"/>
      <c r="E258" s="1"/>
      <c r="F258" s="1"/>
      <c r="G258" s="1"/>
      <c r="H258" s="1"/>
      <c r="K258" s="1"/>
      <c r="L258" s="1"/>
      <c r="M258" s="1"/>
      <c r="N258" s="1"/>
    </row>
    <row r="259" spans="3:14" x14ac:dyDescent="0.25">
      <c r="C259" s="1"/>
      <c r="D259" s="1"/>
      <c r="E259" s="1"/>
      <c r="F259" s="1"/>
      <c r="G259" s="1"/>
      <c r="H259" s="1"/>
      <c r="K259" s="1"/>
      <c r="L259" s="1"/>
      <c r="M259" s="1"/>
      <c r="N259" s="1"/>
    </row>
    <row r="260" spans="3:14" x14ac:dyDescent="0.25">
      <c r="C260" s="1"/>
      <c r="D260" s="1"/>
      <c r="E260" s="1"/>
      <c r="F260" s="1"/>
      <c r="G260" s="1"/>
      <c r="H260" s="1"/>
      <c r="K260" s="1"/>
      <c r="L260" s="1"/>
      <c r="M260" s="1"/>
      <c r="N260" s="1"/>
    </row>
    <row r="261" spans="3:14" x14ac:dyDescent="0.25">
      <c r="C261" s="1"/>
      <c r="D261" s="1"/>
      <c r="E261" s="1"/>
      <c r="F261" s="1"/>
      <c r="G261" s="1"/>
      <c r="H261" s="1"/>
      <c r="K261" s="1"/>
      <c r="L261" s="1"/>
      <c r="M261" s="1"/>
      <c r="N261" s="1"/>
    </row>
    <row r="262" spans="3:14" x14ac:dyDescent="0.25">
      <c r="C262" s="1"/>
      <c r="D262" s="1"/>
      <c r="E262" s="1"/>
      <c r="F262" s="1"/>
      <c r="G262" s="1"/>
      <c r="H262" s="1"/>
      <c r="K262" s="1"/>
      <c r="L262" s="1"/>
      <c r="M262" s="1"/>
      <c r="N262" s="1"/>
    </row>
    <row r="263" spans="3:14" x14ac:dyDescent="0.25">
      <c r="C263" s="1"/>
      <c r="D263" s="1"/>
      <c r="E263" s="1"/>
      <c r="F263" s="1"/>
      <c r="G263" s="1"/>
      <c r="H263" s="1"/>
      <c r="K263" s="1"/>
      <c r="L263" s="1"/>
      <c r="M263" s="1"/>
      <c r="N263" s="1"/>
    </row>
    <row r="264" spans="3:14" x14ac:dyDescent="0.25">
      <c r="C264" s="1"/>
      <c r="D264" s="1"/>
      <c r="E264" s="1"/>
      <c r="F264" s="1"/>
      <c r="G264" s="1"/>
      <c r="H264" s="1"/>
      <c r="K264" s="1"/>
      <c r="L264" s="1"/>
      <c r="M264" s="1"/>
      <c r="N264" s="1"/>
    </row>
    <row r="265" spans="3:14" x14ac:dyDescent="0.25">
      <c r="C265" s="1"/>
      <c r="D265" s="1"/>
      <c r="E265" s="1"/>
      <c r="F265" s="1"/>
      <c r="G265" s="1"/>
      <c r="H265" s="1"/>
      <c r="K265" s="1"/>
      <c r="L265" s="1"/>
      <c r="M265" s="1"/>
      <c r="N265" s="1"/>
    </row>
    <row r="266" spans="3:14" x14ac:dyDescent="0.25">
      <c r="C266" s="1"/>
      <c r="D266" s="1"/>
      <c r="E266" s="1"/>
      <c r="F266" s="1"/>
      <c r="G266" s="1"/>
      <c r="H266" s="1"/>
      <c r="K266" s="1"/>
      <c r="L266" s="1"/>
      <c r="M266" s="1"/>
      <c r="N266" s="1"/>
    </row>
    <row r="267" spans="3:14" x14ac:dyDescent="0.25">
      <c r="C267" s="1"/>
      <c r="D267" s="1"/>
      <c r="E267" s="1"/>
      <c r="F267" s="1"/>
      <c r="G267" s="1"/>
      <c r="H267" s="1"/>
      <c r="K267" s="1"/>
      <c r="L267" s="1"/>
      <c r="M267" s="1"/>
      <c r="N267" s="1"/>
    </row>
    <row r="268" spans="3:14" x14ac:dyDescent="0.25">
      <c r="C268" s="1"/>
      <c r="D268" s="1"/>
      <c r="E268" s="1"/>
      <c r="F268" s="1"/>
      <c r="G268" s="1"/>
      <c r="H268" s="1"/>
      <c r="K268" s="1"/>
      <c r="L268" s="1"/>
      <c r="M268" s="1"/>
      <c r="N268" s="1"/>
    </row>
    <row r="269" spans="3:14" x14ac:dyDescent="0.25">
      <c r="C269" s="1"/>
      <c r="D269" s="1"/>
      <c r="E269" s="1"/>
      <c r="F269" s="1"/>
      <c r="G269" s="1"/>
      <c r="H269" s="1"/>
      <c r="K269" s="1"/>
      <c r="L269" s="1"/>
      <c r="M269" s="1"/>
      <c r="N269" s="1"/>
    </row>
    <row r="270" spans="3:14" x14ac:dyDescent="0.25">
      <c r="C270" s="1"/>
      <c r="D270" s="1"/>
      <c r="E270" s="1"/>
      <c r="F270" s="1"/>
      <c r="G270" s="1"/>
      <c r="H270" s="1"/>
      <c r="K270" s="1"/>
      <c r="L270" s="1"/>
      <c r="M270" s="1"/>
      <c r="N270" s="1"/>
    </row>
    <row r="271" spans="3:14" x14ac:dyDescent="0.25">
      <c r="C271" s="1"/>
      <c r="D271" s="1"/>
      <c r="E271" s="1"/>
      <c r="F271" s="1"/>
      <c r="G271" s="1"/>
      <c r="H271" s="1"/>
      <c r="K271" s="1"/>
      <c r="L271" s="1"/>
      <c r="M271" s="1"/>
      <c r="N271" s="1"/>
    </row>
    <row r="272" spans="3:14" x14ac:dyDescent="0.25">
      <c r="C272" s="1"/>
      <c r="D272" s="1"/>
      <c r="E272" s="1"/>
      <c r="F272" s="1"/>
      <c r="G272" s="1"/>
      <c r="H272" s="1"/>
      <c r="K272" s="1"/>
      <c r="L272" s="1"/>
      <c r="M272" s="1"/>
      <c r="N272" s="1"/>
    </row>
    <row r="273" spans="3:14" x14ac:dyDescent="0.25">
      <c r="C273" s="1"/>
      <c r="D273" s="1"/>
      <c r="E273" s="1"/>
      <c r="F273" s="1"/>
      <c r="G273" s="1"/>
      <c r="H273" s="1"/>
      <c r="K273" s="1"/>
      <c r="L273" s="1"/>
      <c r="M273" s="1"/>
      <c r="N273" s="1"/>
    </row>
    <row r="274" spans="3:14" x14ac:dyDescent="0.25">
      <c r="C274" s="1"/>
      <c r="D274" s="1"/>
      <c r="E274" s="1"/>
      <c r="F274" s="1"/>
      <c r="G274" s="1"/>
      <c r="H274" s="1"/>
      <c r="K274" s="1"/>
      <c r="L274" s="1"/>
      <c r="M274" s="1"/>
      <c r="N274" s="1"/>
    </row>
    <row r="275" spans="3:14" x14ac:dyDescent="0.25">
      <c r="C275" s="1"/>
      <c r="D275" s="1"/>
      <c r="E275" s="1"/>
      <c r="F275" s="1"/>
      <c r="G275" s="1"/>
      <c r="H275" s="1"/>
      <c r="K275" s="1"/>
      <c r="L275" s="1"/>
      <c r="M275" s="1"/>
      <c r="N275" s="1"/>
    </row>
    <row r="276" spans="3:14" x14ac:dyDescent="0.25">
      <c r="C276" s="1"/>
      <c r="D276" s="1"/>
      <c r="E276" s="1"/>
      <c r="F276" s="1"/>
      <c r="G276" s="1"/>
      <c r="H276" s="1"/>
      <c r="K276" s="1"/>
      <c r="L276" s="1"/>
      <c r="M276" s="1"/>
      <c r="N276" s="1"/>
    </row>
    <row r="277" spans="3:14" x14ac:dyDescent="0.25">
      <c r="C277" s="1"/>
      <c r="D277" s="1"/>
      <c r="E277" s="1"/>
      <c r="F277" s="1"/>
      <c r="G277" s="1"/>
      <c r="H277" s="1"/>
      <c r="K277" s="1"/>
      <c r="L277" s="1"/>
      <c r="M277" s="1"/>
      <c r="N277" s="1"/>
    </row>
    <row r="278" spans="3:14" x14ac:dyDescent="0.25">
      <c r="C278" s="1"/>
      <c r="D278" s="1"/>
      <c r="E278" s="1"/>
      <c r="F278" s="1"/>
      <c r="G278" s="1"/>
      <c r="H278" s="1"/>
      <c r="K278" s="1"/>
      <c r="L278" s="1"/>
      <c r="M278" s="1"/>
      <c r="N278" s="1"/>
    </row>
    <row r="279" spans="3:14" x14ac:dyDescent="0.25">
      <c r="C279" s="1"/>
      <c r="D279" s="1"/>
      <c r="E279" s="1"/>
      <c r="F279" s="1"/>
      <c r="G279" s="1"/>
      <c r="H279" s="1"/>
      <c r="K279" s="1"/>
      <c r="L279" s="1"/>
      <c r="M279" s="1"/>
      <c r="N279" s="1"/>
    </row>
    <row r="280" spans="3:14" x14ac:dyDescent="0.25">
      <c r="C280" s="1"/>
      <c r="D280" s="1"/>
      <c r="E280" s="1"/>
      <c r="F280" s="1"/>
      <c r="G280" s="1"/>
      <c r="H280" s="1"/>
      <c r="K280" s="1"/>
      <c r="L280" s="1"/>
      <c r="M280" s="1"/>
      <c r="N280" s="1"/>
    </row>
    <row r="281" spans="3:14" x14ac:dyDescent="0.25">
      <c r="C281" s="1"/>
      <c r="D281" s="1"/>
      <c r="E281" s="1"/>
      <c r="F281" s="1"/>
      <c r="G281" s="1"/>
      <c r="H281" s="1"/>
      <c r="K281" s="1"/>
      <c r="L281" s="1"/>
      <c r="M281" s="1"/>
      <c r="N281" s="1"/>
    </row>
    <row r="282" spans="3:14" x14ac:dyDescent="0.25">
      <c r="C282" s="1"/>
      <c r="D282" s="1"/>
      <c r="E282" s="1"/>
      <c r="F282" s="1"/>
      <c r="G282" s="1"/>
      <c r="H282" s="1"/>
      <c r="K282" s="1"/>
      <c r="L282" s="1"/>
      <c r="M282" s="1"/>
      <c r="N282" s="1"/>
    </row>
    <row r="283" spans="3:14" x14ac:dyDescent="0.25">
      <c r="C283" s="1"/>
      <c r="D283" s="1"/>
      <c r="E283" s="1"/>
      <c r="F283" s="1"/>
      <c r="G283" s="1"/>
      <c r="H283" s="1"/>
      <c r="K283" s="1"/>
      <c r="L283" s="1"/>
      <c r="M283" s="1"/>
      <c r="N283" s="1"/>
    </row>
    <row r="284" spans="3:14" x14ac:dyDescent="0.25">
      <c r="C284" s="1"/>
      <c r="D284" s="1"/>
      <c r="E284" s="1"/>
      <c r="F284" s="1"/>
      <c r="G284" s="1"/>
      <c r="H284" s="1"/>
      <c r="K284" s="1"/>
      <c r="L284" s="1"/>
      <c r="M284" s="1"/>
      <c r="N284" s="1"/>
    </row>
    <row r="285" spans="3:14" x14ac:dyDescent="0.25">
      <c r="C285" s="1"/>
      <c r="D285" s="1"/>
      <c r="E285" s="1"/>
      <c r="F285" s="1"/>
      <c r="G285" s="1"/>
      <c r="H285" s="1"/>
      <c r="K285" s="1"/>
      <c r="L285" s="1"/>
      <c r="M285" s="1"/>
      <c r="N285" s="1"/>
    </row>
    <row r="286" spans="3:14" x14ac:dyDescent="0.25">
      <c r="C286" s="1"/>
      <c r="D286" s="1"/>
      <c r="E286" s="1"/>
      <c r="F286" s="1"/>
      <c r="G286" s="1"/>
      <c r="H286" s="1"/>
      <c r="K286" s="1"/>
      <c r="L286" s="1"/>
      <c r="M286" s="1"/>
      <c r="N286" s="1"/>
    </row>
    <row r="287" spans="3:14" x14ac:dyDescent="0.25">
      <c r="C287" s="1"/>
      <c r="D287" s="1"/>
      <c r="E287" s="1"/>
      <c r="F287" s="1"/>
      <c r="G287" s="1"/>
      <c r="H287" s="1"/>
      <c r="K287" s="1"/>
      <c r="L287" s="1"/>
      <c r="M287" s="1"/>
      <c r="N287" s="1"/>
    </row>
    <row r="288" spans="3:14" x14ac:dyDescent="0.25">
      <c r="C288" s="1"/>
      <c r="D288" s="1"/>
      <c r="E288" s="1"/>
      <c r="F288" s="1"/>
      <c r="G288" s="1"/>
      <c r="H288" s="1"/>
      <c r="K288" s="1"/>
      <c r="L288" s="1"/>
      <c r="M288" s="1"/>
      <c r="N288" s="1"/>
    </row>
    <row r="289" spans="3:14" x14ac:dyDescent="0.25">
      <c r="C289" s="1"/>
      <c r="D289" s="1"/>
      <c r="E289" s="1"/>
      <c r="F289" s="1"/>
      <c r="G289" s="1"/>
      <c r="H289" s="1"/>
      <c r="K289" s="1"/>
      <c r="L289" s="1"/>
      <c r="M289" s="1"/>
      <c r="N289" s="1"/>
    </row>
    <row r="290" spans="3:14" x14ac:dyDescent="0.25">
      <c r="C290" s="1"/>
      <c r="D290" s="1"/>
      <c r="E290" s="1"/>
      <c r="F290" s="1"/>
      <c r="G290" s="1"/>
      <c r="H290" s="1"/>
      <c r="K290" s="1"/>
      <c r="L290" s="1"/>
      <c r="M290" s="1"/>
      <c r="N290" s="1"/>
    </row>
    <row r="291" spans="3:14" x14ac:dyDescent="0.25">
      <c r="C291" s="1"/>
      <c r="D291" s="1"/>
      <c r="E291" s="1"/>
      <c r="F291" s="1"/>
      <c r="G291" s="1"/>
      <c r="H291" s="1"/>
      <c r="K291" s="1"/>
      <c r="L291" s="1"/>
      <c r="M291" s="1"/>
      <c r="N291" s="1"/>
    </row>
    <row r="292" spans="3:14" x14ac:dyDescent="0.25">
      <c r="C292" s="1"/>
      <c r="D292" s="1"/>
      <c r="E292" s="1"/>
      <c r="F292" s="1"/>
      <c r="G292" s="1"/>
      <c r="H292" s="1"/>
      <c r="K292" s="1"/>
      <c r="L292" s="1"/>
      <c r="M292" s="1"/>
      <c r="N292" s="1"/>
    </row>
    <row r="293" spans="3:14" x14ac:dyDescent="0.25">
      <c r="C293" s="1"/>
      <c r="D293" s="1"/>
      <c r="E293" s="1"/>
      <c r="F293" s="1"/>
      <c r="G293" s="1"/>
      <c r="H293" s="1"/>
      <c r="K293" s="1"/>
      <c r="L293" s="1"/>
      <c r="M293" s="1"/>
      <c r="N293" s="1"/>
    </row>
    <row r="294" spans="3:14" x14ac:dyDescent="0.25">
      <c r="C294" s="1"/>
      <c r="D294" s="1"/>
      <c r="E294" s="1"/>
      <c r="F294" s="1"/>
      <c r="G294" s="1"/>
      <c r="H294" s="1"/>
      <c r="K294" s="1"/>
      <c r="L294" s="1"/>
      <c r="M294" s="1"/>
      <c r="N294" s="1"/>
    </row>
    <row r="295" spans="3:14" x14ac:dyDescent="0.25">
      <c r="C295" s="1"/>
      <c r="D295" s="1"/>
      <c r="E295" s="1"/>
      <c r="F295" s="1"/>
      <c r="G295" s="1"/>
      <c r="H295" s="1"/>
      <c r="K295" s="1"/>
      <c r="L295" s="1"/>
      <c r="M295" s="1"/>
      <c r="N295" s="1"/>
    </row>
    <row r="296" spans="3:14" x14ac:dyDescent="0.25">
      <c r="C296" s="1"/>
      <c r="D296" s="1"/>
      <c r="E296" s="1"/>
      <c r="F296" s="1"/>
      <c r="G296" s="1"/>
      <c r="H296" s="1"/>
      <c r="K296" s="1"/>
      <c r="L296" s="1"/>
      <c r="M296" s="1"/>
      <c r="N296" s="1"/>
    </row>
    <row r="297" spans="3:14" x14ac:dyDescent="0.25">
      <c r="C297" s="1"/>
      <c r="D297" s="1"/>
      <c r="E297" s="1"/>
      <c r="F297" s="1"/>
      <c r="G297" s="1"/>
      <c r="H297" s="1"/>
      <c r="K297" s="1"/>
      <c r="L297" s="1"/>
      <c r="M297" s="1"/>
      <c r="N297" s="1"/>
    </row>
    <row r="298" spans="3:14" x14ac:dyDescent="0.25">
      <c r="C298" s="1"/>
      <c r="D298" s="1"/>
      <c r="E298" s="1"/>
      <c r="F298" s="1"/>
      <c r="G298" s="1"/>
      <c r="H298" s="1"/>
      <c r="K298" s="1"/>
      <c r="L298" s="1"/>
      <c r="M298" s="1"/>
      <c r="N298" s="1"/>
    </row>
    <row r="299" spans="3:14" x14ac:dyDescent="0.25">
      <c r="C299" s="1"/>
      <c r="D299" s="1"/>
      <c r="E299" s="1"/>
      <c r="F299" s="1"/>
      <c r="G299" s="1"/>
      <c r="H299" s="1"/>
      <c r="K299" s="1"/>
      <c r="L299" s="1"/>
      <c r="M299" s="1"/>
      <c r="N299" s="1"/>
    </row>
    <row r="300" spans="3:14" x14ac:dyDescent="0.25">
      <c r="C300" s="1"/>
      <c r="D300" s="1"/>
      <c r="E300" s="1"/>
      <c r="F300" s="1"/>
      <c r="G300" s="1"/>
      <c r="H300" s="1"/>
      <c r="K300" s="1"/>
      <c r="L300" s="1"/>
      <c r="M300" s="1"/>
      <c r="N300" s="1"/>
    </row>
    <row r="301" spans="3:14" x14ac:dyDescent="0.25">
      <c r="C301" s="1"/>
      <c r="D301" s="1"/>
      <c r="E301" s="1"/>
      <c r="F301" s="1"/>
      <c r="G301" s="1"/>
      <c r="H301" s="1"/>
      <c r="K301" s="1"/>
      <c r="L301" s="1"/>
      <c r="M301" s="1"/>
      <c r="N301" s="1"/>
    </row>
    <row r="302" spans="3:14" x14ac:dyDescent="0.25">
      <c r="C302" s="1"/>
      <c r="D302" s="1"/>
      <c r="E302" s="1"/>
      <c r="F302" s="1"/>
      <c r="G302" s="1"/>
      <c r="H302" s="1"/>
      <c r="K302" s="1"/>
      <c r="L302" s="1"/>
      <c r="M302" s="1"/>
      <c r="N302" s="1"/>
    </row>
    <row r="303" spans="3:14" x14ac:dyDescent="0.25">
      <c r="C303" s="1"/>
      <c r="D303" s="1"/>
      <c r="E303" s="1"/>
      <c r="F303" s="1"/>
      <c r="G303" s="1"/>
      <c r="H303" s="1"/>
      <c r="K303" s="1"/>
      <c r="L303" s="1"/>
      <c r="M303" s="1"/>
      <c r="N303" s="1"/>
    </row>
    <row r="304" spans="3:14" x14ac:dyDescent="0.25">
      <c r="C304" s="1"/>
      <c r="D304" s="1"/>
      <c r="E304" s="1"/>
      <c r="F304" s="1"/>
      <c r="G304" s="1"/>
      <c r="H304" s="1"/>
      <c r="K304" s="1"/>
      <c r="L304" s="1"/>
      <c r="M304" s="1"/>
      <c r="N304" s="1"/>
    </row>
    <row r="305" spans="3:14" x14ac:dyDescent="0.25">
      <c r="C305" s="1"/>
      <c r="D305" s="1"/>
      <c r="E305" s="1"/>
      <c r="F305" s="1"/>
      <c r="G305" s="1"/>
      <c r="H305" s="1"/>
      <c r="K305" s="1"/>
      <c r="L305" s="1"/>
      <c r="M305" s="1"/>
      <c r="N305" s="1"/>
    </row>
    <row r="306" spans="3:14" x14ac:dyDescent="0.25">
      <c r="C306" s="1"/>
      <c r="D306" s="1"/>
      <c r="E306" s="1"/>
      <c r="F306" s="1"/>
      <c r="G306" s="1"/>
      <c r="H306" s="1"/>
      <c r="K306" s="1"/>
      <c r="L306" s="1"/>
      <c r="M306" s="1"/>
      <c r="N306" s="1"/>
    </row>
    <row r="307" spans="3:14" x14ac:dyDescent="0.25">
      <c r="C307" s="1"/>
      <c r="D307" s="1"/>
      <c r="E307" s="1"/>
      <c r="F307" s="1"/>
      <c r="G307" s="1"/>
      <c r="H307" s="1"/>
      <c r="K307" s="1"/>
      <c r="L307" s="1"/>
      <c r="M307" s="1"/>
      <c r="N307" s="1"/>
    </row>
    <row r="308" spans="3:14" x14ac:dyDescent="0.25">
      <c r="C308" s="1"/>
      <c r="D308" s="1"/>
      <c r="E308" s="1"/>
      <c r="F308" s="1"/>
      <c r="G308" s="1"/>
      <c r="H308" s="1"/>
      <c r="K308" s="1"/>
      <c r="L308" s="1"/>
      <c r="M308" s="1"/>
      <c r="N308" s="1"/>
    </row>
    <row r="309" spans="3:14" x14ac:dyDescent="0.25">
      <c r="C309" s="1"/>
      <c r="D309" s="1"/>
      <c r="E309" s="1"/>
      <c r="F309" s="1"/>
      <c r="G309" s="1"/>
      <c r="H309" s="1"/>
      <c r="K309" s="1"/>
      <c r="L309" s="1"/>
      <c r="M309" s="1"/>
      <c r="N309" s="1"/>
    </row>
    <row r="310" spans="3:14" x14ac:dyDescent="0.25">
      <c r="C310" s="1"/>
      <c r="D310" s="1"/>
      <c r="E310" s="1"/>
      <c r="F310" s="1"/>
      <c r="G310" s="1"/>
      <c r="H310" s="1"/>
      <c r="K310" s="1"/>
      <c r="L310" s="1"/>
      <c r="M310" s="1"/>
      <c r="N310" s="1"/>
    </row>
    <row r="311" spans="3:14" x14ac:dyDescent="0.25">
      <c r="C311" s="1"/>
      <c r="D311" s="1"/>
      <c r="E311" s="1"/>
      <c r="F311" s="1"/>
      <c r="G311" s="1"/>
      <c r="H311" s="1"/>
      <c r="K311" s="1"/>
      <c r="L311" s="1"/>
      <c r="M311" s="1"/>
      <c r="N311" s="1"/>
    </row>
    <row r="312" spans="3:14" x14ac:dyDescent="0.25">
      <c r="C312" s="1"/>
      <c r="D312" s="1"/>
      <c r="E312" s="1"/>
      <c r="F312" s="1"/>
      <c r="G312" s="1"/>
      <c r="H312" s="1"/>
      <c r="K312" s="1"/>
      <c r="L312" s="1"/>
      <c r="M312" s="1"/>
      <c r="N312" s="1"/>
    </row>
    <row r="313" spans="3:14" x14ac:dyDescent="0.25">
      <c r="C313" s="1"/>
      <c r="D313" s="1"/>
      <c r="E313" s="1"/>
      <c r="F313" s="1"/>
      <c r="G313" s="1"/>
      <c r="H313" s="1"/>
      <c r="K313" s="1"/>
      <c r="L313" s="1"/>
      <c r="M313" s="1"/>
      <c r="N313" s="1"/>
    </row>
    <row r="314" spans="3:14" x14ac:dyDescent="0.25">
      <c r="C314" s="1"/>
      <c r="D314" s="1"/>
      <c r="E314" s="1"/>
      <c r="F314" s="1"/>
      <c r="G314" s="1"/>
      <c r="H314" s="1"/>
      <c r="K314" s="1"/>
      <c r="L314" s="1"/>
      <c r="M314" s="1"/>
      <c r="N314" s="1"/>
    </row>
    <row r="315" spans="3:14" x14ac:dyDescent="0.25">
      <c r="C315" s="1"/>
      <c r="D315" s="1"/>
      <c r="E315" s="1"/>
      <c r="F315" s="1"/>
      <c r="G315" s="1"/>
      <c r="H315" s="1"/>
      <c r="K315" s="1"/>
      <c r="L315" s="1"/>
      <c r="M315" s="1"/>
      <c r="N315" s="1"/>
    </row>
    <row r="316" spans="3:14" x14ac:dyDescent="0.25">
      <c r="C316" s="1"/>
      <c r="D316" s="1"/>
      <c r="E316" s="1"/>
      <c r="F316" s="1"/>
      <c r="G316" s="1"/>
      <c r="H316" s="1"/>
      <c r="K316" s="1"/>
      <c r="L316" s="1"/>
      <c r="M316" s="1"/>
      <c r="N316" s="1"/>
    </row>
    <row r="317" spans="3:14" x14ac:dyDescent="0.25">
      <c r="C317" s="1"/>
      <c r="D317" s="1"/>
      <c r="E317" s="1"/>
      <c r="F317" s="1"/>
      <c r="G317" s="1"/>
      <c r="H317" s="1"/>
      <c r="K317" s="1"/>
      <c r="L317" s="1"/>
      <c r="M317" s="1"/>
      <c r="N317" s="1"/>
    </row>
    <row r="318" spans="3:14" x14ac:dyDescent="0.25">
      <c r="C318" s="1"/>
      <c r="D318" s="1"/>
      <c r="E318" s="1"/>
      <c r="F318" s="1"/>
      <c r="G318" s="1"/>
      <c r="H318" s="1"/>
      <c r="K318" s="1"/>
      <c r="L318" s="1"/>
      <c r="M318" s="1"/>
      <c r="N318" s="1"/>
    </row>
    <row r="319" spans="3:14" x14ac:dyDescent="0.25">
      <c r="C319" s="1"/>
      <c r="D319" s="1"/>
      <c r="E319" s="1"/>
      <c r="F319" s="1"/>
      <c r="G319" s="1"/>
      <c r="H319" s="1"/>
      <c r="K319" s="1"/>
      <c r="L319" s="1"/>
      <c r="M319" s="1"/>
      <c r="N319" s="1"/>
    </row>
    <row r="320" spans="3:14" x14ac:dyDescent="0.25">
      <c r="C320" s="1"/>
      <c r="D320" s="1"/>
      <c r="E320" s="1"/>
      <c r="F320" s="1"/>
      <c r="G320" s="1"/>
      <c r="H320" s="1"/>
      <c r="K320" s="1"/>
      <c r="L320" s="1"/>
      <c r="M320" s="1"/>
      <c r="N320" s="1"/>
    </row>
    <row r="321" spans="3:14" x14ac:dyDescent="0.25">
      <c r="C321" s="1"/>
      <c r="D321" s="1"/>
      <c r="E321" s="1"/>
      <c r="F321" s="1"/>
      <c r="G321" s="1"/>
      <c r="H321" s="1"/>
      <c r="K321" s="1"/>
      <c r="L321" s="1"/>
      <c r="M321" s="1"/>
      <c r="N321" s="1"/>
    </row>
    <row r="322" spans="3:14" x14ac:dyDescent="0.25">
      <c r="C322" s="1"/>
      <c r="D322" s="1"/>
      <c r="E322" s="1"/>
      <c r="F322" s="1"/>
      <c r="G322" s="1"/>
      <c r="H322" s="1"/>
      <c r="K322" s="1"/>
      <c r="L322" s="1"/>
      <c r="M322" s="1"/>
      <c r="N322" s="1"/>
    </row>
    <row r="323" spans="3:14" x14ac:dyDescent="0.25">
      <c r="C323" s="1"/>
      <c r="D323" s="1"/>
      <c r="E323" s="1"/>
      <c r="F323" s="1"/>
      <c r="G323" s="1"/>
      <c r="H323" s="1"/>
      <c r="K323" s="1"/>
      <c r="L323" s="1"/>
      <c r="M323" s="1"/>
      <c r="N323" s="1"/>
    </row>
    <row r="324" spans="3:14" x14ac:dyDescent="0.25">
      <c r="C324" s="1"/>
      <c r="D324" s="1"/>
      <c r="E324" s="1"/>
      <c r="F324" s="1"/>
      <c r="G324" s="1"/>
      <c r="H324" s="1"/>
      <c r="K324" s="1"/>
      <c r="L324" s="1"/>
      <c r="M324" s="1"/>
      <c r="N324" s="1"/>
    </row>
    <row r="325" spans="3:14" x14ac:dyDescent="0.25">
      <c r="C325" s="1"/>
      <c r="D325" s="1"/>
      <c r="E325" s="1"/>
      <c r="F325" s="1"/>
      <c r="G325" s="1"/>
      <c r="H325" s="1"/>
      <c r="K325" s="1"/>
      <c r="L325" s="1"/>
      <c r="M325" s="1"/>
      <c r="N325" s="1"/>
    </row>
    <row r="326" spans="3:14" x14ac:dyDescent="0.25">
      <c r="C326" s="1"/>
      <c r="D326" s="1"/>
      <c r="E326" s="1"/>
      <c r="F326" s="1"/>
      <c r="G326" s="1"/>
      <c r="H326" s="1"/>
      <c r="K326" s="1"/>
      <c r="L326" s="1"/>
      <c r="M326" s="1"/>
      <c r="N326" s="1"/>
    </row>
    <row r="327" spans="3:14" x14ac:dyDescent="0.25">
      <c r="C327" s="1"/>
      <c r="D327" s="1"/>
      <c r="E327" s="1"/>
      <c r="F327" s="1"/>
      <c r="G327" s="1"/>
      <c r="H327" s="1"/>
      <c r="K327" s="1"/>
      <c r="L327" s="1"/>
      <c r="M327" s="1"/>
      <c r="N327" s="1"/>
    </row>
    <row r="328" spans="3:14" x14ac:dyDescent="0.25">
      <c r="C328" s="1"/>
      <c r="D328" s="1"/>
      <c r="E328" s="1"/>
      <c r="F328" s="1"/>
      <c r="G328" s="1"/>
      <c r="H328" s="1"/>
      <c r="K328" s="1"/>
      <c r="L328" s="1"/>
      <c r="M328" s="1"/>
      <c r="N328" s="1"/>
    </row>
    <row r="329" spans="3:14" x14ac:dyDescent="0.25">
      <c r="C329" s="1"/>
      <c r="D329" s="1"/>
      <c r="E329" s="1"/>
      <c r="F329" s="1"/>
      <c r="G329" s="1"/>
      <c r="H329" s="1"/>
      <c r="K329" s="1"/>
      <c r="L329" s="1"/>
      <c r="M329" s="1"/>
      <c r="N329" s="1"/>
    </row>
    <row r="330" spans="3:14" x14ac:dyDescent="0.25">
      <c r="C330" s="1"/>
      <c r="D330" s="1"/>
      <c r="E330" s="1"/>
      <c r="F330" s="1"/>
      <c r="G330" s="1"/>
      <c r="H330" s="1"/>
      <c r="K330" s="1"/>
      <c r="L330" s="1"/>
      <c r="M330" s="1"/>
      <c r="N330" s="1"/>
    </row>
    <row r="331" spans="3:14" x14ac:dyDescent="0.25">
      <c r="C331" s="1"/>
      <c r="D331" s="1"/>
      <c r="E331" s="1"/>
      <c r="F331" s="1"/>
      <c r="G331" s="1"/>
      <c r="H331" s="1"/>
      <c r="K331" s="1"/>
      <c r="L331" s="1"/>
      <c r="M331" s="1"/>
      <c r="N331" s="1"/>
    </row>
    <row r="332" spans="3:14" x14ac:dyDescent="0.25">
      <c r="C332" s="1"/>
      <c r="D332" s="1"/>
      <c r="E332" s="1"/>
      <c r="F332" s="1"/>
      <c r="G332" s="1"/>
      <c r="H332" s="1"/>
      <c r="K332" s="1"/>
      <c r="L332" s="1"/>
      <c r="M332" s="1"/>
      <c r="N332" s="1"/>
    </row>
    <row r="333" spans="3:14" x14ac:dyDescent="0.25">
      <c r="C333" s="1"/>
      <c r="D333" s="1"/>
      <c r="E333" s="1"/>
      <c r="F333" s="1"/>
      <c r="G333" s="1"/>
      <c r="H333" s="1"/>
      <c r="K333" s="1"/>
      <c r="L333" s="1"/>
      <c r="M333" s="1"/>
      <c r="N333" s="1"/>
    </row>
    <row r="334" spans="3:14" x14ac:dyDescent="0.25">
      <c r="C334" s="1"/>
      <c r="D334" s="1"/>
      <c r="E334" s="1"/>
      <c r="F334" s="1"/>
      <c r="G334" s="1"/>
      <c r="H334" s="1"/>
      <c r="K334" s="1"/>
      <c r="L334" s="1"/>
      <c r="M334" s="1"/>
      <c r="N334" s="1"/>
    </row>
    <row r="335" spans="3:14" x14ac:dyDescent="0.25">
      <c r="C335" s="1"/>
      <c r="D335" s="1"/>
      <c r="E335" s="1"/>
      <c r="F335" s="1"/>
      <c r="G335" s="1"/>
      <c r="H335" s="1"/>
      <c r="K335" s="1"/>
      <c r="L335" s="1"/>
      <c r="M335" s="1"/>
      <c r="N335" s="1"/>
    </row>
    <row r="336" spans="3:14" x14ac:dyDescent="0.25">
      <c r="C336" s="1"/>
      <c r="D336" s="1"/>
      <c r="E336" s="1"/>
      <c r="F336" s="1"/>
      <c r="G336" s="1"/>
      <c r="H336" s="1"/>
      <c r="K336" s="1"/>
      <c r="L336" s="1"/>
      <c r="M336" s="1"/>
      <c r="N336" s="1"/>
    </row>
    <row r="337" spans="3:14" x14ac:dyDescent="0.25">
      <c r="C337" s="1"/>
      <c r="D337" s="1"/>
      <c r="E337" s="1"/>
      <c r="F337" s="1"/>
      <c r="G337" s="1"/>
      <c r="H337" s="1"/>
      <c r="K337" s="1"/>
      <c r="L337" s="1"/>
      <c r="M337" s="1"/>
      <c r="N337" s="1"/>
    </row>
    <row r="338" spans="3:14" x14ac:dyDescent="0.25">
      <c r="C338" s="1"/>
      <c r="D338" s="1"/>
      <c r="E338" s="1"/>
      <c r="F338" s="1"/>
      <c r="G338" s="1"/>
      <c r="H338" s="1"/>
      <c r="K338" s="1"/>
      <c r="L338" s="1"/>
      <c r="M338" s="1"/>
      <c r="N338" s="1"/>
    </row>
    <row r="339" spans="3:14" x14ac:dyDescent="0.25">
      <c r="C339" s="1"/>
      <c r="D339" s="1"/>
      <c r="E339" s="1"/>
      <c r="F339" s="1"/>
      <c r="G339" s="1"/>
      <c r="H339" s="1"/>
      <c r="K339" s="1"/>
      <c r="L339" s="1"/>
      <c r="M339" s="1"/>
      <c r="N339" s="1"/>
    </row>
    <row r="340" spans="3:14" x14ac:dyDescent="0.25">
      <c r="C340" s="1"/>
      <c r="D340" s="1"/>
      <c r="E340" s="1"/>
      <c r="F340" s="1"/>
      <c r="G340" s="1"/>
      <c r="H340" s="1"/>
      <c r="K340" s="1"/>
      <c r="L340" s="1"/>
      <c r="M340" s="1"/>
      <c r="N340" s="1"/>
    </row>
    <row r="341" spans="3:14" x14ac:dyDescent="0.25">
      <c r="C341" s="1"/>
      <c r="D341" s="1"/>
      <c r="E341" s="1"/>
      <c r="F341" s="1"/>
      <c r="G341" s="1"/>
      <c r="H341" s="1"/>
      <c r="K341" s="1"/>
      <c r="L341" s="1"/>
      <c r="M341" s="1"/>
      <c r="N341" s="1"/>
    </row>
    <row r="342" spans="3:14" x14ac:dyDescent="0.25">
      <c r="C342" s="1"/>
      <c r="D342" s="1"/>
      <c r="E342" s="1"/>
      <c r="F342" s="1"/>
      <c r="G342" s="1"/>
      <c r="H342" s="1"/>
      <c r="K342" s="1"/>
      <c r="L342" s="1"/>
      <c r="M342" s="1"/>
      <c r="N342" s="1"/>
    </row>
    <row r="343" spans="3:14" x14ac:dyDescent="0.25">
      <c r="C343" s="1"/>
      <c r="D343" s="1"/>
      <c r="E343" s="1"/>
      <c r="F343" s="1"/>
      <c r="G343" s="1"/>
      <c r="H343" s="1"/>
      <c r="K343" s="1"/>
      <c r="L343" s="1"/>
      <c r="M343" s="1"/>
      <c r="N343" s="1"/>
    </row>
    <row r="344" spans="3:14" x14ac:dyDescent="0.25">
      <c r="C344" s="1"/>
      <c r="D344" s="1"/>
      <c r="E344" s="1"/>
      <c r="F344" s="1"/>
      <c r="G344" s="1"/>
      <c r="H344" s="1"/>
      <c r="K344" s="1"/>
      <c r="L344" s="1"/>
      <c r="M344" s="1"/>
      <c r="N344" s="1"/>
    </row>
    <row r="345" spans="3:14" x14ac:dyDescent="0.25">
      <c r="C345" s="1"/>
      <c r="D345" s="1"/>
      <c r="E345" s="1"/>
      <c r="F345" s="1"/>
      <c r="G345" s="1"/>
      <c r="H345" s="1"/>
      <c r="K345" s="1"/>
      <c r="L345" s="1"/>
      <c r="M345" s="1"/>
      <c r="N345" s="1"/>
    </row>
    <row r="346" spans="3:14" x14ac:dyDescent="0.25">
      <c r="C346" s="1"/>
      <c r="D346" s="1"/>
      <c r="E346" s="1"/>
      <c r="F346" s="1"/>
      <c r="G346" s="1"/>
      <c r="H346" s="1"/>
      <c r="K346" s="1"/>
      <c r="L346" s="1"/>
      <c r="M346" s="1"/>
      <c r="N346" s="1"/>
    </row>
    <row r="347" spans="3:14" x14ac:dyDescent="0.25">
      <c r="C347" s="1"/>
      <c r="D347" s="1"/>
      <c r="E347" s="1"/>
      <c r="F347" s="1"/>
      <c r="G347" s="1"/>
      <c r="H347" s="1"/>
      <c r="K347" s="1"/>
      <c r="L347" s="1"/>
      <c r="M347" s="1"/>
      <c r="N347" s="1"/>
    </row>
    <row r="348" spans="3:14" x14ac:dyDescent="0.25">
      <c r="C348" s="1"/>
      <c r="D348" s="1"/>
      <c r="E348" s="1"/>
      <c r="F348" s="1"/>
      <c r="G348" s="1"/>
      <c r="H348" s="1"/>
      <c r="K348" s="1"/>
      <c r="L348" s="1"/>
      <c r="M348" s="1"/>
      <c r="N348" s="1"/>
    </row>
    <row r="349" spans="3:14" x14ac:dyDescent="0.25">
      <c r="C349" s="1"/>
      <c r="D349" s="1"/>
      <c r="E349" s="1"/>
      <c r="F349" s="1"/>
      <c r="G349" s="1"/>
      <c r="H349" s="1"/>
      <c r="K349" s="1"/>
      <c r="L349" s="1"/>
      <c r="M349" s="1"/>
      <c r="N349" s="1"/>
    </row>
    <row r="350" spans="3:14" x14ac:dyDescent="0.25">
      <c r="C350" s="1"/>
      <c r="D350" s="1"/>
      <c r="E350" s="1"/>
      <c r="F350" s="1"/>
      <c r="G350" s="1"/>
      <c r="H350" s="1"/>
      <c r="K350" s="1"/>
      <c r="L350" s="1"/>
      <c r="M350" s="1"/>
      <c r="N350" s="1"/>
    </row>
    <row r="351" spans="3:14" x14ac:dyDescent="0.25">
      <c r="C351" s="1"/>
      <c r="D351" s="1"/>
      <c r="E351" s="1"/>
      <c r="F351" s="1"/>
      <c r="G351" s="1"/>
      <c r="H351" s="1"/>
      <c r="K351" s="1"/>
      <c r="L351" s="1"/>
      <c r="M351" s="1"/>
      <c r="N351" s="1"/>
    </row>
    <row r="352" spans="3:14" x14ac:dyDescent="0.25">
      <c r="C352" s="1"/>
      <c r="D352" s="1"/>
      <c r="E352" s="1"/>
      <c r="F352" s="1"/>
      <c r="G352" s="1"/>
      <c r="H352" s="1"/>
      <c r="K352" s="1"/>
      <c r="L352" s="1"/>
      <c r="M352" s="1"/>
      <c r="N352" s="1"/>
    </row>
    <row r="353" spans="3:14" x14ac:dyDescent="0.25">
      <c r="C353" s="1"/>
      <c r="D353" s="1"/>
      <c r="E353" s="1"/>
      <c r="F353" s="1"/>
      <c r="G353" s="1"/>
      <c r="H353" s="1"/>
      <c r="K353" s="1"/>
      <c r="L353" s="1"/>
      <c r="M353" s="1"/>
      <c r="N353" s="1"/>
    </row>
    <row r="354" spans="3:14" x14ac:dyDescent="0.25">
      <c r="C354" s="1"/>
      <c r="D354" s="1"/>
      <c r="E354" s="1"/>
      <c r="F354" s="1"/>
      <c r="G354" s="1"/>
      <c r="H354" s="1"/>
      <c r="K354" s="1"/>
      <c r="L354" s="1"/>
      <c r="M354" s="1"/>
      <c r="N354" s="1"/>
    </row>
    <row r="355" spans="3:14" x14ac:dyDescent="0.25">
      <c r="C355" s="1"/>
      <c r="D355" s="1"/>
      <c r="E355" s="1"/>
      <c r="F355" s="1"/>
      <c r="G355" s="1"/>
      <c r="H355" s="1"/>
      <c r="K355" s="1"/>
      <c r="L355" s="1"/>
      <c r="M355" s="1"/>
      <c r="N355" s="1"/>
    </row>
    <row r="356" spans="3:14" x14ac:dyDescent="0.25">
      <c r="C356" s="1"/>
      <c r="D356" s="1"/>
      <c r="E356" s="1"/>
      <c r="F356" s="1"/>
      <c r="G356" s="1"/>
      <c r="H356" s="1"/>
      <c r="K356" s="1"/>
      <c r="L356" s="1"/>
      <c r="M356" s="1"/>
      <c r="N356" s="1"/>
    </row>
    <row r="357" spans="3:14" x14ac:dyDescent="0.25">
      <c r="C357" s="1"/>
      <c r="D357" s="1"/>
      <c r="E357" s="1"/>
      <c r="F357" s="1"/>
      <c r="G357" s="1"/>
      <c r="H357" s="1"/>
      <c r="K357" s="1"/>
      <c r="L357" s="1"/>
      <c r="M357" s="1"/>
      <c r="N357" s="1"/>
    </row>
    <row r="358" spans="3:14" x14ac:dyDescent="0.25">
      <c r="C358" s="1"/>
      <c r="D358" s="1"/>
      <c r="E358" s="1"/>
      <c r="F358" s="1"/>
      <c r="G358" s="1"/>
      <c r="H358" s="1"/>
      <c r="K358" s="1"/>
      <c r="L358" s="1"/>
      <c r="M358" s="1"/>
      <c r="N358" s="1"/>
    </row>
    <row r="359" spans="3:14" x14ac:dyDescent="0.25">
      <c r="C359" s="1"/>
      <c r="D359" s="1"/>
      <c r="E359" s="1"/>
      <c r="F359" s="1"/>
      <c r="G359" s="1"/>
      <c r="H359" s="1"/>
      <c r="K359" s="1"/>
      <c r="L359" s="1"/>
      <c r="M359" s="1"/>
      <c r="N359" s="1"/>
    </row>
    <row r="360" spans="3:14" x14ac:dyDescent="0.25">
      <c r="C360" s="1"/>
      <c r="D360" s="1"/>
      <c r="E360" s="1"/>
      <c r="F360" s="1"/>
      <c r="G360" s="1"/>
      <c r="H360" s="1"/>
      <c r="K360" s="1"/>
      <c r="L360" s="1"/>
      <c r="M360" s="1"/>
      <c r="N360" s="1"/>
    </row>
    <row r="361" spans="3:14" x14ac:dyDescent="0.25">
      <c r="C361" s="1"/>
      <c r="D361" s="1"/>
      <c r="E361" s="1"/>
      <c r="F361" s="1"/>
      <c r="G361" s="1"/>
      <c r="H361" s="1"/>
      <c r="K361" s="1"/>
      <c r="L361" s="1"/>
      <c r="M361" s="1"/>
      <c r="N361" s="1"/>
    </row>
    <row r="362" spans="3:14" x14ac:dyDescent="0.25">
      <c r="C362" s="1"/>
      <c r="D362" s="1"/>
      <c r="E362" s="1"/>
      <c r="F362" s="1"/>
      <c r="G362" s="1"/>
      <c r="H362" s="1"/>
      <c r="K362" s="1"/>
      <c r="L362" s="1"/>
      <c r="M362" s="1"/>
      <c r="N362" s="1"/>
    </row>
    <row r="363" spans="3:14" x14ac:dyDescent="0.25">
      <c r="C363" s="1"/>
      <c r="D363" s="1"/>
      <c r="E363" s="1"/>
      <c r="F363" s="1"/>
      <c r="G363" s="1"/>
      <c r="H363" s="1"/>
      <c r="K363" s="1"/>
      <c r="L363" s="1"/>
      <c r="M363" s="1"/>
      <c r="N363" s="1"/>
    </row>
    <row r="364" spans="3:14" x14ac:dyDescent="0.25">
      <c r="C364" s="1"/>
      <c r="D364" s="1"/>
      <c r="E364" s="1"/>
      <c r="F364" s="1"/>
      <c r="G364" s="1"/>
      <c r="H364" s="1"/>
      <c r="K364" s="1"/>
      <c r="L364" s="1"/>
      <c r="M364" s="1"/>
      <c r="N364" s="1"/>
    </row>
    <row r="365" spans="3:14" x14ac:dyDescent="0.25">
      <c r="C365" s="1"/>
      <c r="D365" s="1"/>
      <c r="E365" s="1"/>
      <c r="F365" s="1"/>
      <c r="G365" s="1"/>
      <c r="H365" s="1"/>
      <c r="K365" s="1"/>
      <c r="L365" s="1"/>
      <c r="M365" s="1"/>
      <c r="N365" s="1"/>
    </row>
    <row r="366" spans="3:14" x14ac:dyDescent="0.25">
      <c r="C366" s="1"/>
      <c r="D366" s="1"/>
      <c r="E366" s="1"/>
      <c r="F366" s="1"/>
      <c r="G366" s="1"/>
      <c r="H366" s="1"/>
      <c r="K366" s="1"/>
      <c r="L366" s="1"/>
      <c r="M366" s="1"/>
      <c r="N366" s="1"/>
    </row>
    <row r="367" spans="3:14" x14ac:dyDescent="0.25">
      <c r="C367" s="1"/>
      <c r="D367" s="1"/>
      <c r="E367" s="1"/>
      <c r="F367" s="1"/>
      <c r="G367" s="1"/>
      <c r="H367" s="1"/>
      <c r="K367" s="1"/>
      <c r="L367" s="1"/>
      <c r="M367" s="1"/>
      <c r="N367" s="1"/>
    </row>
    <row r="368" spans="3:14" x14ac:dyDescent="0.25">
      <c r="C368" s="1"/>
      <c r="D368" s="1"/>
      <c r="E368" s="1"/>
      <c r="F368" s="1"/>
      <c r="G368" s="1"/>
      <c r="H368" s="1"/>
      <c r="K368" s="1"/>
      <c r="L368" s="1"/>
      <c r="M368" s="1"/>
      <c r="N368" s="1"/>
    </row>
    <row r="369" spans="3:14" x14ac:dyDescent="0.25">
      <c r="C369" s="1"/>
      <c r="D369" s="1"/>
      <c r="E369" s="1"/>
      <c r="F369" s="1"/>
      <c r="G369" s="1"/>
      <c r="H369" s="1"/>
      <c r="K369" s="1"/>
      <c r="L369" s="1"/>
      <c r="M369" s="1"/>
      <c r="N369" s="1"/>
    </row>
    <row r="370" spans="3:14" x14ac:dyDescent="0.25">
      <c r="C370" s="1"/>
      <c r="D370" s="1"/>
      <c r="E370" s="1"/>
      <c r="F370" s="1"/>
      <c r="G370" s="1"/>
      <c r="H370" s="1"/>
      <c r="K370" s="1"/>
      <c r="L370" s="1"/>
      <c r="M370" s="1"/>
      <c r="N370" s="1"/>
    </row>
    <row r="371" spans="3:14" x14ac:dyDescent="0.25">
      <c r="C371" s="1"/>
      <c r="D371" s="1"/>
      <c r="E371" s="1"/>
      <c r="F371" s="1"/>
      <c r="G371" s="1"/>
      <c r="H371" s="1"/>
      <c r="K371" s="1"/>
      <c r="L371" s="1"/>
      <c r="M371" s="1"/>
      <c r="N371" s="1"/>
    </row>
    <row r="372" spans="3:14" x14ac:dyDescent="0.25">
      <c r="C372" s="1"/>
      <c r="D372" s="1"/>
      <c r="E372" s="1"/>
      <c r="F372" s="1"/>
      <c r="G372" s="1"/>
      <c r="H372" s="1"/>
      <c r="K372" s="1"/>
      <c r="L372" s="1"/>
      <c r="M372" s="1"/>
      <c r="N372" s="1"/>
    </row>
    <row r="373" spans="3:14" x14ac:dyDescent="0.25">
      <c r="C373" s="1"/>
      <c r="D373" s="1"/>
      <c r="E373" s="1"/>
      <c r="F373" s="1"/>
      <c r="G373" s="1"/>
      <c r="H373" s="1"/>
      <c r="K373" s="1"/>
      <c r="L373" s="1"/>
      <c r="M373" s="1"/>
      <c r="N373" s="1"/>
    </row>
    <row r="374" spans="3:14" x14ac:dyDescent="0.25">
      <c r="C374" s="1"/>
      <c r="D374" s="1"/>
      <c r="E374" s="1"/>
      <c r="F374" s="1"/>
      <c r="G374" s="1"/>
      <c r="H374" s="1"/>
      <c r="K374" s="1"/>
      <c r="L374" s="1"/>
      <c r="M374" s="1"/>
      <c r="N374" s="1"/>
    </row>
    <row r="375" spans="3:14" x14ac:dyDescent="0.25">
      <c r="C375" s="1"/>
      <c r="D375" s="1"/>
      <c r="E375" s="1"/>
      <c r="F375" s="1"/>
      <c r="G375" s="1"/>
      <c r="H375" s="1"/>
      <c r="K375" s="1"/>
      <c r="L375" s="1"/>
      <c r="M375" s="1"/>
      <c r="N375" s="1"/>
    </row>
    <row r="376" spans="3:14" x14ac:dyDescent="0.25">
      <c r="C376" s="1"/>
      <c r="D376" s="1"/>
      <c r="E376" s="1"/>
      <c r="F376" s="1"/>
      <c r="G376" s="1"/>
      <c r="H376" s="1"/>
      <c r="K376" s="1"/>
      <c r="L376" s="1"/>
      <c r="M376" s="1"/>
      <c r="N376" s="1"/>
    </row>
    <row r="377" spans="3:14" x14ac:dyDescent="0.25">
      <c r="C377" s="1"/>
      <c r="D377" s="1"/>
      <c r="E377" s="1"/>
      <c r="F377" s="1"/>
      <c r="G377" s="1"/>
      <c r="H377" s="1"/>
      <c r="K377" s="1"/>
      <c r="L377" s="1"/>
      <c r="M377" s="1"/>
      <c r="N377" s="1"/>
    </row>
    <row r="378" spans="3:14" x14ac:dyDescent="0.25">
      <c r="C378" s="1"/>
      <c r="D378" s="1"/>
      <c r="E378" s="1"/>
      <c r="F378" s="1"/>
      <c r="G378" s="1"/>
      <c r="H378" s="1"/>
      <c r="K378" s="1"/>
      <c r="L378" s="1"/>
      <c r="M378" s="1"/>
      <c r="N378" s="1"/>
    </row>
    <row r="379" spans="3:14" x14ac:dyDescent="0.25">
      <c r="C379" s="1"/>
      <c r="D379" s="1"/>
      <c r="E379" s="1"/>
      <c r="F379" s="1"/>
      <c r="G379" s="1"/>
      <c r="H379" s="1"/>
      <c r="K379" s="1"/>
      <c r="L379" s="1"/>
      <c r="M379" s="1"/>
      <c r="N379" s="1"/>
    </row>
    <row r="380" spans="3:14" x14ac:dyDescent="0.25">
      <c r="C380" s="1"/>
      <c r="D380" s="1"/>
      <c r="E380" s="1"/>
      <c r="F380" s="1"/>
      <c r="G380" s="1"/>
      <c r="H380" s="1"/>
      <c r="K380" s="1"/>
      <c r="L380" s="1"/>
      <c r="M380" s="1"/>
      <c r="N380" s="1"/>
    </row>
    <row r="381" spans="3:14" x14ac:dyDescent="0.25">
      <c r="C381" s="1"/>
      <c r="D381" s="1"/>
      <c r="E381" s="1"/>
      <c r="F381" s="1"/>
      <c r="G381" s="1"/>
      <c r="H381" s="1"/>
      <c r="K381" s="1"/>
      <c r="L381" s="1"/>
      <c r="M381" s="1"/>
      <c r="N381" s="1"/>
    </row>
    <row r="382" spans="3:14" x14ac:dyDescent="0.25">
      <c r="C382" s="1"/>
      <c r="D382" s="1"/>
      <c r="E382" s="1"/>
      <c r="F382" s="1"/>
      <c r="G382" s="1"/>
      <c r="H382" s="1"/>
      <c r="K382" s="1"/>
      <c r="L382" s="1"/>
      <c r="M382" s="1"/>
      <c r="N382" s="1"/>
    </row>
    <row r="383" spans="3:14" x14ac:dyDescent="0.25">
      <c r="C383" s="1"/>
      <c r="D383" s="1"/>
      <c r="E383" s="1"/>
      <c r="F383" s="1"/>
      <c r="G383" s="1"/>
      <c r="H383" s="1"/>
      <c r="K383" s="1"/>
      <c r="L383" s="1"/>
      <c r="M383" s="1"/>
      <c r="N383" s="1"/>
    </row>
    <row r="384" spans="3:14" x14ac:dyDescent="0.25">
      <c r="C384" s="1"/>
      <c r="D384" s="1"/>
      <c r="E384" s="1"/>
      <c r="F384" s="1"/>
      <c r="G384" s="1"/>
      <c r="H384" s="1"/>
      <c r="K384" s="1"/>
      <c r="L384" s="1"/>
      <c r="M384" s="1"/>
      <c r="N384" s="1"/>
    </row>
    <row r="385" spans="3:14" x14ac:dyDescent="0.25">
      <c r="C385" s="1"/>
      <c r="D385" s="1"/>
      <c r="E385" s="1"/>
      <c r="F385" s="1"/>
      <c r="G385" s="1"/>
      <c r="H385" s="1"/>
      <c r="K385" s="1"/>
      <c r="L385" s="1"/>
      <c r="M385" s="1"/>
      <c r="N385" s="1"/>
    </row>
    <row r="386" spans="3:14" x14ac:dyDescent="0.25">
      <c r="C386" s="1"/>
      <c r="D386" s="1"/>
      <c r="E386" s="1"/>
      <c r="F386" s="1"/>
      <c r="G386" s="1"/>
      <c r="H386" s="1"/>
      <c r="K386" s="1"/>
      <c r="L386" s="1"/>
      <c r="M386" s="1"/>
      <c r="N386" s="1"/>
    </row>
    <row r="387" spans="3:14" x14ac:dyDescent="0.25">
      <c r="C387" s="1"/>
      <c r="D387" s="1"/>
      <c r="E387" s="1"/>
      <c r="F387" s="1"/>
      <c r="G387" s="1"/>
      <c r="H387" s="1"/>
      <c r="K387" s="1"/>
      <c r="L387" s="1"/>
      <c r="M387" s="1"/>
      <c r="N387" s="1"/>
    </row>
    <row r="388" spans="3:14" x14ac:dyDescent="0.25">
      <c r="C388" s="1"/>
      <c r="D388" s="1"/>
      <c r="E388" s="1"/>
      <c r="F388" s="1"/>
      <c r="G388" s="1"/>
      <c r="H388" s="1"/>
      <c r="K388" s="1"/>
      <c r="L388" s="1"/>
      <c r="M388" s="1"/>
      <c r="N388" s="1"/>
    </row>
    <row r="389" spans="3:14" x14ac:dyDescent="0.25">
      <c r="C389" s="1"/>
      <c r="D389" s="1"/>
      <c r="E389" s="1"/>
      <c r="F389" s="1"/>
      <c r="G389" s="1"/>
      <c r="H389" s="1"/>
      <c r="K389" s="1"/>
      <c r="L389" s="1"/>
      <c r="M389" s="1"/>
      <c r="N389" s="1"/>
    </row>
    <row r="390" spans="3:14" x14ac:dyDescent="0.25">
      <c r="C390" s="1"/>
      <c r="D390" s="1"/>
      <c r="E390" s="1"/>
      <c r="F390" s="1"/>
      <c r="G390" s="1"/>
      <c r="H390" s="1"/>
      <c r="K390" s="1"/>
      <c r="L390" s="1"/>
      <c r="M390" s="1"/>
      <c r="N390" s="1"/>
    </row>
    <row r="391" spans="3:14" x14ac:dyDescent="0.25">
      <c r="C391" s="1"/>
      <c r="D391" s="1"/>
      <c r="E391" s="1"/>
      <c r="F391" s="1"/>
      <c r="G391" s="1"/>
      <c r="H391" s="1"/>
      <c r="K391" s="1"/>
      <c r="L391" s="1"/>
      <c r="M391" s="1"/>
      <c r="N391" s="1"/>
    </row>
    <row r="392" spans="3:14" x14ac:dyDescent="0.25">
      <c r="C392" s="1"/>
      <c r="D392" s="1"/>
      <c r="E392" s="1"/>
      <c r="F392" s="1"/>
      <c r="G392" s="1"/>
      <c r="H392" s="1"/>
      <c r="K392" s="1"/>
      <c r="L392" s="1"/>
      <c r="M392" s="1"/>
      <c r="N392" s="1"/>
    </row>
    <row r="393" spans="3:14" x14ac:dyDescent="0.25">
      <c r="C393" s="1"/>
      <c r="D393" s="1"/>
      <c r="E393" s="1"/>
      <c r="F393" s="1"/>
      <c r="G393" s="1"/>
      <c r="H393" s="1"/>
      <c r="K393" s="1"/>
      <c r="L393" s="1"/>
      <c r="M393" s="1"/>
      <c r="N393" s="1"/>
    </row>
    <row r="394" spans="3:14" x14ac:dyDescent="0.25">
      <c r="C394" s="1"/>
      <c r="D394" s="1"/>
      <c r="E394" s="1"/>
      <c r="F394" s="1"/>
      <c r="G394" s="1"/>
      <c r="H394" s="1"/>
      <c r="K394" s="1"/>
      <c r="L394" s="1"/>
      <c r="M394" s="1"/>
      <c r="N394" s="1"/>
    </row>
    <row r="395" spans="3:14" x14ac:dyDescent="0.25">
      <c r="C395" s="1"/>
      <c r="D395" s="1"/>
      <c r="E395" s="1"/>
      <c r="F395" s="1"/>
      <c r="G395" s="1"/>
      <c r="H395" s="1"/>
      <c r="K395" s="1"/>
      <c r="L395" s="1"/>
      <c r="M395" s="1"/>
      <c r="N395" s="1"/>
    </row>
    <row r="396" spans="3:14" x14ac:dyDescent="0.25">
      <c r="C396" s="1"/>
      <c r="D396" s="1"/>
      <c r="E396" s="1"/>
      <c r="F396" s="1"/>
      <c r="G396" s="1"/>
      <c r="H396" s="1"/>
      <c r="K396" s="1"/>
      <c r="L396" s="1"/>
      <c r="M396" s="1"/>
      <c r="N396" s="1"/>
    </row>
    <row r="397" spans="3:14" x14ac:dyDescent="0.25">
      <c r="C397" s="1"/>
      <c r="D397" s="1"/>
      <c r="E397" s="1"/>
      <c r="F397" s="1"/>
      <c r="G397" s="1"/>
      <c r="H397" s="1"/>
      <c r="K397" s="1"/>
      <c r="L397" s="1"/>
      <c r="M397" s="1"/>
      <c r="N397" s="1"/>
    </row>
    <row r="398" spans="3:14" x14ac:dyDescent="0.25">
      <c r="C398" s="1"/>
      <c r="D398" s="1"/>
      <c r="E398" s="1"/>
      <c r="F398" s="1"/>
      <c r="G398" s="1"/>
      <c r="H398" s="1"/>
      <c r="K398" s="1"/>
      <c r="L398" s="1"/>
      <c r="M398" s="1"/>
      <c r="N398" s="1"/>
    </row>
    <row r="399" spans="3:14" x14ac:dyDescent="0.25">
      <c r="C399" s="1"/>
      <c r="D399" s="1"/>
      <c r="E399" s="1"/>
      <c r="F399" s="1"/>
      <c r="G399" s="1"/>
      <c r="H399" s="1"/>
      <c r="K399" s="1"/>
      <c r="L399" s="1"/>
      <c r="M399" s="1"/>
      <c r="N399" s="1"/>
    </row>
    <row r="400" spans="3:14" x14ac:dyDescent="0.25">
      <c r="C400" s="1"/>
      <c r="D400" s="1"/>
      <c r="E400" s="1"/>
      <c r="F400" s="1"/>
      <c r="G400" s="1"/>
      <c r="H400" s="1"/>
      <c r="K400" s="1"/>
      <c r="L400" s="1"/>
      <c r="M400" s="1"/>
      <c r="N400" s="1"/>
    </row>
    <row r="401" spans="3:14" x14ac:dyDescent="0.25">
      <c r="C401" s="1"/>
      <c r="D401" s="1"/>
      <c r="E401" s="1"/>
      <c r="F401" s="1"/>
      <c r="G401" s="1"/>
      <c r="H401" s="1"/>
      <c r="K401" s="1"/>
      <c r="L401" s="1"/>
      <c r="M401" s="1"/>
      <c r="N401" s="1"/>
    </row>
    <row r="402" spans="3:14" x14ac:dyDescent="0.25">
      <c r="C402" s="1"/>
      <c r="D402" s="1"/>
      <c r="E402" s="1"/>
      <c r="F402" s="1"/>
      <c r="G402" s="1"/>
      <c r="H402" s="1"/>
      <c r="K402" s="1"/>
      <c r="L402" s="1"/>
      <c r="M402" s="1"/>
      <c r="N402" s="1"/>
    </row>
    <row r="403" spans="3:14" x14ac:dyDescent="0.25">
      <c r="C403" s="1"/>
      <c r="D403" s="1"/>
      <c r="E403" s="1"/>
      <c r="F403" s="1"/>
      <c r="G403" s="1"/>
      <c r="H403" s="1"/>
      <c r="K403" s="1"/>
      <c r="L403" s="1"/>
      <c r="M403" s="1"/>
      <c r="N403" s="1"/>
    </row>
    <row r="404" spans="3:14" x14ac:dyDescent="0.25">
      <c r="C404" s="1"/>
      <c r="D404" s="1"/>
      <c r="E404" s="1"/>
      <c r="F404" s="1"/>
      <c r="G404" s="1"/>
      <c r="H404" s="1"/>
      <c r="K404" s="1"/>
      <c r="L404" s="1"/>
      <c r="M404" s="1"/>
      <c r="N404" s="1"/>
    </row>
    <row r="405" spans="3:14" x14ac:dyDescent="0.25">
      <c r="C405" s="1"/>
      <c r="D405" s="1"/>
      <c r="E405" s="1"/>
      <c r="F405" s="1"/>
      <c r="G405" s="1"/>
      <c r="H405" s="1"/>
      <c r="K405" s="1"/>
      <c r="L405" s="1"/>
      <c r="M405" s="1"/>
      <c r="N405" s="1"/>
    </row>
    <row r="406" spans="3:14" x14ac:dyDescent="0.25">
      <c r="C406" s="1"/>
      <c r="D406" s="1"/>
      <c r="E406" s="1"/>
      <c r="F406" s="1"/>
      <c r="G406" s="1"/>
      <c r="H406" s="1"/>
      <c r="K406" s="1"/>
      <c r="L406" s="1"/>
      <c r="M406" s="1"/>
      <c r="N406" s="1"/>
    </row>
    <row r="407" spans="3:14" x14ac:dyDescent="0.25">
      <c r="C407" s="1"/>
      <c r="D407" s="1"/>
      <c r="E407" s="1"/>
      <c r="F407" s="1"/>
      <c r="G407" s="1"/>
      <c r="H407" s="1"/>
      <c r="K407" s="1"/>
      <c r="L407" s="1"/>
      <c r="M407" s="1"/>
      <c r="N407" s="1"/>
    </row>
    <row r="408" spans="3:14" x14ac:dyDescent="0.25">
      <c r="C408" s="1"/>
      <c r="D408" s="1"/>
      <c r="E408" s="1"/>
      <c r="F408" s="1"/>
      <c r="G408" s="1"/>
      <c r="H408" s="1"/>
      <c r="K408" s="1"/>
      <c r="L408" s="1"/>
      <c r="M408" s="1"/>
      <c r="N408" s="1"/>
    </row>
    <row r="409" spans="3:14" x14ac:dyDescent="0.25">
      <c r="C409" s="1"/>
      <c r="D409" s="1"/>
      <c r="E409" s="1"/>
      <c r="F409" s="1"/>
      <c r="G409" s="1"/>
      <c r="H409" s="1"/>
      <c r="K409" s="1"/>
      <c r="L409" s="1"/>
      <c r="M409" s="1"/>
      <c r="N409" s="1"/>
    </row>
    <row r="410" spans="3:14" x14ac:dyDescent="0.25">
      <c r="C410" s="1"/>
      <c r="D410" s="1"/>
      <c r="E410" s="1"/>
      <c r="F410" s="1"/>
      <c r="G410" s="1"/>
      <c r="H410" s="1"/>
      <c r="K410" s="1"/>
      <c r="L410" s="1"/>
      <c r="M410" s="1"/>
      <c r="N410" s="1"/>
    </row>
    <row r="411" spans="3:14" x14ac:dyDescent="0.25">
      <c r="C411" s="1"/>
      <c r="D411" s="1"/>
      <c r="E411" s="1"/>
      <c r="F411" s="1"/>
      <c r="G411" s="1"/>
      <c r="H411" s="1"/>
      <c r="K411" s="1"/>
      <c r="L411" s="1"/>
      <c r="M411" s="1"/>
      <c r="N411" s="1"/>
    </row>
    <row r="412" spans="3:14" x14ac:dyDescent="0.25">
      <c r="C412" s="1"/>
      <c r="D412" s="1"/>
      <c r="E412" s="1"/>
      <c r="F412" s="1"/>
      <c r="G412" s="1"/>
      <c r="H412" s="1"/>
      <c r="K412" s="1"/>
      <c r="L412" s="1"/>
      <c r="M412" s="1"/>
      <c r="N412" s="1"/>
    </row>
    <row r="413" spans="3:14" x14ac:dyDescent="0.25">
      <c r="C413" s="1"/>
      <c r="D413" s="1"/>
      <c r="E413" s="1"/>
      <c r="F413" s="1"/>
      <c r="G413" s="1"/>
      <c r="H413" s="1"/>
      <c r="K413" s="1"/>
      <c r="L413" s="1"/>
      <c r="M413" s="1"/>
      <c r="N413" s="1"/>
    </row>
    <row r="414" spans="3:14" x14ac:dyDescent="0.25">
      <c r="C414" s="1"/>
      <c r="D414" s="1"/>
      <c r="E414" s="1"/>
      <c r="F414" s="1"/>
      <c r="G414" s="1"/>
      <c r="H414" s="1"/>
      <c r="K414" s="1"/>
      <c r="L414" s="1"/>
      <c r="M414" s="1"/>
      <c r="N414" s="1"/>
    </row>
    <row r="415" spans="3:14" x14ac:dyDescent="0.25">
      <c r="C415" s="1"/>
      <c r="D415" s="1"/>
      <c r="E415" s="1"/>
      <c r="F415" s="1"/>
      <c r="G415" s="1"/>
      <c r="H415" s="1"/>
      <c r="K415" s="1"/>
      <c r="L415" s="1"/>
      <c r="M415" s="1"/>
      <c r="N415" s="1"/>
    </row>
    <row r="416" spans="3:14" x14ac:dyDescent="0.25">
      <c r="C416" s="1"/>
      <c r="D416" s="1"/>
      <c r="E416" s="1"/>
      <c r="F416" s="1"/>
      <c r="G416" s="1"/>
      <c r="H416" s="1"/>
      <c r="K416" s="1"/>
      <c r="L416" s="1"/>
      <c r="M416" s="1"/>
      <c r="N416" s="1"/>
    </row>
    <row r="417" spans="3:14" x14ac:dyDescent="0.25">
      <c r="C417" s="1"/>
      <c r="D417" s="1"/>
      <c r="E417" s="1"/>
      <c r="F417" s="1"/>
      <c r="G417" s="1"/>
      <c r="H417" s="1"/>
      <c r="K417" s="1"/>
      <c r="L417" s="1"/>
      <c r="M417" s="1"/>
      <c r="N417" s="1"/>
    </row>
    <row r="418" spans="3:14" x14ac:dyDescent="0.25">
      <c r="C418" s="1"/>
      <c r="D418" s="1"/>
      <c r="E418" s="1"/>
      <c r="F418" s="1"/>
      <c r="G418" s="1"/>
      <c r="H418" s="1"/>
      <c r="K418" s="1"/>
      <c r="L418" s="1"/>
      <c r="M418" s="1"/>
      <c r="N418" s="1"/>
    </row>
    <row r="419" spans="3:14" x14ac:dyDescent="0.25">
      <c r="C419" s="1"/>
      <c r="D419" s="1"/>
      <c r="E419" s="1"/>
      <c r="F419" s="1"/>
      <c r="G419" s="1"/>
      <c r="H419" s="1"/>
      <c r="K419" s="1"/>
      <c r="L419" s="1"/>
      <c r="M419" s="1"/>
      <c r="N419" s="1"/>
    </row>
    <row r="420" spans="3:14" x14ac:dyDescent="0.25">
      <c r="C420" s="1"/>
      <c r="D420" s="1"/>
      <c r="E420" s="1"/>
      <c r="F420" s="1"/>
      <c r="G420" s="1"/>
      <c r="H420" s="1"/>
      <c r="K420" s="1"/>
      <c r="L420" s="1"/>
      <c r="M420" s="1"/>
      <c r="N420" s="1"/>
    </row>
    <row r="421" spans="3:14" x14ac:dyDescent="0.25">
      <c r="C421" s="1"/>
      <c r="D421" s="1"/>
      <c r="E421" s="1"/>
      <c r="F421" s="1"/>
      <c r="G421" s="1"/>
      <c r="H421" s="1"/>
      <c r="K421" s="1"/>
      <c r="L421" s="1"/>
      <c r="M421" s="1"/>
      <c r="N421" s="1"/>
    </row>
    <row r="422" spans="3:14" x14ac:dyDescent="0.25">
      <c r="C422" s="1"/>
      <c r="D422" s="1"/>
      <c r="E422" s="1"/>
      <c r="F422" s="1"/>
      <c r="G422" s="1"/>
      <c r="H422" s="1"/>
      <c r="K422" s="1"/>
      <c r="L422" s="1"/>
      <c r="M422" s="1"/>
      <c r="N422" s="1"/>
    </row>
    <row r="423" spans="3:14" x14ac:dyDescent="0.25">
      <c r="C423" s="1"/>
      <c r="D423" s="1"/>
      <c r="E423" s="1"/>
      <c r="F423" s="1"/>
      <c r="G423" s="1"/>
      <c r="H423" s="1"/>
      <c r="K423" s="1"/>
      <c r="L423" s="1"/>
      <c r="M423" s="1"/>
      <c r="N423" s="1"/>
    </row>
    <row r="424" spans="3:14" x14ac:dyDescent="0.25">
      <c r="C424" s="1"/>
      <c r="D424" s="1"/>
      <c r="E424" s="1"/>
      <c r="F424" s="1"/>
      <c r="G424" s="1"/>
      <c r="H424" s="1"/>
      <c r="K424" s="1"/>
      <c r="L424" s="1"/>
      <c r="M424" s="1"/>
      <c r="N424" s="1"/>
    </row>
    <row r="425" spans="3:14" x14ac:dyDescent="0.25">
      <c r="C425" s="1"/>
      <c r="D425" s="1"/>
      <c r="E425" s="1"/>
      <c r="F425" s="1"/>
      <c r="G425" s="1"/>
      <c r="H425" s="1"/>
      <c r="K425" s="1"/>
      <c r="L425" s="1"/>
      <c r="M425" s="1"/>
      <c r="N425" s="1"/>
    </row>
    <row r="426" spans="3:14" x14ac:dyDescent="0.25">
      <c r="C426" s="1"/>
      <c r="D426" s="1"/>
      <c r="E426" s="1"/>
      <c r="F426" s="1"/>
      <c r="G426" s="1"/>
      <c r="H426" s="1"/>
      <c r="K426" s="1"/>
      <c r="L426" s="1"/>
      <c r="M426" s="1"/>
      <c r="N426" s="1"/>
    </row>
    <row r="427" spans="3:14" x14ac:dyDescent="0.25">
      <c r="C427" s="1"/>
      <c r="D427" s="1"/>
      <c r="E427" s="1"/>
      <c r="F427" s="1"/>
      <c r="G427" s="1"/>
      <c r="H427" s="1"/>
      <c r="K427" s="1"/>
      <c r="L427" s="1"/>
      <c r="M427" s="1"/>
      <c r="N427" s="1"/>
    </row>
    <row r="428" spans="3:14" x14ac:dyDescent="0.25">
      <c r="C428" s="1"/>
      <c r="D428" s="1"/>
      <c r="E428" s="1"/>
      <c r="F428" s="1"/>
      <c r="G428" s="1"/>
      <c r="H428" s="1"/>
      <c r="K428" s="1"/>
      <c r="L428" s="1"/>
      <c r="M428" s="1"/>
      <c r="N428" s="1"/>
    </row>
    <row r="429" spans="3:14" x14ac:dyDescent="0.25">
      <c r="C429" s="1"/>
      <c r="D429" s="1"/>
      <c r="E429" s="1"/>
      <c r="F429" s="1"/>
      <c r="G429" s="1"/>
      <c r="H429" s="1"/>
      <c r="K429" s="1"/>
      <c r="L429" s="1"/>
      <c r="M429" s="1"/>
      <c r="N429" s="1"/>
    </row>
    <row r="430" spans="3:14" x14ac:dyDescent="0.25">
      <c r="C430" s="1"/>
      <c r="D430" s="1"/>
      <c r="E430" s="1"/>
      <c r="F430" s="1"/>
      <c r="G430" s="1"/>
      <c r="H430" s="1"/>
      <c r="K430" s="1"/>
      <c r="L430" s="1"/>
      <c r="M430" s="1"/>
      <c r="N430" s="1"/>
    </row>
    <row r="431" spans="3:14" x14ac:dyDescent="0.25">
      <c r="C431" s="1"/>
      <c r="D431" s="1"/>
      <c r="E431" s="1"/>
      <c r="F431" s="1"/>
      <c r="G431" s="1"/>
      <c r="H431" s="1"/>
      <c r="K431" s="1"/>
      <c r="L431" s="1"/>
      <c r="M431" s="1"/>
      <c r="N431" s="1"/>
    </row>
    <row r="432" spans="3:14" x14ac:dyDescent="0.25">
      <c r="C432" s="1"/>
      <c r="D432" s="1"/>
      <c r="E432" s="1"/>
      <c r="F432" s="1"/>
      <c r="G432" s="1"/>
      <c r="H432" s="1"/>
      <c r="K432" s="1"/>
      <c r="L432" s="1"/>
      <c r="M432" s="1"/>
      <c r="N432" s="1"/>
    </row>
    <row r="433" spans="3:14" x14ac:dyDescent="0.25">
      <c r="C433" s="1"/>
      <c r="D433" s="1"/>
      <c r="E433" s="1"/>
      <c r="F433" s="1"/>
      <c r="G433" s="1"/>
      <c r="H433" s="1"/>
      <c r="K433" s="1"/>
      <c r="L433" s="1"/>
      <c r="M433" s="1"/>
      <c r="N433" s="1"/>
    </row>
    <row r="434" spans="3:14" x14ac:dyDescent="0.25">
      <c r="C434" s="1"/>
      <c r="D434" s="1"/>
      <c r="E434" s="1"/>
      <c r="F434" s="1"/>
      <c r="G434" s="1"/>
      <c r="H434" s="1"/>
      <c r="K434" s="1"/>
      <c r="L434" s="1"/>
      <c r="M434" s="1"/>
      <c r="N434" s="1"/>
    </row>
    <row r="435" spans="3:14" x14ac:dyDescent="0.25">
      <c r="C435" s="1"/>
      <c r="D435" s="1"/>
      <c r="E435" s="1"/>
      <c r="F435" s="1"/>
      <c r="G435" s="1"/>
      <c r="H435" s="1"/>
      <c r="K435" s="1"/>
      <c r="L435" s="1"/>
      <c r="M435" s="1"/>
      <c r="N435" s="1"/>
    </row>
    <row r="436" spans="3:14" x14ac:dyDescent="0.25">
      <c r="C436" s="1"/>
      <c r="D436" s="1"/>
      <c r="E436" s="1"/>
      <c r="F436" s="1"/>
      <c r="G436" s="1"/>
      <c r="H436" s="1"/>
      <c r="K436" s="1"/>
      <c r="L436" s="1"/>
      <c r="M436" s="1"/>
      <c r="N436" s="1"/>
    </row>
    <row r="437" spans="3:14" x14ac:dyDescent="0.25">
      <c r="C437" s="1"/>
      <c r="D437" s="1"/>
      <c r="E437" s="1"/>
      <c r="F437" s="1"/>
      <c r="G437" s="1"/>
      <c r="H437" s="1"/>
      <c r="K437" s="1"/>
      <c r="L437" s="1"/>
      <c r="M437" s="1"/>
      <c r="N437" s="1"/>
    </row>
    <row r="438" spans="3:14" x14ac:dyDescent="0.25">
      <c r="C438" s="1"/>
      <c r="D438" s="1"/>
      <c r="E438" s="1"/>
      <c r="F438" s="1"/>
      <c r="G438" s="1"/>
      <c r="H438" s="1"/>
      <c r="K438" s="1"/>
      <c r="L438" s="1"/>
      <c r="M438" s="1"/>
      <c r="N438" s="1"/>
    </row>
    <row r="439" spans="3:14" x14ac:dyDescent="0.25">
      <c r="C439" s="1"/>
      <c r="D439" s="1"/>
      <c r="E439" s="1"/>
      <c r="F439" s="1"/>
      <c r="G439" s="1"/>
      <c r="H439" s="1"/>
      <c r="K439" s="1"/>
      <c r="L439" s="1"/>
      <c r="M439" s="1"/>
      <c r="N439" s="1"/>
    </row>
    <row r="440" spans="3:14" x14ac:dyDescent="0.25">
      <c r="C440" s="1"/>
      <c r="D440" s="1"/>
      <c r="E440" s="1"/>
      <c r="F440" s="1"/>
      <c r="G440" s="1"/>
      <c r="H440" s="1"/>
      <c r="K440" s="1"/>
      <c r="L440" s="1"/>
      <c r="M440" s="1"/>
      <c r="N440" s="1"/>
    </row>
    <row r="441" spans="3:14" x14ac:dyDescent="0.25">
      <c r="C441" s="1"/>
      <c r="D441" s="1"/>
      <c r="E441" s="1"/>
      <c r="F441" s="1"/>
      <c r="G441" s="1"/>
      <c r="H441" s="1"/>
      <c r="K441" s="1"/>
      <c r="L441" s="1"/>
      <c r="M441" s="1"/>
      <c r="N441" s="1"/>
    </row>
    <row r="442" spans="3:14" x14ac:dyDescent="0.25">
      <c r="C442" s="1"/>
      <c r="D442" s="1"/>
      <c r="E442" s="1"/>
      <c r="F442" s="1"/>
      <c r="G442" s="1"/>
      <c r="H442" s="1"/>
      <c r="K442" s="1"/>
      <c r="L442" s="1"/>
      <c r="M442" s="1"/>
      <c r="N442" s="1"/>
    </row>
    <row r="443" spans="3:14" x14ac:dyDescent="0.25">
      <c r="C443" s="1"/>
      <c r="D443" s="1"/>
      <c r="E443" s="1"/>
      <c r="F443" s="1"/>
      <c r="G443" s="1"/>
      <c r="H443" s="1"/>
      <c r="K443" s="1"/>
      <c r="L443" s="1"/>
      <c r="M443" s="1"/>
      <c r="N443" s="1"/>
    </row>
    <row r="444" spans="3:14" x14ac:dyDescent="0.25">
      <c r="C444" s="1"/>
      <c r="D444" s="1"/>
      <c r="E444" s="1"/>
      <c r="F444" s="1"/>
      <c r="G444" s="1"/>
      <c r="H444" s="1"/>
      <c r="K444" s="1"/>
      <c r="L444" s="1"/>
      <c r="M444" s="1"/>
      <c r="N444" s="1"/>
    </row>
    <row r="445" spans="3:14" x14ac:dyDescent="0.25">
      <c r="C445" s="1"/>
      <c r="D445" s="1"/>
      <c r="E445" s="1"/>
      <c r="F445" s="1"/>
      <c r="G445" s="1"/>
      <c r="H445" s="1"/>
      <c r="K445" s="1"/>
      <c r="L445" s="1"/>
      <c r="M445" s="1"/>
      <c r="N445" s="1"/>
    </row>
    <row r="446" spans="3:14" x14ac:dyDescent="0.25">
      <c r="C446" s="1"/>
      <c r="D446" s="1"/>
      <c r="E446" s="1"/>
      <c r="F446" s="1"/>
      <c r="G446" s="1"/>
      <c r="H446" s="1"/>
      <c r="K446" s="1"/>
      <c r="L446" s="1"/>
      <c r="M446" s="1"/>
      <c r="N446" s="1"/>
    </row>
    <row r="447" spans="3:14" x14ac:dyDescent="0.25">
      <c r="C447" s="1"/>
      <c r="D447" s="1"/>
      <c r="E447" s="1"/>
      <c r="F447" s="1"/>
      <c r="G447" s="1"/>
      <c r="H447" s="1"/>
      <c r="K447" s="1"/>
      <c r="L447" s="1"/>
      <c r="M447" s="1"/>
      <c r="N447" s="1"/>
    </row>
    <row r="448" spans="3:14" x14ac:dyDescent="0.25">
      <c r="C448" s="1"/>
      <c r="D448" s="1"/>
      <c r="E448" s="1"/>
      <c r="F448" s="1"/>
      <c r="G448" s="1"/>
      <c r="H448" s="1"/>
      <c r="K448" s="1"/>
      <c r="L448" s="1"/>
      <c r="M448" s="1"/>
      <c r="N448" s="1"/>
    </row>
    <row r="449" spans="3:14" x14ac:dyDescent="0.25">
      <c r="C449" s="1"/>
      <c r="D449" s="1"/>
      <c r="E449" s="1"/>
      <c r="F449" s="1"/>
      <c r="G449" s="1"/>
      <c r="H449" s="1"/>
      <c r="K449" s="1"/>
      <c r="L449" s="1"/>
      <c r="M449" s="1"/>
      <c r="N449" s="1"/>
    </row>
    <row r="450" spans="3:14" x14ac:dyDescent="0.25">
      <c r="C450" s="1"/>
      <c r="D450" s="1"/>
      <c r="E450" s="1"/>
      <c r="F450" s="1"/>
      <c r="G450" s="1"/>
      <c r="H450" s="1"/>
      <c r="K450" s="1"/>
      <c r="L450" s="1"/>
      <c r="M450" s="1"/>
      <c r="N450" s="1"/>
    </row>
    <row r="451" spans="3:14" x14ac:dyDescent="0.25">
      <c r="C451" s="1"/>
      <c r="D451" s="1"/>
      <c r="E451" s="1"/>
      <c r="F451" s="1"/>
      <c r="G451" s="1"/>
      <c r="H451" s="1"/>
      <c r="K451" s="1"/>
      <c r="L451" s="1"/>
      <c r="M451" s="1"/>
      <c r="N451" s="1"/>
    </row>
    <row r="452" spans="3:14" x14ac:dyDescent="0.25">
      <c r="C452" s="1"/>
      <c r="D452" s="1"/>
      <c r="E452" s="1"/>
      <c r="F452" s="1"/>
      <c r="G452" s="1"/>
      <c r="H452" s="1"/>
      <c r="K452" s="1"/>
      <c r="L452" s="1"/>
      <c r="M452" s="1"/>
      <c r="N452" s="1"/>
    </row>
    <row r="453" spans="3:14" x14ac:dyDescent="0.25">
      <c r="C453" s="1"/>
      <c r="D453" s="1"/>
      <c r="E453" s="1"/>
      <c r="F453" s="1"/>
      <c r="G453" s="1"/>
      <c r="H453" s="1"/>
      <c r="K453" s="1"/>
      <c r="L453" s="1"/>
      <c r="M453" s="1"/>
      <c r="N453" s="1"/>
    </row>
    <row r="454" spans="3:14" x14ac:dyDescent="0.25">
      <c r="C454" s="1"/>
      <c r="D454" s="1"/>
      <c r="E454" s="1"/>
      <c r="F454" s="1"/>
      <c r="G454" s="1"/>
      <c r="H454" s="1"/>
      <c r="K454" s="1"/>
      <c r="L454" s="1"/>
      <c r="M454" s="1"/>
      <c r="N454" s="1"/>
    </row>
    <row r="455" spans="3:14" x14ac:dyDescent="0.25">
      <c r="C455" s="1"/>
      <c r="D455" s="1"/>
      <c r="E455" s="1"/>
      <c r="F455" s="1"/>
      <c r="G455" s="1"/>
      <c r="H455" s="1"/>
      <c r="K455" s="1"/>
      <c r="L455" s="1"/>
      <c r="M455" s="1"/>
      <c r="N455" s="1"/>
    </row>
    <row r="456" spans="3:14" x14ac:dyDescent="0.25">
      <c r="C456" s="1"/>
      <c r="D456" s="1"/>
      <c r="E456" s="1"/>
      <c r="F456" s="1"/>
      <c r="G456" s="1"/>
      <c r="H456" s="1"/>
      <c r="K456" s="1"/>
      <c r="L456" s="1"/>
      <c r="M456" s="1"/>
      <c r="N456" s="1"/>
    </row>
    <row r="457" spans="3:14" x14ac:dyDescent="0.25">
      <c r="C457" s="1"/>
      <c r="D457" s="1"/>
      <c r="E457" s="1"/>
      <c r="F457" s="1"/>
      <c r="G457" s="1"/>
      <c r="H457" s="1"/>
      <c r="K457" s="1"/>
      <c r="L457" s="1"/>
      <c r="M457" s="1"/>
      <c r="N457" s="1"/>
    </row>
    <row r="458" spans="3:14" x14ac:dyDescent="0.25">
      <c r="C458" s="1"/>
      <c r="D458" s="1"/>
      <c r="E458" s="1"/>
      <c r="F458" s="1"/>
      <c r="G458" s="1"/>
      <c r="H458" s="1"/>
      <c r="K458" s="1"/>
      <c r="L458" s="1"/>
      <c r="M458" s="1"/>
      <c r="N458" s="1"/>
    </row>
    <row r="459" spans="3:14" x14ac:dyDescent="0.25">
      <c r="C459" s="1"/>
      <c r="D459" s="1"/>
      <c r="E459" s="1"/>
      <c r="F459" s="1"/>
      <c r="G459" s="1"/>
      <c r="H459" s="1"/>
      <c r="K459" s="1"/>
      <c r="L459" s="1"/>
      <c r="M459" s="1"/>
      <c r="N459" s="1"/>
    </row>
    <row r="460" spans="3:14" x14ac:dyDescent="0.25">
      <c r="C460" s="1"/>
      <c r="D460" s="1"/>
      <c r="E460" s="1"/>
      <c r="F460" s="1"/>
      <c r="G460" s="1"/>
      <c r="H460" s="1"/>
      <c r="K460" s="1"/>
      <c r="L460" s="1"/>
      <c r="M460" s="1"/>
      <c r="N460" s="1"/>
    </row>
    <row r="461" spans="3:14" x14ac:dyDescent="0.25">
      <c r="C461" s="1"/>
      <c r="D461" s="1"/>
      <c r="E461" s="1"/>
      <c r="F461" s="1"/>
      <c r="G461" s="1"/>
      <c r="H461" s="1"/>
      <c r="K461" s="1"/>
      <c r="L461" s="1"/>
      <c r="M461" s="1"/>
      <c r="N461" s="1"/>
    </row>
    <row r="462" spans="3:14" x14ac:dyDescent="0.25">
      <c r="C462" s="1"/>
      <c r="D462" s="1"/>
      <c r="E462" s="1"/>
      <c r="F462" s="1"/>
      <c r="G462" s="1"/>
      <c r="H462" s="1"/>
      <c r="K462" s="1"/>
      <c r="L462" s="1"/>
      <c r="M462" s="1"/>
      <c r="N462" s="1"/>
    </row>
    <row r="463" spans="3:14" x14ac:dyDescent="0.25">
      <c r="C463" s="1"/>
      <c r="D463" s="1"/>
      <c r="E463" s="1"/>
      <c r="F463" s="1"/>
      <c r="G463" s="1"/>
      <c r="H463" s="1"/>
      <c r="K463" s="1"/>
      <c r="L463" s="1"/>
      <c r="M463" s="1"/>
      <c r="N463" s="1"/>
    </row>
    <row r="464" spans="3:14" x14ac:dyDescent="0.25">
      <c r="C464" s="1"/>
      <c r="D464" s="1"/>
      <c r="E464" s="1"/>
      <c r="F464" s="1"/>
      <c r="G464" s="1"/>
      <c r="H464" s="1"/>
      <c r="K464" s="1"/>
      <c r="L464" s="1"/>
      <c r="M464" s="1"/>
      <c r="N464" s="1"/>
    </row>
    <row r="465" spans="3:14" x14ac:dyDescent="0.25">
      <c r="C465" s="1"/>
      <c r="D465" s="1"/>
      <c r="E465" s="1"/>
      <c r="F465" s="1"/>
      <c r="G465" s="1"/>
      <c r="H465" s="1"/>
      <c r="K465" s="1"/>
      <c r="L465" s="1"/>
      <c r="M465" s="1"/>
      <c r="N465" s="1"/>
    </row>
    <row r="466" spans="3:14" x14ac:dyDescent="0.25">
      <c r="C466" s="1"/>
      <c r="D466" s="1"/>
      <c r="E466" s="1"/>
      <c r="F466" s="1"/>
      <c r="G466" s="1"/>
      <c r="H466" s="1"/>
      <c r="K466" s="1"/>
      <c r="L466" s="1"/>
      <c r="M466" s="1"/>
      <c r="N466" s="1"/>
    </row>
    <row r="467" spans="3:14" x14ac:dyDescent="0.25">
      <c r="C467" s="1"/>
      <c r="D467" s="1"/>
      <c r="E467" s="1"/>
      <c r="F467" s="1"/>
      <c r="G467" s="1"/>
      <c r="H467" s="1"/>
      <c r="K467" s="1"/>
      <c r="L467" s="1"/>
      <c r="M467" s="1"/>
      <c r="N467" s="1"/>
    </row>
    <row r="468" spans="3:14" x14ac:dyDescent="0.25">
      <c r="C468" s="1"/>
      <c r="D468" s="1"/>
      <c r="E468" s="1"/>
      <c r="F468" s="1"/>
      <c r="G468" s="1"/>
      <c r="H468" s="1"/>
      <c r="K468" s="1"/>
      <c r="L468" s="1"/>
      <c r="M468" s="1"/>
      <c r="N468" s="1"/>
    </row>
    <row r="469" spans="3:14" x14ac:dyDescent="0.25">
      <c r="C469" s="1"/>
      <c r="D469" s="1"/>
      <c r="E469" s="1"/>
      <c r="F469" s="1"/>
      <c r="G469" s="1"/>
      <c r="H469" s="1"/>
      <c r="K469" s="1"/>
      <c r="L469" s="1"/>
      <c r="M469" s="1"/>
      <c r="N469" s="1"/>
    </row>
    <row r="470" spans="3:14" x14ac:dyDescent="0.25">
      <c r="C470" s="1"/>
      <c r="D470" s="1"/>
      <c r="E470" s="1"/>
      <c r="F470" s="1"/>
      <c r="G470" s="1"/>
      <c r="H470" s="1"/>
      <c r="K470" s="1"/>
      <c r="L470" s="1"/>
      <c r="M470" s="1"/>
      <c r="N470" s="1"/>
    </row>
    <row r="471" spans="3:14" x14ac:dyDescent="0.25">
      <c r="C471" s="1"/>
      <c r="D471" s="1"/>
      <c r="E471" s="1"/>
      <c r="F471" s="1"/>
      <c r="G471" s="1"/>
      <c r="H471" s="1"/>
      <c r="K471" s="1"/>
      <c r="L471" s="1"/>
      <c r="M471" s="1"/>
      <c r="N471" s="1"/>
    </row>
    <row r="472" spans="3:14" x14ac:dyDescent="0.25">
      <c r="C472" s="1"/>
      <c r="D472" s="1"/>
      <c r="E472" s="1"/>
      <c r="F472" s="1"/>
      <c r="G472" s="1"/>
      <c r="H472" s="1"/>
      <c r="K472" s="1"/>
      <c r="L472" s="1"/>
      <c r="M472" s="1"/>
      <c r="N472" s="1"/>
    </row>
    <row r="473" spans="3:14" x14ac:dyDescent="0.25">
      <c r="C473" s="1"/>
      <c r="D473" s="1"/>
      <c r="E473" s="1"/>
      <c r="F473" s="1"/>
      <c r="G473" s="1"/>
      <c r="H473" s="1"/>
      <c r="K473" s="1"/>
      <c r="L473" s="1"/>
      <c r="M473" s="1"/>
      <c r="N473" s="1"/>
    </row>
    <row r="474" spans="3:14" x14ac:dyDescent="0.25">
      <c r="C474" s="1"/>
      <c r="D474" s="1"/>
      <c r="E474" s="1"/>
      <c r="F474" s="1"/>
      <c r="G474" s="1"/>
      <c r="H474" s="1"/>
      <c r="K474" s="1"/>
      <c r="L474" s="1"/>
      <c r="M474" s="1"/>
      <c r="N474" s="1"/>
    </row>
    <row r="475" spans="3:14" x14ac:dyDescent="0.25">
      <c r="C475" s="1"/>
      <c r="D475" s="1"/>
      <c r="E475" s="1"/>
      <c r="F475" s="1"/>
      <c r="G475" s="1"/>
      <c r="H475" s="1"/>
      <c r="K475" s="1"/>
      <c r="L475" s="1"/>
      <c r="M475" s="1"/>
      <c r="N475" s="1"/>
    </row>
    <row r="476" spans="3:14" x14ac:dyDescent="0.25">
      <c r="C476" s="1"/>
      <c r="D476" s="1"/>
      <c r="E476" s="1"/>
      <c r="F476" s="1"/>
      <c r="G476" s="1"/>
      <c r="H476" s="1"/>
      <c r="K476" s="1"/>
      <c r="L476" s="1"/>
      <c r="M476" s="1"/>
      <c r="N476" s="1"/>
    </row>
    <row r="477" spans="3:14" x14ac:dyDescent="0.25">
      <c r="C477" s="1"/>
      <c r="D477" s="1"/>
      <c r="E477" s="1"/>
      <c r="F477" s="1"/>
      <c r="G477" s="1"/>
      <c r="H477" s="1"/>
      <c r="K477" s="1"/>
      <c r="L477" s="1"/>
      <c r="M477" s="1"/>
      <c r="N477" s="1"/>
    </row>
    <row r="478" spans="3:14" x14ac:dyDescent="0.25">
      <c r="C478" s="1"/>
      <c r="D478" s="1"/>
      <c r="E478" s="1"/>
      <c r="F478" s="1"/>
      <c r="G478" s="1"/>
      <c r="H478" s="1"/>
      <c r="K478" s="1"/>
      <c r="L478" s="1"/>
      <c r="M478" s="1"/>
      <c r="N478" s="1"/>
    </row>
    <row r="479" spans="3:14" x14ac:dyDescent="0.25">
      <c r="C479" s="1"/>
      <c r="D479" s="1"/>
      <c r="E479" s="1"/>
      <c r="F479" s="1"/>
      <c r="G479" s="1"/>
      <c r="H479" s="1"/>
      <c r="K479" s="1"/>
      <c r="L479" s="1"/>
      <c r="M479" s="1"/>
      <c r="N479" s="1"/>
    </row>
    <row r="480" spans="3:14" x14ac:dyDescent="0.25">
      <c r="C480" s="1"/>
      <c r="D480" s="1"/>
      <c r="E480" s="1"/>
      <c r="F480" s="1"/>
      <c r="G480" s="1"/>
      <c r="H480" s="1"/>
      <c r="K480" s="1"/>
      <c r="L480" s="1"/>
      <c r="M480" s="1"/>
      <c r="N480" s="1"/>
    </row>
    <row r="481" spans="3:14" x14ac:dyDescent="0.25">
      <c r="C481" s="1"/>
      <c r="D481" s="1"/>
      <c r="E481" s="1"/>
      <c r="F481" s="1"/>
      <c r="G481" s="1"/>
      <c r="H481" s="1"/>
      <c r="K481" s="1"/>
      <c r="L481" s="1"/>
      <c r="M481" s="1"/>
      <c r="N481" s="1"/>
    </row>
    <row r="482" spans="3:14" x14ac:dyDescent="0.25">
      <c r="C482" s="1"/>
      <c r="D482" s="1"/>
      <c r="E482" s="1"/>
      <c r="F482" s="1"/>
      <c r="G482" s="1"/>
      <c r="H482" s="1"/>
      <c r="K482" s="1"/>
      <c r="L482" s="1"/>
      <c r="M482" s="1"/>
      <c r="N482" s="1"/>
    </row>
    <row r="483" spans="3:14" x14ac:dyDescent="0.25">
      <c r="C483" s="1"/>
      <c r="D483" s="1"/>
      <c r="E483" s="1"/>
      <c r="F483" s="1"/>
      <c r="G483" s="1"/>
      <c r="H483" s="1"/>
      <c r="K483" s="1"/>
      <c r="L483" s="1"/>
      <c r="M483" s="1"/>
      <c r="N483" s="1"/>
    </row>
    <row r="484" spans="3:14" x14ac:dyDescent="0.25">
      <c r="C484" s="1"/>
      <c r="D484" s="1"/>
      <c r="E484" s="1"/>
      <c r="F484" s="1"/>
      <c r="G484" s="1"/>
      <c r="H484" s="1"/>
      <c r="K484" s="1"/>
      <c r="L484" s="1"/>
      <c r="M484" s="1"/>
      <c r="N484" s="1"/>
    </row>
    <row r="485" spans="3:14" x14ac:dyDescent="0.25">
      <c r="C485" s="1"/>
      <c r="D485" s="1"/>
      <c r="E485" s="1"/>
      <c r="F485" s="1"/>
      <c r="G485" s="1"/>
      <c r="H485" s="1"/>
      <c r="K485" s="1"/>
      <c r="L485" s="1"/>
      <c r="M485" s="1"/>
      <c r="N485" s="1"/>
    </row>
    <row r="486" spans="3:14" x14ac:dyDescent="0.25">
      <c r="C486" s="1"/>
      <c r="D486" s="1"/>
      <c r="E486" s="1"/>
      <c r="F486" s="1"/>
      <c r="G486" s="1"/>
      <c r="H486" s="1"/>
      <c r="K486" s="1"/>
      <c r="L486" s="1"/>
      <c r="M486" s="1"/>
      <c r="N486" s="1"/>
    </row>
    <row r="487" spans="3:14" x14ac:dyDescent="0.25">
      <c r="C487" s="1"/>
      <c r="D487" s="1"/>
      <c r="E487" s="1"/>
      <c r="F487" s="1"/>
      <c r="G487" s="1"/>
      <c r="H487" s="1"/>
      <c r="K487" s="1"/>
      <c r="L487" s="1"/>
      <c r="M487" s="1"/>
      <c r="N487" s="1"/>
    </row>
    <row r="488" spans="3:14" x14ac:dyDescent="0.25">
      <c r="C488" s="1"/>
      <c r="D488" s="1"/>
      <c r="E488" s="1"/>
      <c r="F488" s="1"/>
      <c r="G488" s="1"/>
      <c r="H488" s="1"/>
      <c r="K488" s="1"/>
      <c r="L488" s="1"/>
      <c r="M488" s="1"/>
      <c r="N488" s="1"/>
    </row>
    <row r="489" spans="3:14" x14ac:dyDescent="0.25">
      <c r="C489" s="1"/>
      <c r="D489" s="1"/>
      <c r="E489" s="1"/>
      <c r="F489" s="1"/>
      <c r="G489" s="1"/>
      <c r="H489" s="1"/>
      <c r="K489" s="1"/>
      <c r="L489" s="1"/>
      <c r="M489" s="1"/>
      <c r="N489" s="1"/>
    </row>
    <row r="490" spans="3:14" x14ac:dyDescent="0.25">
      <c r="C490" s="1"/>
      <c r="D490" s="1"/>
      <c r="E490" s="1"/>
      <c r="F490" s="1"/>
      <c r="G490" s="1"/>
      <c r="H490" s="1"/>
      <c r="K490" s="1"/>
      <c r="L490" s="1"/>
      <c r="M490" s="1"/>
      <c r="N490" s="1"/>
    </row>
    <row r="491" spans="3:14" x14ac:dyDescent="0.25">
      <c r="C491" s="1"/>
      <c r="D491" s="1"/>
      <c r="E491" s="1"/>
      <c r="F491" s="1"/>
      <c r="G491" s="1"/>
      <c r="H491" s="1"/>
      <c r="K491" s="1"/>
      <c r="L491" s="1"/>
      <c r="M491" s="1"/>
      <c r="N491" s="1"/>
    </row>
    <row r="492" spans="3:14" x14ac:dyDescent="0.25">
      <c r="C492" s="1"/>
      <c r="D492" s="1"/>
      <c r="E492" s="1"/>
      <c r="F492" s="1"/>
      <c r="G492" s="1"/>
      <c r="H492" s="1"/>
      <c r="K492" s="1"/>
      <c r="L492" s="1"/>
      <c r="M492" s="1"/>
      <c r="N492" s="1"/>
    </row>
    <row r="493" spans="3:14" x14ac:dyDescent="0.25">
      <c r="C493" s="1"/>
      <c r="D493" s="1"/>
      <c r="E493" s="1"/>
      <c r="F493" s="1"/>
      <c r="G493" s="1"/>
      <c r="H493" s="1"/>
      <c r="K493" s="1"/>
      <c r="L493" s="1"/>
      <c r="M493" s="1"/>
      <c r="N493" s="1"/>
    </row>
    <row r="494" spans="3:14" x14ac:dyDescent="0.25">
      <c r="C494" s="1"/>
      <c r="D494" s="1"/>
      <c r="E494" s="1"/>
      <c r="F494" s="1"/>
      <c r="G494" s="1"/>
      <c r="H494" s="1"/>
      <c r="K494" s="1"/>
      <c r="L494" s="1"/>
      <c r="M494" s="1"/>
      <c r="N494" s="1"/>
    </row>
    <row r="495" spans="3:14" x14ac:dyDescent="0.25">
      <c r="C495" s="1"/>
      <c r="D495" s="1"/>
      <c r="E495" s="1"/>
      <c r="F495" s="1"/>
      <c r="G495" s="1"/>
      <c r="H495" s="1"/>
      <c r="K495" s="1"/>
      <c r="L495" s="1"/>
      <c r="M495" s="1"/>
      <c r="N495" s="1"/>
    </row>
    <row r="496" spans="3:14" x14ac:dyDescent="0.25">
      <c r="C496" s="1"/>
      <c r="D496" s="1"/>
      <c r="E496" s="1"/>
      <c r="F496" s="1"/>
      <c r="G496" s="1"/>
      <c r="H496" s="1"/>
      <c r="K496" s="1"/>
      <c r="L496" s="1"/>
      <c r="M496" s="1"/>
      <c r="N496" s="1"/>
    </row>
    <row r="497" spans="3:14" x14ac:dyDescent="0.25">
      <c r="C497" s="1"/>
      <c r="D497" s="1"/>
      <c r="E497" s="1"/>
      <c r="F497" s="1"/>
      <c r="G497" s="1"/>
      <c r="H497" s="1"/>
      <c r="K497" s="1"/>
      <c r="L497" s="1"/>
      <c r="M497" s="1"/>
      <c r="N497" s="1"/>
    </row>
    <row r="498" spans="3:14" x14ac:dyDescent="0.25">
      <c r="C498" s="1"/>
      <c r="D498" s="1"/>
      <c r="E498" s="1"/>
      <c r="F498" s="1"/>
      <c r="G498" s="1"/>
      <c r="H498" s="1"/>
      <c r="K498" s="1"/>
      <c r="L498" s="1"/>
      <c r="M498" s="1"/>
      <c r="N498" s="1"/>
    </row>
    <row r="499" spans="3:14" x14ac:dyDescent="0.25">
      <c r="C499" s="1"/>
      <c r="D499" s="1"/>
      <c r="E499" s="1"/>
      <c r="F499" s="1"/>
      <c r="G499" s="1"/>
      <c r="H499" s="1"/>
      <c r="K499" s="1"/>
      <c r="L499" s="1"/>
      <c r="M499" s="1"/>
      <c r="N499" s="1"/>
    </row>
    <row r="500" spans="3:14" x14ac:dyDescent="0.25">
      <c r="C500" s="1"/>
      <c r="D500" s="1"/>
      <c r="E500" s="1"/>
      <c r="F500" s="1"/>
      <c r="G500" s="1"/>
      <c r="H500" s="1"/>
      <c r="K500" s="1"/>
      <c r="L500" s="1"/>
      <c r="M500" s="1"/>
      <c r="N500" s="1"/>
    </row>
    <row r="501" spans="3:14" x14ac:dyDescent="0.25">
      <c r="C501" s="1"/>
      <c r="D501" s="1"/>
      <c r="E501" s="1"/>
      <c r="F501" s="1"/>
      <c r="G501" s="1"/>
      <c r="H501" s="1"/>
      <c r="K501" s="1"/>
      <c r="L501" s="1"/>
      <c r="M501" s="1"/>
      <c r="N501" s="1"/>
    </row>
    <row r="502" spans="3:14" x14ac:dyDescent="0.25">
      <c r="C502" s="1"/>
      <c r="D502" s="1"/>
      <c r="E502" s="1"/>
      <c r="F502" s="1"/>
      <c r="G502" s="1"/>
      <c r="H502" s="1"/>
      <c r="K502" s="1"/>
      <c r="L502" s="1"/>
      <c r="M502" s="1"/>
      <c r="N502" s="1"/>
    </row>
    <row r="503" spans="3:14" x14ac:dyDescent="0.25">
      <c r="C503" s="1"/>
      <c r="D503" s="1"/>
      <c r="E503" s="1"/>
      <c r="F503" s="1"/>
      <c r="G503" s="1"/>
      <c r="H503" s="1"/>
      <c r="K503" s="1"/>
      <c r="L503" s="1"/>
      <c r="M503" s="1"/>
      <c r="N503" s="1"/>
    </row>
    <row r="504" spans="3:14" x14ac:dyDescent="0.25">
      <c r="C504" s="1"/>
      <c r="D504" s="1"/>
      <c r="E504" s="1"/>
      <c r="F504" s="1"/>
      <c r="G504" s="1"/>
      <c r="H504" s="1"/>
      <c r="K504" s="1"/>
      <c r="L504" s="1"/>
      <c r="M504" s="1"/>
      <c r="N504" s="1"/>
    </row>
    <row r="505" spans="3:14" x14ac:dyDescent="0.25">
      <c r="C505" s="1"/>
      <c r="D505" s="1"/>
      <c r="E505" s="1"/>
      <c r="F505" s="1"/>
      <c r="G505" s="1"/>
      <c r="H505" s="1"/>
      <c r="K505" s="1"/>
      <c r="L505" s="1"/>
      <c r="M505" s="1"/>
      <c r="N505" s="1"/>
    </row>
    <row r="506" spans="3:14" x14ac:dyDescent="0.25">
      <c r="C506" s="1"/>
      <c r="D506" s="1"/>
      <c r="E506" s="1"/>
      <c r="F506" s="1"/>
      <c r="G506" s="1"/>
      <c r="H506" s="1"/>
      <c r="K506" s="1"/>
      <c r="L506" s="1"/>
      <c r="M506" s="1"/>
      <c r="N506" s="1"/>
    </row>
    <row r="507" spans="3:14" x14ac:dyDescent="0.25">
      <c r="C507" s="1"/>
      <c r="D507" s="1"/>
      <c r="E507" s="1"/>
      <c r="F507" s="1"/>
      <c r="G507" s="1"/>
      <c r="H507" s="1"/>
      <c r="K507" s="1"/>
      <c r="L507" s="1"/>
      <c r="M507" s="1"/>
      <c r="N507" s="1"/>
    </row>
    <row r="508" spans="3:14" x14ac:dyDescent="0.25">
      <c r="C508" s="1"/>
      <c r="D508" s="1"/>
      <c r="E508" s="1"/>
      <c r="F508" s="1"/>
      <c r="G508" s="1"/>
      <c r="H508" s="1"/>
      <c r="K508" s="1"/>
      <c r="L508" s="1"/>
      <c r="M508" s="1"/>
      <c r="N508" s="1"/>
    </row>
    <row r="509" spans="3:14" x14ac:dyDescent="0.25">
      <c r="C509" s="1"/>
      <c r="D509" s="1"/>
      <c r="E509" s="1"/>
      <c r="F509" s="1"/>
      <c r="G509" s="1"/>
      <c r="H509" s="1"/>
      <c r="K509" s="1"/>
      <c r="L509" s="1"/>
      <c r="M509" s="1"/>
      <c r="N509" s="1"/>
    </row>
    <row r="510" spans="3:14" x14ac:dyDescent="0.25">
      <c r="C510" s="1"/>
      <c r="D510" s="1"/>
      <c r="E510" s="1"/>
      <c r="F510" s="1"/>
      <c r="G510" s="1"/>
      <c r="H510" s="1"/>
      <c r="K510" s="1"/>
      <c r="L510" s="1"/>
      <c r="M510" s="1"/>
      <c r="N510" s="1"/>
    </row>
    <row r="511" spans="3:14" x14ac:dyDescent="0.25">
      <c r="C511" s="1"/>
      <c r="D511" s="1"/>
      <c r="E511" s="1"/>
      <c r="F511" s="1"/>
      <c r="G511" s="1"/>
      <c r="H511" s="1"/>
      <c r="K511" s="1"/>
      <c r="L511" s="1"/>
      <c r="M511" s="1"/>
      <c r="N511" s="1"/>
    </row>
    <row r="512" spans="3:14" x14ac:dyDescent="0.25">
      <c r="C512" s="1"/>
      <c r="D512" s="1"/>
      <c r="E512" s="1"/>
      <c r="F512" s="1"/>
      <c r="G512" s="1"/>
      <c r="H512" s="1"/>
      <c r="K512" s="1"/>
      <c r="L512" s="1"/>
      <c r="M512" s="1"/>
      <c r="N512" s="1"/>
    </row>
    <row r="513" spans="3:14" x14ac:dyDescent="0.25">
      <c r="C513" s="1"/>
      <c r="D513" s="1"/>
      <c r="E513" s="1"/>
      <c r="F513" s="1"/>
      <c r="G513" s="1"/>
      <c r="H513" s="1"/>
      <c r="K513" s="1"/>
      <c r="L513" s="1"/>
      <c r="M513" s="1"/>
      <c r="N513" s="1"/>
    </row>
    <row r="514" spans="3:14" x14ac:dyDescent="0.25">
      <c r="C514" s="1"/>
      <c r="D514" s="1"/>
      <c r="E514" s="1"/>
      <c r="F514" s="1"/>
      <c r="G514" s="1"/>
      <c r="H514" s="1"/>
      <c r="K514" s="1"/>
      <c r="L514" s="1"/>
      <c r="M514" s="1"/>
      <c r="N514" s="1"/>
    </row>
    <row r="515" spans="3:14" x14ac:dyDescent="0.25">
      <c r="C515" s="1"/>
      <c r="D515" s="1"/>
      <c r="E515" s="1"/>
      <c r="F515" s="1"/>
      <c r="G515" s="1"/>
      <c r="H515" s="1"/>
      <c r="K515" s="1"/>
      <c r="L515" s="1"/>
      <c r="M515" s="1"/>
      <c r="N515" s="1"/>
    </row>
    <row r="516" spans="3:14" x14ac:dyDescent="0.25">
      <c r="C516" s="1"/>
      <c r="D516" s="1"/>
      <c r="E516" s="1"/>
      <c r="F516" s="1"/>
      <c r="G516" s="1"/>
      <c r="H516" s="1"/>
      <c r="K516" s="1"/>
      <c r="L516" s="1"/>
      <c r="M516" s="1"/>
      <c r="N516" s="1"/>
    </row>
    <row r="517" spans="3:14" x14ac:dyDescent="0.25">
      <c r="C517" s="1"/>
      <c r="D517" s="1"/>
      <c r="E517" s="1"/>
      <c r="F517" s="1"/>
      <c r="G517" s="1"/>
      <c r="H517" s="1"/>
      <c r="K517" s="1"/>
      <c r="L517" s="1"/>
      <c r="M517" s="1"/>
      <c r="N517" s="1"/>
    </row>
    <row r="518" spans="3:14" x14ac:dyDescent="0.25">
      <c r="C518" s="1"/>
      <c r="D518" s="1"/>
      <c r="E518" s="1"/>
      <c r="F518" s="1"/>
      <c r="G518" s="1"/>
      <c r="H518" s="1"/>
      <c r="K518" s="1"/>
      <c r="L518" s="1"/>
      <c r="M518" s="1"/>
      <c r="N518" s="1"/>
    </row>
    <row r="519" spans="3:14" x14ac:dyDescent="0.25">
      <c r="C519" s="1"/>
      <c r="D519" s="1"/>
      <c r="E519" s="1"/>
      <c r="F519" s="1"/>
      <c r="G519" s="1"/>
      <c r="H519" s="1"/>
      <c r="K519" s="1"/>
      <c r="L519" s="1"/>
      <c r="M519" s="1"/>
      <c r="N519" s="1"/>
    </row>
    <row r="520" spans="3:14" x14ac:dyDescent="0.25">
      <c r="C520" s="1"/>
      <c r="D520" s="1"/>
      <c r="E520" s="1"/>
      <c r="F520" s="1"/>
      <c r="G520" s="1"/>
      <c r="H520" s="1"/>
      <c r="K520" s="1"/>
      <c r="L520" s="1"/>
      <c r="M520" s="1"/>
      <c r="N520" s="1"/>
    </row>
    <row r="521" spans="3:14" x14ac:dyDescent="0.25">
      <c r="C521" s="1"/>
      <c r="D521" s="1"/>
      <c r="E521" s="1"/>
      <c r="F521" s="1"/>
      <c r="G521" s="1"/>
      <c r="H521" s="1"/>
      <c r="K521" s="1"/>
      <c r="L521" s="1"/>
      <c r="M521" s="1"/>
      <c r="N521" s="1"/>
    </row>
    <row r="522" spans="3:14" x14ac:dyDescent="0.25">
      <c r="C522" s="1"/>
      <c r="D522" s="1"/>
      <c r="E522" s="1"/>
      <c r="F522" s="1"/>
      <c r="G522" s="1"/>
      <c r="H522" s="1"/>
      <c r="K522" s="1"/>
      <c r="L522" s="1"/>
      <c r="M522" s="1"/>
      <c r="N522" s="1"/>
    </row>
    <row r="523" spans="3:14" x14ac:dyDescent="0.25">
      <c r="C523" s="1"/>
      <c r="D523" s="1"/>
      <c r="E523" s="1"/>
      <c r="F523" s="1"/>
      <c r="G523" s="1"/>
      <c r="H523" s="1"/>
      <c r="K523" s="1"/>
      <c r="L523" s="1"/>
      <c r="M523" s="1"/>
      <c r="N523" s="1"/>
    </row>
    <row r="524" spans="3:14" x14ac:dyDescent="0.25">
      <c r="C524" s="1"/>
      <c r="D524" s="1"/>
      <c r="E524" s="1"/>
      <c r="F524" s="1"/>
      <c r="G524" s="1"/>
      <c r="H524" s="1"/>
      <c r="K524" s="1"/>
      <c r="L524" s="1"/>
      <c r="M524" s="1"/>
      <c r="N524" s="1"/>
    </row>
    <row r="525" spans="3:14" x14ac:dyDescent="0.25">
      <c r="C525" s="1"/>
      <c r="D525" s="1"/>
      <c r="E525" s="1"/>
      <c r="F525" s="1"/>
      <c r="G525" s="1"/>
      <c r="H525" s="1"/>
      <c r="K525" s="1"/>
      <c r="L525" s="1"/>
      <c r="M525" s="1"/>
      <c r="N525" s="1"/>
    </row>
    <row r="526" spans="3:14" x14ac:dyDescent="0.25">
      <c r="C526" s="1"/>
      <c r="D526" s="1"/>
      <c r="E526" s="1"/>
      <c r="F526" s="1"/>
      <c r="G526" s="1"/>
      <c r="H526" s="1"/>
      <c r="K526" s="1"/>
      <c r="L526" s="1"/>
      <c r="M526" s="1"/>
      <c r="N526" s="1"/>
    </row>
    <row r="527" spans="3:14" x14ac:dyDescent="0.25">
      <c r="C527" s="1"/>
      <c r="D527" s="1"/>
      <c r="E527" s="1"/>
      <c r="F527" s="1"/>
      <c r="G527" s="1"/>
      <c r="H527" s="1"/>
      <c r="K527" s="1"/>
      <c r="L527" s="1"/>
      <c r="M527" s="1"/>
      <c r="N527" s="1"/>
    </row>
    <row r="528" spans="3:14" x14ac:dyDescent="0.25">
      <c r="C528" s="1"/>
      <c r="D528" s="1"/>
      <c r="E528" s="1"/>
      <c r="F528" s="1"/>
      <c r="G528" s="1"/>
      <c r="H528" s="1"/>
      <c r="K528" s="1"/>
      <c r="L528" s="1"/>
      <c r="M528" s="1"/>
      <c r="N528" s="1"/>
    </row>
    <row r="529" spans="3:14" x14ac:dyDescent="0.25">
      <c r="C529" s="1"/>
      <c r="D529" s="1"/>
      <c r="E529" s="1"/>
      <c r="F529" s="1"/>
      <c r="G529" s="1"/>
      <c r="H529" s="1"/>
      <c r="K529" s="1"/>
      <c r="L529" s="1"/>
      <c r="M529" s="1"/>
      <c r="N529" s="1"/>
    </row>
    <row r="530" spans="3:14" x14ac:dyDescent="0.25">
      <c r="C530" s="1"/>
      <c r="D530" s="1"/>
      <c r="E530" s="1"/>
      <c r="F530" s="1"/>
      <c r="G530" s="1"/>
      <c r="H530" s="1"/>
      <c r="K530" s="1"/>
      <c r="L530" s="1"/>
      <c r="M530" s="1"/>
      <c r="N530" s="1"/>
    </row>
    <row r="531" spans="3:14" x14ac:dyDescent="0.25">
      <c r="C531" s="1"/>
      <c r="D531" s="1"/>
      <c r="E531" s="1"/>
      <c r="F531" s="1"/>
      <c r="G531" s="1"/>
      <c r="H531" s="1"/>
      <c r="K531" s="1"/>
      <c r="L531" s="1"/>
      <c r="M531" s="1"/>
      <c r="N531" s="1"/>
    </row>
    <row r="532" spans="3:14" x14ac:dyDescent="0.25">
      <c r="C532" s="1"/>
      <c r="D532" s="1"/>
      <c r="E532" s="1"/>
      <c r="F532" s="1"/>
      <c r="G532" s="1"/>
      <c r="H532" s="1"/>
      <c r="K532" s="1"/>
      <c r="L532" s="1"/>
      <c r="M532" s="1"/>
      <c r="N532" s="1"/>
    </row>
    <row r="533" spans="3:14" x14ac:dyDescent="0.25">
      <c r="C533" s="1"/>
      <c r="D533" s="1"/>
      <c r="E533" s="1"/>
      <c r="F533" s="1"/>
      <c r="G533" s="1"/>
      <c r="H533" s="1"/>
      <c r="K533" s="1"/>
      <c r="L533" s="1"/>
      <c r="M533" s="1"/>
      <c r="N533" s="1"/>
    </row>
    <row r="534" spans="3:14" x14ac:dyDescent="0.25">
      <c r="C534" s="1"/>
      <c r="D534" s="1"/>
      <c r="E534" s="1"/>
      <c r="F534" s="1"/>
      <c r="G534" s="1"/>
      <c r="H534" s="1"/>
      <c r="K534" s="1"/>
      <c r="L534" s="1"/>
      <c r="M534" s="1"/>
      <c r="N534" s="1"/>
    </row>
    <row r="535" spans="3:14" x14ac:dyDescent="0.25">
      <c r="C535" s="1"/>
      <c r="D535" s="1"/>
      <c r="E535" s="1"/>
      <c r="F535" s="1"/>
      <c r="G535" s="1"/>
      <c r="H535" s="1"/>
      <c r="K535" s="1"/>
      <c r="L535" s="1"/>
      <c r="M535" s="1"/>
      <c r="N535" s="1"/>
    </row>
    <row r="536" spans="3:14" x14ac:dyDescent="0.25">
      <c r="C536" s="1"/>
      <c r="D536" s="1"/>
      <c r="E536" s="1"/>
      <c r="F536" s="1"/>
      <c r="G536" s="1"/>
      <c r="H536" s="1"/>
      <c r="K536" s="1"/>
      <c r="L536" s="1"/>
      <c r="M536" s="1"/>
      <c r="N536" s="1"/>
    </row>
    <row r="537" spans="3:14" x14ac:dyDescent="0.25">
      <c r="C537" s="1"/>
      <c r="D537" s="1"/>
      <c r="E537" s="1"/>
      <c r="F537" s="1"/>
      <c r="G537" s="1"/>
      <c r="H537" s="1"/>
      <c r="K537" s="1"/>
      <c r="L537" s="1"/>
      <c r="M537" s="1"/>
      <c r="N537" s="1"/>
    </row>
    <row r="538" spans="3:14" x14ac:dyDescent="0.25">
      <c r="C538" s="1"/>
      <c r="D538" s="1"/>
      <c r="E538" s="1"/>
      <c r="F538" s="1"/>
      <c r="G538" s="1"/>
      <c r="H538" s="1"/>
      <c r="K538" s="1"/>
      <c r="L538" s="1"/>
      <c r="M538" s="1"/>
      <c r="N538" s="1"/>
    </row>
    <row r="539" spans="3:14" x14ac:dyDescent="0.25">
      <c r="C539" s="1"/>
      <c r="D539" s="1"/>
      <c r="E539" s="1"/>
      <c r="F539" s="1"/>
      <c r="G539" s="1"/>
      <c r="H539" s="1"/>
      <c r="K539" s="1"/>
      <c r="L539" s="1"/>
      <c r="M539" s="1"/>
      <c r="N539" s="1"/>
    </row>
    <row r="540" spans="3:14" x14ac:dyDescent="0.25">
      <c r="C540" s="1"/>
      <c r="D540" s="1"/>
      <c r="E540" s="1"/>
      <c r="F540" s="1"/>
      <c r="G540" s="1"/>
      <c r="H540" s="1"/>
      <c r="K540" s="1"/>
      <c r="L540" s="1"/>
      <c r="M540" s="1"/>
      <c r="N540" s="1"/>
    </row>
    <row r="541" spans="3:14" x14ac:dyDescent="0.25">
      <c r="C541" s="1"/>
      <c r="D541" s="1"/>
      <c r="E541" s="1"/>
      <c r="F541" s="1"/>
      <c r="G541" s="1"/>
      <c r="H541" s="1"/>
      <c r="K541" s="1"/>
      <c r="L541" s="1"/>
      <c r="M541" s="1"/>
      <c r="N541" s="1"/>
    </row>
    <row r="542" spans="3:14" x14ac:dyDescent="0.25">
      <c r="C542" s="1"/>
      <c r="D542" s="1"/>
      <c r="E542" s="1"/>
      <c r="F542" s="1"/>
      <c r="G542" s="1"/>
      <c r="H542" s="1"/>
      <c r="K542" s="1"/>
      <c r="L542" s="1"/>
      <c r="M542" s="1"/>
      <c r="N542" s="1"/>
    </row>
    <row r="543" spans="3:14" x14ac:dyDescent="0.25">
      <c r="C543" s="1"/>
      <c r="D543" s="1"/>
      <c r="E543" s="1"/>
      <c r="F543" s="1"/>
      <c r="G543" s="1"/>
      <c r="H543" s="1"/>
      <c r="K543" s="1"/>
      <c r="L543" s="1"/>
      <c r="M543" s="1"/>
      <c r="N543" s="1"/>
    </row>
    <row r="544" spans="3:14" x14ac:dyDescent="0.25">
      <c r="C544" s="1"/>
      <c r="D544" s="1"/>
      <c r="E544" s="1"/>
      <c r="F544" s="1"/>
      <c r="G544" s="1"/>
      <c r="H544" s="1"/>
      <c r="K544" s="1"/>
      <c r="L544" s="1"/>
      <c r="M544" s="1"/>
      <c r="N544" s="1"/>
    </row>
    <row r="545" spans="3:14" x14ac:dyDescent="0.25">
      <c r="C545" s="1"/>
      <c r="D545" s="1"/>
      <c r="E545" s="1"/>
      <c r="F545" s="1"/>
      <c r="G545" s="1"/>
      <c r="H545" s="1"/>
      <c r="K545" s="1"/>
      <c r="L545" s="1"/>
      <c r="M545" s="1"/>
      <c r="N545" s="1"/>
    </row>
    <row r="546" spans="3:14" x14ac:dyDescent="0.25">
      <c r="C546" s="1"/>
      <c r="D546" s="1"/>
      <c r="E546" s="1"/>
      <c r="F546" s="1"/>
      <c r="G546" s="1"/>
      <c r="H546" s="1"/>
      <c r="K546" s="1"/>
      <c r="L546" s="1"/>
      <c r="M546" s="1"/>
      <c r="N546" s="1"/>
    </row>
    <row r="547" spans="3:14" x14ac:dyDescent="0.25">
      <c r="C547" s="1"/>
      <c r="D547" s="1"/>
      <c r="E547" s="1"/>
      <c r="F547" s="1"/>
      <c r="G547" s="1"/>
      <c r="H547" s="1"/>
      <c r="K547" s="1"/>
      <c r="L547" s="1"/>
      <c r="M547" s="1"/>
      <c r="N547" s="1"/>
    </row>
    <row r="548" spans="3:14" x14ac:dyDescent="0.25">
      <c r="C548" s="1"/>
      <c r="D548" s="1"/>
      <c r="E548" s="1"/>
      <c r="F548" s="1"/>
      <c r="G548" s="1"/>
      <c r="H548" s="1"/>
      <c r="K548" s="1"/>
      <c r="L548" s="1"/>
      <c r="M548" s="1"/>
      <c r="N548" s="1"/>
    </row>
    <row r="549" spans="3:14" x14ac:dyDescent="0.25">
      <c r="C549" s="1"/>
      <c r="D549" s="1"/>
      <c r="E549" s="1"/>
      <c r="F549" s="1"/>
      <c r="G549" s="1"/>
      <c r="H549" s="1"/>
      <c r="K549" s="1"/>
      <c r="L549" s="1"/>
      <c r="M549" s="1"/>
      <c r="N549" s="1"/>
    </row>
    <row r="550" spans="3:14" x14ac:dyDescent="0.25">
      <c r="C550" s="1"/>
      <c r="D550" s="1"/>
      <c r="E550" s="1"/>
      <c r="F550" s="1"/>
      <c r="G550" s="1"/>
      <c r="H550" s="1"/>
      <c r="K550" s="1"/>
      <c r="L550" s="1"/>
      <c r="M550" s="1"/>
      <c r="N550" s="1"/>
    </row>
    <row r="551" spans="3:14" x14ac:dyDescent="0.25">
      <c r="C551" s="1"/>
      <c r="D551" s="1"/>
      <c r="E551" s="1"/>
      <c r="F551" s="1"/>
      <c r="G551" s="1"/>
      <c r="H551" s="1"/>
      <c r="K551" s="1"/>
      <c r="L551" s="1"/>
      <c r="M551" s="1"/>
      <c r="N551" s="1"/>
    </row>
    <row r="552" spans="3:14" x14ac:dyDescent="0.25">
      <c r="C552" s="1"/>
      <c r="D552" s="1"/>
      <c r="E552" s="1"/>
      <c r="F552" s="1"/>
      <c r="G552" s="1"/>
      <c r="H552" s="1"/>
      <c r="K552" s="1"/>
      <c r="L552" s="1"/>
      <c r="M552" s="1"/>
      <c r="N552" s="1"/>
    </row>
    <row r="553" spans="3:14" x14ac:dyDescent="0.25">
      <c r="C553" s="1"/>
      <c r="D553" s="1"/>
      <c r="E553" s="1"/>
      <c r="F553" s="1"/>
      <c r="G553" s="1"/>
      <c r="H553" s="1"/>
      <c r="K553" s="1"/>
      <c r="L553" s="1"/>
      <c r="M553" s="1"/>
      <c r="N553" s="1"/>
    </row>
    <row r="554" spans="3:14" x14ac:dyDescent="0.25">
      <c r="C554" s="1"/>
      <c r="D554" s="1"/>
      <c r="E554" s="1"/>
      <c r="F554" s="1"/>
      <c r="G554" s="1"/>
      <c r="H554" s="1"/>
      <c r="K554" s="1"/>
      <c r="L554" s="1"/>
      <c r="M554" s="1"/>
      <c r="N554" s="1"/>
    </row>
    <row r="555" spans="3:14" x14ac:dyDescent="0.25">
      <c r="C555" s="1"/>
      <c r="D555" s="1"/>
      <c r="E555" s="1"/>
      <c r="F555" s="1"/>
      <c r="G555" s="1"/>
      <c r="H555" s="1"/>
      <c r="K555" s="1"/>
      <c r="L555" s="1"/>
      <c r="M555" s="1"/>
      <c r="N555" s="1"/>
    </row>
    <row r="556" spans="3:14" x14ac:dyDescent="0.25">
      <c r="C556" s="1"/>
      <c r="D556" s="1"/>
      <c r="E556" s="1"/>
      <c r="F556" s="1"/>
      <c r="G556" s="1"/>
      <c r="H556" s="1"/>
      <c r="K556" s="1"/>
      <c r="L556" s="1"/>
      <c r="M556" s="1"/>
      <c r="N556" s="1"/>
    </row>
    <row r="557" spans="3:14" x14ac:dyDescent="0.25">
      <c r="C557" s="1"/>
      <c r="D557" s="1"/>
      <c r="E557" s="1"/>
      <c r="F557" s="1"/>
      <c r="G557" s="1"/>
      <c r="H557" s="1"/>
      <c r="K557" s="1"/>
      <c r="L557" s="1"/>
      <c r="M557" s="1"/>
      <c r="N557" s="1"/>
    </row>
    <row r="558" spans="3:14" x14ac:dyDescent="0.25">
      <c r="C558" s="1"/>
      <c r="D558" s="1"/>
      <c r="E558" s="1"/>
      <c r="F558" s="1"/>
      <c r="G558" s="1"/>
      <c r="H558" s="1"/>
      <c r="K558" s="1"/>
      <c r="L558" s="1"/>
      <c r="M558" s="1"/>
      <c r="N558" s="1"/>
    </row>
    <row r="559" spans="3:14" x14ac:dyDescent="0.25">
      <c r="C559" s="1"/>
      <c r="D559" s="1"/>
      <c r="E559" s="1"/>
      <c r="F559" s="1"/>
      <c r="G559" s="1"/>
      <c r="H559" s="1"/>
      <c r="K559" s="1"/>
      <c r="L559" s="1"/>
      <c r="M559" s="1"/>
      <c r="N559" s="1"/>
    </row>
    <row r="560" spans="3:14" x14ac:dyDescent="0.25">
      <c r="C560" s="1"/>
      <c r="D560" s="1"/>
      <c r="E560" s="1"/>
      <c r="F560" s="1"/>
      <c r="G560" s="1"/>
      <c r="H560" s="1"/>
      <c r="K560" s="1"/>
      <c r="L560" s="1"/>
      <c r="M560" s="1"/>
      <c r="N560" s="1"/>
    </row>
    <row r="561" spans="3:14" x14ac:dyDescent="0.25">
      <c r="C561" s="1"/>
      <c r="D561" s="1"/>
      <c r="E561" s="1"/>
      <c r="F561" s="1"/>
      <c r="G561" s="1"/>
      <c r="H561" s="1"/>
      <c r="K561" s="1"/>
      <c r="L561" s="1"/>
      <c r="M561" s="1"/>
      <c r="N561" s="1"/>
    </row>
    <row r="562" spans="3:14" x14ac:dyDescent="0.25">
      <c r="C562" s="1"/>
      <c r="D562" s="1"/>
      <c r="E562" s="1"/>
      <c r="F562" s="1"/>
      <c r="G562" s="1"/>
      <c r="H562" s="1"/>
      <c r="K562" s="1"/>
      <c r="L562" s="1"/>
      <c r="M562" s="1"/>
      <c r="N562" s="1"/>
    </row>
    <row r="563" spans="3:14" x14ac:dyDescent="0.25">
      <c r="C563" s="1"/>
      <c r="D563" s="1"/>
      <c r="E563" s="1"/>
      <c r="F563" s="1"/>
      <c r="G563" s="1"/>
      <c r="H563" s="1"/>
      <c r="K563" s="1"/>
      <c r="L563" s="1"/>
      <c r="M563" s="1"/>
      <c r="N563" s="1"/>
    </row>
    <row r="564" spans="3:14" x14ac:dyDescent="0.25">
      <c r="C564" s="1"/>
      <c r="D564" s="1"/>
      <c r="E564" s="1"/>
      <c r="F564" s="1"/>
      <c r="G564" s="1"/>
      <c r="H564" s="1"/>
      <c r="K564" s="1"/>
      <c r="L564" s="1"/>
      <c r="M564" s="1"/>
      <c r="N564" s="1"/>
    </row>
    <row r="565" spans="3:14" x14ac:dyDescent="0.25">
      <c r="C565" s="1"/>
      <c r="D565" s="1"/>
      <c r="E565" s="1"/>
      <c r="F565" s="1"/>
      <c r="G565" s="1"/>
      <c r="H565" s="1"/>
      <c r="K565" s="1"/>
      <c r="L565" s="1"/>
      <c r="M565" s="1"/>
      <c r="N565" s="1"/>
    </row>
    <row r="566" spans="3:14" x14ac:dyDescent="0.25">
      <c r="C566" s="1"/>
      <c r="D566" s="1"/>
      <c r="E566" s="1"/>
      <c r="F566" s="1"/>
      <c r="G566" s="1"/>
      <c r="H566" s="1"/>
      <c r="K566" s="1"/>
      <c r="L566" s="1"/>
      <c r="M566" s="1"/>
      <c r="N566" s="1"/>
    </row>
    <row r="567" spans="3:14" x14ac:dyDescent="0.25">
      <c r="C567" s="1"/>
      <c r="D567" s="1"/>
      <c r="E567" s="1"/>
      <c r="F567" s="1"/>
      <c r="G567" s="1"/>
      <c r="H567" s="1"/>
      <c r="K567" s="1"/>
      <c r="L567" s="1"/>
      <c r="M567" s="1"/>
      <c r="N567" s="1"/>
    </row>
    <row r="568" spans="3:14" x14ac:dyDescent="0.25">
      <c r="C568" s="1"/>
      <c r="D568" s="1"/>
      <c r="E568" s="1"/>
      <c r="F568" s="1"/>
      <c r="G568" s="1"/>
      <c r="H568" s="1"/>
      <c r="K568" s="1"/>
      <c r="L568" s="1"/>
      <c r="M568" s="1"/>
      <c r="N568" s="1"/>
    </row>
    <row r="569" spans="3:14" x14ac:dyDescent="0.25">
      <c r="C569" s="1"/>
      <c r="D569" s="1"/>
      <c r="E569" s="1"/>
      <c r="F569" s="1"/>
      <c r="G569" s="1"/>
      <c r="H569" s="1"/>
      <c r="K569" s="1"/>
      <c r="L569" s="1"/>
      <c r="M569" s="1"/>
      <c r="N569" s="1"/>
    </row>
    <row r="570" spans="3:14" x14ac:dyDescent="0.25">
      <c r="C570" s="1"/>
      <c r="D570" s="1"/>
      <c r="E570" s="1"/>
      <c r="F570" s="1"/>
      <c r="G570" s="1"/>
      <c r="H570" s="1"/>
      <c r="K570" s="1"/>
      <c r="L570" s="1"/>
      <c r="M570" s="1"/>
      <c r="N570" s="1"/>
    </row>
    <row r="571" spans="3:14" x14ac:dyDescent="0.25">
      <c r="C571" s="1"/>
      <c r="D571" s="1"/>
      <c r="E571" s="1"/>
      <c r="F571" s="1"/>
      <c r="G571" s="1"/>
      <c r="H571" s="1"/>
      <c r="K571" s="1"/>
      <c r="L571" s="1"/>
      <c r="M571" s="1"/>
      <c r="N571" s="1"/>
    </row>
    <row r="572" spans="3:14" x14ac:dyDescent="0.25">
      <c r="C572" s="1"/>
      <c r="D572" s="1"/>
      <c r="E572" s="1"/>
      <c r="F572" s="1"/>
      <c r="G572" s="1"/>
      <c r="H572" s="1"/>
      <c r="K572" s="1"/>
      <c r="L572" s="1"/>
      <c r="M572" s="1"/>
      <c r="N572" s="1"/>
    </row>
    <row r="573" spans="3:14" x14ac:dyDescent="0.25">
      <c r="C573" s="1"/>
      <c r="D573" s="1"/>
      <c r="E573" s="1"/>
      <c r="F573" s="1"/>
      <c r="G573" s="1"/>
      <c r="H573" s="1"/>
      <c r="K573" s="1"/>
      <c r="L573" s="1"/>
      <c r="M573" s="1"/>
      <c r="N573" s="1"/>
    </row>
    <row r="574" spans="3:14" x14ac:dyDescent="0.25">
      <c r="C574" s="1"/>
      <c r="D574" s="1"/>
      <c r="E574" s="1"/>
      <c r="F574" s="1"/>
      <c r="G574" s="1"/>
      <c r="H574" s="1"/>
      <c r="K574" s="1"/>
      <c r="L574" s="1"/>
      <c r="M574" s="1"/>
      <c r="N574" s="1"/>
    </row>
    <row r="575" spans="3:14" x14ac:dyDescent="0.25">
      <c r="C575" s="1"/>
      <c r="D575" s="1"/>
      <c r="E575" s="1"/>
      <c r="F575" s="1"/>
      <c r="G575" s="1"/>
      <c r="H575" s="1"/>
      <c r="K575" s="1"/>
      <c r="L575" s="1"/>
      <c r="M575" s="1"/>
      <c r="N575" s="1"/>
    </row>
    <row r="576" spans="3:14" x14ac:dyDescent="0.25">
      <c r="C576" s="1"/>
      <c r="D576" s="1"/>
      <c r="E576" s="1"/>
      <c r="F576" s="1"/>
      <c r="G576" s="1"/>
      <c r="H576" s="1"/>
      <c r="K576" s="1"/>
      <c r="L576" s="1"/>
      <c r="M576" s="1"/>
      <c r="N576" s="1"/>
    </row>
    <row r="577" spans="3:14" x14ac:dyDescent="0.25">
      <c r="C577" s="1"/>
      <c r="D577" s="1"/>
      <c r="E577" s="1"/>
      <c r="F577" s="1"/>
      <c r="G577" s="1"/>
      <c r="H577" s="1"/>
      <c r="K577" s="1"/>
      <c r="L577" s="1"/>
      <c r="M577" s="1"/>
      <c r="N577" s="1"/>
    </row>
    <row r="578" spans="3:14" x14ac:dyDescent="0.25">
      <c r="C578" s="1"/>
      <c r="D578" s="1"/>
      <c r="E578" s="1"/>
      <c r="F578" s="1"/>
      <c r="G578" s="1"/>
      <c r="H578" s="1"/>
      <c r="K578" s="1"/>
      <c r="L578" s="1"/>
      <c r="M578" s="1"/>
      <c r="N578" s="1"/>
    </row>
    <row r="579" spans="3:14" x14ac:dyDescent="0.25">
      <c r="C579" s="1"/>
      <c r="D579" s="1"/>
      <c r="E579" s="1"/>
      <c r="F579" s="1"/>
      <c r="G579" s="1"/>
      <c r="H579" s="1"/>
      <c r="K579" s="1"/>
      <c r="L579" s="1"/>
      <c r="M579" s="1"/>
      <c r="N579" s="1"/>
    </row>
    <row r="580" spans="3:14" x14ac:dyDescent="0.25">
      <c r="C580" s="1"/>
      <c r="D580" s="1"/>
      <c r="E580" s="1"/>
      <c r="F580" s="1"/>
      <c r="G580" s="1"/>
      <c r="H580" s="1"/>
      <c r="K580" s="1"/>
      <c r="L580" s="1"/>
      <c r="M580" s="1"/>
      <c r="N580" s="1"/>
    </row>
    <row r="581" spans="3:14" x14ac:dyDescent="0.25">
      <c r="C581" s="1"/>
      <c r="D581" s="1"/>
      <c r="E581" s="1"/>
      <c r="F581" s="1"/>
      <c r="G581" s="1"/>
      <c r="H581" s="1"/>
      <c r="K581" s="1"/>
      <c r="L581" s="1"/>
      <c r="M581" s="1"/>
      <c r="N581" s="1"/>
    </row>
    <row r="582" spans="3:14" x14ac:dyDescent="0.25">
      <c r="C582" s="1"/>
      <c r="D582" s="1"/>
      <c r="E582" s="1"/>
      <c r="F582" s="1"/>
      <c r="G582" s="1"/>
      <c r="H582" s="1"/>
      <c r="K582" s="1"/>
      <c r="L582" s="1"/>
      <c r="M582" s="1"/>
      <c r="N582" s="1"/>
    </row>
    <row r="583" spans="3:14" x14ac:dyDescent="0.25">
      <c r="C583" s="1"/>
      <c r="D583" s="1"/>
      <c r="E583" s="1"/>
      <c r="F583" s="1"/>
      <c r="G583" s="1"/>
      <c r="H583" s="1"/>
      <c r="K583" s="1"/>
      <c r="L583" s="1"/>
      <c r="M583" s="1"/>
      <c r="N583" s="1"/>
    </row>
    <row r="584" spans="3:14" x14ac:dyDescent="0.25">
      <c r="C584" s="1"/>
      <c r="D584" s="1"/>
      <c r="E584" s="1"/>
      <c r="F584" s="1"/>
      <c r="G584" s="1"/>
      <c r="H584" s="1"/>
      <c r="K584" s="1"/>
      <c r="L584" s="1"/>
      <c r="M584" s="1"/>
      <c r="N584" s="1"/>
    </row>
    <row r="585" spans="3:14" x14ac:dyDescent="0.25">
      <c r="C585" s="1"/>
      <c r="D585" s="1"/>
      <c r="E585" s="1"/>
      <c r="F585" s="1"/>
      <c r="G585" s="1"/>
      <c r="H585" s="1"/>
      <c r="K585" s="1"/>
      <c r="L585" s="1"/>
      <c r="M585" s="1"/>
      <c r="N585" s="1"/>
    </row>
    <row r="586" spans="3:14" x14ac:dyDescent="0.25">
      <c r="C586" s="1"/>
      <c r="D586" s="1"/>
      <c r="E586" s="1"/>
      <c r="F586" s="1"/>
      <c r="G586" s="1"/>
      <c r="H586" s="1"/>
      <c r="K586" s="1"/>
      <c r="L586" s="1"/>
      <c r="M586" s="1"/>
      <c r="N586" s="1"/>
    </row>
    <row r="587" spans="3:14" x14ac:dyDescent="0.25">
      <c r="C587" s="1"/>
      <c r="D587" s="1"/>
      <c r="E587" s="1"/>
      <c r="F587" s="1"/>
      <c r="G587" s="1"/>
      <c r="H587" s="1"/>
      <c r="K587" s="1"/>
      <c r="L587" s="1"/>
      <c r="M587" s="1"/>
      <c r="N587" s="1"/>
    </row>
    <row r="588" spans="3:14" x14ac:dyDescent="0.25">
      <c r="C588" s="1"/>
      <c r="D588" s="1"/>
      <c r="E588" s="1"/>
      <c r="F588" s="1"/>
      <c r="G588" s="1"/>
      <c r="H588" s="1"/>
      <c r="K588" s="1"/>
      <c r="L588" s="1"/>
      <c r="M588" s="1"/>
      <c r="N588" s="1"/>
    </row>
    <row r="589" spans="3:14" x14ac:dyDescent="0.25">
      <c r="C589" s="1"/>
      <c r="D589" s="1"/>
      <c r="E589" s="1"/>
      <c r="F589" s="1"/>
      <c r="G589" s="1"/>
      <c r="H589" s="1"/>
      <c r="K589" s="1"/>
      <c r="L589" s="1"/>
      <c r="M589" s="1"/>
      <c r="N589" s="1"/>
    </row>
    <row r="590" spans="3:14" x14ac:dyDescent="0.25">
      <c r="C590" s="1"/>
      <c r="D590" s="1"/>
      <c r="E590" s="1"/>
      <c r="F590" s="1"/>
      <c r="G590" s="1"/>
      <c r="H590" s="1"/>
      <c r="K590" s="1"/>
      <c r="L590" s="1"/>
      <c r="M590" s="1"/>
      <c r="N590" s="1"/>
    </row>
    <row r="591" spans="3:14" x14ac:dyDescent="0.25">
      <c r="C591" s="1"/>
      <c r="D591" s="1"/>
      <c r="E591" s="1"/>
      <c r="F591" s="1"/>
      <c r="G591" s="1"/>
      <c r="H591" s="1"/>
      <c r="K591" s="1"/>
      <c r="L591" s="1"/>
      <c r="M591" s="1"/>
      <c r="N591" s="1"/>
    </row>
    <row r="592" spans="3:14" x14ac:dyDescent="0.25">
      <c r="C592" s="1"/>
      <c r="D592" s="1"/>
      <c r="E592" s="1"/>
      <c r="F592" s="1"/>
      <c r="G592" s="1"/>
      <c r="H592" s="1"/>
      <c r="K592" s="1"/>
      <c r="L592" s="1"/>
      <c r="M592" s="1"/>
      <c r="N592" s="1"/>
    </row>
    <row r="593" spans="3:14" x14ac:dyDescent="0.25">
      <c r="C593" s="1"/>
      <c r="D593" s="1"/>
      <c r="E593" s="1"/>
      <c r="F593" s="1"/>
      <c r="G593" s="1"/>
      <c r="H593" s="1"/>
      <c r="K593" s="1"/>
      <c r="L593" s="1"/>
      <c r="M593" s="1"/>
      <c r="N593" s="1"/>
    </row>
    <row r="594" spans="3:14" x14ac:dyDescent="0.25">
      <c r="C594" s="1"/>
      <c r="D594" s="1"/>
      <c r="E594" s="1"/>
      <c r="F594" s="1"/>
      <c r="G594" s="1"/>
      <c r="H594" s="1"/>
      <c r="K594" s="1"/>
      <c r="L594" s="1"/>
      <c r="M594" s="1"/>
      <c r="N594" s="1"/>
    </row>
    <row r="595" spans="3:14" x14ac:dyDescent="0.25">
      <c r="C595" s="1"/>
      <c r="D595" s="1"/>
      <c r="E595" s="1"/>
      <c r="F595" s="1"/>
      <c r="G595" s="1"/>
      <c r="H595" s="1"/>
      <c r="K595" s="1"/>
      <c r="L595" s="1"/>
      <c r="M595" s="1"/>
      <c r="N595" s="1"/>
    </row>
    <row r="596" spans="3:14" x14ac:dyDescent="0.25">
      <c r="C596" s="1"/>
      <c r="D596" s="1"/>
      <c r="E596" s="1"/>
      <c r="F596" s="1"/>
      <c r="G596" s="1"/>
      <c r="H596" s="1"/>
      <c r="K596" s="1"/>
      <c r="L596" s="1"/>
      <c r="M596" s="1"/>
      <c r="N596" s="1"/>
    </row>
    <row r="597" spans="3:14" x14ac:dyDescent="0.25">
      <c r="C597" s="1"/>
      <c r="D597" s="1"/>
      <c r="E597" s="1"/>
      <c r="F597" s="1"/>
      <c r="G597" s="1"/>
      <c r="H597" s="1"/>
      <c r="K597" s="1"/>
      <c r="L597" s="1"/>
      <c r="M597" s="1"/>
      <c r="N597" s="1"/>
    </row>
    <row r="598" spans="3:14" x14ac:dyDescent="0.25">
      <c r="C598" s="1"/>
      <c r="D598" s="1"/>
      <c r="E598" s="1"/>
      <c r="F598" s="1"/>
      <c r="G598" s="1"/>
      <c r="H598" s="1"/>
      <c r="K598" s="1"/>
      <c r="L598" s="1"/>
      <c r="M598" s="1"/>
      <c r="N598" s="1"/>
    </row>
    <row r="599" spans="3:14" x14ac:dyDescent="0.25">
      <c r="C599" s="1"/>
      <c r="D599" s="1"/>
      <c r="E599" s="1"/>
      <c r="F599" s="1"/>
      <c r="G599" s="1"/>
      <c r="H599" s="1"/>
      <c r="K599" s="1"/>
      <c r="L599" s="1"/>
      <c r="M599" s="1"/>
      <c r="N599" s="1"/>
    </row>
    <row r="600" spans="3:14" x14ac:dyDescent="0.25">
      <c r="C600" s="1"/>
      <c r="D600" s="1"/>
      <c r="E600" s="1"/>
      <c r="F600" s="1"/>
      <c r="G600" s="1"/>
      <c r="H600" s="1"/>
      <c r="K600" s="1"/>
      <c r="L600" s="1"/>
      <c r="M600" s="1"/>
      <c r="N600" s="1"/>
    </row>
    <row r="601" spans="3:14" x14ac:dyDescent="0.25">
      <c r="C601" s="1"/>
      <c r="D601" s="1"/>
      <c r="E601" s="1"/>
      <c r="F601" s="1"/>
      <c r="G601" s="1"/>
      <c r="H601" s="1"/>
      <c r="K601" s="1"/>
      <c r="L601" s="1"/>
      <c r="M601" s="1"/>
      <c r="N601" s="1"/>
    </row>
    <row r="602" spans="3:14" x14ac:dyDescent="0.25">
      <c r="C602" s="1"/>
      <c r="D602" s="1"/>
      <c r="E602" s="1"/>
      <c r="F602" s="1"/>
      <c r="G602" s="1"/>
      <c r="H602" s="1"/>
      <c r="K602" s="1"/>
      <c r="L602" s="1"/>
      <c r="M602" s="1"/>
      <c r="N602" s="1"/>
    </row>
    <row r="603" spans="3:14" x14ac:dyDescent="0.25">
      <c r="C603" s="1"/>
      <c r="D603" s="1"/>
      <c r="E603" s="1"/>
      <c r="F603" s="1"/>
      <c r="G603" s="1"/>
      <c r="H603" s="1"/>
      <c r="K603" s="1"/>
      <c r="L603" s="1"/>
      <c r="M603" s="1"/>
      <c r="N603" s="1"/>
    </row>
    <row r="604" spans="3:14" x14ac:dyDescent="0.25">
      <c r="C604" s="1"/>
      <c r="D604" s="1"/>
      <c r="E604" s="1"/>
      <c r="F604" s="1"/>
      <c r="G604" s="1"/>
      <c r="H604" s="1"/>
      <c r="K604" s="1"/>
      <c r="L604" s="1"/>
      <c r="M604" s="1"/>
      <c r="N604" s="1"/>
    </row>
    <row r="605" spans="3:14" x14ac:dyDescent="0.25">
      <c r="C605" s="1"/>
      <c r="D605" s="1"/>
      <c r="E605" s="1"/>
      <c r="F605" s="1"/>
      <c r="G605" s="1"/>
      <c r="H605" s="1"/>
      <c r="K605" s="1"/>
      <c r="L605" s="1"/>
      <c r="M605" s="1"/>
      <c r="N605" s="1"/>
    </row>
    <row r="606" spans="3:14" x14ac:dyDescent="0.25">
      <c r="C606" s="1"/>
      <c r="D606" s="1"/>
      <c r="E606" s="1"/>
      <c r="F606" s="1"/>
      <c r="G606" s="1"/>
      <c r="H606" s="1"/>
      <c r="K606" s="1"/>
      <c r="L606" s="1"/>
      <c r="M606" s="1"/>
      <c r="N606" s="1"/>
    </row>
    <row r="607" spans="3:14" x14ac:dyDescent="0.25">
      <c r="C607" s="1"/>
      <c r="D607" s="1"/>
      <c r="E607" s="1"/>
      <c r="F607" s="1"/>
      <c r="G607" s="1"/>
      <c r="H607" s="1"/>
      <c r="K607" s="1"/>
      <c r="L607" s="1"/>
      <c r="M607" s="1"/>
      <c r="N607" s="1"/>
    </row>
    <row r="608" spans="3:14" x14ac:dyDescent="0.25">
      <c r="C608" s="1"/>
      <c r="D608" s="1"/>
      <c r="E608" s="1"/>
      <c r="F608" s="1"/>
      <c r="G608" s="1"/>
      <c r="H608" s="1"/>
      <c r="K608" s="1"/>
      <c r="L608" s="1"/>
      <c r="M608" s="1"/>
      <c r="N608" s="1"/>
    </row>
    <row r="609" spans="3:14" x14ac:dyDescent="0.25">
      <c r="C609" s="1"/>
      <c r="D609" s="1"/>
      <c r="E609" s="1"/>
      <c r="F609" s="1"/>
      <c r="G609" s="1"/>
      <c r="H609" s="1"/>
      <c r="K609" s="1"/>
      <c r="L609" s="1"/>
      <c r="M609" s="1"/>
      <c r="N609" s="1"/>
    </row>
    <row r="610" spans="3:14" x14ac:dyDescent="0.25">
      <c r="C610" s="1"/>
      <c r="D610" s="1"/>
      <c r="E610" s="1"/>
      <c r="F610" s="1"/>
      <c r="G610" s="1"/>
      <c r="H610" s="1"/>
      <c r="K610" s="1"/>
      <c r="L610" s="1"/>
      <c r="M610" s="1"/>
      <c r="N610" s="1"/>
    </row>
    <row r="611" spans="3:14" x14ac:dyDescent="0.25">
      <c r="C611" s="1"/>
      <c r="D611" s="1"/>
      <c r="E611" s="1"/>
      <c r="F611" s="1"/>
      <c r="G611" s="1"/>
      <c r="H611" s="1"/>
      <c r="K611" s="1"/>
      <c r="L611" s="1"/>
      <c r="M611" s="1"/>
      <c r="N611" s="1"/>
    </row>
    <row r="612" spans="3:14" x14ac:dyDescent="0.25">
      <c r="C612" s="1"/>
      <c r="D612" s="1"/>
      <c r="E612" s="1"/>
      <c r="F612" s="1"/>
      <c r="G612" s="1"/>
      <c r="H612" s="1"/>
      <c r="K612" s="1"/>
      <c r="L612" s="1"/>
      <c r="M612" s="1"/>
      <c r="N612" s="1"/>
    </row>
    <row r="613" spans="3:14" x14ac:dyDescent="0.25">
      <c r="C613" s="1"/>
      <c r="D613" s="1"/>
      <c r="E613" s="1"/>
      <c r="F613" s="1"/>
      <c r="G613" s="1"/>
      <c r="H613" s="1"/>
      <c r="K613" s="1"/>
      <c r="L613" s="1"/>
      <c r="M613" s="1"/>
      <c r="N613" s="1"/>
    </row>
    <row r="614" spans="3:14" x14ac:dyDescent="0.25">
      <c r="C614" s="1"/>
      <c r="D614" s="1"/>
      <c r="E614" s="1"/>
      <c r="F614" s="1"/>
      <c r="G614" s="1"/>
      <c r="H614" s="1"/>
      <c r="K614" s="1"/>
      <c r="L614" s="1"/>
      <c r="M614" s="1"/>
      <c r="N614" s="1"/>
    </row>
    <row r="615" spans="3:14" x14ac:dyDescent="0.25">
      <c r="C615" s="1"/>
      <c r="D615" s="1"/>
      <c r="E615" s="1"/>
      <c r="F615" s="1"/>
      <c r="G615" s="1"/>
      <c r="H615" s="1"/>
      <c r="K615" s="1"/>
      <c r="L615" s="1"/>
      <c r="M615" s="1"/>
      <c r="N615" s="1"/>
    </row>
    <row r="616" spans="3:14" x14ac:dyDescent="0.25">
      <c r="C616" s="1"/>
      <c r="D616" s="1"/>
      <c r="E616" s="1"/>
      <c r="F616" s="1"/>
      <c r="G616" s="1"/>
      <c r="H616" s="1"/>
      <c r="K616" s="1"/>
      <c r="L616" s="1"/>
      <c r="M616" s="1"/>
      <c r="N616" s="1"/>
    </row>
    <row r="617" spans="3:14" x14ac:dyDescent="0.25">
      <c r="C617" s="1"/>
      <c r="D617" s="1"/>
      <c r="E617" s="1"/>
      <c r="F617" s="1"/>
      <c r="G617" s="1"/>
      <c r="H617" s="1"/>
      <c r="K617" s="1"/>
      <c r="L617" s="1"/>
      <c r="M617" s="1"/>
      <c r="N617" s="1"/>
    </row>
    <row r="618" spans="3:14" x14ac:dyDescent="0.25">
      <c r="C618" s="1"/>
      <c r="D618" s="1"/>
      <c r="E618" s="1"/>
      <c r="F618" s="1"/>
      <c r="G618" s="1"/>
      <c r="H618" s="1"/>
      <c r="K618" s="1"/>
      <c r="L618" s="1"/>
      <c r="M618" s="1"/>
      <c r="N618" s="1"/>
    </row>
    <row r="619" spans="3:14" x14ac:dyDescent="0.25">
      <c r="C619" s="1"/>
      <c r="D619" s="1"/>
      <c r="E619" s="1"/>
      <c r="F619" s="1"/>
      <c r="G619" s="1"/>
      <c r="H619" s="1"/>
      <c r="K619" s="1"/>
      <c r="L619" s="1"/>
      <c r="M619" s="1"/>
      <c r="N619" s="1"/>
    </row>
    <row r="620" spans="3:14" x14ac:dyDescent="0.25">
      <c r="C620" s="1"/>
      <c r="D620" s="1"/>
      <c r="E620" s="1"/>
      <c r="F620" s="1"/>
      <c r="G620" s="1"/>
      <c r="H620" s="1"/>
      <c r="K620" s="1"/>
      <c r="L620" s="1"/>
      <c r="M620" s="1"/>
      <c r="N620" s="1"/>
    </row>
    <row r="621" spans="3:14" x14ac:dyDescent="0.25">
      <c r="C621" s="1"/>
      <c r="D621" s="1"/>
      <c r="E621" s="1"/>
      <c r="F621" s="1"/>
      <c r="G621" s="1"/>
      <c r="H621" s="1"/>
      <c r="K621" s="1"/>
      <c r="L621" s="1"/>
      <c r="M621" s="1"/>
      <c r="N621" s="1"/>
    </row>
    <row r="622" spans="3:14" x14ac:dyDescent="0.25">
      <c r="C622" s="1"/>
      <c r="D622" s="1"/>
      <c r="E622" s="1"/>
      <c r="F622" s="1"/>
      <c r="G622" s="1"/>
      <c r="H622" s="1"/>
      <c r="K622" s="1"/>
      <c r="L622" s="1"/>
      <c r="M622" s="1"/>
      <c r="N622" s="1"/>
    </row>
    <row r="623" spans="3:14" x14ac:dyDescent="0.25">
      <c r="C623" s="1"/>
      <c r="D623" s="1"/>
      <c r="E623" s="1"/>
      <c r="F623" s="1"/>
      <c r="G623" s="1"/>
      <c r="H623" s="1"/>
      <c r="K623" s="1"/>
      <c r="L623" s="1"/>
      <c r="M623" s="1"/>
      <c r="N623" s="1"/>
    </row>
    <row r="624" spans="3:14" x14ac:dyDescent="0.25">
      <c r="C624" s="1"/>
      <c r="D624" s="1"/>
      <c r="E624" s="1"/>
      <c r="F624" s="1"/>
      <c r="G624" s="1"/>
      <c r="H624" s="1"/>
      <c r="K624" s="1"/>
      <c r="L624" s="1"/>
      <c r="M624" s="1"/>
      <c r="N624" s="1"/>
    </row>
    <row r="625" spans="3:14" x14ac:dyDescent="0.25">
      <c r="C625" s="1"/>
      <c r="D625" s="1"/>
      <c r="E625" s="1"/>
      <c r="F625" s="1"/>
      <c r="G625" s="1"/>
      <c r="H625" s="1"/>
      <c r="K625" s="1"/>
      <c r="L625" s="1"/>
      <c r="M625" s="1"/>
      <c r="N625" s="1"/>
    </row>
    <row r="626" spans="3:14" x14ac:dyDescent="0.25">
      <c r="C626" s="1"/>
      <c r="D626" s="1"/>
      <c r="E626" s="1"/>
      <c r="F626" s="1"/>
      <c r="G626" s="1"/>
      <c r="H626" s="1"/>
      <c r="K626" s="1"/>
      <c r="L626" s="1"/>
      <c r="M626" s="1"/>
      <c r="N626" s="1"/>
    </row>
    <row r="627" spans="3:14" x14ac:dyDescent="0.25">
      <c r="C627" s="1"/>
      <c r="D627" s="1"/>
      <c r="E627" s="1"/>
      <c r="F627" s="1"/>
      <c r="G627" s="1"/>
      <c r="H627" s="1"/>
      <c r="K627" s="1"/>
      <c r="L627" s="1"/>
      <c r="M627" s="1"/>
      <c r="N627" s="1"/>
    </row>
    <row r="628" spans="3:14" x14ac:dyDescent="0.25">
      <c r="C628" s="1"/>
      <c r="D628" s="1"/>
      <c r="E628" s="1"/>
      <c r="F628" s="1"/>
      <c r="G628" s="1"/>
      <c r="H628" s="1"/>
      <c r="K628" s="1"/>
      <c r="L628" s="1"/>
      <c r="M628" s="1"/>
      <c r="N628" s="1"/>
    </row>
    <row r="629" spans="3:14" x14ac:dyDescent="0.25">
      <c r="C629" s="1"/>
      <c r="D629" s="1"/>
      <c r="E629" s="1"/>
      <c r="F629" s="1"/>
      <c r="G629" s="1"/>
      <c r="H629" s="1"/>
      <c r="K629" s="1"/>
      <c r="L629" s="1"/>
      <c r="M629" s="1"/>
      <c r="N629" s="1"/>
    </row>
    <row r="630" spans="3:14" x14ac:dyDescent="0.25">
      <c r="C630" s="1"/>
      <c r="D630" s="1"/>
      <c r="E630" s="1"/>
      <c r="F630" s="1"/>
      <c r="G630" s="1"/>
      <c r="H630" s="1"/>
      <c r="K630" s="1"/>
      <c r="L630" s="1"/>
      <c r="M630" s="1"/>
      <c r="N630" s="1"/>
    </row>
    <row r="631" spans="3:14" x14ac:dyDescent="0.25">
      <c r="C631" s="1"/>
      <c r="D631" s="1"/>
      <c r="E631" s="1"/>
      <c r="F631" s="1"/>
      <c r="G631" s="1"/>
      <c r="H631" s="1"/>
      <c r="K631" s="1"/>
      <c r="L631" s="1"/>
      <c r="M631" s="1"/>
      <c r="N631" s="1"/>
    </row>
    <row r="632" spans="3:14" x14ac:dyDescent="0.25">
      <c r="C632" s="1"/>
      <c r="D632" s="1"/>
      <c r="E632" s="1"/>
      <c r="F632" s="1"/>
      <c r="G632" s="1"/>
      <c r="H632" s="1"/>
      <c r="K632" s="1"/>
      <c r="L632" s="1"/>
      <c r="M632" s="1"/>
      <c r="N632" s="1"/>
    </row>
    <row r="633" spans="3:14" x14ac:dyDescent="0.25">
      <c r="C633" s="1"/>
      <c r="D633" s="1"/>
      <c r="E633" s="1"/>
      <c r="F633" s="1"/>
      <c r="G633" s="1"/>
      <c r="H633" s="1"/>
      <c r="K633" s="1"/>
      <c r="L633" s="1"/>
      <c r="M633" s="1"/>
      <c r="N633" s="1"/>
    </row>
    <row r="634" spans="3:14" x14ac:dyDescent="0.25">
      <c r="C634" s="1"/>
      <c r="D634" s="1"/>
      <c r="E634" s="1"/>
      <c r="F634" s="1"/>
      <c r="G634" s="1"/>
      <c r="H634" s="1"/>
      <c r="K634" s="1"/>
      <c r="L634" s="1"/>
      <c r="M634" s="1"/>
      <c r="N634" s="1"/>
    </row>
    <row r="635" spans="3:14" x14ac:dyDescent="0.25">
      <c r="C635" s="1"/>
      <c r="D635" s="1"/>
      <c r="E635" s="1"/>
      <c r="F635" s="1"/>
      <c r="G635" s="1"/>
      <c r="H635" s="1"/>
      <c r="K635" s="1"/>
      <c r="L635" s="1"/>
      <c r="M635" s="1"/>
      <c r="N635" s="1"/>
    </row>
    <row r="636" spans="3:14" x14ac:dyDescent="0.25">
      <c r="C636" s="1"/>
      <c r="D636" s="1"/>
      <c r="E636" s="1"/>
      <c r="F636" s="1"/>
      <c r="G636" s="1"/>
      <c r="H636" s="1"/>
      <c r="K636" s="1"/>
      <c r="L636" s="1"/>
      <c r="M636" s="1"/>
      <c r="N636" s="1"/>
    </row>
    <row r="637" spans="3:14" x14ac:dyDescent="0.25">
      <c r="C637" s="1"/>
      <c r="D637" s="1"/>
      <c r="E637" s="1"/>
      <c r="F637" s="1"/>
      <c r="G637" s="1"/>
      <c r="H637" s="1"/>
      <c r="K637" s="1"/>
      <c r="L637" s="1"/>
      <c r="M637" s="1"/>
      <c r="N637" s="1"/>
    </row>
    <row r="638" spans="3:14" x14ac:dyDescent="0.25">
      <c r="C638" s="1"/>
      <c r="D638" s="1"/>
      <c r="E638" s="1"/>
      <c r="F638" s="1"/>
      <c r="G638" s="1"/>
      <c r="H638" s="1"/>
      <c r="K638" s="1"/>
      <c r="L638" s="1"/>
      <c r="M638" s="1"/>
      <c r="N638" s="1"/>
    </row>
    <row r="639" spans="3:14" x14ac:dyDescent="0.25">
      <c r="C639" s="1"/>
      <c r="D639" s="1"/>
      <c r="E639" s="1"/>
      <c r="F639" s="1"/>
      <c r="G639" s="1"/>
      <c r="H639" s="1"/>
      <c r="K639" s="1"/>
      <c r="L639" s="1"/>
      <c r="M639" s="1"/>
      <c r="N639" s="1"/>
    </row>
    <row r="640" spans="3:14" x14ac:dyDescent="0.25">
      <c r="C640" s="1"/>
      <c r="D640" s="1"/>
      <c r="E640" s="1"/>
      <c r="F640" s="1"/>
      <c r="G640" s="1"/>
      <c r="H640" s="1"/>
      <c r="K640" s="1"/>
      <c r="L640" s="1"/>
      <c r="M640" s="1"/>
      <c r="N640" s="1"/>
    </row>
    <row r="641" spans="3:14" x14ac:dyDescent="0.25">
      <c r="C641" s="1"/>
      <c r="D641" s="1"/>
      <c r="E641" s="1"/>
      <c r="F641" s="1"/>
      <c r="G641" s="1"/>
      <c r="H641" s="1"/>
      <c r="K641" s="1"/>
      <c r="L641" s="1"/>
      <c r="M641" s="1"/>
      <c r="N641" s="1"/>
    </row>
    <row r="642" spans="3:14" x14ac:dyDescent="0.25">
      <c r="C642" s="1"/>
      <c r="D642" s="1"/>
      <c r="E642" s="1"/>
      <c r="F642" s="1"/>
      <c r="G642" s="1"/>
      <c r="H642" s="1"/>
      <c r="K642" s="1"/>
      <c r="L642" s="1"/>
      <c r="M642" s="1"/>
      <c r="N642" s="1"/>
    </row>
    <row r="643" spans="3:14" x14ac:dyDescent="0.25">
      <c r="C643" s="1"/>
      <c r="D643" s="1"/>
      <c r="E643" s="1"/>
      <c r="F643" s="1"/>
      <c r="G643" s="1"/>
      <c r="H643" s="1"/>
      <c r="K643" s="1"/>
      <c r="L643" s="1"/>
      <c r="M643" s="1"/>
      <c r="N643" s="1"/>
    </row>
    <row r="644" spans="3:14" x14ac:dyDescent="0.25">
      <c r="C644" s="1"/>
      <c r="D644" s="1"/>
      <c r="E644" s="1"/>
      <c r="F644" s="1"/>
      <c r="G644" s="1"/>
      <c r="H644" s="1"/>
      <c r="K644" s="1"/>
      <c r="L644" s="1"/>
      <c r="M644" s="1"/>
      <c r="N644" s="1"/>
    </row>
    <row r="645" spans="3:14" x14ac:dyDescent="0.25">
      <c r="C645" s="1"/>
      <c r="D645" s="1"/>
      <c r="E645" s="1"/>
      <c r="F645" s="1"/>
      <c r="G645" s="1"/>
      <c r="H645" s="1"/>
      <c r="K645" s="1"/>
      <c r="L645" s="1"/>
      <c r="M645" s="1"/>
      <c r="N645" s="1"/>
    </row>
    <row r="646" spans="3:14" x14ac:dyDescent="0.25">
      <c r="C646" s="1"/>
      <c r="D646" s="1"/>
      <c r="E646" s="1"/>
      <c r="F646" s="1"/>
      <c r="G646" s="1"/>
      <c r="H646" s="1"/>
      <c r="K646" s="1"/>
      <c r="L646" s="1"/>
      <c r="M646" s="1"/>
      <c r="N646" s="1"/>
    </row>
    <row r="647" spans="3:14" x14ac:dyDescent="0.25">
      <c r="C647" s="1"/>
      <c r="D647" s="1"/>
      <c r="E647" s="1"/>
      <c r="F647" s="1"/>
      <c r="G647" s="1"/>
      <c r="H647" s="1"/>
      <c r="K647" s="1"/>
      <c r="L647" s="1"/>
      <c r="M647" s="1"/>
      <c r="N647" s="1"/>
    </row>
    <row r="648" spans="3:14" x14ac:dyDescent="0.25">
      <c r="C648" s="1"/>
      <c r="D648" s="1"/>
      <c r="E648" s="1"/>
      <c r="F648" s="1"/>
      <c r="G648" s="1"/>
      <c r="H648" s="1"/>
      <c r="K648" s="1"/>
      <c r="L648" s="1"/>
      <c r="M648" s="1"/>
      <c r="N648" s="1"/>
    </row>
    <row r="649" spans="3:14" x14ac:dyDescent="0.25">
      <c r="C649" s="1"/>
      <c r="D649" s="1"/>
      <c r="E649" s="1"/>
      <c r="F649" s="1"/>
      <c r="G649" s="1"/>
      <c r="H649" s="1"/>
      <c r="K649" s="1"/>
      <c r="L649" s="1"/>
      <c r="M649" s="1"/>
      <c r="N649" s="1"/>
    </row>
    <row r="650" spans="3:14" x14ac:dyDescent="0.25">
      <c r="C650" s="1"/>
      <c r="D650" s="1"/>
      <c r="E650" s="1"/>
      <c r="F650" s="1"/>
      <c r="G650" s="1"/>
      <c r="H650" s="1"/>
      <c r="K650" s="1"/>
      <c r="L650" s="1"/>
      <c r="M650" s="1"/>
      <c r="N650" s="1"/>
    </row>
    <row r="651" spans="3:14" x14ac:dyDescent="0.25">
      <c r="C651" s="1"/>
      <c r="D651" s="1"/>
      <c r="E651" s="1"/>
      <c r="F651" s="1"/>
      <c r="G651" s="1"/>
      <c r="H651" s="1"/>
      <c r="K651" s="1"/>
      <c r="L651" s="1"/>
      <c r="M651" s="1"/>
      <c r="N651" s="1"/>
    </row>
    <row r="652" spans="3:14" x14ac:dyDescent="0.25">
      <c r="C652" s="1"/>
      <c r="D652" s="1"/>
      <c r="E652" s="1"/>
      <c r="F652" s="1"/>
      <c r="G652" s="1"/>
      <c r="H652" s="1"/>
      <c r="K652" s="1"/>
      <c r="L652" s="1"/>
      <c r="M652" s="1"/>
      <c r="N652" s="1"/>
    </row>
    <row r="653" spans="3:14" x14ac:dyDescent="0.25">
      <c r="C653" s="1"/>
      <c r="D653" s="1"/>
      <c r="E653" s="1"/>
      <c r="F653" s="1"/>
      <c r="G653" s="1"/>
      <c r="H653" s="1"/>
      <c r="K653" s="1"/>
      <c r="L653" s="1"/>
      <c r="M653" s="1"/>
      <c r="N653" s="1"/>
    </row>
    <row r="654" spans="3:14" x14ac:dyDescent="0.25">
      <c r="C654" s="1"/>
      <c r="D654" s="1"/>
      <c r="E654" s="1"/>
      <c r="F654" s="1"/>
      <c r="G654" s="1"/>
      <c r="H654" s="1"/>
      <c r="K654" s="1"/>
      <c r="L654" s="1"/>
      <c r="M654" s="1"/>
      <c r="N654" s="1"/>
    </row>
    <row r="655" spans="3:14" x14ac:dyDescent="0.25">
      <c r="C655" s="1"/>
      <c r="D655" s="1"/>
      <c r="E655" s="1"/>
      <c r="F655" s="1"/>
      <c r="G655" s="1"/>
      <c r="H655" s="1"/>
      <c r="K655" s="1"/>
      <c r="L655" s="1"/>
      <c r="M655" s="1"/>
      <c r="N655" s="1"/>
    </row>
    <row r="656" spans="3:14" x14ac:dyDescent="0.25">
      <c r="C656" s="1"/>
      <c r="D656" s="1"/>
      <c r="E656" s="1"/>
      <c r="F656" s="1"/>
      <c r="G656" s="1"/>
      <c r="H656" s="1"/>
      <c r="K656" s="1"/>
      <c r="L656" s="1"/>
      <c r="M656" s="1"/>
      <c r="N656" s="1"/>
    </row>
    <row r="657" spans="3:14" x14ac:dyDescent="0.25">
      <c r="C657" s="1"/>
      <c r="D657" s="1"/>
      <c r="E657" s="1"/>
      <c r="F657" s="1"/>
      <c r="G657" s="1"/>
      <c r="H657" s="1"/>
      <c r="K657" s="1"/>
      <c r="L657" s="1"/>
      <c r="M657" s="1"/>
      <c r="N657" s="1"/>
    </row>
    <row r="658" spans="3:14" x14ac:dyDescent="0.25">
      <c r="C658" s="1"/>
      <c r="D658" s="1"/>
      <c r="E658" s="1"/>
      <c r="F658" s="1"/>
      <c r="G658" s="1"/>
      <c r="H658" s="1"/>
      <c r="K658" s="1"/>
      <c r="L658" s="1"/>
      <c r="M658" s="1"/>
      <c r="N658" s="1"/>
    </row>
    <row r="659" spans="3:14" x14ac:dyDescent="0.25">
      <c r="C659" s="1"/>
      <c r="D659" s="1"/>
      <c r="E659" s="1"/>
      <c r="F659" s="1"/>
      <c r="G659" s="1"/>
      <c r="H659" s="1"/>
      <c r="K659" s="1"/>
      <c r="L659" s="1"/>
      <c r="M659" s="1"/>
      <c r="N659" s="1"/>
    </row>
    <row r="660" spans="3:14" x14ac:dyDescent="0.25">
      <c r="C660" s="1"/>
      <c r="D660" s="1"/>
      <c r="E660" s="1"/>
      <c r="F660" s="1"/>
      <c r="G660" s="1"/>
      <c r="H660" s="1"/>
      <c r="K660" s="1"/>
      <c r="L660" s="1"/>
      <c r="M660" s="1"/>
      <c r="N660" s="1"/>
    </row>
    <row r="661" spans="3:14" x14ac:dyDescent="0.25">
      <c r="C661" s="1"/>
      <c r="D661" s="1"/>
      <c r="E661" s="1"/>
      <c r="F661" s="1"/>
      <c r="G661" s="1"/>
      <c r="H661" s="1"/>
      <c r="K661" s="1"/>
      <c r="L661" s="1"/>
      <c r="M661" s="1"/>
      <c r="N661" s="1"/>
    </row>
    <row r="662" spans="3:14" x14ac:dyDescent="0.25">
      <c r="C662" s="1"/>
      <c r="D662" s="1"/>
      <c r="E662" s="1"/>
      <c r="F662" s="1"/>
      <c r="G662" s="1"/>
      <c r="H662" s="1"/>
      <c r="K662" s="1"/>
      <c r="L662" s="1"/>
      <c r="M662" s="1"/>
      <c r="N662" s="1"/>
    </row>
    <row r="663" spans="3:14" x14ac:dyDescent="0.25">
      <c r="C663" s="1"/>
      <c r="D663" s="1"/>
      <c r="E663" s="1"/>
      <c r="F663" s="1"/>
      <c r="G663" s="1"/>
      <c r="H663" s="1"/>
      <c r="K663" s="1"/>
      <c r="L663" s="1"/>
      <c r="M663" s="1"/>
      <c r="N663" s="1"/>
    </row>
    <row r="664" spans="3:14" x14ac:dyDescent="0.25">
      <c r="C664" s="1"/>
      <c r="D664" s="1"/>
      <c r="E664" s="1"/>
      <c r="F664" s="1"/>
      <c r="G664" s="1"/>
      <c r="H664" s="1"/>
      <c r="K664" s="1"/>
      <c r="L664" s="1"/>
      <c r="M664" s="1"/>
      <c r="N664" s="1"/>
    </row>
    <row r="665" spans="3:14" x14ac:dyDescent="0.25">
      <c r="C665" s="1"/>
      <c r="D665" s="1"/>
      <c r="E665" s="1"/>
      <c r="F665" s="1"/>
      <c r="G665" s="1"/>
      <c r="H665" s="1"/>
      <c r="K665" s="1"/>
      <c r="L665" s="1"/>
      <c r="M665" s="1"/>
      <c r="N665" s="1"/>
    </row>
    <row r="666" spans="3:14" x14ac:dyDescent="0.25">
      <c r="C666" s="1"/>
      <c r="D666" s="1"/>
      <c r="E666" s="1"/>
      <c r="F666" s="1"/>
      <c r="G666" s="1"/>
      <c r="H666" s="1"/>
      <c r="K666" s="1"/>
      <c r="L666" s="1"/>
      <c r="M666" s="1"/>
      <c r="N666" s="1"/>
    </row>
    <row r="667" spans="3:14" x14ac:dyDescent="0.25">
      <c r="C667" s="1"/>
      <c r="D667" s="1"/>
      <c r="E667" s="1"/>
      <c r="F667" s="1"/>
      <c r="G667" s="1"/>
      <c r="H667" s="1"/>
      <c r="K667" s="1"/>
      <c r="L667" s="1"/>
      <c r="M667" s="1"/>
      <c r="N667" s="1"/>
    </row>
    <row r="668" spans="3:14" x14ac:dyDescent="0.25">
      <c r="C668" s="1"/>
      <c r="D668" s="1"/>
      <c r="E668" s="1"/>
      <c r="F668" s="1"/>
      <c r="G668" s="1"/>
      <c r="H668" s="1"/>
      <c r="K668" s="1"/>
      <c r="L668" s="1"/>
      <c r="M668" s="1"/>
      <c r="N668" s="1"/>
    </row>
    <row r="669" spans="3:14" x14ac:dyDescent="0.25">
      <c r="C669" s="1"/>
      <c r="D669" s="1"/>
      <c r="E669" s="1"/>
      <c r="F669" s="1"/>
      <c r="G669" s="1"/>
      <c r="H669" s="1"/>
      <c r="K669" s="1"/>
      <c r="L669" s="1"/>
      <c r="M669" s="1"/>
      <c r="N669" s="1"/>
    </row>
    <row r="670" spans="3:14" x14ac:dyDescent="0.25">
      <c r="C670" s="1"/>
      <c r="D670" s="1"/>
      <c r="E670" s="1"/>
      <c r="F670" s="1"/>
      <c r="G670" s="1"/>
      <c r="H670" s="1"/>
      <c r="K670" s="1"/>
      <c r="L670" s="1"/>
      <c r="M670" s="1"/>
      <c r="N670" s="1"/>
    </row>
    <row r="671" spans="3:14" x14ac:dyDescent="0.25">
      <c r="C671" s="1"/>
      <c r="D671" s="1"/>
      <c r="E671" s="1"/>
      <c r="F671" s="1"/>
      <c r="G671" s="1"/>
      <c r="H671" s="1"/>
      <c r="K671" s="1"/>
      <c r="L671" s="1"/>
      <c r="M671" s="1"/>
      <c r="N671" s="1"/>
    </row>
    <row r="672" spans="3:14" x14ac:dyDescent="0.25">
      <c r="C672" s="1"/>
      <c r="D672" s="1"/>
      <c r="E672" s="1"/>
      <c r="F672" s="1"/>
      <c r="G672" s="1"/>
      <c r="H672" s="1"/>
      <c r="K672" s="1"/>
      <c r="L672" s="1"/>
      <c r="M672" s="1"/>
      <c r="N672" s="1"/>
    </row>
    <row r="673" spans="3:14" x14ac:dyDescent="0.25">
      <c r="C673" s="1"/>
      <c r="D673" s="1"/>
      <c r="E673" s="1"/>
      <c r="F673" s="1"/>
      <c r="G673" s="1"/>
      <c r="H673" s="1"/>
      <c r="K673" s="1"/>
      <c r="L673" s="1"/>
      <c r="M673" s="1"/>
      <c r="N673" s="1"/>
    </row>
    <row r="674" spans="3:14" x14ac:dyDescent="0.25">
      <c r="C674" s="1"/>
      <c r="D674" s="1"/>
      <c r="E674" s="1"/>
      <c r="F674" s="1"/>
      <c r="G674" s="1"/>
      <c r="H674" s="1"/>
      <c r="K674" s="1"/>
      <c r="L674" s="1"/>
      <c r="M674" s="1"/>
      <c r="N674" s="1"/>
    </row>
    <row r="675" spans="3:14" x14ac:dyDescent="0.25">
      <c r="C675" s="1"/>
      <c r="D675" s="1"/>
      <c r="E675" s="1"/>
      <c r="F675" s="1"/>
      <c r="G675" s="1"/>
      <c r="H675" s="1"/>
      <c r="K675" s="1"/>
      <c r="L675" s="1"/>
      <c r="M675" s="1"/>
      <c r="N675" s="1"/>
    </row>
    <row r="676" spans="3:14" x14ac:dyDescent="0.25">
      <c r="C676" s="1"/>
      <c r="D676" s="1"/>
      <c r="E676" s="1"/>
      <c r="F676" s="1"/>
      <c r="G676" s="1"/>
      <c r="H676" s="1"/>
      <c r="K676" s="1"/>
      <c r="L676" s="1"/>
      <c r="M676" s="1"/>
      <c r="N676" s="1"/>
    </row>
    <row r="677" spans="3:14" x14ac:dyDescent="0.25">
      <c r="C677" s="1"/>
      <c r="D677" s="1"/>
      <c r="E677" s="1"/>
      <c r="F677" s="1"/>
      <c r="G677" s="1"/>
      <c r="H677" s="1"/>
      <c r="K677" s="1"/>
      <c r="L677" s="1"/>
      <c r="M677" s="1"/>
      <c r="N677" s="1"/>
    </row>
    <row r="678" spans="3:14" x14ac:dyDescent="0.25">
      <c r="C678" s="1"/>
      <c r="D678" s="1"/>
      <c r="E678" s="1"/>
      <c r="F678" s="1"/>
      <c r="G678" s="1"/>
      <c r="H678" s="1"/>
      <c r="K678" s="1"/>
      <c r="L678" s="1"/>
      <c r="M678" s="1"/>
      <c r="N678" s="1"/>
    </row>
    <row r="679" spans="3:14" x14ac:dyDescent="0.25">
      <c r="C679" s="1"/>
      <c r="D679" s="1"/>
      <c r="E679" s="1"/>
      <c r="F679" s="1"/>
      <c r="G679" s="1"/>
      <c r="H679" s="1"/>
      <c r="K679" s="1"/>
      <c r="L679" s="1"/>
      <c r="M679" s="1"/>
      <c r="N679" s="1"/>
    </row>
    <row r="680" spans="3:14" x14ac:dyDescent="0.25">
      <c r="C680" s="1"/>
      <c r="D680" s="1"/>
      <c r="E680" s="1"/>
      <c r="F680" s="1"/>
      <c r="G680" s="1"/>
      <c r="H680" s="1"/>
      <c r="K680" s="1"/>
      <c r="L680" s="1"/>
      <c r="M680" s="1"/>
      <c r="N680" s="1"/>
    </row>
    <row r="681" spans="3:14" x14ac:dyDescent="0.25">
      <c r="C681" s="1"/>
      <c r="D681" s="1"/>
      <c r="E681" s="1"/>
      <c r="F681" s="1"/>
      <c r="G681" s="1"/>
      <c r="H681" s="1"/>
      <c r="K681" s="1"/>
      <c r="L681" s="1"/>
      <c r="M681" s="1"/>
      <c r="N681" s="1"/>
    </row>
    <row r="682" spans="3:14" x14ac:dyDescent="0.25">
      <c r="C682" s="1"/>
      <c r="D682" s="1"/>
      <c r="E682" s="1"/>
      <c r="F682" s="1"/>
      <c r="G682" s="1"/>
      <c r="H682" s="1"/>
      <c r="K682" s="1"/>
      <c r="L682" s="1"/>
      <c r="M682" s="1"/>
      <c r="N682" s="1"/>
    </row>
    <row r="683" spans="3:14" x14ac:dyDescent="0.25">
      <c r="C683" s="1"/>
      <c r="D683" s="1"/>
      <c r="E683" s="1"/>
      <c r="F683" s="1"/>
      <c r="G683" s="1"/>
      <c r="H683" s="1"/>
      <c r="K683" s="1"/>
      <c r="L683" s="1"/>
      <c r="M683" s="1"/>
      <c r="N683" s="1"/>
    </row>
    <row r="684" spans="3:14" x14ac:dyDescent="0.25">
      <c r="C684" s="1"/>
      <c r="D684" s="1"/>
      <c r="E684" s="1"/>
      <c r="F684" s="1"/>
      <c r="G684" s="1"/>
      <c r="H684" s="1"/>
      <c r="K684" s="1"/>
      <c r="L684" s="1"/>
      <c r="M684" s="1"/>
      <c r="N684" s="1"/>
    </row>
    <row r="685" spans="3:14" x14ac:dyDescent="0.25">
      <c r="C685" s="1"/>
      <c r="D685" s="1"/>
      <c r="E685" s="1"/>
      <c r="F685" s="1"/>
      <c r="G685" s="1"/>
      <c r="H685" s="1"/>
      <c r="K685" s="1"/>
      <c r="L685" s="1"/>
      <c r="M685" s="1"/>
      <c r="N685" s="1"/>
    </row>
    <row r="686" spans="3:14" x14ac:dyDescent="0.25">
      <c r="C686" s="1"/>
      <c r="D686" s="1"/>
      <c r="E686" s="1"/>
      <c r="F686" s="1"/>
      <c r="G686" s="1"/>
      <c r="H686" s="1"/>
      <c r="K686" s="1"/>
      <c r="L686" s="1"/>
      <c r="M686" s="1"/>
      <c r="N686" s="1"/>
    </row>
    <row r="687" spans="3:14" x14ac:dyDescent="0.25">
      <c r="C687" s="1"/>
      <c r="D687" s="1"/>
      <c r="E687" s="1"/>
      <c r="F687" s="1"/>
      <c r="G687" s="1"/>
      <c r="H687" s="1"/>
      <c r="K687" s="1"/>
      <c r="L687" s="1"/>
      <c r="M687" s="1"/>
      <c r="N687" s="1"/>
    </row>
    <row r="688" spans="3:14" x14ac:dyDescent="0.25">
      <c r="C688" s="1"/>
      <c r="D688" s="1"/>
      <c r="E688" s="1"/>
      <c r="F688" s="1"/>
      <c r="G688" s="1"/>
      <c r="H688" s="1"/>
      <c r="K688" s="1"/>
      <c r="L688" s="1"/>
      <c r="M688" s="1"/>
      <c r="N688" s="1"/>
    </row>
    <row r="689" spans="3:14" x14ac:dyDescent="0.25">
      <c r="C689" s="1"/>
      <c r="D689" s="1"/>
      <c r="E689" s="1"/>
      <c r="F689" s="1"/>
      <c r="G689" s="1"/>
      <c r="H689" s="1"/>
      <c r="K689" s="1"/>
      <c r="L689" s="1"/>
      <c r="M689" s="1"/>
      <c r="N689" s="1"/>
    </row>
    <row r="690" spans="3:14" x14ac:dyDescent="0.25">
      <c r="C690" s="1"/>
      <c r="D690" s="1"/>
      <c r="E690" s="1"/>
      <c r="F690" s="1"/>
      <c r="G690" s="1"/>
      <c r="H690" s="1"/>
      <c r="K690" s="1"/>
      <c r="L690" s="1"/>
      <c r="M690" s="1"/>
      <c r="N690" s="1"/>
    </row>
    <row r="691" spans="3:14" x14ac:dyDescent="0.25">
      <c r="C691" s="1"/>
      <c r="D691" s="1"/>
      <c r="E691" s="1"/>
      <c r="F691" s="1"/>
      <c r="G691" s="1"/>
      <c r="H691" s="1"/>
      <c r="K691" s="1"/>
      <c r="L691" s="1"/>
      <c r="M691" s="1"/>
      <c r="N691" s="1"/>
    </row>
    <row r="692" spans="3:14" x14ac:dyDescent="0.25">
      <c r="C692" s="1"/>
      <c r="D692" s="1"/>
      <c r="E692" s="1"/>
      <c r="F692" s="1"/>
      <c r="G692" s="1"/>
      <c r="H692" s="1"/>
      <c r="K692" s="1"/>
      <c r="L692" s="1"/>
      <c r="M692" s="1"/>
      <c r="N692" s="1"/>
    </row>
    <row r="693" spans="3:14" x14ac:dyDescent="0.25">
      <c r="C693" s="1"/>
      <c r="D693" s="1"/>
      <c r="E693" s="1"/>
      <c r="F693" s="1"/>
      <c r="G693" s="1"/>
      <c r="H693" s="1"/>
      <c r="K693" s="1"/>
      <c r="L693" s="1"/>
      <c r="M693" s="1"/>
      <c r="N693" s="1"/>
    </row>
    <row r="694" spans="3:14" x14ac:dyDescent="0.25">
      <c r="C694" s="1"/>
      <c r="D694" s="1"/>
      <c r="E694" s="1"/>
      <c r="F694" s="1"/>
      <c r="G694" s="1"/>
      <c r="H694" s="1"/>
      <c r="K694" s="1"/>
      <c r="L694" s="1"/>
      <c r="M694" s="1"/>
      <c r="N694" s="1"/>
    </row>
    <row r="695" spans="3:14" x14ac:dyDescent="0.25">
      <c r="C695" s="1"/>
      <c r="D695" s="1"/>
      <c r="E695" s="1"/>
      <c r="F695" s="1"/>
      <c r="G695" s="1"/>
      <c r="H695" s="1"/>
      <c r="K695" s="1"/>
      <c r="L695" s="1"/>
      <c r="M695" s="1"/>
      <c r="N695" s="1"/>
    </row>
    <row r="696" spans="3:14" x14ac:dyDescent="0.25">
      <c r="C696" s="1"/>
      <c r="D696" s="1"/>
      <c r="E696" s="1"/>
      <c r="F696" s="1"/>
      <c r="G696" s="1"/>
      <c r="H696" s="1"/>
      <c r="K696" s="1"/>
      <c r="L696" s="1"/>
      <c r="M696" s="1"/>
      <c r="N696" s="1"/>
    </row>
    <row r="697" spans="3:14" x14ac:dyDescent="0.25">
      <c r="C697" s="1"/>
      <c r="D697" s="1"/>
      <c r="E697" s="1"/>
      <c r="F697" s="1"/>
      <c r="G697" s="1"/>
      <c r="H697" s="1"/>
      <c r="K697" s="1"/>
      <c r="L697" s="1"/>
      <c r="M697" s="1"/>
      <c r="N697" s="1"/>
    </row>
    <row r="698" spans="3:14" x14ac:dyDescent="0.25">
      <c r="C698" s="1"/>
      <c r="D698" s="1"/>
      <c r="E698" s="1"/>
      <c r="F698" s="1"/>
      <c r="G698" s="1"/>
      <c r="H698" s="1"/>
      <c r="K698" s="1"/>
      <c r="L698" s="1"/>
      <c r="M698" s="1"/>
      <c r="N698" s="1"/>
    </row>
    <row r="699" spans="3:14" x14ac:dyDescent="0.25">
      <c r="C699" s="1"/>
      <c r="D699" s="1"/>
      <c r="E699" s="1"/>
      <c r="F699" s="1"/>
      <c r="G699" s="1"/>
      <c r="H699" s="1"/>
      <c r="K699" s="1"/>
      <c r="L699" s="1"/>
      <c r="M699" s="1"/>
      <c r="N699" s="1"/>
    </row>
    <row r="700" spans="3:14" x14ac:dyDescent="0.25">
      <c r="C700" s="1"/>
      <c r="D700" s="1"/>
      <c r="E700" s="1"/>
      <c r="F700" s="1"/>
      <c r="G700" s="1"/>
      <c r="H700" s="1"/>
      <c r="K700" s="1"/>
      <c r="L700" s="1"/>
      <c r="M700" s="1"/>
      <c r="N700" s="1"/>
    </row>
    <row r="701" spans="3:14" x14ac:dyDescent="0.25">
      <c r="C701" s="1"/>
      <c r="D701" s="1"/>
      <c r="E701" s="1"/>
      <c r="F701" s="1"/>
      <c r="G701" s="1"/>
      <c r="H701" s="1"/>
      <c r="K701" s="1"/>
      <c r="L701" s="1"/>
      <c r="M701" s="1"/>
      <c r="N701" s="1"/>
    </row>
    <row r="702" spans="3:14" x14ac:dyDescent="0.25">
      <c r="C702" s="1"/>
      <c r="D702" s="1"/>
      <c r="E702" s="1"/>
      <c r="F702" s="1"/>
      <c r="G702" s="1"/>
      <c r="H702" s="1"/>
      <c r="K702" s="1"/>
      <c r="L702" s="1"/>
      <c r="M702" s="1"/>
      <c r="N702" s="1"/>
    </row>
    <row r="703" spans="3:14" x14ac:dyDescent="0.25">
      <c r="C703" s="1"/>
      <c r="D703" s="1"/>
      <c r="E703" s="1"/>
      <c r="F703" s="1"/>
      <c r="G703" s="1"/>
      <c r="H703" s="1"/>
      <c r="K703" s="1"/>
      <c r="L703" s="1"/>
      <c r="M703" s="1"/>
      <c r="N703" s="1"/>
    </row>
    <row r="704" spans="3:14" x14ac:dyDescent="0.25">
      <c r="C704" s="1"/>
      <c r="D704" s="1"/>
      <c r="E704" s="1"/>
      <c r="F704" s="1"/>
      <c r="G704" s="1"/>
      <c r="H704" s="1"/>
      <c r="K704" s="1"/>
      <c r="L704" s="1"/>
      <c r="M704" s="1"/>
      <c r="N704" s="1"/>
    </row>
    <row r="705" spans="3:14" x14ac:dyDescent="0.25">
      <c r="C705" s="1"/>
      <c r="D705" s="1"/>
      <c r="E705" s="1"/>
      <c r="F705" s="1"/>
      <c r="G705" s="1"/>
      <c r="H705" s="1"/>
      <c r="K705" s="1"/>
      <c r="L705" s="1"/>
      <c r="M705" s="1"/>
      <c r="N705" s="1"/>
    </row>
    <row r="706" spans="3:14" x14ac:dyDescent="0.25">
      <c r="C706" s="1"/>
      <c r="D706" s="1"/>
      <c r="E706" s="1"/>
      <c r="F706" s="1"/>
      <c r="G706" s="1"/>
      <c r="H706" s="1"/>
      <c r="K706" s="1"/>
      <c r="L706" s="1"/>
      <c r="M706" s="1"/>
      <c r="N706" s="1"/>
    </row>
    <row r="707" spans="3:14" x14ac:dyDescent="0.25">
      <c r="C707" s="1"/>
      <c r="D707" s="1"/>
      <c r="E707" s="1"/>
      <c r="F707" s="1"/>
      <c r="G707" s="1"/>
      <c r="H707" s="1"/>
      <c r="K707" s="1"/>
      <c r="L707" s="1"/>
      <c r="M707" s="1"/>
      <c r="N707" s="1"/>
    </row>
    <row r="708" spans="3:14" x14ac:dyDescent="0.25">
      <c r="C708" s="1"/>
      <c r="D708" s="1"/>
      <c r="E708" s="1"/>
      <c r="F708" s="1"/>
      <c r="G708" s="1"/>
      <c r="H708" s="1"/>
      <c r="K708" s="1"/>
      <c r="L708" s="1"/>
      <c r="M708" s="1"/>
      <c r="N708" s="1"/>
    </row>
    <row r="709" spans="3:14" x14ac:dyDescent="0.25">
      <c r="C709" s="1"/>
      <c r="D709" s="1"/>
      <c r="E709" s="1"/>
      <c r="F709" s="1"/>
      <c r="G709" s="1"/>
      <c r="H709" s="1"/>
      <c r="K709" s="1"/>
      <c r="L709" s="1"/>
      <c r="M709" s="1"/>
      <c r="N709" s="1"/>
    </row>
    <row r="710" spans="3:14" x14ac:dyDescent="0.25">
      <c r="C710" s="1"/>
      <c r="D710" s="1"/>
      <c r="E710" s="1"/>
      <c r="F710" s="1"/>
      <c r="G710" s="1"/>
      <c r="H710" s="1"/>
      <c r="K710" s="1"/>
      <c r="L710" s="1"/>
      <c r="M710" s="1"/>
      <c r="N710" s="1"/>
    </row>
    <row r="711" spans="3:14" x14ac:dyDescent="0.25">
      <c r="C711" s="1"/>
      <c r="D711" s="1"/>
      <c r="E711" s="1"/>
      <c r="F711" s="1"/>
      <c r="G711" s="1"/>
      <c r="H711" s="1"/>
      <c r="K711" s="1"/>
      <c r="L711" s="1"/>
      <c r="M711" s="1"/>
      <c r="N711" s="1"/>
    </row>
    <row r="712" spans="3:14" x14ac:dyDescent="0.25">
      <c r="C712" s="1"/>
      <c r="D712" s="1"/>
      <c r="E712" s="1"/>
      <c r="F712" s="1"/>
      <c r="G712" s="1"/>
      <c r="H712" s="1"/>
      <c r="K712" s="1"/>
      <c r="L712" s="1"/>
      <c r="M712" s="1"/>
      <c r="N712" s="1"/>
    </row>
    <row r="713" spans="3:14" x14ac:dyDescent="0.25">
      <c r="C713" s="1"/>
      <c r="D713" s="1"/>
      <c r="E713" s="1"/>
      <c r="F713" s="1"/>
      <c r="G713" s="1"/>
      <c r="H713" s="1"/>
      <c r="K713" s="1"/>
      <c r="L713" s="1"/>
      <c r="M713" s="1"/>
      <c r="N713" s="1"/>
    </row>
    <row r="714" spans="3:14" x14ac:dyDescent="0.25">
      <c r="C714" s="1"/>
      <c r="D714" s="1"/>
      <c r="E714" s="1"/>
      <c r="F714" s="1"/>
      <c r="G714" s="1"/>
      <c r="H714" s="1"/>
      <c r="K714" s="1"/>
      <c r="L714" s="1"/>
      <c r="M714" s="1"/>
      <c r="N714" s="1"/>
    </row>
    <row r="715" spans="3:14" x14ac:dyDescent="0.25">
      <c r="C715" s="1"/>
      <c r="D715" s="1"/>
      <c r="E715" s="1"/>
      <c r="F715" s="1"/>
      <c r="G715" s="1"/>
      <c r="H715" s="1"/>
      <c r="K715" s="1"/>
      <c r="L715" s="1"/>
      <c r="M715" s="1"/>
      <c r="N715" s="1"/>
    </row>
    <row r="716" spans="3:14" x14ac:dyDescent="0.25">
      <c r="C716" s="1"/>
      <c r="D716" s="1"/>
      <c r="E716" s="1"/>
      <c r="F716" s="1"/>
      <c r="G716" s="1"/>
      <c r="H716" s="1"/>
      <c r="K716" s="1"/>
      <c r="L716" s="1"/>
      <c r="M716" s="1"/>
      <c r="N716" s="1"/>
    </row>
    <row r="717" spans="3:14" x14ac:dyDescent="0.25">
      <c r="C717" s="1"/>
      <c r="D717" s="1"/>
      <c r="E717" s="1"/>
      <c r="F717" s="1"/>
      <c r="G717" s="1"/>
      <c r="H717" s="1"/>
      <c r="K717" s="1"/>
      <c r="L717" s="1"/>
      <c r="M717" s="1"/>
      <c r="N717" s="1"/>
    </row>
    <row r="718" spans="3:14" x14ac:dyDescent="0.25">
      <c r="C718" s="1"/>
      <c r="D718" s="1"/>
      <c r="E718" s="1"/>
      <c r="F718" s="1"/>
      <c r="G718" s="1"/>
      <c r="H718" s="1"/>
      <c r="K718" s="1"/>
      <c r="L718" s="1"/>
      <c r="M718" s="1"/>
      <c r="N718" s="1"/>
    </row>
    <row r="719" spans="3:14" x14ac:dyDescent="0.25">
      <c r="C719" s="1"/>
      <c r="D719" s="1"/>
      <c r="E719" s="1"/>
      <c r="F719" s="1"/>
      <c r="G719" s="1"/>
      <c r="H719" s="1"/>
      <c r="K719" s="1"/>
      <c r="L719" s="1"/>
      <c r="M719" s="1"/>
      <c r="N719" s="1"/>
    </row>
    <row r="720" spans="3:14" x14ac:dyDescent="0.25">
      <c r="C720" s="1"/>
      <c r="D720" s="1"/>
      <c r="E720" s="1"/>
      <c r="F720" s="1"/>
      <c r="G720" s="1"/>
      <c r="H720" s="1"/>
      <c r="K720" s="1"/>
      <c r="L720" s="1"/>
      <c r="M720" s="1"/>
      <c r="N720" s="1"/>
    </row>
    <row r="721" spans="3:14" x14ac:dyDescent="0.25">
      <c r="C721" s="1"/>
      <c r="D721" s="1"/>
      <c r="E721" s="1"/>
      <c r="F721" s="1"/>
      <c r="G721" s="1"/>
      <c r="H721" s="1"/>
      <c r="K721" s="1"/>
      <c r="L721" s="1"/>
      <c r="M721" s="1"/>
      <c r="N721" s="1"/>
    </row>
    <row r="722" spans="3:14" x14ac:dyDescent="0.25">
      <c r="C722" s="1"/>
      <c r="D722" s="1"/>
      <c r="E722" s="1"/>
      <c r="F722" s="1"/>
      <c r="G722" s="1"/>
      <c r="H722" s="1"/>
      <c r="K722" s="1"/>
      <c r="L722" s="1"/>
      <c r="M722" s="1"/>
      <c r="N722" s="1"/>
    </row>
    <row r="723" spans="3:14" x14ac:dyDescent="0.25">
      <c r="C723" s="1"/>
      <c r="D723" s="1"/>
      <c r="E723" s="1"/>
      <c r="F723" s="1"/>
      <c r="G723" s="1"/>
      <c r="H723" s="1"/>
      <c r="K723" s="1"/>
      <c r="L723" s="1"/>
      <c r="M723" s="1"/>
      <c r="N723" s="1"/>
    </row>
    <row r="724" spans="3:14" x14ac:dyDescent="0.25">
      <c r="C724" s="1"/>
      <c r="D724" s="1"/>
      <c r="E724" s="1"/>
      <c r="F724" s="1"/>
      <c r="G724" s="1"/>
      <c r="H724" s="1"/>
      <c r="K724" s="1"/>
      <c r="L724" s="1"/>
      <c r="M724" s="1"/>
      <c r="N724" s="1"/>
    </row>
    <row r="725" spans="3:14" x14ac:dyDescent="0.25">
      <c r="C725" s="1"/>
      <c r="D725" s="1"/>
      <c r="E725" s="1"/>
      <c r="F725" s="1"/>
      <c r="G725" s="1"/>
      <c r="H725" s="1"/>
      <c r="K725" s="1"/>
      <c r="L725" s="1"/>
      <c r="M725" s="1"/>
      <c r="N725" s="1"/>
    </row>
    <row r="726" spans="3:14" x14ac:dyDescent="0.25">
      <c r="C726" s="1"/>
      <c r="D726" s="1"/>
      <c r="E726" s="1"/>
      <c r="F726" s="1"/>
      <c r="G726" s="1"/>
      <c r="H726" s="1"/>
      <c r="K726" s="1"/>
      <c r="L726" s="1"/>
      <c r="M726" s="1"/>
      <c r="N726" s="1"/>
    </row>
    <row r="727" spans="3:14" x14ac:dyDescent="0.25">
      <c r="C727" s="1"/>
      <c r="D727" s="1"/>
      <c r="E727" s="1"/>
      <c r="F727" s="1"/>
      <c r="G727" s="1"/>
      <c r="H727" s="1"/>
      <c r="K727" s="1"/>
      <c r="L727" s="1"/>
      <c r="M727" s="1"/>
      <c r="N727" s="1"/>
    </row>
    <row r="728" spans="3:14" x14ac:dyDescent="0.25">
      <c r="C728" s="1"/>
      <c r="D728" s="1"/>
      <c r="E728" s="1"/>
      <c r="F728" s="1"/>
      <c r="G728" s="1"/>
      <c r="H728" s="1"/>
      <c r="K728" s="1"/>
      <c r="L728" s="1"/>
      <c r="M728" s="1"/>
      <c r="N728" s="1"/>
    </row>
    <row r="729" spans="3:14" x14ac:dyDescent="0.25">
      <c r="C729" s="1"/>
      <c r="D729" s="1"/>
      <c r="E729" s="1"/>
      <c r="F729" s="1"/>
      <c r="G729" s="1"/>
      <c r="H729" s="1"/>
      <c r="K729" s="1"/>
      <c r="L729" s="1"/>
      <c r="M729" s="1"/>
      <c r="N729" s="1"/>
    </row>
    <row r="730" spans="3:14" x14ac:dyDescent="0.25">
      <c r="C730" s="1"/>
      <c r="D730" s="1"/>
      <c r="E730" s="1"/>
      <c r="F730" s="1"/>
      <c r="G730" s="1"/>
      <c r="H730" s="1"/>
      <c r="K730" s="1"/>
      <c r="L730" s="1"/>
      <c r="M730" s="1"/>
      <c r="N730" s="1"/>
    </row>
    <row r="731" spans="3:14" x14ac:dyDescent="0.25">
      <c r="C731" s="1"/>
      <c r="D731" s="1"/>
      <c r="E731" s="1"/>
      <c r="F731" s="1"/>
      <c r="G731" s="1"/>
      <c r="H731" s="1"/>
      <c r="K731" s="1"/>
      <c r="L731" s="1"/>
      <c r="M731" s="1"/>
      <c r="N731" s="1"/>
    </row>
    <row r="732" spans="3:14" x14ac:dyDescent="0.25">
      <c r="C732" s="1"/>
      <c r="D732" s="1"/>
      <c r="E732" s="1"/>
      <c r="F732" s="1"/>
      <c r="G732" s="1"/>
      <c r="H732" s="1"/>
      <c r="K732" s="1"/>
      <c r="L732" s="1"/>
      <c r="M732" s="1"/>
      <c r="N732" s="1"/>
    </row>
    <row r="733" spans="3:14" x14ac:dyDescent="0.25">
      <c r="C733" s="1"/>
      <c r="D733" s="1"/>
      <c r="E733" s="1"/>
      <c r="F733" s="1"/>
      <c r="G733" s="1"/>
      <c r="H733" s="1"/>
      <c r="K733" s="1"/>
      <c r="L733" s="1"/>
      <c r="M733" s="1"/>
      <c r="N733" s="1"/>
    </row>
    <row r="734" spans="3:14" x14ac:dyDescent="0.25">
      <c r="C734" s="1"/>
      <c r="D734" s="1"/>
      <c r="E734" s="1"/>
      <c r="F734" s="1"/>
      <c r="G734" s="1"/>
      <c r="H734" s="1"/>
      <c r="K734" s="1"/>
      <c r="L734" s="1"/>
      <c r="M734" s="1"/>
      <c r="N734" s="1"/>
    </row>
    <row r="735" spans="3:14" x14ac:dyDescent="0.25">
      <c r="C735" s="1"/>
      <c r="D735" s="1"/>
      <c r="E735" s="1"/>
      <c r="F735" s="1"/>
      <c r="G735" s="1"/>
      <c r="H735" s="1"/>
      <c r="K735" s="1"/>
      <c r="L735" s="1"/>
      <c r="M735" s="1"/>
      <c r="N735" s="1"/>
    </row>
    <row r="736" spans="3:14" x14ac:dyDescent="0.25">
      <c r="C736" s="1"/>
      <c r="D736" s="1"/>
      <c r="E736" s="1"/>
      <c r="F736" s="1"/>
      <c r="G736" s="1"/>
      <c r="H736" s="1"/>
      <c r="K736" s="1"/>
      <c r="L736" s="1"/>
      <c r="M736" s="1"/>
      <c r="N736" s="1"/>
    </row>
    <row r="737" spans="3:14" x14ac:dyDescent="0.25">
      <c r="C737" s="1"/>
      <c r="D737" s="1"/>
      <c r="E737" s="1"/>
      <c r="F737" s="1"/>
      <c r="G737" s="1"/>
      <c r="H737" s="1"/>
      <c r="K737" s="1"/>
      <c r="L737" s="1"/>
      <c r="M737" s="1"/>
      <c r="N737" s="1"/>
    </row>
    <row r="738" spans="3:14" x14ac:dyDescent="0.25">
      <c r="C738" s="1"/>
      <c r="D738" s="1"/>
      <c r="E738" s="1"/>
      <c r="F738" s="1"/>
      <c r="G738" s="1"/>
      <c r="H738" s="1"/>
      <c r="K738" s="1"/>
      <c r="L738" s="1"/>
      <c r="M738" s="1"/>
      <c r="N738" s="1"/>
    </row>
    <row r="739" spans="3:14" x14ac:dyDescent="0.25">
      <c r="C739" s="1"/>
      <c r="D739" s="1"/>
      <c r="E739" s="1"/>
      <c r="F739" s="1"/>
      <c r="G739" s="1"/>
      <c r="H739" s="1"/>
      <c r="K739" s="1"/>
      <c r="L739" s="1"/>
      <c r="M739" s="1"/>
      <c r="N739" s="1"/>
    </row>
    <row r="740" spans="3:14" x14ac:dyDescent="0.25">
      <c r="C740" s="1"/>
      <c r="D740" s="1"/>
      <c r="E740" s="1"/>
      <c r="F740" s="1"/>
      <c r="G740" s="1"/>
      <c r="H740" s="1"/>
      <c r="K740" s="1"/>
      <c r="L740" s="1"/>
      <c r="M740" s="1"/>
      <c r="N740" s="1"/>
    </row>
    <row r="741" spans="3:14" x14ac:dyDescent="0.25">
      <c r="C741" s="1"/>
      <c r="D741" s="1"/>
      <c r="E741" s="1"/>
      <c r="F741" s="1"/>
      <c r="G741" s="1"/>
      <c r="H741" s="1"/>
      <c r="K741" s="1"/>
      <c r="L741" s="1"/>
      <c r="M741" s="1"/>
      <c r="N741" s="1"/>
    </row>
    <row r="742" spans="3:14" x14ac:dyDescent="0.25">
      <c r="C742" s="1"/>
      <c r="D742" s="1"/>
      <c r="E742" s="1"/>
      <c r="F742" s="1"/>
      <c r="G742" s="1"/>
      <c r="H742" s="1"/>
      <c r="K742" s="1"/>
      <c r="L742" s="1"/>
      <c r="M742" s="1"/>
      <c r="N742" s="1"/>
    </row>
    <row r="743" spans="3:14" x14ac:dyDescent="0.25">
      <c r="C743" s="1"/>
      <c r="D743" s="1"/>
      <c r="E743" s="1"/>
      <c r="F743" s="1"/>
      <c r="G743" s="1"/>
      <c r="H743" s="1"/>
      <c r="K743" s="1"/>
      <c r="L743" s="1"/>
      <c r="M743" s="1"/>
      <c r="N743" s="1"/>
    </row>
    <row r="744" spans="3:14" x14ac:dyDescent="0.25">
      <c r="C744" s="1"/>
      <c r="D744" s="1"/>
      <c r="E744" s="1"/>
      <c r="F744" s="1"/>
      <c r="G744" s="1"/>
      <c r="H744" s="1"/>
      <c r="K744" s="1"/>
      <c r="L744" s="1"/>
      <c r="M744" s="1"/>
      <c r="N744" s="1"/>
    </row>
    <row r="745" spans="3:14" x14ac:dyDescent="0.25">
      <c r="C745" s="1"/>
      <c r="D745" s="1"/>
      <c r="E745" s="1"/>
      <c r="F745" s="1"/>
      <c r="G745" s="1"/>
      <c r="H745" s="1"/>
      <c r="K745" s="1"/>
      <c r="L745" s="1"/>
      <c r="M745" s="1"/>
      <c r="N745" s="1"/>
    </row>
    <row r="746" spans="3:14" x14ac:dyDescent="0.25">
      <c r="C746" s="1"/>
      <c r="D746" s="1"/>
      <c r="E746" s="1"/>
      <c r="F746" s="1"/>
      <c r="G746" s="1"/>
      <c r="H746" s="1"/>
      <c r="K746" s="1"/>
      <c r="L746" s="1"/>
      <c r="M746" s="1"/>
      <c r="N746" s="1"/>
    </row>
    <row r="747" spans="3:14" x14ac:dyDescent="0.25">
      <c r="C747" s="1"/>
      <c r="D747" s="1"/>
      <c r="E747" s="1"/>
      <c r="F747" s="1"/>
      <c r="G747" s="1"/>
      <c r="H747" s="1"/>
      <c r="K747" s="1"/>
      <c r="L747" s="1"/>
      <c r="M747" s="1"/>
      <c r="N747" s="1"/>
    </row>
    <row r="748" spans="3:14" x14ac:dyDescent="0.25">
      <c r="C748" s="1"/>
      <c r="D748" s="1"/>
      <c r="E748" s="1"/>
      <c r="F748" s="1"/>
      <c r="G748" s="1"/>
      <c r="H748" s="1"/>
      <c r="K748" s="1"/>
      <c r="L748" s="1"/>
      <c r="M748" s="1"/>
      <c r="N748" s="1"/>
    </row>
    <row r="749" spans="3:14" x14ac:dyDescent="0.25">
      <c r="C749" s="1"/>
      <c r="D749" s="1"/>
      <c r="E749" s="1"/>
      <c r="F749" s="1"/>
      <c r="G749" s="1"/>
      <c r="H749" s="1"/>
      <c r="K749" s="1"/>
      <c r="L749" s="1"/>
      <c r="M749" s="1"/>
      <c r="N749" s="1"/>
    </row>
    <row r="750" spans="3:14" x14ac:dyDescent="0.25">
      <c r="C750" s="1"/>
      <c r="D750" s="1"/>
      <c r="E750" s="1"/>
      <c r="F750" s="1"/>
      <c r="G750" s="1"/>
      <c r="H750" s="1"/>
      <c r="K750" s="1"/>
      <c r="L750" s="1"/>
      <c r="M750" s="1"/>
      <c r="N750" s="1"/>
    </row>
    <row r="751" spans="3:14" x14ac:dyDescent="0.25">
      <c r="C751" s="1"/>
      <c r="D751" s="1"/>
      <c r="E751" s="1"/>
      <c r="F751" s="1"/>
      <c r="G751" s="1"/>
      <c r="H751" s="1"/>
      <c r="K751" s="1"/>
      <c r="L751" s="1"/>
      <c r="M751" s="1"/>
      <c r="N751" s="1"/>
    </row>
    <row r="752" spans="3:14" x14ac:dyDescent="0.25">
      <c r="C752" s="1"/>
      <c r="D752" s="1"/>
      <c r="E752" s="1"/>
      <c r="F752" s="1"/>
      <c r="G752" s="1"/>
      <c r="H752" s="1"/>
      <c r="K752" s="1"/>
      <c r="L752" s="1"/>
      <c r="M752" s="1"/>
      <c r="N752" s="1"/>
    </row>
    <row r="753" spans="3:14" x14ac:dyDescent="0.25">
      <c r="C753" s="1"/>
      <c r="D753" s="1"/>
      <c r="E753" s="1"/>
      <c r="F753" s="1"/>
      <c r="G753" s="1"/>
      <c r="H753" s="1"/>
      <c r="K753" s="1"/>
      <c r="L753" s="1"/>
      <c r="M753" s="1"/>
      <c r="N753" s="1"/>
    </row>
    <row r="754" spans="3:14" x14ac:dyDescent="0.25">
      <c r="C754" s="1"/>
      <c r="D754" s="1"/>
      <c r="E754" s="1"/>
      <c r="F754" s="1"/>
      <c r="G754" s="1"/>
      <c r="H754" s="1"/>
      <c r="K754" s="1"/>
      <c r="L754" s="1"/>
      <c r="M754" s="1"/>
      <c r="N754" s="1"/>
    </row>
    <row r="755" spans="3:14" x14ac:dyDescent="0.25">
      <c r="C755" s="1"/>
      <c r="D755" s="1"/>
      <c r="E755" s="1"/>
      <c r="F755" s="1"/>
      <c r="G755" s="1"/>
      <c r="H755" s="1"/>
      <c r="K755" s="1"/>
      <c r="L755" s="1"/>
      <c r="M755" s="1"/>
      <c r="N755" s="1"/>
    </row>
    <row r="756" spans="3:14" x14ac:dyDescent="0.25">
      <c r="C756" s="1"/>
      <c r="D756" s="1"/>
      <c r="E756" s="1"/>
      <c r="F756" s="1"/>
      <c r="G756" s="1"/>
      <c r="H756" s="1"/>
      <c r="K756" s="1"/>
      <c r="L756" s="1"/>
      <c r="M756" s="1"/>
      <c r="N756" s="1"/>
    </row>
    <row r="757" spans="3:14" x14ac:dyDescent="0.25">
      <c r="C757" s="1"/>
      <c r="D757" s="1"/>
      <c r="E757" s="1"/>
      <c r="F757" s="1"/>
      <c r="G757" s="1"/>
      <c r="H757" s="1"/>
      <c r="K757" s="1"/>
      <c r="L757" s="1"/>
      <c r="M757" s="1"/>
      <c r="N757" s="1"/>
    </row>
    <row r="758" spans="3:14" x14ac:dyDescent="0.25">
      <c r="C758" s="1"/>
      <c r="D758" s="1"/>
      <c r="E758" s="1"/>
      <c r="F758" s="1"/>
      <c r="G758" s="1"/>
      <c r="H758" s="1"/>
      <c r="K758" s="1"/>
      <c r="L758" s="1"/>
      <c r="M758" s="1"/>
      <c r="N758" s="1"/>
    </row>
    <row r="759" spans="3:14" x14ac:dyDescent="0.25">
      <c r="C759" s="1"/>
      <c r="D759" s="1"/>
      <c r="E759" s="1"/>
      <c r="F759" s="1"/>
      <c r="G759" s="1"/>
      <c r="H759" s="1"/>
      <c r="K759" s="1"/>
      <c r="L759" s="1"/>
      <c r="M759" s="1"/>
      <c r="N759" s="1"/>
    </row>
    <row r="760" spans="3:14" x14ac:dyDescent="0.25">
      <c r="C760" s="1"/>
      <c r="D760" s="1"/>
      <c r="E760" s="1"/>
      <c r="F760" s="1"/>
      <c r="G760" s="1"/>
      <c r="H760" s="1"/>
      <c r="K760" s="1"/>
      <c r="L760" s="1"/>
      <c r="M760" s="1"/>
      <c r="N760" s="1"/>
    </row>
    <row r="761" spans="3:14" x14ac:dyDescent="0.25">
      <c r="C761" s="1"/>
      <c r="D761" s="1"/>
      <c r="E761" s="1"/>
      <c r="F761" s="1"/>
      <c r="G761" s="1"/>
      <c r="H761" s="1"/>
      <c r="K761" s="1"/>
      <c r="L761" s="1"/>
      <c r="M761" s="1"/>
      <c r="N761" s="1"/>
    </row>
    <row r="762" spans="3:14" x14ac:dyDescent="0.25">
      <c r="C762" s="1"/>
      <c r="D762" s="1"/>
      <c r="E762" s="1"/>
      <c r="F762" s="1"/>
      <c r="G762" s="1"/>
      <c r="H762" s="1"/>
      <c r="K762" s="1"/>
      <c r="L762" s="1"/>
      <c r="M762" s="1"/>
      <c r="N762" s="1"/>
    </row>
    <row r="763" spans="3:14" x14ac:dyDescent="0.25">
      <c r="C763" s="1"/>
      <c r="D763" s="1"/>
      <c r="E763" s="1"/>
      <c r="F763" s="1"/>
      <c r="G763" s="1"/>
      <c r="H763" s="1"/>
      <c r="K763" s="1"/>
      <c r="L763" s="1"/>
      <c r="M763" s="1"/>
      <c r="N763" s="1"/>
    </row>
    <row r="764" spans="3:14" x14ac:dyDescent="0.25">
      <c r="C764" s="1"/>
      <c r="D764" s="1"/>
      <c r="E764" s="1"/>
      <c r="F764" s="1"/>
      <c r="G764" s="1"/>
      <c r="H764" s="1"/>
      <c r="K764" s="1"/>
      <c r="L764" s="1"/>
      <c r="M764" s="1"/>
      <c r="N764" s="1"/>
    </row>
    <row r="765" spans="3:14" x14ac:dyDescent="0.25">
      <c r="C765" s="1"/>
      <c r="D765" s="1"/>
      <c r="E765" s="1"/>
      <c r="F765" s="1"/>
      <c r="G765" s="1"/>
      <c r="H765" s="1"/>
      <c r="K765" s="1"/>
      <c r="L765" s="1"/>
      <c r="M765" s="1"/>
      <c r="N76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SecureDocument</vt:lpstr>
      <vt:lpstr>SecureDocument1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2021-03-08T21:21:46Z</dcterms:created>
  <dcterms:modified xsi:type="dcterms:W3CDTF">2021-06-01T07:39:05Z</dcterms:modified>
</cp:coreProperties>
</file>